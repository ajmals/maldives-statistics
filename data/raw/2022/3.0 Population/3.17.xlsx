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ml.chartshapes+xml"/>
  <Override PartName="/xl/charts/chart6.xml" ContentType="application/vnd.openxmlformats-officedocument.drawingml.chart+xml"/>
  <Override PartName="/xl/drawings/drawing5.xml" ContentType="application/vnd.openxmlformats-officedocument.drawingml.chartshapes+xml"/>
  <Override PartName="/xl/charts/chart7.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ml.chartshapes+xml"/>
  <Override PartName="/xl/comments1.xml" ContentType="application/vnd.openxmlformats-officedocument.spreadsheetml.comments+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6.xml" ContentType="application/vnd.openxmlformats-officedocument.drawingml.chart+xml"/>
  <Override PartName="/xl/drawings/drawing19.xml" ContentType="application/vnd.openxmlformats-officedocument.drawingml.chartshapes+xml"/>
  <Override PartName="/xl/charts/chart17.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8.xml" ContentType="application/vnd.openxmlformats-officedocument.drawingml.chart+xml"/>
  <Override PartName="/xl/drawings/drawing22.xml" ContentType="application/vnd.openxmlformats-officedocument.drawingml.chartshapes+xml"/>
  <Override PartName="/xl/charts/chart19.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26.xml" ContentType="application/vnd.openxmlformats-officedocument.drawingml.chartshapes+xml"/>
  <Override PartName="/xl/charts/chart27.xml" ContentType="application/vnd.openxmlformats-officedocument.drawingml.chart+xml"/>
  <Override PartName="/xl/drawings/drawing2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192.168.1.8\st4\Dissemination\Publications\Statistical Year Book\YEARBOOK 2022\Final\"/>
    </mc:Choice>
  </mc:AlternateContent>
  <xr:revisionPtr revIDLastSave="0" documentId="13_ncr:1_{1215EBB7-8F78-49B3-BA39-ADF04590B232}" xr6:coauthVersionLast="47" xr6:coauthVersionMax="47" xr10:uidLastSave="{00000000-0000-0000-0000-000000000000}"/>
  <bookViews>
    <workbookView xWindow="-120" yWindow="-120" windowWidth="29040" windowHeight="15840" tabRatio="874" activeTab="2" xr2:uid="{00000000-000D-0000-FFFF-FFFF00000000}"/>
  </bookViews>
  <sheets>
    <sheet name="3.1" sheetId="1" r:id="rId1"/>
    <sheet name="3.2" sheetId="2" r:id="rId2"/>
    <sheet name="3.3" sheetId="25" r:id="rId3"/>
    <sheet name="3.4" sheetId="4" r:id="rId4"/>
    <sheet name="3.5" sheetId="5" r:id="rId5"/>
    <sheet name="3.6" sheetId="6" r:id="rId6"/>
    <sheet name="3.7" sheetId="7" r:id="rId7"/>
    <sheet name="3.8" sheetId="9" r:id="rId8"/>
    <sheet name="3.9" sheetId="8" r:id="rId9"/>
    <sheet name="3.10" sheetId="10" r:id="rId10"/>
    <sheet name="3.11" sheetId="11" r:id="rId11"/>
    <sheet name="3.12" sheetId="12" r:id="rId12"/>
    <sheet name="3.13" sheetId="13" r:id="rId13"/>
    <sheet name="3.14" sheetId="14" r:id="rId14"/>
    <sheet name="3.15" sheetId="15" r:id="rId15"/>
    <sheet name="3.16" sheetId="16" r:id="rId16"/>
    <sheet name="3.17" sheetId="17" r:id="rId17"/>
    <sheet name="3.18" sheetId="18" r:id="rId18"/>
    <sheet name="3.19" sheetId="19" r:id="rId19"/>
    <sheet name="3.20" sheetId="20" r:id="rId20"/>
    <sheet name="3.21" sheetId="21" r:id="rId21"/>
    <sheet name="3.22" sheetId="22" r:id="rId22"/>
    <sheet name="3.23" sheetId="23" r:id="rId23"/>
    <sheet name="3.24" sheetId="24" r:id="rId24"/>
    <sheet name="3.25" sheetId="26" r:id="rId25"/>
  </sheets>
  <externalReferences>
    <externalReference r:id="rId26"/>
    <externalReference r:id="rId27"/>
    <externalReference r:id="rId28"/>
  </externalReferences>
  <definedNames>
    <definedName name="_xlnm.Print_Area" localSheetId="0">'3.1'!$A$1:$M$64</definedName>
    <definedName name="_xlnm.Print_Area" localSheetId="3">'3.4'!$A$1:$G$43</definedName>
    <definedName name="_xlnm.Print_Area" localSheetId="4">'3.5'!$A$1:$H$53</definedName>
    <definedName name="_xlnm.Print_Area" localSheetId="5">'3.6'!$A$1:$M$87</definedName>
    <definedName name="_xlnm.Print_Area" localSheetId="6">'3.7'!$A$1:$AK$44</definedName>
    <definedName name="_xlnm.Print_Area" localSheetId="8">'3.9'!$A$1:$BA$43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8" i="15" l="1"/>
  <c r="AL9" i="15"/>
  <c r="AL10" i="15"/>
  <c r="AL11" i="15"/>
  <c r="AL12" i="15"/>
  <c r="AL13" i="15"/>
  <c r="AL14" i="15"/>
  <c r="AL15" i="15"/>
  <c r="AL16" i="15"/>
  <c r="AL17" i="15"/>
  <c r="AL18" i="15"/>
  <c r="AL19" i="15"/>
  <c r="AL20" i="15"/>
  <c r="AL21" i="15"/>
  <c r="AL22" i="15"/>
  <c r="AL7" i="15"/>
  <c r="AK8" i="15"/>
  <c r="AK9" i="15"/>
  <c r="AK10" i="15"/>
  <c r="AK11" i="15"/>
  <c r="AK12" i="15"/>
  <c r="AK13" i="15"/>
  <c r="AK14" i="15"/>
  <c r="AK15" i="15"/>
  <c r="AK16" i="15"/>
  <c r="AK17" i="15"/>
  <c r="AK18" i="15"/>
  <c r="AK19" i="15"/>
  <c r="AK20" i="15"/>
  <c r="AK21" i="15"/>
  <c r="AK22" i="15"/>
  <c r="AK7" i="15"/>
  <c r="AI8" i="15"/>
  <c r="AI9" i="15"/>
  <c r="AI10" i="15"/>
  <c r="AI11" i="15"/>
  <c r="AI12" i="15"/>
  <c r="AI13" i="15"/>
  <c r="AI14" i="15"/>
  <c r="AI15" i="15"/>
  <c r="AI16" i="15"/>
  <c r="AI17" i="15"/>
  <c r="AI18" i="15"/>
  <c r="AI19" i="15"/>
  <c r="AI20" i="15"/>
  <c r="AI21" i="15"/>
  <c r="AI22" i="15"/>
  <c r="AI7" i="15"/>
  <c r="AT21" i="15"/>
  <c r="AT5" i="15" s="1"/>
  <c r="AU21" i="15"/>
  <c r="AQ21" i="15"/>
  <c r="AQ5" i="15" s="1"/>
  <c r="AP21" i="15"/>
  <c r="AP5" i="15" s="1"/>
  <c r="AU5" i="15"/>
  <c r="AV6" i="14"/>
  <c r="AW6" i="14"/>
  <c r="AS6" i="14"/>
  <c r="AR6" i="14"/>
  <c r="AS22" i="14"/>
  <c r="AL23" i="14"/>
  <c r="AM23" i="14"/>
  <c r="AN23" i="14"/>
  <c r="AM8" i="14"/>
  <c r="AM9" i="14"/>
  <c r="AM10" i="14"/>
  <c r="AM11" i="14"/>
  <c r="AM12" i="14"/>
  <c r="AM13" i="14"/>
  <c r="AM14" i="14"/>
  <c r="AM15" i="14"/>
  <c r="AM16" i="14"/>
  <c r="AM17" i="14"/>
  <c r="AM18" i="14"/>
  <c r="AM19" i="14"/>
  <c r="AM20" i="14"/>
  <c r="AM21" i="14"/>
  <c r="AM22" i="14"/>
  <c r="AM7" i="14"/>
  <c r="AW22" i="14"/>
  <c r="AV22" i="14"/>
  <c r="AK8" i="14"/>
  <c r="AK9" i="14"/>
  <c r="AK10" i="14"/>
  <c r="AK11" i="14"/>
  <c r="AK12" i="14"/>
  <c r="AK13" i="14"/>
  <c r="AK14" i="14"/>
  <c r="AK15" i="14"/>
  <c r="AK16" i="14"/>
  <c r="AK17" i="14"/>
  <c r="AK18" i="14"/>
  <c r="AK19" i="14"/>
  <c r="AK20" i="14"/>
  <c r="AK21" i="14"/>
  <c r="AK22" i="14"/>
  <c r="AK7" i="14"/>
  <c r="AR22" i="14"/>
  <c r="G226" i="26" l="1"/>
  <c r="F226" i="26"/>
  <c r="G223" i="26"/>
  <c r="F223" i="26"/>
  <c r="G212" i="26"/>
  <c r="F212" i="26"/>
  <c r="G201" i="26"/>
  <c r="F201" i="26"/>
  <c r="G188" i="26"/>
  <c r="F188" i="26"/>
  <c r="G173" i="26"/>
  <c r="F173" i="26"/>
  <c r="G165" i="26"/>
  <c r="F165" i="26"/>
  <c r="G158" i="26"/>
  <c r="F158" i="26"/>
  <c r="G148" i="26"/>
  <c r="F148" i="26"/>
  <c r="G141" i="26"/>
  <c r="F141" i="26"/>
  <c r="G129" i="26"/>
  <c r="F129" i="26"/>
  <c r="G119" i="26"/>
  <c r="F119" i="26"/>
  <c r="G108" i="26"/>
  <c r="F108" i="26"/>
  <c r="G102" i="26"/>
  <c r="F102" i="26"/>
  <c r="G87" i="26"/>
  <c r="F87" i="26"/>
  <c r="G70" i="26"/>
  <c r="F70" i="26"/>
  <c r="G55" i="26"/>
  <c r="F55" i="26"/>
  <c r="G39" i="26"/>
  <c r="F39" i="26"/>
  <c r="G24" i="26"/>
  <c r="F24" i="26"/>
  <c r="G8" i="26"/>
  <c r="F8" i="26"/>
  <c r="G5" i="26"/>
  <c r="F5" i="26"/>
  <c r="AS24" i="21"/>
  <c r="AR24" i="21"/>
  <c r="AR25" i="21"/>
  <c r="AS25" i="21"/>
  <c r="AR26" i="21"/>
  <c r="AS26" i="21"/>
  <c r="AR27" i="21"/>
  <c r="AS27" i="21"/>
  <c r="AI5" i="21"/>
  <c r="AH4" i="21"/>
  <c r="AH5" i="21" l="1"/>
  <c r="AH6" i="21"/>
  <c r="AI6" i="21"/>
  <c r="AH7" i="21"/>
  <c r="AI7" i="21"/>
  <c r="AI4" i="21"/>
  <c r="H7" i="20"/>
  <c r="C7" i="20"/>
  <c r="D7" i="20"/>
  <c r="E7" i="20"/>
  <c r="F7" i="20"/>
  <c r="G7"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9" i="19"/>
  <c r="CC42" i="17"/>
  <c r="CC43" i="17"/>
  <c r="CB43" i="17"/>
  <c r="CB42" i="17"/>
  <c r="B7" i="20" l="1"/>
  <c r="M29" i="12"/>
  <c r="I29" i="12" s="1"/>
  <c r="M28" i="12"/>
  <c r="I28" i="12" s="1"/>
  <c r="M27" i="12"/>
  <c r="I27" i="12" s="1"/>
  <c r="M26" i="12"/>
  <c r="I26" i="12" s="1"/>
  <c r="M25" i="12"/>
  <c r="I25" i="12" s="1"/>
  <c r="M24" i="12"/>
  <c r="I24" i="12" s="1"/>
  <c r="M23" i="12"/>
  <c r="I23" i="12" s="1"/>
  <c r="M22" i="12"/>
  <c r="I22" i="12" s="1"/>
  <c r="M21" i="12"/>
  <c r="I21" i="12" s="1"/>
  <c r="M20" i="12"/>
  <c r="M19" i="12"/>
  <c r="I19" i="12" s="1"/>
  <c r="M18" i="12"/>
  <c r="I18" i="12" s="1"/>
  <c r="M17" i="12"/>
  <c r="I17" i="12" s="1"/>
  <c r="M16" i="12"/>
  <c r="I16" i="12" s="1"/>
  <c r="M15" i="12"/>
  <c r="I15" i="12" s="1"/>
  <c r="M14" i="12"/>
  <c r="I14" i="12" s="1"/>
  <c r="I20" i="12"/>
  <c r="I12" i="12"/>
  <c r="I11" i="12"/>
  <c r="I10" i="12"/>
  <c r="I9" i="12"/>
  <c r="T20" i="11"/>
  <c r="T15" i="11"/>
  <c r="T10" i="11"/>
  <c r="T9" i="11"/>
  <c r="T8" i="11"/>
  <c r="T7" i="11"/>
  <c r="T6" i="11"/>
  <c r="T5" i="11" l="1"/>
  <c r="AY16" i="8"/>
  <c r="AX16" i="8"/>
  <c r="AY15" i="8"/>
  <c r="AX15" i="8"/>
  <c r="C31" i="9"/>
  <c r="H31" i="9"/>
  <c r="CN35" i="7" l="1"/>
  <c r="CN36" i="7"/>
  <c r="CN37" i="7"/>
  <c r="CN38" i="7"/>
  <c r="CN39" i="7"/>
  <c r="CN40" i="7"/>
  <c r="CN41" i="7"/>
  <c r="CN42" i="7"/>
  <c r="CN43" i="7"/>
  <c r="CN44" i="7"/>
  <c r="CN45" i="7"/>
  <c r="CN34" i="7"/>
  <c r="CD35" i="7"/>
  <c r="CD36" i="7"/>
  <c r="CD37" i="7"/>
  <c r="CD38" i="7"/>
  <c r="CD39" i="7"/>
  <c r="CD40" i="7"/>
  <c r="CD41" i="7"/>
  <c r="CD42" i="7"/>
  <c r="CD43" i="7"/>
  <c r="CD44" i="7"/>
  <c r="CD45" i="7"/>
  <c r="CD34" i="7"/>
  <c r="AF105" i="25" l="1"/>
  <c r="U8" i="24"/>
  <c r="U5" i="24" s="1"/>
  <c r="T8" i="24"/>
  <c r="T5" i="24" s="1"/>
  <c r="S8" i="24"/>
  <c r="S5" i="24" s="1"/>
  <c r="R8" i="24"/>
  <c r="R5" i="24" s="1"/>
  <c r="Q8" i="24"/>
  <c r="Q5" i="24" s="1"/>
  <c r="P8" i="24"/>
  <c r="P5" i="24" s="1"/>
  <c r="O8" i="24"/>
  <c r="O5" i="24" s="1"/>
  <c r="N8" i="24"/>
  <c r="N5" i="24" s="1"/>
  <c r="M8" i="24"/>
  <c r="M5" i="24" s="1"/>
  <c r="L8" i="24"/>
  <c r="L5" i="24" s="1"/>
  <c r="K8" i="24"/>
  <c r="K5" i="24" s="1"/>
  <c r="J8" i="24"/>
  <c r="J5" i="24" s="1"/>
  <c r="I8" i="24"/>
  <c r="I5" i="24" s="1"/>
  <c r="H8" i="24"/>
  <c r="H5" i="24" s="1"/>
  <c r="G8" i="24"/>
  <c r="G5" i="24" s="1"/>
  <c r="F8" i="24"/>
  <c r="F5" i="24" s="1"/>
  <c r="E8" i="24"/>
  <c r="E5" i="24" s="1"/>
  <c r="D8" i="24"/>
  <c r="D5" i="24" s="1"/>
  <c r="C8" i="24"/>
  <c r="C5" i="24" s="1"/>
  <c r="B8" i="24"/>
  <c r="B5" i="24" s="1"/>
  <c r="U11" i="23"/>
  <c r="U10" i="23"/>
  <c r="U9" i="23"/>
  <c r="W8" i="23"/>
  <c r="V8" i="23"/>
  <c r="D69" i="22"/>
  <c r="C69" i="22"/>
  <c r="D68" i="22"/>
  <c r="C68" i="22"/>
  <c r="D67" i="22"/>
  <c r="C67" i="22"/>
  <c r="D66" i="22"/>
  <c r="C66" i="22"/>
  <c r="D65" i="22"/>
  <c r="C65" i="22"/>
  <c r="D64" i="22"/>
  <c r="C64" i="22"/>
  <c r="D63" i="22"/>
  <c r="C63" i="22"/>
  <c r="D62" i="22"/>
  <c r="C62" i="22"/>
  <c r="D61" i="22"/>
  <c r="C61" i="22"/>
  <c r="D60" i="22"/>
  <c r="C60" i="22"/>
  <c r="D59" i="22"/>
  <c r="C59" i="22"/>
  <c r="D58" i="22"/>
  <c r="C58" i="22"/>
  <c r="D57" i="22"/>
  <c r="C57" i="22"/>
  <c r="D56" i="22"/>
  <c r="C56" i="22"/>
  <c r="D55" i="22"/>
  <c r="C55" i="22"/>
  <c r="D54" i="22"/>
  <c r="C54" i="22"/>
  <c r="D53" i="22"/>
  <c r="C53" i="22"/>
  <c r="D52" i="22"/>
  <c r="C52" i="22"/>
  <c r="D51" i="22"/>
  <c r="C51" i="22"/>
  <c r="D50" i="22"/>
  <c r="C50" i="22"/>
  <c r="D49" i="22"/>
  <c r="C49" i="22"/>
  <c r="L48" i="22"/>
  <c r="L46" i="22" s="1"/>
  <c r="K48" i="22"/>
  <c r="K46" i="22" s="1"/>
  <c r="J48" i="22"/>
  <c r="J46" i="22" s="1"/>
  <c r="I48" i="22"/>
  <c r="I46" i="22" s="1"/>
  <c r="H48" i="22"/>
  <c r="H46" i="22" s="1"/>
  <c r="G48" i="22"/>
  <c r="G46" i="22" s="1"/>
  <c r="F48" i="22"/>
  <c r="F46" i="22" s="1"/>
  <c r="E48" i="22"/>
  <c r="E46" i="22" s="1"/>
  <c r="D47" i="22"/>
  <c r="C47" i="22"/>
  <c r="U7" i="21"/>
  <c r="T7" i="21"/>
  <c r="D68" i="19"/>
  <c r="D67" i="19"/>
  <c r="D66" i="19"/>
  <c r="D65" i="19"/>
  <c r="AP11" i="17"/>
  <c r="AP8" i="17" s="1"/>
  <c r="AO11" i="17"/>
  <c r="AO8" i="17" s="1"/>
  <c r="AN11" i="17"/>
  <c r="AM11" i="17"/>
  <c r="T34" i="10"/>
  <c r="T23" i="10"/>
  <c r="T14" i="10"/>
  <c r="T12" i="10"/>
  <c r="T11" i="10"/>
  <c r="T10" i="10"/>
  <c r="T9" i="10"/>
  <c r="T8" i="10"/>
  <c r="T7" i="10"/>
  <c r="T6" i="10"/>
  <c r="AW12" i="8"/>
  <c r="AW11" i="8"/>
  <c r="AW10" i="8"/>
  <c r="AZ9" i="8"/>
  <c r="AY9" i="8"/>
  <c r="AX9" i="8"/>
  <c r="AW7" i="8"/>
  <c r="AW6" i="8"/>
  <c r="AZ5" i="8"/>
  <c r="AY5" i="8"/>
  <c r="AX5" i="8"/>
  <c r="C14" i="9"/>
  <c r="C15" i="9"/>
  <c r="C16" i="9"/>
  <c r="C17" i="9"/>
  <c r="AH18" i="7"/>
  <c r="AH17" i="7"/>
  <c r="AH16" i="7"/>
  <c r="AH15" i="7"/>
  <c r="AH14" i="7"/>
  <c r="AH13" i="7"/>
  <c r="AH12" i="7"/>
  <c r="AH11" i="7"/>
  <c r="AH10" i="7"/>
  <c r="AH9" i="7"/>
  <c r="AH8" i="7"/>
  <c r="AH7" i="7"/>
  <c r="AG6" i="7"/>
  <c r="AF6" i="7"/>
  <c r="U8" i="23" l="1"/>
  <c r="AM8" i="17"/>
  <c r="CB44" i="17"/>
  <c r="AN8" i="17"/>
  <c r="CC44" i="17"/>
  <c r="C46" i="22"/>
  <c r="C48" i="22"/>
  <c r="D48" i="22"/>
  <c r="D46" i="22"/>
  <c r="T5" i="10"/>
  <c r="AW9" i="8"/>
  <c r="AX14" i="8"/>
  <c r="BX21" i="8" s="1"/>
  <c r="AY14" i="8"/>
  <c r="BX22" i="8" s="1"/>
  <c r="AW5" i="8"/>
  <c r="AH6" i="7"/>
  <c r="AW14" i="8" l="1"/>
  <c r="N29" i="12"/>
  <c r="J29" i="12"/>
  <c r="F29" i="12"/>
  <c r="D29" i="12"/>
  <c r="C29" i="12"/>
  <c r="N28" i="12"/>
  <c r="J28" i="12"/>
  <c r="F28" i="12"/>
  <c r="E28" i="12"/>
  <c r="D28" i="12"/>
  <c r="C28" i="12"/>
  <c r="N27" i="12"/>
  <c r="J27" i="12"/>
  <c r="F27" i="12"/>
  <c r="E27" i="12"/>
  <c r="D27" i="12"/>
  <c r="C27" i="12"/>
  <c r="N26" i="12"/>
  <c r="J26" i="12"/>
  <c r="F26" i="12"/>
  <c r="E26" i="12"/>
  <c r="D26" i="12"/>
  <c r="C26" i="12"/>
  <c r="N25" i="12"/>
  <c r="J25" i="12"/>
  <c r="F25" i="12"/>
  <c r="E25" i="12"/>
  <c r="D25" i="12"/>
  <c r="C25" i="12"/>
  <c r="N24" i="12"/>
  <c r="J24" i="12"/>
  <c r="F24" i="12"/>
  <c r="E24" i="12"/>
  <c r="D24" i="12"/>
  <c r="C24" i="12"/>
  <c r="N23" i="12"/>
  <c r="J23" i="12"/>
  <c r="F23" i="12"/>
  <c r="E23" i="12"/>
  <c r="D23" i="12"/>
  <c r="C23" i="12"/>
  <c r="N22" i="12"/>
  <c r="J22" i="12"/>
  <c r="F22" i="12"/>
  <c r="E22" i="12"/>
  <c r="D22" i="12"/>
  <c r="C22" i="12"/>
  <c r="N21" i="12"/>
  <c r="J21" i="12"/>
  <c r="F21" i="12"/>
  <c r="E21" i="12"/>
  <c r="D21" i="12"/>
  <c r="C21" i="12"/>
  <c r="N20" i="12"/>
  <c r="J20" i="12"/>
  <c r="F20" i="12"/>
  <c r="E20" i="12"/>
  <c r="D20" i="12"/>
  <c r="C20" i="12"/>
  <c r="N19" i="12"/>
  <c r="J19" i="12"/>
  <c r="F19" i="12"/>
  <c r="E19" i="12"/>
  <c r="D19" i="12"/>
  <c r="C19" i="12"/>
  <c r="N18" i="12"/>
  <c r="J18" i="12"/>
  <c r="F18" i="12"/>
  <c r="E18" i="12"/>
  <c r="D18" i="12"/>
  <c r="C18" i="12"/>
  <c r="N17" i="12"/>
  <c r="J17" i="12"/>
  <c r="F17" i="12"/>
  <c r="E17" i="12"/>
  <c r="D17" i="12"/>
  <c r="C17" i="12"/>
  <c r="N16" i="12"/>
  <c r="J16" i="12"/>
  <c r="F16" i="12"/>
  <c r="E16" i="12"/>
  <c r="D16" i="12"/>
  <c r="C16" i="12"/>
  <c r="N15" i="12"/>
  <c r="J15" i="12"/>
  <c r="F15" i="12"/>
  <c r="E15" i="12"/>
  <c r="D15" i="12"/>
  <c r="C15" i="12"/>
  <c r="N14" i="12"/>
  <c r="J14" i="12"/>
  <c r="F14" i="12"/>
  <c r="E14" i="12"/>
  <c r="D14" i="12"/>
  <c r="C14" i="12"/>
  <c r="P13" i="12"/>
  <c r="O13" i="12"/>
  <c r="O8" i="12" s="1"/>
  <c r="M13" i="12"/>
  <c r="M8" i="12" s="1"/>
  <c r="L13" i="12"/>
  <c r="K13" i="12"/>
  <c r="K8" i="12" s="1"/>
  <c r="I13" i="12"/>
  <c r="I8" i="12" s="1"/>
  <c r="H13" i="12"/>
  <c r="G13" i="12"/>
  <c r="G8" i="12" s="1"/>
  <c r="N12" i="12"/>
  <c r="J12" i="12"/>
  <c r="F12" i="12"/>
  <c r="E12" i="12"/>
  <c r="D12" i="12"/>
  <c r="C12" i="12"/>
  <c r="N11" i="12"/>
  <c r="J11" i="12"/>
  <c r="F11" i="12"/>
  <c r="E11" i="12"/>
  <c r="D11" i="12"/>
  <c r="C11" i="12"/>
  <c r="N10" i="12"/>
  <c r="J10" i="12"/>
  <c r="F10" i="12"/>
  <c r="E10" i="12"/>
  <c r="D10" i="12"/>
  <c r="C10" i="12"/>
  <c r="N9" i="12"/>
  <c r="J9" i="12"/>
  <c r="F9" i="12"/>
  <c r="E9" i="12"/>
  <c r="D9" i="12"/>
  <c r="C9" i="12"/>
  <c r="S9" i="11"/>
  <c r="S8" i="11"/>
  <c r="S7" i="11"/>
  <c r="S6" i="11"/>
  <c r="S6" i="10"/>
  <c r="S7" i="10"/>
  <c r="S8" i="10"/>
  <c r="S9" i="10"/>
  <c r="S10" i="10"/>
  <c r="S11" i="10"/>
  <c r="S12" i="10"/>
  <c r="S34" i="10"/>
  <c r="S23" i="10"/>
  <c r="S14" i="10"/>
  <c r="S5" i="10" s="1"/>
  <c r="AU9" i="8"/>
  <c r="AV9" i="8"/>
  <c r="AT9" i="8"/>
  <c r="AS10" i="8"/>
  <c r="AS11" i="8"/>
  <c r="AS12" i="8"/>
  <c r="AS6" i="8"/>
  <c r="AS7" i="8"/>
  <c r="AV5" i="8"/>
  <c r="AU5" i="8"/>
  <c r="AT5" i="8"/>
  <c r="AS9" i="8" l="1"/>
  <c r="B22" i="12"/>
  <c r="B26" i="12"/>
  <c r="B25" i="12"/>
  <c r="AT14" i="8"/>
  <c r="BW21" i="8" s="1"/>
  <c r="B20" i="12"/>
  <c r="B28" i="12"/>
  <c r="B11" i="12"/>
  <c r="B24" i="12"/>
  <c r="B15" i="12"/>
  <c r="B19" i="12"/>
  <c r="E13" i="12"/>
  <c r="E8" i="12" s="1"/>
  <c r="C13" i="12"/>
  <c r="C8" i="12" s="1"/>
  <c r="B23" i="12"/>
  <c r="B27" i="12"/>
  <c r="B10" i="12"/>
  <c r="J13" i="12"/>
  <c r="J8" i="12" s="1"/>
  <c r="B14" i="12"/>
  <c r="B17" i="12"/>
  <c r="B9" i="12"/>
  <c r="N13" i="12"/>
  <c r="N8" i="12" s="1"/>
  <c r="B12" i="12"/>
  <c r="F13" i="12"/>
  <c r="F8" i="12" s="1"/>
  <c r="B16" i="12"/>
  <c r="B18" i="12"/>
  <c r="B21" i="12"/>
  <c r="B29" i="12"/>
  <c r="D13" i="12"/>
  <c r="D8" i="12" s="1"/>
  <c r="H8" i="12"/>
  <c r="L8" i="12"/>
  <c r="P8" i="12"/>
  <c r="AU14" i="8"/>
  <c r="BW22" i="8" s="1"/>
  <c r="AS5" i="8"/>
  <c r="AS14" i="8" s="1"/>
  <c r="B13" i="12" l="1"/>
  <c r="B8" i="12" s="1"/>
  <c r="H30" i="9" l="1"/>
  <c r="H10" i="9"/>
  <c r="H11" i="9"/>
  <c r="H12" i="9"/>
  <c r="H13" i="9"/>
  <c r="H14" i="9"/>
  <c r="H15" i="9"/>
  <c r="H16" i="9"/>
  <c r="H17" i="9"/>
  <c r="H18" i="9"/>
  <c r="H19" i="9"/>
  <c r="H20" i="9"/>
  <c r="H21" i="9"/>
  <c r="H22" i="9"/>
  <c r="H23" i="9"/>
  <c r="H24" i="9"/>
  <c r="H25" i="9"/>
  <c r="H26" i="9"/>
  <c r="H27" i="9"/>
  <c r="H28" i="9"/>
  <c r="H29" i="9"/>
  <c r="H8" i="9"/>
  <c r="K9" i="9"/>
  <c r="K7" i="9" s="1"/>
  <c r="J9" i="9"/>
  <c r="J7" i="9" s="1"/>
  <c r="I9" i="9"/>
  <c r="I7" i="9" s="1"/>
  <c r="CM35" i="7"/>
  <c r="CM36" i="7"/>
  <c r="CM37" i="7"/>
  <c r="CM38" i="7"/>
  <c r="CM39" i="7"/>
  <c r="CM40" i="7"/>
  <c r="CM41" i="7"/>
  <c r="CM42" i="7"/>
  <c r="CM43" i="7"/>
  <c r="CM44" i="7"/>
  <c r="CM45" i="7"/>
  <c r="CM34" i="7"/>
  <c r="CC35" i="7"/>
  <c r="CC36" i="7"/>
  <c r="CC37" i="7"/>
  <c r="CC38" i="7"/>
  <c r="CC39" i="7"/>
  <c r="CC40" i="7"/>
  <c r="CC41" i="7"/>
  <c r="CC42" i="7"/>
  <c r="CC43" i="7"/>
  <c r="CC44" i="7"/>
  <c r="CC45" i="7"/>
  <c r="CC34" i="7"/>
  <c r="H7" i="9" l="1"/>
  <c r="H9" i="9"/>
  <c r="AE18" i="7"/>
  <c r="AE17" i="7"/>
  <c r="AE16" i="7"/>
  <c r="AE15" i="7"/>
  <c r="AE14" i="7"/>
  <c r="AE13" i="7"/>
  <c r="AE12" i="7"/>
  <c r="AE11" i="7"/>
  <c r="AE10" i="7"/>
  <c r="AE9" i="7"/>
  <c r="AE8" i="7"/>
  <c r="AE7" i="7"/>
  <c r="AD6" i="7"/>
  <c r="AC6" i="7"/>
  <c r="AE6" i="7" l="1"/>
  <c r="E226" i="26"/>
  <c r="D226" i="26"/>
  <c r="C226" i="26"/>
  <c r="B226" i="26"/>
  <c r="E223" i="26"/>
  <c r="D223" i="26"/>
  <c r="E212" i="26"/>
  <c r="D212" i="26"/>
  <c r="C212" i="26"/>
  <c r="B212" i="26"/>
  <c r="E201" i="26"/>
  <c r="D201" i="26"/>
  <c r="C201" i="26"/>
  <c r="B201" i="26"/>
  <c r="E188" i="26"/>
  <c r="D188" i="26"/>
  <c r="C188" i="26"/>
  <c r="B188" i="26"/>
  <c r="E173" i="26"/>
  <c r="D173" i="26"/>
  <c r="C173" i="26"/>
  <c r="B173" i="26"/>
  <c r="E165" i="26"/>
  <c r="D165" i="26"/>
  <c r="C165" i="26"/>
  <c r="B165" i="26"/>
  <c r="E158" i="26"/>
  <c r="D158" i="26"/>
  <c r="C158" i="26"/>
  <c r="B158" i="26"/>
  <c r="E148" i="26"/>
  <c r="D148" i="26"/>
  <c r="C148" i="26"/>
  <c r="B148" i="26"/>
  <c r="E141" i="26"/>
  <c r="D141" i="26"/>
  <c r="C141" i="26"/>
  <c r="B141" i="26"/>
  <c r="E129" i="26"/>
  <c r="D129" i="26"/>
  <c r="C129" i="26"/>
  <c r="B129" i="26"/>
  <c r="E119" i="26"/>
  <c r="D119" i="26"/>
  <c r="C119" i="26"/>
  <c r="B119" i="26"/>
  <c r="E108" i="26"/>
  <c r="D108" i="26"/>
  <c r="C108" i="26"/>
  <c r="B108" i="26"/>
  <c r="E102" i="26"/>
  <c r="D102" i="26"/>
  <c r="C102" i="26"/>
  <c r="B102" i="26"/>
  <c r="E87" i="26"/>
  <c r="D87" i="26"/>
  <c r="C87" i="26"/>
  <c r="B87" i="26"/>
  <c r="E70" i="26"/>
  <c r="D70" i="26"/>
  <c r="C70" i="26"/>
  <c r="B70" i="26"/>
  <c r="E55" i="26"/>
  <c r="D55" i="26"/>
  <c r="C55" i="26"/>
  <c r="B55" i="26"/>
  <c r="E39" i="26"/>
  <c r="D39" i="26"/>
  <c r="C39" i="26"/>
  <c r="B39" i="26"/>
  <c r="E24" i="26"/>
  <c r="C24" i="26"/>
  <c r="B24" i="26"/>
  <c r="E8" i="26"/>
  <c r="D8" i="26"/>
  <c r="C8" i="26"/>
  <c r="B8" i="26"/>
  <c r="R11" i="23"/>
  <c r="R10" i="23"/>
  <c r="R9" i="23"/>
  <c r="T8" i="23"/>
  <c r="S8" i="23"/>
  <c r="R8" i="23" s="1"/>
  <c r="D30" i="22"/>
  <c r="C30" i="22"/>
  <c r="D29" i="22"/>
  <c r="C29" i="22"/>
  <c r="D28" i="22"/>
  <c r="C28" i="22"/>
  <c r="D27" i="22"/>
  <c r="C27" i="22"/>
  <c r="D26" i="22"/>
  <c r="C26" i="22"/>
  <c r="D25" i="22"/>
  <c r="C25" i="22"/>
  <c r="D24" i="22"/>
  <c r="C24" i="22"/>
  <c r="D23" i="22"/>
  <c r="C23" i="22"/>
  <c r="D22" i="22"/>
  <c r="C22" i="22"/>
  <c r="D21" i="22"/>
  <c r="C21" i="22"/>
  <c r="D20" i="22"/>
  <c r="C20" i="22"/>
  <c r="D19" i="22"/>
  <c r="C19" i="22"/>
  <c r="D18" i="22"/>
  <c r="C18" i="22"/>
  <c r="D17" i="22"/>
  <c r="C17" i="22"/>
  <c r="D16" i="22"/>
  <c r="C16" i="22"/>
  <c r="D15" i="22"/>
  <c r="C15" i="22"/>
  <c r="D14" i="22"/>
  <c r="C14" i="22"/>
  <c r="D13" i="22"/>
  <c r="C13" i="22"/>
  <c r="D12" i="22"/>
  <c r="C12" i="22"/>
  <c r="D11" i="22"/>
  <c r="C11" i="22"/>
  <c r="D10" i="22"/>
  <c r="C10" i="22"/>
  <c r="L9" i="22"/>
  <c r="L7" i="22" s="1"/>
  <c r="K9" i="22"/>
  <c r="K7" i="22" s="1"/>
  <c r="J9" i="22"/>
  <c r="J7" i="22" s="1"/>
  <c r="I9" i="22"/>
  <c r="I7" i="22" s="1"/>
  <c r="H9" i="22"/>
  <c r="H7" i="22" s="1"/>
  <c r="G9" i="22"/>
  <c r="G7" i="22" s="1"/>
  <c r="F9" i="22"/>
  <c r="F7" i="22" s="1"/>
  <c r="E9" i="22"/>
  <c r="E7" i="22" s="1"/>
  <c r="D8" i="22"/>
  <c r="C8" i="22"/>
  <c r="AP24" i="21"/>
  <c r="AQ24" i="21"/>
  <c r="AP25" i="21"/>
  <c r="AQ25" i="21"/>
  <c r="AP26" i="21"/>
  <c r="AQ26" i="21"/>
  <c r="AP27" i="21"/>
  <c r="AQ27" i="21"/>
  <c r="S7" i="21"/>
  <c r="R7" i="21"/>
  <c r="B5" i="26" l="1"/>
  <c r="E5" i="26"/>
  <c r="C5" i="26"/>
  <c r="D5" i="26"/>
  <c r="D9" i="22"/>
  <c r="C9" i="22"/>
  <c r="C7" i="22"/>
  <c r="D7" i="22"/>
  <c r="BZ43" i="17"/>
  <c r="CA43" i="17"/>
  <c r="CA42" i="17"/>
  <c r="BZ42" i="17"/>
  <c r="AQ9" i="17"/>
  <c r="AR9" i="17"/>
  <c r="AQ10" i="17"/>
  <c r="AR10" i="17"/>
  <c r="AQ12" i="17"/>
  <c r="AR12" i="17"/>
  <c r="AQ13" i="17"/>
  <c r="AR13" i="17"/>
  <c r="AQ14" i="17"/>
  <c r="AR14" i="17"/>
  <c r="AQ15" i="17"/>
  <c r="AR15" i="17"/>
  <c r="AQ16" i="17"/>
  <c r="AR16" i="17"/>
  <c r="AQ17" i="17"/>
  <c r="AR17" i="17"/>
  <c r="AQ18" i="17"/>
  <c r="AR18" i="17"/>
  <c r="AQ19" i="17"/>
  <c r="AR19" i="17"/>
  <c r="AQ20" i="17"/>
  <c r="AR20" i="17"/>
  <c r="AQ21" i="17"/>
  <c r="AR21" i="17"/>
  <c r="AQ22" i="17"/>
  <c r="AR22" i="17"/>
  <c r="AQ23" i="17"/>
  <c r="AR23" i="17"/>
  <c r="AQ24" i="17"/>
  <c r="AR24" i="17"/>
  <c r="AQ25" i="17"/>
  <c r="AR25" i="17"/>
  <c r="AQ26" i="17"/>
  <c r="AR26" i="17"/>
  <c r="AQ27" i="17"/>
  <c r="AR27" i="17"/>
  <c r="AQ28" i="17"/>
  <c r="AR28" i="17"/>
  <c r="AQ29" i="17"/>
  <c r="AR29" i="17"/>
  <c r="AQ30" i="17"/>
  <c r="AR30" i="17"/>
  <c r="AQ31" i="17"/>
  <c r="AR31" i="17"/>
  <c r="AL11" i="17"/>
  <c r="AL8" i="17" s="1"/>
  <c r="AK11" i="17"/>
  <c r="AK8" i="17" s="1"/>
  <c r="AJ11" i="17"/>
  <c r="AJ8" i="17" s="1"/>
  <c r="AI11" i="17"/>
  <c r="AI8" i="17" s="1"/>
  <c r="BZ44" i="17" l="1"/>
  <c r="CA44" i="17"/>
  <c r="AQ23" i="13"/>
  <c r="AH264" i="25"/>
  <c r="AG264" i="25"/>
  <c r="AH261" i="25"/>
  <c r="AG261" i="25"/>
  <c r="AH248" i="25"/>
  <c r="AG248" i="25"/>
  <c r="AH236" i="25"/>
  <c r="AG236" i="25"/>
  <c r="AH221" i="25"/>
  <c r="AG221" i="25"/>
  <c r="AH206" i="25"/>
  <c r="AG206" i="25"/>
  <c r="AH196" i="25"/>
  <c r="AG196" i="25"/>
  <c r="AH189" i="25"/>
  <c r="AG189" i="25"/>
  <c r="AH178" i="25"/>
  <c r="AG178" i="25"/>
  <c r="AH171" i="25"/>
  <c r="AG171" i="25"/>
  <c r="AH159" i="25"/>
  <c r="AG159" i="25"/>
  <c r="AH149" i="25"/>
  <c r="AG149" i="25"/>
  <c r="AH138" i="25"/>
  <c r="AG138" i="25"/>
  <c r="AH131" i="25"/>
  <c r="AG131" i="25"/>
  <c r="AH116" i="25"/>
  <c r="AG116" i="25"/>
  <c r="AI23" i="15" l="1"/>
  <c r="CL34" i="7"/>
  <c r="CK34" i="7"/>
  <c r="CB34" i="7"/>
  <c r="CA34" i="7"/>
  <c r="Q12" i="10" l="1"/>
  <c r="AN5" i="8"/>
  <c r="AM5" i="8"/>
  <c r="AL5" i="8"/>
  <c r="AN9" i="8"/>
  <c r="AM9" i="8"/>
  <c r="AL9" i="8"/>
  <c r="AK12" i="8"/>
  <c r="AK8" i="8"/>
  <c r="CA35" i="7"/>
  <c r="CB35" i="7"/>
  <c r="CA36" i="7"/>
  <c r="CB36" i="7"/>
  <c r="CA37" i="7"/>
  <c r="CB37" i="7"/>
  <c r="CA38" i="7"/>
  <c r="CB38" i="7"/>
  <c r="CA39" i="7"/>
  <c r="CB39" i="7"/>
  <c r="CA40" i="7"/>
  <c r="CB40" i="7"/>
  <c r="CA41" i="7"/>
  <c r="CB41" i="7"/>
  <c r="CA42" i="7"/>
  <c r="CB42" i="7"/>
  <c r="CA43" i="7"/>
  <c r="CB43" i="7"/>
  <c r="CA44" i="7"/>
  <c r="CB44" i="7"/>
  <c r="CA45" i="7"/>
  <c r="CB45" i="7"/>
  <c r="CL35" i="7"/>
  <c r="CL36" i="7"/>
  <c r="CL37" i="7"/>
  <c r="CL38" i="7"/>
  <c r="CL39" i="7"/>
  <c r="CL40" i="7"/>
  <c r="CL41" i="7"/>
  <c r="CL42" i="7"/>
  <c r="CL43" i="7"/>
  <c r="CL44" i="7"/>
  <c r="CL45" i="7"/>
  <c r="CK35" i="7"/>
  <c r="CK36" i="7"/>
  <c r="CK37" i="7"/>
  <c r="CK38" i="7"/>
  <c r="CK39" i="7"/>
  <c r="CK40" i="7"/>
  <c r="CK41" i="7"/>
  <c r="CK42" i="7"/>
  <c r="CK43" i="7"/>
  <c r="CK44" i="7"/>
  <c r="CK45" i="7"/>
  <c r="Y18" i="7"/>
  <c r="Y17" i="7"/>
  <c r="Y16" i="7"/>
  <c r="Y15" i="7"/>
  <c r="Y14" i="7"/>
  <c r="Y13" i="7"/>
  <c r="Y12" i="7"/>
  <c r="Y11" i="7"/>
  <c r="Y10" i="7"/>
  <c r="Y9" i="7"/>
  <c r="Y8" i="7"/>
  <c r="Y7" i="7"/>
  <c r="AL14" i="8" l="1"/>
  <c r="AM14" i="8"/>
  <c r="AK9" i="8"/>
  <c r="AO8" i="8" l="1"/>
  <c r="AQ16" i="8"/>
  <c r="AP16" i="8"/>
  <c r="AQ15" i="8"/>
  <c r="AP15" i="8"/>
  <c r="AO11" i="8"/>
  <c r="AO10" i="8"/>
  <c r="AR9" i="8"/>
  <c r="AQ9" i="8"/>
  <c r="AP9" i="8"/>
  <c r="AO9" i="8"/>
  <c r="AO7" i="8"/>
  <c r="AO6" i="8"/>
  <c r="AR5" i="8"/>
  <c r="AQ5" i="8"/>
  <c r="AP5" i="8"/>
  <c r="C30" i="9"/>
  <c r="C29" i="9"/>
  <c r="C28" i="9"/>
  <c r="C27" i="9"/>
  <c r="C26" i="9"/>
  <c r="C25" i="9"/>
  <c r="C24" i="9"/>
  <c r="C23" i="9"/>
  <c r="C22" i="9"/>
  <c r="C21" i="9"/>
  <c r="C20" i="9"/>
  <c r="C19" i="9"/>
  <c r="C18" i="9"/>
  <c r="C13" i="9"/>
  <c r="C12" i="9"/>
  <c r="C11" i="9"/>
  <c r="C10" i="9"/>
  <c r="E9" i="9"/>
  <c r="E7" i="9" s="1"/>
  <c r="D9" i="9"/>
  <c r="D7" i="9" s="1"/>
  <c r="C8" i="9"/>
  <c r="AB18" i="7"/>
  <c r="AB17" i="7"/>
  <c r="AB16" i="7"/>
  <c r="AB15" i="7"/>
  <c r="AB14" i="7"/>
  <c r="AB13" i="7"/>
  <c r="AB12" i="7"/>
  <c r="AB11" i="7"/>
  <c r="AB10" i="7"/>
  <c r="AB9" i="7"/>
  <c r="AB8" i="7"/>
  <c r="AB7" i="7"/>
  <c r="AO15" i="8" l="1"/>
  <c r="C9" i="9"/>
  <c r="AO16" i="8"/>
  <c r="AO5" i="8"/>
  <c r="AO14" i="8" s="1"/>
  <c r="AP14" i="8"/>
  <c r="BV21" i="8" s="1"/>
  <c r="AQ14" i="8"/>
  <c r="BV22" i="8" s="1"/>
  <c r="C7" i="9"/>
  <c r="AF157" i="25"/>
  <c r="BY43" i="17" l="1"/>
  <c r="BY42" i="17"/>
  <c r="AF11" i="17"/>
  <c r="AG11" i="17"/>
  <c r="BY44" i="17" l="1"/>
  <c r="AR11" i="17"/>
  <c r="AN24" i="21"/>
  <c r="AO24" i="21"/>
  <c r="AN25" i="21"/>
  <c r="AO25" i="21"/>
  <c r="AN26" i="21"/>
  <c r="AO26" i="21"/>
  <c r="AN27" i="21"/>
  <c r="AO27" i="21"/>
  <c r="D8" i="19"/>
  <c r="D11" i="19"/>
  <c r="D10" i="19"/>
  <c r="D9" i="19"/>
  <c r="BX43" i="17"/>
  <c r="BX42" i="17"/>
  <c r="Q4" i="19" l="1"/>
  <c r="Q5" i="19"/>
  <c r="S28" i="19"/>
  <c r="R28" i="19"/>
  <c r="AG3" i="21"/>
  <c r="AI11" i="21" s="1"/>
  <c r="Q6" i="10"/>
  <c r="Q7" i="10"/>
  <c r="Q8" i="10"/>
  <c r="Q9" i="10"/>
  <c r="Q10" i="10"/>
  <c r="Q11" i="10"/>
  <c r="Q14" i="10"/>
  <c r="AK11" i="8"/>
  <c r="CJ43" i="7"/>
  <c r="CI43" i="7"/>
  <c r="CH43" i="7"/>
  <c r="B6" i="13" l="1"/>
  <c r="K20" i="25"/>
  <c r="K19" i="25"/>
  <c r="K18" i="25"/>
  <c r="K17" i="25"/>
  <c r="K16" i="25"/>
  <c r="K15" i="25"/>
  <c r="AD14" i="25" l="1"/>
  <c r="N30" i="25"/>
  <c r="N31" i="25"/>
  <c r="N34" i="25"/>
  <c r="N35" i="25"/>
  <c r="N36" i="25"/>
  <c r="N37" i="25"/>
  <c r="N38" i="25"/>
  <c r="N39" i="25"/>
  <c r="N40" i="25"/>
  <c r="N41" i="25"/>
  <c r="N42" i="25"/>
  <c r="N43" i="25"/>
  <c r="N44" i="25"/>
  <c r="N45" i="25"/>
  <c r="N49" i="25"/>
  <c r="N50" i="25"/>
  <c r="N51" i="25"/>
  <c r="N52" i="25"/>
  <c r="N53" i="25"/>
  <c r="N54" i="25"/>
  <c r="N55" i="25"/>
  <c r="N56" i="25"/>
  <c r="N58" i="25"/>
  <c r="N59" i="25"/>
  <c r="N60" i="25"/>
  <c r="N61" i="25"/>
  <c r="N63" i="25"/>
  <c r="N66" i="25"/>
  <c r="N67" i="25"/>
  <c r="N68" i="25"/>
  <c r="N69" i="25"/>
  <c r="N70" i="25"/>
  <c r="N71" i="25"/>
  <c r="N72" i="25"/>
  <c r="N73" i="25"/>
  <c r="N75" i="25"/>
  <c r="N76" i="25"/>
  <c r="N78" i="25"/>
  <c r="N79" i="25"/>
  <c r="N80" i="25"/>
  <c r="N81" i="25"/>
  <c r="N84" i="25"/>
  <c r="N85" i="25"/>
  <c r="N86" i="25"/>
  <c r="N87" i="25"/>
  <c r="N88" i="25"/>
  <c r="N89" i="25"/>
  <c r="N90" i="25"/>
  <c r="N91" i="25"/>
  <c r="N92" i="25"/>
  <c r="N93" i="25"/>
  <c r="N94" i="25"/>
  <c r="N95" i="25"/>
  <c r="N96" i="25"/>
  <c r="N99" i="25"/>
  <c r="N100" i="25"/>
  <c r="N101" i="25"/>
  <c r="N102" i="25"/>
  <c r="N103" i="25"/>
  <c r="N105" i="25"/>
  <c r="N106" i="25"/>
  <c r="N107" i="25"/>
  <c r="N108" i="25"/>
  <c r="N109" i="25"/>
  <c r="N110" i="25"/>
  <c r="N111" i="25"/>
  <c r="N112" i="25"/>
  <c r="N113" i="25"/>
  <c r="N114" i="25"/>
  <c r="N117" i="25"/>
  <c r="N118" i="25"/>
  <c r="N119" i="25"/>
  <c r="N120" i="25"/>
  <c r="N121" i="25"/>
  <c r="N122" i="25"/>
  <c r="N123" i="25"/>
  <c r="N124" i="25"/>
  <c r="N125" i="25"/>
  <c r="N126" i="25"/>
  <c r="N127" i="25"/>
  <c r="N128" i="25"/>
  <c r="N129" i="25"/>
  <c r="N132" i="25"/>
  <c r="N133" i="25"/>
  <c r="N134" i="25"/>
  <c r="N135" i="25"/>
  <c r="N136" i="25"/>
  <c r="N139" i="25"/>
  <c r="N140" i="25"/>
  <c r="N141" i="25"/>
  <c r="N142" i="25"/>
  <c r="N143" i="25"/>
  <c r="N144" i="25"/>
  <c r="N145" i="25"/>
  <c r="N146" i="25"/>
  <c r="N147" i="25"/>
  <c r="N150" i="25"/>
  <c r="N151" i="25"/>
  <c r="N152" i="25"/>
  <c r="N153" i="25"/>
  <c r="N154" i="25"/>
  <c r="N155" i="25"/>
  <c r="N156" i="25"/>
  <c r="N157" i="25"/>
  <c r="N160" i="25"/>
  <c r="N161" i="25"/>
  <c r="N162" i="25"/>
  <c r="N163" i="25"/>
  <c r="N164" i="25"/>
  <c r="N165" i="25"/>
  <c r="N166" i="25"/>
  <c r="N167" i="25"/>
  <c r="N168" i="25"/>
  <c r="N169" i="25"/>
  <c r="N172" i="25"/>
  <c r="N173" i="25"/>
  <c r="N174" i="25"/>
  <c r="N175" i="25"/>
  <c r="N176" i="25"/>
  <c r="N179" i="25"/>
  <c r="N180" i="25"/>
  <c r="N181" i="25"/>
  <c r="N182" i="25"/>
  <c r="N183" i="25"/>
  <c r="N184" i="25"/>
  <c r="N185" i="25"/>
  <c r="N186" i="25"/>
  <c r="N187" i="25"/>
  <c r="N190" i="25"/>
  <c r="N191" i="25"/>
  <c r="N192" i="25"/>
  <c r="N193" i="25"/>
  <c r="N194" i="25"/>
  <c r="N197" i="25"/>
  <c r="N198" i="25"/>
  <c r="N199" i="25"/>
  <c r="N200" i="25"/>
  <c r="N203" i="25"/>
  <c r="N204" i="25"/>
  <c r="N207" i="25"/>
  <c r="N208" i="25"/>
  <c r="N209" i="25"/>
  <c r="N210" i="25"/>
  <c r="N211" i="25"/>
  <c r="N212" i="25"/>
  <c r="N213" i="25"/>
  <c r="N214" i="25"/>
  <c r="N215" i="25"/>
  <c r="N216" i="25"/>
  <c r="N217" i="25"/>
  <c r="N218" i="25"/>
  <c r="N219" i="25"/>
  <c r="N222" i="25"/>
  <c r="N223" i="25"/>
  <c r="N224" i="25"/>
  <c r="N225" i="25"/>
  <c r="N226" i="25"/>
  <c r="N227" i="25"/>
  <c r="N228" i="25"/>
  <c r="N229" i="25"/>
  <c r="N230" i="25"/>
  <c r="N231" i="25"/>
  <c r="N232" i="25"/>
  <c r="N233" i="25"/>
  <c r="N234" i="25"/>
  <c r="N237" i="25"/>
  <c r="N238" i="25"/>
  <c r="N239" i="25"/>
  <c r="N240" i="25"/>
  <c r="N241" i="25"/>
  <c r="N242" i="25"/>
  <c r="N243" i="25"/>
  <c r="N245" i="25"/>
  <c r="N246" i="25"/>
  <c r="N249" i="25"/>
  <c r="N250" i="25"/>
  <c r="N251" i="25"/>
  <c r="N252" i="25"/>
  <c r="N253" i="25"/>
  <c r="N254" i="25"/>
  <c r="N255" i="25"/>
  <c r="N256" i="25"/>
  <c r="N257" i="25"/>
  <c r="N258" i="25"/>
  <c r="N259" i="25"/>
  <c r="N262" i="25"/>
  <c r="N265" i="25"/>
  <c r="N266" i="25"/>
  <c r="N267" i="25"/>
  <c r="N268" i="25"/>
  <c r="N269" i="25"/>
  <c r="N270" i="25"/>
  <c r="N15" i="25"/>
  <c r="N16" i="25"/>
  <c r="N17" i="25"/>
  <c r="N18" i="25"/>
  <c r="N19" i="25"/>
  <c r="N20" i="25"/>
  <c r="V16" i="25"/>
  <c r="V17" i="25"/>
  <c r="V18" i="25"/>
  <c r="V19" i="25"/>
  <c r="V20" i="25"/>
  <c r="V15" i="25"/>
  <c r="V22" i="25"/>
  <c r="S22" i="25"/>
  <c r="AA223" i="25"/>
  <c r="AC223" i="25" s="1"/>
  <c r="AA224" i="25"/>
  <c r="AC224" i="25" s="1"/>
  <c r="AA225" i="25"/>
  <c r="AC225" i="25" s="1"/>
  <c r="AA226" i="25"/>
  <c r="AA227" i="25"/>
  <c r="AC227" i="25" s="1"/>
  <c r="AA228" i="25"/>
  <c r="AC228" i="25" s="1"/>
  <c r="AA229" i="25"/>
  <c r="AC229" i="25" s="1"/>
  <c r="AA230" i="25"/>
  <c r="AC230" i="25" s="1"/>
  <c r="AA231" i="25"/>
  <c r="AC231" i="25" s="1"/>
  <c r="AA232" i="25"/>
  <c r="AC232" i="25" s="1"/>
  <c r="AA233" i="25"/>
  <c r="AC233" i="25" s="1"/>
  <c r="AA234" i="25"/>
  <c r="AC234" i="25" s="1"/>
  <c r="AA222" i="25"/>
  <c r="AC222" i="25" s="1"/>
  <c r="AA270" i="25"/>
  <c r="AC270" i="25" s="1"/>
  <c r="AA269" i="25"/>
  <c r="AC269" i="25" s="1"/>
  <c r="AA268" i="25"/>
  <c r="AC268" i="25" s="1"/>
  <c r="AA267" i="25"/>
  <c r="AC267" i="25" s="1"/>
  <c r="AA266" i="25"/>
  <c r="AC266" i="25" s="1"/>
  <c r="AA265" i="25"/>
  <c r="AC265" i="25" s="1"/>
  <c r="AA262" i="25"/>
  <c r="AC262" i="25" s="1"/>
  <c r="AA259" i="25"/>
  <c r="AC259" i="25" s="1"/>
  <c r="AA258" i="25"/>
  <c r="AC258" i="25" s="1"/>
  <c r="AA257" i="25"/>
  <c r="AA256" i="25"/>
  <c r="AC256" i="25" s="1"/>
  <c r="AA255" i="25"/>
  <c r="AC255" i="25" s="1"/>
  <c r="AA254" i="25"/>
  <c r="AC254" i="25" s="1"/>
  <c r="AA253" i="25"/>
  <c r="AC253" i="25" s="1"/>
  <c r="AA252" i="25"/>
  <c r="AC252" i="25" s="1"/>
  <c r="AA251" i="25"/>
  <c r="AC251" i="25" s="1"/>
  <c r="AA250" i="25"/>
  <c r="AC250" i="25" s="1"/>
  <c r="AA249" i="25"/>
  <c r="AC249" i="25" s="1"/>
  <c r="AA246" i="25"/>
  <c r="AC246" i="25" s="1"/>
  <c r="AA245" i="25"/>
  <c r="AC245" i="25" s="1"/>
  <c r="AA243" i="25"/>
  <c r="AC243" i="25" s="1"/>
  <c r="AA242" i="25"/>
  <c r="AC242" i="25" s="1"/>
  <c r="AA241" i="25"/>
  <c r="AC241" i="25" s="1"/>
  <c r="AA240" i="25"/>
  <c r="AC240" i="25" s="1"/>
  <c r="AA239" i="25"/>
  <c r="AC239" i="25" s="1"/>
  <c r="AA238" i="25"/>
  <c r="AC238" i="25" s="1"/>
  <c r="AA237" i="25"/>
  <c r="AC237" i="25" s="1"/>
  <c r="AA219" i="25"/>
  <c r="AC219" i="25" s="1"/>
  <c r="AA218" i="25"/>
  <c r="AC218" i="25" s="1"/>
  <c r="AA217" i="25"/>
  <c r="AC217" i="25" s="1"/>
  <c r="AA216" i="25"/>
  <c r="AC216" i="25" s="1"/>
  <c r="AA215" i="25"/>
  <c r="AC215" i="25" s="1"/>
  <c r="AA214" i="25"/>
  <c r="AC214" i="25" s="1"/>
  <c r="AA213" i="25"/>
  <c r="AC213" i="25" s="1"/>
  <c r="AA212" i="25"/>
  <c r="AC212" i="25" s="1"/>
  <c r="AA211" i="25"/>
  <c r="AC211" i="25" s="1"/>
  <c r="AA210" i="25"/>
  <c r="AC210" i="25" s="1"/>
  <c r="AA209" i="25"/>
  <c r="AC209" i="25" s="1"/>
  <c r="AA208" i="25"/>
  <c r="AC208" i="25" s="1"/>
  <c r="AA207" i="25"/>
  <c r="AC207" i="25" s="1"/>
  <c r="AA204" i="25"/>
  <c r="AC204" i="25" s="1"/>
  <c r="AA203" i="25"/>
  <c r="AC203" i="25" s="1"/>
  <c r="AA200" i="25"/>
  <c r="AC200" i="25" s="1"/>
  <c r="AA199" i="25"/>
  <c r="AC199" i="25" s="1"/>
  <c r="AA198" i="25"/>
  <c r="AC198" i="25" s="1"/>
  <c r="AA197" i="25"/>
  <c r="AC197" i="25" s="1"/>
  <c r="AA194" i="25"/>
  <c r="AC194" i="25" s="1"/>
  <c r="AA193" i="25"/>
  <c r="AC193" i="25" s="1"/>
  <c r="AA192" i="25"/>
  <c r="AC192" i="25" s="1"/>
  <c r="AA191" i="25"/>
  <c r="AC191" i="25" s="1"/>
  <c r="AA190" i="25"/>
  <c r="AC190" i="25" s="1"/>
  <c r="AA187" i="25"/>
  <c r="AC187" i="25" s="1"/>
  <c r="AA186" i="25"/>
  <c r="AC186" i="25" s="1"/>
  <c r="AA185" i="25"/>
  <c r="AC185" i="25" s="1"/>
  <c r="AA184" i="25"/>
  <c r="AC184" i="25" s="1"/>
  <c r="AA183" i="25"/>
  <c r="AC183" i="25" s="1"/>
  <c r="AA182" i="25"/>
  <c r="AC182" i="25" s="1"/>
  <c r="AA181" i="25"/>
  <c r="AC181" i="25" s="1"/>
  <c r="AA180" i="25"/>
  <c r="AA179" i="25"/>
  <c r="AC179" i="25" s="1"/>
  <c r="AA176" i="25"/>
  <c r="AC176" i="25" s="1"/>
  <c r="AA175" i="25"/>
  <c r="AC175" i="25" s="1"/>
  <c r="AA174" i="25"/>
  <c r="AC174" i="25" s="1"/>
  <c r="AA173" i="25"/>
  <c r="AC173" i="25" s="1"/>
  <c r="AA172" i="25"/>
  <c r="AC172" i="25" s="1"/>
  <c r="AA169" i="25"/>
  <c r="AC169" i="25" s="1"/>
  <c r="AA168" i="25"/>
  <c r="AC168" i="25" s="1"/>
  <c r="AA167" i="25"/>
  <c r="AC167" i="25" s="1"/>
  <c r="AA166" i="25"/>
  <c r="AC166" i="25" s="1"/>
  <c r="AA165" i="25"/>
  <c r="AC165" i="25" s="1"/>
  <c r="AA164" i="25"/>
  <c r="AC164" i="25" s="1"/>
  <c r="AA163" i="25"/>
  <c r="AC163" i="25" s="1"/>
  <c r="AA162" i="25"/>
  <c r="AC162" i="25" s="1"/>
  <c r="AA161" i="25"/>
  <c r="AC161" i="25" s="1"/>
  <c r="AA160" i="25"/>
  <c r="AC160" i="25" s="1"/>
  <c r="AA157" i="25"/>
  <c r="AC157" i="25" s="1"/>
  <c r="AA156" i="25"/>
  <c r="AC156" i="25" s="1"/>
  <c r="AA155" i="25"/>
  <c r="AC155" i="25" s="1"/>
  <c r="AA154" i="25"/>
  <c r="AC154" i="25" s="1"/>
  <c r="AA153" i="25"/>
  <c r="AC153" i="25" s="1"/>
  <c r="AA152" i="25"/>
  <c r="AC152" i="25" s="1"/>
  <c r="AA151" i="25"/>
  <c r="AC151" i="25" s="1"/>
  <c r="AA150" i="25"/>
  <c r="AC150" i="25" s="1"/>
  <c r="AA147" i="25"/>
  <c r="AC147" i="25" s="1"/>
  <c r="AA146" i="25"/>
  <c r="AC146" i="25" s="1"/>
  <c r="AA145" i="25"/>
  <c r="AC145" i="25" s="1"/>
  <c r="AA144" i="25"/>
  <c r="AC144" i="25" s="1"/>
  <c r="AA143" i="25"/>
  <c r="AC143" i="25" s="1"/>
  <c r="AA142" i="25"/>
  <c r="AC142" i="25" s="1"/>
  <c r="AA141" i="25"/>
  <c r="AC141" i="25" s="1"/>
  <c r="AA140" i="25"/>
  <c r="AC140" i="25" s="1"/>
  <c r="AA139" i="25"/>
  <c r="AC139" i="25" s="1"/>
  <c r="AA135" i="25"/>
  <c r="AC135" i="25" s="1"/>
  <c r="AA134" i="25"/>
  <c r="AC134" i="25" s="1"/>
  <c r="AA133" i="25"/>
  <c r="AC133" i="25" s="1"/>
  <c r="AA132" i="25"/>
  <c r="AC132" i="25" s="1"/>
  <c r="AA129" i="25"/>
  <c r="AC129" i="25" s="1"/>
  <c r="AA128" i="25"/>
  <c r="AC128" i="25" s="1"/>
  <c r="AA127" i="25"/>
  <c r="AC127" i="25" s="1"/>
  <c r="AA126" i="25"/>
  <c r="AC126" i="25" s="1"/>
  <c r="AA125" i="25"/>
  <c r="AC125" i="25" s="1"/>
  <c r="AA124" i="25"/>
  <c r="AC124" i="25" s="1"/>
  <c r="AA123" i="25"/>
  <c r="AC123" i="25" s="1"/>
  <c r="AA122" i="25"/>
  <c r="AC122" i="25" s="1"/>
  <c r="AA121" i="25"/>
  <c r="AC121" i="25" s="1"/>
  <c r="AA120" i="25"/>
  <c r="AC120" i="25" s="1"/>
  <c r="AA119" i="25"/>
  <c r="AC119" i="25" s="1"/>
  <c r="AA118" i="25"/>
  <c r="AC118" i="25" s="1"/>
  <c r="AA117" i="25"/>
  <c r="AC117" i="25" s="1"/>
  <c r="AA114" i="25"/>
  <c r="AC114" i="25" s="1"/>
  <c r="AA113" i="25"/>
  <c r="AC113" i="25" s="1"/>
  <c r="AA112" i="25"/>
  <c r="AC112" i="25" s="1"/>
  <c r="AA111" i="25"/>
  <c r="AC111" i="25" s="1"/>
  <c r="AA110" i="25"/>
  <c r="AC110" i="25" s="1"/>
  <c r="AA109" i="25"/>
  <c r="AC109" i="25" s="1"/>
  <c r="AA108" i="25"/>
  <c r="AC108" i="25" s="1"/>
  <c r="AA107" i="25"/>
  <c r="AC107" i="25" s="1"/>
  <c r="AA106" i="25"/>
  <c r="AC106" i="25" s="1"/>
  <c r="AA105" i="25"/>
  <c r="AA103" i="25"/>
  <c r="AC103" i="25" s="1"/>
  <c r="AA102" i="25"/>
  <c r="AC102" i="25" s="1"/>
  <c r="AA101" i="25"/>
  <c r="AC101" i="25" s="1"/>
  <c r="AA100" i="25"/>
  <c r="AC100" i="25" s="1"/>
  <c r="AA99" i="25"/>
  <c r="AC99" i="25" s="1"/>
  <c r="AA96" i="25"/>
  <c r="AC96" i="25" s="1"/>
  <c r="AA95" i="25"/>
  <c r="AC95" i="25" s="1"/>
  <c r="AA94" i="25"/>
  <c r="AC94" i="25" s="1"/>
  <c r="AA93" i="25"/>
  <c r="AC93" i="25" s="1"/>
  <c r="AA92" i="25"/>
  <c r="AC92" i="25" s="1"/>
  <c r="AA91" i="25"/>
  <c r="AC91" i="25" s="1"/>
  <c r="AA90" i="25"/>
  <c r="AC90" i="25" s="1"/>
  <c r="AA89" i="25"/>
  <c r="AC89" i="25" s="1"/>
  <c r="AA88" i="25"/>
  <c r="AC88" i="25" s="1"/>
  <c r="AA87" i="25"/>
  <c r="AC87" i="25" s="1"/>
  <c r="AA86" i="25"/>
  <c r="AC86" i="25" s="1"/>
  <c r="AA85" i="25"/>
  <c r="AC85" i="25" s="1"/>
  <c r="AA84" i="25"/>
  <c r="AC84" i="25" s="1"/>
  <c r="AA81" i="25"/>
  <c r="AC81" i="25" s="1"/>
  <c r="AA80" i="25"/>
  <c r="AC80" i="25" s="1"/>
  <c r="AA79" i="25"/>
  <c r="AC79" i="25" s="1"/>
  <c r="AA78" i="25"/>
  <c r="AC78" i="25" s="1"/>
  <c r="AA76" i="25"/>
  <c r="AC76" i="25" s="1"/>
  <c r="AA75" i="25"/>
  <c r="AC75" i="25" s="1"/>
  <c r="AA73" i="25"/>
  <c r="AC73" i="25" s="1"/>
  <c r="AA72" i="25"/>
  <c r="AC72" i="25" s="1"/>
  <c r="AA71" i="25"/>
  <c r="AC71" i="25" s="1"/>
  <c r="AA70" i="25"/>
  <c r="AC70" i="25" s="1"/>
  <c r="AA69" i="25"/>
  <c r="AC69" i="25" s="1"/>
  <c r="AA68" i="25"/>
  <c r="AC68" i="25" s="1"/>
  <c r="AA67" i="25"/>
  <c r="AC67" i="25" s="1"/>
  <c r="AA66" i="25"/>
  <c r="AC66" i="25" s="1"/>
  <c r="AA63" i="25"/>
  <c r="AC63" i="25" s="1"/>
  <c r="AA61" i="25"/>
  <c r="AA60" i="25"/>
  <c r="AC60" i="25" s="1"/>
  <c r="AA59" i="25"/>
  <c r="AC59" i="25" s="1"/>
  <c r="AA58" i="25"/>
  <c r="AC58" i="25" s="1"/>
  <c r="AA56" i="25"/>
  <c r="AC56" i="25" s="1"/>
  <c r="AA55" i="25"/>
  <c r="AC55" i="25" s="1"/>
  <c r="AA54" i="25"/>
  <c r="AC54" i="25" s="1"/>
  <c r="AA53" i="25"/>
  <c r="AC53" i="25" s="1"/>
  <c r="AA52" i="25"/>
  <c r="AC52" i="25" s="1"/>
  <c r="AA51" i="25"/>
  <c r="AC51" i="25" s="1"/>
  <c r="AA50" i="25"/>
  <c r="AC50" i="25" s="1"/>
  <c r="AA49" i="25"/>
  <c r="AC49" i="25" s="1"/>
  <c r="AA45" i="25"/>
  <c r="AC45" i="25" s="1"/>
  <c r="AA44" i="25"/>
  <c r="AC44" i="25" s="1"/>
  <c r="AA43" i="25"/>
  <c r="AC43" i="25" s="1"/>
  <c r="AA42" i="25"/>
  <c r="AC42" i="25" s="1"/>
  <c r="AA41" i="25"/>
  <c r="AC41" i="25" s="1"/>
  <c r="AA40" i="25"/>
  <c r="AC40" i="25" s="1"/>
  <c r="AA39" i="25"/>
  <c r="AC39" i="25" s="1"/>
  <c r="AA38" i="25"/>
  <c r="AC38" i="25" s="1"/>
  <c r="AA37" i="25"/>
  <c r="AC37" i="25" s="1"/>
  <c r="AA36" i="25"/>
  <c r="AC36" i="25" s="1"/>
  <c r="AA35" i="25"/>
  <c r="AC35" i="25" s="1"/>
  <c r="AA34" i="25"/>
  <c r="AC34" i="25" s="1"/>
  <c r="AA31" i="25"/>
  <c r="AC31" i="25" s="1"/>
  <c r="AA30" i="25"/>
  <c r="AC30" i="25" s="1"/>
  <c r="E24" i="25"/>
  <c r="E12" i="25" s="1"/>
  <c r="C29" i="25"/>
  <c r="D29" i="25"/>
  <c r="E29" i="25"/>
  <c r="C47" i="25"/>
  <c r="D47" i="25"/>
  <c r="E47" i="25"/>
  <c r="B48" i="25"/>
  <c r="B49" i="25"/>
  <c r="B50" i="25"/>
  <c r="B51" i="25"/>
  <c r="B52" i="25"/>
  <c r="B53" i="25"/>
  <c r="B54" i="25"/>
  <c r="B55" i="25"/>
  <c r="B56" i="25"/>
  <c r="B57" i="25"/>
  <c r="B58" i="25"/>
  <c r="B59" i="25"/>
  <c r="B60" i="25"/>
  <c r="B61" i="25"/>
  <c r="B62" i="25"/>
  <c r="B63" i="25"/>
  <c r="C65" i="25"/>
  <c r="D65" i="25"/>
  <c r="E65" i="25"/>
  <c r="B66" i="25"/>
  <c r="B67" i="25"/>
  <c r="B68" i="25"/>
  <c r="B69" i="25"/>
  <c r="B70" i="25"/>
  <c r="B71" i="25"/>
  <c r="B72" i="25"/>
  <c r="B73" i="25"/>
  <c r="B74" i="25"/>
  <c r="B75" i="25"/>
  <c r="B76" i="25"/>
  <c r="B77" i="25"/>
  <c r="B78" i="25"/>
  <c r="B79" i="25"/>
  <c r="B80" i="25"/>
  <c r="C83" i="25"/>
  <c r="D83" i="25"/>
  <c r="B84" i="25"/>
  <c r="B85" i="25"/>
  <c r="B86" i="25"/>
  <c r="B87" i="25"/>
  <c r="B88" i="25"/>
  <c r="B89" i="25"/>
  <c r="B90" i="25"/>
  <c r="B91" i="25"/>
  <c r="B92" i="25"/>
  <c r="B93" i="25"/>
  <c r="B94" i="25"/>
  <c r="B95" i="25"/>
  <c r="B96" i="25"/>
  <c r="C98" i="25"/>
  <c r="D98" i="25"/>
  <c r="E98" i="25"/>
  <c r="B99" i="25"/>
  <c r="B100" i="25"/>
  <c r="B101" i="25"/>
  <c r="B102" i="25"/>
  <c r="B103" i="25"/>
  <c r="B104" i="25"/>
  <c r="B106" i="25"/>
  <c r="B107" i="25"/>
  <c r="B108" i="25"/>
  <c r="B109" i="25"/>
  <c r="B110" i="25"/>
  <c r="B111" i="25"/>
  <c r="B112" i="25"/>
  <c r="B113" i="25"/>
  <c r="B114" i="25"/>
  <c r="C116" i="25"/>
  <c r="D116" i="25"/>
  <c r="E116" i="25"/>
  <c r="B117" i="25"/>
  <c r="B118" i="25"/>
  <c r="B119" i="25"/>
  <c r="B120" i="25"/>
  <c r="B121" i="25"/>
  <c r="B122" i="25"/>
  <c r="B123" i="25"/>
  <c r="B124" i="25"/>
  <c r="B125" i="25"/>
  <c r="B126" i="25"/>
  <c r="B127" i="25"/>
  <c r="B128" i="25"/>
  <c r="B129" i="25"/>
  <c r="C131" i="25"/>
  <c r="D131" i="25"/>
  <c r="E131" i="25"/>
  <c r="B132" i="25"/>
  <c r="B133" i="25"/>
  <c r="B134" i="25"/>
  <c r="B135" i="25"/>
  <c r="B136" i="25"/>
  <c r="C138" i="25"/>
  <c r="D138" i="25"/>
  <c r="E138" i="25"/>
  <c r="B139" i="25"/>
  <c r="B140" i="25"/>
  <c r="B141" i="25"/>
  <c r="B142" i="25"/>
  <c r="B143" i="25"/>
  <c r="B144" i="25"/>
  <c r="B145" i="25"/>
  <c r="B146" i="25"/>
  <c r="B147" i="25"/>
  <c r="C149" i="25"/>
  <c r="D149" i="25"/>
  <c r="E149" i="25"/>
  <c r="B150" i="25"/>
  <c r="B151" i="25"/>
  <c r="B152" i="25"/>
  <c r="B153" i="25"/>
  <c r="B154" i="25"/>
  <c r="B155" i="25"/>
  <c r="B156" i="25"/>
  <c r="B157" i="25"/>
  <c r="C159" i="25"/>
  <c r="D159" i="25"/>
  <c r="E159" i="25"/>
  <c r="B160" i="25"/>
  <c r="B161" i="25"/>
  <c r="B162" i="25"/>
  <c r="B163" i="25"/>
  <c r="B164" i="25"/>
  <c r="B165" i="25"/>
  <c r="B166" i="25"/>
  <c r="B167" i="25"/>
  <c r="B168" i="25"/>
  <c r="B169" i="25"/>
  <c r="C171" i="25"/>
  <c r="D171" i="25"/>
  <c r="E171" i="25"/>
  <c r="B172" i="25"/>
  <c r="B173" i="25"/>
  <c r="B174" i="25"/>
  <c r="B175" i="25"/>
  <c r="B176" i="25"/>
  <c r="C178" i="25"/>
  <c r="D178" i="25"/>
  <c r="E178" i="25"/>
  <c r="B179" i="25"/>
  <c r="B180" i="25"/>
  <c r="B181" i="25"/>
  <c r="B182" i="25"/>
  <c r="B183" i="25"/>
  <c r="B184" i="25"/>
  <c r="B185" i="25"/>
  <c r="B186" i="25"/>
  <c r="B187" i="25"/>
  <c r="C189" i="25"/>
  <c r="D189" i="25"/>
  <c r="E189" i="25"/>
  <c r="B190" i="25"/>
  <c r="B191" i="25"/>
  <c r="B192" i="25"/>
  <c r="B193" i="25"/>
  <c r="B194" i="25"/>
  <c r="C196" i="25"/>
  <c r="D196" i="25"/>
  <c r="E196" i="25"/>
  <c r="B197" i="25"/>
  <c r="B198" i="25"/>
  <c r="B199" i="25"/>
  <c r="B200" i="25"/>
  <c r="B201" i="25"/>
  <c r="B202" i="25"/>
  <c r="B203" i="25"/>
  <c r="B204" i="25"/>
  <c r="C206" i="25"/>
  <c r="D206" i="25"/>
  <c r="E206" i="25"/>
  <c r="B207" i="25"/>
  <c r="B208" i="25"/>
  <c r="B209" i="25"/>
  <c r="B210" i="25"/>
  <c r="B211" i="25"/>
  <c r="B212" i="25"/>
  <c r="B213" i="25"/>
  <c r="B214" i="25"/>
  <c r="B215" i="25"/>
  <c r="B216" i="25"/>
  <c r="B217" i="25"/>
  <c r="B218" i="25"/>
  <c r="B219" i="25"/>
  <c r="C221" i="25"/>
  <c r="D221" i="25"/>
  <c r="E221" i="25"/>
  <c r="B222" i="25"/>
  <c r="B223" i="25"/>
  <c r="B224" i="25"/>
  <c r="B225" i="25"/>
  <c r="B226" i="25"/>
  <c r="B227" i="25"/>
  <c r="B228" i="25"/>
  <c r="B229" i="25"/>
  <c r="B230" i="25"/>
  <c r="B231" i="25"/>
  <c r="B232" i="25"/>
  <c r="B233" i="25"/>
  <c r="C236" i="25"/>
  <c r="D236" i="25"/>
  <c r="E236" i="25"/>
  <c r="B237" i="25"/>
  <c r="B238" i="25"/>
  <c r="B239" i="25"/>
  <c r="B240" i="25"/>
  <c r="B241" i="25"/>
  <c r="B242" i="25"/>
  <c r="B243" i="25"/>
  <c r="B244" i="25"/>
  <c r="B245" i="25"/>
  <c r="B246" i="25"/>
  <c r="C248" i="25"/>
  <c r="D248" i="25"/>
  <c r="E248" i="25"/>
  <c r="B249" i="25"/>
  <c r="B250" i="25"/>
  <c r="B251" i="25"/>
  <c r="B252" i="25"/>
  <c r="B253" i="25"/>
  <c r="B254" i="25"/>
  <c r="B255" i="25"/>
  <c r="B257" i="25"/>
  <c r="B258" i="25"/>
  <c r="B259" i="25"/>
  <c r="C261" i="25"/>
  <c r="D261" i="25"/>
  <c r="B262" i="25"/>
  <c r="C264" i="25"/>
  <c r="D264" i="25"/>
  <c r="E264" i="25"/>
  <c r="B265" i="25"/>
  <c r="B266" i="25"/>
  <c r="B267" i="25"/>
  <c r="B268" i="25"/>
  <c r="B269" i="25"/>
  <c r="B270" i="25"/>
  <c r="B47" i="25" l="1"/>
  <c r="B178" i="25"/>
  <c r="B261" i="25"/>
  <c r="B189" i="25"/>
  <c r="B264" i="25"/>
  <c r="B248" i="25"/>
  <c r="B221" i="25"/>
  <c r="B206" i="25"/>
  <c r="B171" i="25"/>
  <c r="B149" i="25"/>
  <c r="B138" i="25"/>
  <c r="B196" i="25"/>
  <c r="B65" i="25"/>
  <c r="B29" i="25"/>
  <c r="D26" i="25"/>
  <c r="D24" i="25" s="1"/>
  <c r="D12" i="25" s="1"/>
  <c r="AC180" i="25"/>
  <c r="AB180" i="25"/>
  <c r="B159" i="25"/>
  <c r="B131" i="25"/>
  <c r="B116" i="25"/>
  <c r="AC257" i="25"/>
  <c r="AB257" i="25"/>
  <c r="AC105" i="25"/>
  <c r="AB105" i="25"/>
  <c r="B83" i="25"/>
  <c r="C26" i="25"/>
  <c r="AC226" i="25"/>
  <c r="AB226" i="25"/>
  <c r="B236" i="25"/>
  <c r="B98" i="25"/>
  <c r="AB258" i="25"/>
  <c r="AF270" i="25"/>
  <c r="AE270" i="25"/>
  <c r="K270" i="25"/>
  <c r="AB270" i="25" s="1"/>
  <c r="G270" i="25"/>
  <c r="J270" i="25" s="1"/>
  <c r="AF269" i="25"/>
  <c r="AE269" i="25"/>
  <c r="K269" i="25"/>
  <c r="AB269" i="25" s="1"/>
  <c r="G269" i="25"/>
  <c r="J269" i="25" s="1"/>
  <c r="AF268" i="25"/>
  <c r="AE268" i="25"/>
  <c r="K268" i="25"/>
  <c r="AB268" i="25" s="1"/>
  <c r="G268" i="25"/>
  <c r="AF267" i="25"/>
  <c r="AE267" i="25"/>
  <c r="K267" i="25"/>
  <c r="AB267" i="25" s="1"/>
  <c r="G267" i="25"/>
  <c r="AF266" i="25"/>
  <c r="AE266" i="25"/>
  <c r="K266" i="25"/>
  <c r="AB266" i="25" s="1"/>
  <c r="G266" i="25"/>
  <c r="J266" i="25" s="1"/>
  <c r="AF265" i="25"/>
  <c r="AE265" i="25"/>
  <c r="K265" i="25"/>
  <c r="AB265" i="25" s="1"/>
  <c r="G265" i="25"/>
  <c r="J265" i="25" s="1"/>
  <c r="AD264" i="25"/>
  <c r="X264" i="25"/>
  <c r="W264" i="25"/>
  <c r="U264" i="25"/>
  <c r="T264" i="25"/>
  <c r="R264" i="25"/>
  <c r="Q264" i="25"/>
  <c r="M264" i="25"/>
  <c r="L264" i="25"/>
  <c r="I264" i="25"/>
  <c r="H264" i="25"/>
  <c r="AF262" i="25"/>
  <c r="AE262" i="25"/>
  <c r="K262" i="25"/>
  <c r="G262" i="25"/>
  <c r="J262" i="25" s="1"/>
  <c r="AD261" i="25"/>
  <c r="X261" i="25"/>
  <c r="W261" i="25"/>
  <c r="U261" i="25"/>
  <c r="T261" i="25"/>
  <c r="R261" i="25"/>
  <c r="Q261" i="25"/>
  <c r="M261" i="25"/>
  <c r="L261" i="25"/>
  <c r="N261" i="25" s="1"/>
  <c r="I261" i="25"/>
  <c r="H261" i="25"/>
  <c r="AF259" i="25"/>
  <c r="AE259" i="25"/>
  <c r="K259" i="25"/>
  <c r="G259" i="25"/>
  <c r="AE258" i="25"/>
  <c r="AE257" i="25"/>
  <c r="AF256" i="25"/>
  <c r="AE256" i="25"/>
  <c r="K256" i="25"/>
  <c r="AF255" i="25"/>
  <c r="AE255" i="25"/>
  <c r="K255" i="25"/>
  <c r="AB255" i="25" s="1"/>
  <c r="G255" i="25"/>
  <c r="J255" i="25" s="1"/>
  <c r="AF254" i="25"/>
  <c r="AE254" i="25"/>
  <c r="K254" i="25"/>
  <c r="AB254" i="25" s="1"/>
  <c r="G254" i="25"/>
  <c r="J254" i="25" s="1"/>
  <c r="AF253" i="25"/>
  <c r="AE253" i="25"/>
  <c r="K253" i="25"/>
  <c r="AB253" i="25" s="1"/>
  <c r="G253" i="25"/>
  <c r="AF252" i="25"/>
  <c r="AE252" i="25"/>
  <c r="K252" i="25"/>
  <c r="G252" i="25"/>
  <c r="J252" i="25" s="1"/>
  <c r="AF251" i="25"/>
  <c r="AE251" i="25"/>
  <c r="K251" i="25"/>
  <c r="AB251" i="25" s="1"/>
  <c r="G251" i="25"/>
  <c r="J251" i="25" s="1"/>
  <c r="AF250" i="25"/>
  <c r="AE250" i="25"/>
  <c r="K250" i="25"/>
  <c r="G250" i="25"/>
  <c r="AF249" i="25"/>
  <c r="AE249" i="25"/>
  <c r="K249" i="25"/>
  <c r="AB249" i="25" s="1"/>
  <c r="G249" i="25"/>
  <c r="AD248" i="25"/>
  <c r="X248" i="25"/>
  <c r="W248" i="25"/>
  <c r="U248" i="25"/>
  <c r="T248" i="25"/>
  <c r="R248" i="25"/>
  <c r="Q248" i="25"/>
  <c r="M248" i="25"/>
  <c r="L248" i="25"/>
  <c r="N248" i="25" s="1"/>
  <c r="I248" i="25"/>
  <c r="H248" i="25"/>
  <c r="AF246" i="25"/>
  <c r="AE246" i="25"/>
  <c r="K246" i="25"/>
  <c r="AB246" i="25" s="1"/>
  <c r="G246" i="25"/>
  <c r="J246" i="25" s="1"/>
  <c r="AF245" i="25"/>
  <c r="AE245" i="25"/>
  <c r="K245" i="25"/>
  <c r="AB245" i="25" s="1"/>
  <c r="G245" i="25"/>
  <c r="AF244" i="25"/>
  <c r="G244" i="25"/>
  <c r="AF243" i="25"/>
  <c r="AE243" i="25"/>
  <c r="K243" i="25"/>
  <c r="AB243" i="25" s="1"/>
  <c r="G243" i="25"/>
  <c r="J243" i="25" s="1"/>
  <c r="AF242" i="25"/>
  <c r="AE242" i="25"/>
  <c r="K242" i="25"/>
  <c r="G242" i="25"/>
  <c r="J242" i="25" s="1"/>
  <c r="AF241" i="25"/>
  <c r="AE241" i="25"/>
  <c r="K241" i="25"/>
  <c r="AB241" i="25" s="1"/>
  <c r="G241" i="25"/>
  <c r="AF240" i="25"/>
  <c r="AE240" i="25"/>
  <c r="K240" i="25"/>
  <c r="AB240" i="25" s="1"/>
  <c r="G240" i="25"/>
  <c r="AF239" i="25"/>
  <c r="AE239" i="25"/>
  <c r="K239" i="25"/>
  <c r="AB239" i="25" s="1"/>
  <c r="G239" i="25"/>
  <c r="J239" i="25" s="1"/>
  <c r="AF238" i="25"/>
  <c r="AE238" i="25"/>
  <c r="K238" i="25"/>
  <c r="AB238" i="25" s="1"/>
  <c r="G238" i="25"/>
  <c r="J238" i="25" s="1"/>
  <c r="AF237" i="25"/>
  <c r="AE237" i="25"/>
  <c r="K237" i="25"/>
  <c r="AB237" i="25" s="1"/>
  <c r="G237" i="25"/>
  <c r="J237" i="25" s="1"/>
  <c r="AD236" i="25"/>
  <c r="X236" i="25"/>
  <c r="W236" i="25"/>
  <c r="U236" i="25"/>
  <c r="T236" i="25"/>
  <c r="R236" i="25"/>
  <c r="Q236" i="25"/>
  <c r="M236" i="25"/>
  <c r="L236" i="25"/>
  <c r="I236" i="25"/>
  <c r="H236" i="25"/>
  <c r="AF234" i="25"/>
  <c r="AE234" i="25"/>
  <c r="K234" i="25"/>
  <c r="AB234" i="25" s="1"/>
  <c r="AF233" i="25"/>
  <c r="AE233" i="25"/>
  <c r="K233" i="25"/>
  <c r="AB233" i="25" s="1"/>
  <c r="G233" i="25"/>
  <c r="AF232" i="25"/>
  <c r="AE232" i="25"/>
  <c r="K232" i="25"/>
  <c r="G232" i="25"/>
  <c r="J232" i="25" s="1"/>
  <c r="AF231" i="25"/>
  <c r="AE231" i="25"/>
  <c r="K231" i="25"/>
  <c r="AB231" i="25" s="1"/>
  <c r="G231" i="25"/>
  <c r="J231" i="25" s="1"/>
  <c r="AF230" i="25"/>
  <c r="AE230" i="25"/>
  <c r="K230" i="25"/>
  <c r="G230" i="25"/>
  <c r="J230" i="25" s="1"/>
  <c r="AF229" i="25"/>
  <c r="AE229" i="25"/>
  <c r="K229" i="25"/>
  <c r="AB229" i="25" s="1"/>
  <c r="G229" i="25"/>
  <c r="AF228" i="25"/>
  <c r="AE228" i="25"/>
  <c r="K228" i="25"/>
  <c r="AB228" i="25" s="1"/>
  <c r="G228" i="25"/>
  <c r="AF227" i="25"/>
  <c r="AE227" i="25"/>
  <c r="K227" i="25"/>
  <c r="AB227" i="25" s="1"/>
  <c r="G227" i="25"/>
  <c r="J227" i="25" s="1"/>
  <c r="AE226" i="25"/>
  <c r="G226" i="25"/>
  <c r="J226" i="25" s="1"/>
  <c r="AF225" i="25"/>
  <c r="AE225" i="25"/>
  <c r="K225" i="25"/>
  <c r="G225" i="25"/>
  <c r="J225" i="25" s="1"/>
  <c r="AF224" i="25"/>
  <c r="AE224" i="25"/>
  <c r="K224" i="25"/>
  <c r="AB224" i="25" s="1"/>
  <c r="G224" i="25"/>
  <c r="J224" i="25" s="1"/>
  <c r="AF223" i="25"/>
  <c r="AE223" i="25"/>
  <c r="K223" i="25"/>
  <c r="AB223" i="25" s="1"/>
  <c r="G223" i="25"/>
  <c r="J223" i="25" s="1"/>
  <c r="AF222" i="25"/>
  <c r="AE222" i="25"/>
  <c r="K222" i="25"/>
  <c r="G222" i="25"/>
  <c r="AD221" i="25"/>
  <c r="X221" i="25"/>
  <c r="W221" i="25"/>
  <c r="U221" i="25"/>
  <c r="T221" i="25"/>
  <c r="R221" i="25"/>
  <c r="Q221" i="25"/>
  <c r="M221" i="25"/>
  <c r="L221" i="25"/>
  <c r="I221" i="25"/>
  <c r="H221" i="25"/>
  <c r="AF219" i="25"/>
  <c r="AE219" i="25"/>
  <c r="K219" i="25"/>
  <c r="AB219" i="25" s="1"/>
  <c r="G219" i="25"/>
  <c r="J219" i="25" s="1"/>
  <c r="AF218" i="25"/>
  <c r="AE218" i="25"/>
  <c r="K218" i="25"/>
  <c r="AB218" i="25" s="1"/>
  <c r="G218" i="25"/>
  <c r="AF217" i="25"/>
  <c r="AE217" i="25"/>
  <c r="K217" i="25"/>
  <c r="AB217" i="25" s="1"/>
  <c r="G217" i="25"/>
  <c r="AF216" i="25"/>
  <c r="AE216" i="25"/>
  <c r="K216" i="25"/>
  <c r="AB216" i="25" s="1"/>
  <c r="G216" i="25"/>
  <c r="J216" i="25" s="1"/>
  <c r="AF215" i="25"/>
  <c r="AE215" i="25"/>
  <c r="K215" i="25"/>
  <c r="AB215" i="25" s="1"/>
  <c r="G215" i="25"/>
  <c r="J215" i="25" s="1"/>
  <c r="AF214" i="25"/>
  <c r="AE214" i="25"/>
  <c r="K214" i="25"/>
  <c r="AB214" i="25" s="1"/>
  <c r="G214" i="25"/>
  <c r="J214" i="25" s="1"/>
  <c r="AF213" i="25"/>
  <c r="AE213" i="25"/>
  <c r="K213" i="25"/>
  <c r="G213" i="25"/>
  <c r="J213" i="25" s="1"/>
  <c r="AF212" i="25"/>
  <c r="AE212" i="25"/>
  <c r="K212" i="25"/>
  <c r="AB212" i="25" s="1"/>
  <c r="G212" i="25"/>
  <c r="J212" i="25" s="1"/>
  <c r="AF211" i="25"/>
  <c r="AE211" i="25"/>
  <c r="K211" i="25"/>
  <c r="AB211" i="25" s="1"/>
  <c r="G211" i="25"/>
  <c r="J211" i="25" s="1"/>
  <c r="AF210" i="25"/>
  <c r="AE210" i="25"/>
  <c r="K210" i="25"/>
  <c r="AB210" i="25" s="1"/>
  <c r="G210" i="25"/>
  <c r="AF209" i="25"/>
  <c r="AE209" i="25"/>
  <c r="K209" i="25"/>
  <c r="G209" i="25"/>
  <c r="AF208" i="25"/>
  <c r="AE208" i="25"/>
  <c r="K208" i="25"/>
  <c r="AB208" i="25" s="1"/>
  <c r="G208" i="25"/>
  <c r="AF207" i="25"/>
  <c r="AE207" i="25"/>
  <c r="K207" i="25"/>
  <c r="AB207" i="25" s="1"/>
  <c r="G207" i="25"/>
  <c r="J207" i="25" s="1"/>
  <c r="AD206" i="25"/>
  <c r="X206" i="25"/>
  <c r="W206" i="25"/>
  <c r="U206" i="25"/>
  <c r="T206" i="25"/>
  <c r="R206" i="25"/>
  <c r="Q206" i="25"/>
  <c r="M206" i="25"/>
  <c r="L206" i="25"/>
  <c r="I206" i="25"/>
  <c r="H206" i="25"/>
  <c r="AF204" i="25"/>
  <c r="AE204" i="25"/>
  <c r="K204" i="25"/>
  <c r="G204" i="25"/>
  <c r="J204" i="25" s="1"/>
  <c r="AF203" i="25"/>
  <c r="AE203" i="25"/>
  <c r="K203" i="25"/>
  <c r="AB203" i="25" s="1"/>
  <c r="G203" i="25"/>
  <c r="J203" i="25" s="1"/>
  <c r="AF202" i="25"/>
  <c r="G202" i="25"/>
  <c r="J202" i="25" s="1"/>
  <c r="AF201" i="25"/>
  <c r="G201" i="25"/>
  <c r="AF200" i="25"/>
  <c r="AE200" i="25"/>
  <c r="K200" i="25"/>
  <c r="AB200" i="25" s="1"/>
  <c r="G200" i="25"/>
  <c r="J200" i="25" s="1"/>
  <c r="AF199" i="25"/>
  <c r="AE199" i="25"/>
  <c r="K199" i="25"/>
  <c r="AB199" i="25" s="1"/>
  <c r="G199" i="25"/>
  <c r="J199" i="25" s="1"/>
  <c r="AF198" i="25"/>
  <c r="AE198" i="25"/>
  <c r="K198" i="25"/>
  <c r="G198" i="25"/>
  <c r="AF197" i="25"/>
  <c r="AE197" i="25"/>
  <c r="K197" i="25"/>
  <c r="AB197" i="25" s="1"/>
  <c r="G197" i="25"/>
  <c r="J197" i="25" s="1"/>
  <c r="AD196" i="25"/>
  <c r="X196" i="25"/>
  <c r="W196" i="25"/>
  <c r="U196" i="25"/>
  <c r="T196" i="25"/>
  <c r="R196" i="25"/>
  <c r="Q196" i="25"/>
  <c r="M196" i="25"/>
  <c r="L196" i="25"/>
  <c r="I196" i="25"/>
  <c r="H196" i="25"/>
  <c r="AF194" i="25"/>
  <c r="AE194" i="25"/>
  <c r="K194" i="25"/>
  <c r="AB194" i="25" s="1"/>
  <c r="G194" i="25"/>
  <c r="AF193" i="25"/>
  <c r="AE193" i="25"/>
  <c r="K193" i="25"/>
  <c r="AB193" i="25" s="1"/>
  <c r="G193" i="25"/>
  <c r="AF192" i="25"/>
  <c r="AE192" i="25"/>
  <c r="K192" i="25"/>
  <c r="AB192" i="25" s="1"/>
  <c r="G192" i="25"/>
  <c r="AF191" i="25"/>
  <c r="AE191" i="25"/>
  <c r="K191" i="25"/>
  <c r="G191" i="25"/>
  <c r="AF190" i="25"/>
  <c r="AE190" i="25"/>
  <c r="K190" i="25"/>
  <c r="AB190" i="25" s="1"/>
  <c r="G190" i="25"/>
  <c r="AD189" i="25"/>
  <c r="X189" i="25"/>
  <c r="W189" i="25"/>
  <c r="U189" i="25"/>
  <c r="T189" i="25"/>
  <c r="R189" i="25"/>
  <c r="Q189" i="25"/>
  <c r="M189" i="25"/>
  <c r="L189" i="25"/>
  <c r="I189" i="25"/>
  <c r="H189" i="25"/>
  <c r="AF187" i="25"/>
  <c r="AE187" i="25"/>
  <c r="K187" i="25"/>
  <c r="G187" i="25"/>
  <c r="J187" i="25" s="1"/>
  <c r="AF186" i="25"/>
  <c r="AE186" i="25"/>
  <c r="K186" i="25"/>
  <c r="AB186" i="25" s="1"/>
  <c r="G186" i="25"/>
  <c r="J186" i="25" s="1"/>
  <c r="AF185" i="25"/>
  <c r="AE185" i="25"/>
  <c r="K185" i="25"/>
  <c r="G185" i="25"/>
  <c r="AF184" i="25"/>
  <c r="AE184" i="25"/>
  <c r="K184" i="25"/>
  <c r="G184" i="25"/>
  <c r="AF183" i="25"/>
  <c r="AE183" i="25"/>
  <c r="K183" i="25"/>
  <c r="AB183" i="25" s="1"/>
  <c r="G183" i="25"/>
  <c r="J183" i="25" s="1"/>
  <c r="AF182" i="25"/>
  <c r="AE182" i="25"/>
  <c r="K182" i="25"/>
  <c r="AB182" i="25" s="1"/>
  <c r="G182" i="25"/>
  <c r="J182" i="25" s="1"/>
  <c r="AF181" i="25"/>
  <c r="AE181" i="25"/>
  <c r="K181" i="25"/>
  <c r="AB181" i="25" s="1"/>
  <c r="G181" i="25"/>
  <c r="AE180" i="25"/>
  <c r="G180" i="25"/>
  <c r="AF179" i="25"/>
  <c r="AE179" i="25"/>
  <c r="K179" i="25"/>
  <c r="AB179" i="25" s="1"/>
  <c r="G179" i="25"/>
  <c r="J179" i="25" s="1"/>
  <c r="AD178" i="25"/>
  <c r="X178" i="25"/>
  <c r="W178" i="25"/>
  <c r="U178" i="25"/>
  <c r="T178" i="25"/>
  <c r="R178" i="25"/>
  <c r="Q178" i="25"/>
  <c r="M178" i="25"/>
  <c r="L178" i="25"/>
  <c r="I178" i="25"/>
  <c r="H178" i="25"/>
  <c r="AF176" i="25"/>
  <c r="AE176" i="25"/>
  <c r="K176" i="25"/>
  <c r="AB176" i="25" s="1"/>
  <c r="G176" i="25"/>
  <c r="AF175" i="25"/>
  <c r="AE175" i="25"/>
  <c r="K175" i="25"/>
  <c r="AB175" i="25" s="1"/>
  <c r="G175" i="25"/>
  <c r="J175" i="25" s="1"/>
  <c r="AF174" i="25"/>
  <c r="AE174" i="25"/>
  <c r="K174" i="25"/>
  <c r="AB174" i="25" s="1"/>
  <c r="G174" i="25"/>
  <c r="J174" i="25" s="1"/>
  <c r="AF173" i="25"/>
  <c r="AE173" i="25"/>
  <c r="K173" i="25"/>
  <c r="AB173" i="25" s="1"/>
  <c r="G173" i="25"/>
  <c r="J173" i="25" s="1"/>
  <c r="AF172" i="25"/>
  <c r="AE172" i="25"/>
  <c r="K172" i="25"/>
  <c r="AB172" i="25" s="1"/>
  <c r="G172" i="25"/>
  <c r="AD171" i="25"/>
  <c r="X171" i="25"/>
  <c r="W171" i="25"/>
  <c r="U171" i="25"/>
  <c r="T171" i="25"/>
  <c r="R171" i="25"/>
  <c r="Q171" i="25"/>
  <c r="M171" i="25"/>
  <c r="L171" i="25"/>
  <c r="I171" i="25"/>
  <c r="H171" i="25"/>
  <c r="AF169" i="25"/>
  <c r="AE169" i="25"/>
  <c r="K169" i="25"/>
  <c r="AB169" i="25" s="1"/>
  <c r="G169" i="25"/>
  <c r="J169" i="25" s="1"/>
  <c r="AF168" i="25"/>
  <c r="AE168" i="25"/>
  <c r="K168" i="25"/>
  <c r="AB168" i="25" s="1"/>
  <c r="G168" i="25"/>
  <c r="AF167" i="25"/>
  <c r="AE167" i="25"/>
  <c r="K167" i="25"/>
  <c r="AB167" i="25" s="1"/>
  <c r="G167" i="25"/>
  <c r="J167" i="25" s="1"/>
  <c r="AF166" i="25"/>
  <c r="AE166" i="25"/>
  <c r="K166" i="25"/>
  <c r="G166" i="25"/>
  <c r="J166" i="25" s="1"/>
  <c r="AF165" i="25"/>
  <c r="AE165" i="25"/>
  <c r="K165" i="25"/>
  <c r="AB165" i="25" s="1"/>
  <c r="G165" i="25"/>
  <c r="AF164" i="25"/>
  <c r="AE164" i="25"/>
  <c r="K164" i="25"/>
  <c r="AB164" i="25" s="1"/>
  <c r="G164" i="25"/>
  <c r="AF163" i="25"/>
  <c r="AE163" i="25"/>
  <c r="K163" i="25"/>
  <c r="AB163" i="25" s="1"/>
  <c r="G163" i="25"/>
  <c r="J163" i="25" s="1"/>
  <c r="AF162" i="25"/>
  <c r="AE162" i="25"/>
  <c r="K162" i="25"/>
  <c r="AB162" i="25" s="1"/>
  <c r="G162" i="25"/>
  <c r="J162" i="25" s="1"/>
  <c r="AF161" i="25"/>
  <c r="AE161" i="25"/>
  <c r="K161" i="25"/>
  <c r="AB161" i="25" s="1"/>
  <c r="G161" i="25"/>
  <c r="J161" i="25" s="1"/>
  <c r="AF160" i="25"/>
  <c r="AE160" i="25"/>
  <c r="K160" i="25"/>
  <c r="AB160" i="25" s="1"/>
  <c r="G160" i="25"/>
  <c r="AD159" i="25"/>
  <c r="X159" i="25"/>
  <c r="W159" i="25"/>
  <c r="U159" i="25"/>
  <c r="T159" i="25"/>
  <c r="R159" i="25"/>
  <c r="Q159" i="25"/>
  <c r="M159" i="25"/>
  <c r="L159" i="25"/>
  <c r="I159" i="25"/>
  <c r="H159" i="25"/>
  <c r="AE157" i="25"/>
  <c r="K157" i="25"/>
  <c r="G157" i="25"/>
  <c r="J157" i="25" s="1"/>
  <c r="AF156" i="25"/>
  <c r="AE156" i="25"/>
  <c r="K156" i="25"/>
  <c r="AB156" i="25" s="1"/>
  <c r="G156" i="25"/>
  <c r="AF155" i="25"/>
  <c r="AE155" i="25"/>
  <c r="K155" i="25"/>
  <c r="AB155" i="25" s="1"/>
  <c r="G155" i="25"/>
  <c r="AF154" i="25"/>
  <c r="AE154" i="25"/>
  <c r="K154" i="25"/>
  <c r="AB154" i="25" s="1"/>
  <c r="G154" i="25"/>
  <c r="J154" i="25" s="1"/>
  <c r="AF153" i="25"/>
  <c r="AE153" i="25"/>
  <c r="K153" i="25"/>
  <c r="G153" i="25"/>
  <c r="J153" i="25" s="1"/>
  <c r="AF152" i="25"/>
  <c r="AE152" i="25"/>
  <c r="K152" i="25"/>
  <c r="AB152" i="25" s="1"/>
  <c r="G152" i="25"/>
  <c r="J152" i="25" s="1"/>
  <c r="AF151" i="25"/>
  <c r="AE151" i="25"/>
  <c r="K151" i="25"/>
  <c r="AB151" i="25" s="1"/>
  <c r="G151" i="25"/>
  <c r="J151" i="25" s="1"/>
  <c r="AF150" i="25"/>
  <c r="AE150" i="25"/>
  <c r="K150" i="25"/>
  <c r="G150" i="25"/>
  <c r="J150" i="25" s="1"/>
  <c r="AD149" i="25"/>
  <c r="X149" i="25"/>
  <c r="W149" i="25"/>
  <c r="U149" i="25"/>
  <c r="T149" i="25"/>
  <c r="R149" i="25"/>
  <c r="Q149" i="25"/>
  <c r="M149" i="25"/>
  <c r="L149" i="25"/>
  <c r="N149" i="25" s="1"/>
  <c r="I149" i="25"/>
  <c r="H149" i="25"/>
  <c r="AF147" i="25"/>
  <c r="AE147" i="25"/>
  <c r="K147" i="25"/>
  <c r="AB147" i="25" s="1"/>
  <c r="G147" i="25"/>
  <c r="J147" i="25" s="1"/>
  <c r="AF146" i="25"/>
  <c r="AE146" i="25"/>
  <c r="K146" i="25"/>
  <c r="AB146" i="25" s="1"/>
  <c r="G146" i="25"/>
  <c r="J146" i="25" s="1"/>
  <c r="AF145" i="25"/>
  <c r="AE145" i="25"/>
  <c r="K145" i="25"/>
  <c r="AB145" i="25" s="1"/>
  <c r="G145" i="25"/>
  <c r="J145" i="25" s="1"/>
  <c r="AF144" i="25"/>
  <c r="AE144" i="25"/>
  <c r="K144" i="25"/>
  <c r="AB144" i="25" s="1"/>
  <c r="G144" i="25"/>
  <c r="AF143" i="25"/>
  <c r="AE143" i="25"/>
  <c r="K143" i="25"/>
  <c r="AB143" i="25" s="1"/>
  <c r="G143" i="25"/>
  <c r="AF142" i="25"/>
  <c r="AE142" i="25"/>
  <c r="K142" i="25"/>
  <c r="AB142" i="25" s="1"/>
  <c r="G142" i="25"/>
  <c r="J142" i="25" s="1"/>
  <c r="AF141" i="25"/>
  <c r="AE141" i="25"/>
  <c r="K141" i="25"/>
  <c r="AB141" i="25" s="1"/>
  <c r="G141" i="25"/>
  <c r="J141" i="25" s="1"/>
  <c r="AF140" i="25"/>
  <c r="AE140" i="25"/>
  <c r="K140" i="25"/>
  <c r="G140" i="25"/>
  <c r="AF139" i="25"/>
  <c r="AE139" i="25"/>
  <c r="K139" i="25"/>
  <c r="AB139" i="25" s="1"/>
  <c r="G139" i="25"/>
  <c r="AD138" i="25"/>
  <c r="X138" i="25"/>
  <c r="W138" i="25"/>
  <c r="U138" i="25"/>
  <c r="T138" i="25"/>
  <c r="R138" i="25"/>
  <c r="Q138" i="25"/>
  <c r="M138" i="25"/>
  <c r="L138" i="25"/>
  <c r="I138" i="25"/>
  <c r="H138" i="25"/>
  <c r="AE136" i="25"/>
  <c r="AB136" i="25"/>
  <c r="AC136" i="25" s="1"/>
  <c r="G136" i="25"/>
  <c r="J136" i="25" s="1"/>
  <c r="AF135" i="25"/>
  <c r="AE135" i="25"/>
  <c r="K135" i="25"/>
  <c r="AB135" i="25" s="1"/>
  <c r="G135" i="25"/>
  <c r="J135" i="25" s="1"/>
  <c r="AF134" i="25"/>
  <c r="AE134" i="25"/>
  <c r="K134" i="25"/>
  <c r="G134" i="25"/>
  <c r="J134" i="25" s="1"/>
  <c r="AF133" i="25"/>
  <c r="AE133" i="25"/>
  <c r="K133" i="25"/>
  <c r="AB133" i="25" s="1"/>
  <c r="G133" i="25"/>
  <c r="J133" i="25" s="1"/>
  <c r="AF132" i="25"/>
  <c r="AE132" i="25"/>
  <c r="K132" i="25"/>
  <c r="AB132" i="25" s="1"/>
  <c r="G132" i="25"/>
  <c r="AD131" i="25"/>
  <c r="X131" i="25"/>
  <c r="W131" i="25"/>
  <c r="U131" i="25"/>
  <c r="T131" i="25"/>
  <c r="R131" i="25"/>
  <c r="Q131" i="25"/>
  <c r="M131" i="25"/>
  <c r="L131" i="25"/>
  <c r="N131" i="25" s="1"/>
  <c r="I131" i="25"/>
  <c r="H131" i="25"/>
  <c r="AF129" i="25"/>
  <c r="AE129" i="25"/>
  <c r="K129" i="25"/>
  <c r="AB129" i="25" s="1"/>
  <c r="G129" i="25"/>
  <c r="J129" i="25" s="1"/>
  <c r="AF128" i="25"/>
  <c r="AE128" i="25"/>
  <c r="K128" i="25"/>
  <c r="AB128" i="25" s="1"/>
  <c r="G128" i="25"/>
  <c r="AF127" i="25"/>
  <c r="AE127" i="25"/>
  <c r="K127" i="25"/>
  <c r="AB127" i="25" s="1"/>
  <c r="G127" i="25"/>
  <c r="J127" i="25" s="1"/>
  <c r="AF126" i="25"/>
  <c r="AE126" i="25"/>
  <c r="K126" i="25"/>
  <c r="AB126" i="25" s="1"/>
  <c r="G126" i="25"/>
  <c r="J126" i="25" s="1"/>
  <c r="AF125" i="25"/>
  <c r="AE125" i="25"/>
  <c r="K125" i="25"/>
  <c r="G125" i="25"/>
  <c r="J125" i="25" s="1"/>
  <c r="AF124" i="25"/>
  <c r="AE124" i="25"/>
  <c r="K124" i="25"/>
  <c r="AB124" i="25" s="1"/>
  <c r="G124" i="25"/>
  <c r="AF123" i="25"/>
  <c r="AE123" i="25"/>
  <c r="K123" i="25"/>
  <c r="AB123" i="25" s="1"/>
  <c r="G123" i="25"/>
  <c r="J123" i="25" s="1"/>
  <c r="AF122" i="25"/>
  <c r="AE122" i="25"/>
  <c r="K122" i="25"/>
  <c r="G122" i="25"/>
  <c r="J122" i="25" s="1"/>
  <c r="AF121" i="25"/>
  <c r="AE121" i="25"/>
  <c r="K121" i="25"/>
  <c r="AB121" i="25" s="1"/>
  <c r="G121" i="25"/>
  <c r="J121" i="25" s="1"/>
  <c r="AF120" i="25"/>
  <c r="AE120" i="25"/>
  <c r="K120" i="25"/>
  <c r="AB120" i="25" s="1"/>
  <c r="G120" i="25"/>
  <c r="AF119" i="25"/>
  <c r="AE119" i="25"/>
  <c r="K119" i="25"/>
  <c r="AB119" i="25" s="1"/>
  <c r="G119" i="25"/>
  <c r="J119" i="25" s="1"/>
  <c r="AF118" i="25"/>
  <c r="AE118" i="25"/>
  <c r="K118" i="25"/>
  <c r="AB118" i="25" s="1"/>
  <c r="G118" i="25"/>
  <c r="J118" i="25" s="1"/>
  <c r="AF117" i="25"/>
  <c r="AE117" i="25"/>
  <c r="K117" i="25"/>
  <c r="G117" i="25"/>
  <c r="J117" i="25" s="1"/>
  <c r="AD116" i="25"/>
  <c r="X116" i="25"/>
  <c r="W116" i="25"/>
  <c r="U116" i="25"/>
  <c r="T116" i="25"/>
  <c r="R116" i="25"/>
  <c r="Q116" i="25"/>
  <c r="M116" i="25"/>
  <c r="L116" i="25"/>
  <c r="I116" i="25"/>
  <c r="H116" i="25"/>
  <c r="AF114" i="25"/>
  <c r="AE114" i="25"/>
  <c r="K114" i="25"/>
  <c r="AB114" i="25" s="1"/>
  <c r="G114" i="25"/>
  <c r="J114" i="25" s="1"/>
  <c r="AF113" i="25"/>
  <c r="AE113" i="25"/>
  <c r="K113" i="25"/>
  <c r="G113" i="25"/>
  <c r="AF112" i="25"/>
  <c r="AE112" i="25"/>
  <c r="K112" i="25"/>
  <c r="AB112" i="25" s="1"/>
  <c r="G112" i="25"/>
  <c r="AF111" i="25"/>
  <c r="AE111" i="25"/>
  <c r="K111" i="25"/>
  <c r="AB111" i="25" s="1"/>
  <c r="G111" i="25"/>
  <c r="J111" i="25" s="1"/>
  <c r="AF110" i="25"/>
  <c r="AE110" i="25"/>
  <c r="K110" i="25"/>
  <c r="AB110" i="25" s="1"/>
  <c r="G110" i="25"/>
  <c r="J110" i="25" s="1"/>
  <c r="AF109" i="25"/>
  <c r="AE109" i="25"/>
  <c r="K109" i="25"/>
  <c r="G109" i="25"/>
  <c r="AF108" i="25"/>
  <c r="AE108" i="25"/>
  <c r="K108" i="25"/>
  <c r="AB108" i="25" s="1"/>
  <c r="G108" i="25"/>
  <c r="AF107" i="25"/>
  <c r="AE107" i="25"/>
  <c r="K107" i="25"/>
  <c r="G107" i="25"/>
  <c r="J107" i="25" s="1"/>
  <c r="AF106" i="25"/>
  <c r="AE106" i="25"/>
  <c r="K106" i="25"/>
  <c r="AB106" i="25" s="1"/>
  <c r="G106" i="25"/>
  <c r="J106" i="25" s="1"/>
  <c r="AE105" i="25"/>
  <c r="AF104" i="25"/>
  <c r="G104" i="25"/>
  <c r="AF103" i="25"/>
  <c r="AE103" i="25"/>
  <c r="K103" i="25"/>
  <c r="G103" i="25"/>
  <c r="J103" i="25" s="1"/>
  <c r="AF102" i="25"/>
  <c r="AE102" i="25"/>
  <c r="K102" i="25"/>
  <c r="AB102" i="25" s="1"/>
  <c r="G102" i="25"/>
  <c r="J102" i="25" s="1"/>
  <c r="AF101" i="25"/>
  <c r="AE101" i="25"/>
  <c r="K101" i="25"/>
  <c r="AB101" i="25" s="1"/>
  <c r="G101" i="25"/>
  <c r="AF100" i="25"/>
  <c r="AE100" i="25"/>
  <c r="K100" i="25"/>
  <c r="AB100" i="25" s="1"/>
  <c r="G100" i="25"/>
  <c r="AF99" i="25"/>
  <c r="AE99" i="25"/>
  <c r="K99" i="25"/>
  <c r="G99" i="25"/>
  <c r="J99" i="25" s="1"/>
  <c r="AH98" i="25"/>
  <c r="AG98" i="25"/>
  <c r="AD98" i="25"/>
  <c r="X98" i="25"/>
  <c r="W98" i="25"/>
  <c r="U98" i="25"/>
  <c r="T98" i="25"/>
  <c r="R98" i="25"/>
  <c r="Q98" i="25"/>
  <c r="M98" i="25"/>
  <c r="L98" i="25"/>
  <c r="I98" i="25"/>
  <c r="H98" i="25"/>
  <c r="AF96" i="25"/>
  <c r="AE96" i="25"/>
  <c r="K96" i="25"/>
  <c r="AB96" i="25" s="1"/>
  <c r="G96" i="25"/>
  <c r="AF95" i="25"/>
  <c r="AE95" i="25"/>
  <c r="K95" i="25"/>
  <c r="AB95" i="25" s="1"/>
  <c r="G95" i="25"/>
  <c r="J95" i="25" s="1"/>
  <c r="AF94" i="25"/>
  <c r="AE94" i="25"/>
  <c r="K94" i="25"/>
  <c r="G94" i="25"/>
  <c r="J94" i="25" s="1"/>
  <c r="AF93" i="25"/>
  <c r="AE93" i="25"/>
  <c r="K93" i="25"/>
  <c r="G93" i="25"/>
  <c r="J93" i="25" s="1"/>
  <c r="AF92" i="25"/>
  <c r="AE92" i="25"/>
  <c r="K92" i="25"/>
  <c r="AB92" i="25" s="1"/>
  <c r="G92" i="25"/>
  <c r="AF91" i="25"/>
  <c r="AE91" i="25"/>
  <c r="K91" i="25"/>
  <c r="AB91" i="25" s="1"/>
  <c r="G91" i="25"/>
  <c r="J91" i="25" s="1"/>
  <c r="AF90" i="25"/>
  <c r="AE90" i="25"/>
  <c r="K90" i="25"/>
  <c r="G90" i="25"/>
  <c r="J90" i="25" s="1"/>
  <c r="AF89" i="25"/>
  <c r="AE89" i="25"/>
  <c r="K89" i="25"/>
  <c r="AB89" i="25" s="1"/>
  <c r="G89" i="25"/>
  <c r="J89" i="25" s="1"/>
  <c r="AF88" i="25"/>
  <c r="AE88" i="25"/>
  <c r="K88" i="25"/>
  <c r="AB88" i="25" s="1"/>
  <c r="G88" i="25"/>
  <c r="AF87" i="25"/>
  <c r="AE87" i="25"/>
  <c r="K87" i="25"/>
  <c r="AB87" i="25" s="1"/>
  <c r="G87" i="25"/>
  <c r="J87" i="25" s="1"/>
  <c r="AF86" i="25"/>
  <c r="AE86" i="25"/>
  <c r="K86" i="25"/>
  <c r="AB86" i="25" s="1"/>
  <c r="G86" i="25"/>
  <c r="J86" i="25" s="1"/>
  <c r="AF85" i="25"/>
  <c r="AE85" i="25"/>
  <c r="K85" i="25"/>
  <c r="AB85" i="25" s="1"/>
  <c r="G85" i="25"/>
  <c r="AF84" i="25"/>
  <c r="AE84" i="25"/>
  <c r="K84" i="25"/>
  <c r="AB84" i="25" s="1"/>
  <c r="G84" i="25"/>
  <c r="AH83" i="25"/>
  <c r="AG83" i="25"/>
  <c r="AD83" i="25"/>
  <c r="X83" i="25"/>
  <c r="W83" i="25"/>
  <c r="U83" i="25"/>
  <c r="T83" i="25"/>
  <c r="R83" i="25"/>
  <c r="Q83" i="25"/>
  <c r="M83" i="25"/>
  <c r="L83" i="25"/>
  <c r="I83" i="25"/>
  <c r="H83" i="25"/>
  <c r="AF81" i="25"/>
  <c r="AE81" i="25"/>
  <c r="K81" i="25"/>
  <c r="AF80" i="25"/>
  <c r="AE80" i="25"/>
  <c r="K80" i="25"/>
  <c r="AB80" i="25" s="1"/>
  <c r="G80" i="25"/>
  <c r="J80" i="25" s="1"/>
  <c r="AF79" i="25"/>
  <c r="AE79" i="25"/>
  <c r="K79" i="25"/>
  <c r="AB79" i="25" s="1"/>
  <c r="G79" i="25"/>
  <c r="J79" i="25" s="1"/>
  <c r="AF78" i="25"/>
  <c r="AE78" i="25"/>
  <c r="K78" i="25"/>
  <c r="AB78" i="25" s="1"/>
  <c r="G78" i="25"/>
  <c r="J78" i="25" s="1"/>
  <c r="G77" i="25"/>
  <c r="AF76" i="25"/>
  <c r="AE76" i="25"/>
  <c r="K76" i="25"/>
  <c r="AB76" i="25" s="1"/>
  <c r="G76" i="25"/>
  <c r="J76" i="25" s="1"/>
  <c r="AF75" i="25"/>
  <c r="AE75" i="25"/>
  <c r="K75" i="25"/>
  <c r="AB75" i="25" s="1"/>
  <c r="G75" i="25"/>
  <c r="J75" i="25" s="1"/>
  <c r="AF73" i="25"/>
  <c r="AE73" i="25"/>
  <c r="K73" i="25"/>
  <c r="AB73" i="25" s="1"/>
  <c r="G73" i="25"/>
  <c r="AF72" i="25"/>
  <c r="AE72" i="25"/>
  <c r="K72" i="25"/>
  <c r="G72" i="25"/>
  <c r="J72" i="25" s="1"/>
  <c r="AF71" i="25"/>
  <c r="AE71" i="25"/>
  <c r="K71" i="25"/>
  <c r="AB71" i="25" s="1"/>
  <c r="G71" i="25"/>
  <c r="J71" i="25" s="1"/>
  <c r="AF70" i="25"/>
  <c r="AE70" i="25"/>
  <c r="K70" i="25"/>
  <c r="AB70" i="25" s="1"/>
  <c r="G70" i="25"/>
  <c r="J70" i="25" s="1"/>
  <c r="AF69" i="25"/>
  <c r="AE69" i="25"/>
  <c r="K69" i="25"/>
  <c r="AB69" i="25" s="1"/>
  <c r="G69" i="25"/>
  <c r="AF68" i="25"/>
  <c r="AE68" i="25"/>
  <c r="K68" i="25"/>
  <c r="G68" i="25"/>
  <c r="J68" i="25" s="1"/>
  <c r="AF67" i="25"/>
  <c r="AE67" i="25"/>
  <c r="K67" i="25"/>
  <c r="AB67" i="25" s="1"/>
  <c r="G67" i="25"/>
  <c r="J67" i="25" s="1"/>
  <c r="AF66" i="25"/>
  <c r="AE66" i="25"/>
  <c r="K66" i="25"/>
  <c r="AB66" i="25" s="1"/>
  <c r="G66" i="25"/>
  <c r="AH65" i="25"/>
  <c r="AG65" i="25"/>
  <c r="AD65" i="25"/>
  <c r="X65" i="25"/>
  <c r="W65" i="25"/>
  <c r="U65" i="25"/>
  <c r="T65" i="25"/>
  <c r="R65" i="25"/>
  <c r="Q65" i="25"/>
  <c r="M65" i="25"/>
  <c r="L65" i="25"/>
  <c r="I65" i="25"/>
  <c r="H65" i="25"/>
  <c r="AF63" i="25"/>
  <c r="AE63" i="25"/>
  <c r="K63" i="25"/>
  <c r="AB63" i="25" s="1"/>
  <c r="G63" i="25"/>
  <c r="J63" i="25" s="1"/>
  <c r="AF62" i="25"/>
  <c r="G62" i="25"/>
  <c r="J62" i="25" s="1"/>
  <c r="AF61" i="25"/>
  <c r="K61" i="25"/>
  <c r="AB61" i="25" s="1"/>
  <c r="AD61" i="25" s="1"/>
  <c r="AE61" i="25" s="1"/>
  <c r="G61" i="25"/>
  <c r="AF60" i="25"/>
  <c r="AE60" i="25"/>
  <c r="K60" i="25"/>
  <c r="AB60" i="25" s="1"/>
  <c r="G60" i="25"/>
  <c r="AF59" i="25"/>
  <c r="AE59" i="25"/>
  <c r="K59" i="25"/>
  <c r="AB59" i="25" s="1"/>
  <c r="G59" i="25"/>
  <c r="J59" i="25" s="1"/>
  <c r="AF58" i="25"/>
  <c r="AE58" i="25"/>
  <c r="K58" i="25"/>
  <c r="AB58" i="25" s="1"/>
  <c r="G58" i="25"/>
  <c r="J58" i="25" s="1"/>
  <c r="AF57" i="25"/>
  <c r="G57" i="25"/>
  <c r="J57" i="25" s="1"/>
  <c r="AF56" i="25"/>
  <c r="AE56" i="25"/>
  <c r="K56" i="25"/>
  <c r="AB56" i="25" s="1"/>
  <c r="G56" i="25"/>
  <c r="J56" i="25" s="1"/>
  <c r="AF55" i="25"/>
  <c r="AE55" i="25"/>
  <c r="K55" i="25"/>
  <c r="AB55" i="25" s="1"/>
  <c r="G55" i="25"/>
  <c r="AF54" i="25"/>
  <c r="AE54" i="25"/>
  <c r="K54" i="25"/>
  <c r="AB54" i="25" s="1"/>
  <c r="G54" i="25"/>
  <c r="J54" i="25" s="1"/>
  <c r="AF53" i="25"/>
  <c r="AE53" i="25"/>
  <c r="K53" i="25"/>
  <c r="AB53" i="25" s="1"/>
  <c r="G53" i="25"/>
  <c r="J53" i="25" s="1"/>
  <c r="AF52" i="25"/>
  <c r="AE52" i="25"/>
  <c r="K52" i="25"/>
  <c r="AB52" i="25" s="1"/>
  <c r="G52" i="25"/>
  <c r="AF51" i="25"/>
  <c r="AE51" i="25"/>
  <c r="K51" i="25"/>
  <c r="AB51" i="25" s="1"/>
  <c r="G51" i="25"/>
  <c r="AF50" i="25"/>
  <c r="AE50" i="25"/>
  <c r="K50" i="25"/>
  <c r="AB50" i="25" s="1"/>
  <c r="G50" i="25"/>
  <c r="J50" i="25" s="1"/>
  <c r="AF49" i="25"/>
  <c r="AE49" i="25"/>
  <c r="K49" i="25"/>
  <c r="G49" i="25"/>
  <c r="J49" i="25" s="1"/>
  <c r="G48" i="25"/>
  <c r="J48" i="25" s="1"/>
  <c r="AH47" i="25"/>
  <c r="AG47" i="25"/>
  <c r="X47" i="25"/>
  <c r="W47" i="25"/>
  <c r="U47" i="25"/>
  <c r="T47" i="25"/>
  <c r="R47" i="25"/>
  <c r="Q47" i="25"/>
  <c r="M47" i="25"/>
  <c r="L47" i="25"/>
  <c r="I47" i="25"/>
  <c r="H47" i="25"/>
  <c r="AF45" i="25"/>
  <c r="AE45" i="25"/>
  <c r="K45" i="25"/>
  <c r="AB45" i="25" s="1"/>
  <c r="G45" i="25"/>
  <c r="AF44" i="25"/>
  <c r="AE44" i="25"/>
  <c r="K44" i="25"/>
  <c r="AB44" i="25" s="1"/>
  <c r="G44" i="25"/>
  <c r="AF43" i="25"/>
  <c r="AE43" i="25"/>
  <c r="K43" i="25"/>
  <c r="AB43" i="25" s="1"/>
  <c r="G43" i="25"/>
  <c r="AF42" i="25"/>
  <c r="AE42" i="25"/>
  <c r="K42" i="25"/>
  <c r="AB42" i="25" s="1"/>
  <c r="G42" i="25"/>
  <c r="AF41" i="25"/>
  <c r="AE41" i="25"/>
  <c r="K41" i="25"/>
  <c r="AB41" i="25" s="1"/>
  <c r="G41" i="25"/>
  <c r="AF40" i="25"/>
  <c r="AE40" i="25"/>
  <c r="K40" i="25"/>
  <c r="AB40" i="25" s="1"/>
  <c r="G40" i="25"/>
  <c r="AF39" i="25"/>
  <c r="AE39" i="25"/>
  <c r="K39" i="25"/>
  <c r="AB39" i="25" s="1"/>
  <c r="G39" i="25"/>
  <c r="AF38" i="25"/>
  <c r="AE38" i="25"/>
  <c r="K38" i="25"/>
  <c r="AB38" i="25" s="1"/>
  <c r="G38" i="25"/>
  <c r="AF37" i="25"/>
  <c r="AE37" i="25"/>
  <c r="K37" i="25"/>
  <c r="AB37" i="25" s="1"/>
  <c r="G37" i="25"/>
  <c r="AF36" i="25"/>
  <c r="AE36" i="25"/>
  <c r="K36" i="25"/>
  <c r="AB36" i="25" s="1"/>
  <c r="G36" i="25"/>
  <c r="AF35" i="25"/>
  <c r="AE35" i="25"/>
  <c r="K35" i="25"/>
  <c r="AB35" i="25" s="1"/>
  <c r="G35" i="25"/>
  <c r="AF34" i="25"/>
  <c r="AE34" i="25"/>
  <c r="K34" i="25"/>
  <c r="AB34" i="25" s="1"/>
  <c r="G34" i="25"/>
  <c r="G33" i="25"/>
  <c r="J33" i="25" s="1"/>
  <c r="G32" i="25"/>
  <c r="AF31" i="25"/>
  <c r="AE31" i="25"/>
  <c r="K31" i="25"/>
  <c r="G31" i="25"/>
  <c r="J31" i="25" s="1"/>
  <c r="AF30" i="25"/>
  <c r="AE30" i="25"/>
  <c r="K30" i="25"/>
  <c r="AB30" i="25" s="1"/>
  <c r="G30" i="25"/>
  <c r="AH29" i="25"/>
  <c r="AG29" i="25"/>
  <c r="AD29" i="25"/>
  <c r="X29" i="25"/>
  <c r="W29" i="25"/>
  <c r="U29" i="25"/>
  <c r="T29" i="25"/>
  <c r="R29" i="25"/>
  <c r="Q29" i="25"/>
  <c r="M29" i="25"/>
  <c r="L29" i="25"/>
  <c r="I29" i="25"/>
  <c r="H29" i="25"/>
  <c r="O27" i="25"/>
  <c r="R27" i="25"/>
  <c r="Q27" i="25"/>
  <c r="P27" i="25"/>
  <c r="AE27" i="25" s="1"/>
  <c r="AD24" i="25"/>
  <c r="P22" i="25"/>
  <c r="AE22" i="25" s="1"/>
  <c r="G22" i="25"/>
  <c r="AF21" i="25"/>
  <c r="AF20" i="25"/>
  <c r="S20" i="25"/>
  <c r="R20" i="25"/>
  <c r="Q20" i="25"/>
  <c r="G20" i="25"/>
  <c r="O20" i="25" s="1"/>
  <c r="AF19" i="25"/>
  <c r="S19" i="25"/>
  <c r="R19" i="25"/>
  <c r="Q19" i="25"/>
  <c r="G19" i="25"/>
  <c r="O19" i="25" s="1"/>
  <c r="AF18" i="25"/>
  <c r="S18" i="25"/>
  <c r="R18" i="25"/>
  <c r="Q18" i="25"/>
  <c r="G18" i="25"/>
  <c r="O18" i="25" s="1"/>
  <c r="AF17" i="25"/>
  <c r="S17" i="25"/>
  <c r="R17" i="25"/>
  <c r="Q17" i="25"/>
  <c r="G17" i="25"/>
  <c r="O17" i="25" s="1"/>
  <c r="AF16" i="25"/>
  <c r="S16" i="25"/>
  <c r="R16" i="25"/>
  <c r="Q16" i="25"/>
  <c r="G16" i="25"/>
  <c r="O16" i="25" s="1"/>
  <c r="AF15" i="25"/>
  <c r="S15" i="25"/>
  <c r="R15" i="25"/>
  <c r="Q15" i="25"/>
  <c r="G15" i="25"/>
  <c r="O15" i="25" s="1"/>
  <c r="AH14" i="25"/>
  <c r="AG14" i="25"/>
  <c r="X14" i="25"/>
  <c r="W14" i="25"/>
  <c r="U14" i="25"/>
  <c r="T14" i="25"/>
  <c r="M14" i="25"/>
  <c r="L14" i="25"/>
  <c r="N14" i="25" s="1"/>
  <c r="I14" i="25"/>
  <c r="H14" i="25"/>
  <c r="V98" i="25" l="1"/>
  <c r="V116" i="25"/>
  <c r="N159" i="25"/>
  <c r="N116" i="25"/>
  <c r="N171" i="25"/>
  <c r="G206" i="25"/>
  <c r="J206" i="25" s="1"/>
  <c r="P261" i="25"/>
  <c r="AE261" i="25" s="1"/>
  <c r="S131" i="25"/>
  <c r="N206" i="25"/>
  <c r="G14" i="25"/>
  <c r="O14" i="25" s="1"/>
  <c r="N189" i="25"/>
  <c r="P206" i="25"/>
  <c r="AE206" i="25" s="1"/>
  <c r="N47" i="25"/>
  <c r="AD47" i="25"/>
  <c r="K178" i="25"/>
  <c r="N178" i="25"/>
  <c r="N196" i="25"/>
  <c r="N236" i="25"/>
  <c r="L26" i="25"/>
  <c r="L24" i="25" s="1"/>
  <c r="N29" i="25"/>
  <c r="N83" i="25"/>
  <c r="P171" i="25"/>
  <c r="AE171" i="25" s="1"/>
  <c r="N221" i="25"/>
  <c r="N98" i="25"/>
  <c r="N138" i="25"/>
  <c r="P116" i="25"/>
  <c r="AE116" i="25" s="1"/>
  <c r="G264" i="25"/>
  <c r="N65" i="25"/>
  <c r="N264" i="25"/>
  <c r="B26" i="25"/>
  <c r="O60" i="25"/>
  <c r="O61" i="25"/>
  <c r="K83" i="25"/>
  <c r="K138" i="25"/>
  <c r="V14" i="25"/>
  <c r="K47" i="25"/>
  <c r="S47" i="25"/>
  <c r="S159" i="25"/>
  <c r="AF196" i="25"/>
  <c r="P83" i="25"/>
  <c r="AE83" i="25" s="1"/>
  <c r="AF116" i="25"/>
  <c r="G196" i="25"/>
  <c r="J196" i="25" s="1"/>
  <c r="P196" i="25"/>
  <c r="AE196" i="25" s="1"/>
  <c r="V196" i="25"/>
  <c r="AF83" i="25"/>
  <c r="K98" i="25"/>
  <c r="O101" i="25"/>
  <c r="G138" i="25"/>
  <c r="J138" i="25" s="1"/>
  <c r="P138" i="25"/>
  <c r="AE138" i="25" s="1"/>
  <c r="V138" i="25"/>
  <c r="S236" i="25"/>
  <c r="AF248" i="25"/>
  <c r="C24" i="25"/>
  <c r="B24" i="25" s="1"/>
  <c r="V29" i="25"/>
  <c r="O92" i="25"/>
  <c r="AF98" i="25"/>
  <c r="AF131" i="25"/>
  <c r="G149" i="25"/>
  <c r="J149" i="25" s="1"/>
  <c r="V149" i="25"/>
  <c r="K206" i="25"/>
  <c r="K221" i="25"/>
  <c r="K264" i="25"/>
  <c r="O68" i="25"/>
  <c r="AB68" i="25"/>
  <c r="O242" i="25"/>
  <c r="AB242" i="25"/>
  <c r="O90" i="25"/>
  <c r="AB90" i="25"/>
  <c r="O93" i="25"/>
  <c r="AB93" i="25"/>
  <c r="O117" i="25"/>
  <c r="AB117" i="25"/>
  <c r="O153" i="25"/>
  <c r="AB153" i="25"/>
  <c r="O166" i="25"/>
  <c r="AB166" i="25"/>
  <c r="O191" i="25"/>
  <c r="AB191" i="25"/>
  <c r="O198" i="25"/>
  <c r="AB198" i="25"/>
  <c r="O204" i="25"/>
  <c r="AB204" i="25"/>
  <c r="O222" i="25"/>
  <c r="AB222" i="25"/>
  <c r="O225" i="25"/>
  <c r="AB225" i="25"/>
  <c r="O103" i="25"/>
  <c r="AB103" i="25"/>
  <c r="O134" i="25"/>
  <c r="AB134" i="25"/>
  <c r="O187" i="25"/>
  <c r="AB187" i="25"/>
  <c r="O213" i="25"/>
  <c r="AB213" i="25"/>
  <c r="O259" i="25"/>
  <c r="AB259" i="25"/>
  <c r="O31" i="25"/>
  <c r="AB31" i="25"/>
  <c r="O49" i="25"/>
  <c r="AB49" i="25"/>
  <c r="O122" i="25"/>
  <c r="AB122" i="25"/>
  <c r="O125" i="25"/>
  <c r="AB125" i="25"/>
  <c r="O140" i="25"/>
  <c r="AB140" i="25"/>
  <c r="O157" i="25"/>
  <c r="AB157" i="25"/>
  <c r="G159" i="25"/>
  <c r="J159" i="25" s="1"/>
  <c r="O184" i="25"/>
  <c r="AB184" i="25"/>
  <c r="O185" i="25"/>
  <c r="AB185" i="25"/>
  <c r="O194" i="25"/>
  <c r="P236" i="25"/>
  <c r="AE236" i="25" s="1"/>
  <c r="O256" i="25"/>
  <c r="AB256" i="25"/>
  <c r="K261" i="25"/>
  <c r="AC61" i="25"/>
  <c r="O150" i="25"/>
  <c r="AB150" i="25"/>
  <c r="O72" i="25"/>
  <c r="AB72" i="25"/>
  <c r="O94" i="25"/>
  <c r="AB94" i="25"/>
  <c r="S29" i="25"/>
  <c r="O35" i="25"/>
  <c r="O36" i="25"/>
  <c r="O39" i="25"/>
  <c r="O40" i="25"/>
  <c r="O43" i="25"/>
  <c r="O44" i="25"/>
  <c r="V47" i="25"/>
  <c r="O58" i="25"/>
  <c r="O69" i="25"/>
  <c r="O81" i="25"/>
  <c r="AB81" i="25"/>
  <c r="O99" i="25"/>
  <c r="AB99" i="25"/>
  <c r="O107" i="25"/>
  <c r="AB107" i="25"/>
  <c r="O109" i="25"/>
  <c r="AB109" i="25"/>
  <c r="O113" i="25"/>
  <c r="AB113" i="25"/>
  <c r="G131" i="25"/>
  <c r="J131" i="25" s="1"/>
  <c r="P131" i="25"/>
  <c r="AE131" i="25" s="1"/>
  <c r="AF138" i="25"/>
  <c r="K171" i="25"/>
  <c r="S171" i="25"/>
  <c r="P178" i="25"/>
  <c r="AE178" i="25" s="1"/>
  <c r="P189" i="25"/>
  <c r="AE189" i="25" s="1"/>
  <c r="O209" i="25"/>
  <c r="AB209" i="25"/>
  <c r="O230" i="25"/>
  <c r="AB230" i="25"/>
  <c r="O232" i="25"/>
  <c r="AB232" i="25"/>
  <c r="S248" i="25"/>
  <c r="O250" i="25"/>
  <c r="AB250" i="25"/>
  <c r="O252" i="25"/>
  <c r="AB252" i="25"/>
  <c r="AF261" i="25"/>
  <c r="O262" i="25"/>
  <c r="AB262" i="25"/>
  <c r="V264" i="25"/>
  <c r="P16" i="25"/>
  <c r="AE16" i="25" s="1"/>
  <c r="P20" i="25"/>
  <c r="AE20" i="25" s="1"/>
  <c r="O147" i="25"/>
  <c r="O151" i="25"/>
  <c r="O164" i="25"/>
  <c r="O211" i="25"/>
  <c r="P248" i="25"/>
  <c r="AE248" i="25" s="1"/>
  <c r="G261" i="25"/>
  <c r="J261" i="25" s="1"/>
  <c r="P65" i="25"/>
  <c r="AE65" i="25" s="1"/>
  <c r="R14" i="25"/>
  <c r="O37" i="25"/>
  <c r="O41" i="25"/>
  <c r="O45" i="25"/>
  <c r="K65" i="25"/>
  <c r="S65" i="25"/>
  <c r="O76" i="25"/>
  <c r="O79" i="25"/>
  <c r="G83" i="25"/>
  <c r="O123" i="25"/>
  <c r="O129" i="25"/>
  <c r="O141" i="25"/>
  <c r="P149" i="25"/>
  <c r="AE149" i="25" s="1"/>
  <c r="O155" i="25"/>
  <c r="O156" i="25"/>
  <c r="P159" i="25"/>
  <c r="AE159" i="25" s="1"/>
  <c r="AF159" i="25"/>
  <c r="O161" i="25"/>
  <c r="O173" i="25"/>
  <c r="G178" i="25"/>
  <c r="J178" i="25" s="1"/>
  <c r="AF178" i="25"/>
  <c r="V189" i="25"/>
  <c r="P221" i="25"/>
  <c r="AE221" i="25" s="1"/>
  <c r="AF221" i="25"/>
  <c r="AF236" i="25"/>
  <c r="O270" i="25"/>
  <c r="AH24" i="25"/>
  <c r="G98" i="25"/>
  <c r="J98" i="25" s="1"/>
  <c r="K131" i="25"/>
  <c r="G47" i="25"/>
  <c r="O47" i="25" s="1"/>
  <c r="Q26" i="25"/>
  <c r="Q24" i="25" s="1"/>
  <c r="AF65" i="25"/>
  <c r="V83" i="25"/>
  <c r="O96" i="25"/>
  <c r="S98" i="25"/>
  <c r="O111" i="25"/>
  <c r="K116" i="25"/>
  <c r="S116" i="25"/>
  <c r="O145" i="25"/>
  <c r="K149" i="25"/>
  <c r="O172" i="25"/>
  <c r="O181" i="25"/>
  <c r="K189" i="25"/>
  <c r="K196" i="25"/>
  <c r="O207" i="25"/>
  <c r="V236" i="25"/>
  <c r="O238" i="25"/>
  <c r="O255" i="25"/>
  <c r="O268" i="25"/>
  <c r="O67" i="25"/>
  <c r="J36" i="25"/>
  <c r="O135" i="25"/>
  <c r="K159" i="25"/>
  <c r="O229" i="25"/>
  <c r="M26" i="25"/>
  <c r="J43" i="25"/>
  <c r="O50" i="25"/>
  <c r="O73" i="25"/>
  <c r="J73" i="25"/>
  <c r="J92" i="25"/>
  <c r="J96" i="25"/>
  <c r="R26" i="25"/>
  <c r="R24" i="25" s="1"/>
  <c r="O102" i="25"/>
  <c r="O110" i="25"/>
  <c r="O119" i="25"/>
  <c r="O121" i="25"/>
  <c r="S196" i="25"/>
  <c r="O197" i="25"/>
  <c r="O199" i="25"/>
  <c r="H26" i="25"/>
  <c r="H24" i="25" s="1"/>
  <c r="H12" i="25" s="1"/>
  <c r="J40" i="25"/>
  <c r="J44" i="25"/>
  <c r="J60" i="25"/>
  <c r="O63" i="25"/>
  <c r="O78" i="25"/>
  <c r="O118" i="25"/>
  <c r="O162" i="25"/>
  <c r="O169" i="25"/>
  <c r="J172" i="25"/>
  <c r="O182" i="25"/>
  <c r="S189" i="25"/>
  <c r="O190" i="25"/>
  <c r="O218" i="25"/>
  <c r="O223" i="25"/>
  <c r="O253" i="25"/>
  <c r="J35" i="25"/>
  <c r="J39" i="25"/>
  <c r="O54" i="25"/>
  <c r="O71" i="25"/>
  <c r="P17" i="25"/>
  <c r="AE17" i="25" s="1"/>
  <c r="P29" i="25"/>
  <c r="AE29" i="25" s="1"/>
  <c r="O34" i="25"/>
  <c r="O38" i="25"/>
  <c r="O42" i="25"/>
  <c r="U26" i="25"/>
  <c r="U24" i="25" s="1"/>
  <c r="U12" i="25" s="1"/>
  <c r="O51" i="25"/>
  <c r="O53" i="25"/>
  <c r="O55" i="25"/>
  <c r="O59" i="25"/>
  <c r="V65" i="25"/>
  <c r="O87" i="25"/>
  <c r="O106" i="25"/>
  <c r="O127" i="25"/>
  <c r="O133" i="25"/>
  <c r="O154" i="25"/>
  <c r="V159" i="25"/>
  <c r="O165" i="25"/>
  <c r="V178" i="25"/>
  <c r="O183" i="25"/>
  <c r="O186" i="25"/>
  <c r="G189" i="25"/>
  <c r="J189" i="25" s="1"/>
  <c r="O192" i="25"/>
  <c r="O210" i="25"/>
  <c r="K248" i="25"/>
  <c r="O193" i="25"/>
  <c r="O200" i="25"/>
  <c r="V206" i="25"/>
  <c r="O208" i="25"/>
  <c r="O215" i="25"/>
  <c r="O217" i="25"/>
  <c r="V221" i="25"/>
  <c r="O224" i="25"/>
  <c r="O233" i="25"/>
  <c r="O241" i="25"/>
  <c r="O243" i="25"/>
  <c r="O246" i="25"/>
  <c r="O251" i="25"/>
  <c r="V261" i="25"/>
  <c r="S264" i="25"/>
  <c r="O269" i="25"/>
  <c r="O75" i="25"/>
  <c r="O80" i="25"/>
  <c r="O84" i="25"/>
  <c r="O86" i="25"/>
  <c r="O88" i="25"/>
  <c r="O91" i="25"/>
  <c r="O95" i="25"/>
  <c r="O114" i="25"/>
  <c r="O126" i="25"/>
  <c r="S138" i="25"/>
  <c r="O142" i="25"/>
  <c r="O152" i="25"/>
  <c r="O163" i="25"/>
  <c r="G171" i="25"/>
  <c r="J171" i="25" s="1"/>
  <c r="AF171" i="25"/>
  <c r="O174" i="25"/>
  <c r="O179" i="25"/>
  <c r="O203" i="25"/>
  <c r="S206" i="25"/>
  <c r="O212" i="25"/>
  <c r="J217" i="25"/>
  <c r="O219" i="25"/>
  <c r="S221" i="25"/>
  <c r="O231" i="25"/>
  <c r="G236" i="25"/>
  <c r="J236" i="25" s="1"/>
  <c r="O237" i="25"/>
  <c r="G248" i="25"/>
  <c r="J248" i="25" s="1"/>
  <c r="O254" i="25"/>
  <c r="S261" i="25"/>
  <c r="AF264" i="25"/>
  <c r="O265" i="25"/>
  <c r="O108" i="25"/>
  <c r="J108" i="25"/>
  <c r="O139" i="25"/>
  <c r="J139" i="25"/>
  <c r="O143" i="25"/>
  <c r="J143" i="25"/>
  <c r="G29" i="25"/>
  <c r="J29" i="25" s="1"/>
  <c r="J30" i="25"/>
  <c r="J34" i="25"/>
  <c r="J38" i="25"/>
  <c r="J42" i="25"/>
  <c r="J176" i="25"/>
  <c r="O176" i="25"/>
  <c r="AD12" i="25"/>
  <c r="P15" i="25"/>
  <c r="AE15" i="25" s="1"/>
  <c r="P19" i="25"/>
  <c r="I26" i="25"/>
  <c r="J37" i="25"/>
  <c r="J41" i="25"/>
  <c r="J45" i="25"/>
  <c r="P47" i="25"/>
  <c r="J51" i="25"/>
  <c r="O56" i="25"/>
  <c r="J61" i="25"/>
  <c r="G65" i="25"/>
  <c r="X26" i="25"/>
  <c r="X24" i="25" s="1"/>
  <c r="X12" i="25" s="1"/>
  <c r="O70" i="25"/>
  <c r="J84" i="25"/>
  <c r="O89" i="25"/>
  <c r="J109" i="25"/>
  <c r="J113" i="25"/>
  <c r="G116" i="25"/>
  <c r="O120" i="25"/>
  <c r="J120" i="25"/>
  <c r="O124" i="25"/>
  <c r="J124" i="25"/>
  <c r="O128" i="25"/>
  <c r="J128" i="25"/>
  <c r="V131" i="25"/>
  <c r="J140" i="25"/>
  <c r="AF149" i="25"/>
  <c r="J160" i="25"/>
  <c r="O160" i="25"/>
  <c r="J168" i="25"/>
  <c r="O168" i="25"/>
  <c r="J228" i="25"/>
  <c r="O228" i="25"/>
  <c r="O112" i="25"/>
  <c r="J112" i="25"/>
  <c r="J52" i="25"/>
  <c r="J55" i="25"/>
  <c r="J66" i="25"/>
  <c r="J69" i="25"/>
  <c r="J85" i="25"/>
  <c r="J88" i="25"/>
  <c r="J101" i="25"/>
  <c r="O132" i="25"/>
  <c r="J132" i="25"/>
  <c r="Q14" i="25"/>
  <c r="AF14" i="25"/>
  <c r="P18" i="25"/>
  <c r="AE18" i="25" s="1"/>
  <c r="K29" i="25"/>
  <c r="W26" i="25"/>
  <c r="AF29" i="25"/>
  <c r="O30" i="25"/>
  <c r="AF47" i="25"/>
  <c r="AG24" i="25"/>
  <c r="O52" i="25"/>
  <c r="T26" i="25"/>
  <c r="O66" i="25"/>
  <c r="S83" i="25"/>
  <c r="O85" i="25"/>
  <c r="P98" i="25"/>
  <c r="AE98" i="25" s="1"/>
  <c r="O100" i="25"/>
  <c r="J100" i="25"/>
  <c r="J144" i="25"/>
  <c r="J156" i="25"/>
  <c r="J165" i="25"/>
  <c r="J184" i="25"/>
  <c r="O214" i="25"/>
  <c r="J240" i="25"/>
  <c r="O240" i="25"/>
  <c r="J155" i="25"/>
  <c r="J164" i="25"/>
  <c r="O167" i="25"/>
  <c r="AF206" i="25"/>
  <c r="J209" i="25"/>
  <c r="J218" i="25"/>
  <c r="J249" i="25"/>
  <c r="O249" i="25"/>
  <c r="J267" i="25"/>
  <c r="O267" i="25"/>
  <c r="O144" i="25"/>
  <c r="O146" i="25"/>
  <c r="S149" i="25"/>
  <c r="K236" i="25"/>
  <c r="J245" i="25"/>
  <c r="O245" i="25"/>
  <c r="V248" i="25"/>
  <c r="P264" i="25"/>
  <c r="AE264" i="25" s="1"/>
  <c r="J181" i="25"/>
  <c r="O216" i="25"/>
  <c r="J229" i="25"/>
  <c r="O239" i="25"/>
  <c r="J244" i="25"/>
  <c r="J253" i="25"/>
  <c r="O266" i="25"/>
  <c r="V171" i="25"/>
  <c r="O175" i="25"/>
  <c r="S178" i="25"/>
  <c r="J185" i="25"/>
  <c r="AF189" i="25"/>
  <c r="J198" i="25"/>
  <c r="J210" i="25"/>
  <c r="G221" i="25"/>
  <c r="J222" i="25"/>
  <c r="O227" i="25"/>
  <c r="J233" i="25"/>
  <c r="J241" i="25"/>
  <c r="J250" i="25"/>
  <c r="J259" i="25"/>
  <c r="J268" i="25"/>
  <c r="O206" i="25" l="1"/>
  <c r="AH12" i="25"/>
  <c r="P26" i="25"/>
  <c r="J14" i="25"/>
  <c r="O264" i="25"/>
  <c r="AE47" i="25"/>
  <c r="C12" i="25"/>
  <c r="B12" i="25" s="1"/>
  <c r="O221" i="25"/>
  <c r="O196" i="25"/>
  <c r="O261" i="25"/>
  <c r="J264" i="25"/>
  <c r="O98" i="25"/>
  <c r="O149" i="25"/>
  <c r="O83" i="25"/>
  <c r="M24" i="25"/>
  <c r="N26" i="25"/>
  <c r="J47" i="25"/>
  <c r="O131" i="25"/>
  <c r="O159" i="25"/>
  <c r="O138" i="25"/>
  <c r="J83" i="25"/>
  <c r="O236" i="25"/>
  <c r="Q12" i="25"/>
  <c r="R12" i="25"/>
  <c r="O178" i="25"/>
  <c r="O248" i="25"/>
  <c r="O171" i="25"/>
  <c r="O189" i="25"/>
  <c r="P24" i="25"/>
  <c r="AE24" i="25" s="1"/>
  <c r="AE26" i="25"/>
  <c r="K26" i="25"/>
  <c r="L12" i="25"/>
  <c r="P14" i="25"/>
  <c r="J65" i="25"/>
  <c r="G26" i="25"/>
  <c r="I24" i="25"/>
  <c r="I12" i="25" s="1"/>
  <c r="G12" i="25" s="1"/>
  <c r="AF24" i="25"/>
  <c r="AG12" i="25"/>
  <c r="V26" i="25"/>
  <c r="V24" i="25" s="1"/>
  <c r="W24" i="25"/>
  <c r="W12" i="25" s="1"/>
  <c r="V12" i="25" s="1"/>
  <c r="O65" i="25"/>
  <c r="J116" i="25"/>
  <c r="AE19" i="25"/>
  <c r="J221" i="25"/>
  <c r="S26" i="25"/>
  <c r="S24" i="25" s="1"/>
  <c r="T24" i="25"/>
  <c r="T12" i="25" s="1"/>
  <c r="S12" i="25" s="1"/>
  <c r="O29" i="25"/>
  <c r="O116" i="25"/>
  <c r="AF12" i="25" l="1"/>
  <c r="M12" i="25"/>
  <c r="N12" i="25" s="1"/>
  <c r="N24" i="25"/>
  <c r="P12" i="25"/>
  <c r="AE12" i="25" s="1"/>
  <c r="K24" i="25"/>
  <c r="O26" i="25"/>
  <c r="J12" i="25"/>
  <c r="J26" i="25"/>
  <c r="G24" i="25"/>
  <c r="J24" i="25" s="1"/>
  <c r="AE14" i="25"/>
  <c r="K12" i="25" l="1"/>
  <c r="O12" i="25" s="1"/>
  <c r="O24" i="25"/>
  <c r="AL23" i="15" l="1"/>
  <c r="AJ23" i="15"/>
  <c r="AK23" i="15" l="1"/>
  <c r="Q7" i="21" l="1"/>
  <c r="P7" i="21"/>
  <c r="O11" i="23"/>
  <c r="O10" i="23"/>
  <c r="O9" i="23"/>
  <c r="Q8" i="23"/>
  <c r="P8" i="23"/>
  <c r="AH11" i="17"/>
  <c r="AH8" i="17" s="1"/>
  <c r="AG8" i="17"/>
  <c r="AF8" i="17"/>
  <c r="AR8" i="17" s="1"/>
  <c r="AE11" i="17"/>
  <c r="AB6" i="7"/>
  <c r="AA6" i="7"/>
  <c r="Z6" i="7"/>
  <c r="AE8" i="17" l="1"/>
  <c r="AQ8" i="17" s="1"/>
  <c r="AQ11" i="17"/>
  <c r="O8" i="23"/>
  <c r="L11" i="23" l="1"/>
  <c r="J11" i="23"/>
  <c r="I11" i="23" s="1"/>
  <c r="F11" i="23"/>
  <c r="C11" i="23"/>
  <c r="L10" i="23"/>
  <c r="I10" i="23"/>
  <c r="F10" i="23"/>
  <c r="C10" i="23"/>
  <c r="L9" i="23"/>
  <c r="I9" i="23"/>
  <c r="F9" i="23"/>
  <c r="C9" i="23"/>
  <c r="N8" i="23"/>
  <c r="M8" i="23"/>
  <c r="K8" i="23"/>
  <c r="H8" i="23"/>
  <c r="G8" i="23"/>
  <c r="E8" i="23"/>
  <c r="D8" i="23"/>
  <c r="AM27" i="21"/>
  <c r="AL27" i="21"/>
  <c r="AM26" i="21"/>
  <c r="AL26" i="21"/>
  <c r="AM25" i="21"/>
  <c r="AL25" i="21"/>
  <c r="AM24" i="21"/>
  <c r="AL24" i="21"/>
  <c r="O7" i="21"/>
  <c r="N7" i="21"/>
  <c r="M7" i="21"/>
  <c r="L7" i="21"/>
  <c r="K7" i="21"/>
  <c r="J7" i="21"/>
  <c r="I7" i="21"/>
  <c r="H7" i="21"/>
  <c r="G7" i="21"/>
  <c r="F7" i="21"/>
  <c r="E7" i="21"/>
  <c r="D7" i="21"/>
  <c r="C7" i="21"/>
  <c r="B7" i="21"/>
  <c r="BW43" i="17"/>
  <c r="BV43" i="17"/>
  <c r="BW42" i="17"/>
  <c r="BV42" i="17"/>
  <c r="AD11" i="17"/>
  <c r="AD8" i="17" s="1"/>
  <c r="AC11" i="17"/>
  <c r="AC8" i="17" s="1"/>
  <c r="AB11" i="17"/>
  <c r="AB8" i="17" s="1"/>
  <c r="AA11" i="17"/>
  <c r="Y11" i="17"/>
  <c r="Y8" i="17" s="1"/>
  <c r="X11" i="17"/>
  <c r="X8" i="17" s="1"/>
  <c r="W11" i="17"/>
  <c r="V11" i="17"/>
  <c r="V8" i="17" s="1"/>
  <c r="T11" i="17"/>
  <c r="T8" i="17" s="1"/>
  <c r="S11" i="17"/>
  <c r="S8" i="17" s="1"/>
  <c r="R11" i="17"/>
  <c r="R8" i="17" s="1"/>
  <c r="Q11" i="17"/>
  <c r="Q8" i="17" s="1"/>
  <c r="O11" i="17"/>
  <c r="O8" i="17" s="1"/>
  <c r="N11" i="17"/>
  <c r="N8" i="17" s="1"/>
  <c r="M11" i="17"/>
  <c r="M8" i="17" s="1"/>
  <c r="L11" i="17"/>
  <c r="L8" i="17" s="1"/>
  <c r="W8" i="17"/>
  <c r="R168" i="16"/>
  <c r="Q168" i="16"/>
  <c r="P168" i="16"/>
  <c r="O168" i="16"/>
  <c r="N168" i="16"/>
  <c r="M168" i="16"/>
  <c r="L168" i="16"/>
  <c r="K168" i="16"/>
  <c r="J168" i="16"/>
  <c r="I168" i="16"/>
  <c r="H168" i="16"/>
  <c r="G168" i="16"/>
  <c r="F168" i="16"/>
  <c r="E168" i="16"/>
  <c r="D168" i="16"/>
  <c r="C168" i="16"/>
  <c r="B168" i="16"/>
  <c r="R148" i="16"/>
  <c r="Q148" i="16"/>
  <c r="P148" i="16"/>
  <c r="O148" i="16"/>
  <c r="N148" i="16"/>
  <c r="M148" i="16"/>
  <c r="L148" i="16"/>
  <c r="K148" i="16"/>
  <c r="J148" i="16"/>
  <c r="I148" i="16"/>
  <c r="H148" i="16"/>
  <c r="G148" i="16"/>
  <c r="F148" i="16"/>
  <c r="E148" i="16"/>
  <c r="D148" i="16"/>
  <c r="C148" i="16"/>
  <c r="B148" i="16"/>
  <c r="R128" i="16"/>
  <c r="Q128" i="16"/>
  <c r="P128" i="16"/>
  <c r="O128" i="16"/>
  <c r="N128" i="16"/>
  <c r="M128" i="16"/>
  <c r="L128" i="16"/>
  <c r="K128" i="16"/>
  <c r="J128" i="16"/>
  <c r="I128" i="16"/>
  <c r="H128" i="16"/>
  <c r="G128" i="16"/>
  <c r="F128" i="16"/>
  <c r="E128" i="16"/>
  <c r="D128" i="16"/>
  <c r="C128" i="16"/>
  <c r="B128" i="16"/>
  <c r="R107" i="16"/>
  <c r="Q107" i="16"/>
  <c r="P107" i="16"/>
  <c r="O107" i="16"/>
  <c r="N107" i="16"/>
  <c r="M107" i="16"/>
  <c r="L107" i="16"/>
  <c r="K107" i="16"/>
  <c r="J107" i="16"/>
  <c r="I107" i="16"/>
  <c r="H107" i="16"/>
  <c r="G107" i="16"/>
  <c r="F107" i="16"/>
  <c r="E107" i="16"/>
  <c r="D107" i="16"/>
  <c r="C107" i="16"/>
  <c r="B107" i="16"/>
  <c r="R87" i="16"/>
  <c r="Q87" i="16"/>
  <c r="P87" i="16"/>
  <c r="O87" i="16"/>
  <c r="N87" i="16"/>
  <c r="M87" i="16"/>
  <c r="L87" i="16"/>
  <c r="K87" i="16"/>
  <c r="J87" i="16"/>
  <c r="I87" i="16"/>
  <c r="H87" i="16"/>
  <c r="G87" i="16"/>
  <c r="F87" i="16"/>
  <c r="E87" i="16"/>
  <c r="D87" i="16"/>
  <c r="C87" i="16"/>
  <c r="B87" i="16"/>
  <c r="R67" i="16"/>
  <c r="Q67" i="16"/>
  <c r="P67" i="16"/>
  <c r="O67" i="16"/>
  <c r="N67" i="16"/>
  <c r="M67" i="16"/>
  <c r="L67" i="16"/>
  <c r="K67" i="16"/>
  <c r="J67" i="16"/>
  <c r="I67" i="16"/>
  <c r="H67" i="16"/>
  <c r="G67" i="16"/>
  <c r="F67" i="16"/>
  <c r="E67" i="16"/>
  <c r="D67" i="16"/>
  <c r="C67" i="16"/>
  <c r="B67" i="16"/>
  <c r="AK50" i="16"/>
  <c r="AJ50" i="16"/>
  <c r="AI50" i="16"/>
  <c r="AH50" i="16"/>
  <c r="R46" i="16"/>
  <c r="Q46" i="16"/>
  <c r="P46" i="16"/>
  <c r="O46" i="16"/>
  <c r="N46" i="16"/>
  <c r="M46" i="16"/>
  <c r="L46" i="16"/>
  <c r="K46" i="16"/>
  <c r="J46" i="16"/>
  <c r="I46" i="16"/>
  <c r="H46" i="16"/>
  <c r="G46" i="16"/>
  <c r="F46" i="16"/>
  <c r="E46" i="16"/>
  <c r="D46" i="16"/>
  <c r="C46" i="16"/>
  <c r="B46" i="16"/>
  <c r="R26" i="16"/>
  <c r="Q26" i="16"/>
  <c r="P26" i="16"/>
  <c r="O26" i="16"/>
  <c r="N26" i="16"/>
  <c r="M26" i="16"/>
  <c r="L26" i="16"/>
  <c r="K26" i="16"/>
  <c r="J26" i="16"/>
  <c r="I26" i="16"/>
  <c r="H26" i="16"/>
  <c r="G26" i="16"/>
  <c r="F26" i="16"/>
  <c r="E26" i="16"/>
  <c r="D26" i="16"/>
  <c r="C26" i="16"/>
  <c r="B26" i="16"/>
  <c r="AK23" i="16"/>
  <c r="AJ23" i="16"/>
  <c r="AI23" i="16"/>
  <c r="AH23" i="16"/>
  <c r="R6" i="16"/>
  <c r="Q6" i="16"/>
  <c r="P6" i="16"/>
  <c r="O6" i="16"/>
  <c r="N6" i="16"/>
  <c r="M6" i="16"/>
  <c r="L6" i="16"/>
  <c r="K6" i="16"/>
  <c r="J6" i="16"/>
  <c r="I6" i="16"/>
  <c r="H6" i="16"/>
  <c r="G6" i="16"/>
  <c r="F6" i="16"/>
  <c r="E6" i="16"/>
  <c r="D6" i="16"/>
  <c r="C6" i="16"/>
  <c r="B6" i="16"/>
  <c r="J8" i="23" l="1"/>
  <c r="I8" i="23" s="1"/>
  <c r="F8" i="23"/>
  <c r="C8" i="23"/>
  <c r="BW44" i="17"/>
  <c r="L8" i="23"/>
  <c r="BV44" i="17"/>
  <c r="AF3" i="21"/>
  <c r="AA8" i="17"/>
  <c r="AL50" i="15"/>
  <c r="AI50" i="15"/>
  <c r="R170" i="15"/>
  <c r="Q170" i="15"/>
  <c r="P170" i="15"/>
  <c r="O170" i="15"/>
  <c r="N170" i="15"/>
  <c r="M170" i="15"/>
  <c r="L170" i="15"/>
  <c r="K170" i="15"/>
  <c r="J170" i="15"/>
  <c r="I170" i="15"/>
  <c r="H170" i="15"/>
  <c r="G170" i="15"/>
  <c r="F170" i="15"/>
  <c r="E170" i="15"/>
  <c r="D170" i="15"/>
  <c r="C170" i="15"/>
  <c r="B170" i="15"/>
  <c r="R150" i="15"/>
  <c r="Q150" i="15"/>
  <c r="P150" i="15"/>
  <c r="O150" i="15"/>
  <c r="N150" i="15"/>
  <c r="M150" i="15"/>
  <c r="L150" i="15"/>
  <c r="K150" i="15"/>
  <c r="J150" i="15"/>
  <c r="I150" i="15"/>
  <c r="H150" i="15"/>
  <c r="G150" i="15"/>
  <c r="F150" i="15"/>
  <c r="E150" i="15"/>
  <c r="D150" i="15"/>
  <c r="C150" i="15"/>
  <c r="B150" i="15"/>
  <c r="R130" i="15"/>
  <c r="Q130" i="15"/>
  <c r="P130" i="15"/>
  <c r="O130" i="15"/>
  <c r="N130" i="15"/>
  <c r="M130" i="15"/>
  <c r="L130" i="15"/>
  <c r="K130" i="15"/>
  <c r="J130" i="15"/>
  <c r="I130" i="15"/>
  <c r="H130" i="15"/>
  <c r="G130" i="15"/>
  <c r="F130" i="15"/>
  <c r="E130" i="15"/>
  <c r="D130" i="15"/>
  <c r="C130" i="15"/>
  <c r="B130" i="15"/>
  <c r="R108" i="15"/>
  <c r="Q108" i="15"/>
  <c r="P108" i="15"/>
  <c r="O108" i="15"/>
  <c r="N108" i="15"/>
  <c r="M108" i="15"/>
  <c r="L108" i="15"/>
  <c r="K108" i="15"/>
  <c r="J108" i="15"/>
  <c r="I108" i="15"/>
  <c r="H108" i="15"/>
  <c r="G108" i="15"/>
  <c r="F108" i="15"/>
  <c r="E108" i="15"/>
  <c r="D108" i="15"/>
  <c r="C108" i="15"/>
  <c r="B108" i="15"/>
  <c r="R88" i="15"/>
  <c r="Q88" i="15"/>
  <c r="P88" i="15"/>
  <c r="O88" i="15"/>
  <c r="N88" i="15"/>
  <c r="M88" i="15"/>
  <c r="L88" i="15"/>
  <c r="K88" i="15"/>
  <c r="J88" i="15"/>
  <c r="I88" i="15"/>
  <c r="H88" i="15"/>
  <c r="G88" i="15"/>
  <c r="F88" i="15"/>
  <c r="E88" i="15"/>
  <c r="D88" i="15"/>
  <c r="C88" i="15"/>
  <c r="B88" i="15"/>
  <c r="R68" i="15"/>
  <c r="Q68" i="15"/>
  <c r="P68" i="15"/>
  <c r="O68" i="15"/>
  <c r="N68" i="15"/>
  <c r="M68" i="15"/>
  <c r="L68" i="15"/>
  <c r="K68" i="15"/>
  <c r="J68" i="15"/>
  <c r="I68" i="15"/>
  <c r="H68" i="15"/>
  <c r="G68" i="15"/>
  <c r="F68" i="15"/>
  <c r="E68" i="15"/>
  <c r="D68" i="15"/>
  <c r="C68" i="15"/>
  <c r="B68" i="15"/>
  <c r="AK50" i="15"/>
  <c r="AJ50" i="15"/>
  <c r="R46" i="15"/>
  <c r="Q46" i="15"/>
  <c r="P46" i="15"/>
  <c r="O46" i="15"/>
  <c r="N46" i="15"/>
  <c r="M46" i="15"/>
  <c r="L46" i="15"/>
  <c r="K46" i="15"/>
  <c r="J46" i="15"/>
  <c r="I46" i="15"/>
  <c r="H46" i="15"/>
  <c r="G46" i="15"/>
  <c r="F46" i="15"/>
  <c r="E46" i="15"/>
  <c r="D46" i="15"/>
  <c r="C46" i="15"/>
  <c r="B46" i="15"/>
  <c r="R26" i="15"/>
  <c r="Q26" i="15"/>
  <c r="P26" i="15"/>
  <c r="O26" i="15"/>
  <c r="N26" i="15"/>
  <c r="M26" i="15"/>
  <c r="L26" i="15"/>
  <c r="K26" i="15"/>
  <c r="J26" i="15"/>
  <c r="I26" i="15"/>
  <c r="H26" i="15"/>
  <c r="G26" i="15"/>
  <c r="F26" i="15"/>
  <c r="E26" i="15"/>
  <c r="D26" i="15"/>
  <c r="C26" i="15"/>
  <c r="B26" i="15"/>
  <c r="R6" i="15"/>
  <c r="Q6" i="15"/>
  <c r="P6" i="15"/>
  <c r="O6" i="15"/>
  <c r="N6" i="15"/>
  <c r="M6" i="15"/>
  <c r="L6" i="15"/>
  <c r="K6" i="15"/>
  <c r="J6" i="15"/>
  <c r="I6" i="15"/>
  <c r="H6" i="15"/>
  <c r="G6" i="15"/>
  <c r="F6" i="15"/>
  <c r="E6" i="15"/>
  <c r="D6" i="15"/>
  <c r="C6" i="15"/>
  <c r="B6" i="15"/>
  <c r="R168" i="14"/>
  <c r="Q168" i="14"/>
  <c r="P168" i="14"/>
  <c r="O168" i="14"/>
  <c r="N168" i="14"/>
  <c r="M168" i="14"/>
  <c r="L168" i="14"/>
  <c r="K168" i="14"/>
  <c r="J168" i="14"/>
  <c r="I168" i="14"/>
  <c r="H168" i="14"/>
  <c r="G168" i="14"/>
  <c r="F168" i="14"/>
  <c r="E168" i="14"/>
  <c r="D168" i="14"/>
  <c r="C168" i="14"/>
  <c r="B168" i="14"/>
  <c r="R148" i="14"/>
  <c r="Q148" i="14"/>
  <c r="P148" i="14"/>
  <c r="O148" i="14"/>
  <c r="N148" i="14"/>
  <c r="M148" i="14"/>
  <c r="L148" i="14"/>
  <c r="K148" i="14"/>
  <c r="J148" i="14"/>
  <c r="I148" i="14"/>
  <c r="H148" i="14"/>
  <c r="G148" i="14"/>
  <c r="F148" i="14"/>
  <c r="E148" i="14"/>
  <c r="D148" i="14"/>
  <c r="C148" i="14"/>
  <c r="B148" i="14"/>
  <c r="R128" i="14"/>
  <c r="Q128" i="14"/>
  <c r="P128" i="14"/>
  <c r="O128" i="14"/>
  <c r="N128" i="14"/>
  <c r="M128" i="14"/>
  <c r="L128" i="14"/>
  <c r="K128" i="14"/>
  <c r="J128" i="14"/>
  <c r="I128" i="14"/>
  <c r="H128" i="14"/>
  <c r="G128" i="14"/>
  <c r="F128" i="14"/>
  <c r="E128" i="14"/>
  <c r="D128" i="14"/>
  <c r="C128" i="14"/>
  <c r="B128" i="14"/>
  <c r="R107" i="14"/>
  <c r="Q107" i="14"/>
  <c r="P107" i="14"/>
  <c r="O107" i="14"/>
  <c r="N107" i="14"/>
  <c r="M107" i="14"/>
  <c r="L107" i="14"/>
  <c r="K107" i="14"/>
  <c r="J107" i="14"/>
  <c r="I107" i="14"/>
  <c r="H107" i="14"/>
  <c r="G107" i="14"/>
  <c r="F107" i="14"/>
  <c r="E107" i="14"/>
  <c r="D107" i="14"/>
  <c r="C107" i="14"/>
  <c r="B107" i="14"/>
  <c r="R87" i="14"/>
  <c r="Q87" i="14"/>
  <c r="P87" i="14"/>
  <c r="O87" i="14"/>
  <c r="N87" i="14"/>
  <c r="M87" i="14"/>
  <c r="L87" i="14"/>
  <c r="K87" i="14"/>
  <c r="J87" i="14"/>
  <c r="I87" i="14"/>
  <c r="H87" i="14"/>
  <c r="G87" i="14"/>
  <c r="F87" i="14"/>
  <c r="E87" i="14"/>
  <c r="D87" i="14"/>
  <c r="C87" i="14"/>
  <c r="B87" i="14"/>
  <c r="R67" i="14"/>
  <c r="Q67" i="14"/>
  <c r="P67" i="14"/>
  <c r="O67" i="14"/>
  <c r="N67" i="14"/>
  <c r="M67" i="14"/>
  <c r="L67" i="14"/>
  <c r="K67" i="14"/>
  <c r="J67" i="14"/>
  <c r="I67" i="14"/>
  <c r="H67" i="14"/>
  <c r="G67" i="14"/>
  <c r="F67" i="14"/>
  <c r="E67" i="14"/>
  <c r="D67" i="14"/>
  <c r="C67" i="14"/>
  <c r="B67" i="14"/>
  <c r="AN50" i="14"/>
  <c r="AM50" i="14"/>
  <c r="AL50" i="14"/>
  <c r="AK50" i="14"/>
  <c r="R46" i="14"/>
  <c r="Q46" i="14"/>
  <c r="P46" i="14"/>
  <c r="O46" i="14"/>
  <c r="N46" i="14"/>
  <c r="M46" i="14"/>
  <c r="L46" i="14"/>
  <c r="K46" i="14"/>
  <c r="J46" i="14"/>
  <c r="I46" i="14"/>
  <c r="H46" i="14"/>
  <c r="G46" i="14"/>
  <c r="F46" i="14"/>
  <c r="E46" i="14"/>
  <c r="D46" i="14"/>
  <c r="C46" i="14"/>
  <c r="B46" i="14"/>
  <c r="R26" i="14"/>
  <c r="Q26" i="14"/>
  <c r="P26" i="14"/>
  <c r="O26" i="14"/>
  <c r="N26" i="14"/>
  <c r="M26" i="14"/>
  <c r="L26" i="14"/>
  <c r="K26" i="14"/>
  <c r="J26" i="14"/>
  <c r="I26" i="14"/>
  <c r="H26" i="14"/>
  <c r="G26" i="14"/>
  <c r="F26" i="14"/>
  <c r="E26" i="14"/>
  <c r="D26" i="14"/>
  <c r="C26" i="14"/>
  <c r="B26" i="14"/>
  <c r="R6" i="14"/>
  <c r="Q6" i="14"/>
  <c r="P6" i="14"/>
  <c r="O6" i="14"/>
  <c r="N6" i="14"/>
  <c r="M6" i="14"/>
  <c r="L6" i="14"/>
  <c r="K6" i="14"/>
  <c r="J6" i="14"/>
  <c r="I6" i="14"/>
  <c r="H6" i="14"/>
  <c r="G6" i="14"/>
  <c r="F6" i="14"/>
  <c r="E6" i="14"/>
  <c r="D6" i="14"/>
  <c r="C6" i="14"/>
  <c r="B6" i="14"/>
  <c r="R170" i="13"/>
  <c r="Q170" i="13"/>
  <c r="P170" i="13"/>
  <c r="O170" i="13"/>
  <c r="N170" i="13"/>
  <c r="M170" i="13"/>
  <c r="L170" i="13"/>
  <c r="K170" i="13"/>
  <c r="J170" i="13"/>
  <c r="I170" i="13"/>
  <c r="H170" i="13"/>
  <c r="G170" i="13"/>
  <c r="F170" i="13"/>
  <c r="E170" i="13"/>
  <c r="D170" i="13"/>
  <c r="C170" i="13"/>
  <c r="B170" i="13"/>
  <c r="R150" i="13"/>
  <c r="Q150" i="13"/>
  <c r="P150" i="13"/>
  <c r="O150" i="13"/>
  <c r="N150" i="13"/>
  <c r="M150" i="13"/>
  <c r="L150" i="13"/>
  <c r="K150" i="13"/>
  <c r="J150" i="13"/>
  <c r="I150" i="13"/>
  <c r="H150" i="13"/>
  <c r="G150" i="13"/>
  <c r="F150" i="13"/>
  <c r="E150" i="13"/>
  <c r="D150" i="13"/>
  <c r="C150" i="13"/>
  <c r="B150" i="13"/>
  <c r="R130" i="13"/>
  <c r="Q130" i="13"/>
  <c r="P130" i="13"/>
  <c r="O130" i="13"/>
  <c r="N130" i="13"/>
  <c r="M130" i="13"/>
  <c r="L130" i="13"/>
  <c r="K130" i="13"/>
  <c r="J130" i="13"/>
  <c r="I130" i="13"/>
  <c r="H130" i="13"/>
  <c r="G130" i="13"/>
  <c r="F130" i="13"/>
  <c r="E130" i="13"/>
  <c r="D130" i="13"/>
  <c r="C130" i="13"/>
  <c r="B130" i="13"/>
  <c r="R108" i="13"/>
  <c r="Q108" i="13"/>
  <c r="P108" i="13"/>
  <c r="O108" i="13"/>
  <c r="N108" i="13"/>
  <c r="M108" i="13"/>
  <c r="L108" i="13"/>
  <c r="K108" i="13"/>
  <c r="J108" i="13"/>
  <c r="I108" i="13"/>
  <c r="H108" i="13"/>
  <c r="G108" i="13"/>
  <c r="F108" i="13"/>
  <c r="E108" i="13"/>
  <c r="D108" i="13"/>
  <c r="C108" i="13"/>
  <c r="B108" i="13"/>
  <c r="R88" i="13"/>
  <c r="Q88" i="13"/>
  <c r="P88" i="13"/>
  <c r="O88" i="13"/>
  <c r="N88" i="13"/>
  <c r="M88" i="13"/>
  <c r="L88" i="13"/>
  <c r="K88" i="13"/>
  <c r="J88" i="13"/>
  <c r="I88" i="13"/>
  <c r="H88" i="13"/>
  <c r="G88" i="13"/>
  <c r="F88" i="13"/>
  <c r="E88" i="13"/>
  <c r="D88" i="13"/>
  <c r="C88" i="13"/>
  <c r="B88" i="13"/>
  <c r="R68" i="13"/>
  <c r="Q68" i="13"/>
  <c r="P68" i="13"/>
  <c r="O68" i="13"/>
  <c r="N68" i="13"/>
  <c r="M68" i="13"/>
  <c r="L68" i="13"/>
  <c r="K68" i="13"/>
  <c r="J68" i="13"/>
  <c r="I68" i="13"/>
  <c r="H68" i="13"/>
  <c r="G68" i="13"/>
  <c r="F68" i="13"/>
  <c r="E68" i="13"/>
  <c r="D68" i="13"/>
  <c r="C68" i="13"/>
  <c r="B68" i="13"/>
  <c r="R46" i="13"/>
  <c r="Q46" i="13"/>
  <c r="P46" i="13"/>
  <c r="O46" i="13"/>
  <c r="N46" i="13"/>
  <c r="M46" i="13"/>
  <c r="L46" i="13"/>
  <c r="K46" i="13"/>
  <c r="J46" i="13"/>
  <c r="I46" i="13"/>
  <c r="H46" i="13"/>
  <c r="G46" i="13"/>
  <c r="F46" i="13"/>
  <c r="E46" i="13"/>
  <c r="D46" i="13"/>
  <c r="C46" i="13"/>
  <c r="B46" i="13"/>
  <c r="R26" i="13"/>
  <c r="Q26" i="13"/>
  <c r="P26" i="13"/>
  <c r="O26" i="13"/>
  <c r="N26" i="13"/>
  <c r="M26" i="13"/>
  <c r="L26" i="13"/>
  <c r="K26" i="13"/>
  <c r="J26" i="13"/>
  <c r="I26" i="13"/>
  <c r="H26" i="13"/>
  <c r="G26" i="13"/>
  <c r="F26" i="13"/>
  <c r="E26" i="13"/>
  <c r="D26" i="13"/>
  <c r="C26" i="13"/>
  <c r="B26" i="13"/>
  <c r="R6" i="13"/>
  <c r="Q6" i="13"/>
  <c r="P6" i="13"/>
  <c r="O6" i="13"/>
  <c r="N6" i="13"/>
  <c r="M6" i="13"/>
  <c r="L6" i="13"/>
  <c r="K6" i="13"/>
  <c r="J6" i="13"/>
  <c r="I6" i="13"/>
  <c r="H6" i="13"/>
  <c r="G6" i="13"/>
  <c r="F6" i="13"/>
  <c r="E6" i="13"/>
  <c r="D6" i="13"/>
  <c r="C6" i="13"/>
  <c r="Q15" i="11"/>
  <c r="P15" i="11"/>
  <c r="M15" i="11"/>
  <c r="L15" i="11"/>
  <c r="K15" i="11"/>
  <c r="J15" i="11"/>
  <c r="I15" i="11"/>
  <c r="H15" i="11"/>
  <c r="G15" i="11"/>
  <c r="G5" i="11" s="1"/>
  <c r="F15" i="11"/>
  <c r="E15" i="11"/>
  <c r="D15" i="11"/>
  <c r="C15" i="11"/>
  <c r="B15" i="11"/>
  <c r="Q10" i="11"/>
  <c r="P10" i="11"/>
  <c r="M10" i="11"/>
  <c r="L10" i="11"/>
  <c r="K10" i="11"/>
  <c r="J10" i="11"/>
  <c r="I10" i="11"/>
  <c r="H10" i="11"/>
  <c r="G10" i="11"/>
  <c r="F10" i="11"/>
  <c r="E10" i="11"/>
  <c r="D10" i="11"/>
  <c r="C10" i="11"/>
  <c r="B10" i="11"/>
  <c r="Q8" i="11"/>
  <c r="P8" i="11"/>
  <c r="O8" i="11"/>
  <c r="N8" i="11"/>
  <c r="M8" i="11"/>
  <c r="L8" i="11"/>
  <c r="K8" i="11"/>
  <c r="J8" i="11"/>
  <c r="I8" i="11"/>
  <c r="H8" i="11"/>
  <c r="G8" i="11"/>
  <c r="F8" i="11"/>
  <c r="E8" i="11"/>
  <c r="D8" i="11"/>
  <c r="C8" i="11"/>
  <c r="B8" i="11"/>
  <c r="Q7" i="11"/>
  <c r="P7" i="11"/>
  <c r="O7" i="11"/>
  <c r="N7" i="11"/>
  <c r="M7" i="11"/>
  <c r="L7" i="11"/>
  <c r="K7" i="11"/>
  <c r="J7" i="11"/>
  <c r="I7" i="11"/>
  <c r="H7" i="11"/>
  <c r="G7" i="11"/>
  <c r="F7" i="11"/>
  <c r="E7" i="11"/>
  <c r="D7" i="11"/>
  <c r="C7" i="11"/>
  <c r="B7" i="11"/>
  <c r="P6" i="11"/>
  <c r="O6" i="11"/>
  <c r="N6" i="11"/>
  <c r="M6" i="11"/>
  <c r="L6" i="11"/>
  <c r="K6" i="11"/>
  <c r="J6" i="11"/>
  <c r="I6" i="11"/>
  <c r="H6" i="11"/>
  <c r="G6" i="11"/>
  <c r="F6" i="11"/>
  <c r="E6" i="11"/>
  <c r="D6" i="11"/>
  <c r="C6" i="11"/>
  <c r="B6" i="11"/>
  <c r="O5" i="11"/>
  <c r="N5" i="11"/>
  <c r="Q23" i="10"/>
  <c r="Q5" i="10" s="1"/>
  <c r="P23" i="10"/>
  <c r="O23" i="10"/>
  <c r="N23" i="10"/>
  <c r="N5" i="10" s="1"/>
  <c r="M23" i="10"/>
  <c r="L23" i="10"/>
  <c r="K23" i="10"/>
  <c r="J23" i="10"/>
  <c r="I23" i="10"/>
  <c r="H23" i="10"/>
  <c r="G23" i="10"/>
  <c r="F23" i="10"/>
  <c r="E23" i="10"/>
  <c r="D23" i="10"/>
  <c r="C23" i="10"/>
  <c r="B23" i="10"/>
  <c r="P14" i="10"/>
  <c r="O14" i="10"/>
  <c r="N14" i="10"/>
  <c r="M14" i="10"/>
  <c r="L14" i="10"/>
  <c r="K14" i="10"/>
  <c r="J14" i="10"/>
  <c r="I14" i="10"/>
  <c r="H14" i="10"/>
  <c r="G14" i="10"/>
  <c r="F14" i="10"/>
  <c r="E14" i="10"/>
  <c r="D14" i="10"/>
  <c r="C14" i="10"/>
  <c r="B14" i="10"/>
  <c r="O12" i="10"/>
  <c r="F12" i="10"/>
  <c r="D12" i="10"/>
  <c r="C12" i="10"/>
  <c r="B12" i="10"/>
  <c r="O11" i="10"/>
  <c r="F11" i="10"/>
  <c r="D11" i="10"/>
  <c r="C11" i="10"/>
  <c r="B11" i="10"/>
  <c r="O10" i="10"/>
  <c r="F10" i="10"/>
  <c r="D10" i="10"/>
  <c r="C10" i="10"/>
  <c r="B10" i="10"/>
  <c r="O9" i="10"/>
  <c r="F9" i="10"/>
  <c r="D9" i="10"/>
  <c r="C9" i="10"/>
  <c r="B9" i="10"/>
  <c r="O8" i="10"/>
  <c r="F8" i="10"/>
  <c r="D8" i="10"/>
  <c r="C8" i="10"/>
  <c r="B8" i="10"/>
  <c r="O7" i="10"/>
  <c r="F7" i="10"/>
  <c r="D7" i="10"/>
  <c r="C7" i="10"/>
  <c r="B7" i="10"/>
  <c r="O6" i="10"/>
  <c r="F6" i="10"/>
  <c r="D6" i="10"/>
  <c r="C6" i="10"/>
  <c r="B6" i="10"/>
  <c r="H5" i="10"/>
  <c r="G5" i="10"/>
  <c r="E5" i="10"/>
  <c r="AH14" i="21" l="1"/>
  <c r="AH11" i="21"/>
  <c r="C5" i="11"/>
  <c r="O5" i="10"/>
  <c r="P5" i="11"/>
  <c r="K5" i="11"/>
  <c r="L5" i="10"/>
  <c r="B5" i="11"/>
  <c r="L5" i="11"/>
  <c r="H5" i="11"/>
  <c r="D5" i="11"/>
  <c r="Q5" i="11"/>
  <c r="M5" i="10"/>
  <c r="E5" i="11"/>
  <c r="P5" i="10"/>
  <c r="B5" i="10"/>
  <c r="I5" i="11"/>
  <c r="J5" i="11"/>
  <c r="AI16" i="21"/>
  <c r="F5" i="10"/>
  <c r="AH17" i="21"/>
  <c r="M5" i="11"/>
  <c r="F5" i="11"/>
  <c r="AI15" i="21"/>
  <c r="AI17" i="21"/>
  <c r="D5" i="10"/>
  <c r="C5" i="10"/>
  <c r="AS23" i="13"/>
  <c r="AR23" i="13"/>
  <c r="AH16" i="21"/>
  <c r="AH15" i="21"/>
  <c r="AI14" i="21"/>
  <c r="R29" i="19"/>
  <c r="S29" i="19"/>
  <c r="AK23" i="14"/>
  <c r="AT23" i="13"/>
  <c r="G8" i="4" l="1"/>
  <c r="AM16" i="8" l="1"/>
  <c r="AL16" i="8"/>
  <c r="AI16" i="8"/>
  <c r="AH16" i="8"/>
  <c r="W16" i="8"/>
  <c r="V16" i="8"/>
  <c r="U16" i="8"/>
  <c r="R16" i="8"/>
  <c r="Q16" i="8"/>
  <c r="P16" i="8"/>
  <c r="M16" i="8"/>
  <c r="L16" i="8"/>
  <c r="K16" i="8"/>
  <c r="J16" i="8"/>
  <c r="AM15" i="8"/>
  <c r="AL15" i="8"/>
  <c r="AI15" i="8"/>
  <c r="AH15" i="8"/>
  <c r="W15" i="8"/>
  <c r="V15" i="8"/>
  <c r="U15" i="8"/>
  <c r="R15" i="8"/>
  <c r="Q15" i="8"/>
  <c r="P15" i="8"/>
  <c r="M15" i="8"/>
  <c r="L15" i="8"/>
  <c r="K15" i="8"/>
  <c r="J15" i="8"/>
  <c r="AG11" i="8"/>
  <c r="AC11" i="8"/>
  <c r="Y11" i="8"/>
  <c r="T11" i="8"/>
  <c r="O11" i="8"/>
  <c r="AK10" i="8"/>
  <c r="AG10" i="8"/>
  <c r="AC10" i="8"/>
  <c r="Y10" i="8"/>
  <c r="T10" i="8"/>
  <c r="O10" i="8"/>
  <c r="AJ9" i="8"/>
  <c r="AI9" i="8"/>
  <c r="AH9" i="8"/>
  <c r="AF9" i="8"/>
  <c r="AE9" i="8"/>
  <c r="AD9" i="8"/>
  <c r="AB9" i="8"/>
  <c r="AA9" i="8"/>
  <c r="Z9" i="8"/>
  <c r="W9" i="8"/>
  <c r="V9" i="8"/>
  <c r="U9" i="8"/>
  <c r="R9" i="8"/>
  <c r="Q9" i="8"/>
  <c r="P9" i="8"/>
  <c r="AK7" i="8"/>
  <c r="AG7" i="8"/>
  <c r="AC7" i="8"/>
  <c r="Y7" i="8"/>
  <c r="T7" i="8"/>
  <c r="O7" i="8"/>
  <c r="D7" i="8"/>
  <c r="AK6" i="8"/>
  <c r="AG6" i="8"/>
  <c r="AC6" i="8"/>
  <c r="Y6" i="8"/>
  <c r="T6" i="8"/>
  <c r="O6" i="8"/>
  <c r="D6" i="8"/>
  <c r="AJ5" i="8"/>
  <c r="AI5" i="8"/>
  <c r="AH5" i="8"/>
  <c r="AF5" i="8"/>
  <c r="AE5" i="8"/>
  <c r="AD5" i="8"/>
  <c r="AB5" i="8"/>
  <c r="AA5" i="8"/>
  <c r="Z5" i="8"/>
  <c r="W5" i="8"/>
  <c r="V5" i="8"/>
  <c r="U5" i="8"/>
  <c r="R5" i="8"/>
  <c r="Q5" i="8"/>
  <c r="P5" i="8"/>
  <c r="M5" i="8"/>
  <c r="M14" i="8" s="1"/>
  <c r="L5" i="8"/>
  <c r="L14" i="8" s="1"/>
  <c r="K5" i="8"/>
  <c r="K14" i="8" s="1"/>
  <c r="J5" i="8"/>
  <c r="J14" i="8" s="1"/>
  <c r="G5" i="8"/>
  <c r="F5" i="8"/>
  <c r="E5" i="8"/>
  <c r="BZ45" i="7"/>
  <c r="BY45" i="7"/>
  <c r="BZ44" i="7"/>
  <c r="BY44" i="7"/>
  <c r="BZ43" i="7"/>
  <c r="BY43" i="7"/>
  <c r="BZ42" i="7"/>
  <c r="BY42" i="7"/>
  <c r="BZ41" i="7"/>
  <c r="BY41" i="7"/>
  <c r="BZ40" i="7"/>
  <c r="BY40" i="7"/>
  <c r="BZ39" i="7"/>
  <c r="BY39" i="7"/>
  <c r="BZ38" i="7"/>
  <c r="BY38" i="7"/>
  <c r="BZ37" i="7"/>
  <c r="BY37" i="7"/>
  <c r="BZ36" i="7"/>
  <c r="BY36" i="7"/>
  <c r="BZ35" i="7"/>
  <c r="BY35" i="7"/>
  <c r="BZ34" i="7"/>
  <c r="BY34" i="7"/>
  <c r="CJ45" i="7"/>
  <c r="CI45" i="7"/>
  <c r="CJ44" i="7"/>
  <c r="CI44" i="7"/>
  <c r="CJ42" i="7"/>
  <c r="CI42" i="7"/>
  <c r="V18" i="7"/>
  <c r="S18" i="7"/>
  <c r="P18" i="7"/>
  <c r="M18" i="7"/>
  <c r="J18" i="7"/>
  <c r="G18" i="7"/>
  <c r="D18" i="7"/>
  <c r="CJ41" i="7"/>
  <c r="CI41" i="7"/>
  <c r="V17" i="7"/>
  <c r="S17" i="7"/>
  <c r="P17" i="7"/>
  <c r="M17" i="7"/>
  <c r="J17" i="7"/>
  <c r="G17" i="7"/>
  <c r="D17" i="7"/>
  <c r="CJ40" i="7"/>
  <c r="CI40" i="7"/>
  <c r="V16" i="7"/>
  <c r="S16" i="7"/>
  <c r="P16" i="7"/>
  <c r="M16" i="7"/>
  <c r="J16" i="7"/>
  <c r="G16" i="7"/>
  <c r="D16" i="7"/>
  <c r="CJ39" i="7"/>
  <c r="CI39" i="7"/>
  <c r="V15" i="7"/>
  <c r="S15" i="7"/>
  <c r="P15" i="7"/>
  <c r="M15" i="7"/>
  <c r="J15" i="7"/>
  <c r="G15" i="7"/>
  <c r="D15" i="7"/>
  <c r="CJ38" i="7"/>
  <c r="CI38" i="7"/>
  <c r="V14" i="7"/>
  <c r="S14" i="7"/>
  <c r="P14" i="7"/>
  <c r="M14" i="7"/>
  <c r="J14" i="7"/>
  <c r="G14" i="7"/>
  <c r="D14" i="7"/>
  <c r="CJ37" i="7"/>
  <c r="CI37" i="7"/>
  <c r="V13" i="7"/>
  <c r="S13" i="7"/>
  <c r="P13" i="7"/>
  <c r="M13" i="7"/>
  <c r="J13" i="7"/>
  <c r="G13" i="7"/>
  <c r="D13" i="7"/>
  <c r="CJ36" i="7"/>
  <c r="CI36" i="7"/>
  <c r="V12" i="7"/>
  <c r="S12" i="7"/>
  <c r="P12" i="7"/>
  <c r="M12" i="7"/>
  <c r="J12" i="7"/>
  <c r="G12" i="7"/>
  <c r="D12" i="7"/>
  <c r="CJ35" i="7"/>
  <c r="CI35" i="7"/>
  <c r="V11" i="7"/>
  <c r="S11" i="7"/>
  <c r="P11" i="7"/>
  <c r="M11" i="7"/>
  <c r="J11" i="7"/>
  <c r="G11" i="7"/>
  <c r="D11" i="7"/>
  <c r="CJ34" i="7"/>
  <c r="CI34" i="7"/>
  <c r="V10" i="7"/>
  <c r="S10" i="7"/>
  <c r="P10" i="7"/>
  <c r="M10" i="7"/>
  <c r="J10" i="7"/>
  <c r="G10" i="7"/>
  <c r="D10" i="7"/>
  <c r="V9" i="7"/>
  <c r="S9" i="7"/>
  <c r="P9" i="7"/>
  <c r="M9" i="7"/>
  <c r="J9" i="7"/>
  <c r="G9" i="7"/>
  <c r="D9" i="7"/>
  <c r="V8" i="7"/>
  <c r="S8" i="7"/>
  <c r="P8" i="7"/>
  <c r="M8" i="7"/>
  <c r="J8" i="7"/>
  <c r="G8" i="7"/>
  <c r="D8" i="7"/>
  <c r="V7" i="7"/>
  <c r="S7" i="7"/>
  <c r="P7" i="7"/>
  <c r="M7" i="7"/>
  <c r="J7" i="7"/>
  <c r="G7" i="7"/>
  <c r="D7" i="7"/>
  <c r="Y6" i="7"/>
  <c r="X6" i="7"/>
  <c r="W6" i="7"/>
  <c r="U6" i="7"/>
  <c r="T6" i="7"/>
  <c r="R6" i="7"/>
  <c r="Q6" i="7"/>
  <c r="O6" i="7"/>
  <c r="N6" i="7"/>
  <c r="L6" i="7"/>
  <c r="K6" i="7"/>
  <c r="I6" i="7"/>
  <c r="H6" i="7"/>
  <c r="F6" i="7"/>
  <c r="E6" i="7"/>
  <c r="C6" i="7"/>
  <c r="B6" i="7"/>
  <c r="AD54" i="5"/>
  <c r="AD53" i="5"/>
  <c r="AD52" i="5"/>
  <c r="AD51" i="5"/>
  <c r="AD50" i="5"/>
  <c r="AD49" i="5"/>
  <c r="AD48" i="5"/>
  <c r="AD47" i="5"/>
  <c r="AD46" i="5"/>
  <c r="AD45" i="5"/>
  <c r="AD44" i="5"/>
  <c r="AD43" i="5"/>
  <c r="AD42" i="5"/>
  <c r="AD41" i="5"/>
  <c r="AD40" i="5"/>
  <c r="AD39" i="5"/>
  <c r="AD38" i="5"/>
  <c r="AD37" i="5"/>
  <c r="AD36" i="5"/>
  <c r="AD35" i="5"/>
  <c r="E8" i="4"/>
  <c r="D8" i="4"/>
  <c r="C8" i="4"/>
  <c r="B8" i="4"/>
  <c r="P6" i="7" l="1"/>
  <c r="D5" i="8"/>
  <c r="O9" i="8"/>
  <c r="G6" i="7"/>
  <c r="AK5" i="8"/>
  <c r="BU22" i="8"/>
  <c r="O15" i="8"/>
  <c r="T15" i="8"/>
  <c r="W14" i="8"/>
  <c r="AI14" i="8"/>
  <c r="BT22" i="8" s="1"/>
  <c r="Y9" i="8"/>
  <c r="AG15" i="8"/>
  <c r="Y5" i="8"/>
  <c r="V14" i="8"/>
  <c r="BQ22" i="8" s="1"/>
  <c r="AH14" i="8"/>
  <c r="BT21" i="8" s="1"/>
  <c r="AC5" i="8"/>
  <c r="AG16" i="8"/>
  <c r="AC15" i="8"/>
  <c r="AK16" i="8"/>
  <c r="P14" i="8"/>
  <c r="BP21" i="8" s="1"/>
  <c r="AK15" i="8"/>
  <c r="Q14" i="8"/>
  <c r="BP22" i="8" s="1"/>
  <c r="O16" i="8"/>
  <c r="T5" i="8"/>
  <c r="R14" i="8"/>
  <c r="AC9" i="8"/>
  <c r="T16" i="8"/>
  <c r="AG5" i="8"/>
  <c r="U14" i="8"/>
  <c r="BQ21" i="8" s="1"/>
  <c r="AE14" i="8"/>
  <c r="BS22" i="8" s="1"/>
  <c r="AC16" i="8"/>
  <c r="AG9" i="8"/>
  <c r="AD14" i="8"/>
  <c r="BS21" i="8" s="1"/>
  <c r="BU21" i="8"/>
  <c r="O5" i="8"/>
  <c r="O14" i="8" s="1"/>
  <c r="T9" i="8"/>
  <c r="S6" i="7"/>
  <c r="M6" i="7"/>
  <c r="D6" i="7"/>
  <c r="J6" i="7"/>
  <c r="V6" i="7"/>
  <c r="T14" i="8" l="1"/>
  <c r="AK14" i="8"/>
  <c r="AC14" i="8"/>
  <c r="AG14" i="8"/>
  <c r="AI94" i="2" l="1"/>
  <c r="AI96" i="2" s="1"/>
  <c r="AH94" i="2"/>
  <c r="AG93" i="2"/>
  <c r="AG92" i="2"/>
  <c r="AG91" i="2"/>
  <c r="AG90" i="2"/>
  <c r="AG89" i="2"/>
  <c r="AG88" i="2"/>
  <c r="AG87" i="2"/>
  <c r="AG86" i="2"/>
  <c r="AG85" i="2"/>
  <c r="AG84" i="2"/>
  <c r="AG83" i="2"/>
  <c r="AG82" i="2"/>
  <c r="AG81" i="2"/>
  <c r="AI80" i="2"/>
  <c r="AG80" i="2" s="1"/>
  <c r="AH80" i="2"/>
  <c r="AI79" i="2"/>
  <c r="AG79" i="2" s="1"/>
  <c r="AH79" i="2"/>
  <c r="AI72" i="2"/>
  <c r="AG72" i="2" s="1"/>
  <c r="AH72" i="2"/>
  <c r="AG71" i="2"/>
  <c r="AG70" i="2"/>
  <c r="AG69" i="2"/>
  <c r="AG68" i="2"/>
  <c r="AG67" i="2"/>
  <c r="AG66" i="2"/>
  <c r="AG65" i="2"/>
  <c r="AG64" i="2"/>
  <c r="AG63" i="2"/>
  <c r="AG62" i="2"/>
  <c r="AG61" i="2"/>
  <c r="AG60" i="2"/>
  <c r="AG59" i="2"/>
  <c r="AI58" i="2"/>
  <c r="AG58" i="2" s="1"/>
  <c r="AH58" i="2"/>
  <c r="AI57" i="2"/>
  <c r="AG57" i="2" s="1"/>
  <c r="AH57" i="2"/>
  <c r="AI55" i="2"/>
  <c r="AI47" i="2"/>
  <c r="AG47" i="2" s="1"/>
  <c r="AH47" i="2"/>
  <c r="AG46" i="2"/>
  <c r="AG45" i="2"/>
  <c r="AG44" i="2"/>
  <c r="AG43" i="2"/>
  <c r="AG42" i="2"/>
  <c r="AG41" i="2"/>
  <c r="AG40" i="2"/>
  <c r="AG39" i="2"/>
  <c r="AG38" i="2"/>
  <c r="AG37" i="2"/>
  <c r="AG36" i="2"/>
  <c r="AG35" i="2"/>
  <c r="AG34" i="2"/>
  <c r="AI33" i="2"/>
  <c r="AG33" i="2" s="1"/>
  <c r="AH33" i="2"/>
  <c r="AI32" i="2"/>
  <c r="AG32" i="2" s="1"/>
  <c r="AH32" i="2"/>
  <c r="N32" i="2"/>
  <c r="N31" i="2"/>
  <c r="N30" i="2"/>
  <c r="N29" i="2"/>
  <c r="N28" i="2"/>
  <c r="N27" i="2"/>
  <c r="N26" i="2"/>
  <c r="N25" i="2"/>
  <c r="N24" i="2"/>
  <c r="AI23" i="2"/>
  <c r="AG23" i="2" s="1"/>
  <c r="AH23" i="2"/>
  <c r="N23" i="2"/>
  <c r="AG22" i="2"/>
  <c r="N22" i="2"/>
  <c r="AG21" i="2"/>
  <c r="N21" i="2"/>
  <c r="AG20" i="2"/>
  <c r="N20" i="2"/>
  <c r="AG19" i="2"/>
  <c r="N19" i="2"/>
  <c r="AG18" i="2"/>
  <c r="N18" i="2"/>
  <c r="AG17" i="2"/>
  <c r="N17" i="2"/>
  <c r="AG16" i="2"/>
  <c r="N16" i="2"/>
  <c r="AG15" i="2"/>
  <c r="N15" i="2"/>
  <c r="AG14" i="2"/>
  <c r="N14" i="2"/>
  <c r="AG13" i="2"/>
  <c r="N13" i="2"/>
  <c r="AG12" i="2"/>
  <c r="N12" i="2"/>
  <c r="AG11" i="2"/>
  <c r="N11" i="2"/>
  <c r="AG10" i="2"/>
  <c r="N10" i="2"/>
  <c r="AI9" i="2"/>
  <c r="AG9" i="2" s="1"/>
  <c r="AH9" i="2"/>
  <c r="AI8" i="2"/>
  <c r="AG8" i="2" s="1"/>
  <c r="AH8" i="2"/>
  <c r="P8" i="2"/>
  <c r="O8" i="2"/>
  <c r="H8" i="2"/>
  <c r="G8" i="2"/>
  <c r="F8" i="2"/>
  <c r="D8" i="2"/>
  <c r="C8" i="2"/>
  <c r="B8" i="2"/>
  <c r="L35" i="1"/>
  <c r="E35" i="1"/>
  <c r="J35" i="1" s="1"/>
  <c r="L34" i="1"/>
  <c r="E34" i="1"/>
  <c r="J34" i="1" s="1"/>
  <c r="L33" i="1"/>
  <c r="E33" i="1"/>
  <c r="J33" i="1" s="1"/>
  <c r="L32" i="1"/>
  <c r="E32" i="1"/>
  <c r="L31" i="1"/>
  <c r="E31" i="1"/>
  <c r="L30" i="1"/>
  <c r="E30" i="1"/>
  <c r="L29" i="1"/>
  <c r="E29" i="1"/>
  <c r="L28" i="1"/>
  <c r="E28" i="1"/>
  <c r="L27" i="1"/>
  <c r="E27" i="1"/>
  <c r="L26" i="1"/>
  <c r="E26" i="1"/>
  <c r="L25" i="1"/>
  <c r="E25" i="1"/>
  <c r="L24" i="1"/>
  <c r="E24" i="1"/>
  <c r="L23" i="1"/>
  <c r="E23" i="1"/>
  <c r="L22" i="1"/>
  <c r="E22" i="1"/>
  <c r="L21" i="1"/>
  <c r="E21" i="1"/>
  <c r="L20" i="1"/>
  <c r="E20" i="1"/>
  <c r="L19" i="1"/>
  <c r="E19" i="1"/>
  <c r="L18" i="1"/>
  <c r="E18" i="1"/>
  <c r="L17" i="1"/>
  <c r="E17" i="1"/>
  <c r="L16" i="1"/>
  <c r="E16" i="1"/>
  <c r="L15" i="1"/>
  <c r="E15" i="1"/>
  <c r="L14" i="1"/>
  <c r="E14" i="1"/>
  <c r="L13" i="1"/>
  <c r="E13" i="1"/>
  <c r="L12" i="1"/>
  <c r="E12" i="1"/>
  <c r="L11" i="1"/>
  <c r="E11" i="1"/>
  <c r="L10" i="1"/>
  <c r="E10" i="1"/>
  <c r="L9" i="1"/>
  <c r="E9" i="1"/>
  <c r="L8" i="1"/>
  <c r="E8" i="1"/>
  <c r="AG94" i="2" l="1"/>
  <c r="I33" i="1"/>
  <c r="I35" i="1"/>
  <c r="N8" i="2"/>
  <c r="I34" i="1"/>
  <c r="H8" i="17"/>
  <c r="H11" i="17"/>
  <c r="J11" i="17"/>
  <c r="G8" i="17"/>
  <c r="G11" i="17"/>
  <c r="I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Nabeeh Abdul Sattar</author>
  </authors>
  <commentList>
    <comment ref="E24" authorId="0" shapeId="0" xr:uid="{00000000-0006-0000-0900-000001000000}">
      <text>
        <r>
          <rPr>
            <b/>
            <sz val="8"/>
            <color indexed="81"/>
            <rFont val="Tahoma"/>
            <family val="2"/>
          </rPr>
          <t>Nabeeh:</t>
        </r>
        <r>
          <rPr>
            <sz val="8"/>
            <color indexed="81"/>
            <rFont val="Tahoma"/>
            <family val="2"/>
          </rPr>
          <t xml:space="preserve">
not matching with the data from table 3.11</t>
        </r>
      </text>
    </comment>
  </commentList>
</comments>
</file>

<file path=xl/sharedStrings.xml><?xml version="1.0" encoding="utf-8"?>
<sst xmlns="http://schemas.openxmlformats.org/spreadsheetml/2006/main" count="4179" uniqueCount="1249">
  <si>
    <t>2014 - 1911 ,urwvcnim WvurutiaIdWbWa ukwrwhwa cSokcjercvea Wviawgudem egukwtcnunemihOb iaWaIdWbWa egcnIhevid egukwtcnunemihOb cnutwbcsin egcscnij iaWscnij : 3.1 clwvWt</t>
  </si>
  <si>
    <t>Table 3.1 :   TOTAL MALDIVIAN POPULATION BY SEX, SEX - RATIO, AND INTER-CENSAL ANNUAL GROWTH RATE, 1911 - 2014</t>
  </si>
  <si>
    <t>ޖިންސުގެ ނިސްބަތުން</t>
  </si>
  <si>
    <t>cSwkwhwvudurwhwa</t>
  </si>
  <si>
    <t xml:space="preserve">ކޮންމެ ސަތޭކަ އަންހެނަކަށް </t>
  </si>
  <si>
    <t>Number</t>
  </si>
  <si>
    <t>udwdwA</t>
  </si>
  <si>
    <t>Percent</t>
  </si>
  <si>
    <t>cTcneswp</t>
  </si>
  <si>
    <t xml:space="preserve"> ތިބި ފިރިހެނުން</t>
  </si>
  <si>
    <t>(clwxcnenOpcsckea)</t>
  </si>
  <si>
    <t>urwhwa</t>
  </si>
  <si>
    <t>cKIrWt</t>
  </si>
  <si>
    <t>cscnijed</t>
  </si>
  <si>
    <t>cnehirif</t>
  </si>
  <si>
    <t>cnehcnwa</t>
  </si>
  <si>
    <t xml:space="preserve"> Sex Ratio</t>
  </si>
  <si>
    <t>Annual Rate</t>
  </si>
  <si>
    <t>No.</t>
  </si>
  <si>
    <t>Year</t>
  </si>
  <si>
    <t>Date</t>
  </si>
  <si>
    <t>Both Sexes</t>
  </si>
  <si>
    <t>Male</t>
  </si>
  <si>
    <t>Female</t>
  </si>
  <si>
    <t>(Males per 100 females)</t>
  </si>
  <si>
    <t>of Growth (Exponential)</t>
  </si>
  <si>
    <t>1911</t>
  </si>
  <si>
    <t>October</t>
  </si>
  <si>
    <t xml:space="preserve">    -</t>
  </si>
  <si>
    <t xml:space="preserve"> 1921</t>
  </si>
  <si>
    <t xml:space="preserve">   March</t>
  </si>
  <si>
    <t xml:space="preserve"> 54.21</t>
  </si>
  <si>
    <t xml:space="preserve"> 45.79</t>
  </si>
  <si>
    <t xml:space="preserve"> 1931</t>
  </si>
  <si>
    <t xml:space="preserve">   April</t>
  </si>
  <si>
    <t xml:space="preserve"> 54.53</t>
  </si>
  <si>
    <t xml:space="preserve"> 45.47</t>
  </si>
  <si>
    <t xml:space="preserve"> 1946</t>
  </si>
  <si>
    <t xml:space="preserve">   June</t>
  </si>
  <si>
    <t xml:space="preserve"> 53.99</t>
  </si>
  <si>
    <t xml:space="preserve"> 46.01</t>
  </si>
  <si>
    <t xml:space="preserve"> 1953</t>
  </si>
  <si>
    <t xml:space="preserve"> 53.91</t>
  </si>
  <si>
    <t xml:space="preserve"> 46.09</t>
  </si>
  <si>
    <t xml:space="preserve"> 1957</t>
  </si>
  <si>
    <t xml:space="preserve"> 53.70</t>
  </si>
  <si>
    <t xml:space="preserve"> 46.30</t>
  </si>
  <si>
    <t xml:space="preserve"> 1958</t>
  </si>
  <si>
    <t xml:space="preserve"> 53.54</t>
  </si>
  <si>
    <t xml:space="preserve"> 46.46</t>
  </si>
  <si>
    <t xml:space="preserve"> 1959</t>
  </si>
  <si>
    <t xml:space="preserve"> 53.20</t>
  </si>
  <si>
    <t xml:space="preserve"> 46.80</t>
  </si>
  <si>
    <t xml:space="preserve"> 1960</t>
  </si>
  <si>
    <t xml:space="preserve"> 53.81</t>
  </si>
  <si>
    <t xml:space="preserve"> 1961</t>
  </si>
  <si>
    <t xml:space="preserve"> 53.78</t>
  </si>
  <si>
    <t xml:space="preserve"> 46.22</t>
  </si>
  <si>
    <t xml:space="preserve"> 1962</t>
  </si>
  <si>
    <t xml:space="preserve"> 53.32</t>
  </si>
  <si>
    <t xml:space="preserve"> 46.68</t>
  </si>
  <si>
    <t xml:space="preserve"> 1963</t>
  </si>
  <si>
    <t xml:space="preserve"> 53.18</t>
  </si>
  <si>
    <t xml:space="preserve"> 46.82</t>
  </si>
  <si>
    <t xml:space="preserve"> 1964</t>
  </si>
  <si>
    <t xml:space="preserve"> 1 June</t>
  </si>
  <si>
    <t xml:space="preserve"> 53.51</t>
  </si>
  <si>
    <t xml:space="preserve"> 46.49</t>
  </si>
  <si>
    <t xml:space="preserve"> 1965</t>
  </si>
  <si>
    <t>28 June</t>
  </si>
  <si>
    <t xml:space="preserve"> 53.16</t>
  </si>
  <si>
    <t xml:space="preserve"> 46.84</t>
  </si>
  <si>
    <t xml:space="preserve"> 1966</t>
  </si>
  <si>
    <t>24 June</t>
  </si>
  <si>
    <t xml:space="preserve"> 53.47</t>
  </si>
  <si>
    <t xml:space="preserve"> 46.53</t>
  </si>
  <si>
    <t xml:space="preserve"> 1967</t>
  </si>
  <si>
    <t>30 June</t>
  </si>
  <si>
    <t xml:space="preserve"> 1968</t>
  </si>
  <si>
    <t xml:space="preserve"> 53.27</t>
  </si>
  <si>
    <t xml:space="preserve"> 46.73</t>
  </si>
  <si>
    <t xml:space="preserve"> 1969</t>
  </si>
  <si>
    <t>27 June</t>
  </si>
  <si>
    <t xml:space="preserve"> 53.17</t>
  </si>
  <si>
    <t xml:space="preserve"> 46.83</t>
  </si>
  <si>
    <t xml:space="preserve"> 1970</t>
  </si>
  <si>
    <t>26 June</t>
  </si>
  <si>
    <t xml:space="preserve"> 1971</t>
  </si>
  <si>
    <t>25 June</t>
  </si>
  <si>
    <t xml:space="preserve"> 1972</t>
  </si>
  <si>
    <t xml:space="preserve"> 52.92</t>
  </si>
  <si>
    <t xml:space="preserve"> 47.08</t>
  </si>
  <si>
    <t xml:space="preserve"> 1974</t>
  </si>
  <si>
    <t xml:space="preserve"> 53.07</t>
  </si>
  <si>
    <t xml:space="preserve"> 46.93</t>
  </si>
  <si>
    <t xml:space="preserve"> 1977</t>
  </si>
  <si>
    <t>31 Dec</t>
  </si>
  <si>
    <t xml:space="preserve"> 52.67</t>
  </si>
  <si>
    <t xml:space="preserve"> 47.33</t>
  </si>
  <si>
    <t xml:space="preserve"> 1985</t>
  </si>
  <si>
    <t>29 March</t>
  </si>
  <si>
    <t xml:space="preserve"> 51.84</t>
  </si>
  <si>
    <t xml:space="preserve"> 48.16</t>
  </si>
  <si>
    <t xml:space="preserve"> 1990</t>
  </si>
  <si>
    <t xml:space="preserve"> 2 March</t>
  </si>
  <si>
    <t xml:space="preserve"> 51.28</t>
  </si>
  <si>
    <t xml:space="preserve"> 48.72</t>
  </si>
  <si>
    <t>1995</t>
  </si>
  <si>
    <t>25 March</t>
  </si>
  <si>
    <t>2000</t>
  </si>
  <si>
    <t>31 March</t>
  </si>
  <si>
    <t>2006</t>
  </si>
  <si>
    <t>28 March</t>
  </si>
  <si>
    <t>20 September</t>
  </si>
  <si>
    <t>Note:  Prior to 2014, Census population excludes expatriate population in the country due to practical difficulties in enumeration.</t>
  </si>
  <si>
    <t xml:space="preserve">ނޯޓް: 2014 ގެ ކުރިން ބޭއްވުނު ބޯހިމެނުންތަކުގައި ބިދޭސީ އާބާދީ ހިމެނިފައެއް ނުވެއެވެ. އެއީ މިކަމުގައި ޢަމަލީ ގޮތުން ދިމާވާ މައްސަލަތަކާއި ދަތިތަކުގެ ސަބަބުންނެވެ. </t>
  </si>
  <si>
    <t xml:space="preserve"> Average annual growth rates should be compared with caution because they are calculated in reference to different durations (for one year census intervals between 1957 and 1974).</t>
  </si>
  <si>
    <t>Source: National Bureau of Statistics</t>
  </si>
  <si>
    <t>މައުލޫމާތު ދެއްވި ފަރާތް: ނޭޝަނަލް ބިއުރޯ އޮފް ސްޓެޓިސްޓިކްސް</t>
  </si>
  <si>
    <t xml:space="preserve"> 2014 idwa 2006 ، 2000 ,1995 cnunemihOb ,cnutog egcscnij iaWaWrufurumua IdWbWa egcnihevid : 3.2 ulwvWt</t>
  </si>
  <si>
    <t>Table 3.2 : TOTAL MALDIVIAN POPULATION BY AGE AND SEX, CENSUS, 1995, 2000,  2006 AND 2014</t>
  </si>
  <si>
    <t>1995 Census</t>
  </si>
  <si>
    <t>1995 cnunemihOb</t>
  </si>
  <si>
    <t>2000 Census</t>
  </si>
  <si>
    <t>2000 cnunemihOb</t>
  </si>
  <si>
    <t>2006 Census</t>
  </si>
  <si>
    <t>2006 cnunemihOb</t>
  </si>
  <si>
    <t>2014 Census</t>
  </si>
  <si>
    <t>2014 cnunemihOb</t>
  </si>
  <si>
    <t>Wrufurumua</t>
  </si>
  <si>
    <t>Age group</t>
  </si>
  <si>
    <t>wlcmuj</t>
  </si>
  <si>
    <t>Total</t>
  </si>
  <si>
    <t>0-4</t>
  </si>
  <si>
    <t xml:space="preserve">cSwdcnurwhwa 1 </t>
  </si>
  <si>
    <t>5 - 9</t>
  </si>
  <si>
    <t>Less than 1 year</t>
  </si>
  <si>
    <t>10 - 14</t>
  </si>
  <si>
    <t>1 - 4</t>
  </si>
  <si>
    <t>15 - 19</t>
  </si>
  <si>
    <t>5</t>
  </si>
  <si>
    <t>20 - 24</t>
  </si>
  <si>
    <t>6 - 9</t>
  </si>
  <si>
    <t>25 - 29</t>
  </si>
  <si>
    <t>30 - 34</t>
  </si>
  <si>
    <t>35 - 39</t>
  </si>
  <si>
    <t>40 - 44</t>
  </si>
  <si>
    <t>45 - 49</t>
  </si>
  <si>
    <t>50 - 54</t>
  </si>
  <si>
    <t>55 - 59</t>
  </si>
  <si>
    <t>60 - 64</t>
  </si>
  <si>
    <t>65 - 69</t>
  </si>
  <si>
    <t>70 - 74</t>
  </si>
  <si>
    <t>75+</t>
  </si>
  <si>
    <t>75 - 79</t>
  </si>
  <si>
    <t>80 - 84</t>
  </si>
  <si>
    <t>85 - 89</t>
  </si>
  <si>
    <t>90 - 94</t>
  </si>
  <si>
    <t>95 years and over</t>
  </si>
  <si>
    <t>Age not stated</t>
  </si>
  <si>
    <t xml:space="preserve"> Census 2000  </t>
  </si>
  <si>
    <t>udwdwA egIsibEg</t>
  </si>
  <si>
    <t>އެވްރެޖްކޮށް ގޭބިސީއެއްގައި އުޅޭ މީހުންގެ އަދަދު</t>
  </si>
  <si>
    <t>އަހަރަކަށް އާބާދީ އިތުރުވާ މިންވަރު</t>
  </si>
  <si>
    <t>cnwt</t>
  </si>
  <si>
    <t xml:space="preserve">   ގެ ނިޔަލަށް ރަޖިސްޓްރީކުރެވިފައިވާ އާބާދީ </t>
  </si>
  <si>
    <t>Locality</t>
  </si>
  <si>
    <t xml:space="preserve"> Number of Households </t>
  </si>
  <si>
    <t xml:space="preserve">          Average           Household size</t>
  </si>
  <si>
    <t>Republic</t>
  </si>
  <si>
    <t>ejcaWriLum</t>
  </si>
  <si>
    <t>Male' Total</t>
  </si>
  <si>
    <t>wlcmuj elWm</t>
  </si>
  <si>
    <t>Henveyru</t>
  </si>
  <si>
    <t>urEvcneh</t>
  </si>
  <si>
    <t>Galolhu</t>
  </si>
  <si>
    <t>uLolwg</t>
  </si>
  <si>
    <t>Machchangolhi</t>
  </si>
  <si>
    <t>iLOgcnwCcawm</t>
  </si>
  <si>
    <t>Maafannu</t>
  </si>
  <si>
    <t>uncnwfWm</t>
  </si>
  <si>
    <t>Villingili</t>
  </si>
  <si>
    <t>iligiliv</t>
  </si>
  <si>
    <t>Hulhumale'</t>
  </si>
  <si>
    <t>NA</t>
  </si>
  <si>
    <t>elWmuLuh</t>
  </si>
  <si>
    <t>Dhafthar</t>
  </si>
  <si>
    <t>-</t>
  </si>
  <si>
    <t>urwtcfwd</t>
  </si>
  <si>
    <t>Other Areas</t>
  </si>
  <si>
    <t xml:space="preserve">އެހެނިހެން ސަރަހައްދުތައް  </t>
  </si>
  <si>
    <t>All Atolls (Includes Administrative and Non- Administrative Islands)</t>
  </si>
  <si>
    <t xml:space="preserve">ހުރިހާ އަތޮޅުތައް (މީހުން ދިރިއުޅޭ ރަށްތަކާއި ރިސޯޓްތަކާއި ސިނާއީ ރަށްތައް) </t>
  </si>
  <si>
    <t>Administrative  Islands  in Atolls</t>
  </si>
  <si>
    <t>އަތޮޅުތައް (ހަމައެކަނި މީހުން ދިރިއުޅޭ ރަށްތައް)</t>
  </si>
  <si>
    <t>Non Administrative Islands  in Atolls</t>
  </si>
  <si>
    <t>އަތޮޅުތައް (ރިސޯޓުތަކާއި ސިނާއީ ރަށްތައް)</t>
  </si>
  <si>
    <t>North Thiladhunmathi (HA)</t>
  </si>
  <si>
    <t xml:space="preserve">       (ah)  iruburutua Itwmcnudwlit</t>
  </si>
  <si>
    <t>Thuraakunu</t>
  </si>
  <si>
    <t>unukWrut</t>
  </si>
  <si>
    <t>Uligamu</t>
  </si>
  <si>
    <t>umwgilua</t>
  </si>
  <si>
    <t>iSufitwh</t>
  </si>
  <si>
    <t>Mulhadhoo</t>
  </si>
  <si>
    <t>UdwLum</t>
  </si>
  <si>
    <t>Hoarafushi</t>
  </si>
  <si>
    <t>iSufwrOh</t>
  </si>
  <si>
    <t>Ihavandhoo</t>
  </si>
  <si>
    <t>eUdcnwvwhia</t>
  </si>
  <si>
    <t>Kelaa</t>
  </si>
  <si>
    <t>Wlek</t>
  </si>
  <si>
    <t>Vashafaru</t>
  </si>
  <si>
    <t>urwfwSwv</t>
  </si>
  <si>
    <t>Dhidhdhoo</t>
  </si>
  <si>
    <t>Udcaid</t>
  </si>
  <si>
    <t>Filladhoo</t>
  </si>
  <si>
    <t>Udwlcaif</t>
  </si>
  <si>
    <t>Maarandhoo</t>
  </si>
  <si>
    <t>UdcnwrWm</t>
  </si>
  <si>
    <t>Thakandhoo</t>
  </si>
  <si>
    <t>Udcnwkwt</t>
  </si>
  <si>
    <t>Utheemu</t>
  </si>
  <si>
    <t>umItua</t>
  </si>
  <si>
    <t>Muraidhoo</t>
  </si>
  <si>
    <t>Udiawrum</t>
  </si>
  <si>
    <t>Baarah</t>
  </si>
  <si>
    <t>cSwrWb</t>
  </si>
  <si>
    <t>South Thiladhunmathi (HDh)</t>
  </si>
  <si>
    <t>(dh) irubunuked Itwmcnudwlit</t>
  </si>
  <si>
    <t>Faridhoo</t>
  </si>
  <si>
    <t>Udirwf</t>
  </si>
  <si>
    <t>Hanimaadhoo</t>
  </si>
  <si>
    <t>UdWminwh</t>
  </si>
  <si>
    <t>Finey</t>
  </si>
  <si>
    <t>Enif</t>
  </si>
  <si>
    <t>Naivaadhoo</t>
  </si>
  <si>
    <t>UdiawvWn</t>
  </si>
  <si>
    <t>Hirimaradhoo</t>
  </si>
  <si>
    <t>Udwrwmirih</t>
  </si>
  <si>
    <t>Nolhivaranfaru</t>
  </si>
  <si>
    <t>urwfcnwrwviLon</t>
  </si>
  <si>
    <t>Nellaidhoo</t>
  </si>
  <si>
    <t>Udiawlcaen</t>
  </si>
  <si>
    <t>Nolhivaramu</t>
  </si>
  <si>
    <t>umwrwviLon</t>
  </si>
  <si>
    <t>Kurnibi</t>
  </si>
  <si>
    <t>ibniruk</t>
  </si>
  <si>
    <t>Kunburudhoo</t>
  </si>
  <si>
    <t>Udurubnuk</t>
  </si>
  <si>
    <t>Kulhudhuffushi</t>
  </si>
  <si>
    <t>iSufcauduLuk</t>
  </si>
  <si>
    <t>Kumundhoo</t>
  </si>
  <si>
    <t>Udcnumuk</t>
  </si>
  <si>
    <t>Neykurendhoo</t>
  </si>
  <si>
    <t>UdcnerukEn</t>
  </si>
  <si>
    <t>Vaikaradhoo</t>
  </si>
  <si>
    <t>Udwrwkiiawv</t>
  </si>
  <si>
    <t>Maavaidhoo</t>
  </si>
  <si>
    <t>UdiawvWm</t>
  </si>
  <si>
    <t>Makunudhoo</t>
  </si>
  <si>
    <t>Udunukwm</t>
  </si>
  <si>
    <t>North Miladhunmadulu (Sh)</t>
  </si>
  <si>
    <t>(S) iruburutua uluDwmcnudwlim</t>
  </si>
  <si>
    <t>Kanditheemu</t>
  </si>
  <si>
    <t>umItiDnwk</t>
  </si>
  <si>
    <t>Noomaraa</t>
  </si>
  <si>
    <t>WrwmUn</t>
  </si>
  <si>
    <t>Goidhoo</t>
  </si>
  <si>
    <t>Udiaog</t>
  </si>
  <si>
    <t>Feydhoo</t>
  </si>
  <si>
    <t>UdEf</t>
  </si>
  <si>
    <t>Feevah</t>
  </si>
  <si>
    <t>cawvIf</t>
  </si>
  <si>
    <t>Billeffahi</t>
  </si>
  <si>
    <t>ihwfcaelib</t>
  </si>
  <si>
    <t>Foakaidhoo</t>
  </si>
  <si>
    <t>UdiawkOf</t>
  </si>
  <si>
    <t>Narudhoo</t>
  </si>
  <si>
    <t>Udurwn</t>
  </si>
  <si>
    <t>Maroshi</t>
  </si>
  <si>
    <t>iSorwm</t>
  </si>
  <si>
    <t>Lhaimagu</t>
  </si>
  <si>
    <t>ugwmiawL</t>
  </si>
  <si>
    <t>Komandhoo</t>
  </si>
  <si>
    <t>UDcnwmok</t>
  </si>
  <si>
    <t>Maaun'goodhoo</t>
  </si>
  <si>
    <t>UdUgnuaWm</t>
  </si>
  <si>
    <t>Funadhoo</t>
  </si>
  <si>
    <t>Udwnuf</t>
  </si>
  <si>
    <t>South Miladhunmadulu (N)</t>
  </si>
  <si>
    <t>(n) irubunuked uluDwmcnudwlim</t>
  </si>
  <si>
    <t>Hen'badhoo</t>
  </si>
  <si>
    <t>Udwbneh</t>
  </si>
  <si>
    <t>Ken'dhikulhudhoo</t>
  </si>
  <si>
    <t>UduLukidnek</t>
  </si>
  <si>
    <t>Maalhendhoo</t>
  </si>
  <si>
    <t>UdcneLWm</t>
  </si>
  <si>
    <t>Kudafari</t>
  </si>
  <si>
    <t>irwfwDuk</t>
  </si>
  <si>
    <t>Landhoo</t>
  </si>
  <si>
    <t>Udcnwl</t>
  </si>
  <si>
    <t>Maafaru</t>
  </si>
  <si>
    <t>urwfWm</t>
  </si>
  <si>
    <t>Lhohi</t>
  </si>
  <si>
    <t>ihoL</t>
  </si>
  <si>
    <t>Miladhoo</t>
  </si>
  <si>
    <t>Udwlim</t>
  </si>
  <si>
    <t>Magoodhoo</t>
  </si>
  <si>
    <t>UdUgwm</t>
  </si>
  <si>
    <t>Manadhoo</t>
  </si>
  <si>
    <t>Udwnwm</t>
  </si>
  <si>
    <t>Holhudhoo</t>
  </si>
  <si>
    <t>UduLoh</t>
  </si>
  <si>
    <t>Fodhdhoo</t>
  </si>
  <si>
    <t>Udcaof</t>
  </si>
  <si>
    <t>Velidhoo</t>
  </si>
  <si>
    <t>Udilev</t>
  </si>
  <si>
    <t>North Maalhosmadulu (R)</t>
  </si>
  <si>
    <t>(r) iruburutuauluDwmcsoLWm</t>
  </si>
  <si>
    <t>Alifushi</t>
  </si>
  <si>
    <t>iSufilwa</t>
  </si>
  <si>
    <t>Vaadhoo</t>
  </si>
  <si>
    <t>UdWv</t>
  </si>
  <si>
    <t>Rasgetheemu</t>
  </si>
  <si>
    <t>umItegcswr</t>
  </si>
  <si>
    <t>An'golhitheemu</t>
  </si>
  <si>
    <t>umItiLognwa</t>
  </si>
  <si>
    <t>Un'goofaaru</t>
  </si>
  <si>
    <t>urWfUgnua</t>
  </si>
  <si>
    <t>Maakurathu</t>
  </si>
  <si>
    <t>utwrukWm</t>
  </si>
  <si>
    <t>Rasmaadhoo</t>
  </si>
  <si>
    <t>UdWmcswr</t>
  </si>
  <si>
    <t>Innamaadhoo</t>
  </si>
  <si>
    <t>UdWmwncnia</t>
  </si>
  <si>
    <t>Maduvvari</t>
  </si>
  <si>
    <t>irwvcauDwm</t>
  </si>
  <si>
    <t>In'guraidhoo</t>
  </si>
  <si>
    <t>Udiawrugnia</t>
  </si>
  <si>
    <t>Fainu</t>
  </si>
  <si>
    <t>uniawf</t>
  </si>
  <si>
    <t>Meedhoo</t>
  </si>
  <si>
    <t>UdIm</t>
  </si>
  <si>
    <t>Kinolhas</t>
  </si>
  <si>
    <t>cswLonik</t>
  </si>
  <si>
    <t>Hulhudhuffaaru</t>
  </si>
  <si>
    <t>urWfcauduLuh</t>
  </si>
  <si>
    <t>South Maalhosmadulu (B)</t>
  </si>
  <si>
    <t>(b) irubunukeduluDwcsoLWm</t>
  </si>
  <si>
    <t>Kudarikilu</t>
  </si>
  <si>
    <t>ulikirwDuk</t>
  </si>
  <si>
    <t>Kamadhoo</t>
  </si>
  <si>
    <t>Udwmwk</t>
  </si>
  <si>
    <t>Kendhoo</t>
  </si>
  <si>
    <t>Udcnek</t>
  </si>
  <si>
    <t>Kihaadhoo</t>
  </si>
  <si>
    <t>UdWhik</t>
  </si>
  <si>
    <t>Dhonfanu</t>
  </si>
  <si>
    <t>unwfcnod</t>
  </si>
  <si>
    <t>Daravandhoo</t>
  </si>
  <si>
    <t>Udcnwvwrwd</t>
  </si>
  <si>
    <t>Maalhos</t>
  </si>
  <si>
    <t>csoLWm</t>
  </si>
  <si>
    <t>Eydhafushi</t>
  </si>
  <si>
    <t>iSufwdEa</t>
  </si>
  <si>
    <t>Thulhaadhoo</t>
  </si>
  <si>
    <t>UdWLut</t>
  </si>
  <si>
    <t>Hithaadhoo</t>
  </si>
  <si>
    <t>UdWtih</t>
  </si>
  <si>
    <t>Fulhadhoo</t>
  </si>
  <si>
    <t>UdwLuf</t>
  </si>
  <si>
    <t>Fehendhoo</t>
  </si>
  <si>
    <t>Udcnehef</t>
  </si>
  <si>
    <t>Faadhippolhu (Lh)</t>
  </si>
  <si>
    <t>(L) uLopcaidWf</t>
  </si>
  <si>
    <t>Hinnavaru</t>
  </si>
  <si>
    <t>urwvwncnih</t>
  </si>
  <si>
    <t>Naifaru</t>
  </si>
  <si>
    <t>urwfiawn</t>
  </si>
  <si>
    <t>Kurendhoo</t>
  </si>
  <si>
    <t>Udcneruk</t>
  </si>
  <si>
    <t>Olhuvelifushi</t>
  </si>
  <si>
    <t>iSufilevuLoa</t>
  </si>
  <si>
    <t>Maafilaafushi</t>
  </si>
  <si>
    <t>iSufWlifWm</t>
  </si>
  <si>
    <t>Male' Atoll (K)</t>
  </si>
  <si>
    <t>(k) uLotwa elWm</t>
  </si>
  <si>
    <t>Kaashidhoo</t>
  </si>
  <si>
    <t>UdiSWk</t>
  </si>
  <si>
    <t>Gaafaru</t>
  </si>
  <si>
    <t>urwfWg</t>
  </si>
  <si>
    <t>Dhiffushi</t>
  </si>
  <si>
    <t>iSufcaid</t>
  </si>
  <si>
    <t>Thulusdhoo</t>
  </si>
  <si>
    <t>Udcsulut</t>
  </si>
  <si>
    <t>Huraa</t>
  </si>
  <si>
    <t>Wruh</t>
  </si>
  <si>
    <t>Himmafushi</t>
  </si>
  <si>
    <t>iSufwmcnih</t>
  </si>
  <si>
    <t>Gulhi</t>
  </si>
  <si>
    <t>iLug</t>
  </si>
  <si>
    <t>Maafushi</t>
  </si>
  <si>
    <t>iSufWm</t>
  </si>
  <si>
    <t>Guraidhoo</t>
  </si>
  <si>
    <t>Udiawrug</t>
  </si>
  <si>
    <t>North Ari Atoll (AA)</t>
  </si>
  <si>
    <t>(aa) iruburutuauLotwairwa</t>
  </si>
  <si>
    <t>Thoddoo</t>
  </si>
  <si>
    <t>UDcaot</t>
  </si>
  <si>
    <t>Rasdhoo</t>
  </si>
  <si>
    <t>Udcswr</t>
  </si>
  <si>
    <t>Ukulhas</t>
  </si>
  <si>
    <t>cswLukua</t>
  </si>
  <si>
    <t>Mathiveri</t>
  </si>
  <si>
    <t>irevitwm</t>
  </si>
  <si>
    <t>Bodufolhudhoo</t>
  </si>
  <si>
    <t>UduLofuDob</t>
  </si>
  <si>
    <t>Feridhoo</t>
  </si>
  <si>
    <t>Udiref</t>
  </si>
  <si>
    <t>Himandhoo</t>
  </si>
  <si>
    <t xml:space="preserve"> Udcnwmih</t>
  </si>
  <si>
    <t>South Ari Atoll (ADh)</t>
  </si>
  <si>
    <t>(da) iruburutuauLotwairwa</t>
  </si>
  <si>
    <t>Hangn'aameedhoo</t>
  </si>
  <si>
    <t>UdImWNcnwh</t>
  </si>
  <si>
    <t>Omadhoo</t>
  </si>
  <si>
    <t>Udwmoa</t>
  </si>
  <si>
    <t>Kun'burudhoo</t>
  </si>
  <si>
    <t>Mahibadhoo</t>
  </si>
  <si>
    <t>Udwbihwm</t>
  </si>
  <si>
    <t>Mandhoo</t>
  </si>
  <si>
    <t>Udcnwm</t>
  </si>
  <si>
    <t>Dhn'agethi</t>
  </si>
  <si>
    <t>itegnwd</t>
  </si>
  <si>
    <t>Dhigurah</t>
  </si>
  <si>
    <t>cSwrugid</t>
  </si>
  <si>
    <t>Fenfushi</t>
  </si>
  <si>
    <t>iSufcnef</t>
  </si>
  <si>
    <t>Maamigili</t>
  </si>
  <si>
    <t>iligimWm</t>
  </si>
  <si>
    <t>Felidhu Atoll (V)</t>
  </si>
  <si>
    <t>(v) uLotwa udilef</t>
  </si>
  <si>
    <t>Fulidhoo</t>
  </si>
  <si>
    <t>Udiluf</t>
  </si>
  <si>
    <t>Thinadhoo</t>
  </si>
  <si>
    <t>Udwnit</t>
  </si>
  <si>
    <t>Felidhoo</t>
  </si>
  <si>
    <t>Udilef</t>
  </si>
  <si>
    <t>Keyodhoo</t>
  </si>
  <si>
    <t>Udoyek</t>
  </si>
  <si>
    <t>Rakeedhoo</t>
  </si>
  <si>
    <t>UdIkwr</t>
  </si>
  <si>
    <t>Mulakatholhu (M)</t>
  </si>
  <si>
    <t>(m) uLotwkwlum</t>
  </si>
  <si>
    <t>Raiymandhoo</t>
  </si>
  <si>
    <t>Udcnwmctwr</t>
  </si>
  <si>
    <t xml:space="preserve"> 2_/ iSufiDwm</t>
  </si>
  <si>
    <t>Veyvah</t>
  </si>
  <si>
    <t>cawvEv</t>
  </si>
  <si>
    <t>Mulah</t>
  </si>
  <si>
    <t>cawlum</t>
  </si>
  <si>
    <t>Muli</t>
  </si>
  <si>
    <t>ilum</t>
  </si>
  <si>
    <t>Naalaafushi</t>
  </si>
  <si>
    <t>iSufWlWn</t>
  </si>
  <si>
    <t>Kolhufushi</t>
  </si>
  <si>
    <t>iSufuLok</t>
  </si>
  <si>
    <t>Dhiggaru</t>
  </si>
  <si>
    <t>urwgcaid</t>
  </si>
  <si>
    <t>North Nilandhe Atoll (F)</t>
  </si>
  <si>
    <t>(f) iruburutua uLotwaedcnwlin</t>
  </si>
  <si>
    <t>Feeali</t>
  </si>
  <si>
    <t>ilwaIf</t>
  </si>
  <si>
    <t>Biledhhdhoo</t>
  </si>
  <si>
    <t>Udcaelib</t>
  </si>
  <si>
    <t>Dharan'boodhoo</t>
  </si>
  <si>
    <t>UdUbwrwd</t>
  </si>
  <si>
    <t>Nilandhoo</t>
  </si>
  <si>
    <t>Udcnwlin</t>
  </si>
  <si>
    <t>South Nilandhe Atoll (Dh)</t>
  </si>
  <si>
    <t>(d) irubunuked uLotwaedcnwlin</t>
  </si>
  <si>
    <t>Ban'didhoo</t>
  </si>
  <si>
    <t>UdiDnwb</t>
  </si>
  <si>
    <t>Rin'budhoo</t>
  </si>
  <si>
    <t>Udubnir</t>
  </si>
  <si>
    <t>Hulhudeli</t>
  </si>
  <si>
    <t>ileduLuh</t>
  </si>
  <si>
    <t>Vaani</t>
  </si>
  <si>
    <t>inWv</t>
  </si>
  <si>
    <t>Maaen'boodhoo</t>
  </si>
  <si>
    <t>UdUbneaWm</t>
  </si>
  <si>
    <t>Kudahuvadhoo</t>
  </si>
  <si>
    <t>UdwvuhwDuk</t>
  </si>
  <si>
    <t>Kolhumadulu (Th)</t>
  </si>
  <si>
    <t>(t) uluDwmuLok</t>
  </si>
  <si>
    <t>Buruni</t>
  </si>
  <si>
    <t>inurub</t>
  </si>
  <si>
    <t>Madifushi</t>
  </si>
  <si>
    <t>iSufiDwm</t>
  </si>
  <si>
    <t>Dhiyamigili</t>
  </si>
  <si>
    <t>iligimwyid</t>
  </si>
  <si>
    <t>Kan'doodhoo</t>
  </si>
  <si>
    <t>UdUDnwk</t>
  </si>
  <si>
    <t>Vandhoo</t>
  </si>
  <si>
    <t>Udcnwv</t>
  </si>
  <si>
    <t>Hirilandhoo</t>
  </si>
  <si>
    <t>Udcnwlirih</t>
  </si>
  <si>
    <t>Gaadhiffushi</t>
  </si>
  <si>
    <t>iSufcaidWg</t>
  </si>
  <si>
    <t>Thimarafushi</t>
  </si>
  <si>
    <t>iSufwrwmit</t>
  </si>
  <si>
    <t>Veymandoo</t>
  </si>
  <si>
    <t>UDcnwmEv</t>
  </si>
  <si>
    <t>Kinbidhoo</t>
  </si>
  <si>
    <t>Udibnik</t>
  </si>
  <si>
    <t>Hadhdhunmathi (L)</t>
  </si>
  <si>
    <t>(l) itwmcnudcawh</t>
  </si>
  <si>
    <t>Ishdhoo</t>
  </si>
  <si>
    <t>Udcsia</t>
  </si>
  <si>
    <t>Dhan'bidhoo</t>
  </si>
  <si>
    <t>Udibnwd</t>
  </si>
  <si>
    <t>Maabaidhoo</t>
  </si>
  <si>
    <t>UdiawbWm</t>
  </si>
  <si>
    <t>Mundoo</t>
  </si>
  <si>
    <t>UDcnum</t>
  </si>
  <si>
    <t>Udiawlwk</t>
  </si>
  <si>
    <t>Gamu</t>
  </si>
  <si>
    <t>umwg</t>
  </si>
  <si>
    <t>Maavah</t>
  </si>
  <si>
    <t>cawvWm</t>
  </si>
  <si>
    <t>Fonadhoo</t>
  </si>
  <si>
    <t>Udwnof</t>
  </si>
  <si>
    <t>Gaadhoo</t>
  </si>
  <si>
    <t>UdWg</t>
  </si>
  <si>
    <t>Maamendhoo</t>
  </si>
  <si>
    <t>UdcnemWm</t>
  </si>
  <si>
    <t>Hithadhoo</t>
  </si>
  <si>
    <t>Udwtih</t>
  </si>
  <si>
    <t>Kunahandhoo</t>
  </si>
  <si>
    <t>Udcnwhwnuk</t>
  </si>
  <si>
    <t>North Huvadhu Atoll (GA)</t>
  </si>
  <si>
    <t>(ag) iruburutua uLotwaudwvuh</t>
  </si>
  <si>
    <t>Kolamaafushi</t>
  </si>
  <si>
    <t>iSufWmwlok</t>
  </si>
  <si>
    <t>Viligili</t>
  </si>
  <si>
    <t>Dhaandhoo</t>
  </si>
  <si>
    <t>UdcnWd</t>
  </si>
  <si>
    <t>Devvadhoo</t>
  </si>
  <si>
    <t>Udwvcaed</t>
  </si>
  <si>
    <t>Kodey</t>
  </si>
  <si>
    <t>EDnok</t>
  </si>
  <si>
    <t>Gemanafushi</t>
  </si>
  <si>
    <t>iSufwnwmeg</t>
  </si>
  <si>
    <t>Kandhuhulhudhoo</t>
  </si>
  <si>
    <t>UduLuhuDnwk</t>
  </si>
  <si>
    <t>South Huvadhu Atoll (GDh)</t>
  </si>
  <si>
    <t xml:space="preserve"> (dg) irubunuked uLotwaudwvuh</t>
  </si>
  <si>
    <t>Madaveli</t>
  </si>
  <si>
    <t>ilevwDwm</t>
  </si>
  <si>
    <t>Hoadhedhdhoo</t>
  </si>
  <si>
    <t>UdcaeDOh</t>
  </si>
  <si>
    <t>Nadallaa</t>
  </si>
  <si>
    <t>WlcawDwn</t>
  </si>
  <si>
    <t>Gadhdhoo</t>
  </si>
  <si>
    <t>Udcawg</t>
  </si>
  <si>
    <t>Rathafandhoo</t>
  </si>
  <si>
    <t>Udcnwfwtwr</t>
  </si>
  <si>
    <t>Fiyoari</t>
  </si>
  <si>
    <t>IrOyif</t>
  </si>
  <si>
    <t>Faresmaathoda</t>
  </si>
  <si>
    <t>WDotWmcserwf</t>
  </si>
  <si>
    <t>Maathodaa</t>
  </si>
  <si>
    <t>WDotWm</t>
  </si>
  <si>
    <t>Fares</t>
  </si>
  <si>
    <t>cserwf</t>
  </si>
  <si>
    <t>Fuvahmulah (Gn)</t>
  </si>
  <si>
    <t>(N)cawlumcawvuf</t>
  </si>
  <si>
    <t>Fuvahmulah</t>
  </si>
  <si>
    <t>cawlumcawvuf</t>
  </si>
  <si>
    <t>Addu City</t>
  </si>
  <si>
    <t>ITis UDcawa</t>
  </si>
  <si>
    <t>Maradhoo</t>
  </si>
  <si>
    <t>Udwrwm</t>
  </si>
  <si>
    <t>Maradhoofeydhoo</t>
  </si>
  <si>
    <t>UdEfUdwrwm</t>
  </si>
  <si>
    <t>Hulhudhoo</t>
  </si>
  <si>
    <t>UduLuh</t>
  </si>
  <si>
    <t>Source: National Bureaue of Statistics</t>
  </si>
  <si>
    <t>މަޢުލޫމާތު ދެއްވި ފަރާތް: ނޭޝަނަލް ބިއުރޯ އޮފް ސްޓެޓިސްޓިކްސް</t>
  </si>
  <si>
    <t>Department of National Registration</t>
  </si>
  <si>
    <t>1_/ Population relocated to other islands under population consolidation programme</t>
  </si>
  <si>
    <t>iawfevulwdwb cSwSwrcSwrcnehea cnuhIm cnuSwd egcmWrcgorcp egumurukcswfcaea IdWbWa 1_/</t>
  </si>
  <si>
    <t xml:space="preserve">2_/ Population displaced to other islands due to tsunami </t>
  </si>
  <si>
    <t>iawfevulwdwb cSwSwrcSwrcnehea cnuhIm cnegiLugiaWaImWnus 2_/</t>
  </si>
  <si>
    <t>3_/ Newly inhabited under population consolidation programme</t>
  </si>
  <si>
    <t>iawfiverukudWbWa cSwlwa cnuSwd egcmWrcgorcp egumurukcswfcaea IdWbWa 3_/</t>
  </si>
  <si>
    <t>Dhafthar in Male' is a special registry where people who have migrated and who have lived for 5 years are registered.</t>
  </si>
  <si>
    <t>HA. Hathifushi population relocated to  HD. Hanimaadhoo under population consolidation programme in 2007</t>
  </si>
  <si>
    <t>HA. Hoarafushi population includes population of  Ha.Berinmadhoo (Berinmadhoo population relocated to Ha.Hoarafushi under population consolidation programme)</t>
  </si>
  <si>
    <t>Population of HDh.Faridhoo, Kuburudhoo and  Maavaidhoo relocated to HDh.Nolhivaranfaru,under population consolidation programme in 2009.</t>
  </si>
  <si>
    <t>Sh. Maakandoodhoo population relocated to Sh. Milandhoo under population consolidation programme in 2007</t>
  </si>
  <si>
    <t>Major proportion of Sh. Noomara  population relocated to Sh. Funadhoo under population consolidation programme in 2006 and 2012.</t>
  </si>
  <si>
    <t>R. Kandholhudoo population was hosted in R. Ungoofaaru in 2006 due to the destruction caused by 2004 tsunami .  They have  now been relocated to  R.Dhuvaafaru (newly inhabited)  in 2008.</t>
  </si>
  <si>
    <t>*  Population of R.Dhuvaafaru is  included in R.Kandholhudhoo, as the registration process is not complete.</t>
  </si>
  <si>
    <t>Some of Lh. Maafilafushi population relocated to HDh. Hanimaadhoo under population consolidation programme in 2014</t>
  </si>
  <si>
    <t xml:space="preserve">Due to Tsunami in 2004 large proportion of Dh. Vaanee  population was relocated to Dh.Kudahuvadhoo . Remaining population relocated to Dh. Kudahuvadhoo under    population consolidation in 2012. Current population of Vaanee included in Industrial and Other island.        
</t>
  </si>
  <si>
    <t>L. Kalhaidhoo population is  residing in L.Gamu since 2010</t>
  </si>
  <si>
    <t xml:space="preserve">From 2016 onwards L.Gaadhoo population  reside in L.Fonadhoo </t>
  </si>
  <si>
    <t>GA. Dhiyadhoo population is  residing in  GA. Gemanafushi since 2010</t>
  </si>
  <si>
    <t>,udwdwa eguSwrcSwr ELuacnuhIm cnutog egurwvcnim egIdWbWa  : 3.4 clwvWt</t>
  </si>
  <si>
    <t>2014 idwa 2006, 2000, 1995 ,1990 ,1985</t>
  </si>
  <si>
    <t>Table 3.4 : NUMBER OF INHABITED ISLANDS BY SIZE  OF POPULATION</t>
  </si>
  <si>
    <t>1985, 1990, 1995, 2000, 2006 AND 2014</t>
  </si>
  <si>
    <t>urwvcnim egIdWbWa</t>
  </si>
  <si>
    <t>udwdwA eguSwrcSwr IrWdia</t>
  </si>
  <si>
    <t>Size class</t>
  </si>
  <si>
    <t xml:space="preserve">No. of Adminstrative units ( islands ) </t>
  </si>
  <si>
    <t>(population)</t>
  </si>
  <si>
    <t>Size</t>
  </si>
  <si>
    <t>Less than 100</t>
  </si>
  <si>
    <t>100 - 199</t>
  </si>
  <si>
    <t>200 - 299</t>
  </si>
  <si>
    <t>300 - 399</t>
  </si>
  <si>
    <t>400 - 499</t>
  </si>
  <si>
    <t>500 - 599</t>
  </si>
  <si>
    <t>600 - 699</t>
  </si>
  <si>
    <t>700 - 799</t>
  </si>
  <si>
    <t>800 - 899</t>
  </si>
  <si>
    <t>900 - 999</t>
  </si>
  <si>
    <t>1,000 - 1,999</t>
  </si>
  <si>
    <t>2,000 - 4,999</t>
  </si>
  <si>
    <t>5,000 - 9,999</t>
  </si>
  <si>
    <t>10,000 +</t>
  </si>
  <si>
    <t>2014 idwa 2006، 2000 ,1995 ,1990 ,1985 IdWbWa egunwt cnutwbcsin egcscnij : 3.5 ulwvWt</t>
  </si>
  <si>
    <t>Table 3.5 :  SEX RATIO OF POPULATION BY LOCALITY, 1985, 1990, 1995,2000, 2006 AND 2014</t>
  </si>
  <si>
    <r>
      <rPr>
        <b/>
        <sz val="10"/>
        <rFont val="Calibri"/>
        <family val="2"/>
      </rPr>
      <t>(Males per 100 female</t>
    </r>
    <r>
      <rPr>
        <b/>
        <sz val="10"/>
        <rFont val="Faruma"/>
      </rPr>
      <t xml:space="preserve"> /ކޮންމެ 100 އަންހެނަކަށް ތިބި ފިރިހެނުން)</t>
    </r>
  </si>
  <si>
    <t>Male'</t>
  </si>
  <si>
    <t>elWm</t>
  </si>
  <si>
    <t>Atolls</t>
  </si>
  <si>
    <t>cawtuLotwa</t>
  </si>
  <si>
    <t xml:space="preserve"> HA</t>
  </si>
  <si>
    <t>ah</t>
  </si>
  <si>
    <t xml:space="preserve"> HDh</t>
  </si>
  <si>
    <t>dh</t>
  </si>
  <si>
    <t xml:space="preserve"> Sh</t>
  </si>
  <si>
    <t>S</t>
  </si>
  <si>
    <t xml:space="preserve"> N</t>
  </si>
  <si>
    <t>n</t>
  </si>
  <si>
    <t xml:space="preserve"> R</t>
  </si>
  <si>
    <t>r</t>
  </si>
  <si>
    <t>B</t>
  </si>
  <si>
    <t>b</t>
  </si>
  <si>
    <t>Lh</t>
  </si>
  <si>
    <t>L</t>
  </si>
  <si>
    <r>
      <t>K</t>
    </r>
    <r>
      <rPr>
        <sz val="11"/>
        <rFont val="Calibri"/>
        <family val="2"/>
      </rPr>
      <t xml:space="preserve"> </t>
    </r>
    <r>
      <rPr>
        <vertAlign val="superscript"/>
        <sz val="11"/>
        <rFont val="Calibri"/>
        <family val="2"/>
      </rPr>
      <t>1-/</t>
    </r>
  </si>
  <si>
    <r>
      <t>Ari Atoll</t>
    </r>
    <r>
      <rPr>
        <sz val="11"/>
        <rFont val="Calibri"/>
        <family val="2"/>
      </rPr>
      <t xml:space="preserve"> </t>
    </r>
    <r>
      <rPr>
        <vertAlign val="superscript"/>
        <sz val="11"/>
        <rFont val="Calibri"/>
        <family val="2"/>
      </rPr>
      <t xml:space="preserve"> 2-/</t>
    </r>
  </si>
  <si>
    <t>AA</t>
  </si>
  <si>
    <t xml:space="preserve"> aa</t>
  </si>
  <si>
    <t>ADh</t>
  </si>
  <si>
    <t>da</t>
  </si>
  <si>
    <t>V</t>
  </si>
  <si>
    <t>v</t>
  </si>
  <si>
    <t>M</t>
  </si>
  <si>
    <t>m</t>
  </si>
  <si>
    <t>F</t>
  </si>
  <si>
    <t>f</t>
  </si>
  <si>
    <t>Dh</t>
  </si>
  <si>
    <t>d</t>
  </si>
  <si>
    <t>Th</t>
  </si>
  <si>
    <t>t</t>
  </si>
  <si>
    <t xml:space="preserve"> L</t>
  </si>
  <si>
    <t>l</t>
  </si>
  <si>
    <t>GA</t>
  </si>
  <si>
    <t>ag</t>
  </si>
  <si>
    <t>GDh</t>
  </si>
  <si>
    <t>dg</t>
  </si>
  <si>
    <t>Gn</t>
  </si>
  <si>
    <t>N</t>
  </si>
  <si>
    <t>s</t>
  </si>
  <si>
    <t xml:space="preserve">1-/ Sex ratio is high due to the presence of many tourist resorts in K. Atoll </t>
  </si>
  <si>
    <t>1-/ ޖިންސުގެ ނިސްބަތް ގިނަވެފައިވަނީ ކ. އަތޮޅުގައި ގިނަ ޓުއަރިސްޓް</t>
  </si>
  <si>
    <t xml:space="preserve">     and are  employing mostly by men</t>
  </si>
  <si>
    <t>ރިސޯޓުހުރުމާއި އެތަންތަނުގައި ގިނައިން ވަޒީފާ އަދާކުރާނީ ފިރިހެނުންކަމަށް ވުމެވެ.</t>
  </si>
  <si>
    <t>2-/ In 1985 AA and ADh was combined as Ari Atoll</t>
  </si>
  <si>
    <t>2-/ 1985ގައި އއ އާއި އދ އަކީ އެއްއަތޮޅެއްކަމަށްވާ އަރިއަތޮޅެވެ.</t>
  </si>
  <si>
    <r>
      <t>K</t>
    </r>
    <r>
      <rPr>
        <sz val="11"/>
        <rFont val="Calibri"/>
        <family val="2"/>
      </rPr>
      <t/>
    </r>
  </si>
  <si>
    <t xml:space="preserve"> AA</t>
  </si>
  <si>
    <t>Life Expectancy e(x)</t>
  </si>
  <si>
    <t>Age</t>
  </si>
  <si>
    <t>Souce: National Bureau of Statistics</t>
  </si>
  <si>
    <t>މަސް</t>
  </si>
  <si>
    <t>ivcnwfua</t>
  </si>
  <si>
    <t>ivurwm</t>
  </si>
  <si>
    <t>ivurutia</t>
  </si>
  <si>
    <t>Month</t>
  </si>
  <si>
    <t>Births</t>
  </si>
  <si>
    <t>Deaths</t>
  </si>
  <si>
    <t>Natural Increase</t>
  </si>
  <si>
    <t>ޖުމްލަ</t>
  </si>
  <si>
    <t>January</t>
  </si>
  <si>
    <t>ޖެނުއަރީ</t>
  </si>
  <si>
    <t>February</t>
  </si>
  <si>
    <t>ފެބްރުއަރީ</t>
  </si>
  <si>
    <t>March</t>
  </si>
  <si>
    <t>މާޗް</t>
  </si>
  <si>
    <t>April</t>
  </si>
  <si>
    <t>އޭޕްރީލް</t>
  </si>
  <si>
    <t>Jan</t>
  </si>
  <si>
    <t>May</t>
  </si>
  <si>
    <t>މެއި</t>
  </si>
  <si>
    <t>Feb</t>
  </si>
  <si>
    <t>June</t>
  </si>
  <si>
    <t>ޖޫން</t>
  </si>
  <si>
    <t>Mar</t>
  </si>
  <si>
    <t>July</t>
  </si>
  <si>
    <t>ޖުލައި</t>
  </si>
  <si>
    <t>Apr</t>
  </si>
  <si>
    <t>August</t>
  </si>
  <si>
    <t>އޮގަސްޓް</t>
  </si>
  <si>
    <t>September</t>
  </si>
  <si>
    <t>ސެޕްޓެމްބަރ</t>
  </si>
  <si>
    <t>Jun</t>
  </si>
  <si>
    <t>އޮކްޓޯބަރ</t>
  </si>
  <si>
    <t>Jul</t>
  </si>
  <si>
    <t>November</t>
  </si>
  <si>
    <t>ނޮވެމްބަރ</t>
  </si>
  <si>
    <t>Aug</t>
  </si>
  <si>
    <t>December</t>
  </si>
  <si>
    <t>ޑިސެމްބަރ</t>
  </si>
  <si>
    <t>Sep</t>
  </si>
  <si>
    <t>Oct</t>
  </si>
  <si>
    <r>
      <rPr>
        <b/>
        <i/>
        <sz val="10"/>
        <rFont val="Calibri"/>
        <family val="2"/>
      </rPr>
      <t>Source:</t>
    </r>
    <r>
      <rPr>
        <i/>
        <sz val="10"/>
        <rFont val="Calibri"/>
        <family val="2"/>
      </rPr>
      <t xml:space="preserve"> Ministry of Health </t>
    </r>
  </si>
  <si>
    <t xml:space="preserve">މިނިސްޓްރީ އޮފް ހެލްތު </t>
  </si>
  <si>
    <t>Nov</t>
  </si>
  <si>
    <t>Dec</t>
  </si>
  <si>
    <t>Particulars</t>
  </si>
  <si>
    <t>clIBcfwt</t>
  </si>
  <si>
    <t>Abroad</t>
  </si>
  <si>
    <r>
      <t xml:space="preserve">     Live Births </t>
    </r>
    <r>
      <rPr>
        <b/>
        <vertAlign val="superscript"/>
        <sz val="10"/>
        <rFont val="Calibri"/>
        <family val="2"/>
      </rPr>
      <t>1_/</t>
    </r>
  </si>
  <si>
    <t xml:space="preserve"> 1- / cniduk ibitiriduriaivcnwfua   </t>
  </si>
  <si>
    <t xml:space="preserve">     Male</t>
  </si>
  <si>
    <t xml:space="preserve">cnehirif     </t>
  </si>
  <si>
    <t xml:space="preserve">     Female</t>
  </si>
  <si>
    <t xml:space="preserve">cnehcnwa     </t>
  </si>
  <si>
    <t>Infant Deaths</t>
  </si>
  <si>
    <t xml:space="preserve">cnidukwDukivurwm   </t>
  </si>
  <si>
    <t xml:space="preserve">  -uriaivcnwfua ) cTErWvurwm cnidukwDuk   </t>
  </si>
  <si>
    <t xml:space="preserve">( cSokctwbcsin cSwkwjcauk / 000 emcnok iruhirid   </t>
  </si>
  <si>
    <r>
      <rPr>
        <b/>
        <i/>
        <sz val="9"/>
        <rFont val="Calibri"/>
        <family val="2"/>
      </rPr>
      <t>Source:</t>
    </r>
    <r>
      <rPr>
        <i/>
        <sz val="9"/>
        <rFont val="Calibri"/>
        <family val="2"/>
      </rPr>
      <t xml:space="preserve"> Ministry of Health </t>
    </r>
  </si>
  <si>
    <t>K</t>
  </si>
  <si>
    <t>k</t>
  </si>
  <si>
    <t>Not stated</t>
  </si>
  <si>
    <t>ބަޔާން ނުކުރާ</t>
  </si>
  <si>
    <t>ރާއްޖޭން ބޭރުގައި އުފަންވި އަދި މަރުވި ދިވެހިން</t>
  </si>
  <si>
    <t xml:space="preserve">Note: </t>
  </si>
  <si>
    <t xml:space="preserve">Few deaths have not certified in the same atoll/island in which the death occurred, those deaths are counted in the place of death certified atoll/island </t>
  </si>
  <si>
    <t xml:space="preserve">އަތޮޅުތަކުގެ ޖުމްލައިގެ ތެރޭގައި ރާއްޖޭން ބޭރުގައި އުފަންވި އަދި މަރުވި ދިވެހިނެއް ނުހިމެނޭނެއެވެ.  </t>
  </si>
  <si>
    <t>iawnwmihun cnIsEdib iawgumurukcaea wlcmuj  1_/</t>
  </si>
  <si>
    <t xml:space="preserve">Source: Ministry of Health </t>
  </si>
  <si>
    <t xml:space="preserve">މަޢުލޫމާތު ދެއްވީ: މިނިސްޓްރީ އޮފް ހެލްތު </t>
  </si>
  <si>
    <t>Age Group and Sex</t>
  </si>
  <si>
    <r>
      <t xml:space="preserve">2003 </t>
    </r>
    <r>
      <rPr>
        <b/>
        <vertAlign val="superscript"/>
        <sz val="10"/>
        <rFont val="Calibri"/>
        <family val="2"/>
      </rPr>
      <t>1_/</t>
    </r>
  </si>
  <si>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</si>
  <si>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</si>
  <si>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</si>
  <si>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</si>
  <si>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</si>
  <si>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</si>
  <si>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</si>
  <si>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</si>
  <si>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</si>
  <si>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</si>
  <si>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</si>
  <si>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</si>
  <si>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</si>
  <si>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</si>
  <si>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</si>
  <si>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</si>
  <si>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</si>
  <si>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</si>
  <si>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</si>
  <si>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</si>
  <si>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</si>
  <si>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</si>
  <si>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t>Age (in days) and Sex</t>
  </si>
  <si>
    <t>uscnij idwa /(cnuhwvud) urumua</t>
  </si>
  <si>
    <t>Less than 7 days</t>
  </si>
  <si>
    <t>udwm eruvcSwhwvud 7</t>
  </si>
  <si>
    <t>7 - 27 days</t>
  </si>
  <si>
    <t>cswvud 27 - 7</t>
  </si>
  <si>
    <t>28 - 364</t>
  </si>
  <si>
    <t>364 - 28</t>
  </si>
  <si>
    <t>7 - 27</t>
  </si>
  <si>
    <t>27 - 7</t>
  </si>
  <si>
    <t>Age Groups</t>
  </si>
  <si>
    <t>Both  Sexes</t>
  </si>
  <si>
    <t>ފިރިހެން</t>
  </si>
  <si>
    <t>އަންހެން</t>
  </si>
  <si>
    <t>All Ages</t>
  </si>
  <si>
    <t xml:space="preserve">28 - 364 days </t>
  </si>
  <si>
    <t>Resident Population in Republic</t>
  </si>
  <si>
    <t>Age groups</t>
  </si>
  <si>
    <t xml:space="preserve"> 0-4</t>
  </si>
  <si>
    <t xml:space="preserve">  0-4</t>
  </si>
  <si>
    <t xml:space="preserve"> 5-9</t>
  </si>
  <si>
    <t xml:space="preserve">  5-9</t>
  </si>
  <si>
    <t xml:space="preserve"> 10-14 </t>
  </si>
  <si>
    <t xml:space="preserve"> 10-14</t>
  </si>
  <si>
    <t xml:space="preserve"> 15-19 </t>
  </si>
  <si>
    <t xml:space="preserve"> 15-19</t>
  </si>
  <si>
    <t xml:space="preserve"> 20-24 </t>
  </si>
  <si>
    <t xml:space="preserve"> 20-24</t>
  </si>
  <si>
    <t xml:space="preserve"> 25-29 </t>
  </si>
  <si>
    <t xml:space="preserve"> 25-29</t>
  </si>
  <si>
    <t xml:space="preserve"> 30-34 </t>
  </si>
  <si>
    <t xml:space="preserve"> 30-34</t>
  </si>
  <si>
    <t xml:space="preserve"> 35-39 </t>
  </si>
  <si>
    <t xml:space="preserve"> 35-39</t>
  </si>
  <si>
    <t xml:space="preserve"> 40-44 </t>
  </si>
  <si>
    <t xml:space="preserve"> 40-44</t>
  </si>
  <si>
    <t xml:space="preserve"> 45-49 </t>
  </si>
  <si>
    <t xml:space="preserve"> 45-49</t>
  </si>
  <si>
    <t xml:space="preserve"> 50-54 </t>
  </si>
  <si>
    <t xml:space="preserve"> 50-54</t>
  </si>
  <si>
    <t xml:space="preserve"> 55-59 </t>
  </si>
  <si>
    <t xml:space="preserve"> 55-59</t>
  </si>
  <si>
    <t xml:space="preserve"> 60-64 </t>
  </si>
  <si>
    <t xml:space="preserve"> 60-64</t>
  </si>
  <si>
    <t xml:space="preserve"> 65-69 </t>
  </si>
  <si>
    <t xml:space="preserve"> 65-69</t>
  </si>
  <si>
    <t xml:space="preserve"> 70-74 </t>
  </si>
  <si>
    <t xml:space="preserve"> 70-74</t>
  </si>
  <si>
    <t xml:space="preserve"> 75-79 </t>
  </si>
  <si>
    <t xml:space="preserve"> 75+</t>
  </si>
  <si>
    <t xml:space="preserve"> 80+ </t>
  </si>
  <si>
    <t xml:space="preserve"> All ages</t>
  </si>
  <si>
    <t xml:space="preserve">Male </t>
  </si>
  <si>
    <t>Residential Maldivian 2030</t>
  </si>
  <si>
    <t>Resident Foreigners 2030</t>
  </si>
  <si>
    <t>Resident Maldivian</t>
  </si>
  <si>
    <t>Resident Foreigners</t>
  </si>
  <si>
    <t>The Resident population consist of Resident Maldivian and Resident Foreigners</t>
  </si>
  <si>
    <t>For comparison with previous projections please use Resident Maldivian projections</t>
  </si>
  <si>
    <t>The Republic total includes Male', Atolls and Non Administrative Islands</t>
  </si>
  <si>
    <t>2030 - 2014 ,WzWdcnwa egIdWbWa egEjcaWrihevid : 3.13 ulwvWt</t>
  </si>
  <si>
    <t>Table 3.13 : PROJECTED MID-YEAR POPULATION OF MALDIVES BY AGE AND SEX, 2014  - 2030</t>
  </si>
  <si>
    <t>Resident Population in Male'</t>
  </si>
  <si>
    <t>Residential Maldivian 2018</t>
  </si>
  <si>
    <t>Resident Foreigners 2018</t>
  </si>
  <si>
    <t xml:space="preserve">މާލޭގައި ދިރިއުޅޭ ދިވެހީންގެ އާބާދީ </t>
  </si>
  <si>
    <t xml:space="preserve">މާލޭގައި ދިރިއުޅޭ ބިދޭސީންގެ އާބާދީ </t>
  </si>
  <si>
    <t>Table 3.14 : PROJECTED MID-YEAR POPULATION OF MALE' BY AGE AND SEX, 2014  - 2030</t>
  </si>
  <si>
    <t>2030 - 2014 ,WzWdcnwa egIdWbWa egElWm : 3.14 ulwvWt</t>
  </si>
  <si>
    <t>މާލޭގައި ދިރިއުޅޭ މީހުންގެ އާބާދީ</t>
  </si>
  <si>
    <t xml:space="preserve">ރާއްޖޭގައި ދިރިއުޅޭ ދިވެހީންގެ އާބާދީ </t>
  </si>
  <si>
    <t xml:space="preserve">ރާއްޖޭގައި ދިރިއުޅޭ ބިދޭސީންގެ އާބާދީ </t>
  </si>
  <si>
    <t>ރާއްޖޭގައި ދިރިއުޅޭ މީހުންގެ އާބާދީ</t>
  </si>
  <si>
    <t>Resident Population in Administrative Islands</t>
  </si>
  <si>
    <t>މީހުން ދިރިއުޅޭ ރަށްރަށުގައި ދިރިއުޅޭ އާބާދީ</t>
  </si>
  <si>
    <t>މީހުން ދިރިއުޅޭ ރަށްރަށުގައި ދިރިއުޅޭ ދިވެހީންގެ އާބާދީ</t>
  </si>
  <si>
    <t xml:space="preserve">މީހުން ދިރިއުޅޭ ރަށްރަށުގައި ދިރިއުޅޭ ބިދޭސީންގެ އާބާދީ </t>
  </si>
  <si>
    <t>2030 - 2014 ,WzWdcnwa egIdWbWa ELuairid iawguSwrcSwr ELuairid cnuhIm : 3.15 ulwvWt</t>
  </si>
  <si>
    <t>Table 3.15 : PROJECTED MID-YEAR POPULATION OF ADMINISTRATIVE ATOLL' BY AGE AND SEX, 2014  - 2030</t>
  </si>
  <si>
    <t>Resident Population in Non-Administrative Islands</t>
  </si>
  <si>
    <t>2030 - 2014 ,WzWdcnwa egIdWbWa  ELuairid iawguSwrcSwr Wvun iawfWLwawDnwk cSwmuLuairid cnuhIm : 3.15 ulwvWt</t>
  </si>
  <si>
    <t>Table 3.15 : PROJECTED MID-YEAR POPULATION OF NON - ADMINISTRATIVE ISLANDS BY AGE AND SEX, 2014  - 2030</t>
  </si>
  <si>
    <t>މީހުން ދިރިއުޅުމަށް ކަނޑައެޅިފައިނުވާ ރަށްރަށުގައި ދިރިއުޅޭ އާބާދީ</t>
  </si>
  <si>
    <t xml:space="preserve">މީހުން ދިރިއުޅުމަށް ކަނޑައެޅިފައިނުވާ ރަށްރަށުގައި ދިރިއުޅޭ ދިވެހީންގެ އާބާދީ </t>
  </si>
  <si>
    <t xml:space="preserve">މީހުން ދިރިއުޅުމަށް ކަނޑައެޅިފައިނުވާ ރަށްރަށުގައި ދިރިއުޅޭ ބިދޭސީންގެ އާބާދީ </t>
  </si>
  <si>
    <t>% Change over previous year of</t>
  </si>
  <si>
    <t>ކައިވެނި</t>
  </si>
  <si>
    <t>ވަރި</t>
  </si>
  <si>
    <t>ފަސްޚް</t>
  </si>
  <si>
    <t>ތަފްރީޤް</t>
  </si>
  <si>
    <t>Marriages</t>
  </si>
  <si>
    <t>Divorces</t>
  </si>
  <si>
    <t>Faskh</t>
  </si>
  <si>
    <t>Thafreeq</t>
  </si>
  <si>
    <t>Source: Department of Judicial Administration</t>
  </si>
  <si>
    <t xml:space="preserve">މަޢުލޫމާތު ދެއްވި ފަރާތް: ޑިޕާޓްމަންޓް އޮފް ޖުޑީޝަލް އެޑްމިނިސްޓްރޭޝަން </t>
  </si>
  <si>
    <t xml:space="preserve">Marriages </t>
  </si>
  <si>
    <t xml:space="preserve">Divorces </t>
  </si>
  <si>
    <t>Age of bride &amp; bridegroom</t>
  </si>
  <si>
    <t>50 &amp; Over</t>
  </si>
  <si>
    <t>އަނބިމީހާއާއި ފިރިމީހާގެ ޢުމުރު</t>
  </si>
  <si>
    <t>Persons married</t>
  </si>
  <si>
    <t>ކައިވެނި ކުރި މީހުންގެ ޢަދަދު</t>
  </si>
  <si>
    <t>Persons divorced</t>
  </si>
  <si>
    <t>ވަރިވި މީހުންގެ ޢަދަދު</t>
  </si>
  <si>
    <r>
      <t xml:space="preserve">  ނޯޓް: ދިވެހިރާއްޖޭގެ އާއިލާއާއިބެ</t>
    </r>
    <r>
      <rPr>
        <sz val="9"/>
        <color indexed="8"/>
        <rFont val="Faruma"/>
      </rPr>
      <t>ހޭ ގާނޫނުގައިވާ ގޮތުގެ މަތިން ކައިވެނިކުރެވޭ އުމުރަކީ 18 އަހަރެވެ. އަދި މަތީގައިވާ  ތާވަލުގައި ބަޔާންކޮށްފައިވާ 15-19 އަހަރާދެމެދުގައި ކައިވެނި އަދި ވަރިކޮށްފައިވާ މީހުންގެ އުމުރަކީ 18 އަހަރާއި 19 އަހަރެވެ.</t>
    </r>
  </si>
  <si>
    <t>މަޢުލޫމާތު ދެއްވި ފަރާތް: އާއިލާ އާއިބެހޭ ކޯޓް</t>
  </si>
  <si>
    <t xml:space="preserve">Marriage with foreign nationals </t>
  </si>
  <si>
    <t xml:space="preserve">Type of  Marriages </t>
  </si>
  <si>
    <t>Registered</t>
  </si>
  <si>
    <t xml:space="preserve">ކައިވެނީގެ ބާވަތް </t>
  </si>
  <si>
    <t xml:space="preserve">    Foreign Males</t>
  </si>
  <si>
    <t xml:space="preserve">ރަޖިސްޓްރީކޮށްދިން </t>
  </si>
  <si>
    <t xml:space="preserve">    Foreign Females</t>
  </si>
  <si>
    <t xml:space="preserve">            Marriages overseas         </t>
  </si>
  <si>
    <r>
      <t xml:space="preserve">Marriages  in Maldives         </t>
    </r>
    <r>
      <rPr>
        <b/>
        <sz val="9"/>
        <color indexed="8"/>
        <rFont val="Faruma"/>
      </rPr>
      <t xml:space="preserve"> </t>
    </r>
  </si>
  <si>
    <t>ދިވެހިން ބޭރުގައި ކުރި ކައިވެނި</t>
  </si>
  <si>
    <t>ރާއްޖޭގައި ކުރި ކައިވެނި</t>
  </si>
  <si>
    <t xml:space="preserve">Marriage between maldivian nationals </t>
  </si>
  <si>
    <t xml:space="preserve">ދިވެހިންނާއި ދިވެހިން ކުރި ކައިވެނި </t>
  </si>
  <si>
    <t xml:space="preserve">ދިވެހިން ބޭރު މީހުންނާއިއެކު ކުރެވުނު ކައިވެނި </t>
  </si>
  <si>
    <t xml:space="preserve">ބޭރު ފިރިހެނުންނާއިއެކު ކުރެވުނު ކައިވެނި </t>
  </si>
  <si>
    <t xml:space="preserve">ބޭރު އަންހެނުންނާއިއެކު ކުރެވުނު ކައިވެނި </t>
  </si>
  <si>
    <t xml:space="preserve">Marriages overseas         </t>
  </si>
  <si>
    <t>ކައިވެނި ކުރި ޤައުމު</t>
  </si>
  <si>
    <t>India</t>
  </si>
  <si>
    <t>Srilanka</t>
  </si>
  <si>
    <t>Number of times married</t>
  </si>
  <si>
    <t xml:space="preserve">ކައިވެނިކުރި އަދަދު </t>
  </si>
  <si>
    <t>First</t>
  </si>
  <si>
    <t>Second</t>
  </si>
  <si>
    <t xml:space="preserve">Third </t>
  </si>
  <si>
    <t>Fourth or more</t>
  </si>
  <si>
    <t xml:space="preserve">އަލަށް ކައިވެނިކުރި </t>
  </si>
  <si>
    <t xml:space="preserve">ދެވަނަ ފަހަރަށް ކައިވެނިކުރި </t>
  </si>
  <si>
    <t xml:space="preserve">ތިންވަނަ ފަހަރަށް ކައިވެނިކުރި </t>
  </si>
  <si>
    <t xml:space="preserve">ހަތަރެއް ނުވަތަ އެއަށްވުރެ ގިނަ </t>
  </si>
  <si>
    <t>Court</t>
  </si>
  <si>
    <t xml:space="preserve">Total </t>
  </si>
  <si>
    <t>ކޯޓް</t>
  </si>
  <si>
    <t xml:space="preserve">އަތޮޅު </t>
  </si>
  <si>
    <t xml:space="preserve">އަލަށް ކައިވެނި ކުރި </t>
  </si>
  <si>
    <t xml:space="preserve">ދެވަނަ ފަހަރަށް ކައިވެނި ކުރި </t>
  </si>
  <si>
    <t xml:space="preserve">ތިންވަނަ ފަހަރަށް ކައިވެނި ކުރި </t>
  </si>
  <si>
    <t>ހަތަރެއް ނުވަތަ އެއަށްވުރެ ގިނަ</t>
  </si>
  <si>
    <t>Family court</t>
  </si>
  <si>
    <t>ފެމިލީ ކޯޓު</t>
  </si>
  <si>
    <t>މާލެ</t>
  </si>
  <si>
    <t>Majistrate courts</t>
  </si>
  <si>
    <t xml:space="preserve">މެޖިސްޓްރޭޓް ކޯޓުތައް </t>
  </si>
  <si>
    <t>HulhuMale' court</t>
  </si>
  <si>
    <t>ހުޅުމާލެ ކޯޓު</t>
  </si>
  <si>
    <t>(ah)  iruburutua Itwmcnudwlit</t>
  </si>
  <si>
    <t>South Maalhosamadulu (B)</t>
  </si>
  <si>
    <t>Faadhhippolhu (Lh)</t>
  </si>
  <si>
    <t>Kaafu Atoll (K)</t>
  </si>
  <si>
    <t xml:space="preserve">North Nilandhe Atoll (F) </t>
  </si>
  <si>
    <t>Addu Atoll (S)</t>
  </si>
  <si>
    <t>(s) uLotwauDcawa</t>
  </si>
  <si>
    <t>Atoll/island</t>
  </si>
  <si>
    <t xml:space="preserve">Monogamous </t>
  </si>
  <si>
    <t>Polygamous</t>
  </si>
  <si>
    <t>އަތޮޅާއި ރަށް</t>
  </si>
  <si>
    <t>ކޯޓުގެ ނަން</t>
  </si>
  <si>
    <t>އެއް އަތްބަށް ކުރާ ކައިވެނި</t>
  </si>
  <si>
    <t xml:space="preserve">އެއް އަތްބަށް ވުރެ ގިނަ </t>
  </si>
  <si>
    <t xml:space="preserve"> ކައިވެނި</t>
  </si>
  <si>
    <t>އަންބާ ކުރާ ކައިވެނި</t>
  </si>
  <si>
    <t xml:space="preserve">އަތޮޅުތައް </t>
  </si>
  <si>
    <t>Total Marriages (Male)</t>
  </si>
  <si>
    <t>Total Marriages (Female)</t>
  </si>
  <si>
    <t>Total Divorce (Male)</t>
  </si>
  <si>
    <t>Total Divorce (Female)</t>
  </si>
  <si>
    <t>ތަން</t>
  </si>
  <si>
    <t>މުޅި ރާއްޖެ</t>
  </si>
  <si>
    <t>Male' family court</t>
  </si>
  <si>
    <t>އަތޮޅުތައް</t>
  </si>
  <si>
    <t>HulhuMale' Magistrate Court</t>
  </si>
  <si>
    <t>ހުޅުމާލެ މެޖިސްޓްރޭޓް ކޯޓު</t>
  </si>
  <si>
    <t>Registered Population as of  31st Dec 2019</t>
  </si>
  <si>
    <t>ކަލައިދޫ</t>
  </si>
  <si>
    <r>
      <t>(Enumerated) (</t>
    </r>
    <r>
      <rPr>
        <b/>
        <sz val="9"/>
        <color theme="1"/>
        <rFont val="Calibri"/>
        <family val="2"/>
      </rPr>
      <t xml:space="preserve"> March</t>
    </r>
    <r>
      <rPr>
        <b/>
        <sz val="9"/>
        <color theme="1"/>
        <rFont val="Arial"/>
        <family val="2"/>
      </rPr>
      <t xml:space="preserve"> 31</t>
    </r>
    <r>
      <rPr>
        <b/>
        <sz val="9"/>
        <color theme="1"/>
        <rFont val="Win Ahamedey PRB"/>
        <family val="2"/>
      </rPr>
      <t xml:space="preserve"> </t>
    </r>
    <r>
      <rPr>
        <b/>
        <sz val="9"/>
        <color theme="1"/>
        <rFont val="A_Randhoo"/>
      </rPr>
      <t xml:space="preserve">cCWm </t>
    </r>
    <r>
      <rPr>
        <b/>
        <sz val="9"/>
        <color theme="1"/>
        <rFont val="Calibri"/>
        <family val="2"/>
      </rPr>
      <t>)</t>
    </r>
  </si>
  <si>
    <r>
      <t xml:space="preserve">Annual population growth rate </t>
    </r>
    <r>
      <rPr>
        <b/>
        <sz val="8"/>
        <color theme="1"/>
        <rFont val="Calibri"/>
        <family val="2"/>
      </rPr>
      <t>(expn)</t>
    </r>
  </si>
  <si>
    <r>
      <t xml:space="preserve">Berinmadhoo </t>
    </r>
    <r>
      <rPr>
        <vertAlign val="superscript"/>
        <sz val="9"/>
        <color theme="1"/>
        <rFont val="Calibri"/>
        <family val="2"/>
      </rPr>
      <t>1_/</t>
    </r>
  </si>
  <si>
    <r>
      <t xml:space="preserve">Hathifushi </t>
    </r>
    <r>
      <rPr>
        <vertAlign val="superscript"/>
        <sz val="9"/>
        <color theme="1"/>
        <rFont val="Calibri"/>
        <family val="2"/>
      </rPr>
      <t>1_/</t>
    </r>
  </si>
  <si>
    <r>
      <t xml:space="preserve">Maakan'doodhoo </t>
    </r>
    <r>
      <rPr>
        <vertAlign val="superscript"/>
        <sz val="9"/>
        <color theme="1"/>
        <rFont val="Calibri"/>
        <family val="2"/>
      </rPr>
      <t>1_/</t>
    </r>
  </si>
  <si>
    <r>
      <t xml:space="preserve">Firun'baidhoo </t>
    </r>
    <r>
      <rPr>
        <vertAlign val="superscript"/>
        <sz val="9"/>
        <color theme="1"/>
        <rFont val="Calibri"/>
        <family val="2"/>
      </rPr>
      <t>1_/</t>
    </r>
  </si>
  <si>
    <r>
      <t>Milandhoo</t>
    </r>
    <r>
      <rPr>
        <vertAlign val="superscript"/>
        <sz val="10"/>
        <color theme="1"/>
        <rFont val="Calibri"/>
        <family val="2"/>
      </rPr>
      <t>1</t>
    </r>
    <r>
      <rPr>
        <vertAlign val="superscript"/>
        <sz val="9"/>
        <color theme="1"/>
        <rFont val="Calibri"/>
        <family val="2"/>
      </rPr>
      <t>_/</t>
    </r>
  </si>
  <si>
    <r>
      <t xml:space="preserve">Kandolhudhoo </t>
    </r>
    <r>
      <rPr>
        <vertAlign val="superscript"/>
        <sz val="9"/>
        <color theme="1"/>
        <rFont val="Calibri"/>
        <family val="2"/>
      </rPr>
      <t xml:space="preserve"> 2_/</t>
    </r>
  </si>
  <si>
    <r>
      <t xml:space="preserve">* Dhuvaafaru   </t>
    </r>
    <r>
      <rPr>
        <vertAlign val="superscript"/>
        <sz val="9"/>
        <color theme="1"/>
        <rFont val="Calibri"/>
        <family val="2"/>
      </rPr>
      <t>3_/</t>
    </r>
  </si>
  <si>
    <r>
      <t xml:space="preserve">Madifushi </t>
    </r>
    <r>
      <rPr>
        <vertAlign val="superscript"/>
        <sz val="9"/>
        <color theme="1"/>
        <rFont val="Calibri"/>
        <family val="2"/>
      </rPr>
      <t>2_/</t>
    </r>
  </si>
  <si>
    <r>
      <t>Gemendhoo</t>
    </r>
    <r>
      <rPr>
        <vertAlign val="superscript"/>
        <sz val="9"/>
        <color theme="1"/>
        <rFont val="Calibri"/>
        <family val="2"/>
      </rPr>
      <t xml:space="preserve"> 2_/</t>
    </r>
  </si>
  <si>
    <r>
      <t xml:space="preserve">Vilufushi </t>
    </r>
    <r>
      <rPr>
        <vertAlign val="superscript"/>
        <sz val="9"/>
        <color theme="1"/>
        <rFont val="Calibri"/>
        <family val="2"/>
      </rPr>
      <t>2_/</t>
    </r>
  </si>
  <si>
    <r>
      <t xml:space="preserve">Kalhaidhoo </t>
    </r>
    <r>
      <rPr>
        <vertAlign val="superscript"/>
        <sz val="9"/>
        <color theme="1"/>
        <rFont val="Calibri"/>
        <family val="2"/>
      </rPr>
      <t>1_/</t>
    </r>
  </si>
  <si>
    <r>
      <t>Kalaidhoo</t>
    </r>
    <r>
      <rPr>
        <vertAlign val="superscript"/>
        <sz val="9"/>
        <color theme="1"/>
        <rFont val="Calibri"/>
        <family val="2"/>
      </rPr>
      <t>2_/</t>
    </r>
  </si>
  <si>
    <r>
      <t xml:space="preserve">Dhiyadhoo </t>
    </r>
    <r>
      <rPr>
        <vertAlign val="superscript"/>
        <sz val="9"/>
        <color theme="1"/>
        <rFont val="Calibri"/>
        <family val="2"/>
      </rPr>
      <t xml:space="preserve">2_/  </t>
    </r>
  </si>
  <si>
    <r>
      <rPr>
        <i/>
        <sz val="9"/>
        <color theme="1"/>
        <rFont val="Calibri"/>
        <family val="2"/>
      </rPr>
      <t>Note:</t>
    </r>
    <r>
      <rPr>
        <sz val="9"/>
        <color theme="1"/>
        <rFont val="Calibri"/>
        <family val="2"/>
      </rPr>
      <t xml:space="preserve"> </t>
    </r>
  </si>
  <si>
    <r>
      <rPr>
        <b/>
        <i/>
        <sz val="10"/>
        <color theme="1"/>
        <rFont val="Calibri"/>
        <family val="2"/>
      </rPr>
      <t>Definition</t>
    </r>
    <r>
      <rPr>
        <b/>
        <i/>
        <sz val="9"/>
        <color theme="1"/>
        <rFont val="Calibri"/>
        <family val="2"/>
      </rPr>
      <t xml:space="preserve">: </t>
    </r>
    <r>
      <rPr>
        <i/>
        <sz val="9"/>
        <color theme="1"/>
        <rFont val="Calibri"/>
        <family val="2"/>
      </rPr>
      <t xml:space="preserve">The concept of registered population is different from enumerated. In census people are counted at the place where they are residing at the census reference time. A person can be registered in one island and be living in another island </t>
    </r>
  </si>
  <si>
    <t>Number of Households</t>
  </si>
  <si>
    <t>މީހުން ދިރިއުޅޭ ރަށްރަށުގެ ބޮޑުމިން (ހެކްޓަރުން)</t>
  </si>
  <si>
    <r>
      <t xml:space="preserve">Total       </t>
    </r>
    <r>
      <rPr>
        <b/>
        <sz val="11"/>
        <rFont val="Faruma"/>
      </rPr>
      <t>ޖުމްލަ</t>
    </r>
    <r>
      <rPr>
        <b/>
        <sz val="11"/>
        <rFont val="Calibri"/>
        <family val="2"/>
        <scheme val="minor"/>
      </rPr>
      <t xml:space="preserve"> </t>
    </r>
  </si>
  <si>
    <r>
      <t xml:space="preserve"> Maldivians     </t>
    </r>
    <r>
      <rPr>
        <b/>
        <sz val="11"/>
        <rFont val="Faruma"/>
      </rPr>
      <t>ދިވެހީން</t>
    </r>
    <r>
      <rPr>
        <b/>
        <sz val="11"/>
        <rFont val="Calibri"/>
        <family val="2"/>
        <scheme val="minor"/>
      </rPr>
      <t xml:space="preserve"> </t>
    </r>
  </si>
  <si>
    <r>
      <t xml:space="preserve"> Foreigners      </t>
    </r>
    <r>
      <rPr>
        <b/>
        <sz val="10"/>
        <rFont val="Faruma"/>
      </rPr>
      <t>ބިދޭސީން</t>
    </r>
    <r>
      <rPr>
        <b/>
        <sz val="11"/>
        <rFont val="Calibri"/>
        <family val="2"/>
        <scheme val="minor"/>
      </rPr>
      <t xml:space="preserve"> </t>
    </r>
  </si>
  <si>
    <t>Land Area ( in hectares )</t>
  </si>
  <si>
    <t>Household size</t>
  </si>
  <si>
    <r>
      <t xml:space="preserve">(Enumerated) ( </t>
    </r>
    <r>
      <rPr>
        <b/>
        <sz val="9"/>
        <color theme="1"/>
        <rFont val="Calibri"/>
        <family val="2"/>
      </rPr>
      <t xml:space="preserve">March </t>
    </r>
    <r>
      <rPr>
        <b/>
        <sz val="9"/>
        <color theme="1"/>
        <rFont val="Arial"/>
        <family val="2"/>
      </rPr>
      <t xml:space="preserve">28 </t>
    </r>
    <r>
      <rPr>
        <b/>
        <sz val="9"/>
        <color theme="1"/>
        <rFont val="A_Faseyha"/>
      </rPr>
      <t>cCWm</t>
    </r>
    <r>
      <rPr>
        <b/>
        <sz val="9"/>
        <color theme="1"/>
        <rFont val="A_Randhoo"/>
      </rPr>
      <t xml:space="preserve"> </t>
    </r>
    <r>
      <rPr>
        <b/>
        <sz val="9"/>
        <color theme="1"/>
        <rFont val="Arial"/>
        <family val="2"/>
      </rPr>
      <t>)</t>
    </r>
  </si>
  <si>
    <t xml:space="preserve">Census  2014 (Enumerated Sept 30) </t>
  </si>
  <si>
    <t>ދިވެހީންގެ ޖުމްލަ އާބާދީ</t>
  </si>
  <si>
    <r>
      <t xml:space="preserve"> Census  2014  </t>
    </r>
    <r>
      <rPr>
        <b/>
        <sz val="9"/>
        <color theme="1"/>
        <rFont val="Faruma"/>
      </rPr>
      <t>ބޯހިމެނުން</t>
    </r>
    <r>
      <rPr>
        <b/>
        <sz val="9"/>
        <color theme="1"/>
        <rFont val="Arial"/>
        <family val="2"/>
      </rPr>
      <t xml:space="preserve"> </t>
    </r>
  </si>
  <si>
    <t>Total Resident Population</t>
  </si>
  <si>
    <t>Resident Maldivian Population</t>
  </si>
  <si>
    <t>Population density (per square kilometer)</t>
  </si>
  <si>
    <t>Land Area ( in square kilometer)</t>
  </si>
  <si>
    <r>
      <t xml:space="preserve">RESIDENT POPULATION    </t>
    </r>
    <r>
      <rPr>
        <b/>
        <sz val="10"/>
        <color theme="1"/>
        <rFont val="Faruma"/>
      </rPr>
      <t>ރާއްޖޭގައި ދިރިއުޅޭ އާބާދީ</t>
    </r>
  </si>
  <si>
    <r>
      <t xml:space="preserve"> Census  2006  </t>
    </r>
    <r>
      <rPr>
        <b/>
        <sz val="10"/>
        <color theme="1"/>
        <rFont val="Faruma"/>
      </rPr>
      <t>ބޯހިމެނުން</t>
    </r>
    <r>
      <rPr>
        <b/>
        <sz val="10"/>
        <color theme="1"/>
        <rFont val="Calibri"/>
        <family val="2"/>
      </rPr>
      <t xml:space="preserve"> </t>
    </r>
  </si>
  <si>
    <t xml:space="preserve">ރާއްޖޭގައި ދިރިއުޅޭ ދިވެހީންގެ އާބާދީ އިން </t>
  </si>
  <si>
    <t xml:space="preserve">ޖުމްލަ އާބާދީ އިން </t>
  </si>
  <si>
    <t>މީހުން ދިރިއުޅޭ ރަށްރަށުގެ ބޮޑުމިން (ކިލޯމީޓަރުން)</t>
  </si>
  <si>
    <t>Total Maldivian Population</t>
  </si>
  <si>
    <t>ގޭބިސީގެ އަދަދު</t>
  </si>
  <si>
    <t>އެބްރެޖްކޮށް ގޭބިސީއެއްގައި ދިރިއުޅޭ މީހުންގެ އަދަދު</t>
  </si>
  <si>
    <r>
      <t>1_/</t>
    </r>
    <r>
      <rPr>
        <sz val="9"/>
        <color theme="1"/>
        <rFont val="A_Faseyha"/>
      </rPr>
      <t xml:space="preserve"> Udwmcnireb</t>
    </r>
  </si>
  <si>
    <r>
      <rPr>
        <vertAlign val="superscript"/>
        <sz val="9"/>
        <color theme="1"/>
        <rFont val="A_Faseyha"/>
      </rPr>
      <t>1_/</t>
    </r>
    <r>
      <rPr>
        <sz val="9"/>
        <color theme="1"/>
        <rFont val="A_Faseyha"/>
      </rPr>
      <t xml:space="preserve"> UdUDnwkWm</t>
    </r>
  </si>
  <si>
    <r>
      <rPr>
        <vertAlign val="superscript"/>
        <sz val="9"/>
        <color theme="1"/>
        <rFont val="A_Faseyha"/>
      </rPr>
      <t>1_/</t>
    </r>
    <r>
      <rPr>
        <sz val="9"/>
        <color theme="1"/>
        <rFont val="A_Faseyha"/>
      </rPr>
      <t xml:space="preserve">  Udiawburif</t>
    </r>
  </si>
  <si>
    <r>
      <t>3_/</t>
    </r>
    <r>
      <rPr>
        <sz val="9"/>
        <color theme="1"/>
        <rFont val="A_Faseyha"/>
      </rPr>
      <t xml:space="preserve"> Udcnwlim</t>
    </r>
  </si>
  <si>
    <r>
      <t>2_/</t>
    </r>
    <r>
      <rPr>
        <sz val="9"/>
        <color theme="1"/>
        <rFont val="A_Faseyha"/>
      </rPr>
      <t xml:space="preserve"> UduLodnwk</t>
    </r>
  </si>
  <si>
    <r>
      <rPr>
        <vertAlign val="superscript"/>
        <sz val="9"/>
        <color theme="1"/>
        <rFont val="A_Faseyha"/>
      </rPr>
      <t xml:space="preserve"> 3_/</t>
    </r>
    <r>
      <rPr>
        <sz val="9"/>
        <color theme="1"/>
        <rFont val="A_Faseyha"/>
      </rPr>
      <t xml:space="preserve"> urwfWvud *</t>
    </r>
  </si>
  <si>
    <r>
      <t>2_/</t>
    </r>
    <r>
      <rPr>
        <sz val="9"/>
        <color theme="1"/>
        <rFont val="A_Faseyha"/>
      </rPr>
      <t xml:space="preserve"> Udcnemeg</t>
    </r>
  </si>
  <si>
    <r>
      <t>2_/</t>
    </r>
    <r>
      <rPr>
        <sz val="9"/>
        <color theme="1"/>
        <rFont val="A_Faseyha"/>
      </rPr>
      <t xml:space="preserve"> iSufuliv</t>
    </r>
  </si>
  <si>
    <r>
      <rPr>
        <vertAlign val="superscript"/>
        <sz val="9"/>
        <color theme="1"/>
        <rFont val="A_Faseyha"/>
      </rPr>
      <t xml:space="preserve"> 2_/</t>
    </r>
    <r>
      <rPr>
        <sz val="9"/>
        <color theme="1"/>
        <rFont val="A_Faseyha"/>
      </rPr>
      <t xml:space="preserve"> Udwyid</t>
    </r>
  </si>
  <si>
    <r>
      <t xml:space="preserve">Annual population growth rate </t>
    </r>
    <r>
      <rPr>
        <b/>
        <sz val="8"/>
        <color theme="1"/>
        <rFont val="Calibri"/>
        <family val="2"/>
      </rPr>
      <t>(expn) for Total Maldivian Population</t>
    </r>
  </si>
  <si>
    <t>އަހަރަކަށް އާބާދީ އިތުރުވާ މިންވަރު (ދިވެހީންގެ ޖުމްލަ އާބާދީ)</t>
  </si>
  <si>
    <r>
      <rPr>
        <b/>
        <sz val="11"/>
        <rFont val="Calibri"/>
        <family val="2"/>
      </rPr>
      <t>Census</t>
    </r>
    <r>
      <rPr>
        <b/>
        <sz val="11"/>
        <rFont val="A_Reethi"/>
      </rPr>
      <t xml:space="preserve">   </t>
    </r>
    <r>
      <rPr>
        <b/>
        <sz val="11"/>
        <rFont val="A_Faseyha"/>
      </rPr>
      <t xml:space="preserve"> cnunemihOb</t>
    </r>
  </si>
  <si>
    <t xml:space="preserve">urwvcnim Wvurutia </t>
  </si>
  <si>
    <r>
      <rPr>
        <b/>
        <sz val="11"/>
        <rFont val="Calibri"/>
        <family val="2"/>
      </rPr>
      <t xml:space="preserve">Local Population </t>
    </r>
    <r>
      <rPr>
        <b/>
        <sz val="11"/>
        <rFont val="Arial"/>
        <family val="2"/>
      </rPr>
      <t xml:space="preserve"> </t>
    </r>
    <r>
      <rPr>
        <b/>
        <sz val="11"/>
        <rFont val="A_Faseyha"/>
      </rPr>
      <t xml:space="preserve">  IdWbWa</t>
    </r>
    <r>
      <rPr>
        <b/>
        <sz val="11"/>
        <rFont val="Faruma"/>
      </rPr>
      <t xml:space="preserve"> ދިވެހިންގެ </t>
    </r>
    <r>
      <rPr>
        <b/>
        <sz val="11"/>
        <rFont val="A_Randhoo"/>
      </rPr>
      <t xml:space="preserve"> </t>
    </r>
  </si>
  <si>
    <t>ޖިންސުގެ ނިސްބަތުން ކޮންމެ 100 އަންހެނަކަށް ތިބި ފިރިހެނުން</t>
  </si>
  <si>
    <t>Sex Ratio (Males per 100 females)</t>
  </si>
  <si>
    <t>Table 3.3 :  TOTAL  POPULATION BY ISLANDS, CENSUS 2014  AND REGISTERED POPULATION , 2019</t>
  </si>
  <si>
    <t>Other Areas include Hulhule and  Habours (Male', Villingilli and Hulhumale')</t>
  </si>
  <si>
    <t xml:space="preserve">Large proportion of the population evacuated from Vilufushi due to tsunami were temporarily residing in Buruni in 2006,  </t>
  </si>
  <si>
    <t>Th. Vilusfushi was evacuated due to tsunami and the island has been re-constructed and population has moved back to the island by 2014</t>
  </si>
  <si>
    <t>L. Kalaidhoo is currently treated as a separate administrative unit/island. It was  a ward of L.Isdhoo in 2006</t>
  </si>
  <si>
    <t xml:space="preserve">GDh. Faresmaathoda population is a combination of Fares &amp; Maathoda population </t>
  </si>
  <si>
    <t xml:space="preserve">ތާވަލް 3.3:  ރަށްރަށުގެ އާބާދީ (ބޯހިމެނުން 2006 އަދި 2014) އަދި ރަޖިސްޓްރީކުރެވިފައިވާ އާބާދީ 2019 </t>
  </si>
  <si>
    <r>
      <t xml:space="preserve"> </t>
    </r>
    <r>
      <rPr>
        <vertAlign val="superscript"/>
        <sz val="11"/>
        <rFont val="A_Faseyha"/>
      </rPr>
      <t xml:space="preserve">  /-1</t>
    </r>
    <r>
      <rPr>
        <sz val="11"/>
        <rFont val="A_Faseyha"/>
      </rPr>
      <t xml:space="preserve"> k</t>
    </r>
  </si>
  <si>
    <r>
      <rPr>
        <vertAlign val="superscript"/>
        <sz val="11"/>
        <rFont val="A_Faseyha"/>
      </rPr>
      <t xml:space="preserve"> /-2</t>
    </r>
    <r>
      <rPr>
        <sz val="11"/>
        <rFont val="A_Faseyha"/>
      </rPr>
      <t xml:space="preserve"> uLotwairwa</t>
    </r>
  </si>
  <si>
    <t>Malaysia</t>
  </si>
  <si>
    <t>މެލޭޝިޔާ</t>
  </si>
  <si>
    <t>Indonesia</t>
  </si>
  <si>
    <t>އިންޑޮނޭޝިޔާ</t>
  </si>
  <si>
    <t>Thailand</t>
  </si>
  <si>
    <t>Bangladesh</t>
  </si>
  <si>
    <t>Morocco</t>
  </si>
  <si>
    <t>Yemen</t>
  </si>
  <si>
    <t>Switzerland</t>
  </si>
  <si>
    <t>Australia</t>
  </si>
  <si>
    <t>Japan</t>
  </si>
  <si>
    <t>Egypt</t>
  </si>
  <si>
    <t>Italy</t>
  </si>
  <si>
    <t>Russia</t>
  </si>
  <si>
    <t>Pakistan</t>
  </si>
  <si>
    <t>Ukraine</t>
  </si>
  <si>
    <t>USA</t>
  </si>
  <si>
    <t>ފިލިޕީންސް</t>
  </si>
  <si>
    <t>ބަންގްލަދޭޝް</t>
  </si>
  <si>
    <t>މޮރޮކޯ</t>
  </si>
  <si>
    <t>ޔަމަން</t>
  </si>
  <si>
    <t>ޖަޕާން</t>
  </si>
  <si>
    <t>އިޓަލީ</t>
  </si>
  <si>
    <t>ރަޝިޔާ</t>
  </si>
  <si>
    <t>ޕާކިސްތާން</t>
  </si>
  <si>
    <t>ސްރީލަންކާ</t>
  </si>
  <si>
    <t>އިންޑިޔާ</t>
  </si>
  <si>
    <t>ތައިލޭންޑް</t>
  </si>
  <si>
    <t>England</t>
  </si>
  <si>
    <t>އިނގިރޭސިވިލާތް</t>
  </si>
  <si>
    <t>ސްވިޓްޒަލޭންޑް</t>
  </si>
  <si>
    <t>ޔޫކްރައިން</t>
  </si>
  <si>
    <t>އެމެރިކާ</t>
  </si>
  <si>
    <t>Country marriage was performed</t>
  </si>
  <si>
    <t xml:space="preserve">ބޭރުމީހުންނާއިއެކު ދިވެހިން ރާއްޖޭގައި  ކުރި ކައިވެނި </t>
  </si>
  <si>
    <t>Maldivian marriages with foreigners performed in maldives</t>
  </si>
  <si>
    <r>
      <t xml:space="preserve">ދިވެހިން ބޭރުގައި ކުރާ ކައިވެނި ރަޖިސްޓްރީކުރުން
 </t>
    </r>
    <r>
      <rPr>
        <b/>
        <sz val="10"/>
        <rFont val="Calibri"/>
        <family val="2"/>
        <scheme val="minor"/>
      </rPr>
      <t>Marriages registered in overseas</t>
    </r>
  </si>
  <si>
    <r>
      <t xml:space="preserve">ރަޖިސްޓްރީކުރަން ހުށަހެޅުނު </t>
    </r>
    <r>
      <rPr>
        <b/>
        <sz val="10"/>
        <rFont val="Calibri"/>
        <family val="2"/>
        <scheme val="minor"/>
      </rPr>
      <t>Applied for registration</t>
    </r>
  </si>
  <si>
    <r>
      <t xml:space="preserve">ރަޖިސްޓްރީކޮށްދިން </t>
    </r>
    <r>
      <rPr>
        <b/>
        <sz val="10"/>
        <rFont val="Calibri"/>
        <family val="2"/>
        <scheme val="minor"/>
      </rPr>
      <t>Registered</t>
    </r>
    <r>
      <rPr>
        <b/>
        <sz val="10"/>
        <rFont val="Faruma"/>
      </rPr>
      <t xml:space="preserve"> </t>
    </r>
  </si>
  <si>
    <r>
      <t xml:space="preserve">ރަޖިސްޓްރީ ކޮށްދިން ޖުމްލަ
</t>
    </r>
    <r>
      <rPr>
        <b/>
        <sz val="10"/>
        <rFont val="Calibri"/>
        <family val="2"/>
        <scheme val="minor"/>
      </rPr>
      <t>Total registered</t>
    </r>
  </si>
  <si>
    <r>
      <t xml:space="preserve">ދެ ދިވެހިން ކުރި ކައިވެނި
</t>
    </r>
    <r>
      <rPr>
        <b/>
        <sz val="10"/>
        <rFont val="Calibri"/>
        <family val="2"/>
        <scheme val="minor"/>
      </rPr>
      <t>Marriage between Maldivian Nationals</t>
    </r>
  </si>
  <si>
    <r>
      <t xml:space="preserve">ބޭރު ފިރިހެނުންނާއިއެކު  ކުރެވުނު ކައިވެނި
</t>
    </r>
    <r>
      <rPr>
        <b/>
        <sz val="10"/>
        <rFont val="Calibri"/>
        <family val="2"/>
        <scheme val="minor"/>
      </rPr>
      <t>Marriage with foreign males</t>
    </r>
  </si>
  <si>
    <r>
      <t xml:space="preserve">ބޭރުއަންހެންނާއިއެކު ކުރެވުނު ކައިވެނި
</t>
    </r>
    <r>
      <rPr>
        <b/>
        <sz val="10"/>
        <rFont val="Calibri"/>
        <family val="2"/>
        <scheme val="minor"/>
      </rPr>
      <t>Marriage with foreign females</t>
    </r>
  </si>
  <si>
    <t>Atoll / Island</t>
  </si>
  <si>
    <t>Marriage</t>
  </si>
  <si>
    <t>Divorce</t>
  </si>
  <si>
    <t xml:space="preserve"> Dhuvaafaru   </t>
  </si>
  <si>
    <t xml:space="preserve">Vilufushi </t>
  </si>
  <si>
    <t>Kalaidhoo</t>
  </si>
  <si>
    <r>
      <t>1_/:</t>
    </r>
    <r>
      <rPr>
        <i/>
        <sz val="9"/>
        <rFont val="Calibri"/>
        <family val="2"/>
      </rPr>
      <t xml:space="preserve"> From 2007 - 2009  figures are revised. (taken from VRS database (1998- 2008) and E-Government birth and death registration (from Nov.2009 onwards)</t>
    </r>
  </si>
  <si>
    <t>0-1</t>
  </si>
  <si>
    <t>1-4</t>
  </si>
  <si>
    <t>5-9</t>
  </si>
  <si>
    <t>10-14</t>
  </si>
  <si>
    <t>15-19</t>
  </si>
  <si>
    <t>20-24</t>
  </si>
  <si>
    <t>25-29</t>
  </si>
  <si>
    <t>30-34</t>
  </si>
  <si>
    <t>35-39</t>
  </si>
  <si>
    <t>40-44</t>
  </si>
  <si>
    <t>45-49</t>
  </si>
  <si>
    <t>50-54</t>
  </si>
  <si>
    <t>55-59</t>
  </si>
  <si>
    <t>60-64</t>
  </si>
  <si>
    <t>65-69</t>
  </si>
  <si>
    <t>70-74</t>
  </si>
  <si>
    <t>75-79</t>
  </si>
  <si>
    <t>80-84</t>
  </si>
  <si>
    <t>85-90</t>
  </si>
  <si>
    <t>90-94</t>
  </si>
  <si>
    <t>95-99</t>
  </si>
  <si>
    <t>100+</t>
  </si>
  <si>
    <t>1989 - 1991</t>
  </si>
  <si>
    <t>1994 - 1996</t>
  </si>
  <si>
    <t>1999 - 2001</t>
  </si>
  <si>
    <t>2005 - 2007</t>
  </si>
  <si>
    <t>2013 - 2015</t>
  </si>
  <si>
    <t>Both sex</t>
  </si>
  <si>
    <t>Note: * Interpolation has been done to derive life expectancy at birth for inter-censal years</t>
  </si>
  <si>
    <t>Table 3.6b: Improved life expectancy at birth series for Maldives, 1990-2015</t>
  </si>
  <si>
    <t xml:space="preserve">Life expectancy e(x) at birth </t>
  </si>
  <si>
    <t>2015 - 1989 ,clwvWt EdWkcawdurumuA EverukWfwl egEjcaWrihevid : 3.6 ulwvWt</t>
  </si>
  <si>
    <r>
      <t xml:space="preserve">Monogamous </t>
    </r>
    <r>
      <rPr>
        <b/>
        <vertAlign val="superscript"/>
        <sz val="11"/>
        <color indexed="8"/>
        <rFont val="Calibri"/>
        <family val="2"/>
      </rPr>
      <t>1_/</t>
    </r>
  </si>
  <si>
    <t>Note: 1_/ : Included Marriages with foreign females and Marriages with foreign males</t>
  </si>
  <si>
    <r>
      <t>Milandhoo</t>
    </r>
    <r>
      <rPr>
        <vertAlign val="superscript"/>
        <sz val="10"/>
        <color indexed="8"/>
        <rFont val="Calibri"/>
        <family val="2"/>
      </rPr>
      <t>1_/</t>
    </r>
  </si>
  <si>
    <t xml:space="preserve">25 - 29 </t>
  </si>
  <si>
    <t xml:space="preserve">40 - 44 </t>
  </si>
  <si>
    <t xml:space="preserve">70 &amp; Over </t>
  </si>
  <si>
    <t>Infant Mortality Rate  (IMR)</t>
  </si>
  <si>
    <t>('000) Live Births</t>
  </si>
  <si>
    <t>Sex  Not Stated</t>
  </si>
  <si>
    <t>Age Not Stated</t>
  </si>
  <si>
    <t>ޖިންސު ބަޔާންނުކުރާ</t>
  </si>
  <si>
    <t>އުމުރު ބަޔާންނުކުރާ</t>
  </si>
  <si>
    <t>ތާވަލު 13.19: ރާއްޖެއާއި ރާއްޖޭންބޭރުގައި ކުރެވޭ ދިވެހި އަދި ދިވެހި ބިދޭސީ ކައިވެނި، 2020</t>
  </si>
  <si>
    <t>TABLE 3.19: MARRIAGES BETWEEN LOCALS AND LOCALS TO FOREIGN NATIONALS, PERFORMED LOCALLY AND OVERSEAS, 2020</t>
  </si>
  <si>
    <t>Turkey</t>
  </si>
  <si>
    <t>ތުރުކީ</t>
  </si>
  <si>
    <t>Germany</t>
  </si>
  <si>
    <t>ޖަރުމަނު</t>
  </si>
  <si>
    <t>ތާވަލު 3.22: މާލެ އާއި އަތޮޅުތަކުގައި ކުރެވުނު ކައިވެނީގެ އަދަދު، 2020</t>
  </si>
  <si>
    <t>TABLE 3.22:  NUMBER OF TIMES MARRIED IN MALE' AND ATOLLS , 2020</t>
  </si>
  <si>
    <t>above 66</t>
  </si>
  <si>
    <t>56-65</t>
  </si>
  <si>
    <t>41-55</t>
  </si>
  <si>
    <t>26-40</t>
  </si>
  <si>
    <t>18-25</t>
  </si>
  <si>
    <t>17 &amp; Over</t>
  </si>
  <si>
    <t>under 18</t>
  </si>
  <si>
    <t>Total marriage and divorce</t>
  </si>
  <si>
    <t>Data Revised: 8th November 2021</t>
  </si>
  <si>
    <t xml:space="preserve">Table 3.6 a: ABRIDGE LIFE TABLE OF MALDIVES BY SEX FOR INTERCENSAL YEARS, 1989 - 2015 </t>
  </si>
  <si>
    <t>Data includes Maldivians and foreigners</t>
  </si>
  <si>
    <r>
      <t xml:space="preserve"> </t>
    </r>
    <r>
      <rPr>
        <b/>
        <i/>
        <sz val="10"/>
        <rFont val="Calibri"/>
        <family val="2"/>
      </rPr>
      <t>Health Information Management &amp; Research Division / Health Statistics &amp; Publication Section</t>
    </r>
  </si>
  <si>
    <r>
      <t xml:space="preserve">Republic </t>
    </r>
    <r>
      <rPr>
        <b/>
        <vertAlign val="superscript"/>
        <sz val="10"/>
        <color indexed="8"/>
        <rFont val="Calibri"/>
        <family val="2"/>
      </rPr>
      <t>1_/</t>
    </r>
  </si>
  <si>
    <r>
      <t xml:space="preserve">Maldivians born and died abroad  </t>
    </r>
    <r>
      <rPr>
        <b/>
        <vertAlign val="superscript"/>
        <sz val="10"/>
        <color indexed="8"/>
        <rFont val="Calibri"/>
        <family val="2"/>
      </rPr>
      <t>2_/</t>
    </r>
  </si>
  <si>
    <t>2020 figures are tentative and is expected to change</t>
  </si>
  <si>
    <t xml:space="preserve">ނ 2020 ވަނަ އަހަރުގެ މައުލޫމާތު ރިވައިޒުކުރަމުންދާތީވެ މިއަދަދުތަކަށް ބަދަލުއައުން އެކަށީގެންވެއެވެ. </t>
  </si>
  <si>
    <t xml:space="preserve">1_/ Total (Births  and Deaths)  include foreigners </t>
  </si>
  <si>
    <t xml:space="preserve"> Total include Maldivians born and died abroad </t>
  </si>
  <si>
    <t>ނޯޓް:</t>
  </si>
  <si>
    <t>Sex Not Stated</t>
  </si>
  <si>
    <t>2_/: 2020 figures are tentative and is expected to change</t>
  </si>
  <si>
    <r>
      <rPr>
        <i/>
        <sz val="9"/>
        <rFont val="Arial"/>
        <family val="2"/>
      </rPr>
      <t xml:space="preserve">Source: Ministry of Health </t>
    </r>
  </si>
  <si>
    <r>
      <t xml:space="preserve"> </t>
    </r>
    <r>
      <rPr>
        <i/>
        <sz val="10"/>
        <rFont val="Calibri"/>
        <family val="2"/>
      </rPr>
      <t>Health Information Management &amp; Research Division / Health Statistics &amp; Publication Section</t>
    </r>
  </si>
  <si>
    <t>Not Stated</t>
  </si>
  <si>
    <t>8 - 27</t>
  </si>
  <si>
    <t>29 - 364</t>
  </si>
  <si>
    <t>Note: 1_/: 2020 figures are tentative and is expected to change</t>
  </si>
  <si>
    <t>Note: Data includes Maldivians and foreigners</t>
  </si>
  <si>
    <t>Table 3.8 :  BIRTHS AND DEATHS, BY SEX AND LOCALITY,  2021</t>
  </si>
  <si>
    <t>2021 ,cnuhIm ivurwmiaWncnuhIm ivcnwfua cnutog eguscnij iaWncnutog egunwt : 3.8 ulwvWt</t>
  </si>
  <si>
    <t>Table 3.12 :   DEATHS BY AGE AND SEX, BY MAJOR ADMINISTRATIVE UNITS, 2021</t>
  </si>
  <si>
    <t>ތާވަލު 3.12: މާލެއާއި، ރާއްޖެ އަދި ރާއްޖޭންބޭރުގައި މަރުވި މީހުންގެ ޢަދަދު، ޖިންސާއި ޢުމުރުގެ ގޮތުން، 2021</t>
  </si>
  <si>
    <t>Table 3.17 :  MARRIAGES AND DIVORCES IN MALE' AND ATOLLS, 2017 - 2021</t>
  </si>
  <si>
    <t>ތާވަލު 3.17: މާލެ އާއި އަތޮޅުތަކުގައި ކުރެވުނު ކައިވެންޏާއި ވަރި، 2017 - 2021</t>
  </si>
  <si>
    <t>Table 3.18 :NUMBER OF PERSONS MARRIED AND DIVORCED,IN MALE', BY AGE GROUP OF BRIDE AND GROOM, 2016 - 2021</t>
  </si>
  <si>
    <t>ތާވަލު 3.18: އަނބިމީހާއާއި ފިރިމީހާގެ ޢުމުރުފުރައިގެ ގޮތުން ފެމިލީކޯޓުގައި ކައިވެނިކުރި މީހުންނާއި ވަރިކުރި މީހުންގެ ޢަދަދު،   2016 - 2021</t>
  </si>
  <si>
    <t>TABLE 3.19: MARRIAGES BETWEEN LOCALS AND LOCALS TO FOREIGN NATIONALS, PERFORMED LOCALLY AND OVERSEAS, 2021</t>
  </si>
  <si>
    <t>ތާވަލު 13.19: ރާއްޖެއާއި ރާއްޖޭންބޭރުގައި ކުރެވޭ ދިވެހި އަދި ދިވެހި ބިދޭސީ ކައިވެނި، 2021</t>
  </si>
  <si>
    <t>TABLE 3.20:  MARRIAGES  BETEWEEN LOCALS AND LOCALS TO FOREIGN NATIONALS PERFORMED OVERSEAS BY COUNTRY, 2021</t>
  </si>
  <si>
    <t xml:space="preserve">ތާވަލު 3.20: ރާއްޖޭން ބޭރު ޤައުމުތަކުގައި ކުރެވޭ ދިވެހި އަދި ބިދޭސީ ކައިވެނި، 2021  </t>
  </si>
  <si>
    <t>ތާވަލު 3.22: މާލެ އާއި އަތޮޅުތަކުގައި ކުރެވުނު ކައިވެނީގެ އަދަދު، 2021</t>
  </si>
  <si>
    <t>TABLE 3.22:  NUMBER OF TIMES MARRIED IN MALE' AND ATOLLS , 2021</t>
  </si>
  <si>
    <t xml:space="preserve"> TABLE 3.23: NUMBER OF  MARRIAGES, 2019 -  2021</t>
  </si>
  <si>
    <t>ތާވަލު 3.23: ކައިވެނީގެ އަދަދު، 2019 - 2021</t>
  </si>
  <si>
    <t>TABLE 3.24: NUMBER OF PERSONS MARRIED &amp; DIVORCE BY AGE, 2021</t>
  </si>
  <si>
    <t xml:space="preserve">ތާވަލު 3.24: ކައިވެނިކުރި މީހުންނާއި، ވަރިކުރި މީހުންގެ އުމުރު، 2021  </t>
  </si>
  <si>
    <t>TABLE   3.25:   NUMBER OF MARRIAGES AND DIVORCES BY ISLAND , 2019- 2021</t>
  </si>
  <si>
    <t>Source: Maldives Bureau of Statistics</t>
  </si>
  <si>
    <t xml:space="preserve">   31-12-2021</t>
  </si>
  <si>
    <t>މައުލޫމާތު ދެއްވި ފަރާތް: މޯލްޑިވްސް ބިއުރޯ އޮފް ސްޓެޓިސްޓިކްސް</t>
  </si>
  <si>
    <t>Souce: Maldives Bureau of Statistics</t>
  </si>
  <si>
    <t>Residential Maldivian 2022</t>
  </si>
  <si>
    <t>Resident Foreigners 2022</t>
  </si>
  <si>
    <t>Table 3.9 :  LIVE BIRTHS AND INFANT DEATHS, 2015 - 2020</t>
  </si>
  <si>
    <t>2020-2015 ,cnidukwDukivurwm iaWncnidukwDuk ibitirid uriaivcnwfua  : 3.9  ulwvWt</t>
  </si>
  <si>
    <r>
      <t>2021</t>
    </r>
    <r>
      <rPr>
        <b/>
        <vertAlign val="superscript"/>
        <sz val="11"/>
        <rFont val="Calibri"/>
        <family val="2"/>
      </rPr>
      <t>1_/</t>
    </r>
  </si>
  <si>
    <t>Table 3.7 :  MONTHLY RECORDS OF BIRTHS AND DEATHS, 2020 - 2021</t>
  </si>
  <si>
    <t>2021 - 2020 ,cniduk iaWncnuhImivurwm ,iaWncniduk ivcnwfua uhwmcswmikea : 3.7 ulwvWt</t>
  </si>
  <si>
    <t xml:space="preserve">        1_/: 2021 figures are tentative and is expected to change</t>
  </si>
  <si>
    <r>
      <rPr>
        <sz val="1"/>
        <rFont val="Faruma"/>
      </rPr>
      <t>ނ</t>
    </r>
    <r>
      <rPr>
        <sz val="8"/>
        <rFont val="Faruma"/>
      </rPr>
      <t xml:space="preserve">2021 ވަނަ އަހަރުގެ މައުލޫމާތު ރިވައިޒުކުރަމުންދާތީވެ މިއަދަދުތަކަށް ބަދަލުއައުން އެކަށީގެންވެއެވެ. </t>
    </r>
  </si>
  <si>
    <t xml:space="preserve">އުފަންވި ކުދިންނާއި މަރުވި މީހުން / ކުދިންގެ ތެރޭގައި ރާއްޖޭގައި އުފަންވި އަދި މަރުވި ބިދޭސީން ހިމެނޭނެއެވެ. ނަމަވެސް ރާއްޖޭން ބޭރުގައި އުފަންވި / މަރުވި ދިވެހީން ނުހިމެނޭނެއެވެ. </t>
  </si>
  <si>
    <r>
      <rPr>
        <sz val="2"/>
        <rFont val="Faruma"/>
      </rPr>
      <t>ނ</t>
    </r>
    <r>
      <rPr>
        <sz val="10"/>
        <rFont val="Faruma"/>
      </rPr>
      <t xml:space="preserve"> 2021 ވަނަ އަހަރުގެ މައުލޫމާތު ރިވައިޒުކުރަމުންދާތީވެ މިއަދަދުތަކަށް ބަދަލުއައުން އެކަށީގެންވެއެވެ. </t>
    </r>
  </si>
  <si>
    <r>
      <t>2021</t>
    </r>
    <r>
      <rPr>
        <b/>
        <vertAlign val="superscript"/>
        <sz val="9"/>
        <rFont val="Calibri"/>
        <family val="2"/>
      </rPr>
      <t>1_/</t>
    </r>
  </si>
  <si>
    <r>
      <t>2021</t>
    </r>
    <r>
      <rPr>
        <b/>
        <vertAlign val="superscript"/>
        <sz val="10"/>
        <rFont val="Calibri"/>
        <family val="2"/>
      </rPr>
      <t>1_/</t>
    </r>
  </si>
  <si>
    <t xml:space="preserve">Data includes Maldivians and foreigners, but excluded deaths occurred abroad </t>
  </si>
  <si>
    <r>
      <t>2021</t>
    </r>
    <r>
      <rPr>
        <b/>
        <vertAlign val="superscript"/>
        <sz val="10"/>
        <color theme="1"/>
        <rFont val="Calibri"/>
        <family val="2"/>
      </rPr>
      <t>1_/</t>
    </r>
  </si>
  <si>
    <t>Table 3.11 : INFANT DEATHS BY AGE AND SEX, 2006 - 2021</t>
  </si>
  <si>
    <t>2021 - 2006 ,cnutogegurumua iaWscnij ,cnidukwDukivurwm : 3.11 ulwvWt</t>
  </si>
  <si>
    <t>2021 figures are tentative and is expected to change</t>
  </si>
  <si>
    <t>philippines</t>
  </si>
  <si>
    <t>Austria</t>
  </si>
  <si>
    <t>އޮސްޓްރިޔާ</t>
  </si>
  <si>
    <t>Netherland</t>
  </si>
  <si>
    <t>ނެދަލޭންޑް</t>
  </si>
  <si>
    <t>Denmark</t>
  </si>
  <si>
    <t>ޑެންމަރކް</t>
  </si>
  <si>
    <t>Palestine</t>
  </si>
  <si>
    <t>ފަލަސްތީން</t>
  </si>
  <si>
    <t>Kazakhstan</t>
  </si>
  <si>
    <t>ކަޒަކިސްތާން</t>
  </si>
  <si>
    <t>މިސްރު</t>
  </si>
  <si>
    <t>Tunisia</t>
  </si>
  <si>
    <t>ޓިއުނީޝިޔާ</t>
  </si>
  <si>
    <t>އޮސްޓްރޭލިޔާ</t>
  </si>
  <si>
    <t>Brazil</t>
  </si>
  <si>
    <t>ބްރެޒިލް</t>
  </si>
  <si>
    <t>Czech Republic</t>
  </si>
  <si>
    <t>ޗެކްރިޕަބްލިކް</t>
  </si>
  <si>
    <t>އިންގްލޭންޑް</t>
  </si>
  <si>
    <t>Cuba</t>
  </si>
  <si>
    <t>ކިއުބާ</t>
  </si>
  <si>
    <t>Canada</t>
  </si>
  <si>
    <t>ކެނެޑާ</t>
  </si>
  <si>
    <t>Belgium</t>
  </si>
  <si>
    <t>ބެލްޖިއަމް</t>
  </si>
  <si>
    <t>Norway</t>
  </si>
  <si>
    <t>ނޯވޭ</t>
  </si>
  <si>
    <t>UK</t>
  </si>
  <si>
    <t>China</t>
  </si>
  <si>
    <t>ޗައިނާ</t>
  </si>
  <si>
    <t>Hongkong</t>
  </si>
  <si>
    <t>ހޮންކޮންގ</t>
  </si>
  <si>
    <t>Urguay</t>
  </si>
  <si>
    <t>އުރުގުއޭ</t>
  </si>
  <si>
    <t>Finland</t>
  </si>
  <si>
    <t>ފިންލޭންޑް</t>
  </si>
  <si>
    <t>Singapore</t>
  </si>
  <si>
    <t>ސިންގަޕޫރު</t>
  </si>
  <si>
    <t>TABLE 3.21: NUMBER OF MARRIAGES BY NUMBER OF TIMES MARRIED BY SEX, 2018 - 2021</t>
  </si>
  <si>
    <t xml:space="preserve">ތާވަލު 3.21: ކައިވެނީގެ އަދަދާއި ކައިވެނި ކުރި ފަހަރު އަދި ޖިންސު، 2018 - 2021   </t>
  </si>
  <si>
    <t xml:space="preserve">Data includes Maldivians and foreigners, but excluded birth &amp; deaths occurred abroad </t>
  </si>
  <si>
    <t>Table 3.10 : DEATHS BY AGE GROUP AND SEX, 2007 - 2021</t>
  </si>
  <si>
    <t>2021 - 2007 ,cscnij iaWa wrufegurumua egcnuhImivurwm : 3.10 ulwvWt</t>
  </si>
  <si>
    <t xml:space="preserve">Note:  1_/ Data includes Maldivians and foreigners, but excluded deaths occurred abroad </t>
  </si>
  <si>
    <t>ނޯޓް: ޖުމްލައިގެތެރޭގައި ރާއްޖޭގައި އުފަންވި ދިވެހީން އަދި ބިދޭސީން ހިމެނޭނެއެވެ. ނަމަވެސް ރާއްޖެއިން ބޭރުގައި އުފަންވި އަދި މަރުވި  ކުދިން ނުހިމެނޭނެއެވެ.</t>
  </si>
  <si>
    <r>
      <rPr>
        <sz val="2"/>
        <color theme="1"/>
        <rFont val="Faruma"/>
      </rPr>
      <t>ނ</t>
    </r>
    <r>
      <rPr>
        <sz val="9"/>
        <color theme="1"/>
        <rFont val="Faruma"/>
      </rPr>
      <t xml:space="preserve"> 2021 ވަނަ އަހަރުގެ މައުލޫމާތު ރިވައިޒުކުރަމުންދާތީވެ މިއަދަދުތަކަށް ބަދަލުއައުން އެކަށީގެންވެއެވެ.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</si>
</sst>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 #,##0.00_-;\-* #,##0.00_-;_-* &quot;-&quot;??_-;_-@_-"/>
    <numFmt numFmtId="165" formatCode="#,##0\ &quot;ރ.&quot;_-;#,##0\ &quot;ރ.&quot;\-"/>
    <numFmt numFmtId="166" formatCode="_-* #,##0.00\ _ރ_._-;_-* #,##0.00\ _ރ_.\-;_-* &quot;-&quot;??\ _ރ_._-;_-@_-"/>
    <numFmt numFmtId="167" formatCode="General_)"/>
    <numFmt numFmtId="168" formatCode="0.0000"/>
    <numFmt numFmtId="169" formatCode="0.00000;[Red]0.00000"/>
    <numFmt numFmtId="170" formatCode="0.00_)"/>
    <numFmt numFmtId="171" formatCode="_-* #,##0\ _ރ_._-;_-* #,##0\ _ރ_.\-;_-* &quot;-&quot;??\ _ރ_._-;_-@_-"/>
    <numFmt numFmtId="172" formatCode="0.0"/>
    <numFmt numFmtId="173" formatCode="#,##0;[Red]#,##0"/>
    <numFmt numFmtId="174" formatCode="_(* #,##0_);_(* \(#,##0\);_(* &quot;-&quot;??_);_(@_)"/>
    <numFmt numFmtId="175" formatCode="#,##0.00;[Red]#,##0.00"/>
    <numFmt numFmtId="176" formatCode="0;[Red]0"/>
    <numFmt numFmtId="177" formatCode="#,##0.0"/>
    <numFmt numFmtId="178" formatCode="_(* #,##0.0_);_(* \(#,##0.0\);_(* &quot;-&quot;??_);_(@_)"/>
  </numFmts>
  <fonts count="18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Courier"/>
      <family val="3"/>
    </font>
    <font>
      <b/>
      <sz val="11"/>
      <name val="A_Randhoo"/>
    </font>
    <font>
      <sz val="10"/>
      <name val="Arial"/>
      <family val="2"/>
    </font>
    <font>
      <b/>
      <sz val="12"/>
      <name val="Calibri"/>
      <family val="2"/>
    </font>
    <font>
      <b/>
      <sz val="11"/>
      <name val="Calibri"/>
      <family val="2"/>
    </font>
    <font>
      <b/>
      <sz val="10"/>
      <name val="Arial"/>
      <family val="2"/>
    </font>
    <font>
      <b/>
      <sz val="11"/>
      <name val="A_Reethi"/>
    </font>
    <font>
      <b/>
      <sz val="11"/>
      <name val="Arial"/>
      <family val="2"/>
    </font>
    <font>
      <b/>
      <sz val="11"/>
      <name val="Faruma"/>
    </font>
    <font>
      <b/>
      <sz val="10"/>
      <name val="Faruma"/>
    </font>
    <font>
      <b/>
      <sz val="10"/>
      <name val="A_Randhoo"/>
    </font>
    <font>
      <b/>
      <sz val="9"/>
      <name val="Arial"/>
      <family val="2"/>
    </font>
    <font>
      <b/>
      <sz val="9"/>
      <name val="Faruma"/>
    </font>
    <font>
      <b/>
      <sz val="9"/>
      <name val="A_Randhoo"/>
    </font>
    <font>
      <sz val="9"/>
      <name val="Arial"/>
      <family val="2"/>
    </font>
    <font>
      <b/>
      <i/>
      <sz val="9"/>
      <name val="Arial"/>
      <family val="2"/>
    </font>
    <font>
      <b/>
      <sz val="10"/>
      <name val="Akuru-Bodu Bold"/>
      <family val="2"/>
      <charset val="2"/>
    </font>
    <font>
      <b/>
      <i/>
      <sz val="9"/>
      <name val="Calibri"/>
      <family val="2"/>
    </font>
    <font>
      <sz val="11"/>
      <name val="Calibri"/>
      <family val="2"/>
    </font>
    <font>
      <b/>
      <sz val="10"/>
      <name val="A_Reethi"/>
    </font>
    <font>
      <sz val="9"/>
      <name val="Courier"/>
      <family val="3"/>
    </font>
    <font>
      <sz val="8"/>
      <name val="Arial"/>
      <family val="2"/>
    </font>
    <font>
      <i/>
      <sz val="9"/>
      <name val="Calibri"/>
      <family val="2"/>
    </font>
    <font>
      <i/>
      <sz val="9"/>
      <name val="Arial"/>
      <family val="2"/>
    </font>
    <font>
      <sz val="9"/>
      <name val="Faruma"/>
    </font>
    <font>
      <sz val="10"/>
      <name val="Arial"/>
      <family val="2"/>
    </font>
    <font>
      <i/>
      <sz val="10"/>
      <name val="Calibri"/>
      <family val="2"/>
    </font>
    <font>
      <b/>
      <sz val="12"/>
      <color indexed="10"/>
      <name val="Arial"/>
      <family val="2"/>
    </font>
    <font>
      <b/>
      <sz val="11"/>
      <name val="Calibri"/>
      <family val="2"/>
      <scheme val="minor"/>
    </font>
    <font>
      <sz val="11"/>
      <name val="Calibri"/>
      <family val="2"/>
      <scheme val="minor"/>
    </font>
    <font>
      <i/>
      <sz val="8"/>
      <name val="Arial"/>
      <family val="2"/>
    </font>
    <font>
      <b/>
      <sz val="8"/>
      <name val="Arial"/>
      <family val="2"/>
    </font>
    <font>
      <sz val="8"/>
      <name val="A_Randhoo"/>
    </font>
    <font>
      <b/>
      <sz val="10"/>
      <name val="Calibri"/>
      <family val="2"/>
    </font>
    <font>
      <sz val="11"/>
      <name val="Arial"/>
      <family val="2"/>
    </font>
    <font>
      <sz val="10"/>
      <name val="Calibri"/>
      <family val="2"/>
    </font>
    <font>
      <sz val="10"/>
      <name val="A_Randhoo"/>
    </font>
    <font>
      <sz val="11"/>
      <name val="Courier"/>
      <family val="3"/>
    </font>
    <font>
      <sz val="7"/>
      <name val="Arial"/>
      <family val="2"/>
    </font>
    <font>
      <b/>
      <sz val="8"/>
      <color rgb="FF000000"/>
      <name val="Calibri"/>
      <family val="2"/>
    </font>
    <font>
      <b/>
      <sz val="12"/>
      <color theme="1"/>
      <name val="Faruma"/>
    </font>
    <font>
      <b/>
      <sz val="12"/>
      <color theme="1"/>
      <name val="Calibri"/>
      <family val="2"/>
    </font>
    <font>
      <sz val="10"/>
      <color theme="1"/>
      <name val="Arial"/>
      <family val="2"/>
    </font>
    <font>
      <b/>
      <sz val="11"/>
      <color theme="1"/>
      <name val="Calibri"/>
      <family val="2"/>
    </font>
    <font>
      <sz val="11"/>
      <color theme="1"/>
      <name val="Calibri"/>
      <family val="2"/>
    </font>
    <font>
      <sz val="8"/>
      <color theme="1"/>
      <name val="Arial"/>
      <family val="2"/>
    </font>
    <font>
      <sz val="12"/>
      <color theme="1"/>
      <name val="Calibri"/>
      <family val="2"/>
    </font>
    <font>
      <sz val="9"/>
      <color theme="1"/>
      <name val="Arial"/>
      <family val="2"/>
    </font>
    <font>
      <b/>
      <sz val="10"/>
      <color theme="1"/>
      <name val="Calibri"/>
      <family val="2"/>
    </font>
    <font>
      <b/>
      <sz val="9"/>
      <color theme="1"/>
      <name val="A_Randhoo"/>
    </font>
    <font>
      <b/>
      <sz val="9"/>
      <color theme="1"/>
      <name val="Faruma"/>
    </font>
    <font>
      <b/>
      <sz val="9"/>
      <color theme="1"/>
      <name val="Calibri"/>
      <family val="2"/>
    </font>
    <font>
      <b/>
      <sz val="10"/>
      <color indexed="8"/>
      <name val="Faruma"/>
    </font>
    <font>
      <b/>
      <sz val="10"/>
      <color indexed="8"/>
      <name val="Calibri"/>
      <family val="2"/>
    </font>
    <font>
      <b/>
      <sz val="9"/>
      <color theme="1"/>
      <name val="Arial"/>
      <family val="2"/>
    </font>
    <font>
      <b/>
      <sz val="9"/>
      <color indexed="8"/>
      <name val="Calibri"/>
      <family val="2"/>
    </font>
    <font>
      <b/>
      <sz val="9"/>
      <color indexed="8"/>
      <name val="Arial"/>
      <family val="2"/>
    </font>
    <font>
      <b/>
      <sz val="9"/>
      <color indexed="8"/>
      <name val="Win Ahamedey PRB"/>
      <family val="2"/>
    </font>
    <font>
      <b/>
      <sz val="9"/>
      <color indexed="8"/>
      <name val="A_Randhoo"/>
    </font>
    <font>
      <b/>
      <sz val="9"/>
      <color indexed="8"/>
      <name val="Faruma"/>
    </font>
    <font>
      <b/>
      <sz val="9"/>
      <color theme="1"/>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
      <sz val="10"/>
      <color theme="1"/>
      <name val="Calibri"/>
      <family val="2"/>
    </font>
    <font>
      <sz val="9"/>
      <color theme="1"/>
      <name val="A_Randhoo"/>
    </font>
    <font>
      <sz val="9"/>
      <color theme="1"/>
      <name val="Faruma"/>
    </font>
    <font>
      <sz val="9"/>
      <color theme="1"/>
      <name val="Calibri"/>
      <family val="2"/>
    </font>
    <font>
      <vertAlign val="superscript"/>
      <sz val="9"/>
      <color theme="1"/>
      <name val="Arial"/>
      <family val="2"/>
    </font>
    <font>
      <vertAlign val="superscript"/>
      <sz val="9"/>
      <color theme="1"/>
      <name val="Calibri"/>
      <family val="2"/>
    </font>
    <font>
      <i/>
      <sz val="9"/>
      <color theme="1"/>
      <name val="Calibri"/>
      <family val="2"/>
    </font>
    <font>
      <sz val="8"/>
      <color theme="1"/>
      <name val="Calibri"/>
      <family val="2"/>
    </font>
    <font>
      <i/>
      <sz val="9"/>
      <color indexed="8"/>
      <name val="Calibri"/>
      <family val="2"/>
    </font>
    <font>
      <sz val="9"/>
      <color indexed="8"/>
      <name val="Calibri"/>
      <family val="2"/>
    </font>
    <font>
      <sz val="10"/>
      <color theme="1"/>
      <name val="Faruma"/>
    </font>
    <font>
      <b/>
      <i/>
      <sz val="9"/>
      <color theme="1"/>
      <name val="Calibri"/>
      <family val="2"/>
    </font>
    <font>
      <i/>
      <sz val="9"/>
      <color theme="1"/>
      <name val="Arial"/>
      <family val="2"/>
    </font>
    <font>
      <i/>
      <sz val="10"/>
      <color theme="1"/>
      <name val="Calibri"/>
      <family val="2"/>
    </font>
    <font>
      <sz val="11"/>
      <color theme="1"/>
      <name val="Calibri"/>
      <family val="2"/>
      <charset val="1"/>
      <scheme val="minor"/>
    </font>
    <font>
      <b/>
      <sz val="10"/>
      <color theme="1"/>
      <name val="Arial"/>
      <family val="2"/>
    </font>
    <font>
      <b/>
      <sz val="30"/>
      <color theme="1"/>
      <name val="Arial"/>
      <family val="2"/>
    </font>
    <font>
      <sz val="9"/>
      <name val="A_Randhoo"/>
    </font>
    <font>
      <b/>
      <sz val="12"/>
      <name val="A_Randhoo"/>
    </font>
    <font>
      <sz val="10"/>
      <color rgb="FFFF0000"/>
      <name val="Arial"/>
      <family val="2"/>
    </font>
    <font>
      <b/>
      <sz val="10"/>
      <color rgb="FFFF0000"/>
      <name val="Arial"/>
      <family val="2"/>
    </font>
    <font>
      <vertAlign val="superscript"/>
      <sz val="11"/>
      <name val="Calibri"/>
      <family val="2"/>
    </font>
    <font>
      <sz val="9"/>
      <name val="A_Reethi"/>
    </font>
    <font>
      <b/>
      <sz val="9"/>
      <name val="Calibri"/>
      <family val="2"/>
    </font>
    <font>
      <sz val="9"/>
      <name val="Calibri"/>
      <family val="2"/>
    </font>
    <font>
      <b/>
      <sz val="10"/>
      <name val="Calibri"/>
      <family val="2"/>
      <scheme val="minor"/>
    </font>
    <font>
      <i/>
      <sz val="9"/>
      <color theme="1"/>
      <name val="Calibri"/>
      <family val="2"/>
      <scheme val="minor"/>
    </font>
    <font>
      <sz val="11"/>
      <name val="Faruma"/>
    </font>
    <font>
      <sz val="10"/>
      <color indexed="10"/>
      <name val="Courier"/>
      <family val="3"/>
    </font>
    <font>
      <b/>
      <sz val="10"/>
      <name val="Courier"/>
      <family val="3"/>
    </font>
    <font>
      <b/>
      <i/>
      <sz val="10"/>
      <name val="Calibri"/>
      <family val="2"/>
    </font>
    <font>
      <sz val="10"/>
      <name val="Faruma"/>
    </font>
    <font>
      <b/>
      <vertAlign val="superscript"/>
      <sz val="10"/>
      <name val="Calibri"/>
      <family val="2"/>
    </font>
    <font>
      <b/>
      <sz val="9"/>
      <name val="Calibri"/>
      <family val="2"/>
      <scheme val="minor"/>
    </font>
    <font>
      <sz val="9"/>
      <name val="Calibri"/>
      <family val="2"/>
      <scheme val="minor"/>
    </font>
    <font>
      <sz val="10"/>
      <name val="Comic Sans MS"/>
      <family val="4"/>
    </font>
    <font>
      <sz val="10"/>
      <color indexed="8"/>
      <name val="Arial"/>
      <family val="2"/>
    </font>
    <font>
      <b/>
      <sz val="11"/>
      <color indexed="8"/>
      <name val="Calibri"/>
      <family val="2"/>
    </font>
    <font>
      <sz val="9"/>
      <color indexed="8"/>
      <name val="Arial"/>
      <family val="2"/>
    </font>
    <font>
      <sz val="10"/>
      <color indexed="8"/>
      <name val="Calibri"/>
      <family val="2"/>
    </font>
    <font>
      <sz val="9"/>
      <color indexed="8"/>
      <name val="Faruma"/>
    </font>
    <font>
      <sz val="8"/>
      <color indexed="8"/>
      <name val="Calibri"/>
      <family val="2"/>
    </font>
    <font>
      <b/>
      <sz val="8"/>
      <color indexed="81"/>
      <name val="Tahoma"/>
      <family val="2"/>
    </font>
    <font>
      <sz val="8"/>
      <color indexed="81"/>
      <name val="Tahoma"/>
      <family val="2"/>
    </font>
    <font>
      <sz val="10"/>
      <name val="Calibri"/>
      <family val="2"/>
      <scheme val="minor"/>
    </font>
    <font>
      <b/>
      <sz val="12"/>
      <color theme="1"/>
      <name val="Calibri"/>
      <family val="2"/>
      <scheme val="minor"/>
    </font>
    <font>
      <i/>
      <sz val="10"/>
      <color theme="1"/>
      <name val="Calibri"/>
      <family val="2"/>
      <scheme val="minor"/>
    </font>
    <font>
      <b/>
      <sz val="10"/>
      <color theme="1"/>
      <name val="Faruma"/>
    </font>
    <font>
      <b/>
      <sz val="11"/>
      <color theme="1"/>
      <name val="Faruma"/>
    </font>
    <font>
      <sz val="10"/>
      <color indexed="8"/>
      <name val="Mv Iyyu Nala"/>
      <family val="3"/>
    </font>
    <font>
      <sz val="10"/>
      <color indexed="8"/>
      <name val="Courier"/>
      <family val="3"/>
    </font>
    <font>
      <sz val="8"/>
      <name val="Faruma"/>
    </font>
    <font>
      <b/>
      <sz val="11"/>
      <color indexed="8"/>
      <name val="Faruma"/>
    </font>
    <font>
      <i/>
      <sz val="11"/>
      <color indexed="8"/>
      <name val="Calibri"/>
      <family val="2"/>
    </font>
    <font>
      <sz val="10"/>
      <color indexed="8"/>
      <name val="Calibri"/>
      <family val="2"/>
      <scheme val="minor"/>
    </font>
    <font>
      <b/>
      <sz val="10"/>
      <color indexed="8"/>
      <name val="Calibri"/>
      <family val="2"/>
      <scheme val="minor"/>
    </font>
    <font>
      <sz val="10"/>
      <color indexed="8"/>
      <name val="Faruma"/>
    </font>
    <font>
      <i/>
      <sz val="10"/>
      <color indexed="8"/>
      <name val="Calibri"/>
      <family val="2"/>
    </font>
    <font>
      <sz val="11"/>
      <color indexed="8"/>
      <name val="Faruma"/>
    </font>
    <font>
      <b/>
      <sz val="11"/>
      <color rgb="FFFF0000"/>
      <name val="Calibri"/>
      <family val="2"/>
    </font>
    <font>
      <sz val="10"/>
      <color rgb="FFFF0000"/>
      <name val="Calibri"/>
      <family val="2"/>
    </font>
    <font>
      <b/>
      <sz val="10.5"/>
      <name val="A_Faseyha"/>
    </font>
    <font>
      <b/>
      <sz val="10"/>
      <name val="A_Faseyha"/>
    </font>
    <font>
      <sz val="10"/>
      <name val="A_Faseyha"/>
    </font>
    <font>
      <b/>
      <sz val="9"/>
      <color theme="1"/>
      <name val="Win Ahamedey PRB"/>
      <family val="2"/>
    </font>
    <font>
      <b/>
      <sz val="8"/>
      <color theme="1"/>
      <name val="Calibri"/>
      <family val="2"/>
    </font>
    <font>
      <vertAlign val="superscript"/>
      <sz val="10"/>
      <color theme="1"/>
      <name val="Calibri"/>
      <family val="2"/>
    </font>
    <font>
      <b/>
      <i/>
      <sz val="10"/>
      <color theme="1"/>
      <name val="Calibri"/>
      <family val="2"/>
    </font>
    <font>
      <b/>
      <sz val="9"/>
      <color theme="1"/>
      <name val="A_Faseyha"/>
    </font>
    <font>
      <b/>
      <sz val="8"/>
      <color theme="1"/>
      <name val="Arial"/>
      <family val="2"/>
    </font>
    <font>
      <b/>
      <sz val="12"/>
      <color theme="1"/>
      <name val="A_Faseyha"/>
    </font>
    <font>
      <sz val="9"/>
      <color theme="1"/>
      <name val="A_Faseyha"/>
    </font>
    <font>
      <vertAlign val="superscript"/>
      <sz val="9"/>
      <color theme="1"/>
      <name val="A_Faseyha"/>
    </font>
    <font>
      <sz val="8"/>
      <color theme="1"/>
      <name val="A_Faseyha"/>
    </font>
    <font>
      <sz val="10"/>
      <color theme="1"/>
      <name val="A_Faseyha"/>
    </font>
    <font>
      <i/>
      <sz val="10"/>
      <color theme="1"/>
      <name val="A_Faseyha"/>
    </font>
    <font>
      <b/>
      <sz val="11"/>
      <name val="A_Faseyha"/>
    </font>
    <font>
      <b/>
      <sz val="8"/>
      <color theme="1"/>
      <name val="Faruma"/>
    </font>
    <font>
      <b/>
      <sz val="9"/>
      <name val="A_Faseyha"/>
    </font>
    <font>
      <sz val="11"/>
      <name val="A_Faseyha"/>
    </font>
    <font>
      <vertAlign val="superscript"/>
      <sz val="11"/>
      <name val="A_Faseyha"/>
    </font>
    <font>
      <b/>
      <sz val="12"/>
      <name val="A_Faseyha"/>
    </font>
    <font>
      <sz val="9"/>
      <color indexed="8"/>
      <name val="A_Faseyha"/>
    </font>
    <font>
      <b/>
      <sz val="9"/>
      <color indexed="8"/>
      <name val="A_Faseyha"/>
    </font>
    <font>
      <b/>
      <vertAlign val="superscript"/>
      <sz val="11"/>
      <name val="Calibri"/>
      <family val="2"/>
    </font>
    <font>
      <b/>
      <sz val="10"/>
      <color indexed="8"/>
      <name val="A_Faseyha"/>
    </font>
    <font>
      <sz val="11"/>
      <color indexed="8"/>
      <name val="Calibri"/>
      <family val="2"/>
    </font>
    <font>
      <sz val="10"/>
      <name val="Times New Roman"/>
      <family val="1"/>
    </font>
    <font>
      <sz val="8"/>
      <name val="Calibri"/>
      <family val="2"/>
      <scheme val="minor"/>
    </font>
    <font>
      <vertAlign val="superscript"/>
      <sz val="10"/>
      <color indexed="8"/>
      <name val="Calibri"/>
      <family val="2"/>
    </font>
    <font>
      <i/>
      <sz val="11"/>
      <name val="Calibri"/>
      <family val="2"/>
    </font>
    <font>
      <b/>
      <vertAlign val="superscript"/>
      <sz val="9"/>
      <name val="Calibri"/>
      <family val="2"/>
    </font>
    <font>
      <b/>
      <vertAlign val="superscript"/>
      <sz val="11"/>
      <color indexed="8"/>
      <name val="Calibri"/>
      <family val="2"/>
    </font>
    <font>
      <b/>
      <i/>
      <sz val="11"/>
      <color theme="1"/>
      <name val="Calibri"/>
      <family val="2"/>
    </font>
    <font>
      <b/>
      <sz val="8"/>
      <name val="Calibri"/>
      <family val="2"/>
      <scheme val="minor"/>
    </font>
    <font>
      <b/>
      <sz val="10"/>
      <color rgb="FF000000"/>
      <name val="Calibri"/>
      <family val="2"/>
    </font>
    <font>
      <sz val="1"/>
      <name val="Faruma"/>
    </font>
    <font>
      <i/>
      <sz val="10"/>
      <name val="Calibri"/>
      <family val="2"/>
      <scheme val="minor"/>
    </font>
    <font>
      <b/>
      <sz val="11"/>
      <color theme="1"/>
      <name val="A_Faseyha"/>
    </font>
    <font>
      <b/>
      <sz val="8"/>
      <color theme="1"/>
      <name val="A_Faseyha"/>
    </font>
    <font>
      <b/>
      <sz val="10"/>
      <color theme="1"/>
      <name val="A_Faseyha"/>
    </font>
    <font>
      <sz val="2"/>
      <color theme="1"/>
      <name val="Faruma"/>
    </font>
    <font>
      <sz val="11"/>
      <color indexed="8"/>
      <name val="Calibri"/>
      <family val="2"/>
      <scheme val="minor"/>
    </font>
    <font>
      <b/>
      <i/>
      <sz val="9"/>
      <color rgb="FFFF0000"/>
      <name val="Calibri"/>
      <family val="2"/>
    </font>
    <font>
      <b/>
      <sz val="10"/>
      <color indexed="8"/>
      <name val="Arial"/>
      <family val="2"/>
    </font>
    <font>
      <b/>
      <vertAlign val="superscript"/>
      <sz val="10"/>
      <color indexed="8"/>
      <name val="Calibri"/>
      <family val="2"/>
    </font>
    <font>
      <sz val="10"/>
      <color indexed="8"/>
      <name val="A_Faseyha"/>
    </font>
    <font>
      <sz val="10"/>
      <color indexed="8"/>
      <name val="A_Randhoo"/>
    </font>
    <font>
      <sz val="2"/>
      <name val="Faruma"/>
    </font>
    <font>
      <b/>
      <vertAlign val="superscript"/>
      <sz val="10"/>
      <color theme="1"/>
      <name val="Calibri"/>
      <family val="2"/>
    </font>
    <font>
      <sz val="11"/>
      <name val="Faruma"/>
      <family val="3"/>
    </font>
    <font>
      <sz val="9"/>
      <color indexed="8"/>
      <name val="Faruma"/>
      <family val="3"/>
    </font>
    <font>
      <sz val="10"/>
      <color rgb="FF000000"/>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9" tint="0.79998168889431442"/>
        <bgColor indexed="64"/>
      </patternFill>
    </fill>
    <fill>
      <patternFill patternType="solid">
        <fgColor theme="0"/>
        <bgColor rgb="FFFFFFFF"/>
      </patternFill>
    </fill>
    <fill>
      <patternFill patternType="solid">
        <fgColor theme="0"/>
        <bgColor rgb="FF000000"/>
      </patternFill>
    </fill>
    <fill>
      <patternFill patternType="solid">
        <fgColor theme="6" tint="0.59999389629810485"/>
        <bgColor indexed="64"/>
      </patternFill>
    </fill>
  </fills>
  <borders count="82">
    <border>
      <left/>
      <right/>
      <top/>
      <bottom/>
      <diagonal/>
    </border>
    <border>
      <left/>
      <right/>
      <top/>
      <bottom style="thin">
        <color indexed="64"/>
      </bottom>
      <diagonal/>
    </border>
    <border>
      <left/>
      <right/>
      <top style="thin">
        <color indexed="64"/>
      </top>
      <bottom/>
      <diagonal/>
    </border>
    <border>
      <left/>
      <right/>
      <top/>
      <bottom style="dotted">
        <color indexed="64"/>
      </bottom>
      <diagonal/>
    </border>
    <border>
      <left style="hair">
        <color indexed="64"/>
      </left>
      <right/>
      <top style="thin">
        <color indexed="64"/>
      </top>
      <bottom style="dotted">
        <color indexed="64"/>
      </bottom>
      <diagonal/>
    </border>
    <border>
      <left/>
      <right/>
      <top style="thin">
        <color indexed="64"/>
      </top>
      <bottom style="dotted">
        <color indexed="64"/>
      </bottom>
      <diagonal/>
    </border>
    <border>
      <left style="hair">
        <color indexed="64"/>
      </left>
      <right/>
      <top/>
      <bottom/>
      <diagonal/>
    </border>
    <border>
      <left style="hair">
        <color indexed="64"/>
      </left>
      <right/>
      <top/>
      <bottom style="thin">
        <color indexed="64"/>
      </bottom>
      <diagonal/>
    </border>
    <border>
      <left/>
      <right/>
      <top/>
      <bottom style="hair">
        <color indexed="64"/>
      </bottom>
      <diagonal/>
    </border>
    <border>
      <left/>
      <right/>
      <top style="thin">
        <color indexed="64"/>
      </top>
      <bottom style="hair">
        <color indexed="64"/>
      </bottom>
      <diagonal/>
    </border>
    <border>
      <left style="hair">
        <color indexed="64"/>
      </left>
      <right/>
      <top style="thin">
        <color indexed="64"/>
      </top>
      <bottom/>
      <diagonal/>
    </border>
    <border>
      <left/>
      <right/>
      <top style="hair">
        <color indexed="64"/>
      </top>
      <bottom style="hair">
        <color indexed="64"/>
      </bottom>
      <diagonal/>
    </border>
    <border>
      <left style="hair">
        <color indexed="64"/>
      </left>
      <right/>
      <top/>
      <bottom style="hair">
        <color indexed="64"/>
      </bottom>
      <diagonal/>
    </border>
    <border>
      <left/>
      <right/>
      <top style="hair">
        <color indexed="64"/>
      </top>
      <bottom/>
      <diagonal/>
    </border>
    <border>
      <left/>
      <right style="hair">
        <color indexed="64"/>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diagonal/>
    </border>
    <border>
      <left/>
      <right/>
      <top style="thin">
        <color indexed="9"/>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bottom/>
      <diagonal/>
    </border>
    <border>
      <left/>
      <right/>
      <top style="dotted">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8"/>
      </bottom>
      <diagonal/>
    </border>
    <border>
      <left/>
      <right/>
      <top style="thin">
        <color indexed="64"/>
      </top>
      <bottom style="hair">
        <color indexed="8"/>
      </bottom>
      <diagonal/>
    </border>
    <border>
      <left style="hair">
        <color indexed="64"/>
      </left>
      <right/>
      <top/>
      <bottom style="dotted">
        <color indexed="64"/>
      </bottom>
      <diagonal/>
    </border>
    <border>
      <left/>
      <right style="hair">
        <color indexed="64"/>
      </right>
      <top/>
      <bottom style="dotted">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hair">
        <color indexed="8"/>
      </top>
      <bottom/>
      <diagonal/>
    </border>
    <border>
      <left style="hair">
        <color indexed="64"/>
      </left>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style="thin">
        <color indexed="64"/>
      </left>
      <right/>
      <top/>
      <bottom/>
      <diagonal/>
    </border>
    <border>
      <left/>
      <right style="thin">
        <color indexed="9"/>
      </right>
      <top/>
      <bottom style="thin">
        <color indexed="64"/>
      </bottom>
      <diagonal/>
    </border>
    <border>
      <left/>
      <right style="thin">
        <color indexed="64"/>
      </right>
      <top style="thin">
        <color indexed="64"/>
      </top>
      <bottom style="hair">
        <color indexed="8"/>
      </bottom>
      <diagonal/>
    </border>
    <border>
      <left style="thin">
        <color indexed="64"/>
      </left>
      <right/>
      <top style="thin">
        <color indexed="64"/>
      </top>
      <bottom style="hair">
        <color indexed="8"/>
      </bottom>
      <diagonal/>
    </border>
    <border>
      <left/>
      <right style="thin">
        <color indexed="64"/>
      </right>
      <top style="hair">
        <color indexed="8"/>
      </top>
      <bottom/>
      <diagonal/>
    </border>
    <border>
      <left style="thin">
        <color indexed="64"/>
      </left>
      <right/>
      <top style="hair">
        <color indexed="8"/>
      </top>
      <bottom/>
      <diagonal/>
    </border>
    <border>
      <left style="thin">
        <color indexed="64"/>
      </left>
      <right/>
      <top style="hair">
        <color indexed="64"/>
      </top>
      <bottom/>
      <diagonal/>
    </border>
    <border>
      <left style="hair">
        <color indexed="64"/>
      </left>
      <right/>
      <top style="thin">
        <color indexed="64"/>
      </top>
      <bottom style="hair">
        <color indexed="8"/>
      </bottom>
      <diagonal/>
    </border>
    <border>
      <left/>
      <right style="thin">
        <color indexed="9"/>
      </right>
      <top style="thin">
        <color indexed="9"/>
      </top>
      <bottom style="thin">
        <color indexed="9"/>
      </bottom>
      <diagonal/>
    </border>
    <border>
      <left/>
      <right style="thin">
        <color indexed="9"/>
      </right>
      <top/>
      <bottom style="thin">
        <color indexed="9"/>
      </bottom>
      <diagonal/>
    </border>
    <border>
      <left/>
      <right style="thin">
        <color indexed="9"/>
      </right>
      <top style="thin">
        <color indexed="9"/>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diagonal/>
    </border>
    <border>
      <left style="thin">
        <color indexed="64"/>
      </left>
      <right style="thin">
        <color indexed="64"/>
      </right>
      <top/>
      <bottom/>
      <diagonal/>
    </border>
    <border>
      <left style="thin">
        <color indexed="64"/>
      </left>
      <right style="hair">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8"/>
      </top>
      <bottom style="thin">
        <color indexed="64"/>
      </bottom>
      <diagonal/>
    </border>
    <border>
      <left style="hair">
        <color indexed="64"/>
      </left>
      <right/>
      <top style="hair">
        <color indexed="8"/>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bottom/>
      <diagonal/>
    </border>
    <border>
      <left style="hair">
        <color indexed="64"/>
      </left>
      <right style="thin">
        <color indexed="64"/>
      </right>
      <top/>
      <bottom style="hair">
        <color indexed="64"/>
      </bottom>
      <diagonal/>
    </border>
    <border>
      <left style="hair">
        <color indexed="64"/>
      </left>
      <right style="thin">
        <color indexed="64"/>
      </right>
      <top/>
      <bottom style="thin">
        <color indexed="64"/>
      </bottom>
      <diagonal/>
    </border>
    <border>
      <left/>
      <right/>
      <top style="hair">
        <color auto="1"/>
      </top>
      <bottom style="thin">
        <color auto="1"/>
      </bottom>
      <diagonal/>
    </border>
    <border>
      <left/>
      <right style="hair">
        <color indexed="64"/>
      </right>
      <top style="hair">
        <color auto="1"/>
      </top>
      <bottom style="thin">
        <color auto="1"/>
      </bottom>
      <diagonal/>
    </border>
    <border>
      <left style="hair">
        <color indexed="64"/>
      </left>
      <right/>
      <top style="hair">
        <color auto="1"/>
      </top>
      <bottom style="thin">
        <color auto="1"/>
      </bottom>
      <diagonal/>
    </border>
    <border>
      <left style="thin">
        <color indexed="64"/>
      </left>
      <right style="hair">
        <color indexed="64"/>
      </right>
      <top/>
      <bottom style="hair">
        <color indexed="64"/>
      </bottom>
      <diagonal/>
    </border>
  </borders>
  <cellStyleXfs count="38">
    <xf numFmtId="0" fontId="0" fillId="0" borderId="0"/>
    <xf numFmtId="167" fontId="4" fillId="0" borderId="0"/>
    <xf numFmtId="0" fontId="29" fillId="0" borderId="0"/>
    <xf numFmtId="0" fontId="6" fillId="0" borderId="0"/>
    <xf numFmtId="0" fontId="29" fillId="0" borderId="0"/>
    <xf numFmtId="166" fontId="29" fillId="0" borderId="0" applyFont="0" applyFill="0" applyBorder="0" applyAlignment="0" applyProtection="0"/>
    <xf numFmtId="0" fontId="29" fillId="0" borderId="0"/>
    <xf numFmtId="43" fontId="29" fillId="0" borderId="0" applyFont="0" applyFill="0" applyBorder="0" applyAlignment="0" applyProtection="0"/>
    <xf numFmtId="0" fontId="29" fillId="0" borderId="0"/>
    <xf numFmtId="44" fontId="29" fillId="0" borderId="0" applyFont="0" applyFill="0" applyBorder="0" applyAlignment="0" applyProtection="0"/>
    <xf numFmtId="43" fontId="29" fillId="0" borderId="0" applyFont="0" applyFill="0" applyBorder="0" applyAlignment="0" applyProtection="0"/>
    <xf numFmtId="0" fontId="82" fillId="0" borderId="0"/>
    <xf numFmtId="0" fontId="29" fillId="0" borderId="0"/>
    <xf numFmtId="0" fontId="29" fillId="0" borderId="0"/>
    <xf numFmtId="0" fontId="1" fillId="0" borderId="0"/>
    <xf numFmtId="167" fontId="4" fillId="0" borderId="0"/>
    <xf numFmtId="167" fontId="4" fillId="0" borderId="0"/>
    <xf numFmtId="0" fontId="29" fillId="0" borderId="0"/>
    <xf numFmtId="167" fontId="4" fillId="0" borderId="0"/>
    <xf numFmtId="165" fontId="4" fillId="0" borderId="0"/>
    <xf numFmtId="0" fontId="6" fillId="0" borderId="0"/>
    <xf numFmtId="43" fontId="6" fillId="0" borderId="0" applyFont="0" applyFill="0" applyBorder="0" applyAlignment="0" applyProtection="0"/>
    <xf numFmtId="43" fontId="1" fillId="0" borderId="0" applyFont="0" applyFill="0" applyBorder="0" applyAlignment="0" applyProtection="0"/>
    <xf numFmtId="0" fontId="6" fillId="0" borderId="0"/>
    <xf numFmtId="166" fontId="6" fillId="0" borderId="0" applyFont="0" applyFill="0" applyBorder="0" applyAlignment="0" applyProtection="0"/>
    <xf numFmtId="0" fontId="155"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0" fontId="6" fillId="0" borderId="0"/>
    <xf numFmtId="0" fontId="6" fillId="0" borderId="0"/>
    <xf numFmtId="0" fontId="6" fillId="0" borderId="0"/>
    <xf numFmtId="0" fontId="6" fillId="0" borderId="0"/>
    <xf numFmtId="164" fontId="6" fillId="0" borderId="0" applyFont="0" applyFill="0" applyBorder="0" applyAlignment="0" applyProtection="0"/>
    <xf numFmtId="43" fontId="6" fillId="0" borderId="0" applyFont="0" applyFill="0" applyBorder="0" applyAlignment="0" applyProtection="0"/>
  </cellStyleXfs>
  <cellXfs count="1558">
    <xf numFmtId="0" fontId="0" fillId="0" borderId="0" xfId="0"/>
    <xf numFmtId="167" fontId="5" fillId="3" borderId="0" xfId="1" applyFont="1" applyFill="1" applyAlignment="1">
      <alignment horizontal="center"/>
    </xf>
    <xf numFmtId="167" fontId="6" fillId="3" borderId="0" xfId="1" applyFont="1" applyFill="1"/>
    <xf numFmtId="167" fontId="8" fillId="3" borderId="0" xfId="1" applyFont="1" applyFill="1" applyAlignment="1">
      <alignment horizontal="center" vertical="center"/>
    </xf>
    <xf numFmtId="167" fontId="9" fillId="3" borderId="0" xfId="1" applyFont="1" applyFill="1" applyAlignment="1">
      <alignment vertical="center"/>
    </xf>
    <xf numFmtId="167" fontId="9" fillId="3" borderId="2" xfId="1" applyFont="1" applyFill="1" applyBorder="1" applyAlignment="1">
      <alignment horizontal="centerContinuous"/>
    </xf>
    <xf numFmtId="167" fontId="9" fillId="3" borderId="0" xfId="1" applyFont="1" applyFill="1"/>
    <xf numFmtId="167" fontId="13" fillId="3" borderId="2" xfId="1" applyFont="1" applyFill="1" applyBorder="1" applyAlignment="1">
      <alignment horizontal="center" vertical="center"/>
    </xf>
    <xf numFmtId="167" fontId="14" fillId="3" borderId="0" xfId="1" applyFont="1" applyFill="1" applyAlignment="1">
      <alignment horizontal="centerContinuous" vertical="center"/>
    </xf>
    <xf numFmtId="167" fontId="15" fillId="3" borderId="0" xfId="1" applyFont="1" applyFill="1" applyAlignment="1">
      <alignment vertical="center"/>
    </xf>
    <xf numFmtId="167" fontId="15" fillId="3" borderId="1" xfId="1" applyFont="1" applyFill="1" applyBorder="1" applyAlignment="1">
      <alignment horizontal="centerContinuous" vertical="center"/>
    </xf>
    <xf numFmtId="167" fontId="16" fillId="3" borderId="0" xfId="1" applyFont="1" applyFill="1" applyAlignment="1">
      <alignment horizontal="center" vertical="center" wrapText="1"/>
    </xf>
    <xf numFmtId="167" fontId="17" fillId="3" borderId="0" xfId="1" applyFont="1" applyFill="1" applyAlignment="1">
      <alignment horizontal="centerContinuous" vertical="center"/>
    </xf>
    <xf numFmtId="167" fontId="18" fillId="3" borderId="0" xfId="1" applyFont="1" applyFill="1" applyAlignment="1">
      <alignment vertical="center"/>
    </xf>
    <xf numFmtId="167" fontId="18" fillId="3" borderId="3" xfId="1" applyFont="1" applyFill="1" applyBorder="1" applyAlignment="1">
      <alignment vertical="center"/>
    </xf>
    <xf numFmtId="167" fontId="9" fillId="3" borderId="3" xfId="1" applyFont="1" applyFill="1" applyBorder="1" applyAlignment="1">
      <alignment horizontal="right" vertical="center"/>
    </xf>
    <xf numFmtId="167" fontId="18" fillId="3" borderId="3" xfId="1" applyFont="1" applyFill="1" applyBorder="1" applyAlignment="1">
      <alignment horizontal="centerContinuous" vertical="center"/>
    </xf>
    <xf numFmtId="167" fontId="14" fillId="3" borderId="3" xfId="1" applyFont="1" applyFill="1" applyBorder="1" applyAlignment="1">
      <alignment horizontal="center" vertical="center"/>
    </xf>
    <xf numFmtId="167" fontId="9" fillId="3" borderId="4" xfId="1" applyFont="1" applyFill="1" applyBorder="1" applyAlignment="1">
      <alignment horizontal="centerContinuous" vertical="center"/>
    </xf>
    <xf numFmtId="167" fontId="19" fillId="3" borderId="0" xfId="1" applyFont="1" applyFill="1"/>
    <xf numFmtId="167" fontId="20" fillId="3" borderId="0" xfId="1" applyFont="1" applyFill="1" applyAlignment="1">
      <alignment horizontal="right" vertical="center"/>
    </xf>
    <xf numFmtId="167" fontId="8" fillId="3" borderId="0" xfId="1" applyFont="1" applyFill="1" applyAlignment="1">
      <alignment horizontal="center"/>
    </xf>
    <xf numFmtId="167" fontId="8" fillId="3" borderId="0" xfId="1" applyFont="1" applyFill="1" applyAlignment="1">
      <alignment horizontal="right" wrapText="1"/>
    </xf>
    <xf numFmtId="167" fontId="8" fillId="3" borderId="0" xfId="1" applyFont="1" applyFill="1" applyAlignment="1">
      <alignment horizontal="centerContinuous" wrapText="1"/>
    </xf>
    <xf numFmtId="167" fontId="8" fillId="3" borderId="1" xfId="1" applyFont="1" applyFill="1" applyBorder="1" applyAlignment="1">
      <alignment horizontal="center" vertical="center"/>
    </xf>
    <xf numFmtId="167" fontId="8" fillId="3" borderId="1" xfId="1" applyFont="1" applyFill="1" applyBorder="1" applyAlignment="1">
      <alignment horizontal="right" vertical="center"/>
    </xf>
    <xf numFmtId="167" fontId="8" fillId="3" borderId="7" xfId="1" applyFont="1" applyFill="1" applyBorder="1" applyAlignment="1">
      <alignment horizontal="right" vertical="center"/>
    </xf>
    <xf numFmtId="167" fontId="21" fillId="3" borderId="1" xfId="1" applyFont="1" applyFill="1" applyBorder="1"/>
    <xf numFmtId="167" fontId="8" fillId="3" borderId="1" xfId="1" applyFont="1" applyFill="1" applyBorder="1" applyAlignment="1">
      <alignment horizontal="centerContinuous" vertical="center" wrapText="1"/>
    </xf>
    <xf numFmtId="167" fontId="8" fillId="3" borderId="1" xfId="1" applyFont="1" applyFill="1" applyBorder="1" applyAlignment="1">
      <alignment horizontal="right" vertical="center" wrapText="1"/>
    </xf>
    <xf numFmtId="167" fontId="8" fillId="3" borderId="0" xfId="1" applyFont="1" applyFill="1" applyAlignment="1">
      <alignment horizontal="centerContinuous" vertical="center" wrapText="1"/>
    </xf>
    <xf numFmtId="168" fontId="9" fillId="3" borderId="0" xfId="1" applyNumberFormat="1" applyFont="1" applyFill="1" applyAlignment="1">
      <alignment vertical="center"/>
    </xf>
    <xf numFmtId="167" fontId="22" fillId="3" borderId="0" xfId="1" applyFont="1" applyFill="1" applyAlignment="1">
      <alignment horizontal="center" vertical="center"/>
    </xf>
    <xf numFmtId="49" fontId="22" fillId="3" borderId="0" xfId="1" applyNumberFormat="1" applyFont="1" applyFill="1" applyAlignment="1">
      <alignment horizontal="center" vertical="center"/>
    </xf>
    <xf numFmtId="167" fontId="22" fillId="3" borderId="0" xfId="1" applyFont="1" applyFill="1" applyAlignment="1">
      <alignment horizontal="right" vertical="center"/>
    </xf>
    <xf numFmtId="167" fontId="8" fillId="3" borderId="0" xfId="1" applyFont="1" applyFill="1" applyAlignment="1">
      <alignment vertical="center"/>
    </xf>
    <xf numFmtId="37" fontId="8" fillId="3" borderId="0" xfId="1" applyNumberFormat="1" applyFont="1" applyFill="1" applyAlignment="1">
      <alignment horizontal="right" vertical="center"/>
    </xf>
    <xf numFmtId="37" fontId="22" fillId="3" borderId="0" xfId="1" applyNumberFormat="1" applyFont="1" applyFill="1" applyAlignment="1" applyProtection="1">
      <alignment horizontal="right" vertical="center"/>
      <protection locked="0"/>
    </xf>
    <xf numFmtId="0" fontId="22" fillId="3" borderId="6" xfId="1" applyNumberFormat="1" applyFont="1" applyFill="1" applyBorder="1" applyAlignment="1" applyProtection="1">
      <alignment horizontal="right" vertical="center"/>
      <protection locked="0"/>
    </xf>
    <xf numFmtId="0" fontId="22" fillId="3" borderId="0" xfId="1" applyNumberFormat="1" applyFont="1" applyFill="1" applyAlignment="1" applyProtection="1">
      <alignment horizontal="right" vertical="center"/>
      <protection locked="0"/>
    </xf>
    <xf numFmtId="167" fontId="8" fillId="3" borderId="0" xfId="1" applyFont="1" applyFill="1" applyAlignment="1">
      <alignment horizontal="right" vertical="center"/>
    </xf>
    <xf numFmtId="2" fontId="22" fillId="3" borderId="0" xfId="1" applyNumberFormat="1" applyFont="1" applyFill="1" applyAlignment="1">
      <alignment horizontal="center" vertical="center"/>
    </xf>
    <xf numFmtId="167" fontId="22" fillId="3" borderId="0" xfId="1" quotePrefix="1" applyFont="1" applyFill="1" applyAlignment="1" applyProtection="1">
      <alignment horizontal="center" vertical="center"/>
      <protection locked="0"/>
    </xf>
    <xf numFmtId="169" fontId="18" fillId="3" borderId="0" xfId="1" applyNumberFormat="1" applyFont="1" applyFill="1" applyAlignment="1">
      <alignment horizontal="center" vertical="center"/>
    </xf>
    <xf numFmtId="167" fontId="22" fillId="3" borderId="6" xfId="1" applyFont="1" applyFill="1" applyBorder="1" applyAlignment="1" applyProtection="1">
      <alignment horizontal="right" vertical="center"/>
      <protection locked="0"/>
    </xf>
    <xf numFmtId="167" fontId="22" fillId="3" borderId="0" xfId="1" applyFont="1" applyFill="1" applyAlignment="1" applyProtection="1">
      <alignment horizontal="right" vertical="center"/>
      <protection locked="0"/>
    </xf>
    <xf numFmtId="2" fontId="22" fillId="3" borderId="0" xfId="1" applyNumberFormat="1" applyFont="1" applyFill="1" applyAlignment="1" applyProtection="1">
      <alignment horizontal="center" vertical="center"/>
      <protection locked="0"/>
    </xf>
    <xf numFmtId="167" fontId="6" fillId="3" borderId="0" xfId="1" applyFont="1" applyFill="1" applyAlignment="1">
      <alignment vertical="center"/>
    </xf>
    <xf numFmtId="170" fontId="22" fillId="3" borderId="6" xfId="1" applyNumberFormat="1" applyFont="1" applyFill="1" applyBorder="1" applyAlignment="1" applyProtection="1">
      <alignment horizontal="right" vertical="center"/>
      <protection locked="0"/>
    </xf>
    <xf numFmtId="170" fontId="22" fillId="3" borderId="0" xfId="1" applyNumberFormat="1" applyFont="1" applyFill="1" applyAlignment="1" applyProtection="1">
      <alignment horizontal="right" vertical="center"/>
      <protection locked="0"/>
    </xf>
    <xf numFmtId="167" fontId="24" fillId="3" borderId="0" xfId="1" applyFont="1" applyFill="1" applyAlignment="1">
      <alignment vertical="center"/>
    </xf>
    <xf numFmtId="49" fontId="22" fillId="3" borderId="0" xfId="1" applyNumberFormat="1" applyFont="1" applyFill="1" applyAlignment="1">
      <alignment horizontal="right" vertical="center"/>
    </xf>
    <xf numFmtId="167" fontId="22" fillId="3" borderId="0" xfId="1" applyFont="1" applyFill="1" applyAlignment="1">
      <alignment vertical="center"/>
    </xf>
    <xf numFmtId="4" fontId="22" fillId="3" borderId="6" xfId="1" applyNumberFormat="1" applyFont="1" applyFill="1" applyBorder="1" applyAlignment="1" applyProtection="1">
      <alignment horizontal="right" vertical="center"/>
      <protection locked="0"/>
    </xf>
    <xf numFmtId="4" fontId="22" fillId="3" borderId="0" xfId="1" applyNumberFormat="1" applyFont="1" applyFill="1" applyAlignment="1" applyProtection="1">
      <alignment horizontal="right" vertical="center"/>
      <protection locked="0"/>
    </xf>
    <xf numFmtId="167" fontId="25" fillId="3" borderId="0" xfId="1" applyFont="1" applyFill="1" applyAlignment="1">
      <alignment vertical="center"/>
    </xf>
    <xf numFmtId="167" fontId="22" fillId="3" borderId="1" xfId="1" applyFont="1" applyFill="1" applyBorder="1" applyAlignment="1">
      <alignment horizontal="center" vertical="center"/>
    </xf>
    <xf numFmtId="49" fontId="22" fillId="3" borderId="1" xfId="1" applyNumberFormat="1" applyFont="1" applyFill="1" applyBorder="1" applyAlignment="1">
      <alignment horizontal="center" vertical="center"/>
    </xf>
    <xf numFmtId="49" fontId="22" fillId="3" borderId="1" xfId="1" applyNumberFormat="1" applyFont="1" applyFill="1" applyBorder="1" applyAlignment="1">
      <alignment horizontal="right" vertical="center"/>
    </xf>
    <xf numFmtId="167" fontId="22" fillId="3" borderId="1" xfId="1" applyFont="1" applyFill="1" applyBorder="1" applyAlignment="1">
      <alignment horizontal="right" vertical="center"/>
    </xf>
    <xf numFmtId="37" fontId="8" fillId="3" borderId="1" xfId="1" applyNumberFormat="1" applyFont="1" applyFill="1" applyBorder="1" applyAlignment="1">
      <alignment horizontal="right" vertical="center"/>
    </xf>
    <xf numFmtId="37" fontId="22" fillId="3" borderId="1" xfId="1" applyNumberFormat="1" applyFont="1" applyFill="1" applyBorder="1" applyAlignment="1" applyProtection="1">
      <alignment horizontal="right" vertical="center"/>
      <protection locked="0"/>
    </xf>
    <xf numFmtId="4" fontId="22" fillId="3" borderId="7" xfId="1" applyNumberFormat="1" applyFont="1" applyFill="1" applyBorder="1" applyAlignment="1" applyProtection="1">
      <alignment horizontal="right" vertical="center"/>
      <protection locked="0"/>
    </xf>
    <xf numFmtId="4" fontId="22" fillId="3" borderId="1" xfId="1" applyNumberFormat="1" applyFont="1" applyFill="1" applyBorder="1" applyAlignment="1" applyProtection="1">
      <alignment horizontal="right" vertical="center"/>
      <protection locked="0"/>
    </xf>
    <xf numFmtId="2" fontId="22" fillId="3" borderId="1" xfId="1" applyNumberFormat="1" applyFont="1" applyFill="1" applyBorder="1" applyAlignment="1">
      <alignment horizontal="center" vertical="center"/>
    </xf>
    <xf numFmtId="2" fontId="22" fillId="3" borderId="1" xfId="1" applyNumberFormat="1" applyFont="1" applyFill="1" applyBorder="1" applyAlignment="1" applyProtection="1">
      <alignment horizontal="center" vertical="center"/>
      <protection locked="0"/>
    </xf>
    <xf numFmtId="167" fontId="26" fillId="3" borderId="0" xfId="1" applyFont="1" applyFill="1" applyAlignment="1">
      <alignment horizontal="left" vertical="center"/>
    </xf>
    <xf numFmtId="49" fontId="26" fillId="3" borderId="0" xfId="1" applyNumberFormat="1" applyFont="1" applyFill="1" applyAlignment="1">
      <alignment horizontal="center" vertical="center"/>
    </xf>
    <xf numFmtId="0" fontId="0" fillId="3" borderId="0" xfId="0" applyFill="1"/>
    <xf numFmtId="167" fontId="27" fillId="3" borderId="0" xfId="1" applyFont="1" applyFill="1"/>
    <xf numFmtId="2" fontId="28" fillId="3" borderId="0" xfId="1" applyNumberFormat="1" applyFont="1" applyFill="1" applyAlignment="1" applyProtection="1">
      <alignment vertical="center"/>
      <protection locked="0"/>
    </xf>
    <xf numFmtId="49" fontId="31" fillId="3" borderId="0" xfId="1" applyNumberFormat="1" applyFont="1" applyFill="1" applyAlignment="1">
      <alignment vertical="center"/>
    </xf>
    <xf numFmtId="3" fontId="32" fillId="3" borderId="0" xfId="2" applyNumberFormat="1" applyFont="1" applyFill="1" applyAlignment="1">
      <alignment horizontal="right" vertical="center"/>
    </xf>
    <xf numFmtId="0" fontId="33" fillId="3" borderId="0" xfId="2" applyFont="1" applyFill="1"/>
    <xf numFmtId="37" fontId="18" fillId="3" borderId="0" xfId="1" applyNumberFormat="1" applyFont="1" applyFill="1" applyAlignment="1" applyProtection="1">
      <alignment horizontal="right" vertical="center"/>
      <protection locked="0"/>
    </xf>
    <xf numFmtId="4" fontId="18" fillId="3" borderId="0" xfId="1" applyNumberFormat="1" applyFont="1" applyFill="1" applyAlignment="1" applyProtection="1">
      <alignment horizontal="right" vertical="center"/>
      <protection locked="0"/>
    </xf>
    <xf numFmtId="167" fontId="6" fillId="3" borderId="0" xfId="1" applyFont="1" applyFill="1" applyAlignment="1">
      <alignment horizontal="right" vertical="center"/>
    </xf>
    <xf numFmtId="2" fontId="18" fillId="3" borderId="0" xfId="1" applyNumberFormat="1" applyFont="1" applyFill="1" applyAlignment="1">
      <alignment horizontal="center" vertical="center"/>
    </xf>
    <xf numFmtId="167" fontId="34" fillId="3" borderId="0" xfId="1" applyFont="1" applyFill="1" applyAlignment="1">
      <alignment horizontal="left" vertical="center"/>
    </xf>
    <xf numFmtId="49" fontId="25" fillId="3" borderId="0" xfId="1" applyNumberFormat="1" applyFont="1" applyFill="1" applyAlignment="1">
      <alignment horizontal="right" vertical="center"/>
    </xf>
    <xf numFmtId="167" fontId="25" fillId="3" borderId="0" xfId="1" applyFont="1" applyFill="1" applyAlignment="1">
      <alignment horizontal="right" vertical="center"/>
    </xf>
    <xf numFmtId="37" fontId="35" fillId="3" borderId="0" xfId="1" applyNumberFormat="1" applyFont="1" applyFill="1" applyAlignment="1">
      <alignment horizontal="right" vertical="center"/>
    </xf>
    <xf numFmtId="37" fontId="25" fillId="3" borderId="0" xfId="1" applyNumberFormat="1" applyFont="1" applyFill="1" applyAlignment="1" applyProtection="1">
      <alignment horizontal="right" vertical="center"/>
      <protection locked="0"/>
    </xf>
    <xf numFmtId="4" fontId="25" fillId="3" borderId="0" xfId="1" applyNumberFormat="1" applyFont="1" applyFill="1" applyAlignment="1" applyProtection="1">
      <alignment horizontal="right" vertical="center"/>
      <protection locked="0"/>
    </xf>
    <xf numFmtId="2" fontId="25" fillId="3" borderId="0" xfId="1" applyNumberFormat="1" applyFont="1" applyFill="1" applyAlignment="1">
      <alignment horizontal="center" vertical="center"/>
    </xf>
    <xf numFmtId="167" fontId="36" fillId="3" borderId="0" xfId="1" applyFont="1" applyFill="1" applyAlignment="1">
      <alignment horizontal="right" vertical="center"/>
    </xf>
    <xf numFmtId="0" fontId="30" fillId="3" borderId="0" xfId="2" applyFont="1" applyFill="1"/>
    <xf numFmtId="49" fontId="18" fillId="3" borderId="0" xfId="3" applyNumberFormat="1" applyFont="1" applyFill="1" applyAlignment="1">
      <alignment horizontal="center"/>
    </xf>
    <xf numFmtId="3" fontId="18" fillId="3" borderId="0" xfId="3" applyNumberFormat="1" applyFont="1" applyFill="1"/>
    <xf numFmtId="0" fontId="6" fillId="3" borderId="0" xfId="3" applyFill="1" applyAlignment="1">
      <alignment horizontal="centerContinuous" vertical="center"/>
    </xf>
    <xf numFmtId="0" fontId="6" fillId="3" borderId="0" xfId="3" applyFill="1"/>
    <xf numFmtId="0" fontId="6" fillId="3" borderId="1" xfId="3" applyFill="1" applyBorder="1"/>
    <xf numFmtId="0" fontId="9" fillId="3" borderId="0" xfId="3" applyFont="1" applyFill="1"/>
    <xf numFmtId="0" fontId="37" fillId="3" borderId="8" xfId="3" applyFont="1" applyFill="1" applyBorder="1" applyAlignment="1">
      <alignment horizontal="centerContinuous" vertical="center"/>
    </xf>
    <xf numFmtId="0" fontId="18" fillId="3" borderId="8" xfId="3" applyFont="1" applyFill="1" applyBorder="1" applyAlignment="1">
      <alignment horizontal="left" vertical="center"/>
    </xf>
    <xf numFmtId="0" fontId="14" fillId="3" borderId="0" xfId="3" applyFont="1" applyFill="1" applyAlignment="1">
      <alignment horizontal="center" vertical="center"/>
    </xf>
    <xf numFmtId="0" fontId="29" fillId="3" borderId="8" xfId="3" applyFont="1" applyFill="1" applyBorder="1"/>
    <xf numFmtId="0" fontId="8" fillId="3" borderId="1" xfId="3" applyFont="1" applyFill="1" applyBorder="1" applyAlignment="1">
      <alignment horizontal="center"/>
    </xf>
    <xf numFmtId="0" fontId="8" fillId="3" borderId="1" xfId="3" applyFont="1" applyFill="1" applyBorder="1" applyAlignment="1">
      <alignment horizontal="right"/>
    </xf>
    <xf numFmtId="3" fontId="6" fillId="3" borderId="0" xfId="3" applyNumberFormat="1" applyFill="1"/>
    <xf numFmtId="0" fontId="17" fillId="3" borderId="0" xfId="3" applyFont="1" applyFill="1" applyAlignment="1">
      <alignment horizontal="center" vertical="center"/>
    </xf>
    <xf numFmtId="0" fontId="9" fillId="3" borderId="0" xfId="3" applyFont="1" applyFill="1" applyAlignment="1">
      <alignment vertical="center"/>
    </xf>
    <xf numFmtId="0" fontId="18" fillId="3" borderId="0" xfId="3" applyFont="1" applyFill="1"/>
    <xf numFmtId="0" fontId="29" fillId="3" borderId="0" xfId="3" applyFont="1" applyFill="1"/>
    <xf numFmtId="0" fontId="37" fillId="3" borderId="0" xfId="3" applyFont="1" applyFill="1" applyAlignment="1">
      <alignment horizontal="center"/>
    </xf>
    <xf numFmtId="3" fontId="8" fillId="3" borderId="0" xfId="3" applyNumberFormat="1" applyFont="1" applyFill="1"/>
    <xf numFmtId="3" fontId="8" fillId="3" borderId="0" xfId="0" applyNumberFormat="1" applyFont="1" applyFill="1"/>
    <xf numFmtId="0" fontId="38" fillId="3" borderId="0" xfId="3" applyFont="1" applyFill="1"/>
    <xf numFmtId="49" fontId="39" fillId="3" borderId="0" xfId="3" applyNumberFormat="1" applyFont="1" applyFill="1" applyAlignment="1">
      <alignment horizontal="center"/>
    </xf>
    <xf numFmtId="167" fontId="18" fillId="3" borderId="0" xfId="1" applyFont="1" applyFill="1"/>
    <xf numFmtId="0" fontId="40" fillId="3" borderId="0" xfId="3" applyFont="1" applyFill="1" applyAlignment="1">
      <alignment horizontal="center" vertical="center"/>
    </xf>
    <xf numFmtId="3" fontId="38" fillId="3" borderId="0" xfId="3" applyNumberFormat="1" applyFont="1" applyFill="1"/>
    <xf numFmtId="3" fontId="38" fillId="3" borderId="0" xfId="0" applyNumberFormat="1" applyFont="1" applyFill="1"/>
    <xf numFmtId="0" fontId="39" fillId="3" borderId="0" xfId="3" applyFont="1" applyFill="1" applyAlignment="1">
      <alignment horizontal="center" vertical="top"/>
    </xf>
    <xf numFmtId="3" fontId="22" fillId="3" borderId="0" xfId="3" applyNumberFormat="1" applyFont="1" applyFill="1" applyAlignment="1">
      <alignment horizontal="right" vertical="center"/>
    </xf>
    <xf numFmtId="3" fontId="22" fillId="3" borderId="0" xfId="0" applyNumberFormat="1" applyFont="1" applyFill="1" applyAlignment="1">
      <alignment horizontal="right" vertical="center"/>
    </xf>
    <xf numFmtId="0" fontId="38" fillId="3" borderId="0" xfId="3" applyFont="1" applyFill="1" applyAlignment="1">
      <alignment horizontal="right" vertical="center"/>
    </xf>
    <xf numFmtId="0" fontId="29" fillId="3" borderId="0" xfId="3" applyFont="1" applyFill="1" applyAlignment="1">
      <alignment vertical="top"/>
    </xf>
    <xf numFmtId="0" fontId="6" fillId="3" borderId="0" xfId="3" applyFill="1" applyAlignment="1">
      <alignment vertical="top"/>
    </xf>
    <xf numFmtId="0" fontId="8" fillId="3" borderId="0" xfId="2" applyFont="1" applyFill="1" applyAlignment="1">
      <alignment horizontal="left" indent="1"/>
    </xf>
    <xf numFmtId="3" fontId="8" fillId="3" borderId="0" xfId="2" applyNumberFormat="1" applyFont="1" applyFill="1" applyAlignment="1">
      <alignment horizontal="right" indent="1"/>
    </xf>
    <xf numFmtId="0" fontId="22" fillId="3" borderId="0" xfId="4" applyFont="1" applyFill="1"/>
    <xf numFmtId="0" fontId="22" fillId="3" borderId="0" xfId="2" quotePrefix="1" applyFont="1" applyFill="1" applyAlignment="1">
      <alignment horizontal="left" indent="2"/>
    </xf>
    <xf numFmtId="3" fontId="22" fillId="3" borderId="0" xfId="2" applyNumberFormat="1" applyFont="1" applyFill="1" applyAlignment="1">
      <alignment horizontal="right" indent="1"/>
    </xf>
    <xf numFmtId="3" fontId="22" fillId="3" borderId="0" xfId="2" applyNumberFormat="1" applyFont="1" applyFill="1"/>
    <xf numFmtId="171" fontId="33" fillId="3" borderId="0" xfId="5" applyNumberFormat="1" applyFont="1" applyFill="1" applyBorder="1"/>
    <xf numFmtId="167" fontId="41" fillId="3" borderId="0" xfId="1" applyFont="1" applyFill="1" applyAlignment="1">
      <alignment horizontal="right" vertical="center"/>
    </xf>
    <xf numFmtId="0" fontId="22" fillId="3" borderId="0" xfId="3" applyFont="1" applyFill="1" applyAlignment="1">
      <alignment horizontal="right" vertical="center"/>
    </xf>
    <xf numFmtId="0" fontId="39" fillId="3" borderId="1" xfId="3" applyFont="1" applyFill="1" applyBorder="1" applyAlignment="1">
      <alignment horizontal="center"/>
    </xf>
    <xf numFmtId="0" fontId="22" fillId="3" borderId="1" xfId="3" applyFont="1" applyFill="1" applyBorder="1" applyAlignment="1">
      <alignment horizontal="right" vertical="center"/>
    </xf>
    <xf numFmtId="3" fontId="22" fillId="3" borderId="1" xfId="3" applyNumberFormat="1" applyFont="1" applyFill="1" applyBorder="1" applyAlignment="1">
      <alignment horizontal="right" vertical="center"/>
    </xf>
    <xf numFmtId="3" fontId="22" fillId="3" borderId="1" xfId="0" applyNumberFormat="1" applyFont="1" applyFill="1" applyBorder="1" applyAlignment="1">
      <alignment horizontal="right" vertical="center"/>
    </xf>
    <xf numFmtId="167" fontId="41" fillId="3" borderId="1" xfId="1" applyFont="1" applyFill="1" applyBorder="1" applyAlignment="1">
      <alignment horizontal="right" vertical="center"/>
    </xf>
    <xf numFmtId="0" fontId="6" fillId="3" borderId="2" xfId="3" applyFill="1" applyBorder="1"/>
    <xf numFmtId="167" fontId="4" fillId="3" borderId="0" xfId="1" applyFill="1"/>
    <xf numFmtId="0" fontId="18" fillId="3" borderId="0" xfId="3" applyFont="1" applyFill="1" applyAlignment="1">
      <alignment vertical="center"/>
    </xf>
    <xf numFmtId="49" fontId="18" fillId="3" borderId="0" xfId="1" applyNumberFormat="1" applyFont="1" applyFill="1" applyAlignment="1">
      <alignment horizontal="right" vertical="center"/>
    </xf>
    <xf numFmtId="167" fontId="42" fillId="3" borderId="0" xfId="1" applyFont="1" applyFill="1" applyAlignment="1">
      <alignment horizontal="right" vertical="center"/>
    </xf>
    <xf numFmtId="37" fontId="15" fillId="3" borderId="0" xfId="1" applyNumberFormat="1" applyFont="1" applyFill="1" applyAlignment="1">
      <alignment horizontal="right" vertical="center"/>
    </xf>
    <xf numFmtId="167" fontId="9" fillId="3" borderId="0" xfId="1" applyFont="1" applyFill="1" applyAlignment="1">
      <alignment horizontal="right" vertical="center"/>
    </xf>
    <xf numFmtId="0" fontId="43" fillId="3" borderId="0" xfId="0" applyFont="1" applyFill="1" applyAlignment="1">
      <alignment horizontal="center" vertical="center" readingOrder="1"/>
    </xf>
    <xf numFmtId="3" fontId="45" fillId="3" borderId="0" xfId="6" applyNumberFormat="1" applyFont="1" applyFill="1" applyAlignment="1">
      <alignment horizontal="center" vertical="center" readingOrder="2"/>
    </xf>
    <xf numFmtId="3" fontId="44" fillId="3" borderId="0" xfId="6" applyNumberFormat="1" applyFont="1" applyFill="1" applyAlignment="1">
      <alignment horizontal="center" vertical="center" readingOrder="2"/>
    </xf>
    <xf numFmtId="3" fontId="46" fillId="3" borderId="0" xfId="6" applyNumberFormat="1" applyFont="1" applyFill="1"/>
    <xf numFmtId="3" fontId="47" fillId="3" borderId="0" xfId="6" applyNumberFormat="1" applyFont="1" applyFill="1" applyAlignment="1">
      <alignment horizontal="center" vertical="top"/>
    </xf>
    <xf numFmtId="3" fontId="48" fillId="3" borderId="0" xfId="6" applyNumberFormat="1" applyFont="1" applyFill="1"/>
    <xf numFmtId="3" fontId="45" fillId="3" borderId="1" xfId="6" applyNumberFormat="1" applyFont="1" applyFill="1" applyBorder="1" applyAlignment="1">
      <alignment vertical="center"/>
    </xf>
    <xf numFmtId="167" fontId="49" fillId="3" borderId="0" xfId="1" applyFont="1" applyFill="1" applyAlignment="1">
      <alignment vertical="center"/>
    </xf>
    <xf numFmtId="3" fontId="50" fillId="3" borderId="1" xfId="6" applyNumberFormat="1" applyFont="1" applyFill="1" applyBorder="1" applyAlignment="1">
      <alignment vertical="center"/>
    </xf>
    <xf numFmtId="3" fontId="55" fillId="3" borderId="0" xfId="6" applyNumberFormat="1" applyFont="1" applyFill="1" applyAlignment="1">
      <alignment horizontal="right" vertical="center" wrapText="1"/>
    </xf>
    <xf numFmtId="3" fontId="51" fillId="3" borderId="0" xfId="6" applyNumberFormat="1" applyFont="1" applyFill="1"/>
    <xf numFmtId="3" fontId="55" fillId="3" borderId="0" xfId="6" applyNumberFormat="1" applyFont="1" applyFill="1"/>
    <xf numFmtId="3" fontId="53" fillId="3" borderId="0" xfId="6" applyNumberFormat="1" applyFont="1" applyFill="1" applyAlignment="1">
      <alignment horizontal="right" vertical="center"/>
    </xf>
    <xf numFmtId="3" fontId="51" fillId="3" borderId="1" xfId="6" applyNumberFormat="1" applyFont="1" applyFill="1" applyBorder="1"/>
    <xf numFmtId="3" fontId="55" fillId="3" borderId="1" xfId="6" applyNumberFormat="1" applyFont="1" applyFill="1" applyBorder="1" applyAlignment="1">
      <alignment horizontal="center" vertical="center"/>
    </xf>
    <xf numFmtId="3" fontId="55" fillId="3" borderId="1" xfId="6" applyNumberFormat="1" applyFont="1" applyFill="1" applyBorder="1" applyAlignment="1">
      <alignment horizontal="right" vertical="center"/>
    </xf>
    <xf numFmtId="3" fontId="64" fillId="3" borderId="7" xfId="6" applyNumberFormat="1" applyFont="1" applyFill="1" applyBorder="1" applyAlignment="1">
      <alignment horizontal="right" vertical="center"/>
    </xf>
    <xf numFmtId="3" fontId="64" fillId="3" borderId="1" xfId="6" applyNumberFormat="1" applyFont="1" applyFill="1" applyBorder="1" applyAlignment="1">
      <alignment horizontal="right" vertical="center"/>
    </xf>
    <xf numFmtId="3" fontId="51" fillId="3" borderId="0" xfId="6" applyNumberFormat="1" applyFont="1" applyFill="1" applyAlignment="1">
      <alignment horizontal="right"/>
    </xf>
    <xf numFmtId="3" fontId="51" fillId="3" borderId="0" xfId="6" applyNumberFormat="1" applyFont="1" applyFill="1" applyAlignment="1">
      <alignment horizontal="center"/>
    </xf>
    <xf numFmtId="3" fontId="51" fillId="3" borderId="0" xfId="6" applyNumberFormat="1" applyFont="1" applyFill="1" applyAlignment="1">
      <alignment horizontal="center" vertical="center"/>
    </xf>
    <xf numFmtId="3" fontId="51" fillId="3" borderId="6" xfId="6" applyNumberFormat="1" applyFont="1" applyFill="1" applyBorder="1" applyAlignment="1">
      <alignment horizontal="center"/>
    </xf>
    <xf numFmtId="3" fontId="58" fillId="3" borderId="0" xfId="6" applyNumberFormat="1" applyFont="1" applyFill="1" applyAlignment="1">
      <alignment horizontal="center"/>
    </xf>
    <xf numFmtId="3" fontId="52" fillId="3" borderId="0" xfId="6" applyNumberFormat="1" applyFont="1" applyFill="1" applyAlignment="1">
      <alignment horizontal="right" vertical="center"/>
    </xf>
    <xf numFmtId="3" fontId="52" fillId="3" borderId="0" xfId="6" applyNumberFormat="1" applyFont="1" applyFill="1" applyAlignment="1">
      <alignment horizontal="center" vertical="center"/>
    </xf>
    <xf numFmtId="2" fontId="52" fillId="3" borderId="0" xfId="8" applyNumberFormat="1" applyFont="1" applyFill="1" applyAlignment="1">
      <alignment horizontal="center" vertical="center"/>
    </xf>
    <xf numFmtId="3" fontId="52" fillId="3" borderId="6" xfId="6" applyNumberFormat="1" applyFont="1" applyFill="1" applyBorder="1" applyAlignment="1">
      <alignment horizontal="right" vertical="center"/>
    </xf>
    <xf numFmtId="3" fontId="58" fillId="3" borderId="0" xfId="6" applyNumberFormat="1" applyFont="1" applyFill="1"/>
    <xf numFmtId="172" fontId="52" fillId="3" borderId="0" xfId="8" applyNumberFormat="1" applyFont="1" applyFill="1" applyAlignment="1">
      <alignment horizontal="center" vertical="center"/>
    </xf>
    <xf numFmtId="3" fontId="55" fillId="3" borderId="0" xfId="6" applyNumberFormat="1" applyFont="1" applyFill="1" applyAlignment="1">
      <alignment vertical="center"/>
    </xf>
    <xf numFmtId="3" fontId="65" fillId="3" borderId="0" xfId="6" applyNumberFormat="1" applyFont="1" applyFill="1" applyAlignment="1">
      <alignment horizontal="right" vertical="center"/>
    </xf>
    <xf numFmtId="3" fontId="66" fillId="3" borderId="0" xfId="6" applyNumberFormat="1" applyFont="1" applyFill="1" applyAlignment="1">
      <alignment horizontal="left" indent="1"/>
    </xf>
    <xf numFmtId="3" fontId="67" fillId="3" borderId="0" xfId="6" applyNumberFormat="1" applyFont="1" applyFill="1" applyAlignment="1">
      <alignment horizontal="right" vertical="center"/>
    </xf>
    <xf numFmtId="3" fontId="68" fillId="3" borderId="0" xfId="6" applyNumberFormat="1" applyFont="1" applyFill="1" applyAlignment="1">
      <alignment horizontal="right" vertical="center"/>
    </xf>
    <xf numFmtId="3" fontId="68" fillId="3" borderId="6" xfId="6" applyNumberFormat="1" applyFont="1" applyFill="1" applyBorder="1" applyAlignment="1">
      <alignment horizontal="right" vertical="center"/>
    </xf>
    <xf numFmtId="3" fontId="67" fillId="3" borderId="0" xfId="6" applyNumberFormat="1" applyFont="1" applyFill="1" applyAlignment="1" applyProtection="1">
      <alignment horizontal="right" vertical="center"/>
      <protection locked="0"/>
    </xf>
    <xf numFmtId="3" fontId="51" fillId="3" borderId="0" xfId="6" applyNumberFormat="1" applyFont="1" applyFill="1" applyAlignment="1">
      <alignment vertical="center"/>
    </xf>
    <xf numFmtId="3" fontId="58" fillId="3" borderId="0" xfId="6" applyNumberFormat="1" applyFont="1" applyFill="1" applyAlignment="1">
      <alignment vertical="center"/>
    </xf>
    <xf numFmtId="172" fontId="1" fillId="3" borderId="0" xfId="2" applyNumberFormat="1" applyFont="1" applyFill="1" applyAlignment="1" applyProtection="1">
      <alignment horizontal="right" vertical="center"/>
      <protection locked="0"/>
    </xf>
    <xf numFmtId="3" fontId="67" fillId="3" borderId="0" xfId="8" applyNumberFormat="1" applyFont="1" applyFill="1" applyAlignment="1">
      <alignment horizontal="right" vertical="center"/>
    </xf>
    <xf numFmtId="3" fontId="64" fillId="3" borderId="0" xfId="6" applyNumberFormat="1" applyFont="1" applyFill="1" applyAlignment="1">
      <alignment vertical="center"/>
    </xf>
    <xf numFmtId="3" fontId="52" fillId="3" borderId="0" xfId="6" applyNumberFormat="1" applyFont="1" applyFill="1" applyAlignment="1">
      <alignment vertical="center" wrapText="1"/>
    </xf>
    <xf numFmtId="3" fontId="68" fillId="3" borderId="0" xfId="6" applyNumberFormat="1" applyFont="1" applyFill="1" applyAlignment="1">
      <alignment horizontal="center" vertical="center"/>
    </xf>
    <xf numFmtId="3" fontId="54" fillId="3" borderId="0" xfId="6" applyNumberFormat="1" applyFont="1" applyFill="1" applyAlignment="1">
      <alignment horizontal="right" vertical="center" wrapText="1"/>
    </xf>
    <xf numFmtId="2" fontId="67" fillId="3" borderId="0" xfId="8" applyNumberFormat="1" applyFont="1" applyFill="1" applyAlignment="1" applyProtection="1">
      <alignment horizontal="right" vertical="center"/>
      <protection locked="0"/>
    </xf>
    <xf numFmtId="3" fontId="69" fillId="3" borderId="0" xfId="6" applyNumberFormat="1" applyFont="1" applyFill="1" applyAlignment="1">
      <alignment horizontal="right" vertical="center"/>
    </xf>
    <xf numFmtId="3" fontId="52" fillId="3" borderId="0" xfId="6" applyNumberFormat="1" applyFont="1" applyFill="1" applyAlignment="1">
      <alignment vertical="center"/>
    </xf>
    <xf numFmtId="3" fontId="54" fillId="3" borderId="0" xfId="6" applyNumberFormat="1" applyFont="1" applyFill="1" applyAlignment="1">
      <alignment horizontal="right" vertical="center"/>
    </xf>
    <xf numFmtId="3" fontId="71" fillId="3" borderId="0" xfId="6" applyNumberFormat="1" applyFont="1" applyFill="1"/>
    <xf numFmtId="172" fontId="52" fillId="3" borderId="0" xfId="9" applyNumberFormat="1" applyFont="1" applyFill="1" applyBorder="1" applyAlignment="1">
      <alignment horizontal="center" vertical="center"/>
    </xf>
    <xf numFmtId="3" fontId="55" fillId="3" borderId="0" xfId="6" applyNumberFormat="1" applyFont="1" applyFill="1" applyAlignment="1">
      <alignment horizontal="left" vertical="center"/>
    </xf>
    <xf numFmtId="0" fontId="68" fillId="3" borderId="0" xfId="6" applyFont="1" applyFill="1" applyAlignment="1">
      <alignment horizontal="right" vertical="center"/>
    </xf>
    <xf numFmtId="172" fontId="68" fillId="3" borderId="0" xfId="8" applyNumberFormat="1" applyFont="1" applyFill="1" applyAlignment="1">
      <alignment horizontal="center" vertical="center"/>
    </xf>
    <xf numFmtId="172" fontId="68" fillId="3" borderId="0" xfId="9" applyNumberFormat="1" applyFont="1" applyFill="1" applyBorder="1" applyAlignment="1">
      <alignment horizontal="center" vertical="center"/>
    </xf>
    <xf numFmtId="3" fontId="1" fillId="3" borderId="0" xfId="2" applyNumberFormat="1" applyFont="1" applyFill="1" applyAlignment="1">
      <alignment horizontal="right" vertical="center"/>
    </xf>
    <xf numFmtId="0" fontId="1" fillId="3" borderId="0" xfId="10" applyNumberFormat="1" applyFont="1" applyFill="1" applyBorder="1" applyAlignment="1">
      <alignment horizontal="right" vertical="center"/>
    </xf>
    <xf numFmtId="3" fontId="55" fillId="3" borderId="0" xfId="6" applyNumberFormat="1" applyFont="1" applyFill="1" applyAlignment="1">
      <alignment horizontal="right" vertical="center"/>
    </xf>
    <xf numFmtId="3" fontId="71" fillId="3" borderId="0" xfId="6" applyNumberFormat="1" applyFont="1" applyFill="1" applyAlignment="1">
      <alignment vertical="center"/>
    </xf>
    <xf numFmtId="3" fontId="71" fillId="3" borderId="0" xfId="6" applyNumberFormat="1" applyFont="1" applyFill="1" applyAlignment="1">
      <alignment horizontal="right" vertical="center"/>
    </xf>
    <xf numFmtId="4" fontId="68" fillId="3" borderId="0" xfId="9" applyNumberFormat="1" applyFont="1" applyFill="1" applyBorder="1" applyAlignment="1">
      <alignment horizontal="center" vertical="center"/>
    </xf>
    <xf numFmtId="3" fontId="68" fillId="3" borderId="0" xfId="8" applyNumberFormat="1" applyFont="1" applyFill="1" applyAlignment="1">
      <alignment horizontal="right" vertical="center"/>
    </xf>
    <xf numFmtId="3" fontId="68" fillId="3" borderId="0" xfId="8" quotePrefix="1" applyNumberFormat="1" applyFont="1" applyFill="1" applyAlignment="1">
      <alignment horizontal="right" vertical="center"/>
    </xf>
    <xf numFmtId="3" fontId="46" fillId="3" borderId="0" xfId="6" applyNumberFormat="1" applyFont="1" applyFill="1" applyAlignment="1">
      <alignment horizontal="center"/>
    </xf>
    <xf numFmtId="3" fontId="73" fillId="3" borderId="0" xfId="6" applyNumberFormat="1" applyFont="1" applyFill="1" applyAlignment="1">
      <alignment horizontal="right" vertical="center"/>
    </xf>
    <xf numFmtId="3" fontId="72" fillId="3" borderId="0" xfId="6" applyNumberFormat="1" applyFont="1" applyFill="1" applyAlignment="1">
      <alignment horizontal="right" vertical="center"/>
    </xf>
    <xf numFmtId="2" fontId="68" fillId="3" borderId="14" xfId="8" applyNumberFormat="1" applyFont="1" applyFill="1" applyBorder="1" applyAlignment="1">
      <alignment horizontal="center" vertical="center"/>
    </xf>
    <xf numFmtId="3" fontId="71" fillId="3" borderId="1" xfId="6" applyNumberFormat="1" applyFont="1" applyFill="1" applyBorder="1"/>
    <xf numFmtId="3" fontId="68" fillId="3" borderId="1" xfId="6" applyNumberFormat="1" applyFont="1" applyFill="1" applyBorder="1" applyAlignment="1">
      <alignment horizontal="right" vertical="center"/>
    </xf>
    <xf numFmtId="3" fontId="68" fillId="3" borderId="1" xfId="6" applyNumberFormat="1" applyFont="1" applyFill="1" applyBorder="1" applyAlignment="1">
      <alignment horizontal="center" vertical="center"/>
    </xf>
    <xf numFmtId="172" fontId="68" fillId="3" borderId="1" xfId="8" applyNumberFormat="1" applyFont="1" applyFill="1" applyBorder="1" applyAlignment="1">
      <alignment horizontal="center" vertical="center"/>
    </xf>
    <xf numFmtId="3" fontId="68" fillId="3" borderId="7" xfId="6" applyNumberFormat="1" applyFont="1" applyFill="1" applyBorder="1" applyAlignment="1">
      <alignment horizontal="right" vertical="center"/>
    </xf>
    <xf numFmtId="167" fontId="70" fillId="3" borderId="0" xfId="1" applyFont="1" applyFill="1" applyAlignment="1" applyProtection="1">
      <alignment horizontal="right"/>
      <protection locked="0"/>
    </xf>
    <xf numFmtId="167" fontId="71" fillId="3" borderId="0" xfId="1" applyFont="1" applyFill="1" applyAlignment="1" applyProtection="1">
      <alignment horizontal="right" vertical="center"/>
      <protection locked="0"/>
    </xf>
    <xf numFmtId="167" fontId="69" fillId="3" borderId="0" xfId="1" applyFont="1" applyFill="1" applyAlignment="1" applyProtection="1">
      <alignment horizontal="right" vertical="center"/>
      <protection locked="0"/>
    </xf>
    <xf numFmtId="3" fontId="51" fillId="3" borderId="0" xfId="6" applyNumberFormat="1" applyFont="1" applyFill="1" applyProtection="1">
      <protection locked="0"/>
    </xf>
    <xf numFmtId="167" fontId="74" fillId="3" borderId="0" xfId="1" applyFont="1" applyFill="1" applyAlignment="1" applyProtection="1">
      <alignment horizontal="left" vertical="center" indent="3"/>
      <protection locked="0"/>
    </xf>
    <xf numFmtId="167" fontId="68" fillId="3" borderId="0" xfId="1" applyFont="1" applyFill="1" applyAlignment="1" applyProtection="1">
      <alignment horizontal="right"/>
      <protection locked="0"/>
    </xf>
    <xf numFmtId="167" fontId="68" fillId="3" borderId="0" xfId="1" applyFont="1" applyFill="1" applyAlignment="1" applyProtection="1">
      <alignment horizontal="center"/>
      <protection locked="0"/>
    </xf>
    <xf numFmtId="3" fontId="71" fillId="3" borderId="0" xfId="6" applyNumberFormat="1" applyFont="1" applyFill="1" applyAlignment="1" applyProtection="1">
      <alignment horizontal="right"/>
      <protection locked="0"/>
    </xf>
    <xf numFmtId="3" fontId="71" fillId="3" borderId="0" xfId="6" applyNumberFormat="1" applyFont="1" applyFill="1" applyAlignment="1" applyProtection="1">
      <alignment horizontal="center" vertical="center"/>
      <protection locked="0"/>
    </xf>
    <xf numFmtId="3" fontId="51" fillId="3" borderId="0" xfId="6" applyNumberFormat="1" applyFont="1" applyFill="1" applyAlignment="1" applyProtection="1">
      <alignment horizontal="center"/>
      <protection locked="0"/>
    </xf>
    <xf numFmtId="0" fontId="69" fillId="3" borderId="0" xfId="6" applyFont="1" applyFill="1" applyAlignment="1" applyProtection="1">
      <alignment horizontal="right" vertical="center"/>
      <protection locked="0"/>
    </xf>
    <xf numFmtId="0" fontId="71" fillId="3" borderId="0" xfId="6" applyFont="1" applyFill="1" applyAlignment="1" applyProtection="1">
      <alignment horizontal="right" vertical="center"/>
      <protection locked="0"/>
    </xf>
    <xf numFmtId="167" fontId="49" fillId="3" borderId="0" xfId="1" applyFont="1" applyFill="1" applyAlignment="1" applyProtection="1">
      <alignment vertical="center"/>
      <protection locked="0"/>
    </xf>
    <xf numFmtId="167" fontId="75" fillId="3" borderId="0" xfId="1" applyFont="1" applyFill="1" applyAlignment="1" applyProtection="1">
      <alignment vertical="center"/>
      <protection locked="0"/>
    </xf>
    <xf numFmtId="167" fontId="78" fillId="3" borderId="0" xfId="1" applyFont="1" applyFill="1" applyAlignment="1" applyProtection="1">
      <alignment horizontal="right"/>
      <protection locked="0"/>
    </xf>
    <xf numFmtId="3" fontId="46" fillId="3" borderId="0" xfId="6" applyNumberFormat="1" applyFont="1" applyFill="1" applyAlignment="1" applyProtection="1">
      <alignment horizontal="center"/>
      <protection locked="0"/>
    </xf>
    <xf numFmtId="3" fontId="46" fillId="3" borderId="15" xfId="6" applyNumberFormat="1" applyFont="1" applyFill="1" applyBorder="1" applyProtection="1">
      <protection locked="0"/>
    </xf>
    <xf numFmtId="3" fontId="46" fillId="3" borderId="0" xfId="6" applyNumberFormat="1" applyFont="1" applyFill="1" applyProtection="1">
      <protection locked="0"/>
    </xf>
    <xf numFmtId="3" fontId="46" fillId="3" borderId="0" xfId="6" applyNumberFormat="1" applyFont="1" applyFill="1" applyAlignment="1" applyProtection="1">
      <alignment horizontal="center" vertical="center"/>
      <protection locked="0"/>
    </xf>
    <xf numFmtId="4" fontId="46" fillId="3" borderId="0" xfId="6" applyNumberFormat="1" applyFont="1" applyFill="1" applyAlignment="1" applyProtection="1">
      <alignment horizontal="center"/>
      <protection locked="0"/>
    </xf>
    <xf numFmtId="167" fontId="68" fillId="3" borderId="0" xfId="1" applyFont="1" applyFill="1" applyAlignment="1" applyProtection="1">
      <alignment horizontal="right" wrapText="1"/>
      <protection locked="0"/>
    </xf>
    <xf numFmtId="3" fontId="83" fillId="3" borderId="0" xfId="6" applyNumberFormat="1" applyFont="1" applyFill="1" applyAlignment="1" applyProtection="1">
      <alignment horizontal="right"/>
      <protection locked="0"/>
    </xf>
    <xf numFmtId="3" fontId="46" fillId="3" borderId="0" xfId="6" applyNumberFormat="1" applyFont="1" applyFill="1" applyAlignment="1" applyProtection="1">
      <alignment horizontal="right"/>
      <protection locked="0"/>
    </xf>
    <xf numFmtId="3" fontId="68" fillId="3" borderId="0" xfId="6" applyNumberFormat="1" applyFont="1" applyFill="1" applyProtection="1">
      <protection locked="0"/>
    </xf>
    <xf numFmtId="3" fontId="58" fillId="3" borderId="0" xfId="6" applyNumberFormat="1" applyFont="1" applyFill="1" applyAlignment="1" applyProtection="1">
      <alignment horizontal="right"/>
      <protection locked="0"/>
    </xf>
    <xf numFmtId="3" fontId="51" fillId="3" borderId="0" xfId="6" applyNumberFormat="1" applyFont="1" applyFill="1" applyAlignment="1" applyProtection="1">
      <alignment horizontal="right"/>
      <protection locked="0"/>
    </xf>
    <xf numFmtId="3" fontId="51" fillId="3" borderId="0" xfId="6" applyNumberFormat="1" applyFont="1" applyFill="1" applyAlignment="1" applyProtection="1">
      <alignment horizontal="center" vertical="center"/>
      <protection locked="0"/>
    </xf>
    <xf numFmtId="3" fontId="78" fillId="3" borderId="0" xfId="6" applyNumberFormat="1" applyFont="1" applyFill="1" applyAlignment="1" applyProtection="1">
      <alignment horizontal="right" vertical="center"/>
      <protection locked="0"/>
    </xf>
    <xf numFmtId="3" fontId="68" fillId="3" borderId="0" xfId="6" applyNumberFormat="1" applyFont="1" applyFill="1" applyAlignment="1" applyProtection="1">
      <alignment horizontal="right"/>
      <protection locked="0"/>
    </xf>
    <xf numFmtId="0" fontId="84" fillId="3" borderId="0" xfId="0" applyFont="1" applyFill="1" applyAlignment="1">
      <alignment vertical="center"/>
    </xf>
    <xf numFmtId="0" fontId="83" fillId="3" borderId="0" xfId="0" applyFont="1" applyFill="1"/>
    <xf numFmtId="3" fontId="46" fillId="3" borderId="0" xfId="6" applyNumberFormat="1" applyFont="1" applyFill="1" applyAlignment="1">
      <alignment horizontal="right"/>
    </xf>
    <xf numFmtId="3" fontId="46" fillId="3" borderId="0" xfId="6" applyNumberFormat="1" applyFont="1" applyFill="1" applyAlignment="1">
      <alignment horizontal="center" vertical="center"/>
    </xf>
    <xf numFmtId="3" fontId="68" fillId="3" borderId="0" xfId="6" applyNumberFormat="1" applyFont="1" applyFill="1" applyAlignment="1">
      <alignment horizontal="right"/>
    </xf>
    <xf numFmtId="167" fontId="5" fillId="2" borderId="0" xfId="1" applyFont="1" applyFill="1" applyAlignment="1">
      <alignment horizontal="center"/>
    </xf>
    <xf numFmtId="167" fontId="4" fillId="2" borderId="0" xfId="1" applyFill="1"/>
    <xf numFmtId="167" fontId="8" fillId="2" borderId="0" xfId="1" applyFont="1" applyFill="1" applyAlignment="1">
      <alignment horizontal="center"/>
    </xf>
    <xf numFmtId="167" fontId="8" fillId="2" borderId="0" xfId="1" applyFont="1" applyFill="1" applyAlignment="1">
      <alignment horizontal="center" vertical="top"/>
    </xf>
    <xf numFmtId="167" fontId="17" fillId="2" borderId="0" xfId="1" applyFont="1" applyFill="1" applyAlignment="1">
      <alignment horizontal="center"/>
    </xf>
    <xf numFmtId="167" fontId="37" fillId="2" borderId="0" xfId="1" applyFont="1" applyFill="1"/>
    <xf numFmtId="167" fontId="15" fillId="2" borderId="0" xfId="1" applyFont="1" applyFill="1" applyAlignment="1">
      <alignment horizontal="center"/>
    </xf>
    <xf numFmtId="167" fontId="37" fillId="2" borderId="1" xfId="1" applyFont="1" applyFill="1" applyBorder="1"/>
    <xf numFmtId="167" fontId="37" fillId="2" borderId="22" xfId="1" applyFont="1" applyFill="1" applyBorder="1" applyAlignment="1">
      <alignment horizontal="right"/>
    </xf>
    <xf numFmtId="167" fontId="37" fillId="2" borderId="0" xfId="1" applyFont="1" applyFill="1" applyAlignment="1">
      <alignment horizontal="right"/>
    </xf>
    <xf numFmtId="167" fontId="37" fillId="2" borderId="0" xfId="1" applyFont="1" applyFill="1" applyAlignment="1">
      <alignment vertical="center"/>
    </xf>
    <xf numFmtId="167" fontId="37" fillId="2" borderId="0" xfId="1" applyFont="1" applyFill="1" applyAlignment="1">
      <alignment horizontal="right" vertical="center"/>
    </xf>
    <xf numFmtId="167" fontId="15" fillId="2" borderId="0" xfId="1" applyFont="1" applyFill="1"/>
    <xf numFmtId="167" fontId="39" fillId="2" borderId="0" xfId="1" applyFont="1" applyFill="1" applyAlignment="1">
      <alignment vertical="center"/>
    </xf>
    <xf numFmtId="167" fontId="39" fillId="2" borderId="0" xfId="1" applyFont="1" applyFill="1" applyAlignment="1">
      <alignment horizontal="right" vertical="center"/>
    </xf>
    <xf numFmtId="167" fontId="18" fillId="2" borderId="0" xfId="1" applyFont="1" applyFill="1" applyAlignment="1">
      <alignment vertical="top"/>
    </xf>
    <xf numFmtId="0" fontId="33" fillId="3" borderId="0" xfId="2" applyFont="1" applyFill="1" applyAlignment="1">
      <alignment horizontal="left"/>
    </xf>
    <xf numFmtId="167" fontId="18" fillId="2" borderId="0" xfId="1" applyFont="1" applyFill="1"/>
    <xf numFmtId="0" fontId="33" fillId="3" borderId="0" xfId="2" quotePrefix="1" applyFont="1" applyFill="1" applyAlignment="1">
      <alignment horizontal="left"/>
    </xf>
    <xf numFmtId="167" fontId="18" fillId="3" borderId="0" xfId="1" applyFont="1" applyFill="1" applyAlignment="1">
      <alignment vertical="top"/>
    </xf>
    <xf numFmtId="3" fontId="39" fillId="2" borderId="0" xfId="1" applyNumberFormat="1" applyFont="1" applyFill="1" applyAlignment="1">
      <alignment vertical="center"/>
    </xf>
    <xf numFmtId="167" fontId="39" fillId="3" borderId="0" xfId="1" applyFont="1" applyFill="1" applyAlignment="1">
      <alignment horizontal="right" vertical="center"/>
    </xf>
    <xf numFmtId="167" fontId="28" fillId="2" borderId="0" xfId="1" applyFont="1" applyFill="1" applyAlignment="1">
      <alignment vertical="top"/>
    </xf>
    <xf numFmtId="3" fontId="39" fillId="2" borderId="1" xfId="1" applyNumberFormat="1" applyFont="1" applyFill="1" applyBorder="1" applyAlignment="1">
      <alignment vertical="center"/>
    </xf>
    <xf numFmtId="167" fontId="39" fillId="2" borderId="1" xfId="1" applyFont="1" applyFill="1" applyBorder="1" applyAlignment="1">
      <alignment horizontal="right" vertical="center"/>
    </xf>
    <xf numFmtId="167" fontId="4" fillId="2" borderId="0" xfId="1" applyFill="1" applyAlignment="1">
      <alignment vertical="top"/>
    </xf>
    <xf numFmtId="167" fontId="26" fillId="2" borderId="0" xfId="1" applyFont="1" applyFill="1" applyAlignment="1">
      <alignment horizontal="left" vertical="center"/>
    </xf>
    <xf numFmtId="49" fontId="25" fillId="2" borderId="0" xfId="1" applyNumberFormat="1" applyFont="1" applyFill="1" applyAlignment="1">
      <alignment horizontal="right" vertical="center"/>
    </xf>
    <xf numFmtId="167" fontId="25" fillId="2" borderId="0" xfId="1" applyFont="1" applyFill="1" applyAlignment="1">
      <alignment horizontal="right" vertical="center"/>
    </xf>
    <xf numFmtId="37" fontId="35" fillId="2" borderId="0" xfId="1" applyNumberFormat="1" applyFont="1" applyFill="1" applyAlignment="1">
      <alignment horizontal="right" vertical="center"/>
    </xf>
    <xf numFmtId="167" fontId="36" fillId="2" borderId="0" xfId="1" applyFont="1" applyFill="1" applyAlignment="1">
      <alignment horizontal="right" vertical="center"/>
    </xf>
    <xf numFmtId="2" fontId="28" fillId="2" borderId="0" xfId="1" applyNumberFormat="1" applyFont="1" applyFill="1" applyAlignment="1" applyProtection="1">
      <alignment vertical="center"/>
      <protection locked="0"/>
    </xf>
    <xf numFmtId="4" fontId="25" fillId="2" borderId="0" xfId="1" applyNumberFormat="1" applyFont="1" applyFill="1" applyAlignment="1" applyProtection="1">
      <alignment horizontal="right" vertical="center"/>
      <protection locked="0"/>
    </xf>
    <xf numFmtId="167" fontId="25" fillId="2" borderId="0" xfId="1" applyFont="1" applyFill="1" applyAlignment="1">
      <alignment vertical="center"/>
    </xf>
    <xf numFmtId="167" fontId="34" fillId="2" borderId="0" xfId="1" applyFont="1" applyFill="1" applyAlignment="1">
      <alignment horizontal="left" vertical="center"/>
    </xf>
    <xf numFmtId="0" fontId="85" fillId="2" borderId="0" xfId="6" applyFont="1" applyFill="1" applyAlignment="1">
      <alignment horizontal="right" vertical="center" readingOrder="2"/>
    </xf>
    <xf numFmtId="0" fontId="8" fillId="2" borderId="0" xfId="2" applyFont="1" applyFill="1" applyAlignment="1">
      <alignment vertical="center" wrapText="1"/>
    </xf>
    <xf numFmtId="173" fontId="8" fillId="3" borderId="0" xfId="2" applyNumberFormat="1" applyFont="1" applyFill="1"/>
    <xf numFmtId="0" fontId="22" fillId="2" borderId="0" xfId="2" applyFont="1" applyFill="1" applyAlignment="1">
      <alignment horizontal="left"/>
    </xf>
    <xf numFmtId="0" fontId="22" fillId="2" borderId="0" xfId="2" quotePrefix="1" applyFont="1" applyFill="1" applyAlignment="1">
      <alignment horizontal="left"/>
    </xf>
    <xf numFmtId="0" fontId="29" fillId="2" borderId="0" xfId="8" applyFill="1" applyAlignment="1">
      <alignment horizontal="left"/>
    </xf>
    <xf numFmtId="173" fontId="29" fillId="2" borderId="0" xfId="8" applyNumberFormat="1" applyFill="1"/>
    <xf numFmtId="0" fontId="29" fillId="2" borderId="0" xfId="8" quotePrefix="1" applyFill="1" applyAlignment="1">
      <alignment horizontal="left"/>
    </xf>
    <xf numFmtId="3" fontId="18" fillId="2" borderId="0" xfId="1" applyNumberFormat="1" applyFont="1" applyFill="1"/>
    <xf numFmtId="167" fontId="9" fillId="2" borderId="0" xfId="1" applyFont="1" applyFill="1" applyAlignment="1">
      <alignment horizontal="center"/>
    </xf>
    <xf numFmtId="167" fontId="13" fillId="2" borderId="0" xfId="1" applyFont="1" applyFill="1" applyAlignment="1">
      <alignment horizontal="center" vertical="center" readingOrder="2"/>
    </xf>
    <xf numFmtId="167" fontId="8" fillId="2" borderId="23" xfId="1" applyFont="1" applyFill="1" applyBorder="1" applyAlignment="1">
      <alignment horizontal="left" vertical="center"/>
    </xf>
    <xf numFmtId="167" fontId="8" fillId="2" borderId="23" xfId="1" applyFont="1" applyFill="1" applyBorder="1" applyAlignment="1">
      <alignment horizontal="right" vertical="center"/>
    </xf>
    <xf numFmtId="167" fontId="8" fillId="2" borderId="23" xfId="1" applyFont="1" applyFill="1" applyBorder="1" applyAlignment="1">
      <alignment vertical="center"/>
    </xf>
    <xf numFmtId="167" fontId="29" fillId="2" borderId="0" xfId="1" applyFont="1" applyFill="1" applyAlignment="1">
      <alignment vertical="center"/>
    </xf>
    <xf numFmtId="167" fontId="87" fillId="2" borderId="0" xfId="1" applyFont="1" applyFill="1" applyAlignment="1">
      <alignment vertical="center"/>
    </xf>
    <xf numFmtId="167" fontId="8" fillId="2" borderId="0" xfId="1" applyFont="1" applyFill="1" applyAlignment="1">
      <alignment horizontal="left" vertical="center" indent="1"/>
    </xf>
    <xf numFmtId="167" fontId="8" fillId="2" borderId="0" xfId="1" applyFont="1" applyFill="1" applyAlignment="1">
      <alignment vertical="center"/>
    </xf>
    <xf numFmtId="175" fontId="8" fillId="2" borderId="0" xfId="1" applyNumberFormat="1" applyFont="1" applyFill="1" applyAlignment="1">
      <alignment vertical="center"/>
    </xf>
    <xf numFmtId="2" fontId="8" fillId="2" borderId="0" xfId="1" applyNumberFormat="1" applyFont="1" applyFill="1" applyAlignment="1">
      <alignment vertical="center"/>
    </xf>
    <xf numFmtId="167" fontId="9" fillId="2" borderId="0" xfId="1" applyFont="1" applyFill="1" applyAlignment="1">
      <alignment vertical="center"/>
    </xf>
    <xf numFmtId="0" fontId="33" fillId="3" borderId="0" xfId="12" applyFont="1" applyFill="1" applyAlignment="1">
      <alignment vertical="center"/>
    </xf>
    <xf numFmtId="0" fontId="2" fillId="3" borderId="0" xfId="12" applyFont="1" applyFill="1" applyAlignment="1">
      <alignment vertical="center"/>
    </xf>
    <xf numFmtId="167" fontId="88" fillId="2" borderId="0" xfId="1" applyFont="1" applyFill="1" applyAlignment="1">
      <alignment vertical="center"/>
    </xf>
    <xf numFmtId="170" fontId="8" fillId="2" borderId="0" xfId="1" applyNumberFormat="1" applyFont="1" applyFill="1" applyAlignment="1">
      <alignment vertical="center"/>
    </xf>
    <xf numFmtId="1" fontId="33" fillId="3" borderId="0" xfId="12" applyNumberFormat="1" applyFont="1" applyFill="1" applyAlignment="1">
      <alignment vertical="center"/>
    </xf>
    <xf numFmtId="0" fontId="33" fillId="3" borderId="0" xfId="12" applyFont="1" applyFill="1"/>
    <xf numFmtId="167" fontId="22" fillId="2" borderId="0" xfId="1" applyFont="1" applyFill="1" applyAlignment="1">
      <alignment horizontal="left" vertical="center" indent="2"/>
    </xf>
    <xf numFmtId="170" fontId="22" fillId="2" borderId="0" xfId="1" applyNumberFormat="1" applyFont="1" applyFill="1" applyAlignment="1">
      <alignment vertical="center"/>
    </xf>
    <xf numFmtId="175" fontId="22" fillId="2" borderId="0" xfId="1" applyNumberFormat="1" applyFont="1" applyFill="1" applyAlignment="1">
      <alignment vertical="center"/>
    </xf>
    <xf numFmtId="2" fontId="22" fillId="2" borderId="0" xfId="1" applyNumberFormat="1" applyFont="1" applyFill="1" applyAlignment="1">
      <alignment vertical="center"/>
    </xf>
    <xf numFmtId="1" fontId="33" fillId="3" borderId="0" xfId="12" applyNumberFormat="1" applyFont="1" applyFill="1"/>
    <xf numFmtId="0" fontId="29" fillId="3" borderId="0" xfId="0" applyFont="1" applyFill="1"/>
    <xf numFmtId="170" fontId="22" fillId="2" borderId="0" xfId="1" applyNumberFormat="1" applyFont="1" applyFill="1" applyAlignment="1">
      <alignment horizontal="right" vertical="center"/>
    </xf>
    <xf numFmtId="175" fontId="22" fillId="2" borderId="0" xfId="1" applyNumberFormat="1" applyFont="1" applyFill="1" applyAlignment="1">
      <alignment horizontal="right" vertical="center"/>
    </xf>
    <xf numFmtId="2" fontId="22" fillId="2" borderId="0" xfId="1" applyNumberFormat="1" applyFont="1" applyFill="1" applyAlignment="1">
      <alignment horizontal="right" vertical="center"/>
    </xf>
    <xf numFmtId="167" fontId="22" fillId="2" borderId="1" xfId="1" applyFont="1" applyFill="1" applyBorder="1" applyAlignment="1">
      <alignment horizontal="left" vertical="center" indent="2"/>
    </xf>
    <xf numFmtId="170" fontId="22" fillId="2" borderId="1" xfId="1" applyNumberFormat="1" applyFont="1" applyFill="1" applyBorder="1" applyAlignment="1">
      <alignment vertical="center"/>
    </xf>
    <xf numFmtId="175" fontId="22" fillId="2" borderId="1" xfId="1" applyNumberFormat="1" applyFont="1" applyFill="1" applyBorder="1" applyAlignment="1">
      <alignment vertical="center"/>
    </xf>
    <xf numFmtId="2" fontId="22" fillId="2" borderId="1" xfId="1" applyNumberFormat="1" applyFont="1" applyFill="1" applyBorder="1" applyAlignment="1">
      <alignment vertical="center"/>
    </xf>
    <xf numFmtId="172" fontId="29" fillId="3" borderId="0" xfId="0" applyNumberFormat="1" applyFont="1" applyFill="1" applyAlignment="1">
      <alignment vertical="center"/>
    </xf>
    <xf numFmtId="167" fontId="90" fillId="2" borderId="0" xfId="1" applyFont="1" applyFill="1" applyAlignment="1">
      <alignment horizontal="right" vertical="center"/>
    </xf>
    <xf numFmtId="167" fontId="90" fillId="2" borderId="0" xfId="1" applyFont="1" applyFill="1" applyAlignment="1">
      <alignment horizontal="right" vertical="center" readingOrder="2"/>
    </xf>
    <xf numFmtId="2" fontId="25" fillId="2" borderId="0" xfId="1" applyNumberFormat="1" applyFont="1" applyFill="1" applyAlignment="1">
      <alignment horizontal="center" vertical="center"/>
    </xf>
    <xf numFmtId="167" fontId="24" fillId="2" borderId="0" xfId="1" applyFont="1" applyFill="1"/>
    <xf numFmtId="167" fontId="28" fillId="2" borderId="0" xfId="1" applyFont="1" applyFill="1" applyAlignment="1">
      <alignment readingOrder="2"/>
    </xf>
    <xf numFmtId="37" fontId="25" fillId="2" borderId="0" xfId="1" applyNumberFormat="1" applyFont="1" applyFill="1" applyAlignment="1" applyProtection="1">
      <alignment horizontal="right" vertical="center"/>
      <protection locked="0"/>
    </xf>
    <xf numFmtId="167" fontId="28" fillId="2" borderId="0" xfId="1" applyFont="1" applyFill="1" applyAlignment="1">
      <alignment horizontal="right" readingOrder="2"/>
    </xf>
    <xf numFmtId="167" fontId="91" fillId="2" borderId="0" xfId="1" applyFont="1" applyFill="1" applyAlignment="1">
      <alignment horizontal="left" vertical="center"/>
    </xf>
    <xf numFmtId="167" fontId="90" fillId="2" borderId="0" xfId="1" applyFont="1" applyFill="1"/>
    <xf numFmtId="167" fontId="18" fillId="2" borderId="0" xfId="1" applyFont="1" applyFill="1" applyAlignment="1">
      <alignment horizontal="left" vertical="center"/>
    </xf>
    <xf numFmtId="2" fontId="18" fillId="2" borderId="0" xfId="1" applyNumberFormat="1" applyFont="1" applyFill="1" applyAlignment="1">
      <alignment vertical="center"/>
    </xf>
    <xf numFmtId="2" fontId="91" fillId="2" borderId="0" xfId="1" applyNumberFormat="1" applyFont="1" applyFill="1" applyAlignment="1">
      <alignment vertical="center"/>
    </xf>
    <xf numFmtId="167" fontId="92" fillId="2" borderId="0" xfId="1" applyFont="1" applyFill="1" applyAlignment="1">
      <alignment horizontal="left" vertical="center"/>
    </xf>
    <xf numFmtId="2" fontId="4" fillId="2" borderId="0" xfId="1" applyNumberFormat="1" applyFill="1"/>
    <xf numFmtId="175" fontId="18" fillId="2" borderId="0" xfId="1" applyNumberFormat="1" applyFont="1" applyFill="1" applyAlignment="1">
      <alignment horizontal="right" vertical="center"/>
    </xf>
    <xf numFmtId="1" fontId="18" fillId="2" borderId="0" xfId="1" applyNumberFormat="1" applyFont="1" applyFill="1" applyAlignment="1">
      <alignment vertical="center"/>
    </xf>
    <xf numFmtId="167" fontId="85" fillId="2" borderId="0" xfId="1" applyFont="1" applyFill="1" applyAlignment="1">
      <alignment horizontal="right" vertical="center"/>
    </xf>
    <xf numFmtId="167" fontId="92" fillId="2" borderId="1" xfId="1" applyFont="1" applyFill="1" applyBorder="1" applyAlignment="1">
      <alignment horizontal="left" vertical="center"/>
    </xf>
    <xf numFmtId="0" fontId="46" fillId="3" borderId="0" xfId="13" applyFont="1" applyFill="1" applyAlignment="1">
      <alignment horizontal="center"/>
    </xf>
    <xf numFmtId="167" fontId="4" fillId="2" borderId="0" xfId="16" applyFill="1"/>
    <xf numFmtId="167" fontId="4" fillId="3" borderId="0" xfId="16" applyFill="1"/>
    <xf numFmtId="167" fontId="4" fillId="3" borderId="0" xfId="16" applyFill="1" applyAlignment="1">
      <alignment horizontal="right"/>
    </xf>
    <xf numFmtId="167" fontId="8" fillId="2" borderId="0" xfId="16" applyFont="1" applyFill="1" applyAlignment="1" applyProtection="1">
      <alignment horizontal="left" vertical="center"/>
      <protection hidden="1"/>
    </xf>
    <xf numFmtId="167" fontId="8" fillId="2" borderId="2" xfId="16" applyFont="1" applyFill="1" applyBorder="1" applyAlignment="1" applyProtection="1">
      <alignment horizontal="center" vertical="center"/>
      <protection hidden="1"/>
    </xf>
    <xf numFmtId="167" fontId="39" fillId="2" borderId="0" xfId="16" applyFont="1" applyFill="1"/>
    <xf numFmtId="167" fontId="39" fillId="3" borderId="0" xfId="16" applyFont="1" applyFill="1"/>
    <xf numFmtId="167" fontId="39" fillId="3" borderId="0" xfId="16" applyFont="1" applyFill="1" applyAlignment="1">
      <alignment horizontal="right"/>
    </xf>
    <xf numFmtId="167" fontId="8" fillId="2" borderId="1" xfId="16" applyFont="1" applyFill="1" applyBorder="1" applyAlignment="1" applyProtection="1">
      <alignment horizontal="left" vertical="center"/>
      <protection hidden="1"/>
    </xf>
    <xf numFmtId="167" fontId="8" fillId="2" borderId="7" xfId="16" applyFont="1" applyFill="1" applyBorder="1" applyAlignment="1" applyProtection="1">
      <alignment horizontal="right"/>
      <protection hidden="1"/>
    </xf>
    <xf numFmtId="167" fontId="8" fillId="2" borderId="1" xfId="16" applyFont="1" applyFill="1" applyBorder="1" applyAlignment="1" applyProtection="1">
      <alignment horizontal="right"/>
      <protection hidden="1"/>
    </xf>
    <xf numFmtId="167" fontId="8" fillId="2" borderId="26" xfId="16" applyFont="1" applyFill="1" applyBorder="1" applyAlignment="1" applyProtection="1">
      <alignment horizontal="right" wrapText="1"/>
      <protection hidden="1"/>
    </xf>
    <xf numFmtId="167" fontId="8" fillId="2" borderId="1" xfId="16" applyFont="1" applyFill="1" applyBorder="1" applyAlignment="1" applyProtection="1">
      <alignment horizontal="right" wrapText="1"/>
      <protection hidden="1"/>
    </xf>
    <xf numFmtId="3" fontId="8" fillId="2" borderId="6" xfId="0" applyNumberFormat="1" applyFont="1" applyFill="1" applyBorder="1" applyAlignment="1" applyProtection="1">
      <alignment vertical="center"/>
      <protection hidden="1"/>
    </xf>
    <xf numFmtId="3" fontId="8" fillId="2" borderId="0" xfId="0" applyNumberFormat="1" applyFont="1" applyFill="1" applyAlignment="1" applyProtection="1">
      <alignment vertical="center"/>
      <protection hidden="1"/>
    </xf>
    <xf numFmtId="3" fontId="8" fillId="2" borderId="14" xfId="0" applyNumberFormat="1" applyFont="1" applyFill="1" applyBorder="1" applyAlignment="1" applyProtection="1">
      <alignment vertical="center"/>
      <protection hidden="1"/>
    </xf>
    <xf numFmtId="3" fontId="8" fillId="2" borderId="27" xfId="0" applyNumberFormat="1" applyFont="1" applyFill="1" applyBorder="1" applyAlignment="1" applyProtection="1">
      <alignment vertical="center"/>
      <protection hidden="1"/>
    </xf>
    <xf numFmtId="167" fontId="12" fillId="2" borderId="0" xfId="16" applyFont="1" applyFill="1"/>
    <xf numFmtId="167" fontId="22" fillId="2" borderId="0" xfId="16" applyFont="1" applyFill="1" applyAlignment="1" applyProtection="1">
      <alignment horizontal="left" vertical="center" indent="1"/>
      <protection hidden="1"/>
    </xf>
    <xf numFmtId="3" fontId="22" fillId="2" borderId="6" xfId="0" applyNumberFormat="1" applyFont="1" applyFill="1" applyBorder="1" applyAlignment="1" applyProtection="1">
      <alignment vertical="center"/>
      <protection hidden="1"/>
    </xf>
    <xf numFmtId="3" fontId="22" fillId="2" borderId="0" xfId="0" applyNumberFormat="1" applyFont="1" applyFill="1" applyAlignment="1" applyProtection="1">
      <alignment vertical="center"/>
      <protection hidden="1"/>
    </xf>
    <xf numFmtId="3" fontId="22" fillId="2" borderId="14" xfId="0" applyNumberFormat="1" applyFont="1" applyFill="1" applyBorder="1" applyAlignment="1" applyProtection="1">
      <alignment vertical="center"/>
      <protection hidden="1"/>
    </xf>
    <xf numFmtId="167" fontId="95" fillId="2" borderId="0" xfId="15" applyFont="1" applyFill="1" applyAlignment="1" applyProtection="1">
      <alignment horizontal="right" vertical="center" indent="1"/>
      <protection hidden="1"/>
    </xf>
    <xf numFmtId="167" fontId="96" fillId="3" borderId="0" xfId="16" applyFont="1" applyFill="1" applyAlignment="1">
      <alignment horizontal="right"/>
    </xf>
    <xf numFmtId="167" fontId="4" fillId="3" borderId="28" xfId="16" applyFill="1" applyBorder="1" applyAlignment="1">
      <alignment horizontal="center" vertical="center"/>
    </xf>
    <xf numFmtId="167" fontId="39" fillId="3" borderId="28" xfId="16" applyFont="1" applyFill="1" applyBorder="1" applyAlignment="1" applyProtection="1">
      <alignment horizontal="center" vertical="center"/>
      <protection hidden="1"/>
    </xf>
    <xf numFmtId="3" fontId="39" fillId="3" borderId="28" xfId="0" applyNumberFormat="1" applyFont="1" applyFill="1" applyBorder="1" applyAlignment="1" applyProtection="1">
      <alignment horizontal="center" vertical="center"/>
      <protection hidden="1"/>
    </xf>
    <xf numFmtId="167" fontId="22" fillId="2" borderId="1" xfId="16" applyFont="1" applyFill="1" applyBorder="1" applyAlignment="1" applyProtection="1">
      <alignment horizontal="left" vertical="center" indent="1"/>
      <protection hidden="1"/>
    </xf>
    <xf numFmtId="3" fontId="22" fillId="2" borderId="7" xfId="0" applyNumberFormat="1" applyFont="1" applyFill="1" applyBorder="1" applyAlignment="1" applyProtection="1">
      <alignment vertical="center"/>
      <protection hidden="1"/>
    </xf>
    <xf numFmtId="3" fontId="22" fillId="2" borderId="1" xfId="0" applyNumberFormat="1" applyFont="1" applyFill="1" applyBorder="1" applyAlignment="1" applyProtection="1">
      <alignment vertical="center"/>
      <protection hidden="1"/>
    </xf>
    <xf numFmtId="3" fontId="22" fillId="2" borderId="26" xfId="0" applyNumberFormat="1" applyFont="1" applyFill="1" applyBorder="1" applyAlignment="1" applyProtection="1">
      <alignment vertical="center"/>
      <protection hidden="1"/>
    </xf>
    <xf numFmtId="167" fontId="95" fillId="2" borderId="1" xfId="15" applyFont="1" applyFill="1" applyBorder="1" applyAlignment="1" applyProtection="1">
      <alignment horizontal="right" vertical="center" indent="1"/>
      <protection hidden="1"/>
    </xf>
    <xf numFmtId="167" fontId="30" fillId="2" borderId="0" xfId="0" applyNumberFormat="1" applyFont="1" applyFill="1" applyAlignment="1">
      <alignment horizontal="left" vertical="center"/>
    </xf>
    <xf numFmtId="167" fontId="95" fillId="2" borderId="0" xfId="15" applyFont="1" applyFill="1" applyAlignment="1" applyProtection="1">
      <alignment horizontal="right" vertical="center"/>
      <protection hidden="1"/>
    </xf>
    <xf numFmtId="167" fontId="4" fillId="2" borderId="0" xfId="16" applyFill="1" applyAlignment="1">
      <alignment horizontal="center" vertical="center"/>
    </xf>
    <xf numFmtId="167" fontId="99" fillId="2" borderId="0" xfId="16" applyFont="1" applyFill="1"/>
    <xf numFmtId="3" fontId="18" fillId="2" borderId="0" xfId="15" applyNumberFormat="1" applyFont="1" applyFill="1" applyAlignment="1" applyProtection="1">
      <alignment vertical="center"/>
      <protection hidden="1"/>
    </xf>
    <xf numFmtId="3" fontId="18" fillId="2" borderId="0" xfId="0" applyNumberFormat="1" applyFont="1" applyFill="1" applyAlignment="1" applyProtection="1">
      <alignment vertical="center"/>
      <protection hidden="1"/>
    </xf>
    <xf numFmtId="167" fontId="91" fillId="2" borderId="0" xfId="16" applyFont="1" applyFill="1" applyAlignment="1" applyProtection="1">
      <alignment horizontal="left" vertical="center"/>
      <protection hidden="1"/>
    </xf>
    <xf numFmtId="3" fontId="91" fillId="2" borderId="0" xfId="0" applyNumberFormat="1" applyFont="1" applyFill="1" applyAlignment="1" applyProtection="1">
      <alignment vertical="center"/>
      <protection hidden="1"/>
    </xf>
    <xf numFmtId="3" fontId="91" fillId="3" borderId="0" xfId="0" applyNumberFormat="1" applyFont="1" applyFill="1" applyAlignment="1" applyProtection="1">
      <alignment vertical="center"/>
      <protection hidden="1"/>
    </xf>
    <xf numFmtId="167" fontId="97" fillId="2" borderId="0" xfId="16" applyFont="1" applyFill="1" applyAlignment="1">
      <alignment horizontal="center" vertical="center"/>
    </xf>
    <xf numFmtId="167" fontId="92" fillId="2" borderId="0" xfId="16" applyFont="1" applyFill="1" applyAlignment="1" applyProtection="1">
      <alignment horizontal="left" vertical="center"/>
      <protection hidden="1"/>
    </xf>
    <xf numFmtId="167" fontId="97" fillId="3" borderId="0" xfId="16" applyFont="1" applyFill="1" applyAlignment="1">
      <alignment horizontal="center" vertical="center"/>
    </xf>
    <xf numFmtId="167" fontId="37" fillId="2" borderId="0" xfId="16" applyFont="1" applyFill="1" applyAlignment="1" applyProtection="1">
      <alignment horizontal="center" vertical="center"/>
      <protection hidden="1"/>
    </xf>
    <xf numFmtId="167" fontId="17" fillId="2" borderId="0" xfId="15" applyFont="1" applyFill="1" applyAlignment="1" applyProtection="1">
      <alignment horizontal="right" vertical="center"/>
      <protection hidden="1"/>
    </xf>
    <xf numFmtId="167" fontId="91" fillId="2" borderId="0" xfId="16" applyFont="1" applyFill="1" applyAlignment="1" applyProtection="1">
      <alignment horizontal="right"/>
      <protection hidden="1"/>
    </xf>
    <xf numFmtId="167" fontId="91" fillId="2" borderId="0" xfId="16" applyFont="1" applyFill="1" applyAlignment="1" applyProtection="1">
      <alignment horizontal="right" wrapText="1"/>
      <protection hidden="1"/>
    </xf>
    <xf numFmtId="3" fontId="92" fillId="2" borderId="0" xfId="0" applyNumberFormat="1" applyFont="1" applyFill="1" applyAlignment="1" applyProtection="1">
      <alignment vertical="center"/>
      <protection hidden="1"/>
    </xf>
    <xf numFmtId="167" fontId="91" fillId="3" borderId="0" xfId="16" applyFont="1" applyFill="1" applyAlignment="1" applyProtection="1">
      <alignment horizontal="right" vertical="center"/>
      <protection hidden="1"/>
    </xf>
    <xf numFmtId="167" fontId="92" fillId="3" borderId="0" xfId="16" applyFont="1" applyFill="1" applyAlignment="1" applyProtection="1">
      <alignment horizontal="right" vertical="center"/>
      <protection hidden="1"/>
    </xf>
    <xf numFmtId="3" fontId="101" fillId="3" borderId="0" xfId="15" applyNumberFormat="1" applyFont="1" applyFill="1" applyAlignment="1">
      <alignment horizontal="right" vertical="center"/>
    </xf>
    <xf numFmtId="3" fontId="102" fillId="3" borderId="0" xfId="15" applyNumberFormat="1" applyFont="1" applyFill="1" applyAlignment="1">
      <alignment horizontal="right" vertical="center"/>
    </xf>
    <xf numFmtId="1" fontId="102" fillId="3" borderId="0" xfId="15" applyNumberFormat="1" applyFont="1" applyFill="1" applyAlignment="1">
      <alignment horizontal="right" vertical="center"/>
    </xf>
    <xf numFmtId="3" fontId="102" fillId="3" borderId="0" xfId="15" applyNumberFormat="1" applyFont="1" applyFill="1" applyAlignment="1" applyProtection="1">
      <alignment horizontal="right" vertical="center"/>
      <protection locked="0"/>
    </xf>
    <xf numFmtId="1" fontId="101" fillId="3" borderId="0" xfId="15" applyNumberFormat="1" applyFont="1" applyFill="1" applyAlignment="1">
      <alignment horizontal="right" vertical="center"/>
    </xf>
    <xf numFmtId="167" fontId="29" fillId="3" borderId="0" xfId="16" applyFont="1" applyFill="1"/>
    <xf numFmtId="167" fontId="91" fillId="3" borderId="0" xfId="16" applyFont="1" applyFill="1" applyAlignment="1">
      <alignment horizontal="center" vertical="center"/>
    </xf>
    <xf numFmtId="167" fontId="91" fillId="3" borderId="9" xfId="16" applyFont="1" applyFill="1" applyBorder="1" applyAlignment="1">
      <alignment horizontal="center" vertical="center"/>
    </xf>
    <xf numFmtId="167" fontId="91" fillId="3" borderId="24" xfId="16" applyFont="1" applyFill="1" applyBorder="1" applyAlignment="1">
      <alignment horizontal="center" vertical="center"/>
    </xf>
    <xf numFmtId="167" fontId="9" fillId="3" borderId="0" xfId="16" applyFont="1" applyFill="1" applyAlignment="1">
      <alignment vertical="center"/>
    </xf>
    <xf numFmtId="167" fontId="91" fillId="3" borderId="1" xfId="16" applyFont="1" applyFill="1" applyBorder="1" applyAlignment="1">
      <alignment horizontal="right" vertical="top"/>
    </xf>
    <xf numFmtId="167" fontId="91" fillId="3" borderId="7" xfId="16" applyFont="1" applyFill="1" applyBorder="1" applyAlignment="1">
      <alignment horizontal="right" vertical="top"/>
    </xf>
    <xf numFmtId="167" fontId="91" fillId="3" borderId="1" xfId="16" applyFont="1" applyFill="1" applyBorder="1" applyAlignment="1">
      <alignment horizontal="right" vertical="center"/>
    </xf>
    <xf numFmtId="167" fontId="91" fillId="3" borderId="29" xfId="16" applyFont="1" applyFill="1" applyBorder="1" applyAlignment="1">
      <alignment horizontal="right" vertical="center"/>
    </xf>
    <xf numFmtId="167" fontId="91" fillId="3" borderId="30" xfId="16" applyFont="1" applyFill="1" applyBorder="1" applyAlignment="1">
      <alignment horizontal="right" vertical="center"/>
    </xf>
    <xf numFmtId="1" fontId="37" fillId="3" borderId="0" xfId="16" applyNumberFormat="1" applyFont="1" applyFill="1" applyAlignment="1">
      <alignment vertical="center"/>
    </xf>
    <xf numFmtId="3" fontId="91" fillId="3" borderId="0" xfId="0" applyNumberFormat="1" applyFont="1" applyFill="1" applyAlignment="1">
      <alignment horizontal="right" vertical="center"/>
    </xf>
    <xf numFmtId="3" fontId="37" fillId="3" borderId="0" xfId="0" applyNumberFormat="1" applyFont="1" applyFill="1" applyAlignment="1">
      <alignment horizontal="right" vertical="center"/>
    </xf>
    <xf numFmtId="3" fontId="37" fillId="3" borderId="6" xfId="0" applyNumberFormat="1" applyFont="1" applyFill="1" applyBorder="1" applyAlignment="1">
      <alignment horizontal="right" vertical="center"/>
    </xf>
    <xf numFmtId="1" fontId="9" fillId="3" borderId="0" xfId="16" applyNumberFormat="1" applyFont="1" applyFill="1" applyAlignment="1">
      <alignment horizontal="center" vertical="center"/>
    </xf>
    <xf numFmtId="1" fontId="39" fillId="3" borderId="0" xfId="16" applyNumberFormat="1" applyFont="1" applyFill="1" applyAlignment="1">
      <alignment horizontal="left" vertical="center"/>
    </xf>
    <xf numFmtId="174" fontId="92" fillId="3" borderId="0" xfId="10" applyNumberFormat="1" applyFont="1" applyFill="1" applyAlignment="1">
      <alignment horizontal="right" vertical="center"/>
    </xf>
    <xf numFmtId="174" fontId="39" fillId="3" borderId="0" xfId="10" applyNumberFormat="1" applyFont="1" applyFill="1" applyAlignment="1">
      <alignment horizontal="right" vertical="center"/>
    </xf>
    <xf numFmtId="174" fontId="39" fillId="3" borderId="0" xfId="10" applyNumberFormat="1" applyFont="1" applyFill="1" applyBorder="1" applyAlignment="1">
      <alignment horizontal="right" vertical="center"/>
    </xf>
    <xf numFmtId="3" fontId="39" fillId="3" borderId="0" xfId="15" applyNumberFormat="1" applyFont="1" applyFill="1" applyAlignment="1">
      <alignment horizontal="right" vertical="center"/>
    </xf>
    <xf numFmtId="3" fontId="39" fillId="3" borderId="6" xfId="15" applyNumberFormat="1" applyFont="1" applyFill="1" applyBorder="1" applyAlignment="1">
      <alignment horizontal="right" vertical="center"/>
    </xf>
    <xf numFmtId="1" fontId="29" fillId="3" borderId="0" xfId="16" applyNumberFormat="1" applyFont="1" applyFill="1" applyAlignment="1">
      <alignment horizontal="center" vertical="center"/>
    </xf>
    <xf numFmtId="3" fontId="91" fillId="3" borderId="0" xfId="15" applyNumberFormat="1" applyFont="1" applyFill="1" applyAlignment="1">
      <alignment horizontal="right" vertical="center"/>
    </xf>
    <xf numFmtId="3" fontId="37" fillId="3" borderId="0" xfId="15" applyNumberFormat="1" applyFont="1" applyFill="1" applyAlignment="1">
      <alignment horizontal="right" vertical="center"/>
    </xf>
    <xf numFmtId="3" fontId="37" fillId="3" borderId="6" xfId="15" applyNumberFormat="1" applyFont="1" applyFill="1" applyBorder="1" applyAlignment="1">
      <alignment horizontal="right" vertical="center"/>
    </xf>
    <xf numFmtId="3" fontId="92" fillId="3" borderId="0" xfId="15" applyNumberFormat="1" applyFont="1" applyFill="1" applyAlignment="1" applyProtection="1">
      <alignment horizontal="right" vertical="center"/>
      <protection locked="0"/>
    </xf>
    <xf numFmtId="3" fontId="39" fillId="3" borderId="0" xfId="15" applyNumberFormat="1" applyFont="1" applyFill="1" applyAlignment="1" applyProtection="1">
      <alignment horizontal="right" vertical="center"/>
      <protection locked="0"/>
    </xf>
    <xf numFmtId="3" fontId="39" fillId="3" borderId="6" xfId="15" applyNumberFormat="1" applyFont="1" applyFill="1" applyBorder="1" applyAlignment="1" applyProtection="1">
      <alignment horizontal="right" vertical="center"/>
      <protection locked="0"/>
    </xf>
    <xf numFmtId="1" fontId="91" fillId="3" borderId="0" xfId="15" applyNumberFormat="1" applyFont="1" applyFill="1" applyAlignment="1">
      <alignment horizontal="right" vertical="center"/>
    </xf>
    <xf numFmtId="1" fontId="37" fillId="3" borderId="0" xfId="15" applyNumberFormat="1" applyFont="1" applyFill="1" applyAlignment="1">
      <alignment horizontal="right" vertical="center"/>
    </xf>
    <xf numFmtId="1" fontId="37" fillId="3" borderId="6" xfId="15" applyNumberFormat="1" applyFont="1" applyFill="1" applyBorder="1" applyAlignment="1">
      <alignment horizontal="right" vertical="center"/>
    </xf>
    <xf numFmtId="1" fontId="37" fillId="3" borderId="0" xfId="16" applyNumberFormat="1" applyFont="1" applyFill="1" applyAlignment="1">
      <alignment horizontal="left" vertical="center"/>
    </xf>
    <xf numFmtId="49" fontId="37" fillId="3" borderId="0" xfId="15" applyNumberFormat="1" applyFont="1" applyFill="1" applyAlignment="1">
      <alignment horizontal="right" vertical="center"/>
    </xf>
    <xf numFmtId="49" fontId="37" fillId="3" borderId="6" xfId="15" applyNumberFormat="1" applyFont="1" applyFill="1" applyBorder="1" applyAlignment="1">
      <alignment horizontal="right" vertical="center"/>
    </xf>
    <xf numFmtId="1" fontId="92" fillId="3" borderId="0" xfId="15" applyNumberFormat="1" applyFont="1" applyFill="1" applyAlignment="1">
      <alignment horizontal="right" vertical="center"/>
    </xf>
    <xf numFmtId="49" fontId="39" fillId="3" borderId="0" xfId="15" applyNumberFormat="1" applyFont="1" applyFill="1" applyAlignment="1">
      <alignment horizontal="right" vertical="center"/>
    </xf>
    <xf numFmtId="1" fontId="39" fillId="3" borderId="0" xfId="15" applyNumberFormat="1" applyFont="1" applyFill="1" applyAlignment="1">
      <alignment horizontal="right" vertical="center"/>
    </xf>
    <xf numFmtId="49" fontId="39" fillId="3" borderId="6" xfId="15" applyNumberFormat="1" applyFont="1" applyFill="1" applyBorder="1" applyAlignment="1">
      <alignment horizontal="right" vertical="center"/>
    </xf>
    <xf numFmtId="1" fontId="39" fillId="3" borderId="6" xfId="15" applyNumberFormat="1" applyFont="1" applyFill="1" applyBorder="1" applyAlignment="1">
      <alignment horizontal="right" vertical="center"/>
    </xf>
    <xf numFmtId="1" fontId="65" fillId="3" borderId="0" xfId="15" applyNumberFormat="1" applyFont="1" applyFill="1" applyAlignment="1">
      <alignment horizontal="right" vertical="center"/>
    </xf>
    <xf numFmtId="1" fontId="39" fillId="3" borderId="1" xfId="16" applyNumberFormat="1" applyFont="1" applyFill="1" applyBorder="1" applyAlignment="1">
      <alignment horizontal="left" vertical="center"/>
    </xf>
    <xf numFmtId="1" fontId="92" fillId="3" borderId="1" xfId="15" applyNumberFormat="1" applyFont="1" applyFill="1" applyBorder="1" applyAlignment="1">
      <alignment horizontal="right" vertical="center"/>
    </xf>
    <xf numFmtId="49" fontId="39" fillId="3" borderId="1" xfId="15" applyNumberFormat="1" applyFont="1" applyFill="1" applyBorder="1" applyAlignment="1">
      <alignment horizontal="right" vertical="center"/>
    </xf>
    <xf numFmtId="1" fontId="39" fillId="3" borderId="1" xfId="15" applyNumberFormat="1" applyFont="1" applyFill="1" applyBorder="1" applyAlignment="1">
      <alignment horizontal="right" vertical="center"/>
    </xf>
    <xf numFmtId="49" fontId="39" fillId="3" borderId="7" xfId="15" applyNumberFormat="1" applyFont="1" applyFill="1" applyBorder="1" applyAlignment="1">
      <alignment horizontal="right" vertical="center"/>
    </xf>
    <xf numFmtId="1" fontId="39" fillId="3" borderId="7" xfId="15" applyNumberFormat="1" applyFont="1" applyFill="1" applyBorder="1" applyAlignment="1">
      <alignment horizontal="right" vertical="center"/>
    </xf>
    <xf numFmtId="167" fontId="28" fillId="3" borderId="0" xfId="15" applyFont="1" applyFill="1" applyAlignment="1" applyProtection="1">
      <alignment vertical="center"/>
      <protection hidden="1"/>
    </xf>
    <xf numFmtId="167" fontId="18" fillId="3" borderId="0" xfId="16" applyFont="1" applyFill="1" applyAlignment="1">
      <alignment vertical="center"/>
    </xf>
    <xf numFmtId="167" fontId="24" fillId="3" borderId="0" xfId="16" applyFont="1" applyFill="1" applyAlignment="1">
      <alignment vertical="center"/>
    </xf>
    <xf numFmtId="167" fontId="40" fillId="3" borderId="0" xfId="16" applyFont="1" applyFill="1" applyAlignment="1">
      <alignment vertical="center"/>
    </xf>
    <xf numFmtId="167" fontId="29" fillId="3" borderId="0" xfId="16" applyFont="1" applyFill="1" applyAlignment="1">
      <alignment vertical="center"/>
    </xf>
    <xf numFmtId="167" fontId="25" fillId="3" borderId="0" xfId="16" applyFont="1" applyFill="1"/>
    <xf numFmtId="0" fontId="29" fillId="3" borderId="0" xfId="17" applyFill="1"/>
    <xf numFmtId="1" fontId="18" fillId="3" borderId="0" xfId="16" applyNumberFormat="1" applyFont="1" applyFill="1" applyAlignment="1">
      <alignment horizontal="right" vertical="center"/>
    </xf>
    <xf numFmtId="1" fontId="29" fillId="3" borderId="0" xfId="16" applyNumberFormat="1" applyFont="1" applyFill="1"/>
    <xf numFmtId="1" fontId="29" fillId="3" borderId="0" xfId="17" applyNumberFormat="1" applyFill="1"/>
    <xf numFmtId="167" fontId="103" fillId="3" borderId="0" xfId="16" applyFont="1" applyFill="1"/>
    <xf numFmtId="167" fontId="104" fillId="3" borderId="0" xfId="15" applyFont="1" applyFill="1"/>
    <xf numFmtId="167" fontId="62" fillId="3" borderId="0" xfId="0" applyNumberFormat="1" applyFont="1" applyFill="1" applyAlignment="1">
      <alignment horizontal="right" vertical="center"/>
    </xf>
    <xf numFmtId="167" fontId="62" fillId="3" borderId="9" xfId="0" applyNumberFormat="1" applyFont="1" applyFill="1" applyBorder="1" applyAlignment="1">
      <alignment horizontal="center" vertical="center"/>
    </xf>
    <xf numFmtId="167" fontId="60" fillId="3" borderId="24" xfId="0" applyNumberFormat="1" applyFont="1" applyFill="1" applyBorder="1" applyAlignment="1">
      <alignment vertical="center"/>
    </xf>
    <xf numFmtId="167" fontId="61" fillId="3" borderId="6" xfId="0" applyNumberFormat="1" applyFont="1" applyFill="1" applyBorder="1" applyAlignment="1">
      <alignment vertical="center"/>
    </xf>
    <xf numFmtId="167" fontId="59" fillId="3" borderId="1" xfId="0" applyNumberFormat="1" applyFont="1" applyFill="1" applyBorder="1" applyAlignment="1">
      <alignment horizontal="right" vertical="center" wrapText="1"/>
    </xf>
    <xf numFmtId="167" fontId="59" fillId="3" borderId="0" xfId="0" applyNumberFormat="1" applyFont="1" applyFill="1" applyAlignment="1">
      <alignment horizontal="right" vertical="center"/>
    </xf>
    <xf numFmtId="167" fontId="59" fillId="3" borderId="0" xfId="0" applyNumberFormat="1" applyFont="1" applyFill="1" applyAlignment="1">
      <alignment horizontal="right" vertical="center" wrapText="1"/>
    </xf>
    <xf numFmtId="167" fontId="59" fillId="3" borderId="6" xfId="0" applyNumberFormat="1" applyFont="1" applyFill="1" applyBorder="1" applyAlignment="1">
      <alignment horizontal="right" vertical="center"/>
    </xf>
    <xf numFmtId="3" fontId="59" fillId="3" borderId="0" xfId="0" applyNumberFormat="1" applyFont="1" applyFill="1" applyAlignment="1">
      <alignment vertical="center"/>
    </xf>
    <xf numFmtId="3" fontId="101" fillId="3" borderId="0" xfId="0" applyNumberFormat="1" applyFont="1" applyFill="1" applyAlignment="1">
      <alignment vertical="center"/>
    </xf>
    <xf numFmtId="3" fontId="102" fillId="3" borderId="0" xfId="0" applyNumberFormat="1" applyFont="1" applyFill="1" applyAlignment="1" applyProtection="1">
      <alignment vertical="center"/>
      <protection locked="0"/>
    </xf>
    <xf numFmtId="3" fontId="102" fillId="3" borderId="0" xfId="0" applyNumberFormat="1" applyFont="1" applyFill="1" applyAlignment="1">
      <alignment vertical="center"/>
    </xf>
    <xf numFmtId="3" fontId="102" fillId="3" borderId="0" xfId="0" applyNumberFormat="1" applyFont="1" applyFill="1" applyAlignment="1" applyProtection="1">
      <alignment horizontal="right" vertical="center"/>
      <protection locked="0"/>
    </xf>
    <xf numFmtId="3" fontId="18" fillId="3" borderId="0" xfId="0" applyNumberFormat="1" applyFont="1" applyFill="1" applyAlignment="1">
      <alignment vertical="center"/>
    </xf>
    <xf numFmtId="167" fontId="104" fillId="3" borderId="0" xfId="0" applyNumberFormat="1" applyFont="1" applyFill="1"/>
    <xf numFmtId="167" fontId="107" fillId="3" borderId="0" xfId="0" applyNumberFormat="1" applyFont="1" applyFill="1"/>
    <xf numFmtId="167" fontId="76" fillId="3" borderId="0" xfId="0" applyNumberFormat="1" applyFont="1" applyFill="1" applyAlignment="1">
      <alignment vertical="center"/>
    </xf>
    <xf numFmtId="167" fontId="109" fillId="3" borderId="0" xfId="0" applyNumberFormat="1" applyFont="1" applyFill="1"/>
    <xf numFmtId="167" fontId="76" fillId="3" borderId="0" xfId="0" applyNumberFormat="1" applyFont="1" applyFill="1" applyAlignment="1">
      <alignment horizontal="left" vertical="center"/>
    </xf>
    <xf numFmtId="167" fontId="77" fillId="3" borderId="0" xfId="0" applyNumberFormat="1" applyFont="1" applyFill="1" applyAlignment="1" applyProtection="1">
      <alignment horizontal="right"/>
      <protection hidden="1"/>
    </xf>
    <xf numFmtId="167" fontId="106" fillId="3" borderId="0" xfId="0" applyNumberFormat="1" applyFont="1" applyFill="1"/>
    <xf numFmtId="167" fontId="108" fillId="3" borderId="0" xfId="0" applyNumberFormat="1" applyFont="1" applyFill="1" applyAlignment="1" applyProtection="1">
      <alignment horizontal="right" vertical="top"/>
      <protection hidden="1"/>
    </xf>
    <xf numFmtId="167" fontId="108" fillId="3" borderId="0" xfId="15" applyFont="1" applyFill="1" applyAlignment="1" applyProtection="1">
      <alignment horizontal="right"/>
      <protection hidden="1"/>
    </xf>
    <xf numFmtId="167" fontId="29" fillId="2" borderId="0" xfId="0" applyNumberFormat="1" applyFont="1" applyFill="1" applyAlignment="1">
      <alignment vertical="top"/>
    </xf>
    <xf numFmtId="167" fontId="9" fillId="2" borderId="0" xfId="0" applyNumberFormat="1" applyFont="1" applyFill="1" applyAlignment="1">
      <alignment vertical="center"/>
    </xf>
    <xf numFmtId="167" fontId="37" fillId="2" borderId="23" xfId="0" applyNumberFormat="1" applyFont="1" applyFill="1" applyBorder="1" applyAlignment="1">
      <alignment horizontal="center" vertical="center" wrapText="1"/>
    </xf>
    <xf numFmtId="167" fontId="37" fillId="2" borderId="23" xfId="0" applyNumberFormat="1" applyFont="1" applyFill="1" applyBorder="1" applyAlignment="1">
      <alignment horizontal="right" vertical="center"/>
    </xf>
    <xf numFmtId="167" fontId="37" fillId="2" borderId="23" xfId="0" applyNumberFormat="1" applyFont="1" applyFill="1" applyBorder="1" applyAlignment="1">
      <alignment vertical="center"/>
    </xf>
    <xf numFmtId="167" fontId="8" fillId="2" borderId="0" xfId="0" applyNumberFormat="1" applyFont="1" applyFill="1" applyAlignment="1">
      <alignment horizontal="left" vertical="center"/>
    </xf>
    <xf numFmtId="167" fontId="8" fillId="2" borderId="0" xfId="0" applyNumberFormat="1" applyFont="1" applyFill="1" applyAlignment="1">
      <alignment vertical="center"/>
    </xf>
    <xf numFmtId="3" fontId="8" fillId="2" borderId="0" xfId="0" applyNumberFormat="1" applyFont="1" applyFill="1" applyAlignment="1">
      <alignment vertical="center"/>
    </xf>
    <xf numFmtId="3" fontId="8" fillId="2" borderId="0" xfId="0" applyNumberFormat="1" applyFont="1" applyFill="1" applyAlignment="1">
      <alignment horizontal="right" vertical="center"/>
    </xf>
    <xf numFmtId="167" fontId="22" fillId="2" borderId="0" xfId="0" applyNumberFormat="1" applyFont="1" applyFill="1" applyAlignment="1">
      <alignment horizontal="left" vertical="center"/>
    </xf>
    <xf numFmtId="3" fontId="22" fillId="2" borderId="0" xfId="0" applyNumberFormat="1" applyFont="1" applyFill="1" applyAlignment="1" applyProtection="1">
      <alignment horizontal="right" vertical="center"/>
      <protection locked="0"/>
    </xf>
    <xf numFmtId="3" fontId="22" fillId="2" borderId="0" xfId="0" applyNumberFormat="1" applyFont="1" applyFill="1" applyAlignment="1">
      <alignment vertical="center"/>
    </xf>
    <xf numFmtId="3" fontId="22" fillId="2" borderId="0" xfId="0" applyNumberFormat="1" applyFont="1" applyFill="1" applyAlignment="1">
      <alignment horizontal="right" vertical="center"/>
    </xf>
    <xf numFmtId="167" fontId="29" fillId="2" borderId="0" xfId="0" applyNumberFormat="1" applyFont="1" applyFill="1" applyAlignment="1">
      <alignment vertical="center"/>
    </xf>
    <xf numFmtId="3" fontId="22" fillId="2" borderId="0" xfId="0" applyNumberFormat="1" applyFont="1" applyFill="1" applyAlignment="1" applyProtection="1">
      <alignment vertical="center"/>
      <protection locked="0"/>
    </xf>
    <xf numFmtId="3" fontId="22" fillId="2" borderId="0" xfId="0" applyNumberFormat="1" applyFont="1" applyFill="1" applyProtection="1">
      <protection locked="0"/>
    </xf>
    <xf numFmtId="3" fontId="22" fillId="2" borderId="0" xfId="0" applyNumberFormat="1" applyFont="1" applyFill="1" applyAlignment="1" applyProtection="1">
      <alignment horizontal="right"/>
      <protection locked="0"/>
    </xf>
    <xf numFmtId="167" fontId="29" fillId="2" borderId="0" xfId="0" applyNumberFormat="1" applyFont="1" applyFill="1"/>
    <xf numFmtId="3" fontId="22" fillId="2" borderId="0" xfId="0" applyNumberFormat="1" applyFont="1" applyFill="1"/>
    <xf numFmtId="3" fontId="22" fillId="2" borderId="0" xfId="0" applyNumberFormat="1" applyFont="1" applyFill="1" applyAlignment="1">
      <alignment horizontal="right"/>
    </xf>
    <xf numFmtId="3" fontId="92" fillId="2" borderId="1" xfId="0" applyNumberFormat="1" applyFont="1" applyFill="1" applyBorder="1" applyAlignment="1" applyProtection="1">
      <alignment horizontal="right"/>
      <protection locked="0"/>
    </xf>
    <xf numFmtId="3" fontId="92" fillId="2" borderId="1" xfId="0" applyNumberFormat="1" applyFont="1" applyFill="1" applyBorder="1" applyProtection="1">
      <protection locked="0"/>
    </xf>
    <xf numFmtId="3" fontId="93" fillId="3" borderId="0" xfId="0" applyNumberFormat="1" applyFont="1" applyFill="1" applyAlignment="1">
      <alignment horizontal="right" vertical="center"/>
    </xf>
    <xf numFmtId="3" fontId="93" fillId="3" borderId="6" xfId="0" applyNumberFormat="1" applyFont="1" applyFill="1" applyBorder="1" applyAlignment="1">
      <alignment horizontal="right" vertical="center"/>
    </xf>
    <xf numFmtId="167" fontId="29" fillId="3" borderId="0" xfId="0" applyNumberFormat="1" applyFont="1" applyFill="1"/>
    <xf numFmtId="167" fontId="101" fillId="3" borderId="0" xfId="0" applyNumberFormat="1" applyFont="1" applyFill="1" applyAlignment="1">
      <alignment horizontal="left" vertical="center"/>
    </xf>
    <xf numFmtId="167" fontId="101" fillId="3" borderId="0" xfId="0" applyNumberFormat="1" applyFont="1" applyFill="1" applyAlignment="1">
      <alignment horizontal="right" vertical="center"/>
    </xf>
    <xf numFmtId="167" fontId="101" fillId="3" borderId="0" xfId="0" applyNumberFormat="1" applyFont="1" applyFill="1" applyAlignment="1">
      <alignment horizontal="right" vertical="center" wrapText="1"/>
    </xf>
    <xf numFmtId="167" fontId="101" fillId="3" borderId="0" xfId="0" applyNumberFormat="1" applyFont="1" applyFill="1" applyAlignment="1">
      <alignment horizontal="center" vertical="center" wrapText="1"/>
    </xf>
    <xf numFmtId="0" fontId="3" fillId="3" borderId="0" xfId="0" applyFont="1" applyFill="1"/>
    <xf numFmtId="0" fontId="112" fillId="3" borderId="0" xfId="0" applyFont="1" applyFill="1"/>
    <xf numFmtId="3" fontId="3" fillId="3" borderId="0" xfId="0" applyNumberFormat="1" applyFont="1" applyFill="1"/>
    <xf numFmtId="0" fontId="3" fillId="3" borderId="0" xfId="0" applyFont="1" applyFill="1" applyAlignment="1">
      <alignment horizontal="center" vertical="center" wrapText="1"/>
    </xf>
    <xf numFmtId="0" fontId="3" fillId="3" borderId="23" xfId="0" applyFont="1" applyFill="1" applyBorder="1" applyAlignment="1">
      <alignment horizontal="right" vertical="center" wrapText="1"/>
    </xf>
    <xf numFmtId="0" fontId="3" fillId="3" borderId="23" xfId="0" applyFont="1" applyFill="1" applyBorder="1" applyAlignment="1">
      <alignment horizontal="right" vertical="center"/>
    </xf>
    <xf numFmtId="0" fontId="0" fillId="3" borderId="0" xfId="0" applyFill="1" applyAlignment="1">
      <alignment horizontal="right" vertical="center"/>
    </xf>
    <xf numFmtId="0" fontId="3" fillId="3" borderId="0" xfId="0" applyFont="1" applyFill="1" applyAlignment="1">
      <alignment horizontal="right" vertical="center"/>
    </xf>
    <xf numFmtId="0" fontId="3" fillId="3" borderId="0" xfId="0" applyFont="1" applyFill="1" applyAlignment="1">
      <alignment horizontal="right" vertical="center" wrapText="1"/>
    </xf>
    <xf numFmtId="3" fontId="3" fillId="3" borderId="0" xfId="0" applyNumberFormat="1" applyFont="1" applyFill="1" applyAlignment="1">
      <alignment horizontal="right" vertical="center"/>
    </xf>
    <xf numFmtId="174" fontId="3" fillId="3" borderId="0" xfId="10" applyNumberFormat="1" applyFont="1" applyFill="1" applyBorder="1"/>
    <xf numFmtId="37" fontId="0" fillId="3" borderId="0" xfId="0" applyNumberFormat="1" applyFill="1"/>
    <xf numFmtId="3" fontId="112" fillId="3" borderId="0" xfId="0" applyNumberFormat="1" applyFont="1" applyFill="1"/>
    <xf numFmtId="174" fontId="112" fillId="3" borderId="0" xfId="10" applyNumberFormat="1" applyFont="1" applyFill="1" applyBorder="1"/>
    <xf numFmtId="3" fontId="1" fillId="3" borderId="0" xfId="0" applyNumberFormat="1" applyFont="1" applyFill="1"/>
    <xf numFmtId="0" fontId="112" fillId="3" borderId="1" xfId="0" applyFont="1" applyFill="1" applyBorder="1"/>
    <xf numFmtId="174" fontId="112" fillId="3" borderId="1" xfId="10" applyNumberFormat="1" applyFont="1" applyFill="1" applyBorder="1"/>
    <xf numFmtId="3" fontId="0" fillId="3" borderId="0" xfId="0" applyNumberFormat="1" applyFill="1"/>
    <xf numFmtId="0" fontId="3" fillId="3" borderId="2" xfId="0" applyFont="1" applyFill="1" applyBorder="1" applyAlignment="1">
      <alignment horizontal="left" vertical="center" wrapText="1"/>
    </xf>
    <xf numFmtId="174" fontId="3" fillId="3" borderId="2" xfId="10" applyNumberFormat="1" applyFont="1" applyFill="1" applyBorder="1"/>
    <xf numFmtId="0" fontId="3" fillId="3" borderId="23" xfId="0" applyFont="1" applyFill="1" applyBorder="1" applyAlignment="1">
      <alignment horizontal="center" vertical="center" wrapText="1"/>
    </xf>
    <xf numFmtId="0" fontId="3" fillId="3" borderId="23" xfId="0" applyFont="1" applyFill="1" applyBorder="1"/>
    <xf numFmtId="37" fontId="3" fillId="3" borderId="2" xfId="10" applyNumberFormat="1" applyFont="1" applyFill="1" applyBorder="1"/>
    <xf numFmtId="37" fontId="112" fillId="3" borderId="0" xfId="10" applyNumberFormat="1" applyFont="1" applyFill="1" applyBorder="1"/>
    <xf numFmtId="37" fontId="112" fillId="3" borderId="1" xfId="10" applyNumberFormat="1" applyFont="1" applyFill="1" applyBorder="1"/>
    <xf numFmtId="0" fontId="114" fillId="3" borderId="0" xfId="0" applyFont="1" applyFill="1"/>
    <xf numFmtId="3" fontId="114" fillId="3" borderId="0" xfId="0" applyNumberFormat="1" applyFont="1" applyFill="1"/>
    <xf numFmtId="3" fontId="29" fillId="3" borderId="0" xfId="0" applyNumberFormat="1" applyFont="1" applyFill="1"/>
    <xf numFmtId="37" fontId="3" fillId="3" borderId="0" xfId="10" applyNumberFormat="1" applyFont="1" applyFill="1" applyBorder="1"/>
    <xf numFmtId="0" fontId="0" fillId="3" borderId="0" xfId="0" applyFill="1" applyAlignment="1">
      <alignment wrapText="1"/>
    </xf>
    <xf numFmtId="0" fontId="65" fillId="3" borderId="0" xfId="0" applyFont="1" applyFill="1"/>
    <xf numFmtId="3" fontId="65" fillId="3" borderId="0" xfId="0" applyNumberFormat="1" applyFont="1" applyFill="1"/>
    <xf numFmtId="3" fontId="115" fillId="3" borderId="0" xfId="0" applyNumberFormat="1" applyFont="1" applyFill="1"/>
    <xf numFmtId="1" fontId="0" fillId="3" borderId="0" xfId="0" applyNumberFormat="1" applyFill="1" applyAlignment="1">
      <alignment horizontal="right" vertical="center"/>
    </xf>
    <xf numFmtId="3" fontId="112" fillId="3" borderId="1" xfId="0" applyNumberFormat="1" applyFont="1" applyFill="1" applyBorder="1"/>
    <xf numFmtId="0" fontId="65" fillId="3" borderId="2" xfId="0" applyFont="1" applyFill="1" applyBorder="1" applyAlignment="1">
      <alignment horizontal="left" vertical="center" wrapText="1"/>
    </xf>
    <xf numFmtId="3" fontId="65" fillId="3" borderId="2" xfId="0" applyNumberFormat="1" applyFont="1" applyFill="1" applyBorder="1"/>
    <xf numFmtId="3" fontId="67" fillId="3" borderId="0" xfId="0" applyNumberFormat="1" applyFont="1" applyFill="1"/>
    <xf numFmtId="0" fontId="9" fillId="3" borderId="0" xfId="0" applyFont="1" applyFill="1"/>
    <xf numFmtId="3" fontId="13" fillId="3" borderId="0" xfId="0" applyNumberFormat="1" applyFont="1" applyFill="1"/>
    <xf numFmtId="0" fontId="113" fillId="3" borderId="0" xfId="0" applyFont="1" applyFill="1" applyAlignment="1">
      <alignment horizontal="center" vertical="center"/>
    </xf>
    <xf numFmtId="0" fontId="38" fillId="3" borderId="0" xfId="0" applyFont="1" applyFill="1" applyAlignment="1">
      <alignment horizontal="right" vertical="center"/>
    </xf>
    <xf numFmtId="3" fontId="0" fillId="3" borderId="0" xfId="0" applyNumberFormat="1" applyFill="1" applyAlignment="1">
      <alignment horizontal="right" vertical="center"/>
    </xf>
    <xf numFmtId="0" fontId="38" fillId="3" borderId="0" xfId="0" applyFont="1" applyFill="1"/>
    <xf numFmtId="37" fontId="38" fillId="3" borderId="0" xfId="0" applyNumberFormat="1" applyFont="1" applyFill="1"/>
    <xf numFmtId="3" fontId="3" fillId="3" borderId="2" xfId="0" applyNumberFormat="1" applyFont="1" applyFill="1" applyBorder="1"/>
    <xf numFmtId="0" fontId="112" fillId="3" borderId="0" xfId="0" applyFont="1" applyFill="1" applyAlignment="1">
      <alignment wrapText="1"/>
    </xf>
    <xf numFmtId="0" fontId="93" fillId="3" borderId="0" xfId="0" applyFont="1" applyFill="1"/>
    <xf numFmtId="3" fontId="64" fillId="3" borderId="0" xfId="0" applyNumberFormat="1" applyFont="1" applyFill="1" applyAlignment="1">
      <alignment horizontal="center" vertical="center"/>
    </xf>
    <xf numFmtId="167" fontId="39" fillId="3" borderId="0" xfId="19" applyNumberFormat="1" applyFont="1" applyFill="1" applyAlignment="1" applyProtection="1">
      <alignment vertical="center"/>
      <protection locked="0"/>
    </xf>
    <xf numFmtId="167" fontId="37" fillId="3" borderId="0" xfId="19" applyNumberFormat="1" applyFont="1" applyFill="1" applyAlignment="1" applyProtection="1">
      <alignment vertical="center"/>
      <protection locked="0"/>
    </xf>
    <xf numFmtId="167" fontId="93" fillId="3" borderId="0" xfId="19" applyNumberFormat="1" applyFont="1" applyFill="1" applyAlignment="1" applyProtection="1">
      <alignment horizontal="center" vertical="center" wrapText="1"/>
      <protection locked="0"/>
    </xf>
    <xf numFmtId="167" fontId="37" fillId="3" borderId="0" xfId="19" applyNumberFormat="1" applyFont="1" applyFill="1" applyAlignment="1" applyProtection="1">
      <alignment horizontal="center" vertical="center" wrapText="1"/>
      <protection locked="0"/>
    </xf>
    <xf numFmtId="1" fontId="37" fillId="3" borderId="2" xfId="19" applyNumberFormat="1" applyFont="1" applyFill="1" applyBorder="1" applyAlignment="1" applyProtection="1">
      <alignment horizontal="center" vertical="center" wrapText="1"/>
      <protection locked="0"/>
    </xf>
    <xf numFmtId="167" fontId="93" fillId="3" borderId="27" xfId="19" applyNumberFormat="1" applyFont="1" applyFill="1" applyBorder="1" applyAlignment="1" applyProtection="1">
      <alignment horizontal="center" vertical="center"/>
      <protection locked="0"/>
    </xf>
    <xf numFmtId="1" fontId="37" fillId="3" borderId="0" xfId="19" applyNumberFormat="1" applyFont="1" applyFill="1" applyAlignment="1" applyProtection="1">
      <alignment horizontal="center" vertical="center" wrapText="1"/>
      <protection locked="0"/>
    </xf>
    <xf numFmtId="167" fontId="93" fillId="3" borderId="0" xfId="19" applyNumberFormat="1" applyFont="1" applyFill="1" applyAlignment="1" applyProtection="1">
      <alignment horizontal="center" vertical="center"/>
      <protection locked="0"/>
    </xf>
    <xf numFmtId="167" fontId="93" fillId="3" borderId="34" xfId="19" applyNumberFormat="1" applyFont="1" applyFill="1" applyBorder="1" applyAlignment="1" applyProtection="1">
      <alignment horizontal="center" vertical="center"/>
      <protection locked="0"/>
    </xf>
    <xf numFmtId="167" fontId="13" fillId="3" borderId="0" xfId="19" applyNumberFormat="1" applyFont="1" applyFill="1" applyAlignment="1" applyProtection="1">
      <alignment horizontal="right" vertical="center"/>
      <protection locked="0"/>
    </xf>
    <xf numFmtId="167" fontId="13" fillId="3" borderId="6" xfId="19" applyNumberFormat="1" applyFont="1" applyFill="1" applyBorder="1" applyAlignment="1" applyProtection="1">
      <alignment horizontal="right" vertical="center"/>
      <protection locked="0"/>
    </xf>
    <xf numFmtId="167" fontId="13" fillId="3" borderId="14" xfId="19" applyNumberFormat="1" applyFont="1" applyFill="1" applyBorder="1" applyAlignment="1" applyProtection="1">
      <alignment horizontal="right" vertical="center"/>
      <protection locked="0"/>
    </xf>
    <xf numFmtId="1" fontId="93" fillId="3" borderId="1" xfId="19" applyNumberFormat="1" applyFont="1" applyFill="1" applyBorder="1" applyAlignment="1" applyProtection="1">
      <alignment horizontal="right" vertical="center"/>
      <protection locked="0"/>
    </xf>
    <xf numFmtId="1" fontId="93" fillId="3" borderId="7" xfId="19" applyNumberFormat="1" applyFont="1" applyFill="1" applyBorder="1" applyAlignment="1" applyProtection="1">
      <alignment horizontal="right" vertical="center"/>
      <protection locked="0"/>
    </xf>
    <xf numFmtId="1" fontId="93" fillId="3" borderId="0" xfId="19" applyNumberFormat="1" applyFont="1" applyFill="1" applyAlignment="1" applyProtection="1">
      <alignment horizontal="right" vertical="center"/>
      <protection locked="0"/>
    </xf>
    <xf numFmtId="1" fontId="37" fillId="3" borderId="1" xfId="19" applyNumberFormat="1" applyFont="1" applyFill="1" applyBorder="1" applyAlignment="1" applyProtection="1">
      <alignment horizontal="right" vertical="center"/>
      <protection locked="0"/>
    </xf>
    <xf numFmtId="1" fontId="93" fillId="3" borderId="14" xfId="19" applyNumberFormat="1" applyFont="1" applyFill="1" applyBorder="1" applyAlignment="1" applyProtection="1">
      <alignment horizontal="right" vertical="center"/>
      <protection locked="0"/>
    </xf>
    <xf numFmtId="1" fontId="93" fillId="3" borderId="6" xfId="19" applyNumberFormat="1" applyFont="1" applyFill="1" applyBorder="1" applyAlignment="1" applyProtection="1">
      <alignment horizontal="right" vertical="center"/>
      <protection locked="0"/>
    </xf>
    <xf numFmtId="1" fontId="37" fillId="3" borderId="0" xfId="19" applyNumberFormat="1" applyFont="1" applyFill="1" applyAlignment="1" applyProtection="1">
      <alignment horizontal="right" vertical="center"/>
      <protection locked="0"/>
    </xf>
    <xf numFmtId="167" fontId="37" fillId="3" borderId="0" xfId="19" applyNumberFormat="1" applyFont="1" applyFill="1" applyAlignment="1" applyProtection="1">
      <alignment horizontal="right" vertical="center"/>
      <protection locked="0"/>
    </xf>
    <xf numFmtId="167" fontId="32" fillId="3" borderId="0" xfId="19" applyNumberFormat="1" applyFont="1" applyFill="1" applyAlignment="1" applyProtection="1">
      <alignment vertical="center"/>
      <protection locked="0"/>
    </xf>
    <xf numFmtId="3" fontId="32" fillId="3" borderId="0" xfId="19" applyNumberFormat="1" applyFont="1" applyFill="1" applyAlignment="1" applyProtection="1">
      <alignment vertical="center"/>
      <protection locked="0"/>
    </xf>
    <xf numFmtId="3" fontId="32" fillId="3" borderId="0" xfId="19" applyNumberFormat="1" applyFont="1" applyFill="1" applyAlignment="1" applyProtection="1">
      <alignment horizontal="right" vertical="center"/>
      <protection hidden="1"/>
    </xf>
    <xf numFmtId="3" fontId="32" fillId="3" borderId="6" xfId="19" applyNumberFormat="1" applyFont="1" applyFill="1" applyBorder="1" applyAlignment="1" applyProtection="1">
      <alignment horizontal="right" vertical="center"/>
      <protection hidden="1"/>
    </xf>
    <xf numFmtId="3" fontId="32" fillId="3" borderId="2" xfId="19" applyNumberFormat="1" applyFont="1" applyFill="1" applyBorder="1" applyAlignment="1" applyProtection="1">
      <alignment horizontal="right" vertical="center"/>
      <protection hidden="1"/>
    </xf>
    <xf numFmtId="1" fontId="8" fillId="3" borderId="0" xfId="19" applyNumberFormat="1" applyFont="1" applyFill="1" applyAlignment="1" applyProtection="1">
      <alignment vertical="center"/>
      <protection locked="0"/>
    </xf>
    <xf numFmtId="3" fontId="32" fillId="3" borderId="27" xfId="19" applyNumberFormat="1" applyFont="1" applyFill="1" applyBorder="1" applyAlignment="1" applyProtection="1">
      <alignment horizontal="right" vertical="center"/>
      <protection hidden="1"/>
    </xf>
    <xf numFmtId="1" fontId="37" fillId="3" borderId="0" xfId="19" applyNumberFormat="1" applyFont="1" applyFill="1" applyAlignment="1" applyProtection="1">
      <alignment vertical="center"/>
      <protection locked="0"/>
    </xf>
    <xf numFmtId="167" fontId="37" fillId="3" borderId="0" xfId="19" applyNumberFormat="1" applyFont="1" applyFill="1" applyAlignment="1" applyProtection="1">
      <alignment vertical="center"/>
      <protection hidden="1"/>
    </xf>
    <xf numFmtId="3" fontId="32" fillId="3" borderId="0" xfId="19" applyNumberFormat="1" applyFont="1" applyFill="1" applyAlignment="1" applyProtection="1">
      <alignment horizontal="right" vertical="center"/>
      <protection locked="0"/>
    </xf>
    <xf numFmtId="3" fontId="32" fillId="3" borderId="6" xfId="19" applyNumberFormat="1" applyFont="1" applyFill="1" applyBorder="1" applyAlignment="1" applyProtection="1">
      <alignment horizontal="right" vertical="center"/>
      <protection locked="0"/>
    </xf>
    <xf numFmtId="3" fontId="32" fillId="3" borderId="14" xfId="19" applyNumberFormat="1" applyFont="1" applyFill="1" applyBorder="1" applyAlignment="1" applyProtection="1">
      <alignment horizontal="right" vertical="center"/>
      <protection locked="0"/>
    </xf>
    <xf numFmtId="1" fontId="22" fillId="3" borderId="0" xfId="19" applyNumberFormat="1" applyFont="1" applyFill="1" applyAlignment="1" applyProtection="1">
      <alignment vertical="center"/>
      <protection locked="0"/>
    </xf>
    <xf numFmtId="167" fontId="32" fillId="3" borderId="0" xfId="19" applyNumberFormat="1" applyFont="1" applyFill="1" applyAlignment="1" applyProtection="1">
      <alignment horizontal="left" vertical="center"/>
      <protection locked="0"/>
    </xf>
    <xf numFmtId="3" fontId="32" fillId="3" borderId="14" xfId="19" applyNumberFormat="1" applyFont="1" applyFill="1" applyBorder="1" applyAlignment="1" applyProtection="1">
      <alignment horizontal="right" vertical="center"/>
      <protection hidden="1"/>
    </xf>
    <xf numFmtId="1" fontId="39" fillId="3" borderId="0" xfId="19" applyNumberFormat="1" applyFont="1" applyFill="1" applyAlignment="1" applyProtection="1">
      <alignment vertical="center"/>
      <protection locked="0"/>
    </xf>
    <xf numFmtId="167" fontId="33" fillId="3" borderId="0" xfId="19" applyNumberFormat="1" applyFont="1" applyFill="1" applyAlignment="1" applyProtection="1">
      <alignment horizontal="left" vertical="center" indent="1"/>
      <protection locked="0"/>
    </xf>
    <xf numFmtId="3" fontId="33" fillId="3" borderId="0" xfId="19" applyNumberFormat="1" applyFont="1" applyFill="1" applyAlignment="1" applyProtection="1">
      <alignment vertical="center"/>
      <protection locked="0"/>
    </xf>
    <xf numFmtId="3" fontId="33" fillId="3" borderId="0" xfId="19" applyNumberFormat="1" applyFont="1" applyFill="1" applyAlignment="1" applyProtection="1">
      <alignment horizontal="right" vertical="center"/>
      <protection locked="0"/>
    </xf>
    <xf numFmtId="3" fontId="33" fillId="3" borderId="6" xfId="19" applyNumberFormat="1" applyFont="1" applyFill="1" applyBorder="1" applyAlignment="1" applyProtection="1">
      <alignment horizontal="right" vertical="center"/>
      <protection locked="0"/>
    </xf>
    <xf numFmtId="3" fontId="33" fillId="3" borderId="14" xfId="19" applyNumberFormat="1" applyFont="1" applyFill="1" applyBorder="1" applyAlignment="1" applyProtection="1">
      <alignment horizontal="right" vertical="center"/>
      <protection locked="0"/>
    </xf>
    <xf numFmtId="167" fontId="39" fillId="3" borderId="0" xfId="19" applyNumberFormat="1" applyFont="1" applyFill="1" applyAlignment="1" applyProtection="1">
      <alignment vertical="center"/>
      <protection hidden="1"/>
    </xf>
    <xf numFmtId="167" fontId="39" fillId="3" borderId="0" xfId="19" applyNumberFormat="1" applyFont="1" applyFill="1" applyAlignment="1" applyProtection="1">
      <alignment horizontal="center"/>
      <protection locked="0"/>
    </xf>
    <xf numFmtId="3" fontId="33" fillId="3" borderId="1" xfId="19" applyNumberFormat="1" applyFont="1" applyFill="1" applyBorder="1" applyAlignment="1" applyProtection="1">
      <alignment horizontal="left" vertical="center" indent="1"/>
      <protection locked="0"/>
    </xf>
    <xf numFmtId="3" fontId="33" fillId="3" borderId="1" xfId="19" applyNumberFormat="1" applyFont="1" applyFill="1" applyBorder="1" applyAlignment="1" applyProtection="1">
      <alignment horizontal="right" vertical="center"/>
      <protection locked="0"/>
    </xf>
    <xf numFmtId="3" fontId="33" fillId="3" borderId="7" xfId="19" applyNumberFormat="1" applyFont="1" applyFill="1" applyBorder="1" applyAlignment="1" applyProtection="1">
      <alignment horizontal="right" vertical="center"/>
      <protection locked="0"/>
    </xf>
    <xf numFmtId="1" fontId="8" fillId="3" borderId="1" xfId="19" applyNumberFormat="1" applyFont="1" applyFill="1" applyBorder="1" applyAlignment="1" applyProtection="1">
      <alignment vertical="center"/>
      <protection locked="0"/>
    </xf>
    <xf numFmtId="3" fontId="33" fillId="3" borderId="26" xfId="19" applyNumberFormat="1" applyFont="1" applyFill="1" applyBorder="1" applyAlignment="1" applyProtection="1">
      <alignment horizontal="right" vertical="center"/>
      <protection locked="0"/>
    </xf>
    <xf numFmtId="167" fontId="107" fillId="3" borderId="0" xfId="19" applyNumberFormat="1" applyFont="1" applyFill="1" applyProtection="1">
      <protection locked="0"/>
    </xf>
    <xf numFmtId="167" fontId="107" fillId="3" borderId="0" xfId="19" applyNumberFormat="1" applyFont="1" applyFill="1" applyProtection="1">
      <protection hidden="1"/>
    </xf>
    <xf numFmtId="167" fontId="94" fillId="3" borderId="2" xfId="19" applyNumberFormat="1" applyFont="1" applyFill="1" applyBorder="1" applyProtection="1">
      <protection hidden="1"/>
    </xf>
    <xf numFmtId="1" fontId="67" fillId="3" borderId="0" xfId="19" applyNumberFormat="1" applyFont="1" applyFill="1" applyProtection="1">
      <protection hidden="1"/>
    </xf>
    <xf numFmtId="0" fontId="108" fillId="3" borderId="0" xfId="0" applyFont="1" applyFill="1"/>
    <xf numFmtId="167" fontId="39" fillId="3" borderId="0" xfId="19" applyNumberFormat="1" applyFont="1" applyFill="1" applyAlignment="1" applyProtection="1">
      <alignment horizontal="left" vertical="center"/>
      <protection locked="0"/>
    </xf>
    <xf numFmtId="167" fontId="39" fillId="3" borderId="0" xfId="19" applyNumberFormat="1" applyFont="1" applyFill="1" applyProtection="1">
      <protection locked="0"/>
    </xf>
    <xf numFmtId="1" fontId="39" fillId="3" borderId="0" xfId="19" applyNumberFormat="1" applyFont="1" applyFill="1" applyProtection="1">
      <protection locked="0"/>
    </xf>
    <xf numFmtId="3" fontId="37" fillId="3" borderId="0" xfId="19" applyNumberFormat="1" applyFont="1" applyFill="1" applyAlignment="1" applyProtection="1">
      <alignment horizontal="right" vertical="center"/>
      <protection locked="0"/>
    </xf>
    <xf numFmtId="167" fontId="37" fillId="3" borderId="0" xfId="19" applyNumberFormat="1" applyFont="1" applyFill="1" applyAlignment="1" applyProtection="1">
      <alignment horizontal="left" vertical="center"/>
      <protection locked="0"/>
    </xf>
    <xf numFmtId="3" fontId="37" fillId="3" borderId="0" xfId="19" applyNumberFormat="1" applyFont="1" applyFill="1" applyAlignment="1" applyProtection="1">
      <alignment horizontal="right" vertical="center"/>
      <protection hidden="1"/>
    </xf>
    <xf numFmtId="3" fontId="39" fillId="3" borderId="0" xfId="19" applyNumberFormat="1" applyFont="1" applyFill="1" applyAlignment="1" applyProtection="1">
      <alignment horizontal="right" vertical="center"/>
      <protection locked="0"/>
    </xf>
    <xf numFmtId="3" fontId="39" fillId="3" borderId="0" xfId="19" applyNumberFormat="1" applyFont="1" applyFill="1" applyAlignment="1" applyProtection="1">
      <alignment vertical="center"/>
      <protection locked="0"/>
    </xf>
    <xf numFmtId="167" fontId="39" fillId="3" borderId="0" xfId="19" applyNumberFormat="1" applyFont="1" applyFill="1" applyProtection="1">
      <protection hidden="1"/>
    </xf>
    <xf numFmtId="1" fontId="39" fillId="3" borderId="0" xfId="19" applyNumberFormat="1" applyFont="1" applyFill="1" applyProtection="1">
      <protection hidden="1"/>
    </xf>
    <xf numFmtId="167" fontId="4" fillId="2" borderId="0" xfId="19" applyNumberFormat="1" applyFill="1" applyProtection="1">
      <protection locked="0"/>
    </xf>
    <xf numFmtId="167" fontId="39" fillId="2" borderId="0" xfId="19" applyNumberFormat="1" applyFont="1" applyFill="1" applyProtection="1">
      <protection locked="0"/>
    </xf>
    <xf numFmtId="167" fontId="28" fillId="2" borderId="0" xfId="19" applyNumberFormat="1" applyFont="1" applyFill="1" applyProtection="1">
      <protection locked="0"/>
    </xf>
    <xf numFmtId="167" fontId="119" fillId="2" borderId="0" xfId="19" applyNumberFormat="1" applyFont="1" applyFill="1" applyProtection="1">
      <protection locked="0"/>
    </xf>
    <xf numFmtId="167" fontId="118" fillId="2" borderId="0" xfId="19" applyNumberFormat="1" applyFont="1" applyFill="1" applyProtection="1">
      <protection locked="0"/>
    </xf>
    <xf numFmtId="167" fontId="4" fillId="3" borderId="0" xfId="19" applyNumberFormat="1" applyFill="1" applyAlignment="1" applyProtection="1">
      <alignment horizontal="right" vertical="center"/>
      <protection locked="0"/>
    </xf>
    <xf numFmtId="167" fontId="4" fillId="2" borderId="0" xfId="19" applyNumberFormat="1" applyFill="1" applyAlignment="1" applyProtection="1">
      <alignment horizontal="right" vertical="center"/>
      <protection locked="0"/>
    </xf>
    <xf numFmtId="167" fontId="39" fillId="2" borderId="0" xfId="19" applyNumberFormat="1" applyFont="1" applyFill="1" applyAlignment="1" applyProtection="1">
      <alignment horizontal="right" vertical="center"/>
      <protection locked="0"/>
    </xf>
    <xf numFmtId="167" fontId="118" fillId="2" borderId="0" xfId="19" applyNumberFormat="1" applyFont="1" applyFill="1" applyAlignment="1" applyProtection="1">
      <alignment horizontal="right" vertical="center"/>
      <protection locked="0"/>
    </xf>
    <xf numFmtId="167" fontId="4" fillId="3" borderId="0" xfId="19" applyNumberFormat="1" applyFill="1" applyProtection="1">
      <protection locked="0"/>
    </xf>
    <xf numFmtId="167" fontId="39" fillId="2" borderId="0" xfId="19" applyNumberFormat="1" applyFont="1" applyFill="1"/>
    <xf numFmtId="167" fontId="118" fillId="2" borderId="0" xfId="19" applyNumberFormat="1" applyFont="1" applyFill="1"/>
    <xf numFmtId="167" fontId="4" fillId="3" borderId="0" xfId="19" applyNumberFormat="1" applyFill="1"/>
    <xf numFmtId="167" fontId="4" fillId="2" borderId="0" xfId="19" applyNumberFormat="1" applyFill="1"/>
    <xf numFmtId="0" fontId="105" fillId="3" borderId="0" xfId="0" applyFont="1" applyFill="1" applyAlignment="1">
      <alignment horizontal="center"/>
    </xf>
    <xf numFmtId="0" fontId="105" fillId="3" borderId="2" xfId="0" applyFont="1" applyFill="1" applyBorder="1"/>
    <xf numFmtId="0" fontId="121" fillId="3" borderId="0" xfId="0" applyFont="1" applyFill="1"/>
    <xf numFmtId="2" fontId="0" fillId="3" borderId="0" xfId="0" applyNumberFormat="1" applyFill="1"/>
    <xf numFmtId="0" fontId="105" fillId="3" borderId="0" xfId="0" applyFont="1" applyFill="1"/>
    <xf numFmtId="0" fontId="121" fillId="3" borderId="1" xfId="0" applyFont="1" applyFill="1" applyBorder="1"/>
    <xf numFmtId="0" fontId="57" fillId="3" borderId="35" xfId="0" applyFont="1" applyFill="1" applyBorder="1" applyAlignment="1">
      <alignment horizontal="center" vertical="center"/>
    </xf>
    <xf numFmtId="0" fontId="59" fillId="3" borderId="36" xfId="0" applyFont="1" applyFill="1" applyBorder="1" applyAlignment="1">
      <alignment horizontal="center" vertical="center" wrapText="1"/>
    </xf>
    <xf numFmtId="0" fontId="63" fillId="3" borderId="0" xfId="0" applyFont="1" applyFill="1" applyAlignment="1">
      <alignment horizontal="center" vertical="center"/>
    </xf>
    <xf numFmtId="0" fontId="63" fillId="3" borderId="37" xfId="0" applyFont="1" applyFill="1" applyBorder="1" applyAlignment="1">
      <alignment horizontal="center" vertical="center" wrapText="1"/>
    </xf>
    <xf numFmtId="0" fontId="39" fillId="3" borderId="2" xfId="0" applyFont="1" applyFill="1" applyBorder="1" applyAlignment="1">
      <alignment vertical="center"/>
    </xf>
    <xf numFmtId="37" fontId="122" fillId="3" borderId="35" xfId="10" applyNumberFormat="1" applyFont="1" applyFill="1" applyBorder="1" applyAlignment="1">
      <alignment horizontal="center" vertical="center"/>
    </xf>
    <xf numFmtId="37" fontId="112" fillId="3" borderId="36" xfId="10" applyNumberFormat="1" applyFont="1" applyFill="1" applyBorder="1" applyAlignment="1">
      <alignment horizontal="center" vertical="center"/>
    </xf>
    <xf numFmtId="37" fontId="123" fillId="3" borderId="2" xfId="10" applyNumberFormat="1" applyFont="1" applyFill="1" applyBorder="1" applyAlignment="1">
      <alignment horizontal="right" vertical="center" indent="3"/>
    </xf>
    <xf numFmtId="0" fontId="124" fillId="3" borderId="2" xfId="0" applyFont="1" applyFill="1" applyBorder="1" applyAlignment="1">
      <alignment vertical="center"/>
    </xf>
    <xf numFmtId="0" fontId="39" fillId="3" borderId="0" xfId="0" applyFont="1" applyFill="1" applyAlignment="1">
      <alignment vertical="center"/>
    </xf>
    <xf numFmtId="37" fontId="123" fillId="3" borderId="38" xfId="10" applyNumberFormat="1" applyFont="1" applyFill="1" applyBorder="1" applyAlignment="1">
      <alignment horizontal="center" vertical="center"/>
    </xf>
    <xf numFmtId="37" fontId="123" fillId="3" borderId="0" xfId="10" applyNumberFormat="1" applyFont="1" applyFill="1" applyBorder="1" applyAlignment="1">
      <alignment horizontal="right" vertical="center" indent="3"/>
    </xf>
    <xf numFmtId="0" fontId="124" fillId="3" borderId="0" xfId="0" applyFont="1" applyFill="1" applyAlignment="1">
      <alignment vertical="center"/>
    </xf>
    <xf numFmtId="0" fontId="125" fillId="3" borderId="0" xfId="0" applyFont="1" applyFill="1" applyAlignment="1">
      <alignment vertical="center"/>
    </xf>
    <xf numFmtId="37" fontId="122" fillId="3" borderId="38" xfId="10" applyNumberFormat="1" applyFont="1" applyFill="1" applyBorder="1" applyAlignment="1">
      <alignment horizontal="center" vertical="center"/>
    </xf>
    <xf numFmtId="37" fontId="122" fillId="3" borderId="0" xfId="10" applyNumberFormat="1" applyFont="1" applyFill="1" applyBorder="1" applyAlignment="1">
      <alignment horizontal="right" vertical="center" indent="3"/>
    </xf>
    <xf numFmtId="0" fontId="124" fillId="3" borderId="0" xfId="0" applyFont="1" applyFill="1" applyAlignment="1">
      <alignment horizontal="left" vertical="center" indent="1"/>
    </xf>
    <xf numFmtId="0" fontId="125" fillId="3" borderId="1" xfId="0" applyFont="1" applyFill="1" applyBorder="1" applyAlignment="1">
      <alignment vertical="center"/>
    </xf>
    <xf numFmtId="37" fontId="122" fillId="3" borderId="39" xfId="10" applyNumberFormat="1" applyFont="1" applyFill="1" applyBorder="1" applyAlignment="1">
      <alignment horizontal="center" vertical="center"/>
    </xf>
    <xf numFmtId="37" fontId="122" fillId="3" borderId="1" xfId="10" applyNumberFormat="1" applyFont="1" applyFill="1" applyBorder="1" applyAlignment="1">
      <alignment horizontal="right" vertical="center" indent="3"/>
    </xf>
    <xf numFmtId="0" fontId="124" fillId="3" borderId="1" xfId="0" applyFont="1" applyFill="1" applyBorder="1" applyAlignment="1">
      <alignment horizontal="left" vertical="center" indent="1"/>
    </xf>
    <xf numFmtId="0" fontId="76" fillId="3" borderId="0" xfId="0" applyFont="1" applyFill="1" applyAlignment="1">
      <alignment vertical="center"/>
    </xf>
    <xf numFmtId="0" fontId="124" fillId="3" borderId="0" xfId="0" applyFont="1" applyFill="1"/>
    <xf numFmtId="37" fontId="39" fillId="3" borderId="0" xfId="10" applyNumberFormat="1" applyFont="1" applyFill="1" applyBorder="1" applyAlignment="1">
      <alignment horizontal="right" vertical="center" indent="4"/>
    </xf>
    <xf numFmtId="0" fontId="59" fillId="3" borderId="0" xfId="0" applyFont="1" applyFill="1" applyAlignment="1">
      <alignment horizontal="center" vertical="center" wrapText="1"/>
    </xf>
    <xf numFmtId="37" fontId="107" fillId="3" borderId="0" xfId="10" applyNumberFormat="1" applyFont="1" applyFill="1" applyBorder="1" applyAlignment="1">
      <alignment horizontal="center" vertical="center"/>
    </xf>
    <xf numFmtId="37" fontId="57" fillId="3" borderId="0" xfId="10" applyNumberFormat="1" applyFont="1" applyFill="1" applyBorder="1" applyAlignment="1">
      <alignment horizontal="right" vertical="center" indent="4"/>
    </xf>
    <xf numFmtId="0" fontId="0" fillId="3" borderId="2" xfId="0" applyFill="1" applyBorder="1"/>
    <xf numFmtId="1" fontId="0" fillId="3" borderId="0" xfId="0" applyNumberFormat="1" applyFill="1"/>
    <xf numFmtId="37" fontId="107" fillId="3" borderId="0" xfId="10" applyNumberFormat="1" applyFont="1" applyFill="1" applyBorder="1" applyAlignment="1">
      <alignment horizontal="right" vertical="center" indent="4"/>
    </xf>
    <xf numFmtId="1" fontId="29" fillId="3" borderId="0" xfId="0" applyNumberFormat="1" applyFont="1" applyFill="1"/>
    <xf numFmtId="0" fontId="59" fillId="3" borderId="0" xfId="0" applyFont="1" applyFill="1" applyAlignment="1">
      <alignment horizontal="center" vertical="center"/>
    </xf>
    <xf numFmtId="0" fontId="105" fillId="3" borderId="0" xfId="0" applyFont="1" applyFill="1" applyAlignment="1">
      <alignment vertical="top"/>
    </xf>
    <xf numFmtId="0" fontId="105" fillId="3" borderId="2" xfId="0" applyFont="1" applyFill="1" applyBorder="1" applyAlignment="1">
      <alignment horizontal="right" vertical="center"/>
    </xf>
    <xf numFmtId="174" fontId="57" fillId="3" borderId="0" xfId="10" applyNumberFormat="1" applyFont="1" applyFill="1" applyBorder="1"/>
    <xf numFmtId="174" fontId="0" fillId="3" borderId="0" xfId="0" applyNumberFormat="1" applyFill="1"/>
    <xf numFmtId="0" fontId="39" fillId="3" borderId="0" xfId="0" applyFont="1" applyFill="1"/>
    <xf numFmtId="174" fontId="39" fillId="3" borderId="0" xfId="10" applyNumberFormat="1" applyFont="1" applyFill="1" applyBorder="1"/>
    <xf numFmtId="0" fontId="105" fillId="3" borderId="10" xfId="0" applyFont="1" applyFill="1" applyBorder="1" applyAlignment="1">
      <alignment horizontal="right" vertical="center"/>
    </xf>
    <xf numFmtId="0" fontId="105" fillId="3" borderId="0" xfId="0" applyFont="1" applyFill="1" applyAlignment="1">
      <alignment horizontal="right" vertical="center"/>
    </xf>
    <xf numFmtId="0" fontId="120" fillId="3" borderId="1" xfId="0" applyFont="1" applyFill="1" applyBorder="1"/>
    <xf numFmtId="0" fontId="120" fillId="3" borderId="7" xfId="0" applyFont="1" applyFill="1" applyBorder="1"/>
    <xf numFmtId="174" fontId="57" fillId="3" borderId="6" xfId="10" applyNumberFormat="1" applyFont="1" applyFill="1" applyBorder="1"/>
    <xf numFmtId="0" fontId="56" fillId="3" borderId="0" xfId="0" applyFont="1" applyFill="1"/>
    <xf numFmtId="0" fontId="39" fillId="3" borderId="1" xfId="0" applyFont="1" applyFill="1" applyBorder="1"/>
    <xf numFmtId="174" fontId="39" fillId="3" borderId="6" xfId="10" applyNumberFormat="1" applyFont="1" applyFill="1" applyBorder="1"/>
    <xf numFmtId="174" fontId="39" fillId="3" borderId="1" xfId="10" applyNumberFormat="1" applyFont="1" applyFill="1" applyBorder="1"/>
    <xf numFmtId="174" fontId="39" fillId="3" borderId="7" xfId="10" applyNumberFormat="1" applyFont="1" applyFill="1" applyBorder="1"/>
    <xf numFmtId="0" fontId="124" fillId="3" borderId="1" xfId="0" applyFont="1" applyFill="1" applyBorder="1"/>
    <xf numFmtId="0" fontId="76" fillId="3" borderId="0" xfId="0" applyFont="1" applyFill="1"/>
    <xf numFmtId="0" fontId="57" fillId="3" borderId="1" xfId="0" applyFont="1" applyFill="1" applyBorder="1" applyAlignment="1">
      <alignment horizontal="right" vertical="center" wrapText="1"/>
    </xf>
    <xf numFmtId="0" fontId="57" fillId="3" borderId="26" xfId="0" applyFont="1" applyFill="1" applyBorder="1" applyAlignment="1">
      <alignment horizontal="right" vertical="center" wrapText="1"/>
    </xf>
    <xf numFmtId="0" fontId="57" fillId="3" borderId="7" xfId="0" applyFont="1" applyFill="1" applyBorder="1" applyAlignment="1">
      <alignment horizontal="right" vertical="center" wrapText="1"/>
    </xf>
    <xf numFmtId="3" fontId="57" fillId="3" borderId="14" xfId="0" applyNumberFormat="1" applyFont="1" applyFill="1" applyBorder="1" applyAlignment="1">
      <alignment horizontal="right" vertical="center" wrapText="1"/>
    </xf>
    <xf numFmtId="3" fontId="57" fillId="3" borderId="2" xfId="0" applyNumberFormat="1" applyFont="1" applyFill="1" applyBorder="1" applyAlignment="1">
      <alignment horizontal="right" vertical="center" wrapText="1"/>
    </xf>
    <xf numFmtId="3" fontId="57" fillId="3" borderId="10" xfId="0" applyNumberFormat="1" applyFont="1" applyFill="1" applyBorder="1" applyAlignment="1">
      <alignment horizontal="right" vertical="center" wrapText="1"/>
    </xf>
    <xf numFmtId="3" fontId="57" fillId="3" borderId="27" xfId="0" applyNumberFormat="1" applyFont="1" applyFill="1" applyBorder="1" applyAlignment="1">
      <alignment horizontal="right" vertical="center" wrapText="1"/>
    </xf>
    <xf numFmtId="3" fontId="57" fillId="3" borderId="6" xfId="0" applyNumberFormat="1" applyFont="1" applyFill="1" applyBorder="1" applyAlignment="1">
      <alignment vertical="center" wrapText="1"/>
    </xf>
    <xf numFmtId="3" fontId="57" fillId="3" borderId="14" xfId="0" applyNumberFormat="1" applyFont="1" applyFill="1" applyBorder="1" applyAlignment="1">
      <alignment vertical="center" wrapText="1"/>
    </xf>
    <xf numFmtId="3" fontId="39" fillId="3" borderId="6" xfId="0" applyNumberFormat="1" applyFont="1" applyFill="1" applyBorder="1" applyAlignment="1">
      <alignment vertical="center" wrapText="1"/>
    </xf>
    <xf numFmtId="3" fontId="39" fillId="3" borderId="14" xfId="0" applyNumberFormat="1" applyFont="1" applyFill="1" applyBorder="1" applyAlignment="1">
      <alignment vertical="center" wrapText="1"/>
    </xf>
    <xf numFmtId="3" fontId="40" fillId="3" borderId="21" xfId="6" applyNumberFormat="1" applyFont="1" applyFill="1" applyBorder="1" applyAlignment="1" applyProtection="1">
      <alignment vertical="center"/>
      <protection hidden="1"/>
    </xf>
    <xf numFmtId="3" fontId="39" fillId="3" borderId="6" xfId="0" applyNumberFormat="1" applyFont="1" applyFill="1" applyBorder="1"/>
    <xf numFmtId="3" fontId="39" fillId="3" borderId="14" xfId="0" applyNumberFormat="1" applyFont="1" applyFill="1" applyBorder="1"/>
    <xf numFmtId="3" fontId="57" fillId="3" borderId="26" xfId="0" applyNumberFormat="1" applyFont="1" applyFill="1" applyBorder="1" applyAlignment="1">
      <alignment horizontal="right" vertical="center" wrapText="1"/>
    </xf>
    <xf numFmtId="3" fontId="39" fillId="3" borderId="1" xfId="0" applyNumberFormat="1" applyFont="1" applyFill="1" applyBorder="1"/>
    <xf numFmtId="3" fontId="39" fillId="3" borderId="7" xfId="0" applyNumberFormat="1" applyFont="1" applyFill="1" applyBorder="1"/>
    <xf numFmtId="3" fontId="39" fillId="3" borderId="26" xfId="0" applyNumberFormat="1" applyFont="1" applyFill="1" applyBorder="1"/>
    <xf numFmtId="3" fontId="40" fillId="3" borderId="45" xfId="6" applyNumberFormat="1" applyFont="1" applyFill="1" applyBorder="1" applyAlignment="1" applyProtection="1">
      <alignment vertical="center"/>
      <protection hidden="1"/>
    </xf>
    <xf numFmtId="0" fontId="125" fillId="3" borderId="0" xfId="0" applyFont="1" applyFill="1"/>
    <xf numFmtId="0" fontId="105" fillId="3" borderId="40" xfId="0" applyFont="1" applyFill="1" applyBorder="1" applyAlignment="1">
      <alignment horizontal="right" vertical="center" wrapText="1"/>
    </xf>
    <xf numFmtId="0" fontId="105" fillId="3" borderId="48" xfId="0" applyFont="1" applyFill="1" applyBorder="1" applyAlignment="1">
      <alignment horizontal="right" vertical="center" wrapText="1"/>
    </xf>
    <xf numFmtId="0" fontId="105" fillId="3" borderId="49" xfId="0" applyFont="1" applyFill="1" applyBorder="1" applyAlignment="1">
      <alignment horizontal="right" vertical="center" wrapText="1"/>
    </xf>
    <xf numFmtId="0" fontId="56" fillId="3" borderId="38" xfId="0" applyFont="1" applyFill="1" applyBorder="1" applyAlignment="1">
      <alignment horizontal="right" vertical="center" wrapText="1"/>
    </xf>
    <xf numFmtId="0" fontId="56" fillId="3" borderId="39" xfId="0" applyFont="1" applyFill="1" applyBorder="1" applyAlignment="1">
      <alignment horizontal="right" vertical="center" wrapText="1"/>
    </xf>
    <xf numFmtId="0" fontId="105" fillId="3" borderId="0" xfId="0" applyFont="1" applyFill="1" applyAlignment="1">
      <alignment horizontal="left" vertical="center" indent="1"/>
    </xf>
    <xf numFmtId="3" fontId="105" fillId="3" borderId="13" xfId="0" applyNumberFormat="1" applyFont="1" applyFill="1" applyBorder="1" applyAlignment="1">
      <alignment vertical="center" wrapText="1"/>
    </xf>
    <xf numFmtId="3" fontId="105" fillId="3" borderId="0" xfId="0" applyNumberFormat="1" applyFont="1" applyFill="1" applyAlignment="1">
      <alignment vertical="center" wrapText="1"/>
    </xf>
    <xf numFmtId="3" fontId="105" fillId="3" borderId="50" xfId="0" applyNumberFormat="1" applyFont="1" applyFill="1" applyBorder="1" applyAlignment="1">
      <alignment vertical="center" wrapText="1"/>
    </xf>
    <xf numFmtId="0" fontId="39" fillId="3" borderId="0" xfId="0" applyFont="1" applyFill="1" applyAlignment="1">
      <alignment horizontal="left" vertical="center" indent="1"/>
    </xf>
    <xf numFmtId="3" fontId="39" fillId="3" borderId="0" xfId="0" applyNumberFormat="1" applyFont="1" applyFill="1" applyAlignment="1">
      <alignment vertical="center"/>
    </xf>
    <xf numFmtId="3" fontId="39" fillId="3" borderId="44" xfId="0" applyNumberFormat="1" applyFont="1" applyFill="1" applyBorder="1" applyAlignment="1">
      <alignment vertical="center"/>
    </xf>
    <xf numFmtId="0" fontId="126" fillId="3" borderId="0" xfId="0" applyFont="1" applyFill="1" applyAlignment="1">
      <alignment horizontal="right" vertical="center" wrapText="1"/>
    </xf>
    <xf numFmtId="0" fontId="39" fillId="3" borderId="1" xfId="0" applyFont="1" applyFill="1" applyBorder="1" applyAlignment="1">
      <alignment horizontal="left" vertical="center" indent="1"/>
    </xf>
    <xf numFmtId="0" fontId="39" fillId="3" borderId="1" xfId="0" applyFont="1" applyFill="1" applyBorder="1" applyAlignment="1">
      <alignment vertical="center"/>
    </xf>
    <xf numFmtId="3" fontId="39" fillId="3" borderId="1" xfId="0" applyNumberFormat="1" applyFont="1" applyFill="1" applyBorder="1" applyAlignment="1">
      <alignment vertical="center"/>
    </xf>
    <xf numFmtId="3" fontId="39" fillId="3" borderId="37" xfId="0" applyNumberFormat="1" applyFont="1" applyFill="1" applyBorder="1" applyAlignment="1">
      <alignment vertical="center"/>
    </xf>
    <xf numFmtId="0" fontId="126" fillId="3" borderId="1" xfId="0" applyFont="1" applyFill="1" applyBorder="1" applyAlignment="1">
      <alignment horizontal="right" vertical="center"/>
    </xf>
    <xf numFmtId="0" fontId="126" fillId="3" borderId="1" xfId="0" applyFont="1" applyFill="1" applyBorder="1" applyAlignment="1">
      <alignment horizontal="right" vertical="center" wrapText="1"/>
    </xf>
    <xf numFmtId="0" fontId="76" fillId="3" borderId="0" xfId="0" applyFont="1" applyFill="1" applyAlignment="1">
      <alignment horizontal="left" indent="1"/>
    </xf>
    <xf numFmtId="3" fontId="127" fillId="3" borderId="0" xfId="0" applyNumberFormat="1" applyFont="1" applyFill="1" applyAlignment="1">
      <alignment vertical="center" wrapText="1"/>
    </xf>
    <xf numFmtId="3" fontId="128" fillId="3" borderId="0" xfId="0" applyNumberFormat="1" applyFont="1" applyFill="1" applyAlignment="1">
      <alignment vertical="center"/>
    </xf>
    <xf numFmtId="0" fontId="46" fillId="3" borderId="0" xfId="0" applyFont="1" applyFill="1"/>
    <xf numFmtId="0" fontId="47" fillId="3" borderId="1" xfId="0" applyFont="1" applyFill="1" applyBorder="1" applyAlignment="1">
      <alignment horizontal="right" vertical="center"/>
    </xf>
    <xf numFmtId="0" fontId="47" fillId="3" borderId="26" xfId="0" applyFont="1" applyFill="1" applyBorder="1" applyAlignment="1">
      <alignment horizontal="right" vertical="center"/>
    </xf>
    <xf numFmtId="0" fontId="47" fillId="3" borderId="7" xfId="0" applyFont="1" applyFill="1" applyBorder="1" applyAlignment="1">
      <alignment horizontal="right" vertical="center"/>
    </xf>
    <xf numFmtId="49" fontId="47" fillId="3" borderId="0" xfId="0" applyNumberFormat="1" applyFont="1" applyFill="1" applyAlignment="1">
      <alignment horizontal="left" vertical="center"/>
    </xf>
    <xf numFmtId="3" fontId="47" fillId="3" borderId="2" xfId="0" applyNumberFormat="1" applyFont="1" applyFill="1" applyBorder="1" applyAlignment="1">
      <alignment horizontal="right" vertical="center"/>
    </xf>
    <xf numFmtId="3" fontId="47" fillId="3" borderId="6" xfId="0" applyNumberFormat="1" applyFont="1" applyFill="1" applyBorder="1" applyAlignment="1">
      <alignment horizontal="right" vertical="center"/>
    </xf>
    <xf numFmtId="3" fontId="47" fillId="3" borderId="14" xfId="0" applyNumberFormat="1" applyFont="1" applyFill="1" applyBorder="1" applyAlignment="1">
      <alignment horizontal="right" vertical="center"/>
    </xf>
    <xf numFmtId="0" fontId="116" fillId="3" borderId="0" xfId="0" applyFont="1" applyFill="1" applyAlignment="1">
      <alignment horizontal="right" vertical="center"/>
    </xf>
    <xf numFmtId="0" fontId="116" fillId="3" borderId="0" xfId="0" applyFont="1" applyFill="1" applyAlignment="1">
      <alignment horizontal="left" vertical="center"/>
    </xf>
    <xf numFmtId="0" fontId="47" fillId="3" borderId="0" xfId="0" applyFont="1" applyFill="1" applyAlignment="1">
      <alignment horizontal="left" vertical="center"/>
    </xf>
    <xf numFmtId="49" fontId="48" fillId="3" borderId="0" xfId="0" applyNumberFormat="1" applyFont="1" applyFill="1" applyAlignment="1">
      <alignment horizontal="left" vertical="center" indent="1"/>
    </xf>
    <xf numFmtId="3" fontId="78" fillId="3" borderId="52" xfId="6" applyNumberFormat="1" applyFont="1" applyFill="1" applyBorder="1" applyAlignment="1" applyProtection="1">
      <alignment horizontal="right" vertical="center" indent="1"/>
      <protection hidden="1"/>
    </xf>
    <xf numFmtId="0" fontId="46" fillId="3" borderId="0" xfId="0" applyFont="1" applyFill="1" applyAlignment="1">
      <alignment horizontal="left" vertical="center"/>
    </xf>
    <xf numFmtId="49" fontId="48" fillId="3" borderId="1" xfId="0" applyNumberFormat="1" applyFont="1" applyFill="1" applyBorder="1" applyAlignment="1">
      <alignment horizontal="left" vertical="center" indent="1"/>
    </xf>
    <xf numFmtId="0" fontId="74" fillId="3" borderId="0" xfId="0" applyFont="1" applyFill="1" applyAlignment="1">
      <alignment vertical="center"/>
    </xf>
    <xf numFmtId="0" fontId="81" fillId="3" borderId="0" xfId="0" applyFont="1" applyFill="1"/>
    <xf numFmtId="0" fontId="70" fillId="3" borderId="0" xfId="0" applyFont="1" applyFill="1" applyAlignment="1">
      <alignment vertical="center"/>
    </xf>
    <xf numFmtId="3" fontId="57" fillId="3" borderId="1" xfId="0" applyNumberFormat="1" applyFont="1" applyFill="1" applyBorder="1" applyAlignment="1">
      <alignment horizontal="right" vertical="center" wrapText="1"/>
    </xf>
    <xf numFmtId="167" fontId="86" fillId="3" borderId="0" xfId="1" applyFont="1" applyFill="1" applyAlignment="1">
      <alignment horizontal="center" vertical="center"/>
    </xf>
    <xf numFmtId="167" fontId="78" fillId="3" borderId="0" xfId="1" applyFont="1" applyFill="1" applyAlignment="1" applyProtection="1">
      <alignment horizontal="right" wrapText="1"/>
      <protection locked="0"/>
    </xf>
    <xf numFmtId="167" fontId="70" fillId="3" borderId="0" xfId="1" applyFont="1" applyFill="1" applyAlignment="1" applyProtection="1">
      <alignment horizontal="center" vertical="center"/>
      <protection locked="0"/>
    </xf>
    <xf numFmtId="3" fontId="53" fillId="3" borderId="0" xfId="6" applyNumberFormat="1" applyFont="1" applyFill="1" applyAlignment="1">
      <alignment horizontal="right" vertical="center" wrapText="1"/>
    </xf>
    <xf numFmtId="49" fontId="52" fillId="3" borderId="8" xfId="7" applyNumberFormat="1" applyFont="1" applyFill="1" applyBorder="1" applyAlignment="1">
      <alignment horizontal="center" vertical="center"/>
    </xf>
    <xf numFmtId="3" fontId="53" fillId="3" borderId="0" xfId="6" applyNumberFormat="1" applyFont="1" applyFill="1" applyAlignment="1">
      <alignment horizontal="center" vertical="center"/>
    </xf>
    <xf numFmtId="0" fontId="130" fillId="3" borderId="0" xfId="3" applyFont="1" applyFill="1" applyAlignment="1">
      <alignment horizontal="right" vertical="center"/>
    </xf>
    <xf numFmtId="0" fontId="130" fillId="3" borderId="0" xfId="3" applyFont="1" applyFill="1" applyAlignment="1">
      <alignment horizontal="center" vertical="center"/>
    </xf>
    <xf numFmtId="0" fontId="131" fillId="3" borderId="0" xfId="3" applyFont="1" applyFill="1"/>
    <xf numFmtId="0" fontId="130" fillId="3" borderId="8" xfId="3" applyFont="1" applyFill="1" applyBorder="1" applyAlignment="1">
      <alignment horizontal="right" vertical="center"/>
    </xf>
    <xf numFmtId="4" fontId="53" fillId="3" borderId="0" xfId="6" applyNumberFormat="1" applyFont="1" applyFill="1" applyAlignment="1">
      <alignment horizontal="right" vertical="center" wrapText="1"/>
    </xf>
    <xf numFmtId="49" fontId="52" fillId="3" borderId="2" xfId="7" applyNumberFormat="1" applyFont="1" applyFill="1" applyBorder="1" applyAlignment="1">
      <alignment horizontal="center" vertical="center"/>
    </xf>
    <xf numFmtId="3" fontId="13" fillId="3" borderId="0" xfId="6" applyNumberFormat="1" applyFont="1" applyFill="1" applyAlignment="1" applyProtection="1">
      <alignment horizontal="center" vertical="center" wrapText="1" readingOrder="2"/>
      <protection hidden="1"/>
    </xf>
    <xf numFmtId="3" fontId="136" fillId="3" borderId="0" xfId="6" applyNumberFormat="1" applyFont="1" applyFill="1" applyAlignment="1">
      <alignment horizontal="right" vertical="center"/>
    </xf>
    <xf numFmtId="3" fontId="136" fillId="3" borderId="6" xfId="6" applyNumberFormat="1" applyFont="1" applyFill="1" applyBorder="1" applyAlignment="1">
      <alignment horizontal="right" vertical="center"/>
    </xf>
    <xf numFmtId="3" fontId="136" fillId="3" borderId="14" xfId="6" applyNumberFormat="1" applyFont="1" applyFill="1" applyBorder="1" applyAlignment="1">
      <alignment horizontal="right" vertical="center"/>
    </xf>
    <xf numFmtId="3" fontId="55" fillId="3" borderId="7" xfId="6" applyNumberFormat="1" applyFont="1" applyFill="1" applyBorder="1" applyAlignment="1">
      <alignment horizontal="right" vertical="center"/>
    </xf>
    <xf numFmtId="3" fontId="55" fillId="3" borderId="26" xfId="6" applyNumberFormat="1" applyFont="1" applyFill="1" applyBorder="1" applyAlignment="1">
      <alignment horizontal="right" vertical="center"/>
    </xf>
    <xf numFmtId="3" fontId="51" fillId="3" borderId="10" xfId="6" applyNumberFormat="1" applyFont="1" applyFill="1" applyBorder="1" applyAlignment="1">
      <alignment horizontal="right"/>
    </xf>
    <xf numFmtId="3" fontId="51" fillId="3" borderId="14" xfId="6" applyNumberFormat="1" applyFont="1" applyFill="1" applyBorder="1" applyAlignment="1">
      <alignment horizontal="right"/>
    </xf>
    <xf numFmtId="3" fontId="52" fillId="3" borderId="14" xfId="6" applyNumberFormat="1" applyFont="1" applyFill="1" applyBorder="1" applyAlignment="1">
      <alignment horizontal="right" vertical="center"/>
    </xf>
    <xf numFmtId="172" fontId="52" fillId="3" borderId="0" xfId="8" applyNumberFormat="1" applyFont="1" applyFill="1" applyAlignment="1">
      <alignment horizontal="right" vertical="center"/>
    </xf>
    <xf numFmtId="177" fontId="52" fillId="3" borderId="0" xfId="6" applyNumberFormat="1" applyFont="1" applyFill="1" applyAlignment="1">
      <alignment horizontal="right" vertical="center"/>
    </xf>
    <xf numFmtId="3" fontId="68" fillId="3" borderId="14" xfId="6" applyNumberFormat="1" applyFont="1" applyFill="1" applyBorder="1" applyAlignment="1">
      <alignment horizontal="right" vertical="center"/>
    </xf>
    <xf numFmtId="177" fontId="68" fillId="3" borderId="0" xfId="6" applyNumberFormat="1" applyFont="1" applyFill="1" applyAlignment="1">
      <alignment horizontal="right" vertical="center"/>
    </xf>
    <xf numFmtId="172" fontId="68" fillId="3" borderId="0" xfId="6" applyNumberFormat="1" applyFont="1" applyFill="1" applyAlignment="1">
      <alignment horizontal="right" vertical="center"/>
    </xf>
    <xf numFmtId="4" fontId="65" fillId="3" borderId="0" xfId="9" applyNumberFormat="1" applyFont="1" applyFill="1" applyBorder="1" applyAlignment="1">
      <alignment horizontal="center" vertical="center"/>
    </xf>
    <xf numFmtId="3" fontId="54" fillId="3" borderId="0" xfId="6" applyNumberFormat="1" applyFont="1" applyFill="1" applyAlignment="1">
      <alignment horizontal="right" vertical="center" indent="1"/>
    </xf>
    <xf numFmtId="172" fontId="68" fillId="3" borderId="0" xfId="8" applyNumberFormat="1" applyFont="1" applyFill="1" applyAlignment="1">
      <alignment horizontal="right" vertical="center"/>
    </xf>
    <xf numFmtId="3" fontId="51" fillId="3" borderId="6" xfId="6" applyNumberFormat="1" applyFont="1" applyFill="1" applyBorder="1"/>
    <xf numFmtId="3" fontId="51" fillId="3" borderId="14" xfId="6" applyNumberFormat="1" applyFont="1" applyFill="1" applyBorder="1"/>
    <xf numFmtId="172" fontId="51" fillId="3" borderId="0" xfId="6" applyNumberFormat="1" applyFont="1" applyFill="1" applyAlignment="1">
      <alignment horizontal="right"/>
    </xf>
    <xf numFmtId="177" fontId="51" fillId="3" borderId="0" xfId="6" applyNumberFormat="1" applyFont="1" applyFill="1"/>
    <xf numFmtId="172" fontId="68" fillId="3" borderId="14" xfId="8" applyNumberFormat="1" applyFont="1" applyFill="1" applyBorder="1" applyAlignment="1">
      <alignment horizontal="right" vertical="center"/>
    </xf>
    <xf numFmtId="3" fontId="68" fillId="3" borderId="26" xfId="6" applyNumberFormat="1" applyFont="1" applyFill="1" applyBorder="1" applyAlignment="1">
      <alignment horizontal="right" vertical="center"/>
    </xf>
    <xf numFmtId="172" fontId="68" fillId="3" borderId="1" xfId="8" applyNumberFormat="1" applyFont="1" applyFill="1" applyBorder="1" applyAlignment="1">
      <alignment horizontal="right" vertical="center"/>
    </xf>
    <xf numFmtId="177" fontId="68" fillId="3" borderId="1" xfId="6" applyNumberFormat="1" applyFont="1" applyFill="1" applyBorder="1" applyAlignment="1">
      <alignment horizontal="right" vertical="center"/>
    </xf>
    <xf numFmtId="3" fontId="136" fillId="3" borderId="0" xfId="6" applyNumberFormat="1" applyFont="1" applyFill="1" applyAlignment="1">
      <alignment horizontal="center" vertical="center"/>
    </xf>
    <xf numFmtId="3" fontId="45" fillId="3" borderId="0" xfId="6" applyNumberFormat="1" applyFont="1" applyFill="1" applyAlignment="1">
      <alignment vertical="center"/>
    </xf>
    <xf numFmtId="178" fontId="52" fillId="3" borderId="0" xfId="22" applyNumberFormat="1" applyFont="1" applyFill="1" applyBorder="1" applyAlignment="1">
      <alignment horizontal="right" vertical="center"/>
    </xf>
    <xf numFmtId="178" fontId="68" fillId="3" borderId="0" xfId="22" applyNumberFormat="1" applyFont="1" applyFill="1" applyBorder="1" applyAlignment="1">
      <alignment horizontal="right" vertical="center"/>
    </xf>
    <xf numFmtId="178" fontId="51" fillId="3" borderId="0" xfId="22" applyNumberFormat="1" applyFont="1" applyFill="1" applyAlignment="1">
      <alignment horizontal="right" vertical="center"/>
    </xf>
    <xf numFmtId="3" fontId="50" fillId="3" borderId="1" xfId="6" applyNumberFormat="1" applyFont="1" applyFill="1" applyBorder="1" applyAlignment="1">
      <alignment horizontal="right" vertical="center"/>
    </xf>
    <xf numFmtId="178" fontId="58" fillId="3" borderId="0" xfId="22" applyNumberFormat="1" applyFont="1" applyFill="1" applyBorder="1" applyAlignment="1">
      <alignment horizontal="right" vertical="center"/>
    </xf>
    <xf numFmtId="167" fontId="70" fillId="3" borderId="0" xfId="1" applyFont="1" applyFill="1" applyAlignment="1" applyProtection="1">
      <alignment horizontal="right" vertical="center"/>
      <protection locked="0"/>
    </xf>
    <xf numFmtId="3" fontId="51" fillId="3" borderId="0" xfId="6" applyNumberFormat="1" applyFont="1" applyFill="1" applyAlignment="1" applyProtection="1">
      <alignment horizontal="right" vertical="center"/>
      <protection locked="0"/>
    </xf>
    <xf numFmtId="3" fontId="46" fillId="3" borderId="0" xfId="6" applyNumberFormat="1" applyFont="1" applyFill="1" applyAlignment="1" applyProtection="1">
      <alignment horizontal="right" vertical="center"/>
      <protection locked="0"/>
    </xf>
    <xf numFmtId="3" fontId="46" fillId="3" borderId="0" xfId="6" applyNumberFormat="1" applyFont="1" applyFill="1" applyAlignment="1">
      <alignment horizontal="right" vertical="center"/>
    </xf>
    <xf numFmtId="3" fontId="51" fillId="3" borderId="6" xfId="6" applyNumberFormat="1" applyFont="1" applyFill="1" applyBorder="1" applyAlignment="1">
      <alignment horizontal="right"/>
    </xf>
    <xf numFmtId="3" fontId="13" fillId="3" borderId="1" xfId="6" applyNumberFormat="1" applyFont="1" applyFill="1" applyBorder="1" applyAlignment="1" applyProtection="1">
      <alignment vertical="center" wrapText="1" readingOrder="2"/>
      <protection hidden="1"/>
    </xf>
    <xf numFmtId="3" fontId="55" fillId="3" borderId="8" xfId="6" applyNumberFormat="1" applyFont="1" applyFill="1" applyBorder="1" applyAlignment="1">
      <alignment horizontal="right" vertical="center" wrapText="1"/>
    </xf>
    <xf numFmtId="3" fontId="138" fillId="3" borderId="1" xfId="6" applyNumberFormat="1" applyFont="1" applyFill="1" applyBorder="1" applyAlignment="1">
      <alignment vertical="center"/>
    </xf>
    <xf numFmtId="3" fontId="139" fillId="3" borderId="0" xfId="6" applyNumberFormat="1" applyFont="1" applyFill="1" applyAlignment="1">
      <alignment horizontal="right"/>
    </xf>
    <xf numFmtId="3" fontId="139" fillId="3" borderId="0" xfId="6" applyNumberFormat="1" applyFont="1" applyFill="1" applyAlignment="1">
      <alignment horizontal="right" vertical="center" indent="1"/>
    </xf>
    <xf numFmtId="3" fontId="139" fillId="3" borderId="0" xfId="6" applyNumberFormat="1" applyFont="1" applyFill="1" applyAlignment="1">
      <alignment horizontal="right" vertical="center"/>
    </xf>
    <xf numFmtId="3" fontId="140" fillId="3" borderId="0" xfId="6" applyNumberFormat="1" applyFont="1" applyFill="1" applyAlignment="1">
      <alignment horizontal="right" vertical="center" indent="1"/>
    </xf>
    <xf numFmtId="3" fontId="139" fillId="3" borderId="0" xfId="6" applyNumberFormat="1" applyFont="1" applyFill="1"/>
    <xf numFmtId="3" fontId="139" fillId="3" borderId="0" xfId="6" applyNumberFormat="1" applyFont="1" applyFill="1" applyAlignment="1">
      <alignment horizontal="right" vertical="center" indent="2"/>
    </xf>
    <xf numFmtId="3" fontId="139" fillId="3" borderId="1" xfId="6" applyNumberFormat="1" applyFont="1" applyFill="1" applyBorder="1" applyAlignment="1">
      <alignment horizontal="right" vertical="center" indent="1"/>
    </xf>
    <xf numFmtId="3" fontId="142" fillId="3" borderId="0" xfId="6" applyNumberFormat="1" applyFont="1" applyFill="1" applyProtection="1">
      <protection locked="0"/>
    </xf>
    <xf numFmtId="3" fontId="139" fillId="3" borderId="0" xfId="6" applyNumberFormat="1" applyFont="1" applyFill="1" applyAlignment="1" applyProtection="1">
      <alignment horizontal="right"/>
      <protection locked="0"/>
    </xf>
    <xf numFmtId="3" fontId="142" fillId="3" borderId="0" xfId="6" applyNumberFormat="1" applyFont="1" applyFill="1" applyAlignment="1" applyProtection="1">
      <alignment horizontal="right"/>
      <protection locked="0"/>
    </xf>
    <xf numFmtId="3" fontId="142" fillId="3" borderId="0" xfId="6" applyNumberFormat="1" applyFont="1" applyFill="1" applyAlignment="1">
      <alignment horizontal="right"/>
    </xf>
    <xf numFmtId="3" fontId="70" fillId="3" borderId="0" xfId="6" applyNumberFormat="1" applyFont="1" applyFill="1" applyAlignment="1">
      <alignment horizontal="right" vertical="center"/>
    </xf>
    <xf numFmtId="3" fontId="58" fillId="3" borderId="14" xfId="6" applyNumberFormat="1" applyFont="1" applyFill="1" applyBorder="1" applyAlignment="1">
      <alignment horizontal="center"/>
    </xf>
    <xf numFmtId="2" fontId="52" fillId="3" borderId="14" xfId="8" applyNumberFormat="1" applyFont="1" applyFill="1" applyBorder="1" applyAlignment="1">
      <alignment horizontal="center" vertical="center"/>
    </xf>
    <xf numFmtId="3" fontId="68" fillId="3" borderId="14" xfId="6" applyNumberFormat="1" applyFont="1" applyFill="1" applyBorder="1" applyAlignment="1">
      <alignment horizontal="center" vertical="center"/>
    </xf>
    <xf numFmtId="2" fontId="68" fillId="3" borderId="14" xfId="6" applyNumberFormat="1" applyFont="1" applyFill="1" applyBorder="1" applyAlignment="1">
      <alignment horizontal="center" vertical="center"/>
    </xf>
    <xf numFmtId="2" fontId="68" fillId="3" borderId="26" xfId="8" applyNumberFormat="1" applyFont="1" applyFill="1" applyBorder="1" applyAlignment="1">
      <alignment horizontal="center" vertical="center"/>
    </xf>
    <xf numFmtId="167" fontId="74" fillId="3" borderId="0" xfId="1" applyFont="1" applyFill="1" applyAlignment="1" applyProtection="1">
      <alignment horizontal="left" vertical="center"/>
      <protection locked="0"/>
    </xf>
    <xf numFmtId="178" fontId="68" fillId="3" borderId="1" xfId="22" applyNumberFormat="1" applyFont="1" applyFill="1" applyBorder="1" applyAlignment="1">
      <alignment horizontal="right" vertical="center"/>
    </xf>
    <xf numFmtId="49" fontId="52" fillId="3" borderId="6" xfId="7" applyNumberFormat="1" applyFont="1" applyFill="1" applyBorder="1" applyAlignment="1">
      <alignment horizontal="center" vertical="center"/>
    </xf>
    <xf numFmtId="167" fontId="130" fillId="3" borderId="0" xfId="1" applyFont="1" applyFill="1" applyAlignment="1">
      <alignment horizontal="center" vertical="center"/>
    </xf>
    <xf numFmtId="167" fontId="130" fillId="3" borderId="0" xfId="1" applyFont="1" applyFill="1" applyAlignment="1">
      <alignment horizontal="right" vertical="center"/>
    </xf>
    <xf numFmtId="167" fontId="130" fillId="3" borderId="6" xfId="1" applyFont="1" applyFill="1" applyBorder="1" applyAlignment="1">
      <alignment horizontal="right" vertical="center"/>
    </xf>
    <xf numFmtId="167" fontId="130" fillId="3" borderId="2" xfId="1" applyFont="1" applyFill="1" applyBorder="1" applyAlignment="1">
      <alignment horizontal="right" vertical="center"/>
    </xf>
    <xf numFmtId="167" fontId="130" fillId="3" borderId="3" xfId="1" applyFont="1" applyFill="1" applyBorder="1" applyAlignment="1">
      <alignment horizontal="center" vertical="center"/>
    </xf>
    <xf numFmtId="167" fontId="130" fillId="3" borderId="5" xfId="1" applyFont="1" applyFill="1" applyBorder="1" applyAlignment="1">
      <alignment horizontal="right" vertical="center"/>
    </xf>
    <xf numFmtId="3" fontId="52" fillId="3" borderId="0" xfId="6" applyNumberFormat="1" applyFont="1" applyFill="1" applyAlignment="1">
      <alignment horizontal="right" vertical="center" indent="3"/>
    </xf>
    <xf numFmtId="3" fontId="68" fillId="3" borderId="0" xfId="6" applyNumberFormat="1" applyFont="1" applyFill="1" applyAlignment="1">
      <alignment horizontal="right" vertical="center" indent="3"/>
    </xf>
    <xf numFmtId="3" fontId="51" fillId="3" borderId="0" xfId="6" applyNumberFormat="1" applyFont="1" applyFill="1" applyAlignment="1">
      <alignment horizontal="right" indent="3"/>
    </xf>
    <xf numFmtId="3" fontId="68" fillId="3" borderId="1" xfId="6" applyNumberFormat="1" applyFont="1" applyFill="1" applyBorder="1" applyAlignment="1">
      <alignment horizontal="right" vertical="center" indent="3"/>
    </xf>
    <xf numFmtId="167" fontId="101" fillId="3" borderId="0" xfId="0" applyNumberFormat="1" applyFont="1" applyFill="1" applyAlignment="1">
      <alignment horizontal="center" vertical="center"/>
    </xf>
    <xf numFmtId="0" fontId="56" fillId="3" borderId="0" xfId="0" applyFont="1" applyFill="1" applyAlignment="1">
      <alignment horizontal="right" vertical="center" wrapText="1"/>
    </xf>
    <xf numFmtId="0" fontId="56" fillId="3" borderId="1" xfId="0" applyFont="1" applyFill="1" applyBorder="1" applyAlignment="1">
      <alignment horizontal="right" vertical="center" wrapText="1"/>
    </xf>
    <xf numFmtId="3" fontId="81" fillId="3" borderId="0" xfId="6" applyNumberFormat="1" applyFont="1" applyFill="1" applyAlignment="1" applyProtection="1">
      <alignment horizontal="left" vertical="center" wrapText="1" indent="3"/>
      <protection locked="0"/>
    </xf>
    <xf numFmtId="167" fontId="142" fillId="3" borderId="0" xfId="1" applyFont="1" applyFill="1" applyAlignment="1" applyProtection="1">
      <alignment horizontal="left" indent="1"/>
      <protection locked="0"/>
    </xf>
    <xf numFmtId="3" fontId="74" fillId="3" borderId="0" xfId="6" applyNumberFormat="1" applyFont="1" applyFill="1" applyAlignment="1" applyProtection="1">
      <alignment horizontal="left" vertical="center" indent="1"/>
      <protection locked="0"/>
    </xf>
    <xf numFmtId="3" fontId="71" fillId="3" borderId="0" xfId="6" applyNumberFormat="1" applyFont="1" applyFill="1" applyAlignment="1" applyProtection="1">
      <alignment horizontal="left" indent="1"/>
      <protection locked="0"/>
    </xf>
    <xf numFmtId="3" fontId="71" fillId="3" borderId="0" xfId="6" applyNumberFormat="1" applyFont="1" applyFill="1" applyAlignment="1" applyProtection="1">
      <alignment horizontal="left" vertical="center" indent="1"/>
      <protection locked="0"/>
    </xf>
    <xf numFmtId="3" fontId="51" fillId="3" borderId="0" xfId="6" applyNumberFormat="1" applyFont="1" applyFill="1" applyAlignment="1" applyProtection="1">
      <alignment horizontal="left" indent="1"/>
      <protection locked="0"/>
    </xf>
    <xf numFmtId="3" fontId="51" fillId="3" borderId="0" xfId="6" applyNumberFormat="1" applyFont="1" applyFill="1" applyAlignment="1" applyProtection="1">
      <alignment horizontal="left" vertical="center" indent="1"/>
      <protection locked="0"/>
    </xf>
    <xf numFmtId="3" fontId="67" fillId="3" borderId="0" xfId="6" applyNumberFormat="1" applyFont="1" applyFill="1" applyAlignment="1" applyProtection="1">
      <alignment horizontal="left" vertical="center" indent="1"/>
      <protection locked="0"/>
    </xf>
    <xf numFmtId="0" fontId="139" fillId="3" borderId="0" xfId="6" applyFont="1" applyFill="1" applyAlignment="1" applyProtection="1">
      <alignment horizontal="left" vertical="center" indent="1"/>
      <protection locked="0"/>
    </xf>
    <xf numFmtId="3" fontId="55" fillId="3" borderId="0" xfId="6" applyNumberFormat="1" applyFont="1" applyFill="1" applyAlignment="1" applyProtection="1">
      <alignment horizontal="left" vertical="center" indent="1"/>
      <protection locked="0"/>
    </xf>
    <xf numFmtId="3" fontId="55" fillId="3" borderId="0" xfId="6" applyNumberFormat="1" applyFont="1" applyFill="1" applyAlignment="1" applyProtection="1">
      <alignment horizontal="left" indent="1"/>
      <protection locked="0"/>
    </xf>
    <xf numFmtId="167" fontId="49" fillId="3" borderId="0" xfId="1" applyFont="1" applyFill="1" applyAlignment="1" applyProtection="1">
      <alignment horizontal="left" vertical="center" indent="1"/>
      <protection locked="0"/>
    </xf>
    <xf numFmtId="49" fontId="75" fillId="3" borderId="0" xfId="1" applyNumberFormat="1" applyFont="1" applyFill="1" applyAlignment="1" applyProtection="1">
      <alignment horizontal="left" vertical="center" indent="1"/>
      <protection locked="0"/>
    </xf>
    <xf numFmtId="167" fontId="75" fillId="3" borderId="0" xfId="1" applyFont="1" applyFill="1" applyAlignment="1" applyProtection="1">
      <alignment horizontal="left" vertical="center" indent="1"/>
      <protection locked="0"/>
    </xf>
    <xf numFmtId="37" fontId="75" fillId="3" borderId="0" xfId="1" applyNumberFormat="1" applyFont="1" applyFill="1" applyAlignment="1" applyProtection="1">
      <alignment horizontal="left" indent="1"/>
      <protection locked="0"/>
    </xf>
    <xf numFmtId="37" fontId="75" fillId="3" borderId="0" xfId="1" applyNumberFormat="1" applyFont="1" applyFill="1" applyAlignment="1" applyProtection="1">
      <alignment horizontal="left" vertical="center" indent="1"/>
      <protection locked="0"/>
    </xf>
    <xf numFmtId="4" fontId="75" fillId="3" borderId="0" xfId="1" applyNumberFormat="1" applyFont="1" applyFill="1" applyAlignment="1" applyProtection="1">
      <alignment horizontal="left" vertical="center" indent="1"/>
      <protection locked="0"/>
    </xf>
    <xf numFmtId="2" fontId="49" fillId="3" borderId="0" xfId="1" applyNumberFormat="1" applyFont="1" applyFill="1" applyAlignment="1" applyProtection="1">
      <alignment horizontal="left" indent="1"/>
      <protection locked="0"/>
    </xf>
    <xf numFmtId="2" fontId="49" fillId="3" borderId="0" xfId="1" applyNumberFormat="1" applyFont="1" applyFill="1" applyAlignment="1" applyProtection="1">
      <alignment horizontal="left" vertical="center" indent="1"/>
      <protection locked="0"/>
    </xf>
    <xf numFmtId="167" fontId="141" fillId="3" borderId="0" xfId="1" applyFont="1" applyFill="1" applyAlignment="1" applyProtection="1">
      <alignment horizontal="left" vertical="center" indent="1"/>
      <protection locked="0"/>
    </xf>
    <xf numFmtId="3" fontId="79" fillId="3" borderId="0" xfId="6" applyNumberFormat="1" applyFont="1" applyFill="1" applyAlignment="1" applyProtection="1">
      <alignment horizontal="left" indent="1"/>
      <protection locked="0"/>
    </xf>
    <xf numFmtId="3" fontId="74" fillId="3" borderId="0" xfId="6" applyNumberFormat="1" applyFont="1" applyFill="1" applyAlignment="1" applyProtection="1">
      <alignment horizontal="left" indent="1"/>
      <protection locked="0"/>
    </xf>
    <xf numFmtId="3" fontId="80" fillId="3" borderId="0" xfId="6" applyNumberFormat="1" applyFont="1" applyFill="1" applyAlignment="1" applyProtection="1">
      <alignment horizontal="left" indent="1"/>
      <protection locked="0"/>
    </xf>
    <xf numFmtId="3" fontId="80" fillId="3" borderId="0" xfId="6" applyNumberFormat="1" applyFont="1" applyFill="1" applyAlignment="1" applyProtection="1">
      <alignment horizontal="left" vertical="center" indent="1"/>
      <protection locked="0"/>
    </xf>
    <xf numFmtId="167" fontId="143" fillId="3" borderId="0" xfId="1" applyFont="1" applyFill="1" applyAlignment="1" applyProtection="1">
      <alignment horizontal="left" indent="1"/>
      <protection locked="0"/>
    </xf>
    <xf numFmtId="3" fontId="81" fillId="3" borderId="0" xfId="6" applyNumberFormat="1" applyFont="1" applyFill="1" applyAlignment="1" applyProtection="1">
      <alignment horizontal="left" vertical="center" indent="3"/>
      <protection locked="0"/>
    </xf>
    <xf numFmtId="4" fontId="46" fillId="3" borderId="15" xfId="6" applyNumberFormat="1" applyFont="1" applyFill="1" applyBorder="1" applyAlignment="1" applyProtection="1">
      <alignment horizontal="left" vertical="center" indent="3"/>
      <protection locked="0"/>
    </xf>
    <xf numFmtId="3" fontId="46" fillId="3" borderId="0" xfId="6" applyNumberFormat="1" applyFont="1" applyFill="1" applyAlignment="1" applyProtection="1">
      <alignment horizontal="left" vertical="center" indent="3"/>
      <protection locked="0"/>
    </xf>
    <xf numFmtId="3" fontId="78" fillId="3" borderId="15" xfId="6" applyNumberFormat="1" applyFont="1" applyFill="1" applyBorder="1" applyAlignment="1" applyProtection="1">
      <alignment horizontal="left" vertical="center" indent="3"/>
      <protection locked="0"/>
    </xf>
    <xf numFmtId="3" fontId="46" fillId="3" borderId="15" xfId="6" applyNumberFormat="1" applyFont="1" applyFill="1" applyBorder="1" applyAlignment="1" applyProtection="1">
      <alignment horizontal="left" vertical="center" indent="3"/>
      <protection locked="0"/>
    </xf>
    <xf numFmtId="3" fontId="46" fillId="3" borderId="16" xfId="6" applyNumberFormat="1" applyFont="1" applyFill="1" applyBorder="1" applyAlignment="1" applyProtection="1">
      <alignment horizontal="left" vertical="center" indent="3"/>
      <protection locked="0"/>
    </xf>
    <xf numFmtId="3" fontId="46" fillId="3" borderId="17" xfId="6" applyNumberFormat="1" applyFont="1" applyFill="1" applyBorder="1" applyAlignment="1" applyProtection="1">
      <alignment horizontal="left" vertical="center" indent="3"/>
      <protection locked="0"/>
    </xf>
    <xf numFmtId="3" fontId="46" fillId="3" borderId="18" xfId="6" applyNumberFormat="1" applyFont="1" applyFill="1" applyBorder="1" applyAlignment="1" applyProtection="1">
      <alignment horizontal="left" vertical="center" indent="3"/>
      <protection locked="0"/>
    </xf>
    <xf numFmtId="167" fontId="142" fillId="3" borderId="0" xfId="1" applyFont="1" applyFill="1" applyAlignment="1" applyProtection="1">
      <alignment horizontal="left" vertical="center" indent="3"/>
      <protection locked="0"/>
    </xf>
    <xf numFmtId="167" fontId="68" fillId="3" borderId="0" xfId="1" applyFont="1" applyFill="1" applyAlignment="1" applyProtection="1">
      <alignment horizontal="left" vertical="center" indent="3"/>
      <protection locked="0"/>
    </xf>
    <xf numFmtId="167" fontId="78" fillId="3" borderId="0" xfId="1" applyFont="1" applyFill="1" applyAlignment="1" applyProtection="1">
      <alignment horizontal="left" vertical="center" indent="3"/>
      <protection locked="0"/>
    </xf>
    <xf numFmtId="3" fontId="46" fillId="3" borderId="19" xfId="6" applyNumberFormat="1" applyFont="1" applyFill="1" applyBorder="1" applyAlignment="1" applyProtection="1">
      <alignment horizontal="left" vertical="center" indent="3"/>
      <protection locked="0"/>
    </xf>
    <xf numFmtId="3" fontId="142" fillId="3" borderId="0" xfId="6" applyNumberFormat="1" applyFont="1" applyFill="1" applyAlignment="1" applyProtection="1">
      <alignment horizontal="left" vertical="center" indent="3"/>
      <protection locked="0"/>
    </xf>
    <xf numFmtId="3" fontId="68" fillId="3" borderId="20" xfId="6" applyNumberFormat="1" applyFont="1" applyFill="1" applyBorder="1" applyAlignment="1" applyProtection="1">
      <alignment horizontal="left" vertical="center" indent="3"/>
      <protection locked="0"/>
    </xf>
    <xf numFmtId="3" fontId="78" fillId="3" borderId="0" xfId="6" applyNumberFormat="1" applyFont="1" applyFill="1" applyAlignment="1" applyProtection="1">
      <alignment horizontal="left" vertical="center" indent="3"/>
      <protection locked="0"/>
    </xf>
    <xf numFmtId="4" fontId="46" fillId="3" borderId="0" xfId="6" applyNumberFormat="1" applyFont="1" applyFill="1" applyAlignment="1" applyProtection="1">
      <alignment horizontal="left" vertical="center" indent="3"/>
      <protection locked="0"/>
    </xf>
    <xf numFmtId="3" fontId="78" fillId="3" borderId="21" xfId="6" applyNumberFormat="1" applyFont="1" applyFill="1" applyBorder="1" applyAlignment="1" applyProtection="1">
      <alignment horizontal="left" vertical="center" indent="3"/>
      <protection locked="0"/>
    </xf>
    <xf numFmtId="3" fontId="142" fillId="3" borderId="0" xfId="6" applyNumberFormat="1" applyFont="1" applyFill="1" applyAlignment="1" applyProtection="1">
      <alignment horizontal="left" vertical="center" indent="3" readingOrder="2"/>
      <protection locked="0"/>
    </xf>
    <xf numFmtId="3" fontId="68" fillId="3" borderId="20" xfId="6" applyNumberFormat="1" applyFont="1" applyFill="1" applyBorder="1" applyAlignment="1" applyProtection="1">
      <alignment horizontal="left" vertical="center" indent="3" readingOrder="2"/>
      <protection locked="0"/>
    </xf>
    <xf numFmtId="3" fontId="78" fillId="3" borderId="0" xfId="6" applyNumberFormat="1" applyFont="1" applyFill="1" applyAlignment="1" applyProtection="1">
      <alignment horizontal="left" vertical="center" indent="3" readingOrder="2"/>
      <protection locked="0"/>
    </xf>
    <xf numFmtId="167" fontId="78" fillId="3" borderId="0" xfId="1" applyFont="1" applyFill="1" applyAlignment="1" applyProtection="1">
      <alignment horizontal="left" vertical="center" wrapText="1" indent="3"/>
      <protection locked="0"/>
    </xf>
    <xf numFmtId="167" fontId="142" fillId="3" borderId="0" xfId="1" applyFont="1" applyFill="1" applyAlignment="1" applyProtection="1">
      <alignment horizontal="left" vertical="center" wrapText="1" indent="3"/>
      <protection locked="0"/>
    </xf>
    <xf numFmtId="167" fontId="68" fillId="3" borderId="0" xfId="1" applyFont="1" applyFill="1" applyAlignment="1" applyProtection="1">
      <alignment horizontal="left" vertical="center" wrapText="1" indent="3"/>
      <protection locked="0"/>
    </xf>
    <xf numFmtId="0" fontId="81" fillId="3" borderId="0" xfId="11" applyFont="1" applyFill="1" applyAlignment="1">
      <alignment horizontal="left" vertical="center" indent="3"/>
    </xf>
    <xf numFmtId="3" fontId="68" fillId="3" borderId="0" xfId="6" applyNumberFormat="1" applyFont="1" applyFill="1" applyAlignment="1" applyProtection="1">
      <alignment horizontal="left" vertical="center" indent="3" readingOrder="2"/>
      <protection locked="0"/>
    </xf>
    <xf numFmtId="172" fontId="67" fillId="3" borderId="14" xfId="8" applyNumberFormat="1" applyFont="1" applyFill="1" applyBorder="1" applyAlignment="1">
      <alignment horizontal="center" vertical="center"/>
    </xf>
    <xf numFmtId="4" fontId="67" fillId="3" borderId="14" xfId="9" applyNumberFormat="1" applyFont="1" applyFill="1" applyBorder="1" applyAlignment="1">
      <alignment horizontal="center" vertical="center"/>
    </xf>
    <xf numFmtId="3" fontId="67" fillId="3" borderId="14" xfId="6" applyNumberFormat="1" applyFont="1" applyFill="1" applyBorder="1" applyAlignment="1">
      <alignment horizontal="center" vertical="center"/>
    </xf>
    <xf numFmtId="167" fontId="146" fillId="2" borderId="0" xfId="1" applyFont="1" applyFill="1" applyAlignment="1">
      <alignment horizontal="left"/>
    </xf>
    <xf numFmtId="167" fontId="144" fillId="2" borderId="23" xfId="1" applyFont="1" applyFill="1" applyBorder="1" applyAlignment="1">
      <alignment horizontal="right" vertical="center"/>
    </xf>
    <xf numFmtId="167" fontId="144" fillId="2" borderId="0" xfId="1" applyFont="1" applyFill="1" applyAlignment="1">
      <alignment horizontal="right" vertical="center" indent="1"/>
    </xf>
    <xf numFmtId="167" fontId="147" fillId="2" borderId="0" xfId="1" applyFont="1" applyFill="1" applyAlignment="1">
      <alignment horizontal="right" vertical="center" indent="2"/>
    </xf>
    <xf numFmtId="167" fontId="147" fillId="2" borderId="1" xfId="1" applyFont="1" applyFill="1" applyBorder="1" applyAlignment="1">
      <alignment horizontal="right" vertical="center" indent="2"/>
    </xf>
    <xf numFmtId="167" fontId="144" fillId="2" borderId="0" xfId="16" applyFont="1" applyFill="1" applyAlignment="1" applyProtection="1">
      <alignment horizontal="left" vertical="center"/>
      <protection hidden="1"/>
    </xf>
    <xf numFmtId="167" fontId="144" fillId="2" borderId="6" xfId="15" applyFont="1" applyFill="1" applyBorder="1" applyAlignment="1" applyProtection="1">
      <alignment horizontal="right" vertical="center"/>
      <protection hidden="1"/>
    </xf>
    <xf numFmtId="167" fontId="144" fillId="2" borderId="0" xfId="15" applyFont="1" applyFill="1" applyAlignment="1" applyProtection="1">
      <alignment horizontal="right" vertical="center"/>
      <protection hidden="1"/>
    </xf>
    <xf numFmtId="167" fontId="144" fillId="2" borderId="14" xfId="15" applyFont="1" applyFill="1" applyBorder="1" applyAlignment="1" applyProtection="1">
      <alignment horizontal="right" vertical="center"/>
      <protection hidden="1"/>
    </xf>
    <xf numFmtId="167" fontId="131" fillId="2" borderId="0" xfId="16" applyFont="1" applyFill="1"/>
    <xf numFmtId="167" fontId="131" fillId="3" borderId="0" xfId="16" applyFont="1" applyFill="1"/>
    <xf numFmtId="167" fontId="131" fillId="3" borderId="0" xfId="16" applyFont="1" applyFill="1" applyAlignment="1">
      <alignment horizontal="right"/>
    </xf>
    <xf numFmtId="167" fontId="150" fillId="3" borderId="0" xfId="0" applyNumberFormat="1" applyFont="1" applyFill="1" applyAlignment="1">
      <alignment horizontal="right" vertical="center"/>
    </xf>
    <xf numFmtId="167" fontId="151" fillId="3" borderId="13" xfId="0" applyNumberFormat="1" applyFont="1" applyFill="1" applyBorder="1" applyAlignment="1">
      <alignment horizontal="right" vertical="center"/>
    </xf>
    <xf numFmtId="1" fontId="130" fillId="3" borderId="0" xfId="15" applyNumberFormat="1" applyFont="1" applyFill="1" applyAlignment="1">
      <alignment horizontal="right" vertical="center"/>
    </xf>
    <xf numFmtId="1" fontId="131" fillId="3" borderId="0" xfId="15" applyNumberFormat="1" applyFont="1" applyFill="1" applyAlignment="1">
      <alignment horizontal="right" vertical="center"/>
    </xf>
    <xf numFmtId="1" fontId="131" fillId="3" borderId="1" xfId="15" applyNumberFormat="1" applyFont="1" applyFill="1" applyBorder="1" applyAlignment="1">
      <alignment horizontal="right" vertical="center"/>
    </xf>
    <xf numFmtId="167" fontId="130" fillId="2" borderId="23" xfId="0" applyNumberFormat="1" applyFont="1" applyFill="1" applyBorder="1" applyAlignment="1">
      <alignment horizontal="right" vertical="center"/>
    </xf>
    <xf numFmtId="167" fontId="130" fillId="2" borderId="0" xfId="0" applyNumberFormat="1" applyFont="1" applyFill="1" applyAlignment="1">
      <alignment horizontal="right" vertical="center"/>
    </xf>
    <xf numFmtId="167" fontId="131" fillId="2" borderId="0" xfId="0" applyNumberFormat="1" applyFont="1" applyFill="1" applyAlignment="1">
      <alignment horizontal="right" vertical="center"/>
    </xf>
    <xf numFmtId="3" fontId="131" fillId="3" borderId="1" xfId="6" applyNumberFormat="1" applyFont="1" applyFill="1" applyBorder="1" applyAlignment="1" applyProtection="1">
      <alignment horizontal="right" vertical="center"/>
      <protection hidden="1"/>
    </xf>
    <xf numFmtId="3" fontId="131" fillId="3" borderId="52" xfId="6" applyNumberFormat="1" applyFont="1" applyFill="1" applyBorder="1" applyAlignment="1" applyProtection="1">
      <alignment horizontal="right" vertical="center" indent="1"/>
      <protection hidden="1"/>
    </xf>
    <xf numFmtId="3" fontId="131" fillId="3" borderId="53" xfId="6" applyNumberFormat="1" applyFont="1" applyFill="1" applyBorder="1" applyAlignment="1" applyProtection="1">
      <alignment horizontal="right" vertical="center" indent="1"/>
      <protection hidden="1"/>
    </xf>
    <xf numFmtId="3" fontId="131" fillId="3" borderId="54" xfId="6" applyNumberFormat="1" applyFont="1" applyFill="1" applyBorder="1" applyAlignment="1" applyProtection="1">
      <alignment horizontal="right" vertical="center" indent="1"/>
      <protection hidden="1"/>
    </xf>
    <xf numFmtId="167" fontId="63" fillId="3" borderId="0" xfId="15" applyFont="1" applyFill="1" applyAlignment="1">
      <alignment horizontal="right" vertical="center"/>
    </xf>
    <xf numFmtId="167" fontId="99" fillId="2" borderId="0" xfId="0" quotePrefix="1" applyNumberFormat="1" applyFont="1" applyFill="1" applyAlignment="1">
      <alignment horizontal="right" vertical="center"/>
    </xf>
    <xf numFmtId="167" fontId="38" fillId="3" borderId="0" xfId="0" applyNumberFormat="1" applyFont="1" applyFill="1"/>
    <xf numFmtId="167" fontId="9" fillId="3" borderId="0" xfId="0" applyNumberFormat="1" applyFont="1" applyFill="1" applyAlignment="1">
      <alignment vertical="center"/>
    </xf>
    <xf numFmtId="1" fontId="22" fillId="3" borderId="6" xfId="19" applyNumberFormat="1" applyFont="1" applyFill="1" applyBorder="1" applyAlignment="1" applyProtection="1">
      <alignment vertical="center"/>
      <protection locked="0"/>
    </xf>
    <xf numFmtId="1" fontId="22" fillId="3" borderId="7" xfId="19" applyNumberFormat="1" applyFont="1" applyFill="1" applyBorder="1" applyAlignment="1" applyProtection="1">
      <alignment vertical="center"/>
      <protection locked="0"/>
    </xf>
    <xf numFmtId="1" fontId="22" fillId="3" borderId="1" xfId="19" applyNumberFormat="1" applyFont="1" applyFill="1" applyBorder="1" applyAlignment="1" applyProtection="1">
      <alignment vertical="center"/>
      <protection locked="0"/>
    </xf>
    <xf numFmtId="0" fontId="1" fillId="3" borderId="0" xfId="0" applyFont="1" applyFill="1" applyAlignment="1">
      <alignment vertical="top"/>
    </xf>
    <xf numFmtId="0" fontId="1" fillId="3" borderId="0" xfId="0" applyFont="1" applyFill="1"/>
    <xf numFmtId="0" fontId="1" fillId="3" borderId="0" xfId="0" applyFont="1" applyFill="1" applyAlignment="1">
      <alignment horizontal="right" vertical="top"/>
    </xf>
    <xf numFmtId="0" fontId="102" fillId="3" borderId="0" xfId="25" applyFont="1" applyFill="1"/>
    <xf numFmtId="0" fontId="33" fillId="3" borderId="0" xfId="25" applyFont="1" applyFill="1"/>
    <xf numFmtId="0" fontId="156" fillId="3" borderId="0" xfId="25" applyFont="1" applyFill="1" applyAlignment="1">
      <alignment horizontal="center" vertical="center"/>
    </xf>
    <xf numFmtId="0" fontId="156" fillId="3" borderId="0" xfId="25" applyFont="1" applyFill="1" applyAlignment="1">
      <alignment vertical="center"/>
    </xf>
    <xf numFmtId="167" fontId="158" fillId="2" borderId="0" xfId="16" applyFont="1" applyFill="1" applyAlignment="1" applyProtection="1">
      <alignment vertical="center"/>
      <protection hidden="1"/>
    </xf>
    <xf numFmtId="167" fontId="151" fillId="3" borderId="0" xfId="0" applyNumberFormat="1" applyFont="1" applyFill="1" applyAlignment="1">
      <alignment horizontal="right" vertical="center"/>
    </xf>
    <xf numFmtId="167" fontId="93" fillId="2" borderId="1" xfId="1" applyFont="1" applyFill="1" applyBorder="1" applyAlignment="1">
      <alignment horizontal="center" vertical="center"/>
    </xf>
    <xf numFmtId="167" fontId="93" fillId="2" borderId="26" xfId="1" applyFont="1" applyFill="1" applyBorder="1" applyAlignment="1">
      <alignment horizontal="center" vertical="center"/>
    </xf>
    <xf numFmtId="167" fontId="4" fillId="2" borderId="14" xfId="1" applyFill="1" applyBorder="1"/>
    <xf numFmtId="167" fontId="93" fillId="2" borderId="7" xfId="1" applyFont="1" applyFill="1" applyBorder="1" applyAlignment="1">
      <alignment horizontal="center" vertical="center"/>
    </xf>
    <xf numFmtId="167" fontId="4" fillId="2" borderId="6" xfId="1" applyFill="1" applyBorder="1"/>
    <xf numFmtId="0" fontId="0" fillId="3" borderId="1" xfId="0" applyFill="1" applyBorder="1" applyAlignment="1">
      <alignment horizontal="center" vertical="center"/>
    </xf>
    <xf numFmtId="2" fontId="0" fillId="3" borderId="1" xfId="0" applyNumberFormat="1" applyFill="1" applyBorder="1"/>
    <xf numFmtId="0" fontId="114" fillId="0" borderId="0" xfId="0" applyFont="1" applyAlignment="1">
      <alignment vertical="center"/>
    </xf>
    <xf numFmtId="167" fontId="32" fillId="2" borderId="0" xfId="1" applyFont="1" applyFill="1"/>
    <xf numFmtId="167" fontId="39" fillId="3" borderId="1" xfId="19" applyNumberFormat="1" applyFont="1" applyFill="1" applyBorder="1" applyAlignment="1" applyProtection="1">
      <alignment vertical="center"/>
      <protection locked="0"/>
    </xf>
    <xf numFmtId="0" fontId="94" fillId="3" borderId="0" xfId="0" applyFont="1" applyFill="1" applyAlignment="1">
      <alignment vertical="center"/>
    </xf>
    <xf numFmtId="49" fontId="161" fillId="3" borderId="0" xfId="0" applyNumberFormat="1" applyFont="1" applyFill="1" applyAlignment="1">
      <alignment horizontal="left" vertical="center" indent="1"/>
    </xf>
    <xf numFmtId="0" fontId="162" fillId="3" borderId="0" xfId="25" applyFont="1" applyFill="1" applyAlignment="1">
      <alignment horizontal="center" vertical="center"/>
    </xf>
    <xf numFmtId="0" fontId="101" fillId="3" borderId="0" xfId="25" applyFont="1" applyFill="1"/>
    <xf numFmtId="0" fontId="112" fillId="3" borderId="0" xfId="25" applyFont="1" applyFill="1"/>
    <xf numFmtId="3" fontId="68" fillId="3" borderId="8" xfId="6" applyNumberFormat="1" applyFont="1" applyFill="1" applyBorder="1"/>
    <xf numFmtId="3" fontId="68" fillId="3" borderId="0" xfId="6" applyNumberFormat="1" applyFont="1" applyFill="1"/>
    <xf numFmtId="3" fontId="68" fillId="3" borderId="1" xfId="6" applyNumberFormat="1" applyFont="1" applyFill="1" applyBorder="1"/>
    <xf numFmtId="0" fontId="125" fillId="3" borderId="0" xfId="0" applyFont="1" applyFill="1" applyAlignment="1">
      <alignment horizontal="left" indent="1"/>
    </xf>
    <xf numFmtId="3" fontId="52" fillId="3" borderId="14" xfId="6" applyNumberFormat="1" applyFont="1" applyFill="1" applyBorder="1" applyAlignment="1">
      <alignment vertical="center"/>
    </xf>
    <xf numFmtId="3" fontId="52" fillId="3" borderId="14" xfId="6" applyNumberFormat="1" applyFont="1" applyFill="1" applyBorder="1"/>
    <xf numFmtId="3" fontId="68" fillId="3" borderId="14" xfId="6" applyNumberFormat="1" applyFont="1" applyFill="1" applyBorder="1"/>
    <xf numFmtId="0" fontId="112" fillId="3" borderId="14" xfId="25" applyFont="1" applyFill="1" applyBorder="1" applyAlignment="1">
      <alignment vertical="center"/>
    </xf>
    <xf numFmtId="3" fontId="68" fillId="3" borderId="42" xfId="6" applyNumberFormat="1" applyFont="1" applyFill="1" applyBorder="1"/>
    <xf numFmtId="3" fontId="68" fillId="3" borderId="14" xfId="6" applyNumberFormat="1" applyFont="1" applyFill="1" applyBorder="1" applyAlignment="1">
      <alignment vertical="center"/>
    </xf>
    <xf numFmtId="3" fontId="46" fillId="3" borderId="14" xfId="6" applyNumberFormat="1" applyFont="1" applyFill="1" applyBorder="1"/>
    <xf numFmtId="3" fontId="68" fillId="3" borderId="26" xfId="6" applyNumberFormat="1" applyFont="1" applyFill="1" applyBorder="1"/>
    <xf numFmtId="0" fontId="67" fillId="3" borderId="0" xfId="0" applyFont="1" applyFill="1"/>
    <xf numFmtId="3" fontId="22" fillId="3" borderId="0" xfId="0" applyNumberFormat="1" applyFont="1" applyFill="1" applyAlignment="1" applyProtection="1">
      <alignment vertical="center"/>
      <protection hidden="1"/>
    </xf>
    <xf numFmtId="1" fontId="15" fillId="3" borderId="0" xfId="15" applyNumberFormat="1" applyFont="1" applyFill="1" applyAlignment="1">
      <alignment vertical="center"/>
    </xf>
    <xf numFmtId="178" fontId="52" fillId="3" borderId="1" xfId="22" applyNumberFormat="1" applyFont="1" applyFill="1" applyBorder="1" applyAlignment="1">
      <alignment horizontal="right" vertical="center"/>
    </xf>
    <xf numFmtId="167" fontId="4" fillId="2" borderId="1" xfId="16" applyFill="1" applyBorder="1"/>
    <xf numFmtId="167" fontId="112" fillId="2" borderId="0" xfId="16" applyFont="1" applyFill="1" applyAlignment="1">
      <alignment vertical="center"/>
    </xf>
    <xf numFmtId="3" fontId="112" fillId="3" borderId="6" xfId="15" applyNumberFormat="1" applyFont="1" applyFill="1" applyBorder="1" applyAlignment="1">
      <alignment horizontal="right" vertical="center"/>
    </xf>
    <xf numFmtId="178" fontId="65" fillId="3" borderId="6" xfId="22" applyNumberFormat="1" applyFont="1" applyFill="1" applyBorder="1" applyAlignment="1">
      <alignment horizontal="right" vertical="center"/>
    </xf>
    <xf numFmtId="178" fontId="65" fillId="3" borderId="0" xfId="22" applyNumberFormat="1" applyFont="1" applyFill="1" applyBorder="1" applyAlignment="1">
      <alignment horizontal="right" vertical="center"/>
    </xf>
    <xf numFmtId="178" fontId="65" fillId="3" borderId="14" xfId="22" applyNumberFormat="1" applyFont="1" applyFill="1" applyBorder="1" applyAlignment="1">
      <alignment horizontal="right" vertical="center"/>
    </xf>
    <xf numFmtId="1" fontId="67" fillId="3" borderId="0" xfId="22" applyNumberFormat="1" applyFont="1" applyFill="1" applyBorder="1" applyAlignment="1">
      <alignment horizontal="right" vertical="center"/>
    </xf>
    <xf numFmtId="3" fontId="67" fillId="3" borderId="6" xfId="22" applyNumberFormat="1" applyFont="1" applyFill="1" applyBorder="1" applyAlignment="1">
      <alignment horizontal="right" vertical="center"/>
    </xf>
    <xf numFmtId="3" fontId="67" fillId="3" borderId="0" xfId="22" applyNumberFormat="1" applyFont="1" applyFill="1" applyBorder="1" applyAlignment="1">
      <alignment horizontal="right" vertical="center"/>
    </xf>
    <xf numFmtId="3" fontId="93" fillId="3" borderId="6" xfId="15" applyNumberFormat="1" applyFont="1" applyFill="1" applyBorder="1" applyAlignment="1">
      <alignment horizontal="right" vertical="center"/>
    </xf>
    <xf numFmtId="3" fontId="93" fillId="3" borderId="0" xfId="15" applyNumberFormat="1" applyFont="1" applyFill="1" applyAlignment="1">
      <alignment horizontal="right" vertical="center"/>
    </xf>
    <xf numFmtId="3" fontId="112" fillId="3" borderId="6" xfId="15" applyNumberFormat="1" applyFont="1" applyFill="1" applyBorder="1" applyAlignment="1" applyProtection="1">
      <alignment horizontal="right" vertical="center"/>
      <protection locked="0"/>
    </xf>
    <xf numFmtId="174" fontId="67" fillId="3" borderId="0" xfId="22" applyNumberFormat="1" applyFont="1" applyFill="1" applyBorder="1" applyAlignment="1">
      <alignment horizontal="right" vertical="center"/>
    </xf>
    <xf numFmtId="1" fontId="67" fillId="3" borderId="14" xfId="22" applyNumberFormat="1" applyFont="1" applyFill="1" applyBorder="1" applyAlignment="1">
      <alignment horizontal="right" vertical="center"/>
    </xf>
    <xf numFmtId="1" fontId="93" fillId="3" borderId="6" xfId="15" applyNumberFormat="1" applyFont="1" applyFill="1" applyBorder="1" applyAlignment="1">
      <alignment horizontal="right" vertical="center"/>
    </xf>
    <xf numFmtId="1" fontId="93" fillId="3" borderId="0" xfId="15" applyNumberFormat="1" applyFont="1" applyFill="1" applyAlignment="1">
      <alignment horizontal="right" vertical="center"/>
    </xf>
    <xf numFmtId="1" fontId="112" fillId="3" borderId="6" xfId="15" applyNumberFormat="1" applyFont="1" applyFill="1" applyBorder="1" applyAlignment="1">
      <alignment horizontal="right" vertical="center"/>
    </xf>
    <xf numFmtId="1" fontId="112" fillId="3" borderId="0" xfId="15" applyNumberFormat="1" applyFont="1" applyFill="1" applyAlignment="1">
      <alignment horizontal="right" vertical="center"/>
    </xf>
    <xf numFmtId="1" fontId="112" fillId="3" borderId="7" xfId="15" applyNumberFormat="1" applyFont="1" applyFill="1" applyBorder="1" applyAlignment="1">
      <alignment horizontal="right" vertical="center"/>
    </xf>
    <xf numFmtId="1" fontId="112" fillId="3" borderId="1" xfId="15" applyNumberFormat="1" applyFont="1" applyFill="1" applyBorder="1" applyAlignment="1">
      <alignment horizontal="right" vertical="center"/>
    </xf>
    <xf numFmtId="178" fontId="65" fillId="3" borderId="26" xfId="22" applyNumberFormat="1" applyFont="1" applyFill="1" applyBorder="1" applyAlignment="1">
      <alignment horizontal="right" vertical="center"/>
    </xf>
    <xf numFmtId="178" fontId="65" fillId="3" borderId="1" xfId="22" applyNumberFormat="1" applyFont="1" applyFill="1" applyBorder="1" applyAlignment="1">
      <alignment horizontal="right" vertical="center"/>
    </xf>
    <xf numFmtId="3" fontId="112" fillId="3" borderId="0" xfId="15" applyNumberFormat="1" applyFont="1" applyFill="1" applyAlignment="1">
      <alignment horizontal="right" vertical="center"/>
    </xf>
    <xf numFmtId="3" fontId="112" fillId="3" borderId="0" xfId="15" applyNumberFormat="1" applyFont="1" applyFill="1" applyAlignment="1" applyProtection="1">
      <alignment horizontal="right" vertical="center"/>
      <protection locked="0"/>
    </xf>
    <xf numFmtId="3" fontId="92" fillId="2" borderId="0" xfId="0" applyNumberFormat="1" applyFont="1" applyFill="1" applyAlignment="1" applyProtection="1">
      <alignment horizontal="right"/>
      <protection locked="0"/>
    </xf>
    <xf numFmtId="3" fontId="92" fillId="2" borderId="0" xfId="0" applyNumberFormat="1" applyFont="1" applyFill="1" applyProtection="1">
      <protection locked="0"/>
    </xf>
    <xf numFmtId="3" fontId="22" fillId="2" borderId="8" xfId="0" applyNumberFormat="1" applyFont="1" applyFill="1" applyBorder="1" applyAlignment="1" applyProtection="1">
      <alignment horizontal="right" vertical="center"/>
      <protection locked="0"/>
    </xf>
    <xf numFmtId="167" fontId="131" fillId="2" borderId="8" xfId="0" applyNumberFormat="1" applyFont="1" applyFill="1" applyBorder="1" applyAlignment="1">
      <alignment horizontal="right" vertical="center"/>
    </xf>
    <xf numFmtId="3" fontId="22" fillId="2" borderId="8" xfId="0" applyNumberFormat="1" applyFont="1" applyFill="1" applyBorder="1" applyProtection="1">
      <protection locked="0"/>
    </xf>
    <xf numFmtId="3" fontId="22" fillId="2" borderId="8" xfId="0" applyNumberFormat="1" applyFont="1" applyFill="1" applyBorder="1" applyAlignment="1" applyProtection="1">
      <alignment horizontal="right"/>
      <protection locked="0"/>
    </xf>
    <xf numFmtId="3" fontId="92" fillId="2" borderId="8" xfId="0" applyNumberFormat="1" applyFont="1" applyFill="1" applyBorder="1" applyAlignment="1" applyProtection="1">
      <alignment horizontal="right"/>
      <protection locked="0"/>
    </xf>
    <xf numFmtId="3" fontId="92" fillId="2" borderId="8" xfId="0" applyNumberFormat="1" applyFont="1" applyFill="1" applyBorder="1" applyProtection="1">
      <protection locked="0"/>
    </xf>
    <xf numFmtId="167" fontId="22" fillId="3" borderId="8" xfId="0" applyNumberFormat="1" applyFont="1" applyFill="1" applyBorder="1" applyAlignment="1">
      <alignment horizontal="left" vertical="center"/>
    </xf>
    <xf numFmtId="178" fontId="3" fillId="3" borderId="0" xfId="22" applyNumberFormat="1" applyFont="1" applyFill="1" applyBorder="1" applyAlignment="1">
      <alignment horizontal="right" vertical="center"/>
    </xf>
    <xf numFmtId="167" fontId="99" fillId="2" borderId="0" xfId="0" applyNumberFormat="1" applyFont="1" applyFill="1" applyAlignment="1">
      <alignment horizontal="right" vertical="center"/>
    </xf>
    <xf numFmtId="167" fontId="93" fillId="3" borderId="2" xfId="19" applyNumberFormat="1" applyFont="1" applyFill="1" applyBorder="1" applyAlignment="1" applyProtection="1">
      <alignment horizontal="center" vertical="center"/>
      <protection locked="0"/>
    </xf>
    <xf numFmtId="167" fontId="93" fillId="3" borderId="3" xfId="19" applyNumberFormat="1" applyFont="1" applyFill="1" applyBorder="1" applyAlignment="1" applyProtection="1">
      <alignment horizontal="center" vertical="center"/>
      <protection locked="0"/>
    </xf>
    <xf numFmtId="167" fontId="12" fillId="3" borderId="0" xfId="19" applyNumberFormat="1" applyFont="1" applyFill="1" applyAlignment="1" applyProtection="1">
      <alignment horizontal="center" vertical="center"/>
      <protection locked="0"/>
    </xf>
    <xf numFmtId="167" fontId="8" fillId="3" borderId="0" xfId="19" applyNumberFormat="1" applyFont="1" applyFill="1" applyAlignment="1" applyProtection="1">
      <alignment horizontal="center" vertical="center" wrapText="1"/>
      <protection locked="0"/>
    </xf>
    <xf numFmtId="1" fontId="37" fillId="3" borderId="0" xfId="16" applyNumberFormat="1" applyFont="1" applyFill="1" applyAlignment="1">
      <alignment horizontal="left" vertical="center" indent="2"/>
    </xf>
    <xf numFmtId="167" fontId="46" fillId="3" borderId="0" xfId="0" applyNumberFormat="1" applyFont="1" applyFill="1"/>
    <xf numFmtId="167" fontId="47" fillId="3" borderId="1" xfId="0" applyNumberFormat="1" applyFont="1" applyFill="1" applyBorder="1" applyAlignment="1">
      <alignment horizontal="center" vertical="center"/>
    </xf>
    <xf numFmtId="167" fontId="47" fillId="3" borderId="0" xfId="0" applyNumberFormat="1" applyFont="1" applyFill="1" applyAlignment="1">
      <alignment horizontal="center" vertical="center"/>
    </xf>
    <xf numFmtId="167" fontId="55" fillId="3" borderId="23" xfId="0" applyNumberFormat="1" applyFont="1" applyFill="1" applyBorder="1" applyAlignment="1">
      <alignment horizontal="left" vertical="center"/>
    </xf>
    <xf numFmtId="167" fontId="55" fillId="3" borderId="23" xfId="0" applyNumberFormat="1" applyFont="1" applyFill="1" applyBorder="1" applyAlignment="1">
      <alignment horizontal="right" vertical="center"/>
    </xf>
    <xf numFmtId="167" fontId="52" fillId="3" borderId="23" xfId="0" applyNumberFormat="1" applyFont="1" applyFill="1" applyBorder="1" applyAlignment="1">
      <alignment horizontal="right" vertical="center"/>
    </xf>
    <xf numFmtId="167" fontId="167" fillId="3" borderId="23" xfId="0" applyNumberFormat="1" applyFont="1" applyFill="1" applyBorder="1" applyAlignment="1">
      <alignment horizontal="right" vertical="center"/>
    </xf>
    <xf numFmtId="167" fontId="55" fillId="3" borderId="0" xfId="0" applyNumberFormat="1" applyFont="1" applyFill="1" applyAlignment="1">
      <alignment horizontal="left" vertical="center" indent="1"/>
    </xf>
    <xf numFmtId="167" fontId="55" fillId="3" borderId="0" xfId="0" applyNumberFormat="1" applyFont="1" applyFill="1" applyAlignment="1">
      <alignment vertical="center"/>
    </xf>
    <xf numFmtId="167" fontId="168" fillId="3" borderId="0" xfId="0" applyNumberFormat="1" applyFont="1" applyFill="1" applyAlignment="1">
      <alignment horizontal="right" vertical="center" indent="1"/>
    </xf>
    <xf numFmtId="167" fontId="71" fillId="3" borderId="0" xfId="0" applyNumberFormat="1" applyFont="1" applyFill="1" applyAlignment="1">
      <alignment horizontal="left" vertical="center" indent="1"/>
    </xf>
    <xf numFmtId="167" fontId="71" fillId="3" borderId="0" xfId="0" applyNumberFormat="1" applyFont="1" applyFill="1" applyAlignment="1" applyProtection="1">
      <alignment vertical="center"/>
      <protection locked="0"/>
    </xf>
    <xf numFmtId="167" fontId="71" fillId="3" borderId="0" xfId="0" applyNumberFormat="1" applyFont="1" applyFill="1" applyAlignment="1">
      <alignment vertical="center"/>
    </xf>
    <xf numFmtId="167" fontId="142" fillId="3" borderId="0" xfId="0" applyNumberFormat="1" applyFont="1" applyFill="1" applyAlignment="1">
      <alignment horizontal="right" vertical="center" indent="1"/>
    </xf>
    <xf numFmtId="167" fontId="71" fillId="3" borderId="0" xfId="0" quotePrefix="1" applyNumberFormat="1" applyFont="1" applyFill="1" applyAlignment="1">
      <alignment horizontal="left" vertical="center" indent="1"/>
    </xf>
    <xf numFmtId="167" fontId="142" fillId="3" borderId="0" xfId="0" quotePrefix="1" applyNumberFormat="1" applyFont="1" applyFill="1" applyAlignment="1">
      <alignment horizontal="right" vertical="center" indent="1"/>
    </xf>
    <xf numFmtId="167" fontId="78" fillId="3" borderId="0" xfId="0" quotePrefix="1" applyNumberFormat="1" applyFont="1" applyFill="1" applyAlignment="1">
      <alignment horizontal="right" vertical="center" indent="1"/>
    </xf>
    <xf numFmtId="167" fontId="71" fillId="3" borderId="1" xfId="0" quotePrefix="1" applyNumberFormat="1" applyFont="1" applyFill="1" applyBorder="1" applyAlignment="1">
      <alignment horizontal="left" vertical="center" indent="1"/>
    </xf>
    <xf numFmtId="167" fontId="71" fillId="3" borderId="1" xfId="0" applyNumberFormat="1" applyFont="1" applyFill="1" applyBorder="1" applyAlignment="1">
      <alignment vertical="center"/>
    </xf>
    <xf numFmtId="167" fontId="78" fillId="3" borderId="1" xfId="0" quotePrefix="1" applyNumberFormat="1" applyFont="1" applyFill="1" applyBorder="1" applyAlignment="1">
      <alignment horizontal="right" vertical="center" indent="1"/>
    </xf>
    <xf numFmtId="167" fontId="81" fillId="3" borderId="0" xfId="16" applyFont="1" applyFill="1" applyAlignment="1" applyProtection="1">
      <alignment vertical="center"/>
      <protection hidden="1"/>
    </xf>
    <xf numFmtId="167" fontId="46" fillId="3" borderId="0" xfId="0" applyNumberFormat="1" applyFont="1" applyFill="1" applyAlignment="1">
      <alignment vertical="center"/>
    </xf>
    <xf numFmtId="167" fontId="70" fillId="3" borderId="0" xfId="15" applyFont="1" applyFill="1" applyAlignment="1" applyProtection="1">
      <alignment horizontal="right" vertical="center" indent="1"/>
      <protection hidden="1"/>
    </xf>
    <xf numFmtId="167" fontId="74" fillId="3" borderId="0" xfId="0" applyNumberFormat="1" applyFont="1" applyFill="1" applyAlignment="1">
      <alignment horizontal="left" vertical="center"/>
    </xf>
    <xf numFmtId="167" fontId="70" fillId="3" borderId="0" xfId="15" applyFont="1" applyFill="1" applyAlignment="1" applyProtection="1">
      <alignment horizontal="right"/>
      <protection hidden="1"/>
    </xf>
    <xf numFmtId="1" fontId="22" fillId="3" borderId="10" xfId="19" applyNumberFormat="1" applyFont="1" applyFill="1" applyBorder="1" applyAlignment="1" applyProtection="1">
      <alignment vertical="center"/>
      <protection locked="0"/>
    </xf>
    <xf numFmtId="1" fontId="22" fillId="3" borderId="2" xfId="19" applyNumberFormat="1" applyFont="1" applyFill="1" applyBorder="1" applyAlignment="1" applyProtection="1">
      <alignment vertical="center"/>
      <protection locked="0"/>
    </xf>
    <xf numFmtId="37" fontId="123" fillId="3" borderId="0" xfId="10" applyNumberFormat="1" applyFont="1" applyFill="1" applyBorder="1" applyAlignment="1">
      <alignment horizontal="center" vertical="center"/>
    </xf>
    <xf numFmtId="37" fontId="112" fillId="3" borderId="0" xfId="10" applyNumberFormat="1" applyFont="1" applyFill="1" applyBorder="1" applyAlignment="1">
      <alignment horizontal="center" vertical="center"/>
    </xf>
    <xf numFmtId="37" fontId="112" fillId="3" borderId="1" xfId="10" applyNumberFormat="1" applyFont="1" applyFill="1" applyBorder="1" applyAlignment="1">
      <alignment horizontal="center" vertical="center"/>
    </xf>
    <xf numFmtId="0" fontId="13" fillId="3" borderId="37" xfId="23" applyFont="1" applyFill="1" applyBorder="1" applyAlignment="1">
      <alignment horizontal="center" vertical="center" wrapText="1"/>
    </xf>
    <xf numFmtId="0" fontId="13" fillId="3" borderId="65" xfId="23" applyFont="1" applyFill="1" applyBorder="1" applyAlignment="1">
      <alignment horizontal="center" vertical="center" wrapText="1"/>
    </xf>
    <xf numFmtId="0" fontId="13" fillId="3" borderId="1" xfId="23" applyFont="1" applyFill="1" applyBorder="1" applyAlignment="1">
      <alignment horizontal="center" vertical="center" wrapText="1"/>
    </xf>
    <xf numFmtId="0" fontId="13" fillId="3" borderId="66" xfId="23" applyFont="1" applyFill="1" applyBorder="1" applyAlignment="1">
      <alignment horizontal="center" vertical="center" wrapText="1"/>
    </xf>
    <xf numFmtId="0" fontId="13" fillId="3" borderId="56" xfId="23" applyFont="1" applyFill="1" applyBorder="1" applyAlignment="1">
      <alignment horizontal="center" vertical="center" wrapText="1"/>
    </xf>
    <xf numFmtId="0" fontId="32" fillId="3" borderId="2" xfId="23" applyFont="1" applyFill="1" applyBorder="1" applyAlignment="1">
      <alignment vertical="center"/>
    </xf>
    <xf numFmtId="0" fontId="32" fillId="3" borderId="36" xfId="23" applyFont="1" applyFill="1" applyBorder="1" applyAlignment="1">
      <alignment horizontal="center" vertical="center"/>
    </xf>
    <xf numFmtId="0" fontId="32" fillId="3" borderId="67" xfId="23" applyFont="1" applyFill="1" applyBorder="1" applyAlignment="1">
      <alignment horizontal="center" vertical="center"/>
    </xf>
    <xf numFmtId="0" fontId="32" fillId="3" borderId="2" xfId="23" applyFont="1" applyFill="1" applyBorder="1" applyAlignment="1">
      <alignment horizontal="center" vertical="center"/>
    </xf>
    <xf numFmtId="0" fontId="32" fillId="3" borderId="64" xfId="23" applyFont="1" applyFill="1" applyBorder="1" applyAlignment="1">
      <alignment horizontal="center" vertical="center"/>
    </xf>
    <xf numFmtId="0" fontId="32" fillId="3" borderId="68" xfId="23" applyFont="1" applyFill="1" applyBorder="1" applyAlignment="1">
      <alignment horizontal="center" vertical="center"/>
    </xf>
    <xf numFmtId="0" fontId="32" fillId="3" borderId="35" xfId="23" applyFont="1" applyFill="1" applyBorder="1" applyAlignment="1">
      <alignment horizontal="center" vertical="center"/>
    </xf>
    <xf numFmtId="0" fontId="95" fillId="3" borderId="2" xfId="23" applyFont="1" applyFill="1" applyBorder="1" applyAlignment="1">
      <alignment vertical="center"/>
    </xf>
    <xf numFmtId="0" fontId="33" fillId="3" borderId="0" xfId="23" applyFont="1" applyFill="1" applyAlignment="1">
      <alignment horizontal="left" vertical="center" indent="2"/>
    </xf>
    <xf numFmtId="0" fontId="32" fillId="3" borderId="44" xfId="23" applyFont="1" applyFill="1" applyBorder="1" applyAlignment="1">
      <alignment horizontal="center" vertical="center"/>
    </xf>
    <xf numFmtId="0" fontId="105" fillId="3" borderId="0" xfId="0" applyFont="1" applyFill="1" applyAlignment="1">
      <alignment horizontal="left" vertical="center" wrapText="1" indent="2"/>
    </xf>
    <xf numFmtId="0" fontId="1" fillId="3" borderId="0" xfId="0" applyFont="1" applyFill="1" applyAlignment="1">
      <alignment horizontal="right" vertical="center" wrapText="1"/>
    </xf>
    <xf numFmtId="0" fontId="154" fillId="3" borderId="0" xfId="0" applyFont="1" applyFill="1" applyAlignment="1">
      <alignment horizontal="right" vertical="center" wrapText="1"/>
    </xf>
    <xf numFmtId="0" fontId="1" fillId="3" borderId="0" xfId="0" applyFont="1" applyFill="1" applyAlignment="1">
      <alignment horizontal="left" vertical="center" wrapText="1" indent="2"/>
    </xf>
    <xf numFmtId="0" fontId="154" fillId="3" borderId="0" xfId="0" applyFont="1" applyFill="1" applyAlignment="1">
      <alignment horizontal="center" vertical="center" wrapText="1"/>
    </xf>
    <xf numFmtId="0" fontId="32" fillId="3" borderId="37" xfId="23" applyFont="1" applyFill="1" applyBorder="1" applyAlignment="1">
      <alignment horizontal="center" vertical="center"/>
    </xf>
    <xf numFmtId="0" fontId="33" fillId="3" borderId="61" xfId="23" applyFont="1" applyFill="1" applyBorder="1" applyAlignment="1">
      <alignment horizontal="center" vertical="center"/>
    </xf>
    <xf numFmtId="0" fontId="33" fillId="3" borderId="0" xfId="23" applyFont="1" applyFill="1" applyAlignment="1">
      <alignment horizontal="center" vertical="center"/>
    </xf>
    <xf numFmtId="0" fontId="32" fillId="3" borderId="62" xfId="23" applyFont="1" applyFill="1" applyBorder="1" applyAlignment="1">
      <alignment horizontal="center" vertical="center"/>
    </xf>
    <xf numFmtId="0" fontId="33" fillId="3" borderId="63" xfId="23" applyFont="1" applyFill="1" applyBorder="1" applyAlignment="1">
      <alignment horizontal="center" vertical="center"/>
    </xf>
    <xf numFmtId="0" fontId="33" fillId="3" borderId="38" xfId="23" applyFont="1" applyFill="1" applyBorder="1" applyAlignment="1">
      <alignment horizontal="center" vertical="center"/>
    </xf>
    <xf numFmtId="0" fontId="33" fillId="3" borderId="58" xfId="23" applyFont="1" applyFill="1" applyBorder="1" applyAlignment="1">
      <alignment horizontal="center" vertical="center"/>
    </xf>
    <xf numFmtId="0" fontId="33" fillId="3" borderId="1" xfId="23" applyFont="1" applyFill="1" applyBorder="1" applyAlignment="1">
      <alignment horizontal="center" vertical="center"/>
    </xf>
    <xf numFmtId="0" fontId="32" fillId="3" borderId="59" xfId="23" applyFont="1" applyFill="1" applyBorder="1" applyAlignment="1">
      <alignment horizontal="center" vertical="center"/>
    </xf>
    <xf numFmtId="0" fontId="33" fillId="3" borderId="60" xfId="23" applyFont="1" applyFill="1" applyBorder="1" applyAlignment="1">
      <alignment horizontal="center" vertical="center"/>
    </xf>
    <xf numFmtId="0" fontId="33" fillId="3" borderId="39" xfId="23" applyFont="1" applyFill="1" applyBorder="1" applyAlignment="1">
      <alignment horizontal="center" vertical="center"/>
    </xf>
    <xf numFmtId="0" fontId="112" fillId="3" borderId="61" xfId="23" applyFont="1" applyFill="1" applyBorder="1" applyAlignment="1">
      <alignment horizontal="center" vertical="center"/>
    </xf>
    <xf numFmtId="0" fontId="112" fillId="3" borderId="0" xfId="23" applyFont="1" applyFill="1" applyAlignment="1">
      <alignment horizontal="center" vertical="center"/>
    </xf>
    <xf numFmtId="0" fontId="93" fillId="3" borderId="62" xfId="23" applyFont="1" applyFill="1" applyBorder="1" applyAlignment="1">
      <alignment horizontal="center" vertical="center"/>
    </xf>
    <xf numFmtId="0" fontId="112" fillId="3" borderId="63" xfId="23" applyFont="1" applyFill="1" applyBorder="1" applyAlignment="1">
      <alignment horizontal="center" vertical="center"/>
    </xf>
    <xf numFmtId="0" fontId="112" fillId="3" borderId="38" xfId="23" applyFont="1" applyFill="1" applyBorder="1" applyAlignment="1">
      <alignment horizontal="center" vertical="center"/>
    </xf>
    <xf numFmtId="0" fontId="93" fillId="3" borderId="44" xfId="23" applyFont="1" applyFill="1" applyBorder="1" applyAlignment="1">
      <alignment horizontal="center" vertical="center"/>
    </xf>
    <xf numFmtId="0" fontId="33" fillId="3" borderId="38" xfId="23" applyFont="1" applyFill="1" applyBorder="1" applyAlignment="1">
      <alignment horizontal="left" vertical="center" indent="2"/>
    </xf>
    <xf numFmtId="0" fontId="33" fillId="3" borderId="39" xfId="23" applyFont="1" applyFill="1" applyBorder="1" applyAlignment="1">
      <alignment horizontal="left" vertical="center" indent="2"/>
    </xf>
    <xf numFmtId="0" fontId="56" fillId="3" borderId="0" xfId="0" applyFont="1" applyFill="1" applyAlignment="1">
      <alignment horizontal="right" wrapText="1"/>
    </xf>
    <xf numFmtId="0" fontId="56" fillId="3" borderId="69" xfId="0" applyFont="1" applyFill="1" applyBorder="1" applyAlignment="1">
      <alignment horizontal="right" wrapText="1"/>
    </xf>
    <xf numFmtId="0" fontId="56" fillId="3" borderId="70" xfId="0" applyFont="1" applyFill="1" applyBorder="1" applyAlignment="1">
      <alignment horizontal="right" wrapText="1"/>
    </xf>
    <xf numFmtId="0" fontId="56" fillId="3" borderId="71" xfId="0" applyFont="1" applyFill="1" applyBorder="1" applyAlignment="1">
      <alignment horizontal="right" wrapText="1"/>
    </xf>
    <xf numFmtId="3" fontId="57" fillId="3" borderId="0" xfId="0" applyNumberFormat="1" applyFont="1" applyFill="1" applyAlignment="1">
      <alignment horizontal="right" vertical="center" wrapText="1"/>
    </xf>
    <xf numFmtId="3" fontId="57" fillId="3" borderId="0" xfId="0" applyNumberFormat="1" applyFont="1" applyFill="1" applyAlignment="1">
      <alignment vertical="center" wrapText="1"/>
    </xf>
    <xf numFmtId="3" fontId="131" fillId="3" borderId="0" xfId="6" applyNumberFormat="1" applyFont="1" applyFill="1" applyAlignment="1" applyProtection="1">
      <alignment horizontal="right" vertical="center"/>
      <protection hidden="1"/>
    </xf>
    <xf numFmtId="3" fontId="39" fillId="3" borderId="0" xfId="0" applyNumberFormat="1" applyFont="1" applyFill="1" applyAlignment="1">
      <alignment vertical="center" wrapText="1"/>
    </xf>
    <xf numFmtId="3" fontId="39" fillId="3" borderId="0" xfId="0" applyNumberFormat="1" applyFont="1" applyFill="1"/>
    <xf numFmtId="0" fontId="116" fillId="3" borderId="0" xfId="0" applyFont="1" applyFill="1"/>
    <xf numFmtId="0" fontId="47" fillId="3" borderId="72" xfId="0" applyFont="1" applyFill="1" applyBorder="1" applyAlignment="1">
      <alignment horizontal="right" vertical="center"/>
    </xf>
    <xf numFmtId="0" fontId="47" fillId="3" borderId="73" xfId="0" applyFont="1" applyFill="1" applyBorder="1" applyAlignment="1">
      <alignment horizontal="right" vertical="center"/>
    </xf>
    <xf numFmtId="3" fontId="47" fillId="3" borderId="0" xfId="0" applyNumberFormat="1" applyFont="1" applyFill="1" applyAlignment="1">
      <alignment horizontal="right" vertical="center"/>
    </xf>
    <xf numFmtId="0" fontId="163" fillId="5" borderId="0" xfId="0" applyFont="1" applyFill="1" applyAlignment="1">
      <alignment horizontal="center" vertical="center"/>
    </xf>
    <xf numFmtId="0" fontId="3" fillId="3" borderId="55" xfId="0" applyFont="1" applyFill="1" applyBorder="1" applyAlignment="1">
      <alignment horizontal="right" vertical="center"/>
    </xf>
    <xf numFmtId="0" fontId="3" fillId="3" borderId="74" xfId="0" applyFont="1" applyFill="1" applyBorder="1" applyAlignment="1">
      <alignment horizontal="right" vertical="center"/>
    </xf>
    <xf numFmtId="0" fontId="3" fillId="3" borderId="41" xfId="0" applyFont="1" applyFill="1" applyBorder="1" applyAlignment="1">
      <alignment horizontal="right" vertical="center"/>
    </xf>
    <xf numFmtId="3" fontId="52" fillId="3" borderId="0" xfId="6" applyNumberFormat="1" applyFont="1" applyFill="1"/>
    <xf numFmtId="3" fontId="52" fillId="3" borderId="75" xfId="6" applyNumberFormat="1" applyFont="1" applyFill="1" applyBorder="1" applyAlignment="1">
      <alignment vertical="center"/>
    </xf>
    <xf numFmtId="3" fontId="52" fillId="3" borderId="75" xfId="6" applyNumberFormat="1" applyFont="1" applyFill="1" applyBorder="1" applyAlignment="1">
      <alignment horizontal="right" vertical="center"/>
    </xf>
    <xf numFmtId="3" fontId="52" fillId="3" borderId="0" xfId="6" applyNumberFormat="1" applyFont="1" applyFill="1" applyAlignment="1">
      <alignment horizontal="left" vertical="center"/>
    </xf>
    <xf numFmtId="3" fontId="39" fillId="3" borderId="75" xfId="6" applyNumberFormat="1" applyFont="1" applyFill="1" applyBorder="1" applyAlignment="1">
      <alignment horizontal="right" vertical="center"/>
    </xf>
    <xf numFmtId="3" fontId="39" fillId="3" borderId="76" xfId="6" applyNumberFormat="1" applyFont="1" applyFill="1" applyBorder="1" applyAlignment="1">
      <alignment horizontal="right" vertical="center"/>
    </xf>
    <xf numFmtId="0" fontId="156" fillId="3" borderId="0" xfId="25" applyFont="1" applyFill="1" applyAlignment="1">
      <alignment horizontal="right" vertical="center"/>
    </xf>
    <xf numFmtId="3" fontId="68" fillId="3" borderId="0" xfId="6" applyNumberFormat="1" applyFont="1" applyFill="1" applyAlignment="1">
      <alignment vertical="center"/>
    </xf>
    <xf numFmtId="3" fontId="83" fillId="3" borderId="75" xfId="6" applyNumberFormat="1" applyFont="1" applyFill="1" applyBorder="1" applyAlignment="1">
      <alignment horizontal="right" vertical="center"/>
    </xf>
    <xf numFmtId="3" fontId="37" fillId="3" borderId="75" xfId="6" applyNumberFormat="1" applyFont="1" applyFill="1" applyBorder="1" applyAlignment="1">
      <alignment horizontal="right" vertical="center"/>
    </xf>
    <xf numFmtId="3" fontId="68" fillId="3" borderId="75" xfId="6" applyNumberFormat="1" applyFont="1" applyFill="1" applyBorder="1" applyAlignment="1">
      <alignment horizontal="right" vertical="center"/>
    </xf>
    <xf numFmtId="3" fontId="68" fillId="3" borderId="76" xfId="6" applyNumberFormat="1" applyFont="1" applyFill="1" applyBorder="1" applyAlignment="1">
      <alignment horizontal="right" vertical="center"/>
    </xf>
    <xf numFmtId="3" fontId="68" fillId="3" borderId="77" xfId="6" applyNumberFormat="1" applyFont="1" applyFill="1" applyBorder="1" applyAlignment="1">
      <alignment horizontal="right" vertical="center"/>
    </xf>
    <xf numFmtId="167" fontId="37" fillId="3" borderId="0" xfId="19" applyNumberFormat="1" applyFont="1" applyFill="1" applyAlignment="1" applyProtection="1">
      <alignment horizontal="left" vertical="center"/>
      <protection hidden="1"/>
    </xf>
    <xf numFmtId="174" fontId="57" fillId="3" borderId="0" xfId="27" applyNumberFormat="1" applyFont="1" applyFill="1" applyBorder="1" applyAlignment="1">
      <alignment horizontal="center" vertical="center"/>
    </xf>
    <xf numFmtId="174" fontId="107" fillId="3" borderId="0" xfId="27" applyNumberFormat="1" applyFont="1" applyFill="1" applyBorder="1" applyAlignment="1">
      <alignment horizontal="center" vertical="center"/>
    </xf>
    <xf numFmtId="174" fontId="117" fillId="3" borderId="0" xfId="27" applyNumberFormat="1" applyFont="1" applyFill="1" applyBorder="1" applyAlignment="1">
      <alignment horizontal="center" vertical="center"/>
    </xf>
    <xf numFmtId="167" fontId="39" fillId="3" borderId="0" xfId="19" applyNumberFormat="1" applyFont="1" applyFill="1" applyAlignment="1" applyProtection="1">
      <alignment horizontal="left" vertical="center" wrapText="1"/>
      <protection hidden="1"/>
    </xf>
    <xf numFmtId="167" fontId="99" fillId="3" borderId="0" xfId="19" applyNumberFormat="1" applyFont="1" applyFill="1" applyProtection="1">
      <protection locked="0"/>
    </xf>
    <xf numFmtId="167" fontId="37" fillId="3" borderId="23" xfId="19" applyNumberFormat="1" applyFont="1" applyFill="1" applyBorder="1" applyAlignment="1" applyProtection="1">
      <alignment vertical="center"/>
      <protection locked="0"/>
    </xf>
    <xf numFmtId="167" fontId="37" fillId="3" borderId="23" xfId="19" applyNumberFormat="1" applyFont="1" applyFill="1" applyBorder="1" applyAlignment="1" applyProtection="1">
      <alignment horizontal="center" vertical="center" wrapText="1"/>
      <protection locked="0"/>
    </xf>
    <xf numFmtId="167" fontId="57" fillId="3" borderId="23" xfId="19" quotePrefix="1" applyNumberFormat="1" applyFont="1" applyFill="1" applyBorder="1" applyAlignment="1" applyProtection="1">
      <alignment horizontal="center" vertical="center"/>
      <protection locked="0"/>
    </xf>
    <xf numFmtId="167" fontId="37" fillId="3" borderId="23" xfId="19" quotePrefix="1" applyNumberFormat="1" applyFont="1" applyFill="1" applyBorder="1" applyAlignment="1" applyProtection="1">
      <alignment horizontal="center" vertical="center"/>
      <protection locked="0"/>
    </xf>
    <xf numFmtId="167" fontId="13" fillId="3" borderId="23" xfId="19" applyNumberFormat="1" applyFont="1" applyFill="1" applyBorder="1" applyAlignment="1" applyProtection="1">
      <alignment horizontal="right" vertical="center"/>
      <protection locked="0"/>
    </xf>
    <xf numFmtId="167" fontId="39" fillId="3" borderId="1" xfId="19" applyNumberFormat="1" applyFont="1" applyFill="1" applyBorder="1" applyAlignment="1" applyProtection="1">
      <alignment horizontal="left" vertical="center" wrapText="1"/>
      <protection hidden="1"/>
    </xf>
    <xf numFmtId="167" fontId="99" fillId="3" borderId="1" xfId="19" applyNumberFormat="1" applyFont="1" applyFill="1" applyBorder="1" applyProtection="1">
      <protection locked="0"/>
    </xf>
    <xf numFmtId="3" fontId="93" fillId="3" borderId="0" xfId="22" applyNumberFormat="1" applyFont="1" applyFill="1" applyBorder="1" applyAlignment="1" applyProtection="1">
      <alignment horizontal="right" vertical="center" indent="2"/>
      <protection hidden="1"/>
    </xf>
    <xf numFmtId="3" fontId="123" fillId="3" borderId="0" xfId="22" applyNumberFormat="1" applyFont="1" applyFill="1" applyBorder="1" applyAlignment="1">
      <alignment horizontal="right" vertical="center" indent="2"/>
    </xf>
    <xf numFmtId="3" fontId="170" fillId="3" borderId="0" xfId="22" applyNumberFormat="1" applyFont="1" applyFill="1" applyBorder="1" applyAlignment="1">
      <alignment horizontal="right" vertical="center" indent="2"/>
    </xf>
    <xf numFmtId="3" fontId="122" fillId="3" borderId="0" xfId="22" applyNumberFormat="1" applyFont="1" applyFill="1" applyBorder="1" applyAlignment="1">
      <alignment horizontal="right" vertical="center" indent="2"/>
    </xf>
    <xf numFmtId="2" fontId="0" fillId="3" borderId="2" xfId="0" applyNumberFormat="1" applyFill="1" applyBorder="1"/>
    <xf numFmtId="0" fontId="0" fillId="3" borderId="2" xfId="0" applyFill="1" applyBorder="1" applyAlignment="1">
      <alignment horizontal="center" vertical="center"/>
    </xf>
    <xf numFmtId="0" fontId="0" fillId="3" borderId="0" xfId="0" applyFill="1" applyAlignment="1">
      <alignment horizontal="center" vertical="center"/>
    </xf>
    <xf numFmtId="167" fontId="171" fillId="3" borderId="0" xfId="1" applyFont="1" applyFill="1" applyAlignment="1">
      <alignment horizontal="left" vertical="center"/>
    </xf>
    <xf numFmtId="2" fontId="0" fillId="3" borderId="0" xfId="0" applyNumberFormat="1" applyFill="1" applyAlignment="1">
      <alignment horizontal="right" vertical="center"/>
    </xf>
    <xf numFmtId="2" fontId="0" fillId="3" borderId="14" xfId="0" applyNumberFormat="1" applyFill="1" applyBorder="1" applyAlignment="1">
      <alignment horizontal="right" vertical="center"/>
    </xf>
    <xf numFmtId="2" fontId="0" fillId="3" borderId="6" xfId="0" applyNumberFormat="1" applyFill="1" applyBorder="1" applyAlignment="1">
      <alignment horizontal="right" vertical="center"/>
    </xf>
    <xf numFmtId="2" fontId="0" fillId="3" borderId="1" xfId="0" applyNumberFormat="1" applyFill="1" applyBorder="1" applyAlignment="1">
      <alignment horizontal="right" vertical="center"/>
    </xf>
    <xf numFmtId="2" fontId="0" fillId="3" borderId="26" xfId="0" applyNumberFormat="1" applyFill="1" applyBorder="1" applyAlignment="1">
      <alignment horizontal="right" vertical="center"/>
    </xf>
    <xf numFmtId="2" fontId="0" fillId="3" borderId="7" xfId="0" applyNumberFormat="1" applyFill="1" applyBorder="1" applyAlignment="1">
      <alignment horizontal="right" vertical="center"/>
    </xf>
    <xf numFmtId="167" fontId="172" fillId="3" borderId="0" xfId="15" applyFont="1" applyFill="1"/>
    <xf numFmtId="3" fontId="57" fillId="3" borderId="2" xfId="0" applyNumberFormat="1" applyFont="1" applyFill="1" applyBorder="1" applyAlignment="1">
      <alignment vertical="center"/>
    </xf>
    <xf numFmtId="3" fontId="57" fillId="3" borderId="10" xfId="0" applyNumberFormat="1" applyFont="1" applyFill="1" applyBorder="1" applyAlignment="1">
      <alignment vertical="center"/>
    </xf>
    <xf numFmtId="3" fontId="57" fillId="3" borderId="0" xfId="0" applyNumberFormat="1" applyFont="1" applyFill="1" applyAlignment="1" applyProtection="1">
      <alignment vertical="center"/>
      <protection locked="0"/>
    </xf>
    <xf numFmtId="3" fontId="93" fillId="3" borderId="0" xfId="0" applyNumberFormat="1" applyFont="1" applyFill="1" applyAlignment="1">
      <alignment vertical="center"/>
    </xf>
    <xf numFmtId="3" fontId="57" fillId="3" borderId="6" xfId="0" applyNumberFormat="1" applyFont="1" applyFill="1" applyBorder="1" applyAlignment="1">
      <alignment vertical="center"/>
    </xf>
    <xf numFmtId="3" fontId="57" fillId="3" borderId="0" xfId="0" applyNumberFormat="1" applyFont="1" applyFill="1" applyAlignment="1">
      <alignment vertical="center"/>
    </xf>
    <xf numFmtId="3" fontId="112" fillId="3" borderId="0" xfId="0" applyNumberFormat="1" applyFont="1" applyFill="1" applyAlignment="1">
      <alignment vertical="center"/>
    </xf>
    <xf numFmtId="3" fontId="107" fillId="3" borderId="6" xfId="0" applyNumberFormat="1" applyFont="1" applyFill="1" applyBorder="1" applyAlignment="1" applyProtection="1">
      <alignment vertical="center"/>
      <protection locked="0"/>
    </xf>
    <xf numFmtId="3" fontId="112" fillId="3" borderId="0" xfId="0" applyNumberFormat="1" applyFont="1" applyFill="1" applyAlignment="1" applyProtection="1">
      <alignment vertical="center"/>
      <protection locked="0"/>
    </xf>
    <xf numFmtId="3" fontId="107" fillId="3" borderId="6" xfId="0" applyNumberFormat="1" applyFont="1" applyFill="1" applyBorder="1" applyAlignment="1" applyProtection="1">
      <alignment horizontal="right" vertical="center"/>
      <protection locked="0"/>
    </xf>
    <xf numFmtId="3" fontId="6" fillId="3" borderId="0" xfId="0" applyNumberFormat="1" applyFont="1" applyFill="1" applyAlignment="1">
      <alignment vertical="center"/>
    </xf>
    <xf numFmtId="3" fontId="112" fillId="3" borderId="0" xfId="0" applyNumberFormat="1" applyFont="1" applyFill="1" applyAlignment="1" applyProtection="1">
      <alignment horizontal="right" vertical="center"/>
      <protection locked="0"/>
    </xf>
    <xf numFmtId="167" fontId="57" fillId="3" borderId="0" xfId="0" applyNumberFormat="1" applyFont="1" applyFill="1" applyAlignment="1">
      <alignment horizontal="left" vertical="center" indent="2"/>
    </xf>
    <xf numFmtId="167" fontId="153" fillId="3" borderId="0" xfId="0" applyNumberFormat="1" applyFont="1" applyFill="1" applyAlignment="1">
      <alignment horizontal="right" vertical="center" indent="1"/>
    </xf>
    <xf numFmtId="167" fontId="107" fillId="3" borderId="0" xfId="0" applyNumberFormat="1" applyFont="1" applyFill="1" applyAlignment="1">
      <alignment horizontal="left" vertical="center" indent="3"/>
    </xf>
    <xf numFmtId="3" fontId="107" fillId="3" borderId="0" xfId="0" applyNumberFormat="1" applyFont="1" applyFill="1" applyAlignment="1" applyProtection="1">
      <alignment vertical="center"/>
      <protection locked="0"/>
    </xf>
    <xf numFmtId="167" fontId="174" fillId="3" borderId="0" xfId="0" applyNumberFormat="1" applyFont="1" applyFill="1" applyAlignment="1">
      <alignment horizontal="right" vertical="center" indent="2"/>
    </xf>
    <xf numFmtId="3" fontId="107" fillId="3" borderId="0" xfId="0" applyNumberFormat="1" applyFont="1" applyFill="1" applyAlignment="1" applyProtection="1">
      <alignment horizontal="right" vertical="center"/>
      <protection locked="0"/>
    </xf>
    <xf numFmtId="167" fontId="172" fillId="3" borderId="0" xfId="0" applyNumberFormat="1" applyFont="1" applyFill="1" applyAlignment="1">
      <alignment vertical="center"/>
    </xf>
    <xf numFmtId="167" fontId="57" fillId="3" borderId="1" xfId="0" applyNumberFormat="1" applyFont="1" applyFill="1" applyBorder="1" applyAlignment="1">
      <alignment horizontal="left" vertical="center" wrapText="1" indent="2"/>
    </xf>
    <xf numFmtId="176" fontId="107" fillId="3" borderId="1" xfId="0" applyNumberFormat="1" applyFont="1" applyFill="1" applyBorder="1" applyAlignment="1">
      <alignment horizontal="right" vertical="center"/>
    </xf>
    <xf numFmtId="3" fontId="57" fillId="3" borderId="1" xfId="0" applyNumberFormat="1" applyFont="1" applyFill="1" applyBorder="1" applyAlignment="1" applyProtection="1">
      <alignment vertical="center"/>
      <protection locked="0"/>
    </xf>
    <xf numFmtId="3" fontId="112" fillId="3" borderId="1" xfId="0" applyNumberFormat="1" applyFont="1" applyFill="1" applyBorder="1" applyAlignment="1">
      <alignment vertical="center"/>
    </xf>
    <xf numFmtId="3" fontId="112" fillId="3" borderId="1" xfId="0" applyNumberFormat="1" applyFont="1" applyFill="1" applyBorder="1" applyAlignment="1" applyProtection="1">
      <alignment horizontal="right" vertical="center"/>
      <protection locked="0"/>
    </xf>
    <xf numFmtId="3" fontId="107" fillId="3" borderId="7" xfId="0" applyNumberFormat="1" applyFont="1" applyFill="1" applyBorder="1" applyAlignment="1" applyProtection="1">
      <alignment horizontal="right" vertical="center"/>
      <protection locked="0"/>
    </xf>
    <xf numFmtId="167" fontId="124" fillId="3" borderId="1" xfId="0" applyNumberFormat="1" applyFont="1" applyFill="1" applyBorder="1" applyAlignment="1">
      <alignment horizontal="right" vertical="center" wrapText="1" indent="1"/>
    </xf>
    <xf numFmtId="167" fontId="57" fillId="3" borderId="0" xfId="0" applyNumberFormat="1" applyFont="1" applyFill="1" applyAlignment="1">
      <alignment horizontal="left" vertical="center" wrapText="1"/>
    </xf>
    <xf numFmtId="167" fontId="175" fillId="3" borderId="0" xfId="0" applyNumberFormat="1" applyFont="1" applyFill="1" applyAlignment="1">
      <alignment horizontal="right"/>
    </xf>
    <xf numFmtId="167" fontId="119" fillId="3" borderId="0" xfId="15" applyFont="1" applyFill="1" applyAlignment="1" applyProtection="1">
      <alignment horizontal="right"/>
      <protection hidden="1"/>
    </xf>
    <xf numFmtId="167" fontId="22" fillId="3" borderId="1" xfId="0" applyNumberFormat="1" applyFont="1" applyFill="1" applyBorder="1" applyAlignment="1">
      <alignment horizontal="left" vertical="center"/>
    </xf>
    <xf numFmtId="3" fontId="22" fillId="2" borderId="1" xfId="0" applyNumberFormat="1" applyFont="1" applyFill="1" applyBorder="1" applyAlignment="1" applyProtection="1">
      <alignment horizontal="right"/>
      <protection locked="0"/>
    </xf>
    <xf numFmtId="167" fontId="131" fillId="2" borderId="1" xfId="0" applyNumberFormat="1" applyFont="1" applyFill="1" applyBorder="1" applyAlignment="1">
      <alignment horizontal="right" vertical="center"/>
    </xf>
    <xf numFmtId="167" fontId="27" fillId="3" borderId="0" xfId="0" applyNumberFormat="1" applyFont="1" applyFill="1" applyAlignment="1">
      <alignment vertical="center"/>
    </xf>
    <xf numFmtId="167" fontId="95" fillId="2" borderId="8" xfId="0" applyNumberFormat="1" applyFont="1" applyFill="1" applyBorder="1" applyAlignment="1">
      <alignment horizontal="right" vertical="center"/>
    </xf>
    <xf numFmtId="167" fontId="12" fillId="2" borderId="0" xfId="0" applyNumberFormat="1" applyFont="1" applyFill="1" applyAlignment="1">
      <alignment horizontal="right" vertical="center"/>
    </xf>
    <xf numFmtId="167" fontId="55" fillId="3" borderId="0" xfId="0" applyNumberFormat="1" applyFont="1" applyFill="1" applyAlignment="1">
      <alignment horizontal="right" vertical="center"/>
    </xf>
    <xf numFmtId="167" fontId="71" fillId="3" borderId="0" xfId="0" applyNumberFormat="1" applyFont="1" applyFill="1" applyAlignment="1">
      <alignment horizontal="right" vertical="center"/>
    </xf>
    <xf numFmtId="167" fontId="30" fillId="3" borderId="0" xfId="15" applyFont="1" applyFill="1" applyAlignment="1">
      <alignment vertical="center"/>
    </xf>
    <xf numFmtId="167" fontId="165" fillId="3" borderId="0" xfId="15" applyFont="1" applyFill="1" applyAlignment="1">
      <alignment horizontal="left" vertical="center" indent="4"/>
    </xf>
    <xf numFmtId="167" fontId="30" fillId="3" borderId="0" xfId="0" applyNumberFormat="1" applyFont="1" applyFill="1" applyAlignment="1">
      <alignment horizontal="left" vertical="center"/>
    </xf>
    <xf numFmtId="167" fontId="99" fillId="3" borderId="0" xfId="15" applyFont="1" applyFill="1" applyAlignment="1" applyProtection="1">
      <alignment horizontal="right" vertical="center"/>
      <protection hidden="1"/>
    </xf>
    <xf numFmtId="167" fontId="99" fillId="2" borderId="0" xfId="15" applyFont="1" applyFill="1" applyAlignment="1" applyProtection="1">
      <alignment horizontal="right" vertical="center" indent="1"/>
      <protection hidden="1"/>
    </xf>
    <xf numFmtId="167" fontId="6" fillId="3" borderId="0" xfId="0" applyNumberFormat="1" applyFont="1" applyFill="1"/>
    <xf numFmtId="167" fontId="102" fillId="3" borderId="0" xfId="0" applyNumberFormat="1" applyFont="1" applyFill="1" applyAlignment="1">
      <alignment horizontal="left" vertical="center"/>
    </xf>
    <xf numFmtId="3" fontId="33" fillId="3" borderId="0" xfId="0" applyNumberFormat="1" applyFont="1" applyFill="1" applyAlignment="1">
      <alignment horizontal="right" vertical="center"/>
    </xf>
    <xf numFmtId="3" fontId="33" fillId="3" borderId="6" xfId="0" applyNumberFormat="1" applyFont="1" applyFill="1" applyBorder="1" applyAlignment="1">
      <alignment horizontal="right" vertical="center"/>
    </xf>
    <xf numFmtId="167" fontId="38" fillId="3" borderId="0" xfId="0" applyNumberFormat="1" applyFont="1" applyFill="1" applyAlignment="1">
      <alignment wrapText="1"/>
    </xf>
    <xf numFmtId="3" fontId="32" fillId="3" borderId="0" xfId="0" applyNumberFormat="1" applyFont="1" applyFill="1" applyAlignment="1">
      <alignment horizontal="right" vertical="center"/>
    </xf>
    <xf numFmtId="3" fontId="32" fillId="3" borderId="14" xfId="0" applyNumberFormat="1" applyFont="1" applyFill="1" applyBorder="1" applyAlignment="1">
      <alignment horizontal="right" vertical="center"/>
    </xf>
    <xf numFmtId="3" fontId="32" fillId="3" borderId="6" xfId="0" applyNumberFormat="1" applyFont="1" applyFill="1" applyBorder="1" applyAlignment="1">
      <alignment horizontal="right" vertical="center"/>
    </xf>
    <xf numFmtId="167" fontId="93" fillId="3" borderId="78" xfId="0" applyNumberFormat="1" applyFont="1" applyFill="1" applyBorder="1" applyAlignment="1">
      <alignment horizontal="right" vertical="center" wrapText="1"/>
    </xf>
    <xf numFmtId="167" fontId="93" fillId="3" borderId="79" xfId="0" applyNumberFormat="1" applyFont="1" applyFill="1" applyBorder="1" applyAlignment="1">
      <alignment horizontal="right" vertical="center" wrapText="1"/>
    </xf>
    <xf numFmtId="167" fontId="93" fillId="3" borderId="80" xfId="0" applyNumberFormat="1" applyFont="1" applyFill="1" applyBorder="1" applyAlignment="1">
      <alignment horizontal="right" vertical="center" wrapText="1"/>
    </xf>
    <xf numFmtId="3" fontId="33" fillId="3" borderId="1" xfId="0" applyNumberFormat="1" applyFont="1" applyFill="1" applyBorder="1" applyAlignment="1">
      <alignment horizontal="right" vertical="center"/>
    </xf>
    <xf numFmtId="3" fontId="33" fillId="3" borderId="7" xfId="0" applyNumberFormat="1" applyFont="1" applyFill="1" applyBorder="1" applyAlignment="1">
      <alignment horizontal="right" vertical="center"/>
    </xf>
    <xf numFmtId="167" fontId="26" fillId="2" borderId="0" xfId="0" applyNumberFormat="1" applyFont="1" applyFill="1" applyAlignment="1">
      <alignment horizontal="left" vertical="center"/>
    </xf>
    <xf numFmtId="167" fontId="165" fillId="3" borderId="0" xfId="0" applyNumberFormat="1" applyFont="1" applyFill="1" applyAlignment="1">
      <alignment horizontal="left"/>
    </xf>
    <xf numFmtId="3" fontId="112" fillId="4" borderId="0" xfId="15" applyNumberFormat="1" applyFont="1" applyFill="1" applyAlignment="1">
      <alignment horizontal="right" vertical="center"/>
    </xf>
    <xf numFmtId="3" fontId="112" fillId="4" borderId="0" xfId="15" applyNumberFormat="1" applyFont="1" applyFill="1" applyAlignment="1" applyProtection="1">
      <alignment horizontal="right" vertical="center"/>
      <protection locked="0"/>
    </xf>
    <xf numFmtId="178" fontId="65" fillId="4" borderId="0" xfId="22" applyNumberFormat="1" applyFont="1" applyFill="1" applyBorder="1" applyAlignment="1">
      <alignment horizontal="right" vertical="center"/>
    </xf>
    <xf numFmtId="178" fontId="65" fillId="4" borderId="1" xfId="22" applyNumberFormat="1" applyFont="1" applyFill="1" applyBorder="1" applyAlignment="1">
      <alignment horizontal="right" vertical="center"/>
    </xf>
    <xf numFmtId="0" fontId="3" fillId="3" borderId="66" xfId="0" applyFont="1" applyFill="1" applyBorder="1" applyAlignment="1">
      <alignment horizontal="right" vertical="center"/>
    </xf>
    <xf numFmtId="3" fontId="52" fillId="3" borderId="63" xfId="6" applyNumberFormat="1" applyFont="1" applyFill="1" applyBorder="1" applyAlignment="1">
      <alignment vertical="center"/>
    </xf>
    <xf numFmtId="3" fontId="52" fillId="3" borderId="63" xfId="6" applyNumberFormat="1" applyFont="1" applyFill="1" applyBorder="1"/>
    <xf numFmtId="3" fontId="52" fillId="3" borderId="63" xfId="6" applyNumberFormat="1" applyFont="1" applyFill="1" applyBorder="1" applyAlignment="1">
      <alignment horizontal="right" vertical="center"/>
    </xf>
    <xf numFmtId="3" fontId="68" fillId="3" borderId="63" xfId="6" applyNumberFormat="1" applyFont="1" applyFill="1" applyBorder="1"/>
    <xf numFmtId="0" fontId="112" fillId="3" borderId="63" xfId="25" applyFont="1" applyFill="1" applyBorder="1" applyAlignment="1">
      <alignment vertical="center"/>
    </xf>
    <xf numFmtId="3" fontId="68" fillId="3" borderId="81" xfId="6" applyNumberFormat="1" applyFont="1" applyFill="1" applyBorder="1"/>
    <xf numFmtId="3" fontId="68" fillId="3" borderId="63" xfId="6" applyNumberFormat="1" applyFont="1" applyFill="1" applyBorder="1" applyAlignment="1">
      <alignment vertical="center"/>
    </xf>
    <xf numFmtId="0" fontId="102" fillId="3" borderId="44" xfId="25" applyFont="1" applyFill="1" applyBorder="1"/>
    <xf numFmtId="0" fontId="102" fillId="3" borderId="38" xfId="25" applyFont="1" applyFill="1" applyBorder="1"/>
    <xf numFmtId="3" fontId="46" fillId="3" borderId="63" xfId="6" applyNumberFormat="1" applyFont="1" applyFill="1" applyBorder="1"/>
    <xf numFmtId="3" fontId="68" fillId="3" borderId="60" xfId="6" applyNumberFormat="1" applyFont="1" applyFill="1" applyBorder="1"/>
    <xf numFmtId="167" fontId="79" fillId="3" borderId="0" xfId="1" applyFont="1" applyFill="1" applyAlignment="1">
      <alignment horizontal="left" vertical="center"/>
    </xf>
    <xf numFmtId="3" fontId="68" fillId="3" borderId="0" xfId="32" applyNumberFormat="1" applyFont="1" applyFill="1" applyAlignment="1">
      <alignment horizontal="right" vertical="center"/>
    </xf>
    <xf numFmtId="3" fontId="67" fillId="3" borderId="0" xfId="32" applyNumberFormat="1" applyFont="1" applyFill="1" applyAlignment="1" applyProtection="1">
      <alignment horizontal="right" vertical="center"/>
      <protection locked="0"/>
    </xf>
    <xf numFmtId="174" fontId="1" fillId="3" borderId="0" xfId="22" applyNumberFormat="1" applyFont="1" applyFill="1" applyBorder="1" applyAlignment="1">
      <alignment horizontal="right" vertical="center"/>
    </xf>
    <xf numFmtId="3" fontId="67" fillId="3" borderId="1" xfId="32" applyNumberFormat="1" applyFont="1" applyFill="1" applyBorder="1" applyAlignment="1" applyProtection="1">
      <alignment horizontal="right" vertical="center"/>
      <protection locked="0"/>
    </xf>
    <xf numFmtId="3" fontId="52" fillId="3" borderId="6" xfId="32" applyNumberFormat="1" applyFont="1" applyFill="1" applyBorder="1" applyAlignment="1">
      <alignment horizontal="right" vertical="center"/>
    </xf>
    <xf numFmtId="3" fontId="68" fillId="3" borderId="6" xfId="32" applyNumberFormat="1" applyFont="1" applyFill="1" applyBorder="1" applyAlignment="1">
      <alignment horizontal="right" vertical="center"/>
    </xf>
    <xf numFmtId="3" fontId="68" fillId="3" borderId="7" xfId="32" applyNumberFormat="1" applyFont="1" applyFill="1" applyBorder="1" applyAlignment="1">
      <alignment horizontal="right" vertical="center"/>
    </xf>
    <xf numFmtId="0" fontId="0" fillId="3" borderId="7" xfId="0" applyFill="1" applyBorder="1"/>
    <xf numFmtId="0" fontId="0" fillId="3" borderId="6" xfId="0" applyFill="1" applyBorder="1"/>
    <xf numFmtId="0" fontId="0" fillId="3" borderId="1" xfId="0" applyFill="1" applyBorder="1"/>
    <xf numFmtId="167" fontId="76" fillId="3" borderId="0" xfId="0" applyNumberFormat="1" applyFont="1" applyFill="1" applyAlignment="1">
      <alignment horizontal="left" vertical="center" wrapText="1"/>
    </xf>
    <xf numFmtId="167" fontId="151" fillId="3" borderId="9" xfId="0" applyNumberFormat="1" applyFont="1" applyFill="1" applyBorder="1" applyAlignment="1">
      <alignment horizontal="center" vertical="center"/>
    </xf>
    <xf numFmtId="167" fontId="26" fillId="2" borderId="0" xfId="16" applyFont="1" applyFill="1" applyAlignment="1" applyProtection="1">
      <alignment vertical="center"/>
      <protection hidden="1"/>
    </xf>
    <xf numFmtId="167" fontId="119" fillId="2" borderId="0" xfId="15" applyFont="1" applyFill="1" applyAlignment="1" applyProtection="1">
      <alignment horizontal="right" vertical="center" indent="1"/>
      <protection hidden="1"/>
    </xf>
    <xf numFmtId="167" fontId="4" fillId="2" borderId="0" xfId="16" applyFill="1" applyAlignment="1">
      <alignment vertical="center"/>
    </xf>
    <xf numFmtId="167" fontId="119" fillId="2" borderId="0" xfId="15" applyFont="1" applyFill="1" applyAlignment="1" applyProtection="1">
      <alignment horizontal="right" vertical="center"/>
      <protection hidden="1"/>
    </xf>
    <xf numFmtId="167" fontId="57" fillId="3" borderId="0" xfId="0" applyNumberFormat="1" applyFont="1" applyFill="1" applyAlignment="1">
      <alignment horizontal="left" vertical="center" wrapText="1" indent="2"/>
    </xf>
    <xf numFmtId="176" fontId="107" fillId="3" borderId="0" xfId="0" applyNumberFormat="1" applyFont="1" applyFill="1" applyAlignment="1">
      <alignment horizontal="right" vertical="center"/>
    </xf>
    <xf numFmtId="167" fontId="124" fillId="3" borderId="0" xfId="0" applyNumberFormat="1" applyFont="1" applyFill="1" applyAlignment="1">
      <alignment horizontal="right" vertical="center" wrapText="1" indent="1"/>
    </xf>
    <xf numFmtId="167" fontId="95" fillId="3" borderId="0" xfId="15" applyFont="1" applyFill="1" applyAlignment="1" applyProtection="1">
      <alignment horizontal="right" vertical="center"/>
      <protection hidden="1"/>
    </xf>
    <xf numFmtId="0" fontId="105" fillId="3" borderId="0" xfId="0" applyFont="1" applyFill="1" applyAlignment="1">
      <alignment horizontal="center" vertical="center"/>
    </xf>
    <xf numFmtId="0" fontId="57" fillId="3" borderId="2" xfId="0" applyFont="1" applyFill="1" applyBorder="1" applyAlignment="1">
      <alignment horizontal="center" vertical="center"/>
    </xf>
    <xf numFmtId="0" fontId="63" fillId="3" borderId="0" xfId="0" applyFont="1" applyFill="1" applyAlignment="1">
      <alignment horizontal="center" vertical="center" wrapText="1"/>
    </xf>
    <xf numFmtId="0" fontId="57" fillId="3" borderId="0" xfId="0" applyFont="1" applyFill="1" applyAlignment="1">
      <alignment horizontal="center" vertical="center"/>
    </xf>
    <xf numFmtId="0" fontId="105" fillId="3" borderId="0" xfId="0" applyFont="1" applyFill="1" applyAlignment="1">
      <alignment horizontal="center" vertical="center" wrapText="1"/>
    </xf>
    <xf numFmtId="0" fontId="105" fillId="3" borderId="2" xfId="0" applyFont="1" applyFill="1" applyBorder="1" applyAlignment="1">
      <alignment horizontal="center" vertical="center"/>
    </xf>
    <xf numFmtId="3" fontId="22" fillId="3" borderId="0" xfId="0" applyNumberFormat="1" applyFont="1" applyFill="1" applyAlignment="1" applyProtection="1">
      <alignment horizontal="right"/>
      <protection locked="0"/>
    </xf>
    <xf numFmtId="3" fontId="22" fillId="3" borderId="0" xfId="0" applyNumberFormat="1" applyFont="1" applyFill="1" applyAlignment="1" applyProtection="1">
      <alignment horizontal="right" vertical="center"/>
      <protection locked="0"/>
    </xf>
    <xf numFmtId="3" fontId="22" fillId="3" borderId="8" xfId="0" applyNumberFormat="1" applyFont="1" applyFill="1" applyBorder="1" applyAlignment="1" applyProtection="1">
      <alignment horizontal="right"/>
      <protection locked="0"/>
    </xf>
    <xf numFmtId="3" fontId="22" fillId="3" borderId="1" xfId="0" applyNumberFormat="1" applyFont="1" applyFill="1" applyBorder="1" applyAlignment="1" applyProtection="1">
      <alignment horizontal="right"/>
      <protection locked="0"/>
    </xf>
    <xf numFmtId="174" fontId="68" fillId="3" borderId="1" xfId="22" applyNumberFormat="1" applyFont="1" applyFill="1" applyBorder="1" applyAlignment="1">
      <alignment horizontal="right" vertical="center"/>
    </xf>
    <xf numFmtId="167" fontId="71" fillId="3" borderId="1" xfId="0" applyNumberFormat="1" applyFont="1" applyFill="1" applyBorder="1" applyAlignment="1">
      <alignment horizontal="right" vertical="center"/>
    </xf>
    <xf numFmtId="174" fontId="68" fillId="3" borderId="0" xfId="22" applyNumberFormat="1" applyFont="1" applyFill="1" applyBorder="1" applyAlignment="1">
      <alignment horizontal="right" vertical="center"/>
    </xf>
    <xf numFmtId="178" fontId="3" fillId="3" borderId="1" xfId="22" applyNumberFormat="1" applyFont="1" applyFill="1" applyBorder="1" applyAlignment="1">
      <alignment horizontal="right" vertical="center"/>
    </xf>
    <xf numFmtId="3" fontId="33" fillId="3" borderId="14" xfId="0" applyNumberFormat="1" applyFont="1" applyFill="1" applyBorder="1" applyAlignment="1">
      <alignment horizontal="right" vertical="center"/>
    </xf>
    <xf numFmtId="3" fontId="33" fillId="3" borderId="0" xfId="0" applyNumberFormat="1" applyFont="1" applyFill="1" applyAlignment="1" applyProtection="1">
      <alignment horizontal="right" vertical="center"/>
      <protection locked="0"/>
    </xf>
    <xf numFmtId="3" fontId="33" fillId="3" borderId="14" xfId="0" applyNumberFormat="1" applyFont="1" applyFill="1" applyBorder="1" applyAlignment="1" applyProtection="1">
      <alignment horizontal="right" vertical="center"/>
      <protection locked="0"/>
    </xf>
    <xf numFmtId="3" fontId="32" fillId="3" borderId="0" xfId="0" applyNumberFormat="1" applyFont="1" applyFill="1" applyAlignment="1" applyProtection="1">
      <alignment horizontal="right" vertical="center"/>
      <protection locked="0"/>
    </xf>
    <xf numFmtId="3" fontId="32" fillId="3" borderId="14" xfId="0" applyNumberFormat="1" applyFont="1" applyFill="1" applyBorder="1" applyAlignment="1" applyProtection="1">
      <alignment horizontal="right" vertical="center"/>
      <protection locked="0"/>
    </xf>
    <xf numFmtId="3" fontId="33" fillId="3" borderId="26" xfId="0" applyNumberFormat="1" applyFont="1" applyFill="1" applyBorder="1" applyAlignment="1">
      <alignment horizontal="right" vertical="center"/>
    </xf>
    <xf numFmtId="3" fontId="33" fillId="3" borderId="1" xfId="0" applyNumberFormat="1" applyFont="1" applyFill="1" applyBorder="1" applyAlignment="1" applyProtection="1">
      <alignment horizontal="right" vertical="center"/>
      <protection locked="0"/>
    </xf>
    <xf numFmtId="167" fontId="29" fillId="3" borderId="0" xfId="0" applyNumberFormat="1" applyFont="1" applyFill="1" applyAlignment="1">
      <alignment vertical="center"/>
    </xf>
    <xf numFmtId="167" fontId="102" fillId="3" borderId="0" xfId="0" quotePrefix="1" applyNumberFormat="1" applyFont="1" applyFill="1" applyAlignment="1">
      <alignment horizontal="left" vertical="center"/>
    </xf>
    <xf numFmtId="0" fontId="57" fillId="3" borderId="0" xfId="0" applyFont="1" applyFill="1" applyAlignment="1">
      <alignment horizontal="left" vertical="center"/>
    </xf>
    <xf numFmtId="37" fontId="122" fillId="3" borderId="35" xfId="37" applyNumberFormat="1" applyFont="1" applyFill="1" applyBorder="1" applyAlignment="1">
      <alignment horizontal="center" vertical="center"/>
    </xf>
    <xf numFmtId="37" fontId="112" fillId="3" borderId="36" xfId="37" applyNumberFormat="1" applyFont="1" applyFill="1" applyBorder="1" applyAlignment="1">
      <alignment horizontal="center" vertical="center"/>
    </xf>
    <xf numFmtId="37" fontId="123" fillId="3" borderId="38" xfId="37" applyNumberFormat="1" applyFont="1" applyFill="1" applyBorder="1" applyAlignment="1">
      <alignment horizontal="center" vertical="center"/>
    </xf>
    <xf numFmtId="37" fontId="123" fillId="3" borderId="0" xfId="37" applyNumberFormat="1" applyFont="1" applyFill="1" applyBorder="1" applyAlignment="1">
      <alignment horizontal="center" vertical="center"/>
    </xf>
    <xf numFmtId="37" fontId="122" fillId="3" borderId="38" xfId="37" applyNumberFormat="1" applyFont="1" applyFill="1" applyBorder="1" applyAlignment="1">
      <alignment horizontal="center" vertical="center"/>
    </xf>
    <xf numFmtId="37" fontId="112" fillId="3" borderId="0" xfId="37" applyNumberFormat="1" applyFont="1" applyFill="1" applyBorder="1" applyAlignment="1">
      <alignment horizontal="center" vertical="center"/>
    </xf>
    <xf numFmtId="37" fontId="122" fillId="3" borderId="39" xfId="37" applyNumberFormat="1" applyFont="1" applyFill="1" applyBorder="1" applyAlignment="1">
      <alignment horizontal="center" vertical="center"/>
    </xf>
    <xf numFmtId="37" fontId="112" fillId="3" borderId="1" xfId="37" applyNumberFormat="1" applyFont="1" applyFill="1" applyBorder="1" applyAlignment="1">
      <alignment horizontal="center" vertical="center"/>
    </xf>
    <xf numFmtId="0" fontId="178" fillId="3" borderId="0" xfId="23" applyFont="1" applyFill="1" applyAlignment="1">
      <alignment horizontal="right" vertical="center" indent="1"/>
    </xf>
    <xf numFmtId="0" fontId="179" fillId="3" borderId="0" xfId="0" applyFont="1" applyFill="1"/>
    <xf numFmtId="0" fontId="178" fillId="3" borderId="44" xfId="23" applyFont="1" applyFill="1" applyBorder="1" applyAlignment="1">
      <alignment horizontal="right" vertical="center" indent="1"/>
    </xf>
    <xf numFmtId="0" fontId="178" fillId="3" borderId="37" xfId="23" applyFont="1" applyFill="1" applyBorder="1" applyAlignment="1">
      <alignment horizontal="right" vertical="center" indent="1"/>
    </xf>
    <xf numFmtId="174" fontId="39" fillId="3" borderId="6" xfId="37" applyNumberFormat="1" applyFont="1" applyFill="1" applyBorder="1"/>
    <xf numFmtId="174" fontId="39" fillId="3" borderId="0" xfId="37" applyNumberFormat="1" applyFont="1" applyFill="1" applyBorder="1"/>
    <xf numFmtId="174" fontId="39" fillId="3" borderId="7" xfId="37" applyNumberFormat="1" applyFont="1" applyFill="1" applyBorder="1"/>
    <xf numFmtId="174" fontId="39" fillId="3" borderId="1" xfId="37" applyNumberFormat="1" applyFont="1" applyFill="1" applyBorder="1"/>
    <xf numFmtId="3" fontId="48" fillId="3" borderId="0" xfId="0" applyNumberFormat="1" applyFont="1" applyFill="1" applyAlignment="1">
      <alignment horizontal="right" vertical="center"/>
    </xf>
    <xf numFmtId="3" fontId="48" fillId="3" borderId="6" xfId="0" applyNumberFormat="1" applyFont="1" applyFill="1" applyBorder="1" applyAlignment="1">
      <alignment horizontal="right" vertical="center"/>
    </xf>
    <xf numFmtId="3" fontId="48" fillId="3" borderId="14" xfId="0" applyNumberFormat="1" applyFont="1" applyFill="1" applyBorder="1" applyAlignment="1">
      <alignment horizontal="right" vertical="center"/>
    </xf>
    <xf numFmtId="3" fontId="22" fillId="3" borderId="6" xfId="0" applyNumberFormat="1" applyFont="1" applyFill="1" applyBorder="1" applyAlignment="1">
      <alignment horizontal="right" vertical="center"/>
    </xf>
    <xf numFmtId="3" fontId="48" fillId="3" borderId="1" xfId="0" applyNumberFormat="1" applyFont="1" applyFill="1" applyBorder="1" applyAlignment="1">
      <alignment horizontal="right" vertical="center"/>
    </xf>
    <xf numFmtId="3" fontId="48" fillId="3" borderId="7" xfId="0" applyNumberFormat="1" applyFont="1" applyFill="1" applyBorder="1" applyAlignment="1">
      <alignment horizontal="right" vertical="center"/>
    </xf>
    <xf numFmtId="3" fontId="48" fillId="3" borderId="26" xfId="0" applyNumberFormat="1" applyFont="1" applyFill="1" applyBorder="1" applyAlignment="1">
      <alignment horizontal="right" vertical="center"/>
    </xf>
    <xf numFmtId="3" fontId="52" fillId="3" borderId="6" xfId="32" applyNumberFormat="1" applyFont="1" applyFill="1" applyBorder="1" applyAlignment="1">
      <alignment vertical="center"/>
    </xf>
    <xf numFmtId="3" fontId="52" fillId="3" borderId="14" xfId="32" applyNumberFormat="1" applyFont="1" applyFill="1" applyBorder="1" applyAlignment="1">
      <alignment horizontal="right" vertical="center"/>
    </xf>
    <xf numFmtId="3" fontId="68" fillId="3" borderId="14" xfId="32" applyNumberFormat="1" applyFont="1" applyFill="1" applyBorder="1"/>
    <xf numFmtId="3" fontId="68" fillId="3" borderId="14" xfId="32" applyNumberFormat="1" applyFont="1" applyFill="1" applyBorder="1" applyAlignment="1">
      <alignment vertical="center"/>
    </xf>
    <xf numFmtId="3" fontId="46" fillId="3" borderId="14" xfId="32" applyNumberFormat="1" applyFont="1" applyFill="1" applyBorder="1"/>
    <xf numFmtId="3" fontId="83" fillId="3" borderId="6" xfId="32" applyNumberFormat="1" applyFont="1" applyFill="1" applyBorder="1" applyAlignment="1">
      <alignment horizontal="right" vertical="center"/>
    </xf>
    <xf numFmtId="3" fontId="37" fillId="3" borderId="6" xfId="32" applyNumberFormat="1" applyFont="1" applyFill="1" applyBorder="1" applyAlignment="1">
      <alignment horizontal="right" vertical="center"/>
    </xf>
    <xf numFmtId="3" fontId="52" fillId="3" borderId="14" xfId="32" applyNumberFormat="1" applyFont="1" applyFill="1" applyBorder="1" applyAlignment="1">
      <alignment vertical="center"/>
    </xf>
    <xf numFmtId="3" fontId="52" fillId="3" borderId="14" xfId="32" applyNumberFormat="1" applyFont="1" applyFill="1" applyBorder="1"/>
    <xf numFmtId="0" fontId="180" fillId="6" borderId="14" xfId="0" applyFont="1" applyFill="1" applyBorder="1"/>
    <xf numFmtId="0" fontId="112" fillId="6" borderId="6" xfId="0" applyFont="1" applyFill="1" applyBorder="1" applyAlignment="1">
      <alignment horizontal="right" vertical="center"/>
    </xf>
    <xf numFmtId="0" fontId="112" fillId="6" borderId="14" xfId="0" applyFont="1" applyFill="1" applyBorder="1" applyAlignment="1">
      <alignment vertical="center"/>
    </xf>
    <xf numFmtId="0" fontId="180" fillId="6" borderId="42" xfId="0" applyFont="1" applyFill="1" applyBorder="1"/>
    <xf numFmtId="0" fontId="112" fillId="6" borderId="12" xfId="0" applyFont="1" applyFill="1" applyBorder="1" applyAlignment="1">
      <alignment horizontal="right" vertical="center"/>
    </xf>
    <xf numFmtId="0" fontId="180" fillId="6" borderId="14" xfId="0" applyFont="1" applyFill="1" applyBorder="1" applyAlignment="1">
      <alignment vertical="center"/>
    </xf>
    <xf numFmtId="3" fontId="39" fillId="3" borderId="6" xfId="32" applyNumberFormat="1" applyFont="1" applyFill="1" applyBorder="1" applyAlignment="1">
      <alignment horizontal="right" vertical="center"/>
    </xf>
    <xf numFmtId="3" fontId="68" fillId="3" borderId="42" xfId="32" applyNumberFormat="1" applyFont="1" applyFill="1" applyBorder="1"/>
    <xf numFmtId="3" fontId="39" fillId="3" borderId="12" xfId="32" applyNumberFormat="1" applyFont="1" applyFill="1" applyBorder="1" applyAlignment="1">
      <alignment horizontal="right" vertical="center"/>
    </xf>
    <xf numFmtId="3" fontId="68" fillId="3" borderId="12" xfId="32" applyNumberFormat="1" applyFont="1" applyFill="1" applyBorder="1" applyAlignment="1">
      <alignment horizontal="right" vertical="center"/>
    </xf>
    <xf numFmtId="0" fontId="180" fillId="6" borderId="6" xfId="0" applyFont="1" applyFill="1" applyBorder="1" applyAlignment="1">
      <alignment horizontal="right" vertical="center"/>
    </xf>
    <xf numFmtId="0" fontId="180" fillId="6" borderId="12" xfId="0" applyFont="1" applyFill="1" applyBorder="1" applyAlignment="1">
      <alignment horizontal="right" vertical="center"/>
    </xf>
    <xf numFmtId="3" fontId="68" fillId="3" borderId="81" xfId="32" applyNumberFormat="1" applyFont="1" applyFill="1" applyBorder="1"/>
    <xf numFmtId="3" fontId="68" fillId="3" borderId="26" xfId="32" applyNumberFormat="1" applyFont="1" applyFill="1" applyBorder="1"/>
    <xf numFmtId="167" fontId="23" fillId="3" borderId="0" xfId="1" applyFont="1" applyFill="1" applyAlignment="1">
      <alignment horizontal="center" vertical="center"/>
    </xf>
    <xf numFmtId="0" fontId="30" fillId="3" borderId="0" xfId="2" applyFont="1" applyFill="1" applyAlignment="1">
      <alignment horizontal="left" vertical="center" wrapText="1" indent="2"/>
    </xf>
    <xf numFmtId="167" fontId="129" fillId="3" borderId="0" xfId="1" applyFont="1" applyFill="1" applyAlignment="1">
      <alignment horizontal="center"/>
    </xf>
    <xf numFmtId="167" fontId="7" fillId="3" borderId="1" xfId="1" applyFont="1" applyFill="1" applyBorder="1" applyAlignment="1">
      <alignment horizontal="center" vertical="center"/>
    </xf>
    <xf numFmtId="167" fontId="10" fillId="3" borderId="2" xfId="1" applyFont="1" applyFill="1" applyBorder="1" applyAlignment="1">
      <alignment horizontal="center" vertical="center"/>
    </xf>
    <xf numFmtId="167" fontId="10" fillId="3" borderId="0" xfId="1" applyFont="1" applyFill="1" applyAlignment="1">
      <alignment horizontal="center" vertical="center"/>
    </xf>
    <xf numFmtId="167" fontId="10" fillId="3" borderId="3" xfId="1" applyFont="1" applyFill="1" applyBorder="1" applyAlignment="1">
      <alignment horizontal="center" vertical="center"/>
    </xf>
    <xf numFmtId="167" fontId="11" fillId="3" borderId="2" xfId="1" applyFont="1" applyFill="1" applyBorder="1" applyAlignment="1">
      <alignment horizontal="center" vertical="center"/>
    </xf>
    <xf numFmtId="167" fontId="11" fillId="3" borderId="1" xfId="1" applyFont="1" applyFill="1" applyBorder="1" applyAlignment="1">
      <alignment horizontal="center" vertical="center"/>
    </xf>
    <xf numFmtId="0" fontId="130" fillId="3" borderId="0" xfId="3" applyFont="1" applyFill="1" applyAlignment="1">
      <alignment horizontal="center" vertical="center"/>
    </xf>
    <xf numFmtId="0" fontId="8" fillId="3" borderId="0" xfId="3" applyFont="1" applyFill="1" applyAlignment="1">
      <alignment horizontal="center" vertical="center"/>
    </xf>
    <xf numFmtId="167" fontId="78" fillId="3" borderId="0" xfId="1" applyFont="1" applyFill="1" applyAlignment="1" applyProtection="1">
      <alignment horizontal="right" wrapText="1"/>
      <protection locked="0"/>
    </xf>
    <xf numFmtId="167" fontId="70" fillId="3" borderId="0" xfId="1" applyFont="1" applyFill="1" applyAlignment="1" applyProtection="1">
      <alignment horizontal="center" vertical="center"/>
      <protection locked="0"/>
    </xf>
    <xf numFmtId="3" fontId="74" fillId="3" borderId="0" xfId="6" applyNumberFormat="1" applyFont="1" applyFill="1" applyAlignment="1" applyProtection="1">
      <alignment horizontal="left" vertical="center" wrapText="1" indent="1"/>
      <protection locked="0"/>
    </xf>
    <xf numFmtId="3" fontId="81" fillId="3" borderId="0" xfId="6" applyNumberFormat="1" applyFont="1" applyFill="1" applyAlignment="1" applyProtection="1">
      <alignment horizontal="left" vertical="center" wrapText="1" indent="3"/>
      <protection locked="0"/>
    </xf>
    <xf numFmtId="3" fontId="44" fillId="3" borderId="0" xfId="6" applyNumberFormat="1" applyFont="1" applyFill="1" applyAlignment="1">
      <alignment horizontal="center" vertical="center" readingOrder="2"/>
    </xf>
    <xf numFmtId="3" fontId="45" fillId="3" borderId="0" xfId="6" applyNumberFormat="1" applyFont="1" applyFill="1" applyAlignment="1">
      <alignment horizontal="center" vertical="center"/>
    </xf>
    <xf numFmtId="49" fontId="52" fillId="3" borderId="9" xfId="7" applyNumberFormat="1" applyFont="1" applyFill="1" applyBorder="1" applyAlignment="1">
      <alignment horizontal="center" vertical="center"/>
    </xf>
    <xf numFmtId="3" fontId="53" fillId="3" borderId="2" xfId="6" applyNumberFormat="1" applyFont="1" applyFill="1" applyBorder="1" applyAlignment="1">
      <alignment horizontal="center" vertical="center"/>
    </xf>
    <xf numFmtId="3" fontId="53" fillId="3" borderId="0" xfId="6" applyNumberFormat="1" applyFont="1" applyFill="1" applyAlignment="1">
      <alignment horizontal="center" vertical="center"/>
    </xf>
    <xf numFmtId="3" fontId="53" fillId="3" borderId="8" xfId="6" applyNumberFormat="1" applyFont="1" applyFill="1" applyBorder="1" applyAlignment="1">
      <alignment horizontal="center" vertical="center"/>
    </xf>
    <xf numFmtId="3" fontId="54" fillId="3" borderId="2" xfId="6" applyNumberFormat="1" applyFont="1" applyFill="1" applyBorder="1" applyAlignment="1">
      <alignment horizontal="center" wrapText="1"/>
    </xf>
    <xf numFmtId="3" fontId="54" fillId="3" borderId="0" xfId="6" applyNumberFormat="1" applyFont="1" applyFill="1" applyAlignment="1">
      <alignment horizontal="center" wrapText="1"/>
    </xf>
    <xf numFmtId="3" fontId="54" fillId="3" borderId="8" xfId="6" applyNumberFormat="1" applyFont="1" applyFill="1" applyBorder="1" applyAlignment="1">
      <alignment horizontal="center" wrapText="1"/>
    </xf>
    <xf numFmtId="49" fontId="52" fillId="3" borderId="6" xfId="7" applyNumberFormat="1" applyFont="1" applyFill="1" applyBorder="1" applyAlignment="1">
      <alignment horizontal="center" vertical="center"/>
    </xf>
    <xf numFmtId="49" fontId="52" fillId="3" borderId="0" xfId="7" applyNumberFormat="1" applyFont="1" applyFill="1" applyBorder="1" applyAlignment="1">
      <alignment horizontal="center" vertical="center"/>
    </xf>
    <xf numFmtId="3" fontId="54" fillId="3" borderId="6" xfId="6" applyNumberFormat="1" applyFont="1" applyFill="1" applyBorder="1" applyAlignment="1">
      <alignment horizontal="center" vertical="center" wrapText="1"/>
    </xf>
    <xf numFmtId="3" fontId="54" fillId="3" borderId="0" xfId="6" applyNumberFormat="1" applyFont="1" applyFill="1" applyAlignment="1">
      <alignment horizontal="center" vertical="center" wrapText="1"/>
    </xf>
    <xf numFmtId="3" fontId="58" fillId="3" borderId="11" xfId="6" applyNumberFormat="1" applyFont="1" applyFill="1" applyBorder="1" applyAlignment="1">
      <alignment horizontal="center" vertical="center"/>
    </xf>
    <xf numFmtId="49" fontId="115" fillId="3" borderId="7" xfId="7" applyNumberFormat="1" applyFont="1" applyFill="1" applyBorder="1" applyAlignment="1">
      <alignment horizontal="center" vertical="center"/>
    </xf>
    <xf numFmtId="49" fontId="52" fillId="3" borderId="1" xfId="7" applyNumberFormat="1" applyFont="1" applyFill="1" applyBorder="1" applyAlignment="1">
      <alignment horizontal="center" vertical="center"/>
    </xf>
    <xf numFmtId="3" fontId="55" fillId="3" borderId="13" xfId="6" applyNumberFormat="1" applyFont="1" applyFill="1" applyBorder="1" applyAlignment="1">
      <alignment horizontal="center" vertical="center" wrapText="1"/>
    </xf>
    <xf numFmtId="3" fontId="55" fillId="3" borderId="0" xfId="6" applyNumberFormat="1" applyFont="1" applyFill="1" applyAlignment="1">
      <alignment horizontal="center" vertical="center" wrapText="1"/>
    </xf>
    <xf numFmtId="3" fontId="55" fillId="3" borderId="2" xfId="6" applyNumberFormat="1" applyFont="1" applyFill="1" applyBorder="1" applyAlignment="1">
      <alignment horizontal="center" vertical="center" wrapText="1"/>
    </xf>
    <xf numFmtId="3" fontId="55" fillId="3" borderId="8" xfId="6" applyNumberFormat="1" applyFont="1" applyFill="1" applyBorder="1" applyAlignment="1">
      <alignment horizontal="center" vertical="center" wrapText="1"/>
    </xf>
    <xf numFmtId="3" fontId="58" fillId="3" borderId="12" xfId="6" applyNumberFormat="1" applyFont="1" applyFill="1" applyBorder="1" applyAlignment="1">
      <alignment horizontal="center" vertical="center"/>
    </xf>
    <xf numFmtId="3" fontId="58" fillId="3" borderId="8" xfId="6" applyNumberFormat="1" applyFont="1" applyFill="1" applyBorder="1" applyAlignment="1">
      <alignment horizontal="center" vertical="center"/>
    </xf>
    <xf numFmtId="3" fontId="58" fillId="3" borderId="24" xfId="6" applyNumberFormat="1" applyFont="1" applyFill="1" applyBorder="1" applyAlignment="1">
      <alignment horizontal="center" vertical="center"/>
    </xf>
    <xf numFmtId="3" fontId="58" fillId="3" borderId="9" xfId="6" applyNumberFormat="1" applyFont="1" applyFill="1" applyBorder="1" applyAlignment="1">
      <alignment horizontal="center" vertical="center"/>
    </xf>
    <xf numFmtId="3" fontId="58" fillId="3" borderId="25" xfId="6" applyNumberFormat="1" applyFont="1" applyFill="1" applyBorder="1" applyAlignment="1">
      <alignment horizontal="center" vertical="center"/>
    </xf>
    <xf numFmtId="3" fontId="58" fillId="3" borderId="42" xfId="6" applyNumberFormat="1" applyFont="1" applyFill="1" applyBorder="1" applyAlignment="1">
      <alignment horizontal="center" vertical="center"/>
    </xf>
    <xf numFmtId="49" fontId="52" fillId="3" borderId="2" xfId="7" applyNumberFormat="1" applyFont="1" applyFill="1" applyBorder="1" applyAlignment="1">
      <alignment horizontal="center" vertical="center"/>
    </xf>
    <xf numFmtId="49" fontId="52" fillId="3" borderId="27" xfId="7" applyNumberFormat="1" applyFont="1" applyFill="1" applyBorder="1" applyAlignment="1">
      <alignment horizontal="center" vertical="center"/>
    </xf>
    <xf numFmtId="49" fontId="52" fillId="3" borderId="26" xfId="7" applyNumberFormat="1" applyFont="1" applyFill="1" applyBorder="1" applyAlignment="1">
      <alignment horizontal="center" vertical="center"/>
    </xf>
    <xf numFmtId="3" fontId="101" fillId="3" borderId="2" xfId="6" applyNumberFormat="1" applyFont="1" applyFill="1" applyBorder="1" applyAlignment="1" applyProtection="1">
      <alignment horizontal="center" vertical="center" wrapText="1"/>
      <protection hidden="1"/>
    </xf>
    <xf numFmtId="3" fontId="101" fillId="3" borderId="1" xfId="6" applyNumberFormat="1" applyFont="1" applyFill="1" applyBorder="1" applyAlignment="1" applyProtection="1">
      <alignment horizontal="center" vertical="center" wrapText="1"/>
      <protection hidden="1"/>
    </xf>
    <xf numFmtId="3" fontId="55" fillId="3" borderId="13" xfId="6" applyNumberFormat="1" applyFont="1" applyFill="1" applyBorder="1" applyAlignment="1">
      <alignment horizontal="center" wrapText="1"/>
    </xf>
    <xf numFmtId="3" fontId="55" fillId="3" borderId="1" xfId="6" applyNumberFormat="1" applyFont="1" applyFill="1" applyBorder="1" applyAlignment="1">
      <alignment horizontal="center" wrapText="1"/>
    </xf>
    <xf numFmtId="3" fontId="55" fillId="3" borderId="2" xfId="6" applyNumberFormat="1" applyFont="1" applyFill="1" applyBorder="1" applyAlignment="1">
      <alignment horizontal="left" vertical="center"/>
    </xf>
    <xf numFmtId="3" fontId="55" fillId="3" borderId="0" xfId="6" applyNumberFormat="1" applyFont="1" applyFill="1" applyAlignment="1">
      <alignment horizontal="left" vertical="center"/>
    </xf>
    <xf numFmtId="3" fontId="55" fillId="3" borderId="1" xfId="6" applyNumberFormat="1" applyFont="1" applyFill="1" applyBorder="1" applyAlignment="1">
      <alignment horizontal="left" vertical="center"/>
    </xf>
    <xf numFmtId="3" fontId="58" fillId="3" borderId="1" xfId="6" applyNumberFormat="1" applyFont="1" applyFill="1" applyBorder="1" applyAlignment="1">
      <alignment horizontal="center" vertical="center"/>
    </xf>
    <xf numFmtId="3" fontId="58" fillId="3" borderId="26" xfId="6" applyNumberFormat="1" applyFont="1" applyFill="1" applyBorder="1" applyAlignment="1">
      <alignment horizontal="center" vertical="center"/>
    </xf>
    <xf numFmtId="3" fontId="54" fillId="3" borderId="43" xfId="6" applyNumberFormat="1" applyFont="1" applyFill="1" applyBorder="1" applyAlignment="1">
      <alignment horizontal="center" vertical="center" wrapText="1"/>
    </xf>
    <xf numFmtId="3" fontId="54" fillId="3" borderId="26" xfId="6" applyNumberFormat="1" applyFont="1" applyFill="1" applyBorder="1" applyAlignment="1">
      <alignment horizontal="center" vertical="center" wrapText="1"/>
    </xf>
    <xf numFmtId="49" fontId="115" fillId="3" borderId="8" xfId="7" applyNumberFormat="1" applyFont="1" applyFill="1" applyBorder="1" applyAlignment="1">
      <alignment horizontal="center" vertical="center"/>
    </xf>
    <xf numFmtId="49" fontId="52" fillId="3" borderId="8" xfId="7" applyNumberFormat="1" applyFont="1" applyFill="1" applyBorder="1" applyAlignment="1">
      <alignment horizontal="center" vertical="center"/>
    </xf>
    <xf numFmtId="3" fontId="58" fillId="3" borderId="12" xfId="6" applyNumberFormat="1" applyFont="1" applyFill="1" applyBorder="1" applyAlignment="1">
      <alignment horizontal="center" vertical="center" wrapText="1"/>
    </xf>
    <xf numFmtId="3" fontId="58" fillId="3" borderId="8" xfId="6" applyNumberFormat="1" applyFont="1" applyFill="1" applyBorder="1" applyAlignment="1">
      <alignment horizontal="center" vertical="center" wrapText="1"/>
    </xf>
    <xf numFmtId="3" fontId="136" fillId="3" borderId="2" xfId="6" applyNumberFormat="1" applyFont="1" applyFill="1" applyBorder="1" applyAlignment="1">
      <alignment horizontal="right" vertical="center" wrapText="1"/>
    </xf>
    <xf numFmtId="3" fontId="136" fillId="3" borderId="0" xfId="6" applyNumberFormat="1" applyFont="1" applyFill="1" applyAlignment="1">
      <alignment horizontal="right" vertical="center" wrapText="1"/>
    </xf>
    <xf numFmtId="3" fontId="136" fillId="3" borderId="1" xfId="6" applyNumberFormat="1" applyFont="1" applyFill="1" applyBorder="1" applyAlignment="1">
      <alignment horizontal="right" vertical="center" wrapText="1"/>
    </xf>
    <xf numFmtId="3" fontId="55" fillId="3" borderId="27" xfId="6" applyNumberFormat="1" applyFont="1" applyFill="1" applyBorder="1" applyAlignment="1">
      <alignment horizontal="center" vertical="center" wrapText="1"/>
    </xf>
    <xf numFmtId="3" fontId="55" fillId="3" borderId="14" xfId="6" applyNumberFormat="1" applyFont="1" applyFill="1" applyBorder="1" applyAlignment="1">
      <alignment horizontal="center" vertical="center" wrapText="1"/>
    </xf>
    <xf numFmtId="3" fontId="55" fillId="3" borderId="42" xfId="6" applyNumberFormat="1" applyFont="1" applyFill="1" applyBorder="1" applyAlignment="1">
      <alignment horizontal="center" vertical="center" wrapText="1"/>
    </xf>
    <xf numFmtId="3" fontId="13" fillId="3" borderId="0" xfId="6" applyNumberFormat="1" applyFont="1" applyFill="1" applyAlignment="1" applyProtection="1">
      <alignment horizontal="center" vertical="center" wrapText="1" readingOrder="2"/>
      <protection hidden="1"/>
    </xf>
    <xf numFmtId="3" fontId="13" fillId="3" borderId="1" xfId="6" applyNumberFormat="1" applyFont="1" applyFill="1" applyBorder="1" applyAlignment="1" applyProtection="1">
      <alignment horizontal="center" vertical="center" wrapText="1" readingOrder="2"/>
      <protection hidden="1"/>
    </xf>
    <xf numFmtId="3" fontId="54" fillId="3" borderId="2" xfId="6" applyNumberFormat="1" applyFont="1" applyFill="1" applyBorder="1" applyAlignment="1">
      <alignment horizontal="center" vertical="center" wrapText="1"/>
    </xf>
    <xf numFmtId="3" fontId="54" fillId="3" borderId="13" xfId="6" applyNumberFormat="1" applyFont="1" applyFill="1" applyBorder="1" applyAlignment="1">
      <alignment horizontal="center" vertical="center" wrapText="1"/>
    </xf>
    <xf numFmtId="3" fontId="54" fillId="3" borderId="1" xfId="6" applyNumberFormat="1" applyFont="1" applyFill="1" applyBorder="1" applyAlignment="1">
      <alignment horizontal="center" vertical="center" wrapText="1"/>
    </xf>
    <xf numFmtId="3" fontId="54" fillId="3" borderId="43" xfId="6" applyNumberFormat="1" applyFont="1" applyFill="1" applyBorder="1" applyAlignment="1">
      <alignment horizontal="right" vertical="center" wrapText="1"/>
    </xf>
    <xf numFmtId="3" fontId="54" fillId="3" borderId="26" xfId="6" applyNumberFormat="1" applyFont="1" applyFill="1" applyBorder="1" applyAlignment="1">
      <alignment horizontal="right" vertical="center" wrapText="1"/>
    </xf>
    <xf numFmtId="167" fontId="137" fillId="3" borderId="41" xfId="1" applyFont="1" applyFill="1" applyBorder="1" applyAlignment="1">
      <alignment horizontal="center" vertical="center"/>
    </xf>
    <xf numFmtId="167" fontId="137" fillId="3" borderId="23" xfId="1" applyFont="1" applyFill="1" applyBorder="1" applyAlignment="1">
      <alignment horizontal="center" vertical="center"/>
    </xf>
    <xf numFmtId="167" fontId="137" fillId="3" borderId="55" xfId="1" applyFont="1" applyFill="1" applyBorder="1" applyAlignment="1">
      <alignment horizontal="center" vertical="center"/>
    </xf>
    <xf numFmtId="3" fontId="54" fillId="3" borderId="0" xfId="6" applyNumberFormat="1" applyFont="1" applyFill="1" applyAlignment="1">
      <alignment horizontal="right" vertical="center" wrapText="1"/>
    </xf>
    <xf numFmtId="3" fontId="54" fillId="3" borderId="1" xfId="6" applyNumberFormat="1" applyFont="1" applyFill="1" applyBorder="1" applyAlignment="1">
      <alignment horizontal="right" vertical="center" wrapText="1"/>
    </xf>
    <xf numFmtId="49" fontId="52" fillId="3" borderId="2" xfId="7" applyNumberFormat="1" applyFont="1" applyFill="1" applyBorder="1" applyAlignment="1">
      <alignment horizontal="center" vertical="center" wrapText="1"/>
    </xf>
    <xf numFmtId="49" fontId="52" fillId="3" borderId="0" xfId="7" applyNumberFormat="1" applyFont="1" applyFill="1" applyBorder="1" applyAlignment="1">
      <alignment horizontal="center" vertical="center" wrapText="1"/>
    </xf>
    <xf numFmtId="49" fontId="52" fillId="3" borderId="8" xfId="7" applyNumberFormat="1" applyFont="1" applyFill="1" applyBorder="1" applyAlignment="1">
      <alignment horizontal="center" vertical="center" wrapText="1"/>
    </xf>
    <xf numFmtId="3" fontId="145" fillId="3" borderId="13" xfId="6" applyNumberFormat="1" applyFont="1" applyFill="1" applyBorder="1" applyAlignment="1">
      <alignment vertical="center" wrapText="1"/>
    </xf>
    <xf numFmtId="3" fontId="145" fillId="3" borderId="1" xfId="6" applyNumberFormat="1" applyFont="1" applyFill="1" applyBorder="1" applyAlignment="1">
      <alignment vertical="center" wrapText="1"/>
    </xf>
    <xf numFmtId="167" fontId="15" fillId="2" borderId="3" xfId="1" applyFont="1" applyFill="1" applyBorder="1" applyAlignment="1">
      <alignment horizontal="center"/>
    </xf>
    <xf numFmtId="167" fontId="146" fillId="2" borderId="0" xfId="1" applyFont="1" applyFill="1" applyAlignment="1">
      <alignment horizontal="center"/>
    </xf>
    <xf numFmtId="167" fontId="8" fillId="2" borderId="0" xfId="1" applyFont="1" applyFill="1" applyAlignment="1">
      <alignment horizontal="center"/>
    </xf>
    <xf numFmtId="167" fontId="8" fillId="2" borderId="1" xfId="1" applyFont="1" applyFill="1" applyBorder="1" applyAlignment="1">
      <alignment horizontal="center" vertical="top"/>
    </xf>
    <xf numFmtId="167" fontId="146" fillId="2" borderId="2" xfId="1" applyFont="1" applyFill="1" applyBorder="1" applyAlignment="1">
      <alignment horizontal="center"/>
    </xf>
    <xf numFmtId="167" fontId="149" fillId="2" borderId="0" xfId="1" applyFont="1" applyFill="1" applyAlignment="1">
      <alignment horizontal="center" vertical="center" wrapText="1"/>
    </xf>
    <xf numFmtId="167" fontId="37" fillId="2" borderId="0" xfId="1" applyFont="1" applyFill="1" applyAlignment="1">
      <alignment horizontal="center" vertical="top"/>
    </xf>
    <xf numFmtId="167" fontId="32" fillId="2" borderId="23" xfId="1" applyFont="1" applyFill="1" applyBorder="1" applyAlignment="1">
      <alignment horizontal="center" vertical="center"/>
    </xf>
    <xf numFmtId="167" fontId="93" fillId="2" borderId="2" xfId="1" applyFont="1" applyFill="1" applyBorder="1" applyAlignment="1">
      <alignment horizontal="left" vertical="center" indent="2"/>
    </xf>
    <xf numFmtId="167" fontId="93" fillId="2" borderId="0" xfId="1" applyFont="1" applyFill="1" applyAlignment="1">
      <alignment horizontal="left" vertical="center" indent="2"/>
    </xf>
    <xf numFmtId="167" fontId="93" fillId="2" borderId="1" xfId="1" applyFont="1" applyFill="1" applyBorder="1" applyAlignment="1">
      <alignment horizontal="left" vertical="center" indent="2"/>
    </xf>
    <xf numFmtId="167" fontId="144" fillId="2" borderId="0" xfId="1" applyFont="1" applyFill="1" applyAlignment="1">
      <alignment horizontal="center" vertical="center" wrapText="1"/>
    </xf>
    <xf numFmtId="167" fontId="8" fillId="2" borderId="0" xfId="1" applyFont="1" applyFill="1" applyAlignment="1">
      <alignment horizontal="center" vertical="top"/>
    </xf>
    <xf numFmtId="167" fontId="32" fillId="2" borderId="9" xfId="1"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167" fontId="93" fillId="2" borderId="9" xfId="1" applyFont="1" applyFill="1" applyBorder="1" applyAlignment="1">
      <alignment horizontal="center" vertical="center"/>
    </xf>
    <xf numFmtId="167" fontId="93" fillId="2" borderId="24" xfId="1" applyFont="1" applyFill="1" applyBorder="1" applyAlignment="1">
      <alignment horizontal="center" vertical="center"/>
    </xf>
    <xf numFmtId="167" fontId="93" fillId="2" borderId="25" xfId="1" applyFont="1" applyFill="1" applyBorder="1" applyAlignment="1">
      <alignment horizontal="center" vertical="center"/>
    </xf>
    <xf numFmtId="167" fontId="119" fillId="2" borderId="0" xfId="15" applyFont="1" applyFill="1" applyAlignment="1" applyProtection="1">
      <alignment horizontal="right" vertical="center" wrapText="1"/>
      <protection hidden="1"/>
    </xf>
    <xf numFmtId="167" fontId="125" fillId="3" borderId="0" xfId="0" applyNumberFormat="1" applyFont="1" applyFill="1" applyAlignment="1">
      <alignment horizontal="left" vertical="center" wrapText="1" indent="2"/>
    </xf>
    <xf numFmtId="167" fontId="8" fillId="2" borderId="24" xfId="16" applyFont="1" applyFill="1" applyBorder="1" applyAlignment="1" applyProtection="1">
      <alignment horizontal="center" vertical="center"/>
      <protection hidden="1"/>
    </xf>
    <xf numFmtId="167" fontId="8" fillId="2" borderId="9" xfId="16" applyFont="1" applyFill="1" applyBorder="1" applyAlignment="1" applyProtection="1">
      <alignment horizontal="center" vertical="center"/>
      <protection hidden="1"/>
    </xf>
    <xf numFmtId="167" fontId="12" fillId="2" borderId="2" xfId="16" applyFont="1" applyFill="1" applyBorder="1" applyAlignment="1">
      <alignment horizontal="center" vertical="center"/>
    </xf>
    <xf numFmtId="167" fontId="12" fillId="2" borderId="0" xfId="16" applyFont="1" applyFill="1" applyAlignment="1">
      <alignment horizontal="center" vertical="center"/>
    </xf>
    <xf numFmtId="167" fontId="12" fillId="2" borderId="1" xfId="16" applyFont="1" applyFill="1" applyBorder="1" applyAlignment="1">
      <alignment horizontal="center" vertical="center"/>
    </xf>
    <xf numFmtId="167" fontId="37" fillId="2" borderId="0" xfId="16" applyFont="1" applyFill="1" applyAlignment="1" applyProtection="1">
      <alignment horizontal="center" vertical="center"/>
      <protection hidden="1"/>
    </xf>
    <xf numFmtId="167" fontId="149" fillId="2" borderId="0" xfId="15" applyFont="1" applyFill="1" applyAlignment="1" applyProtection="1">
      <alignment horizontal="center"/>
      <protection hidden="1"/>
    </xf>
    <xf numFmtId="167" fontId="7" fillId="2" borderId="1" xfId="16" applyFont="1" applyFill="1" applyBorder="1" applyAlignment="1" applyProtection="1">
      <alignment horizontal="center" vertical="center"/>
      <protection hidden="1"/>
    </xf>
    <xf numFmtId="167" fontId="8" fillId="2" borderId="25" xfId="16" applyFont="1" applyFill="1" applyBorder="1" applyAlignment="1" applyProtection="1">
      <alignment horizontal="center" vertical="center"/>
      <protection hidden="1"/>
    </xf>
    <xf numFmtId="167" fontId="76" fillId="3" borderId="0" xfId="0" applyNumberFormat="1" applyFont="1" applyFill="1" applyAlignment="1">
      <alignment horizontal="left" vertical="center" wrapText="1"/>
    </xf>
    <xf numFmtId="167" fontId="59" fillId="3" borderId="9" xfId="0" applyNumberFormat="1" applyFont="1" applyFill="1" applyBorder="1" applyAlignment="1">
      <alignment horizontal="center" vertical="center"/>
    </xf>
    <xf numFmtId="167" fontId="151" fillId="3" borderId="9" xfId="0" applyNumberFormat="1" applyFont="1" applyFill="1" applyBorder="1" applyAlignment="1">
      <alignment horizontal="center" vertical="center"/>
    </xf>
    <xf numFmtId="167" fontId="153" fillId="3" borderId="0" xfId="18" applyFont="1" applyFill="1" applyAlignment="1">
      <alignment horizontal="center" vertical="center"/>
    </xf>
    <xf numFmtId="167" fontId="105" fillId="3" borderId="1" xfId="15" applyFont="1" applyFill="1" applyBorder="1" applyAlignment="1">
      <alignment horizontal="center" vertical="top"/>
    </xf>
    <xf numFmtId="167" fontId="59" fillId="3" borderId="0" xfId="0" applyNumberFormat="1" applyFont="1" applyFill="1" applyAlignment="1">
      <alignment horizontal="left" vertical="center"/>
    </xf>
    <xf numFmtId="167" fontId="59" fillId="3" borderId="1" xfId="0" applyNumberFormat="1" applyFont="1" applyFill="1" applyBorder="1" applyAlignment="1">
      <alignment horizontal="left" vertical="center"/>
    </xf>
    <xf numFmtId="167" fontId="63" fillId="3" borderId="0" xfId="0" applyNumberFormat="1" applyFont="1" applyFill="1" applyAlignment="1">
      <alignment horizontal="right" vertical="center"/>
    </xf>
    <xf numFmtId="167" fontId="63" fillId="3" borderId="1" xfId="0" applyNumberFormat="1" applyFont="1" applyFill="1" applyBorder="1" applyAlignment="1">
      <alignment horizontal="right" vertical="center"/>
    </xf>
    <xf numFmtId="167" fontId="108" fillId="3" borderId="0" xfId="0" applyNumberFormat="1" applyFont="1" applyFill="1" applyAlignment="1">
      <alignment horizontal="right" vertical="center"/>
    </xf>
    <xf numFmtId="167" fontId="130" fillId="3" borderId="0" xfId="15" applyFont="1" applyFill="1" applyAlignment="1">
      <alignment horizontal="right" vertical="center"/>
    </xf>
    <xf numFmtId="167" fontId="130" fillId="3" borderId="1" xfId="15" applyFont="1" applyFill="1" applyBorder="1" applyAlignment="1">
      <alignment horizontal="right" vertical="center"/>
    </xf>
    <xf numFmtId="1" fontId="101" fillId="3" borderId="0" xfId="15" applyNumberFormat="1" applyFont="1" applyFill="1" applyAlignment="1">
      <alignment horizontal="center" vertical="center"/>
    </xf>
    <xf numFmtId="167" fontId="130" fillId="3" borderId="0" xfId="15" applyFont="1" applyFill="1" applyAlignment="1">
      <alignment horizontal="center" vertical="center" wrapText="1"/>
    </xf>
    <xf numFmtId="167" fontId="8" fillId="3" borderId="1" xfId="16" applyFont="1" applyFill="1" applyBorder="1" applyAlignment="1">
      <alignment horizontal="center" vertical="center"/>
    </xf>
    <xf numFmtId="167" fontId="37" fillId="3" borderId="0" xfId="16" applyFont="1" applyFill="1" applyAlignment="1">
      <alignment horizontal="left" vertical="center"/>
    </xf>
    <xf numFmtId="167" fontId="37" fillId="3" borderId="1" xfId="16" applyFont="1" applyFill="1" applyBorder="1" applyAlignment="1">
      <alignment horizontal="left" vertical="center"/>
    </xf>
    <xf numFmtId="167" fontId="91" fillId="3" borderId="9" xfId="16" applyFont="1" applyFill="1" applyBorder="1" applyAlignment="1">
      <alignment horizontal="center" vertical="center"/>
    </xf>
    <xf numFmtId="167" fontId="91" fillId="3" borderId="24" xfId="16" applyFont="1" applyFill="1" applyBorder="1" applyAlignment="1">
      <alignment horizontal="center" vertical="center"/>
    </xf>
    <xf numFmtId="0" fontId="26" fillId="2" borderId="0" xfId="0" applyFont="1" applyFill="1" applyAlignment="1">
      <alignment horizontal="left" vertical="center" wrapText="1"/>
    </xf>
    <xf numFmtId="167" fontId="130" fillId="2" borderId="0" xfId="0" applyNumberFormat="1" applyFont="1" applyFill="1" applyAlignment="1">
      <alignment horizontal="center" vertical="center"/>
    </xf>
    <xf numFmtId="167" fontId="8" fillId="2" borderId="1" xfId="0" applyNumberFormat="1" applyFont="1" applyFill="1" applyBorder="1" applyAlignment="1">
      <alignment horizontal="center" vertical="center"/>
    </xf>
    <xf numFmtId="0" fontId="26" fillId="0" borderId="0" xfId="0" applyFont="1" applyAlignment="1">
      <alignment horizontal="left" vertical="center" wrapText="1"/>
    </xf>
    <xf numFmtId="167" fontId="166" fillId="3" borderId="0" xfId="0" applyNumberFormat="1" applyFont="1" applyFill="1" applyAlignment="1">
      <alignment horizontal="center" vertical="center"/>
    </xf>
    <xf numFmtId="167" fontId="47" fillId="3" borderId="0" xfId="0" applyNumberFormat="1" applyFont="1" applyFill="1" applyAlignment="1">
      <alignment horizontal="center" vertical="center"/>
    </xf>
    <xf numFmtId="167" fontId="12" fillId="3" borderId="0" xfId="0" applyNumberFormat="1" applyFont="1" applyFill="1" applyAlignment="1">
      <alignment horizontal="center" vertical="center"/>
    </xf>
    <xf numFmtId="167" fontId="8" fillId="3" borderId="0" xfId="0" applyNumberFormat="1" applyFont="1" applyFill="1" applyAlignment="1">
      <alignment horizontal="center" vertical="center"/>
    </xf>
    <xf numFmtId="167" fontId="32" fillId="3" borderId="2" xfId="0" applyNumberFormat="1" applyFont="1" applyFill="1" applyBorder="1" applyAlignment="1">
      <alignment horizontal="center" vertical="center"/>
    </xf>
    <xf numFmtId="167" fontId="32" fillId="3" borderId="1" xfId="0" applyNumberFormat="1" applyFont="1" applyFill="1" applyBorder="1" applyAlignment="1">
      <alignment horizontal="center" vertical="center"/>
    </xf>
    <xf numFmtId="167" fontId="30" fillId="2" borderId="0" xfId="16" applyFont="1" applyFill="1" applyAlignment="1" applyProtection="1">
      <alignment horizontal="left" vertical="center"/>
      <protection hidden="1"/>
    </xf>
    <xf numFmtId="167" fontId="32" fillId="3" borderId="9" xfId="0" applyNumberFormat="1" applyFont="1" applyFill="1" applyBorder="1" applyAlignment="1">
      <alignment horizontal="center" vertical="center"/>
    </xf>
    <xf numFmtId="167" fontId="32" fillId="3" borderId="25" xfId="0" applyNumberFormat="1" applyFont="1" applyFill="1" applyBorder="1" applyAlignment="1">
      <alignment horizontal="center" vertical="center"/>
    </xf>
    <xf numFmtId="167" fontId="32" fillId="3" borderId="24" xfId="0" applyNumberFormat="1" applyFont="1" applyFill="1" applyBorder="1" applyAlignment="1">
      <alignment horizontal="center" vertical="center"/>
    </xf>
    <xf numFmtId="167" fontId="30" fillId="2" borderId="2" xfId="16" applyFont="1" applyFill="1" applyBorder="1" applyAlignment="1" applyProtection="1">
      <alignment horizontal="left" vertical="center"/>
      <protection hidden="1"/>
    </xf>
    <xf numFmtId="0" fontId="65" fillId="3" borderId="0" xfId="0" applyFont="1" applyFill="1" applyAlignment="1">
      <alignment horizontal="left"/>
    </xf>
    <xf numFmtId="167" fontId="149" fillId="3" borderId="0" xfId="1" applyFont="1" applyFill="1" applyAlignment="1">
      <alignment horizontal="center" vertical="center"/>
    </xf>
    <xf numFmtId="0" fontId="113" fillId="3" borderId="0" xfId="0" applyFont="1" applyFill="1" applyAlignment="1">
      <alignment horizontal="center" vertical="center"/>
    </xf>
    <xf numFmtId="0" fontId="29" fillId="3" borderId="0" xfId="0" applyFont="1" applyFill="1" applyAlignment="1">
      <alignment horizontal="center"/>
    </xf>
    <xf numFmtId="0" fontId="3" fillId="3" borderId="0" xfId="0" applyFont="1" applyFill="1" applyAlignment="1">
      <alignment horizontal="left"/>
    </xf>
    <xf numFmtId="0" fontId="6" fillId="3" borderId="0" xfId="0" applyFont="1" applyFill="1" applyAlignment="1">
      <alignment horizontal="right" vertical="center"/>
    </xf>
    <xf numFmtId="0" fontId="29" fillId="3" borderId="0" xfId="0" applyFont="1" applyFill="1" applyAlignment="1">
      <alignment horizontal="right" vertical="center"/>
    </xf>
    <xf numFmtId="0" fontId="3" fillId="3" borderId="0" xfId="0" applyFont="1" applyFill="1" applyAlignment="1">
      <alignment horizontal="right" vertical="center"/>
    </xf>
    <xf numFmtId="0" fontId="3" fillId="3" borderId="0" xfId="0" applyFont="1" applyFill="1" applyAlignment="1">
      <alignment horizontal="center"/>
    </xf>
    <xf numFmtId="1" fontId="37" fillId="3" borderId="0" xfId="19" applyNumberFormat="1" applyFont="1" applyFill="1" applyAlignment="1" applyProtection="1">
      <alignment horizontal="center" vertical="center"/>
      <protection locked="0"/>
    </xf>
    <xf numFmtId="167" fontId="93" fillId="3" borderId="10" xfId="19" applyNumberFormat="1" applyFont="1" applyFill="1" applyBorder="1" applyAlignment="1" applyProtection="1">
      <alignment horizontal="center" vertical="center"/>
      <protection locked="0"/>
    </xf>
    <xf numFmtId="167" fontId="93" fillId="3" borderId="2" xfId="19" applyNumberFormat="1" applyFont="1" applyFill="1" applyBorder="1" applyAlignment="1" applyProtection="1">
      <alignment horizontal="center" vertical="center"/>
      <protection locked="0"/>
    </xf>
    <xf numFmtId="167" fontId="93" fillId="3" borderId="33" xfId="19" applyNumberFormat="1" applyFont="1" applyFill="1" applyBorder="1" applyAlignment="1" applyProtection="1">
      <alignment horizontal="center" vertical="center"/>
      <protection locked="0"/>
    </xf>
    <xf numFmtId="167" fontId="93" fillId="3" borderId="3" xfId="19" applyNumberFormat="1" applyFont="1" applyFill="1" applyBorder="1" applyAlignment="1" applyProtection="1">
      <alignment horizontal="center" vertical="center"/>
      <protection locked="0"/>
    </xf>
    <xf numFmtId="167" fontId="12" fillId="3" borderId="0" xfId="19" applyNumberFormat="1" applyFont="1" applyFill="1" applyAlignment="1" applyProtection="1">
      <alignment horizontal="center" vertical="center"/>
      <protection locked="0"/>
    </xf>
    <xf numFmtId="167" fontId="32" fillId="3" borderId="0" xfId="19" applyNumberFormat="1" applyFont="1" applyFill="1" applyAlignment="1" applyProtection="1">
      <alignment horizontal="center" vertical="center" wrapText="1"/>
      <protection locked="0"/>
    </xf>
    <xf numFmtId="167" fontId="93" fillId="3" borderId="2" xfId="19" applyNumberFormat="1" applyFont="1" applyFill="1" applyBorder="1" applyAlignment="1" applyProtection="1">
      <alignment horizontal="left" vertical="center"/>
      <protection locked="0"/>
    </xf>
    <xf numFmtId="167" fontId="93" fillId="3" borderId="0" xfId="19" applyNumberFormat="1" applyFont="1" applyFill="1" applyAlignment="1" applyProtection="1">
      <alignment horizontal="left" vertical="center"/>
      <protection locked="0"/>
    </xf>
    <xf numFmtId="167" fontId="93" fillId="3" borderId="1" xfId="19" applyNumberFormat="1" applyFont="1" applyFill="1" applyBorder="1" applyAlignment="1" applyProtection="1">
      <alignment horizontal="left" vertical="center"/>
      <protection locked="0"/>
    </xf>
    <xf numFmtId="1" fontId="93" fillId="3" borderId="10" xfId="19" applyNumberFormat="1" applyFont="1" applyFill="1" applyBorder="1" applyAlignment="1" applyProtection="1">
      <alignment horizontal="center" vertical="center" wrapText="1"/>
      <protection locked="0"/>
    </xf>
    <xf numFmtId="1" fontId="93" fillId="3" borderId="2" xfId="19" applyNumberFormat="1" applyFont="1" applyFill="1" applyBorder="1" applyAlignment="1" applyProtection="1">
      <alignment horizontal="center" vertical="center" wrapText="1"/>
      <protection locked="0"/>
    </xf>
    <xf numFmtId="1" fontId="93" fillId="3" borderId="33" xfId="19" applyNumberFormat="1" applyFont="1" applyFill="1" applyBorder="1" applyAlignment="1" applyProtection="1">
      <alignment horizontal="center" vertical="center" wrapText="1"/>
      <protection locked="0"/>
    </xf>
    <xf numFmtId="1" fontId="93" fillId="3" borderId="3" xfId="19" applyNumberFormat="1" applyFont="1" applyFill="1" applyBorder="1" applyAlignment="1" applyProtection="1">
      <alignment horizontal="center" vertical="center" wrapText="1"/>
      <protection locked="0"/>
    </xf>
    <xf numFmtId="167" fontId="39" fillId="3" borderId="0" xfId="19" applyNumberFormat="1" applyFont="1" applyFill="1" applyAlignment="1" applyProtection="1">
      <alignment horizontal="center"/>
      <protection locked="0"/>
    </xf>
    <xf numFmtId="167" fontId="8" fillId="3" borderId="0" xfId="19" applyNumberFormat="1" applyFont="1" applyFill="1" applyAlignment="1" applyProtection="1">
      <alignment horizontal="center" vertical="center" wrapText="1"/>
      <protection locked="0"/>
    </xf>
    <xf numFmtId="0" fontId="120" fillId="3" borderId="0" xfId="0" applyFont="1" applyFill="1" applyAlignment="1">
      <alignment horizontal="center"/>
    </xf>
    <xf numFmtId="0" fontId="105" fillId="3" borderId="0" xfId="0" applyFont="1" applyFill="1" applyAlignment="1">
      <alignment horizontal="center" vertical="center"/>
    </xf>
    <xf numFmtId="0" fontId="57" fillId="3" borderId="2" xfId="0" applyFont="1" applyFill="1" applyBorder="1" applyAlignment="1">
      <alignment horizontal="left" vertical="center"/>
    </xf>
    <xf numFmtId="0" fontId="57" fillId="3" borderId="0" xfId="0" applyFont="1" applyFill="1" applyAlignment="1">
      <alignment horizontal="left" vertical="center"/>
    </xf>
    <xf numFmtId="0" fontId="57" fillId="3" borderId="1" xfId="0" applyFont="1" applyFill="1" applyBorder="1" applyAlignment="1">
      <alignment horizontal="left" vertical="center"/>
    </xf>
    <xf numFmtId="0" fontId="57" fillId="3" borderId="2" xfId="0" applyFont="1" applyFill="1" applyBorder="1" applyAlignment="1">
      <alignment horizontal="center" vertical="center"/>
    </xf>
    <xf numFmtId="0" fontId="120" fillId="3" borderId="2" xfId="0" applyFont="1" applyFill="1" applyBorder="1" applyAlignment="1">
      <alignment horizontal="right" vertical="center"/>
    </xf>
    <xf numFmtId="0" fontId="120" fillId="3" borderId="0" xfId="0" applyFont="1" applyFill="1" applyAlignment="1">
      <alignment horizontal="right" vertical="center"/>
    </xf>
    <xf numFmtId="0" fontId="56" fillId="3" borderId="1" xfId="0" applyFont="1" applyFill="1" applyBorder="1" applyAlignment="1">
      <alignment horizontal="center" vertical="center"/>
    </xf>
    <xf numFmtId="0" fontId="63" fillId="3" borderId="0" xfId="0" applyFont="1" applyFill="1" applyAlignment="1">
      <alignment horizontal="center" vertical="center" wrapText="1"/>
    </xf>
    <xf numFmtId="0" fontId="63" fillId="3" borderId="1" xfId="0" applyFont="1" applyFill="1" applyBorder="1" applyAlignment="1">
      <alignment horizontal="center" vertical="center" wrapText="1"/>
    </xf>
    <xf numFmtId="0" fontId="57" fillId="3" borderId="0" xfId="0" applyFont="1" applyFill="1" applyAlignment="1">
      <alignment horizontal="center" vertical="center"/>
    </xf>
    <xf numFmtId="0" fontId="56" fillId="3" borderId="0" xfId="0" applyFont="1" applyFill="1" applyAlignment="1">
      <alignment horizontal="center" vertical="center"/>
    </xf>
    <xf numFmtId="0" fontId="105" fillId="3" borderId="0" xfId="0" applyFont="1" applyFill="1" applyAlignment="1">
      <alignment horizontal="center" vertical="center" wrapText="1"/>
    </xf>
    <xf numFmtId="0" fontId="93" fillId="3" borderId="2" xfId="23" applyFont="1" applyFill="1" applyBorder="1" applyAlignment="1">
      <alignment horizontal="center" vertical="center" wrapText="1" shrinkToFit="1"/>
    </xf>
    <xf numFmtId="0" fontId="93" fillId="3" borderId="0" xfId="23" applyFont="1" applyFill="1" applyAlignment="1">
      <alignment horizontal="center" vertical="center" wrapText="1" shrinkToFit="1"/>
    </xf>
    <xf numFmtId="0" fontId="93" fillId="3" borderId="1" xfId="23" applyFont="1" applyFill="1" applyBorder="1" applyAlignment="1">
      <alignment horizontal="center" vertical="center" wrapText="1" shrinkToFit="1"/>
    </xf>
    <xf numFmtId="0" fontId="13" fillId="3" borderId="57" xfId="23" applyFont="1" applyFill="1" applyBorder="1" applyAlignment="1">
      <alignment horizontal="center" vertical="center" wrapText="1"/>
    </xf>
    <xf numFmtId="0" fontId="13" fillId="3" borderId="23" xfId="23" applyFont="1" applyFill="1" applyBorder="1" applyAlignment="1">
      <alignment horizontal="center" vertical="center" wrapText="1"/>
    </xf>
    <xf numFmtId="0" fontId="13" fillId="3" borderId="56" xfId="23" applyFont="1" applyFill="1" applyBorder="1" applyAlignment="1">
      <alignment horizontal="center" vertical="center" wrapText="1"/>
    </xf>
    <xf numFmtId="0" fontId="13" fillId="3" borderId="64" xfId="23" applyFont="1" applyFill="1" applyBorder="1" applyAlignment="1">
      <alignment horizontal="center" vertical="center" wrapText="1"/>
    </xf>
    <xf numFmtId="0" fontId="13" fillId="3" borderId="62" xfId="23" applyFont="1" applyFill="1" applyBorder="1" applyAlignment="1">
      <alignment horizontal="center" vertical="center" wrapText="1"/>
    </xf>
    <xf numFmtId="0" fontId="13" fillId="3" borderId="59" xfId="23" applyFont="1" applyFill="1" applyBorder="1" applyAlignment="1">
      <alignment horizontal="center" vertical="center" wrapText="1"/>
    </xf>
    <xf numFmtId="166" fontId="13" fillId="3" borderId="36" xfId="24" applyFont="1" applyFill="1" applyBorder="1" applyAlignment="1">
      <alignment horizontal="center" vertical="center" wrapText="1"/>
    </xf>
    <xf numFmtId="166" fontId="13" fillId="3" borderId="35" xfId="24" applyFont="1" applyFill="1" applyBorder="1" applyAlignment="1">
      <alignment horizontal="center" vertical="center" wrapText="1"/>
    </xf>
    <xf numFmtId="0" fontId="13" fillId="3" borderId="2" xfId="23" applyFont="1" applyFill="1" applyBorder="1" applyAlignment="1">
      <alignment horizontal="center" vertical="center" wrapText="1" shrinkToFit="1"/>
    </xf>
    <xf numFmtId="0" fontId="13" fillId="3" borderId="0" xfId="23" applyFont="1" applyFill="1" applyAlignment="1">
      <alignment horizontal="center" vertical="center" wrapText="1" shrinkToFit="1"/>
    </xf>
    <xf numFmtId="0" fontId="13" fillId="3" borderId="1" xfId="23" applyFont="1" applyFill="1" applyBorder="1" applyAlignment="1">
      <alignment horizontal="center" vertical="center" wrapText="1" shrinkToFit="1"/>
    </xf>
    <xf numFmtId="0" fontId="13" fillId="3" borderId="57" xfId="23" applyFont="1" applyFill="1" applyBorder="1" applyAlignment="1">
      <alignment horizontal="center" vertical="center"/>
    </xf>
    <xf numFmtId="0" fontId="13" fillId="3" borderId="23" xfId="23" applyFont="1" applyFill="1" applyBorder="1" applyAlignment="1">
      <alignment horizontal="center" vertical="center"/>
    </xf>
    <xf numFmtId="0" fontId="13" fillId="3" borderId="56" xfId="23" applyFont="1" applyFill="1" applyBorder="1" applyAlignment="1">
      <alignment horizontal="center" vertical="center"/>
    </xf>
    <xf numFmtId="166" fontId="93" fillId="3" borderId="44" xfId="24" applyFont="1" applyFill="1" applyBorder="1" applyAlignment="1">
      <alignment horizontal="center" vertical="center" wrapText="1"/>
    </xf>
    <xf numFmtId="166" fontId="93" fillId="3" borderId="38" xfId="24" applyFont="1" applyFill="1" applyBorder="1" applyAlignment="1">
      <alignment horizontal="center" vertical="center" wrapText="1"/>
    </xf>
    <xf numFmtId="0" fontId="0" fillId="3" borderId="1" xfId="0" applyFill="1" applyBorder="1" applyAlignment="1">
      <alignment horizontal="center"/>
    </xf>
    <xf numFmtId="0" fontId="105" fillId="3" borderId="1" xfId="0" applyFont="1" applyFill="1" applyBorder="1" applyAlignment="1">
      <alignment horizontal="center" vertical="top"/>
    </xf>
    <xf numFmtId="0" fontId="105" fillId="3" borderId="2" xfId="0" applyFont="1" applyFill="1" applyBorder="1" applyAlignment="1">
      <alignment horizontal="left" vertical="center" wrapText="1"/>
    </xf>
    <xf numFmtId="0" fontId="105" fillId="3" borderId="0" xfId="0" applyFont="1" applyFill="1" applyAlignment="1">
      <alignment horizontal="left" vertical="center" wrapText="1"/>
    </xf>
    <xf numFmtId="0" fontId="105" fillId="3" borderId="1" xfId="0" applyFont="1" applyFill="1" applyBorder="1" applyAlignment="1">
      <alignment horizontal="left" vertical="center" wrapText="1"/>
    </xf>
    <xf numFmtId="0" fontId="105" fillId="3" borderId="23" xfId="0" applyFont="1" applyFill="1" applyBorder="1" applyAlignment="1">
      <alignment horizontal="center" vertical="center"/>
    </xf>
    <xf numFmtId="0" fontId="105" fillId="3" borderId="41" xfId="0" applyFont="1" applyFill="1" applyBorder="1" applyAlignment="1">
      <alignment horizontal="center" vertical="center"/>
    </xf>
    <xf numFmtId="0" fontId="120" fillId="3" borderId="1" xfId="0" applyFont="1" applyFill="1" applyBorder="1" applyAlignment="1">
      <alignment horizontal="right" vertical="center"/>
    </xf>
    <xf numFmtId="0" fontId="105" fillId="3" borderId="1" xfId="0" applyFont="1" applyFill="1" applyBorder="1" applyAlignment="1">
      <alignment horizontal="center" vertical="center" wrapText="1"/>
    </xf>
    <xf numFmtId="0" fontId="105" fillId="3" borderId="2" xfId="0" applyFont="1" applyFill="1" applyBorder="1" applyAlignment="1">
      <alignment horizontal="left" vertical="center" wrapText="1" indent="1"/>
    </xf>
    <xf numFmtId="0" fontId="105" fillId="3" borderId="0" xfId="0" applyFont="1" applyFill="1" applyAlignment="1">
      <alignment horizontal="left" vertical="center" wrapText="1" indent="1"/>
    </xf>
    <xf numFmtId="0" fontId="105" fillId="3" borderId="1" xfId="0" applyFont="1" applyFill="1" applyBorder="1" applyAlignment="1">
      <alignment horizontal="left" vertical="center" wrapText="1" indent="1"/>
    </xf>
    <xf numFmtId="0" fontId="120" fillId="3" borderId="2" xfId="0" applyFont="1" applyFill="1" applyBorder="1" applyAlignment="1">
      <alignment horizontal="right" vertical="center" wrapText="1" indent="2"/>
    </xf>
    <xf numFmtId="0" fontId="120" fillId="3" borderId="0" xfId="0" applyFont="1" applyFill="1" applyAlignment="1">
      <alignment horizontal="right" vertical="center" wrapText="1" indent="2"/>
    </xf>
    <xf numFmtId="0" fontId="120" fillId="3" borderId="1" xfId="0" applyFont="1" applyFill="1" applyBorder="1" applyAlignment="1">
      <alignment horizontal="right" vertical="center" wrapText="1" indent="2"/>
    </xf>
    <xf numFmtId="0" fontId="120" fillId="3" borderId="0" xfId="0" applyFont="1" applyFill="1" applyAlignment="1">
      <alignment horizontal="center" vertical="center" wrapText="1"/>
    </xf>
    <xf numFmtId="0" fontId="120" fillId="3" borderId="1" xfId="0" applyFont="1" applyFill="1" applyBorder="1" applyAlignment="1">
      <alignment horizontal="center" vertical="center" wrapText="1"/>
    </xf>
    <xf numFmtId="0" fontId="56" fillId="3" borderId="8" xfId="0" applyFont="1" applyFill="1" applyBorder="1" applyAlignment="1">
      <alignment horizontal="right" vertical="center" wrapText="1"/>
    </xf>
    <xf numFmtId="0" fontId="56" fillId="3" borderId="12" xfId="0" applyFont="1" applyFill="1" applyBorder="1" applyAlignment="1">
      <alignment horizontal="right" vertical="center"/>
    </xf>
    <xf numFmtId="0" fontId="56" fillId="3" borderId="42" xfId="0" applyFont="1" applyFill="1" applyBorder="1" applyAlignment="1">
      <alignment horizontal="right" vertical="center"/>
    </xf>
    <xf numFmtId="0" fontId="56" fillId="3" borderId="2" xfId="0" applyFont="1" applyFill="1" applyBorder="1" applyAlignment="1">
      <alignment horizontal="right" vertical="center" wrapText="1"/>
    </xf>
    <xf numFmtId="0" fontId="56" fillId="3" borderId="27" xfId="0" applyFont="1" applyFill="1" applyBorder="1" applyAlignment="1">
      <alignment horizontal="left" vertical="center"/>
    </xf>
    <xf numFmtId="0" fontId="56" fillId="3" borderId="42" xfId="0" applyFont="1" applyFill="1" applyBorder="1" applyAlignment="1">
      <alignment horizontal="left" vertical="center"/>
    </xf>
    <xf numFmtId="0" fontId="105" fillId="3" borderId="2" xfId="0" applyFont="1" applyFill="1" applyBorder="1" applyAlignment="1">
      <alignment horizontal="center" vertical="center" wrapText="1"/>
    </xf>
    <xf numFmtId="0" fontId="105" fillId="3" borderId="10" xfId="0" applyFont="1" applyFill="1" applyBorder="1" applyAlignment="1">
      <alignment horizontal="center" vertical="center" wrapText="1"/>
    </xf>
    <xf numFmtId="0" fontId="105" fillId="3" borderId="27" xfId="0" applyFont="1" applyFill="1" applyBorder="1" applyAlignment="1">
      <alignment horizontal="center" vertical="center" wrapText="1"/>
    </xf>
    <xf numFmtId="0" fontId="56" fillId="3" borderId="8" xfId="0" applyFont="1" applyFill="1" applyBorder="1" applyAlignment="1">
      <alignment horizontal="right" vertical="center"/>
    </xf>
    <xf numFmtId="49" fontId="39" fillId="3" borderId="0" xfId="0" applyNumberFormat="1" applyFont="1" applyFill="1" applyAlignment="1">
      <alignment horizontal="left" vertical="center" indent="3"/>
    </xf>
    <xf numFmtId="0" fontId="56" fillId="3" borderId="2" xfId="0" applyFont="1" applyFill="1" applyBorder="1" applyAlignment="1">
      <alignment horizontal="center" vertical="center" wrapText="1"/>
    </xf>
    <xf numFmtId="49" fontId="39" fillId="3" borderId="1" xfId="0" applyNumberFormat="1" applyFont="1" applyFill="1" applyBorder="1" applyAlignment="1">
      <alignment horizontal="left" vertical="center" indent="3"/>
    </xf>
    <xf numFmtId="0" fontId="56" fillId="3" borderId="44" xfId="0" applyFont="1" applyFill="1" applyBorder="1" applyAlignment="1">
      <alignment horizontal="right" vertical="center"/>
    </xf>
    <xf numFmtId="0" fontId="56" fillId="3" borderId="37" xfId="0" applyFont="1" applyFill="1" applyBorder="1" applyAlignment="1">
      <alignment horizontal="right" vertical="center"/>
    </xf>
    <xf numFmtId="0" fontId="105" fillId="3" borderId="47" xfId="0" applyFont="1" applyFill="1" applyBorder="1" applyAlignment="1">
      <alignment horizontal="center"/>
    </xf>
    <xf numFmtId="0" fontId="105" fillId="3" borderId="32" xfId="0" applyFont="1" applyFill="1" applyBorder="1" applyAlignment="1">
      <alignment horizontal="center"/>
    </xf>
    <xf numFmtId="0" fontId="120" fillId="3" borderId="0" xfId="0" applyFont="1" applyFill="1" applyAlignment="1">
      <alignment horizontal="center" vertical="center"/>
    </xf>
    <xf numFmtId="0" fontId="105" fillId="3" borderId="1" xfId="0" applyFont="1" applyFill="1" applyBorder="1" applyAlignment="1">
      <alignment horizontal="center" vertical="center"/>
    </xf>
    <xf numFmtId="0" fontId="105" fillId="3" borderId="2" xfId="0" applyFont="1" applyFill="1" applyBorder="1" applyAlignment="1">
      <alignment horizontal="center" vertical="center"/>
    </xf>
    <xf numFmtId="0" fontId="105" fillId="3" borderId="46" xfId="0" applyFont="1" applyFill="1" applyBorder="1" applyAlignment="1">
      <alignment horizontal="center"/>
    </xf>
    <xf numFmtId="0" fontId="56" fillId="3" borderId="2" xfId="0" applyFont="1" applyFill="1" applyBorder="1" applyAlignment="1">
      <alignment horizontal="right" vertical="center" wrapText="1" indent="3"/>
    </xf>
    <xf numFmtId="0" fontId="56" fillId="3" borderId="0" xfId="0" applyFont="1" applyFill="1" applyAlignment="1">
      <alignment horizontal="right" vertical="center" wrapText="1" indent="3"/>
    </xf>
    <xf numFmtId="0" fontId="56" fillId="3" borderId="1" xfId="0" applyFont="1" applyFill="1" applyBorder="1" applyAlignment="1">
      <alignment horizontal="right" vertical="center" wrapText="1" indent="3"/>
    </xf>
    <xf numFmtId="0" fontId="56" fillId="3" borderId="0" xfId="0" applyFont="1" applyFill="1" applyAlignment="1">
      <alignment horizontal="right" vertical="center"/>
    </xf>
    <xf numFmtId="0" fontId="56" fillId="3" borderId="1" xfId="0" applyFont="1" applyFill="1" applyBorder="1" applyAlignment="1">
      <alignment horizontal="right" vertical="center"/>
    </xf>
    <xf numFmtId="0" fontId="116" fillId="3" borderId="0" xfId="0" applyFont="1" applyFill="1" applyAlignment="1">
      <alignment horizontal="center"/>
    </xf>
    <xf numFmtId="0" fontId="47" fillId="3" borderId="1" xfId="0" applyFont="1" applyFill="1" applyBorder="1" applyAlignment="1">
      <alignment horizontal="center" vertical="top"/>
    </xf>
    <xf numFmtId="0" fontId="47" fillId="3" borderId="2" xfId="0" applyFont="1" applyFill="1" applyBorder="1" applyAlignment="1">
      <alignment horizontal="left" vertical="center"/>
    </xf>
    <xf numFmtId="0" fontId="47" fillId="3" borderId="1" xfId="0" applyFont="1" applyFill="1" applyBorder="1" applyAlignment="1">
      <alignment horizontal="left" vertical="center"/>
    </xf>
    <xf numFmtId="0" fontId="47" fillId="3" borderId="32" xfId="0" applyFont="1" applyFill="1" applyBorder="1" applyAlignment="1">
      <alignment horizontal="center" vertical="center"/>
    </xf>
    <xf numFmtId="0" fontId="47" fillId="3" borderId="51" xfId="0" applyFont="1" applyFill="1" applyBorder="1" applyAlignment="1">
      <alignment horizontal="center" vertical="center"/>
    </xf>
    <xf numFmtId="0" fontId="47" fillId="3" borderId="31" xfId="0" applyFont="1" applyFill="1" applyBorder="1" applyAlignment="1">
      <alignment horizontal="center" vertical="center"/>
    </xf>
    <xf numFmtId="0" fontId="47" fillId="3" borderId="24" xfId="0" applyFont="1" applyFill="1" applyBorder="1" applyAlignment="1">
      <alignment horizontal="center" vertical="center"/>
    </xf>
    <xf numFmtId="0" fontId="47" fillId="3" borderId="9" xfId="0" applyFont="1" applyFill="1" applyBorder="1" applyAlignment="1">
      <alignment horizontal="center" vertical="center"/>
    </xf>
    <xf numFmtId="0" fontId="116" fillId="3" borderId="2" xfId="0" applyFont="1" applyFill="1" applyBorder="1" applyAlignment="1">
      <alignment horizontal="right" vertical="center"/>
    </xf>
    <xf numFmtId="0" fontId="116" fillId="3" borderId="1" xfId="0" applyFont="1" applyFill="1" applyBorder="1" applyAlignment="1">
      <alignment horizontal="right" vertical="center"/>
    </xf>
    <xf numFmtId="0" fontId="32" fillId="3" borderId="2" xfId="25" applyFont="1" applyFill="1" applyBorder="1" applyAlignment="1">
      <alignment horizontal="center" vertical="center" wrapText="1"/>
    </xf>
    <xf numFmtId="0" fontId="32" fillId="3" borderId="1" xfId="25" applyFont="1" applyFill="1" applyBorder="1" applyAlignment="1">
      <alignment horizontal="center" vertical="center" wrapText="1"/>
    </xf>
    <xf numFmtId="0" fontId="32" fillId="3" borderId="23" xfId="25" applyFont="1" applyFill="1" applyBorder="1" applyAlignment="1">
      <alignment horizontal="center"/>
    </xf>
    <xf numFmtId="0" fontId="32" fillId="3" borderId="56" xfId="25" applyFont="1" applyFill="1" applyBorder="1" applyAlignment="1">
      <alignment horizontal="center"/>
    </xf>
    <xf numFmtId="0" fontId="32" fillId="3" borderId="57" xfId="25" applyFont="1" applyFill="1" applyBorder="1" applyAlignment="1">
      <alignment horizontal="center"/>
    </xf>
    <xf numFmtId="0" fontId="163" fillId="5" borderId="0" xfId="0" applyFont="1" applyFill="1" applyAlignment="1">
      <alignment horizontal="center" vertical="center"/>
    </xf>
    <xf numFmtId="3" fontId="123" fillId="3" borderId="1" xfId="22" applyNumberFormat="1" applyFont="1" applyFill="1" applyBorder="1" applyAlignment="1">
      <alignment horizontal="right" vertical="center" indent="2"/>
    </xf>
    <xf numFmtId="3" fontId="170" fillId="3" borderId="1" xfId="22" applyNumberFormat="1" applyFont="1" applyFill="1" applyBorder="1" applyAlignment="1">
      <alignment horizontal="right" vertical="center" indent="2"/>
    </xf>
    <xf numFmtId="3" fontId="112" fillId="7" borderId="0" xfId="0" applyNumberFormat="1" applyFont="1" applyFill="1"/>
    <xf numFmtId="3" fontId="112" fillId="7" borderId="1" xfId="0" applyNumberFormat="1" applyFont="1" applyFill="1" applyBorder="1"/>
    <xf numFmtId="3" fontId="65" fillId="7" borderId="2" xfId="0" applyNumberFormat="1" applyFont="1" applyFill="1" applyBorder="1"/>
  </cellXfs>
  <cellStyles count="38">
    <cellStyle name="1" xfId="26" xr:uid="{00000000-0005-0000-0000-000000000000}"/>
    <cellStyle name="Comma" xfId="22" builtinId="3"/>
    <cellStyle name="Comma 2" xfId="21" xr:uid="{00000000-0005-0000-0000-000002000000}"/>
    <cellStyle name="Comma 2 2" xfId="36" xr:uid="{00000000-0005-0000-0000-000003000000}"/>
    <cellStyle name="Comma 3" xfId="10" xr:uid="{00000000-0005-0000-0000-000004000000}"/>
    <cellStyle name="Comma 3 2" xfId="28" xr:uid="{00000000-0005-0000-0000-000005000000}"/>
    <cellStyle name="Comma 3 3" xfId="37" xr:uid="{00000000-0005-0000-0000-000006000000}"/>
    <cellStyle name="Comma 4" xfId="5" xr:uid="{00000000-0005-0000-0000-000007000000}"/>
    <cellStyle name="Comma 4 2" xfId="31" xr:uid="{00000000-0005-0000-0000-000008000000}"/>
    <cellStyle name="Comma 7" xfId="27" xr:uid="{00000000-0005-0000-0000-000009000000}"/>
    <cellStyle name="Comma_II-15(Population) 2" xfId="7" xr:uid="{00000000-0005-0000-0000-00000A000000}"/>
    <cellStyle name="Comma_Totalling of all tables" xfId="24" xr:uid="{00000000-0005-0000-0000-00000B000000}"/>
    <cellStyle name="Currency_II-15(Population) 2" xfId="9" xr:uid="{00000000-0005-0000-0000-00000C000000}"/>
    <cellStyle name="Normal" xfId="0" builtinId="0"/>
    <cellStyle name="Normal 11" xfId="11" xr:uid="{00000000-0005-0000-0000-00000E000000}"/>
    <cellStyle name="Normal 2" xfId="8" xr:uid="{00000000-0005-0000-0000-00000F000000}"/>
    <cellStyle name="Normal 2 2" xfId="33" xr:uid="{00000000-0005-0000-0000-000010000000}"/>
    <cellStyle name="Normal 20" xfId="4" xr:uid="{00000000-0005-0000-0000-000011000000}"/>
    <cellStyle name="Normal 20 2" xfId="30" xr:uid="{00000000-0005-0000-0000-000012000000}"/>
    <cellStyle name="Normal 3" xfId="20" xr:uid="{00000000-0005-0000-0000-000013000000}"/>
    <cellStyle name="Normal 32" xfId="12" xr:uid="{00000000-0005-0000-0000-000014000000}"/>
    <cellStyle name="Normal 32 2" xfId="34" xr:uid="{00000000-0005-0000-0000-000015000000}"/>
    <cellStyle name="Normal 4" xfId="15" xr:uid="{00000000-0005-0000-0000-000016000000}"/>
    <cellStyle name="Normal 44" xfId="13" xr:uid="{00000000-0005-0000-0000-000017000000}"/>
    <cellStyle name="Normal 44 2" xfId="35" xr:uid="{00000000-0005-0000-0000-000018000000}"/>
    <cellStyle name="Normal 48" xfId="14" xr:uid="{00000000-0005-0000-0000-000019000000}"/>
    <cellStyle name="Normal 5" xfId="2" xr:uid="{00000000-0005-0000-0000-00001A000000}"/>
    <cellStyle name="Normal 5 2" xfId="29" xr:uid="{00000000-0005-0000-0000-00001B000000}"/>
    <cellStyle name="Normal_3 - Population" xfId="19" xr:uid="{00000000-0005-0000-0000-00001C000000}"/>
    <cellStyle name="Normal_3 Population." xfId="1" xr:uid="{00000000-0005-0000-0000-00001D000000}"/>
    <cellStyle name="Normal_fig7" xfId="17" xr:uid="{00000000-0005-0000-0000-00001E000000}"/>
    <cellStyle name="Normal_Health Data" xfId="18" xr:uid="{00000000-0005-0000-0000-00001F000000}"/>
    <cellStyle name="Normal_II-14(Population)" xfId="3" xr:uid="{00000000-0005-0000-0000-000020000000}"/>
    <cellStyle name="Normal_II-15(Population) 2" xfId="6" xr:uid="{00000000-0005-0000-0000-000021000000}"/>
    <cellStyle name="Normal_II-15(Population) 2 2" xfId="32" xr:uid="{00000000-0005-0000-0000-000022000000}"/>
    <cellStyle name="Normal_Sheet1" xfId="23" xr:uid="{00000000-0005-0000-0000-000023000000}"/>
    <cellStyle name="Normal_Stat Year Book 2007 tables" xfId="16" xr:uid="{00000000-0005-0000-0000-000024000000}"/>
    <cellStyle name="Normal_TABLE29" xfId="25" xr:uid="{00000000-0005-0000-0000-000025000000}"/>
  </cellStyles>
  <dxfs count="0"/>
  <tableStyles count="0" defaultTableStyle="TableStyleMedium2" defaultPivotStyle="PivotStyleLight16"/>
  <colors>
    <mruColors>
      <color rgb="FFCC0066"/>
      <color rgb="FFFF8181"/>
      <color rgb="FFFFF7F7"/>
      <color rgb="FFFFDDDD"/>
      <color rgb="FFFFAFAF"/>
      <color rgb="FFFF5050"/>
      <color rgb="FFFF9900"/>
      <color rgb="FF196563"/>
      <color rgb="FF24939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onsolas"/>
                <a:ea typeface="Consolas"/>
                <a:cs typeface="Consolas"/>
              </a:defRPr>
            </a:pPr>
            <a:r>
              <a:rPr lang="en-US"/>
              <a:t>Figure 3.1: Census population of Maldivians, 1911 - 2014</a:t>
            </a:r>
          </a:p>
        </c:rich>
      </c:tx>
      <c:layout>
        <c:manualLayout>
          <c:xMode val="edge"/>
          <c:yMode val="edge"/>
          <c:x val="0.25382767894753899"/>
          <c:y val="5.6156445233078257E-2"/>
        </c:manualLayout>
      </c:layout>
      <c:overlay val="0"/>
    </c:title>
    <c:autoTitleDeleted val="0"/>
    <c:plotArea>
      <c:layout>
        <c:manualLayout>
          <c:layoutTarget val="inner"/>
          <c:xMode val="edge"/>
          <c:yMode val="edge"/>
          <c:x val="0.1033599315249044"/>
          <c:y val="0.14861847013141033"/>
          <c:w val="0.88287148824789974"/>
          <c:h val="0.71352706602282445"/>
        </c:manualLayout>
      </c:layout>
      <c:barChart>
        <c:barDir val="col"/>
        <c:grouping val="clustered"/>
        <c:varyColors val="0"/>
        <c:ser>
          <c:idx val="0"/>
          <c:order val="0"/>
          <c:spPr>
            <a:solidFill>
              <a:srgbClr val="C00000"/>
            </a:solidFill>
            <a:ln>
              <a:noFill/>
            </a:ln>
          </c:spPr>
          <c:invertIfNegative val="0"/>
          <c:cat>
            <c:strRef>
              <c:f>'3.1'!$B$8:$B$36</c:f>
              <c:strCache>
                <c:ptCount val="29"/>
                <c:pt idx="0">
                  <c:v>1911</c:v>
                </c:pt>
                <c:pt idx="1">
                  <c:v> 1921</c:v>
                </c:pt>
                <c:pt idx="2">
                  <c:v> 1931</c:v>
                </c:pt>
                <c:pt idx="3">
                  <c:v> 1946</c:v>
                </c:pt>
                <c:pt idx="4">
                  <c:v> 1953</c:v>
                </c:pt>
                <c:pt idx="5">
                  <c:v> 1957</c:v>
                </c:pt>
                <c:pt idx="6">
                  <c:v> 1958</c:v>
                </c:pt>
                <c:pt idx="7">
                  <c:v> 1959</c:v>
                </c:pt>
                <c:pt idx="8">
                  <c:v> 1960</c:v>
                </c:pt>
                <c:pt idx="9">
                  <c:v> 1961</c:v>
                </c:pt>
                <c:pt idx="10">
                  <c:v> 1962</c:v>
                </c:pt>
                <c:pt idx="11">
                  <c:v> 1963</c:v>
                </c:pt>
                <c:pt idx="12">
                  <c:v> 1964</c:v>
                </c:pt>
                <c:pt idx="13">
                  <c:v> 1965</c:v>
                </c:pt>
                <c:pt idx="14">
                  <c:v> 1966</c:v>
                </c:pt>
                <c:pt idx="15">
                  <c:v> 1967</c:v>
                </c:pt>
                <c:pt idx="16">
                  <c:v> 1968</c:v>
                </c:pt>
                <c:pt idx="17">
                  <c:v> 1969</c:v>
                </c:pt>
                <c:pt idx="18">
                  <c:v> 1970</c:v>
                </c:pt>
                <c:pt idx="19">
                  <c:v> 1971</c:v>
                </c:pt>
                <c:pt idx="20">
                  <c:v> 1972</c:v>
                </c:pt>
                <c:pt idx="21">
                  <c:v> 1974</c:v>
                </c:pt>
                <c:pt idx="22">
                  <c:v> 1977</c:v>
                </c:pt>
                <c:pt idx="23">
                  <c:v> 1985</c:v>
                </c:pt>
                <c:pt idx="24">
                  <c:v> 1990</c:v>
                </c:pt>
                <c:pt idx="25">
                  <c:v>1995</c:v>
                </c:pt>
                <c:pt idx="26">
                  <c:v>2000</c:v>
                </c:pt>
                <c:pt idx="27">
                  <c:v>2006</c:v>
                </c:pt>
                <c:pt idx="28">
                  <c:v>2014</c:v>
                </c:pt>
              </c:strCache>
            </c:strRef>
          </c:cat>
          <c:val>
            <c:numRef>
              <c:f>'3.1'!$E$8:$E$36</c:f>
              <c:numCache>
                <c:formatCode>#,##0_);\(#,##0\)</c:formatCode>
                <c:ptCount val="29"/>
                <c:pt idx="0">
                  <c:v>72237</c:v>
                </c:pt>
                <c:pt idx="1">
                  <c:v>70413</c:v>
                </c:pt>
                <c:pt idx="2">
                  <c:v>79281</c:v>
                </c:pt>
                <c:pt idx="3">
                  <c:v>82068</c:v>
                </c:pt>
                <c:pt idx="4">
                  <c:v>77273</c:v>
                </c:pt>
                <c:pt idx="5">
                  <c:v>83075</c:v>
                </c:pt>
                <c:pt idx="6">
                  <c:v>87582</c:v>
                </c:pt>
                <c:pt idx="7">
                  <c:v>89290</c:v>
                </c:pt>
                <c:pt idx="8">
                  <c:v>92247</c:v>
                </c:pt>
                <c:pt idx="9">
                  <c:v>92793</c:v>
                </c:pt>
                <c:pt idx="10">
                  <c:v>92744</c:v>
                </c:pt>
                <c:pt idx="11">
                  <c:v>94527</c:v>
                </c:pt>
                <c:pt idx="12">
                  <c:v>93960</c:v>
                </c:pt>
                <c:pt idx="13">
                  <c:v>97743</c:v>
                </c:pt>
                <c:pt idx="14">
                  <c:v>100883</c:v>
                </c:pt>
                <c:pt idx="15">
                  <c:v>103801</c:v>
                </c:pt>
                <c:pt idx="16">
                  <c:v>106969</c:v>
                </c:pt>
                <c:pt idx="17">
                  <c:v>110770</c:v>
                </c:pt>
                <c:pt idx="18">
                  <c:v>114469</c:v>
                </c:pt>
                <c:pt idx="19">
                  <c:v>118818</c:v>
                </c:pt>
                <c:pt idx="20">
                  <c:v>122673</c:v>
                </c:pt>
                <c:pt idx="21">
                  <c:v>128697</c:v>
                </c:pt>
                <c:pt idx="22">
                  <c:v>142832</c:v>
                </c:pt>
                <c:pt idx="23">
                  <c:v>180088</c:v>
                </c:pt>
                <c:pt idx="24">
                  <c:v>213215</c:v>
                </c:pt>
                <c:pt idx="25">
                  <c:v>244814</c:v>
                </c:pt>
                <c:pt idx="26">
                  <c:v>270101</c:v>
                </c:pt>
                <c:pt idx="27">
                  <c:v>298968</c:v>
                </c:pt>
                <c:pt idx="28">
                  <c:v>344023</c:v>
                </c:pt>
              </c:numCache>
            </c:numRef>
          </c:val>
          <c:extLst>
            <c:ext xmlns:c16="http://schemas.microsoft.com/office/drawing/2014/chart" uri="{C3380CC4-5D6E-409C-BE32-E72D297353CC}">
              <c16:uniqueId val="{00000000-C80F-42A0-B20B-AEA6F8F54C37}"/>
            </c:ext>
          </c:extLst>
        </c:ser>
        <c:dLbls>
          <c:showLegendKey val="0"/>
          <c:showVal val="0"/>
          <c:showCatName val="0"/>
          <c:showSerName val="0"/>
          <c:showPercent val="0"/>
          <c:showBubbleSize val="0"/>
        </c:dLbls>
        <c:gapWidth val="26"/>
        <c:axId val="493598464"/>
        <c:axId val="385718184"/>
      </c:barChart>
      <c:catAx>
        <c:axId val="493598464"/>
        <c:scaling>
          <c:orientation val="minMax"/>
        </c:scaling>
        <c:delete val="0"/>
        <c:axPos val="b"/>
        <c:numFmt formatCode="General" sourceLinked="1"/>
        <c:majorTickMark val="none"/>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385718184"/>
        <c:crosses val="autoZero"/>
        <c:auto val="1"/>
        <c:lblAlgn val="ctr"/>
        <c:lblOffset val="100"/>
        <c:noMultiLvlLbl val="0"/>
      </c:catAx>
      <c:valAx>
        <c:axId val="385718184"/>
        <c:scaling>
          <c:orientation val="minMax"/>
        </c:scaling>
        <c:delete val="0"/>
        <c:axPos val="l"/>
        <c:majorGridlines>
          <c:spPr>
            <a:ln>
              <a:noFill/>
            </a:ln>
          </c:spPr>
        </c:majorGridlines>
        <c:title>
          <c:tx>
            <c:rich>
              <a:bodyPr/>
              <a:lstStyle/>
              <a:p>
                <a:pPr>
                  <a:defRPr sz="1000" b="1" i="0" u="none" strike="noStrike" baseline="0">
                    <a:solidFill>
                      <a:srgbClr val="000000"/>
                    </a:solidFill>
                    <a:latin typeface="Calibri"/>
                    <a:ea typeface="Calibri"/>
                    <a:cs typeface="Calibri"/>
                  </a:defRPr>
                </a:pPr>
                <a:r>
                  <a:rPr lang="en-US"/>
                  <a:t>In Numbers</a:t>
                </a:r>
              </a:p>
            </c:rich>
          </c:tx>
          <c:layout>
            <c:manualLayout>
              <c:xMode val="edge"/>
              <c:yMode val="edge"/>
              <c:x val="9.1070282881306509E-3"/>
              <c:y val="0.42132357398987097"/>
            </c:manualLayout>
          </c:layout>
          <c:overlay val="0"/>
        </c:title>
        <c:numFmt formatCode="#,##0_);\(#,##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3598464"/>
        <c:crosses val="autoZero"/>
        <c:crossBetween val="between"/>
      </c:valAx>
      <c:spPr>
        <a:solidFill>
          <a:srgbClr val="FFDDDD"/>
        </a:solidFill>
        <a:ln w="3175">
          <a:solidFill>
            <a:schemeClr val="tx1">
              <a:lumMod val="50000"/>
              <a:lumOff val="50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paperSize="9" orientation="landscape"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Calibri"/>
                <a:ea typeface="Calibri"/>
                <a:cs typeface="Calibri"/>
              </a:defRPr>
            </a:pPr>
            <a:r>
              <a:rPr lang="en-US"/>
              <a:t>Figure 3.2: Population Pyramid  of Maldives, 1995</a:t>
            </a:r>
          </a:p>
        </c:rich>
      </c:tx>
      <c:overlay val="0"/>
    </c:title>
    <c:autoTitleDeleted val="0"/>
    <c:plotArea>
      <c:layout>
        <c:manualLayout>
          <c:layoutTarget val="inner"/>
          <c:xMode val="edge"/>
          <c:yMode val="edge"/>
          <c:x val="0.14375600416714548"/>
          <c:y val="0.14500046317739695"/>
          <c:w val="0.81058766415771644"/>
          <c:h val="0.71515407786462803"/>
        </c:manualLayout>
      </c:layout>
      <c:barChart>
        <c:barDir val="bar"/>
        <c:grouping val="clustered"/>
        <c:varyColors val="0"/>
        <c:ser>
          <c:idx val="0"/>
          <c:order val="0"/>
          <c:tx>
            <c:strRef>
              <c:f>'3.2'!$AH$7</c:f>
              <c:strCache>
                <c:ptCount val="1"/>
                <c:pt idx="0">
                  <c:v>Female</c:v>
                </c:pt>
              </c:strCache>
            </c:strRef>
          </c:tx>
          <c:spPr>
            <a:solidFill>
              <a:srgbClr val="FFDDDD"/>
            </a:solidFill>
            <a:ln w="9525">
              <a:solidFill>
                <a:schemeClr val="bg1"/>
              </a:solidFill>
            </a:ln>
          </c:spPr>
          <c:invertIfNegative val="0"/>
          <c:cat>
            <c:strRef>
              <c:f>'3.2'!$AF$8:$AF$23</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'3.2'!$AH$8:$AH$23</c:f>
              <c:numCache>
                <c:formatCode>#,##0</c:formatCode>
                <c:ptCount val="16"/>
                <c:pt idx="0">
                  <c:v>17859</c:v>
                </c:pt>
                <c:pt idx="1">
                  <c:v>19919</c:v>
                </c:pt>
                <c:pt idx="2">
                  <c:v>17584</c:v>
                </c:pt>
                <c:pt idx="3">
                  <c:v>12562</c:v>
                </c:pt>
                <c:pt idx="4">
                  <c:v>11077</c:v>
                </c:pt>
                <c:pt idx="5">
                  <c:v>9389</c:v>
                </c:pt>
                <c:pt idx="6">
                  <c:v>7785</c:v>
                </c:pt>
                <c:pt idx="7">
                  <c:v>6317</c:v>
                </c:pt>
                <c:pt idx="8">
                  <c:v>3297</c:v>
                </c:pt>
                <c:pt idx="9">
                  <c:v>3215</c:v>
                </c:pt>
                <c:pt idx="10">
                  <c:v>3042</c:v>
                </c:pt>
                <c:pt idx="11">
                  <c:v>2722</c:v>
                </c:pt>
                <c:pt idx="12">
                  <c:v>2284</c:v>
                </c:pt>
                <c:pt idx="13">
                  <c:v>1304</c:v>
                </c:pt>
                <c:pt idx="14">
                  <c:v>822</c:v>
                </c:pt>
                <c:pt idx="15">
                  <c:v>862</c:v>
                </c:pt>
              </c:numCache>
            </c:numRef>
          </c:val>
          <c:extLst>
            <c:ext xmlns:c16="http://schemas.microsoft.com/office/drawing/2014/chart" uri="{C3380CC4-5D6E-409C-BE32-E72D297353CC}">
              <c16:uniqueId val="{00000001-D879-409C-846C-416F5A6AA65A}"/>
            </c:ext>
          </c:extLst>
        </c:ser>
        <c:ser>
          <c:idx val="1"/>
          <c:order val="1"/>
          <c:tx>
            <c:strRef>
              <c:f>'3.2'!$AG$7</c:f>
              <c:strCache>
                <c:ptCount val="1"/>
                <c:pt idx="0">
                  <c:v>Male</c:v>
                </c:pt>
              </c:strCache>
            </c:strRef>
          </c:tx>
          <c:spPr>
            <a:solidFill>
              <a:srgbClr val="C00000"/>
            </a:solidFill>
            <a:ln w="9525">
              <a:solidFill>
                <a:schemeClr val="bg1"/>
              </a:solidFill>
            </a:ln>
          </c:spPr>
          <c:invertIfNegative val="0"/>
          <c:cat>
            <c:strRef>
              <c:f>'3.2'!$AF$8:$AF$23</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'3.2'!$AG$8:$AG$23</c:f>
              <c:numCache>
                <c:formatCode>General_)</c:formatCode>
                <c:ptCount val="16"/>
                <c:pt idx="0">
                  <c:v>-19113</c:v>
                </c:pt>
                <c:pt idx="1">
                  <c:v>-20840</c:v>
                </c:pt>
                <c:pt idx="2">
                  <c:v>-18286</c:v>
                </c:pt>
                <c:pt idx="3">
                  <c:v>-12343</c:v>
                </c:pt>
                <c:pt idx="4">
                  <c:v>-9944</c:v>
                </c:pt>
                <c:pt idx="5">
                  <c:v>-8802</c:v>
                </c:pt>
                <c:pt idx="6">
                  <c:v>-7579</c:v>
                </c:pt>
                <c:pt idx="7">
                  <c:v>-6315</c:v>
                </c:pt>
                <c:pt idx="8">
                  <c:v>-3625</c:v>
                </c:pt>
                <c:pt idx="9">
                  <c:v>-3369</c:v>
                </c:pt>
                <c:pt idx="10">
                  <c:v>-3205</c:v>
                </c:pt>
                <c:pt idx="11">
                  <c:v>-3240</c:v>
                </c:pt>
                <c:pt idx="12">
                  <c:v>-3010</c:v>
                </c:pt>
                <c:pt idx="13">
                  <c:v>-1897</c:v>
                </c:pt>
                <c:pt idx="14">
                  <c:v>-1279</c:v>
                </c:pt>
                <c:pt idx="15">
                  <c:v>-1384</c:v>
                </c:pt>
              </c:numCache>
            </c:numRef>
          </c:val>
          <c:extLst>
            <c:ext xmlns:c16="http://schemas.microsoft.com/office/drawing/2014/chart" uri="{C3380CC4-5D6E-409C-BE32-E72D297353CC}">
              <c16:uniqueId val="{00000000-D879-409C-846C-416F5A6AA65A}"/>
            </c:ext>
          </c:extLst>
        </c:ser>
        <c:dLbls>
          <c:showLegendKey val="0"/>
          <c:showVal val="0"/>
          <c:showCatName val="0"/>
          <c:showSerName val="0"/>
          <c:showPercent val="0"/>
          <c:showBubbleSize val="0"/>
        </c:dLbls>
        <c:gapWidth val="0"/>
        <c:overlap val="100"/>
        <c:axId val="385714656"/>
        <c:axId val="385716224"/>
      </c:barChart>
      <c:dateAx>
        <c:axId val="385714656"/>
        <c:scaling>
          <c:orientation val="minMax"/>
        </c:scaling>
        <c:delete val="0"/>
        <c:axPos val="l"/>
        <c:numFmt formatCode="m/d/yyyy" sourceLinked="0"/>
        <c:majorTickMark val="none"/>
        <c:minorTickMark val="none"/>
        <c:tickLblPos val="low"/>
        <c:txPr>
          <a:bodyPr rot="0" vert="horz"/>
          <a:lstStyle/>
          <a:p>
            <a:pPr>
              <a:defRPr sz="600" b="0" i="0" u="none" strike="noStrike" baseline="0">
                <a:solidFill>
                  <a:srgbClr val="000000"/>
                </a:solidFill>
                <a:latin typeface="Calibri"/>
                <a:ea typeface="Calibri"/>
                <a:cs typeface="Calibri"/>
              </a:defRPr>
            </a:pPr>
            <a:endParaRPr lang="en-US"/>
          </a:p>
        </c:txPr>
        <c:crossAx val="385716224"/>
        <c:crosses val="autoZero"/>
        <c:auto val="0"/>
        <c:lblOffset val="100"/>
        <c:baseTimeUnit val="days"/>
      </c:dateAx>
      <c:valAx>
        <c:axId val="385716224"/>
        <c:scaling>
          <c:orientation val="minMax"/>
          <c:max val="25000"/>
          <c:min val="-25000"/>
        </c:scaling>
        <c:delete val="0"/>
        <c:axPos val="b"/>
        <c:majorGridlines>
          <c:spPr>
            <a:ln>
              <a:solidFill>
                <a:schemeClr val="bg1"/>
              </a:solidFill>
            </a:ln>
          </c:spPr>
        </c:majorGridlines>
        <c:numFmt formatCode="#,##0;[Red]#,##0" sourceLinked="0"/>
        <c:majorTickMark val="none"/>
        <c:minorTickMark val="none"/>
        <c:tickLblPos val="nextTo"/>
        <c:txPr>
          <a:bodyPr rot="0" vert="horz"/>
          <a:lstStyle/>
          <a:p>
            <a:pPr>
              <a:defRPr sz="600" b="0" i="0" u="none" strike="noStrike" baseline="0">
                <a:solidFill>
                  <a:srgbClr val="000000"/>
                </a:solidFill>
                <a:latin typeface="Calibri"/>
                <a:ea typeface="Calibri"/>
                <a:cs typeface="Calibri"/>
              </a:defRPr>
            </a:pPr>
            <a:endParaRPr lang="en-US"/>
          </a:p>
        </c:txPr>
        <c:crossAx val="385714656"/>
        <c:crosses val="autoZero"/>
        <c:crossBetween val="between"/>
        <c:majorUnit val="5000"/>
        <c:minorUnit val="1000"/>
      </c:valAx>
      <c:spPr>
        <a:ln>
          <a:solidFill>
            <a:schemeClr val="bg1">
              <a:lumMod val="65000"/>
            </a:schemeClr>
          </a:solidFill>
        </a:ln>
      </c:spPr>
    </c:plotArea>
    <c:legend>
      <c:legendPos val="r"/>
      <c:layout>
        <c:manualLayout>
          <c:xMode val="edge"/>
          <c:yMode val="edge"/>
          <c:x val="0.64631349482269362"/>
          <c:y val="0.1784855128403067"/>
          <c:w val="0.23959884489379157"/>
          <c:h val="7.9077762338531227E-2"/>
        </c:manualLayout>
      </c:layout>
      <c:overlay val="0"/>
      <c:txPr>
        <a:bodyPr/>
        <a:lstStyle/>
        <a:p>
          <a:pPr>
            <a:defRPr sz="620" b="0" i="0" u="none" strike="noStrike" baseline="0">
              <a:solidFill>
                <a:srgbClr val="000000"/>
              </a:solidFill>
              <a:latin typeface="Calibri"/>
              <a:ea typeface="Calibri"/>
              <a:cs typeface="Calibri"/>
            </a:defRPr>
          </a:pPr>
          <a:endParaRPr lang="en-US"/>
        </a:p>
      </c:txPr>
    </c:legend>
    <c:plotVisOnly val="1"/>
    <c:dispBlanksAs val="gap"/>
    <c:showDLblsOverMax val="0"/>
  </c:chart>
  <c:spPr>
    <a:ln>
      <a:solidFill>
        <a:schemeClr val="bg1">
          <a:lumMod val="8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n-US"/>
              <a:t>1995</a:t>
            </a:r>
          </a:p>
        </c:rich>
      </c:tx>
      <c:overlay val="0"/>
      <c:spPr>
        <a:noFill/>
        <a:ln w="25400">
          <a:noFill/>
        </a:ln>
      </c:spPr>
    </c:title>
    <c:autoTitleDeleted val="0"/>
    <c:plotArea>
      <c:layout/>
      <c:barChart>
        <c:barDir val="bar"/>
        <c:grouping val="clustered"/>
        <c:varyColors val="0"/>
        <c:ser>
          <c:idx val="0"/>
          <c:order val="0"/>
          <c:tx>
            <c:strRef>
              <c:f>[1]Sheet1!$B$61</c:f>
              <c:strCache>
                <c:ptCount val="1"/>
                <c:pt idx="0">
                  <c:v>Male</c:v>
                </c:pt>
              </c:strCache>
            </c:strRef>
          </c:tx>
          <c:spPr>
            <a:blipFill dpi="0" rotWithShape="0">
              <a:blip xmlns:r="http://schemas.openxmlformats.org/officeDocument/2006/relationships"/>
              <a:srcRect/>
              <a:tile tx="0" ty="0" sx="100000" sy="100000" flip="none" algn="tl"/>
            </a:blipFill>
            <a:ln w="12700">
              <a:solidFill>
                <a:srgbClr val="000000"/>
              </a:solidFill>
              <a:prstDash val="solid"/>
            </a:ln>
          </c:spPr>
          <c:invertIfNegative val="0"/>
          <c:cat>
            <c:strRef>
              <c:f>[1]Sheet1!$A$62:$A$77</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[1]Sheet1!$B$62:$B$77</c:f>
              <c:numCache>
                <c:formatCode>General</c:formatCode>
                <c:ptCount val="16"/>
                <c:pt idx="0">
                  <c:v>19113</c:v>
                </c:pt>
                <c:pt idx="1">
                  <c:v>20840</c:v>
                </c:pt>
                <c:pt idx="2">
                  <c:v>18286</c:v>
                </c:pt>
                <c:pt idx="3">
                  <c:v>12343</c:v>
                </c:pt>
                <c:pt idx="4">
                  <c:v>9944</c:v>
                </c:pt>
                <c:pt idx="5">
                  <c:v>8802</c:v>
                </c:pt>
                <c:pt idx="6">
                  <c:v>7579</c:v>
                </c:pt>
                <c:pt idx="7">
                  <c:v>6315</c:v>
                </c:pt>
                <c:pt idx="8">
                  <c:v>3625</c:v>
                </c:pt>
                <c:pt idx="9">
                  <c:v>3369</c:v>
                </c:pt>
                <c:pt idx="10">
                  <c:v>3205</c:v>
                </c:pt>
                <c:pt idx="11">
                  <c:v>3240</c:v>
                </c:pt>
                <c:pt idx="12">
                  <c:v>3010</c:v>
                </c:pt>
                <c:pt idx="13">
                  <c:v>1897</c:v>
                </c:pt>
                <c:pt idx="14">
                  <c:v>1279</c:v>
                </c:pt>
                <c:pt idx="15">
                  <c:v>1384</c:v>
                </c:pt>
              </c:numCache>
            </c:numRef>
          </c:val>
          <c:extLst>
            <c:ext xmlns:c16="http://schemas.microsoft.com/office/drawing/2014/chart" uri="{C3380CC4-5D6E-409C-BE32-E72D297353CC}">
              <c16:uniqueId val="{00000000-A5B3-4F0C-89FF-081E252C2486}"/>
            </c:ext>
          </c:extLst>
        </c:ser>
        <c:ser>
          <c:idx val="1"/>
          <c:order val="1"/>
          <c:tx>
            <c:strRef>
              <c:f>[1]Sheet1!$C$61</c:f>
              <c:strCache>
                <c:ptCount val="1"/>
                <c:pt idx="0">
                  <c:v>Female</c:v>
                </c:pt>
              </c:strCache>
            </c:strRef>
          </c:tx>
          <c:spPr>
            <a:blipFill dpi="0" rotWithShape="0">
              <a:blip xmlns:r="http://schemas.openxmlformats.org/officeDocument/2006/relationships"/>
              <a:srcRect/>
              <a:tile tx="0" ty="0" sx="100000" sy="100000" flip="none" algn="tl"/>
            </a:blipFill>
            <a:ln w="12700">
              <a:solidFill>
                <a:srgbClr val="000000"/>
              </a:solidFill>
              <a:prstDash val="solid"/>
            </a:ln>
          </c:spPr>
          <c:invertIfNegative val="0"/>
          <c:cat>
            <c:strRef>
              <c:f>[1]Sheet1!$A$62:$A$77</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[1]Sheet1!$C$62:$C$77</c:f>
              <c:numCache>
                <c:formatCode>General</c:formatCode>
                <c:ptCount val="16"/>
                <c:pt idx="0">
                  <c:v>-17859</c:v>
                </c:pt>
                <c:pt idx="1">
                  <c:v>-19919</c:v>
                </c:pt>
                <c:pt idx="2">
                  <c:v>-17584</c:v>
                </c:pt>
                <c:pt idx="3">
                  <c:v>-12562</c:v>
                </c:pt>
                <c:pt idx="4">
                  <c:v>-11077</c:v>
                </c:pt>
                <c:pt idx="5">
                  <c:v>-9389</c:v>
                </c:pt>
                <c:pt idx="6">
                  <c:v>-7785</c:v>
                </c:pt>
                <c:pt idx="7">
                  <c:v>-6317</c:v>
                </c:pt>
                <c:pt idx="8">
                  <c:v>-3297</c:v>
                </c:pt>
                <c:pt idx="9">
                  <c:v>-3215</c:v>
                </c:pt>
                <c:pt idx="10">
                  <c:v>-3042</c:v>
                </c:pt>
                <c:pt idx="11">
                  <c:v>-2722</c:v>
                </c:pt>
                <c:pt idx="12">
                  <c:v>-2284</c:v>
                </c:pt>
                <c:pt idx="13">
                  <c:v>-1304</c:v>
                </c:pt>
                <c:pt idx="14">
                  <c:v>-822</c:v>
                </c:pt>
                <c:pt idx="15">
                  <c:v>-862</c:v>
                </c:pt>
              </c:numCache>
            </c:numRef>
          </c:val>
          <c:extLst>
            <c:ext xmlns:c16="http://schemas.microsoft.com/office/drawing/2014/chart" uri="{C3380CC4-5D6E-409C-BE32-E72D297353CC}">
              <c16:uniqueId val="{00000001-A5B3-4F0C-89FF-081E252C2486}"/>
            </c:ext>
          </c:extLst>
        </c:ser>
        <c:dLbls>
          <c:showLegendKey val="0"/>
          <c:showVal val="0"/>
          <c:showCatName val="0"/>
          <c:showSerName val="0"/>
          <c:showPercent val="0"/>
          <c:showBubbleSize val="0"/>
        </c:dLbls>
        <c:gapWidth val="10"/>
        <c:overlap val="100"/>
        <c:axId val="385717400"/>
        <c:axId val="385718968"/>
      </c:barChart>
      <c:catAx>
        <c:axId val="385717400"/>
        <c:scaling>
          <c:orientation val="minMax"/>
        </c:scaling>
        <c:delete val="0"/>
        <c:axPos val="l"/>
        <c:majorGridlines>
          <c:spPr>
            <a:ln w="3175">
              <a:solidFill>
                <a:srgbClr val="000000"/>
              </a:solidFill>
              <a:prstDash val="solid"/>
            </a:ln>
          </c:spPr>
        </c:majorGridlines>
        <c:title>
          <c:tx>
            <c:rich>
              <a:bodyPr rot="0" vert="horz"/>
              <a:lstStyle/>
              <a:p>
                <a:pPr algn="ctr">
                  <a:defRPr sz="150" b="1" i="0" u="none" strike="noStrike" baseline="0">
                    <a:solidFill>
                      <a:srgbClr val="000000"/>
                    </a:solidFill>
                    <a:latin typeface="Arial"/>
                    <a:ea typeface="Arial"/>
                    <a:cs typeface="Arial"/>
                  </a:defRPr>
                </a:pPr>
                <a:r>
                  <a:rPr lang="en-US"/>
                  <a:t>Ages</a:t>
                </a:r>
              </a:p>
            </c:rich>
          </c:tx>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en-US"/>
          </a:p>
        </c:txPr>
        <c:crossAx val="385718968"/>
        <c:crosses val="autoZero"/>
        <c:auto val="1"/>
        <c:lblAlgn val="ctr"/>
        <c:lblOffset val="100"/>
        <c:tickLblSkip val="9"/>
        <c:tickMarkSkip val="1"/>
        <c:noMultiLvlLbl val="0"/>
      </c:catAx>
      <c:valAx>
        <c:axId val="3857189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n-US"/>
                  <a:t>population</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US"/>
          </a:p>
        </c:txPr>
        <c:crossAx val="385717400"/>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4"/>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Arial"/>
                <a:ea typeface="Arial"/>
                <a:cs typeface="Arial"/>
              </a:defRPr>
            </a:pPr>
            <a:r>
              <a:rPr lang="en-US"/>
              <a:t>2000</a:t>
            </a:r>
          </a:p>
        </c:rich>
      </c:tx>
      <c:overlay val="0"/>
      <c:spPr>
        <a:noFill/>
        <a:ln w="25400">
          <a:noFill/>
        </a:ln>
      </c:spPr>
    </c:title>
    <c:autoTitleDeleted val="0"/>
    <c:plotArea>
      <c:layout/>
      <c:barChart>
        <c:barDir val="bar"/>
        <c:grouping val="clustered"/>
        <c:varyColors val="0"/>
        <c:ser>
          <c:idx val="0"/>
          <c:order val="0"/>
          <c:tx>
            <c:strRef>
              <c:f>[1]Sheet1!$B$87</c:f>
              <c:strCache>
                <c:ptCount val="1"/>
                <c:pt idx="0">
                  <c:v>Male</c:v>
                </c:pt>
              </c:strCache>
            </c:strRef>
          </c:tx>
          <c:spPr>
            <a:blipFill dpi="0" rotWithShape="0">
              <a:blip xmlns:r="http://schemas.openxmlformats.org/officeDocument/2006/relationships"/>
              <a:srcRect/>
              <a:tile tx="0" ty="0" sx="100000" sy="100000" flip="none" algn="tl"/>
            </a:blipFill>
            <a:ln w="12700">
              <a:solidFill>
                <a:srgbClr val="000000"/>
              </a:solidFill>
              <a:prstDash val="solid"/>
            </a:ln>
          </c:spPr>
          <c:invertIfNegative val="0"/>
          <c:cat>
            <c:strRef>
              <c:f>[1]Sheet1!$A$88:$A$103</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[1]Sheet1!$B$88:$B$103</c:f>
              <c:numCache>
                <c:formatCode>General</c:formatCode>
                <c:ptCount val="16"/>
                <c:pt idx="0">
                  <c:v>-15699</c:v>
                </c:pt>
                <c:pt idx="1">
                  <c:v>-19336</c:v>
                </c:pt>
                <c:pt idx="2">
                  <c:v>-20897</c:v>
                </c:pt>
                <c:pt idx="3">
                  <c:v>-16590</c:v>
                </c:pt>
                <c:pt idx="4">
                  <c:v>-11620</c:v>
                </c:pt>
                <c:pt idx="5">
                  <c:v>-9805</c:v>
                </c:pt>
                <c:pt idx="6">
                  <c:v>-8890</c:v>
                </c:pt>
                <c:pt idx="7">
                  <c:v>-7828</c:v>
                </c:pt>
                <c:pt idx="8">
                  <c:v>-6272</c:v>
                </c:pt>
                <c:pt idx="9">
                  <c:v>-3977</c:v>
                </c:pt>
                <c:pt idx="10">
                  <c:v>-3051</c:v>
                </c:pt>
                <c:pt idx="11">
                  <c:v>-3131</c:v>
                </c:pt>
                <c:pt idx="12">
                  <c:v>-3370</c:v>
                </c:pt>
                <c:pt idx="13">
                  <c:v>-2650</c:v>
                </c:pt>
                <c:pt idx="14">
                  <c:v>-1737</c:v>
                </c:pt>
                <c:pt idx="15">
                  <c:v>-1532</c:v>
                </c:pt>
              </c:numCache>
            </c:numRef>
          </c:val>
          <c:extLst>
            <c:ext xmlns:c16="http://schemas.microsoft.com/office/drawing/2014/chart" uri="{C3380CC4-5D6E-409C-BE32-E72D297353CC}">
              <c16:uniqueId val="{00000000-FD48-4F64-8B0C-E4D03F6886A9}"/>
            </c:ext>
          </c:extLst>
        </c:ser>
        <c:ser>
          <c:idx val="1"/>
          <c:order val="1"/>
          <c:tx>
            <c:strRef>
              <c:f>[1]Sheet1!$C$87</c:f>
              <c:strCache>
                <c:ptCount val="1"/>
                <c:pt idx="0">
                  <c:v>Female</c:v>
                </c:pt>
              </c:strCache>
            </c:strRef>
          </c:tx>
          <c:spPr>
            <a:blipFill dpi="0" rotWithShape="0">
              <a:blip xmlns:r="http://schemas.openxmlformats.org/officeDocument/2006/relationships"/>
              <a:srcRect/>
              <a:tile tx="0" ty="0" sx="100000" sy="100000" flip="none" algn="tl"/>
            </a:blipFill>
            <a:ln w="12700">
              <a:solidFill>
                <a:srgbClr val="000000"/>
              </a:solidFill>
              <a:prstDash val="solid"/>
            </a:ln>
          </c:spPr>
          <c:invertIfNegative val="0"/>
          <c:cat>
            <c:strRef>
              <c:f>[1]Sheet1!$A$88:$A$103</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[1]Sheet1!$C$88:$C$103</c:f>
              <c:numCache>
                <c:formatCode>General</c:formatCode>
                <c:ptCount val="16"/>
                <c:pt idx="0">
                  <c:v>15213</c:v>
                </c:pt>
                <c:pt idx="1">
                  <c:v>18591</c:v>
                </c:pt>
                <c:pt idx="2">
                  <c:v>20192</c:v>
                </c:pt>
                <c:pt idx="3">
                  <c:v>16676</c:v>
                </c:pt>
                <c:pt idx="4">
                  <c:v>11894</c:v>
                </c:pt>
                <c:pt idx="5">
                  <c:v>10285</c:v>
                </c:pt>
                <c:pt idx="6">
                  <c:v>9271</c:v>
                </c:pt>
                <c:pt idx="7">
                  <c:v>7871</c:v>
                </c:pt>
                <c:pt idx="8">
                  <c:v>6130</c:v>
                </c:pt>
                <c:pt idx="9">
                  <c:v>3484</c:v>
                </c:pt>
                <c:pt idx="10">
                  <c:v>2916</c:v>
                </c:pt>
                <c:pt idx="11">
                  <c:v>2865</c:v>
                </c:pt>
                <c:pt idx="12">
                  <c:v>2942</c:v>
                </c:pt>
                <c:pt idx="13">
                  <c:v>1961</c:v>
                </c:pt>
                <c:pt idx="14">
                  <c:v>1136</c:v>
                </c:pt>
                <c:pt idx="15">
                  <c:v>1013</c:v>
                </c:pt>
              </c:numCache>
            </c:numRef>
          </c:val>
          <c:extLst>
            <c:ext xmlns:c16="http://schemas.microsoft.com/office/drawing/2014/chart" uri="{C3380CC4-5D6E-409C-BE32-E72D297353CC}">
              <c16:uniqueId val="{00000001-FD48-4F64-8B0C-E4D03F6886A9}"/>
            </c:ext>
          </c:extLst>
        </c:ser>
        <c:dLbls>
          <c:showLegendKey val="0"/>
          <c:showVal val="0"/>
          <c:showCatName val="0"/>
          <c:showSerName val="0"/>
          <c:showPercent val="0"/>
          <c:showBubbleSize val="0"/>
        </c:dLbls>
        <c:gapWidth val="10"/>
        <c:overlap val="100"/>
        <c:axId val="497988848"/>
        <c:axId val="497992376"/>
      </c:barChart>
      <c:catAx>
        <c:axId val="497988848"/>
        <c:scaling>
          <c:orientation val="minMax"/>
        </c:scaling>
        <c:delete val="0"/>
        <c:axPos val="l"/>
        <c:majorGridlines>
          <c:spPr>
            <a:ln w="3175">
              <a:solidFill>
                <a:srgbClr val="000000"/>
              </a:solidFill>
              <a:prstDash val="solid"/>
            </a:ln>
          </c:spPr>
        </c:majorGridlines>
        <c:title>
          <c:tx>
            <c:rich>
              <a:bodyPr rot="-60000" vert="horz"/>
              <a:lstStyle/>
              <a:p>
                <a:pPr algn="ctr">
                  <a:defRPr sz="175" b="1" i="0" u="none" strike="noStrike" baseline="0">
                    <a:solidFill>
                      <a:srgbClr val="000000"/>
                    </a:solidFill>
                    <a:latin typeface="Arial"/>
                    <a:ea typeface="Arial"/>
                    <a:cs typeface="Arial"/>
                  </a:defRPr>
                </a:pPr>
                <a:r>
                  <a:rPr lang="en-US"/>
                  <a:t>Age</a:t>
                </a:r>
              </a:p>
            </c:rich>
          </c:tx>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en-US"/>
          </a:p>
        </c:txPr>
        <c:crossAx val="497992376"/>
        <c:crossesAt val="0"/>
        <c:auto val="0"/>
        <c:lblAlgn val="ctr"/>
        <c:lblOffset val="100"/>
        <c:tickLblSkip val="2"/>
        <c:tickMarkSkip val="1"/>
        <c:noMultiLvlLbl val="0"/>
      </c:catAx>
      <c:valAx>
        <c:axId val="497992376"/>
        <c:scaling>
          <c:orientation val="minMax"/>
          <c:max val="30000"/>
          <c:min val="-30000"/>
        </c:scaling>
        <c:delete val="0"/>
        <c:axPos val="b"/>
        <c:title>
          <c:tx>
            <c:rich>
              <a:bodyPr/>
              <a:lstStyle/>
              <a:p>
                <a:pPr>
                  <a:defRPr sz="175" b="1" i="0" u="none" strike="noStrike" baseline="0">
                    <a:solidFill>
                      <a:srgbClr val="000000"/>
                    </a:solidFill>
                    <a:latin typeface="Arial"/>
                    <a:ea typeface="Arial"/>
                    <a:cs typeface="Arial"/>
                  </a:defRPr>
                </a:pPr>
                <a:r>
                  <a:rPr lang="en-US"/>
                  <a:t>Population</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Arial"/>
                <a:ea typeface="Arial"/>
                <a:cs typeface="Arial"/>
              </a:defRPr>
            </a:pPr>
            <a:endParaRPr lang="en-US"/>
          </a:p>
        </c:txPr>
        <c:crossAx val="497988848"/>
        <c:crosses val="autoZero"/>
        <c:crossBetween val="between"/>
        <c:majorUnit val="10000"/>
        <c:minorUnit val="2000"/>
      </c:valAx>
      <c:spPr>
        <a:noFill/>
        <a:ln w="12700">
          <a:solidFill>
            <a:srgbClr val="808080"/>
          </a:solidFill>
          <a:prstDash val="solid"/>
        </a:ln>
      </c:spPr>
    </c:plotArea>
    <c:legend>
      <c:legendPos val="r"/>
      <c:overlay val="0"/>
      <c:spPr>
        <a:noFill/>
        <a:ln w="3175">
          <a:solidFill>
            <a:srgbClr val="000000"/>
          </a:solidFill>
          <a:prstDash val="solid"/>
        </a:ln>
      </c:spPr>
      <c:txPr>
        <a:bodyPr/>
        <a:lstStyle/>
        <a:p>
          <a:pPr>
            <a:defRPr sz="1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4" verticalDpi="30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Calibri"/>
                <a:ea typeface="Calibri"/>
                <a:cs typeface="Calibri"/>
              </a:defRPr>
            </a:pPr>
            <a:r>
              <a:rPr lang="en-US"/>
              <a:t>Figure 3.5: Population Pyramid  of Maldives,  2014</a:t>
            </a:r>
          </a:p>
        </c:rich>
      </c:tx>
      <c:overlay val="0"/>
    </c:title>
    <c:autoTitleDeleted val="0"/>
    <c:plotArea>
      <c:layout>
        <c:manualLayout>
          <c:layoutTarget val="inner"/>
          <c:xMode val="edge"/>
          <c:yMode val="edge"/>
          <c:x val="0.13096385542168676"/>
          <c:y val="0.15036088131014688"/>
          <c:w val="0.82020138404859111"/>
          <c:h val="0.70979360121560009"/>
        </c:manualLayout>
      </c:layout>
      <c:barChart>
        <c:barDir val="bar"/>
        <c:grouping val="clustered"/>
        <c:varyColors val="0"/>
        <c:ser>
          <c:idx val="3"/>
          <c:order val="0"/>
          <c:tx>
            <c:strRef>
              <c:f>'3.2'!$AH$78</c:f>
              <c:strCache>
                <c:ptCount val="1"/>
                <c:pt idx="0">
                  <c:v>Female</c:v>
                </c:pt>
              </c:strCache>
            </c:strRef>
          </c:tx>
          <c:spPr>
            <a:solidFill>
              <a:srgbClr val="FFDDDD"/>
            </a:solidFill>
            <a:ln w="9525">
              <a:solidFill>
                <a:schemeClr val="bg1"/>
              </a:solidFill>
            </a:ln>
          </c:spPr>
          <c:invertIfNegative val="0"/>
          <c:cat>
            <c:strRef>
              <c:f>'3.2'!$AF$79:$AF$94</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'3.2'!$AH$79:$AH$94</c:f>
              <c:numCache>
                <c:formatCode>#,##0</c:formatCode>
                <c:ptCount val="16"/>
                <c:pt idx="0">
                  <c:v>17223</c:v>
                </c:pt>
                <c:pt idx="1">
                  <c:v>15616</c:v>
                </c:pt>
                <c:pt idx="2">
                  <c:v>12787</c:v>
                </c:pt>
                <c:pt idx="3">
                  <c:v>15461</c:v>
                </c:pt>
                <c:pt idx="4">
                  <c:v>18537</c:v>
                </c:pt>
                <c:pt idx="5">
                  <c:v>19738</c:v>
                </c:pt>
                <c:pt idx="6">
                  <c:v>15868</c:v>
                </c:pt>
                <c:pt idx="7">
                  <c:v>11518</c:v>
                </c:pt>
                <c:pt idx="8">
                  <c:v>10064</c:v>
                </c:pt>
                <c:pt idx="9">
                  <c:v>8795</c:v>
                </c:pt>
                <c:pt idx="10">
                  <c:v>7405</c:v>
                </c:pt>
                <c:pt idx="11">
                  <c:v>5672</c:v>
                </c:pt>
                <c:pt idx="12">
                  <c:v>2922</c:v>
                </c:pt>
                <c:pt idx="13">
                  <c:v>2426</c:v>
                </c:pt>
                <c:pt idx="14">
                  <c:v>2372</c:v>
                </c:pt>
                <c:pt idx="15">
                  <c:v>2953</c:v>
                </c:pt>
              </c:numCache>
            </c:numRef>
          </c:val>
          <c:extLst>
            <c:ext xmlns:c16="http://schemas.microsoft.com/office/drawing/2014/chart" uri="{C3380CC4-5D6E-409C-BE32-E72D297353CC}">
              <c16:uniqueId val="{00000005-5FBD-4796-9A8F-2B78C860658C}"/>
            </c:ext>
          </c:extLst>
        </c:ser>
        <c:ser>
          <c:idx val="2"/>
          <c:order val="1"/>
          <c:tx>
            <c:strRef>
              <c:f>'3.2'!$AG$78</c:f>
              <c:strCache>
                <c:ptCount val="1"/>
                <c:pt idx="0">
                  <c:v>Male</c:v>
                </c:pt>
              </c:strCache>
            </c:strRef>
          </c:tx>
          <c:spPr>
            <a:solidFill>
              <a:srgbClr val="C00000"/>
            </a:solidFill>
            <a:ln w="9525">
              <a:solidFill>
                <a:schemeClr val="bg1"/>
              </a:solidFill>
            </a:ln>
          </c:spPr>
          <c:invertIfNegative val="0"/>
          <c:cat>
            <c:strRef>
              <c:f>'3.2'!$AF$79:$AF$94</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'3.2'!$AG$79:$AG$94</c:f>
              <c:numCache>
                <c:formatCode>General_)</c:formatCode>
                <c:ptCount val="16"/>
                <c:pt idx="0">
                  <c:v>-18863</c:v>
                </c:pt>
                <c:pt idx="1">
                  <c:v>-16364</c:v>
                </c:pt>
                <c:pt idx="2">
                  <c:v>-13571</c:v>
                </c:pt>
                <c:pt idx="3">
                  <c:v>-15922</c:v>
                </c:pt>
                <c:pt idx="4">
                  <c:v>-19349</c:v>
                </c:pt>
                <c:pt idx="5">
                  <c:v>-19451</c:v>
                </c:pt>
                <c:pt idx="6">
                  <c:v>-15494</c:v>
                </c:pt>
                <c:pt idx="7">
                  <c:v>-11386</c:v>
                </c:pt>
                <c:pt idx="8">
                  <c:v>-9811</c:v>
                </c:pt>
                <c:pt idx="9">
                  <c:v>-8784</c:v>
                </c:pt>
                <c:pt idx="10">
                  <c:v>-7645</c:v>
                </c:pt>
                <c:pt idx="11">
                  <c:v>-6031</c:v>
                </c:pt>
                <c:pt idx="12">
                  <c:v>-3327</c:v>
                </c:pt>
                <c:pt idx="13">
                  <c:v>-2445</c:v>
                </c:pt>
                <c:pt idx="14">
                  <c:v>-2471</c:v>
                </c:pt>
                <c:pt idx="15">
                  <c:v>-3752</c:v>
                </c:pt>
              </c:numCache>
            </c:numRef>
          </c:val>
          <c:extLst>
            <c:ext xmlns:c16="http://schemas.microsoft.com/office/drawing/2014/chart" uri="{C3380CC4-5D6E-409C-BE32-E72D297353CC}">
              <c16:uniqueId val="{00000004-5FBD-4796-9A8F-2B78C860658C}"/>
            </c:ext>
          </c:extLst>
        </c:ser>
        <c:dLbls>
          <c:showLegendKey val="0"/>
          <c:showVal val="0"/>
          <c:showCatName val="0"/>
          <c:showSerName val="0"/>
          <c:showPercent val="0"/>
          <c:showBubbleSize val="0"/>
        </c:dLbls>
        <c:gapWidth val="0"/>
        <c:overlap val="100"/>
        <c:axId val="392731112"/>
        <c:axId val="392734640"/>
      </c:barChart>
      <c:dateAx>
        <c:axId val="392731112"/>
        <c:scaling>
          <c:orientation val="minMax"/>
        </c:scaling>
        <c:delete val="0"/>
        <c:axPos val="l"/>
        <c:numFmt formatCode="m/d/yyyy" sourceLinked="0"/>
        <c:majorTickMark val="none"/>
        <c:minorTickMark val="none"/>
        <c:tickLblPos val="low"/>
        <c:txPr>
          <a:bodyPr rot="0" vert="horz"/>
          <a:lstStyle/>
          <a:p>
            <a:pPr>
              <a:defRPr sz="600" b="0" i="0" u="none" strike="noStrike" baseline="0">
                <a:solidFill>
                  <a:srgbClr val="000000"/>
                </a:solidFill>
                <a:latin typeface="Calibri"/>
                <a:ea typeface="Calibri"/>
                <a:cs typeface="Calibri"/>
              </a:defRPr>
            </a:pPr>
            <a:endParaRPr lang="en-US"/>
          </a:p>
        </c:txPr>
        <c:crossAx val="392734640"/>
        <c:crosses val="autoZero"/>
        <c:auto val="0"/>
        <c:lblOffset val="100"/>
        <c:baseTimeUnit val="days"/>
      </c:dateAx>
      <c:valAx>
        <c:axId val="392734640"/>
        <c:scaling>
          <c:orientation val="minMax"/>
          <c:max val="25000"/>
          <c:min val="-25000"/>
        </c:scaling>
        <c:delete val="0"/>
        <c:axPos val="b"/>
        <c:majorGridlines>
          <c:spPr>
            <a:ln>
              <a:solidFill>
                <a:schemeClr val="bg1"/>
              </a:solidFill>
            </a:ln>
          </c:spPr>
        </c:majorGridlines>
        <c:numFmt formatCode="#,##0;[Red]#,##0" sourceLinked="0"/>
        <c:majorTickMark val="none"/>
        <c:minorTickMark val="none"/>
        <c:tickLblPos val="nextTo"/>
        <c:txPr>
          <a:bodyPr rot="0" vert="horz"/>
          <a:lstStyle/>
          <a:p>
            <a:pPr>
              <a:defRPr sz="600" b="0" i="0" u="none" strike="noStrike" baseline="0">
                <a:solidFill>
                  <a:srgbClr val="000000"/>
                </a:solidFill>
                <a:latin typeface="Calibri"/>
                <a:ea typeface="Calibri"/>
                <a:cs typeface="Calibri"/>
              </a:defRPr>
            </a:pPr>
            <a:endParaRPr lang="en-US"/>
          </a:p>
        </c:txPr>
        <c:crossAx val="392731112"/>
        <c:crosses val="autoZero"/>
        <c:crossBetween val="between"/>
        <c:majorUnit val="5000"/>
        <c:minorUnit val="1000"/>
      </c:valAx>
      <c:spPr>
        <a:ln>
          <a:solidFill>
            <a:schemeClr val="bg1">
              <a:lumMod val="65000"/>
            </a:schemeClr>
          </a:solidFill>
        </a:ln>
      </c:spPr>
    </c:plotArea>
    <c:legend>
      <c:legendPos val="r"/>
      <c:layout>
        <c:manualLayout>
          <c:xMode val="edge"/>
          <c:yMode val="edge"/>
          <c:x val="0.64631339329029369"/>
          <c:y val="0.17848566929133858"/>
          <c:w val="0.23959896008259629"/>
          <c:h val="7.9077795275590557E-2"/>
        </c:manualLayout>
      </c:layout>
      <c:overlay val="0"/>
      <c:txPr>
        <a:bodyPr/>
        <a:lstStyle/>
        <a:p>
          <a:pPr>
            <a:defRPr sz="620" b="0" i="0" u="none" strike="noStrike" baseline="0">
              <a:solidFill>
                <a:srgbClr val="000000"/>
              </a:solidFill>
              <a:latin typeface="Calibri"/>
              <a:ea typeface="Calibri"/>
              <a:cs typeface="Calibri"/>
            </a:defRPr>
          </a:pPr>
          <a:endParaRPr lang="en-US"/>
        </a:p>
      </c:txPr>
    </c:legend>
    <c:plotVisOnly val="1"/>
    <c:dispBlanksAs val="gap"/>
    <c:showDLblsOverMax val="0"/>
  </c:chart>
  <c:spPr>
    <a:ln>
      <a:solidFill>
        <a:schemeClr val="bg1">
          <a:lumMod val="8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Calibri"/>
                <a:ea typeface="Calibri"/>
                <a:cs typeface="Calibri"/>
              </a:defRPr>
            </a:pPr>
            <a:r>
              <a:rPr lang="en-US"/>
              <a:t>Figure 3.5: Population Pyramid  of Maldives,  2000</a:t>
            </a:r>
          </a:p>
        </c:rich>
      </c:tx>
      <c:overlay val="0"/>
    </c:title>
    <c:autoTitleDeleted val="0"/>
    <c:plotArea>
      <c:layout>
        <c:manualLayout>
          <c:layoutTarget val="inner"/>
          <c:xMode val="edge"/>
          <c:yMode val="edge"/>
          <c:x val="0.13096385542168676"/>
          <c:y val="0.15036088131014688"/>
          <c:w val="0.82020138404859111"/>
          <c:h val="0.70979360121560009"/>
        </c:manualLayout>
      </c:layout>
      <c:barChart>
        <c:barDir val="bar"/>
        <c:grouping val="clustered"/>
        <c:varyColors val="0"/>
        <c:ser>
          <c:idx val="1"/>
          <c:order val="0"/>
          <c:tx>
            <c:strRef>
              <c:f>'3.2'!$AH$31</c:f>
              <c:strCache>
                <c:ptCount val="1"/>
                <c:pt idx="0">
                  <c:v>Female</c:v>
                </c:pt>
              </c:strCache>
            </c:strRef>
          </c:tx>
          <c:spPr>
            <a:solidFill>
              <a:srgbClr val="FFDDDD"/>
            </a:solidFill>
            <a:ln w="9525">
              <a:solidFill>
                <a:schemeClr val="bg1"/>
              </a:solidFill>
            </a:ln>
          </c:spPr>
          <c:invertIfNegative val="0"/>
          <c:cat>
            <c:strRef>
              <c:f>'3.2'!$AF$32:$AF$47</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'3.2'!$AH$32:$AH$47</c:f>
              <c:numCache>
                <c:formatCode>#,##0</c:formatCode>
                <c:ptCount val="16"/>
                <c:pt idx="0">
                  <c:v>15213</c:v>
                </c:pt>
                <c:pt idx="1">
                  <c:v>18591</c:v>
                </c:pt>
                <c:pt idx="2">
                  <c:v>20192</c:v>
                </c:pt>
                <c:pt idx="3">
                  <c:v>16676</c:v>
                </c:pt>
                <c:pt idx="4">
                  <c:v>11894</c:v>
                </c:pt>
                <c:pt idx="5">
                  <c:v>10285</c:v>
                </c:pt>
                <c:pt idx="6">
                  <c:v>9271</c:v>
                </c:pt>
                <c:pt idx="7">
                  <c:v>7871</c:v>
                </c:pt>
                <c:pt idx="8">
                  <c:v>6130</c:v>
                </c:pt>
                <c:pt idx="9">
                  <c:v>3484</c:v>
                </c:pt>
                <c:pt idx="10">
                  <c:v>2916</c:v>
                </c:pt>
                <c:pt idx="11">
                  <c:v>2865</c:v>
                </c:pt>
                <c:pt idx="12">
                  <c:v>2942</c:v>
                </c:pt>
                <c:pt idx="13">
                  <c:v>1961</c:v>
                </c:pt>
                <c:pt idx="14">
                  <c:v>1136</c:v>
                </c:pt>
                <c:pt idx="15">
                  <c:v>1013</c:v>
                </c:pt>
              </c:numCache>
            </c:numRef>
          </c:val>
          <c:extLst>
            <c:ext xmlns:c16="http://schemas.microsoft.com/office/drawing/2014/chart" uri="{C3380CC4-5D6E-409C-BE32-E72D297353CC}">
              <c16:uniqueId val="{00000001-7618-44E6-BB45-19C88B456203}"/>
            </c:ext>
          </c:extLst>
        </c:ser>
        <c:ser>
          <c:idx val="0"/>
          <c:order val="1"/>
          <c:tx>
            <c:strRef>
              <c:f>'3.2'!$AG$31</c:f>
              <c:strCache>
                <c:ptCount val="1"/>
                <c:pt idx="0">
                  <c:v>Male</c:v>
                </c:pt>
              </c:strCache>
            </c:strRef>
          </c:tx>
          <c:spPr>
            <a:solidFill>
              <a:srgbClr val="C00000"/>
            </a:solidFill>
            <a:ln w="9525">
              <a:solidFill>
                <a:schemeClr val="bg1"/>
              </a:solidFill>
            </a:ln>
          </c:spPr>
          <c:invertIfNegative val="0"/>
          <c:cat>
            <c:strRef>
              <c:f>'3.2'!$AF$32:$AF$47</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'3.2'!$AG$32:$AG$47</c:f>
              <c:numCache>
                <c:formatCode>General_)</c:formatCode>
                <c:ptCount val="16"/>
                <c:pt idx="0">
                  <c:v>-15699</c:v>
                </c:pt>
                <c:pt idx="1">
                  <c:v>-19336</c:v>
                </c:pt>
                <c:pt idx="2">
                  <c:v>-20897</c:v>
                </c:pt>
                <c:pt idx="3">
                  <c:v>-16590</c:v>
                </c:pt>
                <c:pt idx="4">
                  <c:v>-11620</c:v>
                </c:pt>
                <c:pt idx="5">
                  <c:v>-9805</c:v>
                </c:pt>
                <c:pt idx="6">
                  <c:v>-8890</c:v>
                </c:pt>
                <c:pt idx="7">
                  <c:v>-7828</c:v>
                </c:pt>
                <c:pt idx="8">
                  <c:v>-6272</c:v>
                </c:pt>
                <c:pt idx="9">
                  <c:v>-3977</c:v>
                </c:pt>
                <c:pt idx="10">
                  <c:v>-3051</c:v>
                </c:pt>
                <c:pt idx="11">
                  <c:v>-3131</c:v>
                </c:pt>
                <c:pt idx="12">
                  <c:v>-3370</c:v>
                </c:pt>
                <c:pt idx="13">
                  <c:v>-2650</c:v>
                </c:pt>
                <c:pt idx="14">
                  <c:v>-1737</c:v>
                </c:pt>
                <c:pt idx="15">
                  <c:v>-1532</c:v>
                </c:pt>
              </c:numCache>
            </c:numRef>
          </c:val>
          <c:extLst>
            <c:ext xmlns:c16="http://schemas.microsoft.com/office/drawing/2014/chart" uri="{C3380CC4-5D6E-409C-BE32-E72D297353CC}">
              <c16:uniqueId val="{00000000-7618-44E6-BB45-19C88B456203}"/>
            </c:ext>
          </c:extLst>
        </c:ser>
        <c:dLbls>
          <c:showLegendKey val="0"/>
          <c:showVal val="0"/>
          <c:showCatName val="0"/>
          <c:showSerName val="0"/>
          <c:showPercent val="0"/>
          <c:showBubbleSize val="0"/>
        </c:dLbls>
        <c:gapWidth val="0"/>
        <c:overlap val="100"/>
        <c:axId val="392732288"/>
        <c:axId val="343053784"/>
      </c:barChart>
      <c:dateAx>
        <c:axId val="392732288"/>
        <c:scaling>
          <c:orientation val="minMax"/>
        </c:scaling>
        <c:delete val="0"/>
        <c:axPos val="l"/>
        <c:numFmt formatCode="m/d/yyyy" sourceLinked="0"/>
        <c:majorTickMark val="none"/>
        <c:minorTickMark val="none"/>
        <c:tickLblPos val="low"/>
        <c:txPr>
          <a:bodyPr rot="0" vert="horz"/>
          <a:lstStyle/>
          <a:p>
            <a:pPr>
              <a:defRPr sz="600" b="0" i="0" u="none" strike="noStrike" baseline="0">
                <a:solidFill>
                  <a:srgbClr val="000000"/>
                </a:solidFill>
                <a:latin typeface="Calibri"/>
                <a:ea typeface="Calibri"/>
                <a:cs typeface="Calibri"/>
              </a:defRPr>
            </a:pPr>
            <a:endParaRPr lang="en-US"/>
          </a:p>
        </c:txPr>
        <c:crossAx val="343053784"/>
        <c:crosses val="autoZero"/>
        <c:auto val="0"/>
        <c:lblOffset val="100"/>
        <c:baseTimeUnit val="days"/>
      </c:dateAx>
      <c:valAx>
        <c:axId val="343053784"/>
        <c:scaling>
          <c:orientation val="minMax"/>
          <c:max val="25000"/>
          <c:min val="-25000"/>
        </c:scaling>
        <c:delete val="0"/>
        <c:axPos val="b"/>
        <c:majorGridlines>
          <c:spPr>
            <a:ln>
              <a:solidFill>
                <a:schemeClr val="bg1"/>
              </a:solidFill>
            </a:ln>
          </c:spPr>
        </c:majorGridlines>
        <c:numFmt formatCode="#,##0;[Red]#,##0" sourceLinked="0"/>
        <c:majorTickMark val="none"/>
        <c:minorTickMark val="none"/>
        <c:tickLblPos val="nextTo"/>
        <c:txPr>
          <a:bodyPr rot="0" vert="horz"/>
          <a:lstStyle/>
          <a:p>
            <a:pPr>
              <a:defRPr sz="600" b="0" i="0" u="none" strike="noStrike" baseline="0">
                <a:solidFill>
                  <a:srgbClr val="000000"/>
                </a:solidFill>
                <a:latin typeface="Calibri"/>
                <a:ea typeface="Calibri"/>
                <a:cs typeface="Calibri"/>
              </a:defRPr>
            </a:pPr>
            <a:endParaRPr lang="en-US"/>
          </a:p>
        </c:txPr>
        <c:crossAx val="392732288"/>
        <c:crosses val="autoZero"/>
        <c:crossBetween val="between"/>
        <c:majorUnit val="5000"/>
        <c:minorUnit val="1000"/>
      </c:valAx>
      <c:spPr>
        <a:ln>
          <a:solidFill>
            <a:schemeClr val="bg1">
              <a:lumMod val="65000"/>
            </a:schemeClr>
          </a:solidFill>
        </a:ln>
      </c:spPr>
    </c:plotArea>
    <c:legend>
      <c:legendPos val="r"/>
      <c:layout>
        <c:manualLayout>
          <c:xMode val="edge"/>
          <c:yMode val="edge"/>
          <c:x val="0.64631339329029369"/>
          <c:y val="0.17848566929133858"/>
          <c:w val="0.23959896008259629"/>
          <c:h val="7.9077795275590557E-2"/>
        </c:manualLayout>
      </c:layout>
      <c:overlay val="0"/>
      <c:txPr>
        <a:bodyPr/>
        <a:lstStyle/>
        <a:p>
          <a:pPr>
            <a:defRPr sz="620" b="0" i="0" u="none" strike="noStrike" baseline="0">
              <a:solidFill>
                <a:srgbClr val="000000"/>
              </a:solidFill>
              <a:latin typeface="Calibri"/>
              <a:ea typeface="Calibri"/>
              <a:cs typeface="Calibri"/>
            </a:defRPr>
          </a:pPr>
          <a:endParaRPr lang="en-US"/>
        </a:p>
      </c:txPr>
    </c:legend>
    <c:plotVisOnly val="1"/>
    <c:dispBlanksAs val="gap"/>
    <c:showDLblsOverMax val="0"/>
  </c:chart>
  <c:spPr>
    <a:ln>
      <a:solidFill>
        <a:schemeClr val="bg1">
          <a:lumMod val="8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Calibri"/>
                <a:ea typeface="Calibri"/>
                <a:cs typeface="Calibri"/>
              </a:defRPr>
            </a:pPr>
            <a:r>
              <a:rPr lang="en-US"/>
              <a:t>Figure 3.2: Population Pyramid  of Maldives, 2006</a:t>
            </a:r>
          </a:p>
        </c:rich>
      </c:tx>
      <c:overlay val="0"/>
    </c:title>
    <c:autoTitleDeleted val="0"/>
    <c:plotArea>
      <c:layout>
        <c:manualLayout>
          <c:layoutTarget val="inner"/>
          <c:xMode val="edge"/>
          <c:yMode val="edge"/>
          <c:x val="0.14375600416714548"/>
          <c:y val="0.14500046317739695"/>
          <c:w val="0.81058766415771644"/>
          <c:h val="0.71515407786462803"/>
        </c:manualLayout>
      </c:layout>
      <c:barChart>
        <c:barDir val="bar"/>
        <c:grouping val="clustered"/>
        <c:varyColors val="0"/>
        <c:ser>
          <c:idx val="0"/>
          <c:order val="0"/>
          <c:tx>
            <c:strRef>
              <c:f>'3.2'!$AH$56</c:f>
              <c:strCache>
                <c:ptCount val="1"/>
                <c:pt idx="0">
                  <c:v>Female</c:v>
                </c:pt>
              </c:strCache>
            </c:strRef>
          </c:tx>
          <c:spPr>
            <a:solidFill>
              <a:srgbClr val="FFDDDD"/>
            </a:solidFill>
            <a:ln>
              <a:solidFill>
                <a:schemeClr val="bg1"/>
              </a:solidFill>
            </a:ln>
          </c:spPr>
          <c:invertIfNegative val="0"/>
          <c:cat>
            <c:strRef>
              <c:f>'3.2'!$AF$57:$AF$72</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'3.2'!$AH$57:$AH$72</c:f>
              <c:numCache>
                <c:formatCode>#,##0</c:formatCode>
                <c:ptCount val="16"/>
                <c:pt idx="0">
                  <c:v>12809</c:v>
                </c:pt>
                <c:pt idx="1">
                  <c:v>14515</c:v>
                </c:pt>
                <c:pt idx="2">
                  <c:v>17888</c:v>
                </c:pt>
                <c:pt idx="3">
                  <c:v>19749</c:v>
                </c:pt>
                <c:pt idx="4">
                  <c:v>17876</c:v>
                </c:pt>
                <c:pt idx="5">
                  <c:v>12666</c:v>
                </c:pt>
                <c:pt idx="6">
                  <c:v>10613</c:v>
                </c:pt>
                <c:pt idx="7">
                  <c:v>9394</c:v>
                </c:pt>
                <c:pt idx="8">
                  <c:v>8043</c:v>
                </c:pt>
                <c:pt idx="9">
                  <c:v>6697</c:v>
                </c:pt>
                <c:pt idx="10">
                  <c:v>3789</c:v>
                </c:pt>
                <c:pt idx="11">
                  <c:v>2813</c:v>
                </c:pt>
                <c:pt idx="12">
                  <c:v>2714</c:v>
                </c:pt>
                <c:pt idx="13">
                  <c:v>2664</c:v>
                </c:pt>
                <c:pt idx="14">
                  <c:v>1853</c:v>
                </c:pt>
                <c:pt idx="15">
                  <c:v>1637</c:v>
                </c:pt>
              </c:numCache>
            </c:numRef>
          </c:val>
          <c:extLst>
            <c:ext xmlns:c16="http://schemas.microsoft.com/office/drawing/2014/chart" uri="{C3380CC4-5D6E-409C-BE32-E72D297353CC}">
              <c16:uniqueId val="{00000001-EFE6-4915-B2C7-EE0CC8C75F93}"/>
            </c:ext>
          </c:extLst>
        </c:ser>
        <c:ser>
          <c:idx val="1"/>
          <c:order val="1"/>
          <c:tx>
            <c:strRef>
              <c:f>'3.2'!$AG$56</c:f>
              <c:strCache>
                <c:ptCount val="1"/>
                <c:pt idx="0">
                  <c:v>Male</c:v>
                </c:pt>
              </c:strCache>
            </c:strRef>
          </c:tx>
          <c:spPr>
            <a:solidFill>
              <a:srgbClr val="C00000"/>
            </a:solidFill>
            <a:ln>
              <a:solidFill>
                <a:schemeClr val="bg1"/>
              </a:solidFill>
            </a:ln>
          </c:spPr>
          <c:invertIfNegative val="0"/>
          <c:cat>
            <c:strRef>
              <c:f>'3.2'!$AF$57:$AF$72</c:f>
              <c:strCache>
                <c:ptCount val="16"/>
                <c:pt idx="0">
                  <c:v>0-4</c:v>
                </c:pt>
                <c:pt idx="1">
                  <c:v>5 - 9</c:v>
                </c:pt>
                <c:pt idx="2">
                  <c:v>10 - 14</c:v>
                </c:pt>
                <c:pt idx="3">
                  <c:v>15 - 19</c:v>
                </c:pt>
                <c:pt idx="4">
                  <c:v>20 - 24</c:v>
                </c:pt>
                <c:pt idx="5">
                  <c:v>25 - 29</c:v>
                </c:pt>
                <c:pt idx="6">
                  <c:v>30 - 34</c:v>
                </c:pt>
                <c:pt idx="7">
                  <c:v>35 - 39</c:v>
                </c:pt>
                <c:pt idx="8">
                  <c:v>40 - 44</c:v>
                </c:pt>
                <c:pt idx="9">
                  <c:v>45 - 49</c:v>
                </c:pt>
                <c:pt idx="10">
                  <c:v>50 - 54</c:v>
                </c:pt>
                <c:pt idx="11">
                  <c:v>55 - 59</c:v>
                </c:pt>
                <c:pt idx="12">
                  <c:v>60 - 64</c:v>
                </c:pt>
                <c:pt idx="13">
                  <c:v>65 - 69</c:v>
                </c:pt>
                <c:pt idx="14">
                  <c:v>70 - 74</c:v>
                </c:pt>
                <c:pt idx="15">
                  <c:v>75+</c:v>
                </c:pt>
              </c:strCache>
            </c:strRef>
          </c:cat>
          <c:val>
            <c:numRef>
              <c:f>'3.2'!$AG$57:$AG$72</c:f>
              <c:numCache>
                <c:formatCode>General_)</c:formatCode>
                <c:ptCount val="16"/>
                <c:pt idx="0">
                  <c:v>-13362</c:v>
                </c:pt>
                <c:pt idx="1">
                  <c:v>-15352</c:v>
                </c:pt>
                <c:pt idx="2">
                  <c:v>-19111</c:v>
                </c:pt>
                <c:pt idx="3">
                  <c:v>-20155</c:v>
                </c:pt>
                <c:pt idx="4">
                  <c:v>-16933</c:v>
                </c:pt>
                <c:pt idx="5">
                  <c:v>-11915</c:v>
                </c:pt>
                <c:pt idx="6">
                  <c:v>-10022</c:v>
                </c:pt>
                <c:pt idx="7">
                  <c:v>-8780</c:v>
                </c:pt>
                <c:pt idx="8">
                  <c:v>-7828</c:v>
                </c:pt>
                <c:pt idx="9">
                  <c:v>-6872</c:v>
                </c:pt>
                <c:pt idx="10">
                  <c:v>-4147</c:v>
                </c:pt>
                <c:pt idx="11">
                  <c:v>-3046</c:v>
                </c:pt>
                <c:pt idx="12">
                  <c:v>-2852</c:v>
                </c:pt>
                <c:pt idx="13">
                  <c:v>-3014</c:v>
                </c:pt>
                <c:pt idx="14">
                  <c:v>-2333</c:v>
                </c:pt>
                <c:pt idx="15">
                  <c:v>-2443</c:v>
                </c:pt>
              </c:numCache>
            </c:numRef>
          </c:val>
          <c:extLst>
            <c:ext xmlns:c16="http://schemas.microsoft.com/office/drawing/2014/chart" uri="{C3380CC4-5D6E-409C-BE32-E72D297353CC}">
              <c16:uniqueId val="{00000000-EFE6-4915-B2C7-EE0CC8C75F93}"/>
            </c:ext>
          </c:extLst>
        </c:ser>
        <c:dLbls>
          <c:showLegendKey val="0"/>
          <c:showVal val="0"/>
          <c:showCatName val="0"/>
          <c:showSerName val="0"/>
          <c:showPercent val="0"/>
          <c:showBubbleSize val="0"/>
        </c:dLbls>
        <c:gapWidth val="0"/>
        <c:overlap val="100"/>
        <c:axId val="496716128"/>
        <c:axId val="496722008"/>
      </c:barChart>
      <c:dateAx>
        <c:axId val="496716128"/>
        <c:scaling>
          <c:orientation val="minMax"/>
        </c:scaling>
        <c:delete val="0"/>
        <c:axPos val="l"/>
        <c:numFmt formatCode="m/d/yyyy" sourceLinked="0"/>
        <c:majorTickMark val="none"/>
        <c:minorTickMark val="none"/>
        <c:tickLblPos val="low"/>
        <c:txPr>
          <a:bodyPr rot="0" vert="horz"/>
          <a:lstStyle/>
          <a:p>
            <a:pPr>
              <a:defRPr sz="600" b="0" i="0" u="none" strike="noStrike" baseline="0">
                <a:solidFill>
                  <a:srgbClr val="000000"/>
                </a:solidFill>
                <a:latin typeface="Calibri"/>
                <a:ea typeface="Calibri"/>
                <a:cs typeface="Calibri"/>
              </a:defRPr>
            </a:pPr>
            <a:endParaRPr lang="en-US"/>
          </a:p>
        </c:txPr>
        <c:crossAx val="496722008"/>
        <c:crosses val="autoZero"/>
        <c:auto val="0"/>
        <c:lblOffset val="100"/>
        <c:baseTimeUnit val="days"/>
      </c:dateAx>
      <c:valAx>
        <c:axId val="496722008"/>
        <c:scaling>
          <c:orientation val="minMax"/>
          <c:max val="25000"/>
          <c:min val="-25000"/>
        </c:scaling>
        <c:delete val="0"/>
        <c:axPos val="b"/>
        <c:majorGridlines>
          <c:spPr>
            <a:ln>
              <a:solidFill>
                <a:schemeClr val="bg1"/>
              </a:solidFill>
            </a:ln>
          </c:spPr>
        </c:majorGridlines>
        <c:numFmt formatCode="#,##0;[Red]#,##0" sourceLinked="0"/>
        <c:majorTickMark val="none"/>
        <c:minorTickMark val="none"/>
        <c:tickLblPos val="nextTo"/>
        <c:txPr>
          <a:bodyPr rot="0" vert="horz"/>
          <a:lstStyle/>
          <a:p>
            <a:pPr>
              <a:defRPr sz="600" b="0" i="0" u="none" strike="noStrike" baseline="0">
                <a:solidFill>
                  <a:srgbClr val="000000"/>
                </a:solidFill>
                <a:latin typeface="Calibri"/>
                <a:ea typeface="Calibri"/>
                <a:cs typeface="Calibri"/>
              </a:defRPr>
            </a:pPr>
            <a:endParaRPr lang="en-US"/>
          </a:p>
        </c:txPr>
        <c:crossAx val="496716128"/>
        <c:crosses val="autoZero"/>
        <c:crossBetween val="between"/>
        <c:majorUnit val="5000"/>
        <c:minorUnit val="1000"/>
      </c:valAx>
      <c:spPr>
        <a:ln>
          <a:solidFill>
            <a:schemeClr val="bg1">
              <a:lumMod val="65000"/>
            </a:schemeClr>
          </a:solidFill>
        </a:ln>
      </c:spPr>
    </c:plotArea>
    <c:legend>
      <c:legendPos val="r"/>
      <c:layout>
        <c:manualLayout>
          <c:xMode val="edge"/>
          <c:yMode val="edge"/>
          <c:x val="0.64631349482269362"/>
          <c:y val="0.1784855128403067"/>
          <c:w val="0.23959884489379157"/>
          <c:h val="7.9077762338531227E-2"/>
        </c:manualLayout>
      </c:layout>
      <c:overlay val="0"/>
      <c:txPr>
        <a:bodyPr/>
        <a:lstStyle/>
        <a:p>
          <a:pPr>
            <a:defRPr sz="620" b="0" i="0" u="none" strike="noStrike" baseline="0">
              <a:solidFill>
                <a:srgbClr val="000000"/>
              </a:solidFill>
              <a:latin typeface="Calibri"/>
              <a:ea typeface="Calibri"/>
              <a:cs typeface="Calibri"/>
            </a:defRPr>
          </a:pPr>
          <a:endParaRPr lang="en-US"/>
        </a:p>
      </c:txPr>
    </c:legend>
    <c:plotVisOnly val="1"/>
    <c:dispBlanksAs val="gap"/>
    <c:showDLblsOverMax val="0"/>
  </c:chart>
  <c:spPr>
    <a:ln>
      <a:solidFill>
        <a:schemeClr val="bg1">
          <a:lumMod val="75000"/>
        </a:scheme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7.1983512946222794E-2"/>
          <c:y val="0.14348275363217391"/>
          <c:w val="0.90244296386028666"/>
          <c:h val="0.61913836214260198"/>
        </c:manualLayout>
      </c:layout>
      <c:barChart>
        <c:barDir val="col"/>
        <c:grouping val="clustered"/>
        <c:varyColors val="0"/>
        <c:ser>
          <c:idx val="0"/>
          <c:order val="0"/>
          <c:tx>
            <c:strRef>
              <c:f>'3.4'!$E$7</c:f>
              <c:strCache>
                <c:ptCount val="1"/>
                <c:pt idx="0">
                  <c:v>2000 </c:v>
                </c:pt>
              </c:strCache>
            </c:strRef>
          </c:tx>
          <c:spPr>
            <a:solidFill>
              <a:srgbClr val="FFDDDD"/>
            </a:solidFill>
          </c:spPr>
          <c:invertIfNegative val="0"/>
          <c:cat>
            <c:strRef>
              <c:f>'3.4'!$A$9:$A$22</c:f>
              <c:strCache>
                <c:ptCount val="14"/>
                <c:pt idx="0">
                  <c:v>Less than 100</c:v>
                </c:pt>
                <c:pt idx="1">
                  <c:v>100 - 199</c:v>
                </c:pt>
                <c:pt idx="2">
                  <c:v>200 - 299</c:v>
                </c:pt>
                <c:pt idx="3">
                  <c:v>300 - 399</c:v>
                </c:pt>
                <c:pt idx="4">
                  <c:v>400 - 499</c:v>
                </c:pt>
                <c:pt idx="5">
                  <c:v>500 - 599</c:v>
                </c:pt>
                <c:pt idx="6">
                  <c:v>600 - 699</c:v>
                </c:pt>
                <c:pt idx="7">
                  <c:v>700 - 799</c:v>
                </c:pt>
                <c:pt idx="8">
                  <c:v>800 - 899</c:v>
                </c:pt>
                <c:pt idx="9">
                  <c:v>900 - 999</c:v>
                </c:pt>
                <c:pt idx="10">
                  <c:v>1,000 - 1,999</c:v>
                </c:pt>
                <c:pt idx="11">
                  <c:v>2,000 - 4,999</c:v>
                </c:pt>
                <c:pt idx="12">
                  <c:v>5,000 - 9,999</c:v>
                </c:pt>
                <c:pt idx="13">
                  <c:v>10,000 +</c:v>
                </c:pt>
              </c:strCache>
            </c:strRef>
          </c:cat>
          <c:val>
            <c:numRef>
              <c:f>'3.4'!$E$9:$E$22</c:f>
              <c:numCache>
                <c:formatCode>General_)</c:formatCode>
                <c:ptCount val="14"/>
                <c:pt idx="0">
                  <c:v>0</c:v>
                </c:pt>
                <c:pt idx="1">
                  <c:v>11</c:v>
                </c:pt>
                <c:pt idx="2">
                  <c:v>15</c:v>
                </c:pt>
                <c:pt idx="3">
                  <c:v>22</c:v>
                </c:pt>
                <c:pt idx="4">
                  <c:v>28</c:v>
                </c:pt>
                <c:pt idx="5">
                  <c:v>19</c:v>
                </c:pt>
                <c:pt idx="6">
                  <c:v>14</c:v>
                </c:pt>
                <c:pt idx="7">
                  <c:v>12</c:v>
                </c:pt>
                <c:pt idx="8">
                  <c:v>13</c:v>
                </c:pt>
                <c:pt idx="9">
                  <c:v>8</c:v>
                </c:pt>
                <c:pt idx="10">
                  <c:v>42</c:v>
                </c:pt>
                <c:pt idx="11">
                  <c:v>12</c:v>
                </c:pt>
                <c:pt idx="12">
                  <c:v>3</c:v>
                </c:pt>
                <c:pt idx="13">
                  <c:v>1</c:v>
                </c:pt>
              </c:numCache>
            </c:numRef>
          </c:val>
          <c:extLst>
            <c:ext xmlns:c16="http://schemas.microsoft.com/office/drawing/2014/chart" uri="{C3380CC4-5D6E-409C-BE32-E72D297353CC}">
              <c16:uniqueId val="{00000000-22CE-4684-9525-9D0C5708F940}"/>
            </c:ext>
          </c:extLst>
        </c:ser>
        <c:ser>
          <c:idx val="1"/>
          <c:order val="1"/>
          <c:tx>
            <c:strRef>
              <c:f>'3.4'!$F$7</c:f>
              <c:strCache>
                <c:ptCount val="1"/>
                <c:pt idx="0">
                  <c:v>2006 </c:v>
                </c:pt>
              </c:strCache>
            </c:strRef>
          </c:tx>
          <c:spPr>
            <a:solidFill>
              <a:srgbClr val="FF8181"/>
            </a:solidFill>
          </c:spPr>
          <c:invertIfNegative val="0"/>
          <c:cat>
            <c:strRef>
              <c:f>'3.4'!$A$9:$A$22</c:f>
              <c:strCache>
                <c:ptCount val="14"/>
                <c:pt idx="0">
                  <c:v>Less than 100</c:v>
                </c:pt>
                <c:pt idx="1">
                  <c:v>100 - 199</c:v>
                </c:pt>
                <c:pt idx="2">
                  <c:v>200 - 299</c:v>
                </c:pt>
                <c:pt idx="3">
                  <c:v>300 - 399</c:v>
                </c:pt>
                <c:pt idx="4">
                  <c:v>400 - 499</c:v>
                </c:pt>
                <c:pt idx="5">
                  <c:v>500 - 599</c:v>
                </c:pt>
                <c:pt idx="6">
                  <c:v>600 - 699</c:v>
                </c:pt>
                <c:pt idx="7">
                  <c:v>700 - 799</c:v>
                </c:pt>
                <c:pt idx="8">
                  <c:v>800 - 899</c:v>
                </c:pt>
                <c:pt idx="9">
                  <c:v>900 - 999</c:v>
                </c:pt>
                <c:pt idx="10">
                  <c:v>1,000 - 1,999</c:v>
                </c:pt>
                <c:pt idx="11">
                  <c:v>2,000 - 4,999</c:v>
                </c:pt>
                <c:pt idx="12">
                  <c:v>5,000 - 9,999</c:v>
                </c:pt>
                <c:pt idx="13">
                  <c:v>10,000 +</c:v>
                </c:pt>
              </c:strCache>
            </c:strRef>
          </c:cat>
          <c:val>
            <c:numRef>
              <c:f>'3.4'!$F$9:$F$22</c:f>
              <c:numCache>
                <c:formatCode>General_)</c:formatCode>
                <c:ptCount val="14"/>
                <c:pt idx="0">
                  <c:v>5</c:v>
                </c:pt>
                <c:pt idx="1">
                  <c:v>11</c:v>
                </c:pt>
                <c:pt idx="2">
                  <c:v>18</c:v>
                </c:pt>
                <c:pt idx="3">
                  <c:v>18</c:v>
                </c:pt>
                <c:pt idx="4">
                  <c:v>20</c:v>
                </c:pt>
                <c:pt idx="5">
                  <c:v>18</c:v>
                </c:pt>
                <c:pt idx="6">
                  <c:v>12</c:v>
                </c:pt>
                <c:pt idx="7">
                  <c:v>11</c:v>
                </c:pt>
                <c:pt idx="8">
                  <c:v>12</c:v>
                </c:pt>
                <c:pt idx="9">
                  <c:v>6</c:v>
                </c:pt>
                <c:pt idx="10">
                  <c:v>47</c:v>
                </c:pt>
                <c:pt idx="11">
                  <c:v>12</c:v>
                </c:pt>
                <c:pt idx="12">
                  <c:v>3</c:v>
                </c:pt>
                <c:pt idx="13">
                  <c:v>1</c:v>
                </c:pt>
              </c:numCache>
            </c:numRef>
          </c:val>
          <c:extLst>
            <c:ext xmlns:c16="http://schemas.microsoft.com/office/drawing/2014/chart" uri="{C3380CC4-5D6E-409C-BE32-E72D297353CC}">
              <c16:uniqueId val="{00000001-22CE-4684-9525-9D0C5708F940}"/>
            </c:ext>
          </c:extLst>
        </c:ser>
        <c:ser>
          <c:idx val="2"/>
          <c:order val="2"/>
          <c:tx>
            <c:strRef>
              <c:f>'3.4'!$G$7</c:f>
              <c:strCache>
                <c:ptCount val="1"/>
                <c:pt idx="0">
                  <c:v>2014 </c:v>
                </c:pt>
              </c:strCache>
            </c:strRef>
          </c:tx>
          <c:spPr>
            <a:solidFill>
              <a:srgbClr val="C00000"/>
            </a:solidFill>
          </c:spPr>
          <c:invertIfNegative val="0"/>
          <c:cat>
            <c:strRef>
              <c:f>'3.4'!$A$9:$A$22</c:f>
              <c:strCache>
                <c:ptCount val="14"/>
                <c:pt idx="0">
                  <c:v>Less than 100</c:v>
                </c:pt>
                <c:pt idx="1">
                  <c:v>100 - 199</c:v>
                </c:pt>
                <c:pt idx="2">
                  <c:v>200 - 299</c:v>
                </c:pt>
                <c:pt idx="3">
                  <c:v>300 - 399</c:v>
                </c:pt>
                <c:pt idx="4">
                  <c:v>400 - 499</c:v>
                </c:pt>
                <c:pt idx="5">
                  <c:v>500 - 599</c:v>
                </c:pt>
                <c:pt idx="6">
                  <c:v>600 - 699</c:v>
                </c:pt>
                <c:pt idx="7">
                  <c:v>700 - 799</c:v>
                </c:pt>
                <c:pt idx="8">
                  <c:v>800 - 899</c:v>
                </c:pt>
                <c:pt idx="9">
                  <c:v>900 - 999</c:v>
                </c:pt>
                <c:pt idx="10">
                  <c:v>1,000 - 1,999</c:v>
                </c:pt>
                <c:pt idx="11">
                  <c:v>2,000 - 4,999</c:v>
                </c:pt>
                <c:pt idx="12">
                  <c:v>5,000 - 9,999</c:v>
                </c:pt>
                <c:pt idx="13">
                  <c:v>10,000 +</c:v>
                </c:pt>
              </c:strCache>
            </c:strRef>
          </c:cat>
          <c:val>
            <c:numRef>
              <c:f>'3.4'!$G$9:$G$22</c:f>
              <c:numCache>
                <c:formatCode>General</c:formatCode>
                <c:ptCount val="14"/>
                <c:pt idx="0">
                  <c:v>0</c:v>
                </c:pt>
                <c:pt idx="1">
                  <c:v>7</c:v>
                </c:pt>
                <c:pt idx="2">
                  <c:v>9</c:v>
                </c:pt>
                <c:pt idx="3">
                  <c:v>11</c:v>
                </c:pt>
                <c:pt idx="4">
                  <c:v>24</c:v>
                </c:pt>
                <c:pt idx="5">
                  <c:v>17</c:v>
                </c:pt>
                <c:pt idx="6">
                  <c:v>14</c:v>
                </c:pt>
                <c:pt idx="7">
                  <c:v>14</c:v>
                </c:pt>
                <c:pt idx="8">
                  <c:v>14</c:v>
                </c:pt>
                <c:pt idx="9">
                  <c:v>6</c:v>
                </c:pt>
                <c:pt idx="10" formatCode="General_)">
                  <c:v>51</c:v>
                </c:pt>
                <c:pt idx="11" formatCode="General_)">
                  <c:v>16</c:v>
                </c:pt>
                <c:pt idx="12" formatCode="General_)">
                  <c:v>3</c:v>
                </c:pt>
                <c:pt idx="13" formatCode="General_)">
                  <c:v>2</c:v>
                </c:pt>
              </c:numCache>
            </c:numRef>
          </c:val>
          <c:extLst>
            <c:ext xmlns:c16="http://schemas.microsoft.com/office/drawing/2014/chart" uri="{C3380CC4-5D6E-409C-BE32-E72D297353CC}">
              <c16:uniqueId val="{00000002-22CE-4684-9525-9D0C5708F940}"/>
            </c:ext>
          </c:extLst>
        </c:ser>
        <c:dLbls>
          <c:showLegendKey val="0"/>
          <c:showVal val="0"/>
          <c:showCatName val="0"/>
          <c:showSerName val="0"/>
          <c:showPercent val="0"/>
          <c:showBubbleSize val="0"/>
        </c:dLbls>
        <c:gapWidth val="79"/>
        <c:axId val="496722400"/>
        <c:axId val="496722792"/>
      </c:barChart>
      <c:dateAx>
        <c:axId val="496722400"/>
        <c:scaling>
          <c:orientation val="minMax"/>
        </c:scaling>
        <c:delete val="0"/>
        <c:axPos val="b"/>
        <c:numFmt formatCode="#,##0" sourceLinked="0"/>
        <c:majorTickMark val="none"/>
        <c:minorTickMark val="cross"/>
        <c:tickLblPos val="low"/>
        <c:txPr>
          <a:bodyPr rot="-5400000" vert="horz"/>
          <a:lstStyle/>
          <a:p>
            <a:pPr>
              <a:defRPr sz="1000" b="0" i="0" u="none" strike="noStrike" baseline="0">
                <a:solidFill>
                  <a:srgbClr val="000000"/>
                </a:solidFill>
                <a:latin typeface="Calibri"/>
                <a:ea typeface="Calibri"/>
                <a:cs typeface="Calibri"/>
              </a:defRPr>
            </a:pPr>
            <a:endParaRPr lang="en-US"/>
          </a:p>
        </c:txPr>
        <c:crossAx val="496722792"/>
        <c:crosses val="autoZero"/>
        <c:auto val="0"/>
        <c:lblOffset val="0"/>
        <c:baseTimeUnit val="days"/>
      </c:dateAx>
      <c:valAx>
        <c:axId val="496722792"/>
        <c:scaling>
          <c:orientation val="minMax"/>
          <c:max val="60"/>
        </c:scaling>
        <c:delete val="0"/>
        <c:axPos val="l"/>
        <c:majorGridlines>
          <c:spPr>
            <a:ln>
              <a:solidFill>
                <a:schemeClr val="bg1"/>
              </a:solidFill>
            </a:ln>
          </c:spPr>
        </c:majorGridlines>
        <c:numFmt formatCode="General_)"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6722400"/>
        <c:crossesAt val="1"/>
        <c:crossBetween val="between"/>
      </c:valAx>
      <c:spPr>
        <a:ln>
          <a:solidFill>
            <a:schemeClr val="bg1">
              <a:lumMod val="65000"/>
            </a:schemeClr>
          </a:solidFill>
        </a:ln>
      </c:spPr>
    </c:plotArea>
    <c:legend>
      <c:legendPos val="r"/>
      <c:layout>
        <c:manualLayout>
          <c:xMode val="edge"/>
          <c:yMode val="edge"/>
          <c:x val="0.45405452765428994"/>
          <c:y val="0.23685784839025301"/>
          <c:w val="0.1955307255319908"/>
          <c:h val="8.0610663312056408E-2"/>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78" l="0.70000000000000062" r="0.70000000000000062" t="0.75000000000000078" header="0.30000000000000032" footer="0.30000000000000032"/>
    <c:pageSetup orientation="landscape" horizontalDpi="1200" verticalDpi="1200"/>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5.5285008163788445E-2"/>
          <c:y val="0.15000320404136419"/>
          <c:w val="0.92353034017583602"/>
          <c:h val="0.72475716036494031"/>
        </c:manualLayout>
      </c:layout>
      <c:barChart>
        <c:barDir val="col"/>
        <c:grouping val="clustered"/>
        <c:varyColors val="0"/>
        <c:ser>
          <c:idx val="0"/>
          <c:order val="0"/>
          <c:spPr>
            <a:solidFill>
              <a:srgbClr val="C00000"/>
            </a:solidFill>
          </c:spPr>
          <c:invertIfNegative val="0"/>
          <c:cat>
            <c:strRef>
              <c:f>'3.5'!$AC$34:$AC$54</c:f>
              <c:strCache>
                <c:ptCount val="21"/>
                <c:pt idx="0">
                  <c:v>Male'</c:v>
                </c:pt>
                <c:pt idx="1">
                  <c:v> HA</c:v>
                </c:pt>
                <c:pt idx="2">
                  <c:v> HDh</c:v>
                </c:pt>
                <c:pt idx="3">
                  <c:v> Sh</c:v>
                </c:pt>
                <c:pt idx="4">
                  <c:v> N</c:v>
                </c:pt>
                <c:pt idx="5">
                  <c:v> R</c:v>
                </c:pt>
                <c:pt idx="6">
                  <c:v>B</c:v>
                </c:pt>
                <c:pt idx="7">
                  <c:v>Lh</c:v>
                </c:pt>
                <c:pt idx="8">
                  <c:v>K</c:v>
                </c:pt>
                <c:pt idx="9">
                  <c:v> AA</c:v>
                </c:pt>
                <c:pt idx="10">
                  <c:v>ADh</c:v>
                </c:pt>
                <c:pt idx="11">
                  <c:v>V</c:v>
                </c:pt>
                <c:pt idx="12">
                  <c:v>M</c:v>
                </c:pt>
                <c:pt idx="13">
                  <c:v>F</c:v>
                </c:pt>
                <c:pt idx="14">
                  <c:v>Dh</c:v>
                </c:pt>
                <c:pt idx="15">
                  <c:v>Th</c:v>
                </c:pt>
                <c:pt idx="16">
                  <c:v> L</c:v>
                </c:pt>
                <c:pt idx="17">
                  <c:v>GA</c:v>
                </c:pt>
                <c:pt idx="18">
                  <c:v>GDh</c:v>
                </c:pt>
                <c:pt idx="19">
                  <c:v>Gn</c:v>
                </c:pt>
                <c:pt idx="20">
                  <c:v>S</c:v>
                </c:pt>
              </c:strCache>
            </c:strRef>
          </c:cat>
          <c:val>
            <c:numRef>
              <c:f>'3.5'!$AD$34:$AD$54</c:f>
              <c:numCache>
                <c:formatCode>0.00</c:formatCode>
                <c:ptCount val="21"/>
                <c:pt idx="0">
                  <c:v>98.939638669538169</c:v>
                </c:pt>
                <c:pt idx="1">
                  <c:v>83.38739246932731</c:v>
                </c:pt>
                <c:pt idx="2">
                  <c:v>84.153113843712816</c:v>
                </c:pt>
                <c:pt idx="3">
                  <c:v>83.464447806354016</c:v>
                </c:pt>
                <c:pt idx="4">
                  <c:v>84.191240621183042</c:v>
                </c:pt>
                <c:pt idx="5">
                  <c:v>91.094049904030712</c:v>
                </c:pt>
                <c:pt idx="6">
                  <c:v>93.219237435008665</c:v>
                </c:pt>
                <c:pt idx="7">
                  <c:v>86.386946386946377</c:v>
                </c:pt>
                <c:pt idx="8">
                  <c:v>125.68265682656828</c:v>
                </c:pt>
                <c:pt idx="9">
                  <c:v>102.84636488340193</c:v>
                </c:pt>
                <c:pt idx="10">
                  <c:v>98.375757575757575</c:v>
                </c:pt>
                <c:pt idx="11">
                  <c:v>119.78319783197833</c:v>
                </c:pt>
                <c:pt idx="12">
                  <c:v>95.072463768115938</c:v>
                </c:pt>
                <c:pt idx="13">
                  <c:v>91.666666666666657</c:v>
                </c:pt>
                <c:pt idx="14">
                  <c:v>95.48789435069699</c:v>
                </c:pt>
                <c:pt idx="15">
                  <c:v>97.106251380605258</c:v>
                </c:pt>
                <c:pt idx="16">
                  <c:v>98.774550948463997</c:v>
                </c:pt>
                <c:pt idx="17">
                  <c:v>108.12668794500368</c:v>
                </c:pt>
                <c:pt idx="18">
                  <c:v>102.23880597014924</c:v>
                </c:pt>
                <c:pt idx="19">
                  <c:v>83.061962912709191</c:v>
                </c:pt>
                <c:pt idx="20">
                  <c:v>90.883711975356192</c:v>
                </c:pt>
              </c:numCache>
            </c:numRef>
          </c:val>
          <c:extLst>
            <c:ext xmlns:c16="http://schemas.microsoft.com/office/drawing/2014/chart" uri="{C3380CC4-5D6E-409C-BE32-E72D297353CC}">
              <c16:uniqueId val="{00000000-02CC-4B82-A8BC-468BE40751AB}"/>
            </c:ext>
          </c:extLst>
        </c:ser>
        <c:dLbls>
          <c:showLegendKey val="0"/>
          <c:showVal val="0"/>
          <c:showCatName val="0"/>
          <c:showSerName val="0"/>
          <c:showPercent val="0"/>
          <c:showBubbleSize val="0"/>
        </c:dLbls>
        <c:gapWidth val="62"/>
        <c:axId val="496720440"/>
        <c:axId val="496723576"/>
      </c:barChart>
      <c:catAx>
        <c:axId val="496720440"/>
        <c:scaling>
          <c:orientation val="minMax"/>
        </c:scaling>
        <c:delete val="0"/>
        <c:axPos val="b"/>
        <c:numFmt formatCode="General"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96723576"/>
        <c:crosses val="autoZero"/>
        <c:auto val="1"/>
        <c:lblAlgn val="ctr"/>
        <c:lblOffset val="100"/>
        <c:noMultiLvlLbl val="0"/>
      </c:catAx>
      <c:valAx>
        <c:axId val="496723576"/>
        <c:scaling>
          <c:orientation val="minMax"/>
          <c:max val="130"/>
          <c:min val="0"/>
        </c:scaling>
        <c:delete val="0"/>
        <c:axPos val="l"/>
        <c:numFmt formatCode="0"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6720440"/>
        <c:crosses val="autoZero"/>
        <c:crossBetween val="between"/>
      </c:valAx>
      <c:spPr>
        <a:solidFill>
          <a:srgbClr val="FFDDDD"/>
        </a:solidFill>
        <a:ln>
          <a:solidFill>
            <a:schemeClr val="bg1">
              <a:lumMod val="65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orientation="landscape" horizontalDpi="1200" verticalDpi="1200"/>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MY" sz="1200" b="1"/>
              <a:t>Improved life expectancy at birth for Maldives, 1990 - 2015</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0647917931861013E-2"/>
          <c:y val="0.12818793425216671"/>
          <c:w val="0.9261085391267454"/>
          <c:h val="0.77000651764167061"/>
        </c:manualLayout>
      </c:layout>
      <c:lineChart>
        <c:grouping val="standard"/>
        <c:varyColors val="0"/>
        <c:ser>
          <c:idx val="0"/>
          <c:order val="0"/>
          <c:tx>
            <c:strRef>
              <c:f>'3.6'!$C$38</c:f>
              <c:strCache>
                <c:ptCount val="1"/>
                <c:pt idx="0">
                  <c:v>Both Sexes</c:v>
                </c:pt>
              </c:strCache>
            </c:strRef>
          </c:tx>
          <c:spPr>
            <a:ln w="28575" cap="rnd">
              <a:solidFill>
                <a:schemeClr val="bg1">
                  <a:lumMod val="85000"/>
                </a:schemeClr>
              </a:solidFill>
              <a:round/>
            </a:ln>
            <a:effectLst/>
          </c:spPr>
          <c:marker>
            <c:symbol val="none"/>
          </c:marker>
          <c:cat>
            <c:numRef>
              <c:f>'3.6'!$B$39:$B$64</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'3.6'!$C$39:$C$64</c:f>
              <c:numCache>
                <c:formatCode>0.00</c:formatCode>
                <c:ptCount val="26"/>
                <c:pt idx="0">
                  <c:v>64.037778986280458</c:v>
                </c:pt>
                <c:pt idx="1">
                  <c:v>64.898800000000165</c:v>
                </c:pt>
                <c:pt idx="2">
                  <c:v>65.66560000000004</c:v>
                </c:pt>
                <c:pt idx="3">
                  <c:v>66.432400000000143</c:v>
                </c:pt>
                <c:pt idx="4">
                  <c:v>67.199200000000019</c:v>
                </c:pt>
                <c:pt idx="5">
                  <c:v>67.483521002359169</c:v>
                </c:pt>
                <c:pt idx="6">
                  <c:v>68.732800000000225</c:v>
                </c:pt>
                <c:pt idx="7">
                  <c:v>69.4996000000001</c:v>
                </c:pt>
                <c:pt idx="8">
                  <c:v>70.266400000000203</c:v>
                </c:pt>
                <c:pt idx="9">
                  <c:v>71.033200000000079</c:v>
                </c:pt>
                <c:pt idx="10">
                  <c:v>72.107336768424574</c:v>
                </c:pt>
                <c:pt idx="11">
                  <c:v>72.566800000000057</c:v>
                </c:pt>
                <c:pt idx="12">
                  <c:v>73.33360000000016</c:v>
                </c:pt>
                <c:pt idx="13">
                  <c:v>74.100400000000036</c:v>
                </c:pt>
                <c:pt idx="14">
                  <c:v>74.867200000000139</c:v>
                </c:pt>
                <c:pt idx="15">
                  <c:v>75.634000000000015</c:v>
                </c:pt>
                <c:pt idx="16">
                  <c:v>76.510000000000005</c:v>
                </c:pt>
                <c:pt idx="17">
                  <c:v>77.16760000000022</c:v>
                </c:pt>
                <c:pt idx="18">
                  <c:v>77.934400000000096</c:v>
                </c:pt>
                <c:pt idx="19">
                  <c:v>78.701200000000199</c:v>
                </c:pt>
                <c:pt idx="20">
                  <c:v>79.468000000000075</c:v>
                </c:pt>
                <c:pt idx="21">
                  <c:v>80.234800000000178</c:v>
                </c:pt>
                <c:pt idx="22">
                  <c:v>81.001600000000053</c:v>
                </c:pt>
                <c:pt idx="23">
                  <c:v>81.768400000000199</c:v>
                </c:pt>
                <c:pt idx="24">
                  <c:v>81.98</c:v>
                </c:pt>
                <c:pt idx="25">
                  <c:v>83.302000000000135</c:v>
                </c:pt>
              </c:numCache>
            </c:numRef>
          </c:val>
          <c:smooth val="0"/>
          <c:extLst>
            <c:ext xmlns:c16="http://schemas.microsoft.com/office/drawing/2014/chart" uri="{C3380CC4-5D6E-409C-BE32-E72D297353CC}">
              <c16:uniqueId val="{00000000-F545-44C4-90BF-5383D774F11A}"/>
            </c:ext>
          </c:extLst>
        </c:ser>
        <c:ser>
          <c:idx val="1"/>
          <c:order val="1"/>
          <c:tx>
            <c:strRef>
              <c:f>'3.6'!$D$38</c:f>
              <c:strCache>
                <c:ptCount val="1"/>
                <c:pt idx="0">
                  <c:v>Female</c:v>
                </c:pt>
              </c:strCache>
            </c:strRef>
          </c:tx>
          <c:spPr>
            <a:ln w="28575" cap="rnd">
              <a:solidFill>
                <a:srgbClr val="FFAFAF"/>
              </a:solidFill>
              <a:round/>
            </a:ln>
            <a:effectLst/>
          </c:spPr>
          <c:marker>
            <c:symbol val="none"/>
          </c:marker>
          <c:cat>
            <c:numRef>
              <c:f>'3.6'!$B$39:$B$64</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'3.6'!$D$39:$D$64</c:f>
              <c:numCache>
                <c:formatCode>0.00</c:formatCode>
                <c:ptCount val="26"/>
                <c:pt idx="0">
                  <c:v>62.776510108439673</c:v>
                </c:pt>
                <c:pt idx="1">
                  <c:v>63.955500000000029</c:v>
                </c:pt>
                <c:pt idx="2">
                  <c:v>64.91599999999994</c:v>
                </c:pt>
                <c:pt idx="3">
                  <c:v>65.876499999999851</c:v>
                </c:pt>
                <c:pt idx="4">
                  <c:v>66.836999999999989</c:v>
                </c:pt>
                <c:pt idx="5">
                  <c:v>67.680362908687925</c:v>
                </c:pt>
                <c:pt idx="6">
                  <c:v>68.758000000000038</c:v>
                </c:pt>
                <c:pt idx="7">
                  <c:v>69.718499999999949</c:v>
                </c:pt>
                <c:pt idx="8">
                  <c:v>70.67899999999986</c:v>
                </c:pt>
                <c:pt idx="9">
                  <c:v>71.639499999999998</c:v>
                </c:pt>
                <c:pt idx="10">
                  <c:v>72.928315665784339</c:v>
                </c:pt>
                <c:pt idx="11">
                  <c:v>73.560500000000047</c:v>
                </c:pt>
                <c:pt idx="12">
                  <c:v>74.520999999999958</c:v>
                </c:pt>
                <c:pt idx="13">
                  <c:v>75.481499999999869</c:v>
                </c:pt>
                <c:pt idx="14">
                  <c:v>76.442000000000007</c:v>
                </c:pt>
                <c:pt idx="15">
                  <c:v>77.402499999999918</c:v>
                </c:pt>
                <c:pt idx="16">
                  <c:v>78.5</c:v>
                </c:pt>
                <c:pt idx="17">
                  <c:v>79.323499999999967</c:v>
                </c:pt>
                <c:pt idx="18">
                  <c:v>80.283999999999878</c:v>
                </c:pt>
                <c:pt idx="19">
                  <c:v>81.244500000000016</c:v>
                </c:pt>
                <c:pt idx="20">
                  <c:v>82.204999999999899</c:v>
                </c:pt>
                <c:pt idx="21">
                  <c:v>83.165499999999838</c:v>
                </c:pt>
                <c:pt idx="22">
                  <c:v>84.125999999999976</c:v>
                </c:pt>
                <c:pt idx="23">
                  <c:v>85.086499999999901</c:v>
                </c:pt>
                <c:pt idx="24">
                  <c:v>85.679731568273951</c:v>
                </c:pt>
                <c:pt idx="25">
                  <c:v>87.007499999999936</c:v>
                </c:pt>
              </c:numCache>
            </c:numRef>
          </c:val>
          <c:smooth val="0"/>
          <c:extLst>
            <c:ext xmlns:c16="http://schemas.microsoft.com/office/drawing/2014/chart" uri="{C3380CC4-5D6E-409C-BE32-E72D297353CC}">
              <c16:uniqueId val="{00000001-F545-44C4-90BF-5383D774F11A}"/>
            </c:ext>
          </c:extLst>
        </c:ser>
        <c:ser>
          <c:idx val="2"/>
          <c:order val="2"/>
          <c:tx>
            <c:strRef>
              <c:f>'3.6'!$E$38</c:f>
              <c:strCache>
                <c:ptCount val="1"/>
                <c:pt idx="0">
                  <c:v>Male</c:v>
                </c:pt>
              </c:strCache>
            </c:strRef>
          </c:tx>
          <c:spPr>
            <a:ln w="28575" cap="rnd">
              <a:solidFill>
                <a:srgbClr val="C00000"/>
              </a:solidFill>
              <a:round/>
            </a:ln>
            <a:effectLst/>
          </c:spPr>
          <c:marker>
            <c:symbol val="none"/>
          </c:marker>
          <c:cat>
            <c:numRef>
              <c:f>'3.6'!$B$39:$B$64</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'3.6'!$E$39:$E$64</c:f>
              <c:numCache>
                <c:formatCode>0.00</c:formatCode>
                <c:ptCount val="26"/>
                <c:pt idx="0">
                  <c:v>65.235601559425405</c:v>
                </c:pt>
                <c:pt idx="1">
                  <c:v>65.636899999999969</c:v>
                </c:pt>
                <c:pt idx="2">
                  <c:v>66.232799999999997</c:v>
                </c:pt>
                <c:pt idx="3">
                  <c:v>66.828700000000026</c:v>
                </c:pt>
                <c:pt idx="4">
                  <c:v>67.424600000000055</c:v>
                </c:pt>
                <c:pt idx="5">
                  <c:v>67.267421167569296</c:v>
                </c:pt>
                <c:pt idx="6">
                  <c:v>68.616400000000112</c:v>
                </c:pt>
                <c:pt idx="7">
                  <c:v>69.212299999999914</c:v>
                </c:pt>
                <c:pt idx="8">
                  <c:v>69.808199999999943</c:v>
                </c:pt>
                <c:pt idx="9">
                  <c:v>70.404099999999971</c:v>
                </c:pt>
                <c:pt idx="10">
                  <c:v>71.503129893745538</c:v>
                </c:pt>
                <c:pt idx="11">
                  <c:v>71.595900000000029</c:v>
                </c:pt>
                <c:pt idx="12">
                  <c:v>72.191800000000057</c:v>
                </c:pt>
                <c:pt idx="13">
                  <c:v>72.787700000000086</c:v>
                </c:pt>
                <c:pt idx="14">
                  <c:v>73.383600000000115</c:v>
                </c:pt>
                <c:pt idx="15">
                  <c:v>73.979499999999916</c:v>
                </c:pt>
                <c:pt idx="16">
                  <c:v>74.87</c:v>
                </c:pt>
                <c:pt idx="17">
                  <c:v>75.171299999999974</c:v>
                </c:pt>
                <c:pt idx="18">
                  <c:v>75.767200000000003</c:v>
                </c:pt>
                <c:pt idx="19">
                  <c:v>76.363100000000031</c:v>
                </c:pt>
                <c:pt idx="20">
                  <c:v>76.959000000000103</c:v>
                </c:pt>
                <c:pt idx="21">
                  <c:v>77.554900000000089</c:v>
                </c:pt>
                <c:pt idx="22">
                  <c:v>78.150800000000118</c:v>
                </c:pt>
                <c:pt idx="23">
                  <c:v>78.746699999999919</c:v>
                </c:pt>
                <c:pt idx="24">
                  <c:v>78.97</c:v>
                </c:pt>
                <c:pt idx="25">
                  <c:v>79.938499999999976</c:v>
                </c:pt>
              </c:numCache>
            </c:numRef>
          </c:val>
          <c:smooth val="0"/>
          <c:extLst>
            <c:ext xmlns:c16="http://schemas.microsoft.com/office/drawing/2014/chart" uri="{C3380CC4-5D6E-409C-BE32-E72D297353CC}">
              <c16:uniqueId val="{00000002-F545-44C4-90BF-5383D774F11A}"/>
            </c:ext>
          </c:extLst>
        </c:ser>
        <c:dLbls>
          <c:showLegendKey val="0"/>
          <c:showVal val="0"/>
          <c:showCatName val="0"/>
          <c:showSerName val="0"/>
          <c:showPercent val="0"/>
          <c:showBubbleSize val="0"/>
        </c:dLbls>
        <c:smooth val="0"/>
        <c:axId val="496716520"/>
        <c:axId val="496716912"/>
      </c:lineChart>
      <c:catAx>
        <c:axId val="496716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16912"/>
        <c:crosses val="autoZero"/>
        <c:auto val="1"/>
        <c:lblAlgn val="ctr"/>
        <c:lblOffset val="100"/>
        <c:noMultiLvlLbl val="0"/>
      </c:catAx>
      <c:valAx>
        <c:axId val="496716912"/>
        <c:scaling>
          <c:orientation val="minMax"/>
          <c:min val="50"/>
        </c:scaling>
        <c:delete val="0"/>
        <c:axPos val="l"/>
        <c:majorGridlines>
          <c:spPr>
            <a:ln w="3175" cap="flat" cmpd="sng" algn="ctr">
              <a:solidFill>
                <a:srgbClr val="FF8181"/>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16520"/>
        <c:crosses val="autoZero"/>
        <c:crossBetween val="between"/>
      </c:valAx>
      <c:spPr>
        <a:solidFill>
          <a:srgbClr val="FFF7F7"/>
        </a:solidFill>
        <a:ln w="3175">
          <a:solidFill>
            <a:srgbClr val="FF8181"/>
          </a:solidFill>
        </a:ln>
        <a:effectLst/>
      </c:spPr>
    </c:plotArea>
    <c:legend>
      <c:legendPos val="b"/>
      <c:layout>
        <c:manualLayout>
          <c:xMode val="edge"/>
          <c:yMode val="edge"/>
          <c:x val="0.53642895460106876"/>
          <c:y val="0.72315383395867461"/>
          <c:w val="0.30810019291000357"/>
          <c:h val="7.5503884162130747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900" b="1" i="0" u="none" strike="noStrike" baseline="0">
                <a:solidFill>
                  <a:srgbClr val="000000"/>
                </a:solidFill>
                <a:latin typeface="Consolas"/>
                <a:ea typeface="Consolas"/>
                <a:cs typeface="Consolas"/>
              </a:defRPr>
            </a:pPr>
            <a:r>
              <a:rPr lang="en-US" sz="900"/>
              <a:t>Figure 3.10: Monthly records of Births, 201</a:t>
            </a:r>
            <a:r>
              <a:rPr lang="dv-MV" sz="900"/>
              <a:t>9</a:t>
            </a:r>
            <a:r>
              <a:rPr lang="en-US" sz="900" baseline="0"/>
              <a:t> - 202</a:t>
            </a:r>
            <a:r>
              <a:rPr lang="dv-MV" sz="900" baseline="0"/>
              <a:t>1</a:t>
            </a:r>
            <a:endParaRPr lang="en-US" sz="900"/>
          </a:p>
        </c:rich>
      </c:tx>
      <c:layout>
        <c:manualLayout>
          <c:xMode val="edge"/>
          <c:yMode val="edge"/>
          <c:x val="0.16206539724795158"/>
          <c:y val="6.1760253396707702E-2"/>
        </c:manualLayout>
      </c:layout>
      <c:overlay val="0"/>
    </c:title>
    <c:autoTitleDeleted val="0"/>
    <c:plotArea>
      <c:layout>
        <c:manualLayout>
          <c:layoutTarget val="inner"/>
          <c:xMode val="edge"/>
          <c:yMode val="edge"/>
          <c:x val="8.8522054928033847E-2"/>
          <c:y val="0.16301834440955423"/>
          <c:w val="0.89385276763362975"/>
          <c:h val="0.72863807014697624"/>
        </c:manualLayout>
      </c:layout>
      <c:barChart>
        <c:barDir val="col"/>
        <c:grouping val="clustered"/>
        <c:varyColors val="0"/>
        <c:ser>
          <c:idx val="1"/>
          <c:order val="0"/>
          <c:tx>
            <c:strRef>
              <c:f>'3.7'!$CL$33</c:f>
              <c:strCache>
                <c:ptCount val="1"/>
                <c:pt idx="0">
                  <c:v>2019 </c:v>
                </c:pt>
              </c:strCache>
            </c:strRef>
          </c:tx>
          <c:spPr>
            <a:solidFill>
              <a:srgbClr val="FFAFAF"/>
            </a:solidFill>
          </c:spPr>
          <c:invertIfNegative val="0"/>
          <c:cat>
            <c:strRef>
              <c:f>'3.7'!$CG$34:$CG$45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'3.7'!$CL$34:$CL$45</c:f>
              <c:numCache>
                <c:formatCode>#,##0</c:formatCode>
                <c:ptCount val="12"/>
                <c:pt idx="0">
                  <c:v>526</c:v>
                </c:pt>
                <c:pt idx="1">
                  <c:v>449</c:v>
                </c:pt>
                <c:pt idx="2">
                  <c:v>539</c:v>
                </c:pt>
                <c:pt idx="3">
                  <c:v>477</c:v>
                </c:pt>
                <c:pt idx="4">
                  <c:v>604</c:v>
                </c:pt>
                <c:pt idx="5">
                  <c:v>499</c:v>
                </c:pt>
                <c:pt idx="6">
                  <c:v>491</c:v>
                </c:pt>
                <c:pt idx="7">
                  <c:v>511</c:v>
                </c:pt>
                <c:pt idx="8">
                  <c:v>513</c:v>
                </c:pt>
                <c:pt idx="9">
                  <c:v>525</c:v>
                </c:pt>
                <c:pt idx="10">
                  <c:v>474</c:v>
                </c:pt>
                <c:pt idx="11">
                  <c:v>519</c:v>
                </c:pt>
              </c:numCache>
            </c:numRef>
          </c:val>
          <c:extLst>
            <c:ext xmlns:c16="http://schemas.microsoft.com/office/drawing/2014/chart" uri="{C3380CC4-5D6E-409C-BE32-E72D297353CC}">
              <c16:uniqueId val="{00000000-5969-4AD9-A03A-8EB1BCB781E9}"/>
            </c:ext>
          </c:extLst>
        </c:ser>
        <c:ser>
          <c:idx val="2"/>
          <c:order val="1"/>
          <c:tx>
            <c:strRef>
              <c:f>'3.7'!$CM$33</c:f>
              <c:strCache>
                <c:ptCount val="1"/>
                <c:pt idx="0">
                  <c:v>2020 </c:v>
                </c:pt>
              </c:strCache>
            </c:strRef>
          </c:tx>
          <c:spPr>
            <a:solidFill>
              <a:srgbClr val="FFDDDD"/>
            </a:solidFill>
          </c:spPr>
          <c:invertIfNegative val="0"/>
          <c:cat>
            <c:strRef>
              <c:f>'3.7'!$CG$34:$CG$45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'3.7'!$CM$34:$CM$45</c:f>
              <c:numCache>
                <c:formatCode>#,##0</c:formatCode>
                <c:ptCount val="12"/>
                <c:pt idx="0">
                  <c:v>540</c:v>
                </c:pt>
                <c:pt idx="1">
                  <c:v>548</c:v>
                </c:pt>
                <c:pt idx="2">
                  <c:v>485</c:v>
                </c:pt>
                <c:pt idx="3">
                  <c:v>541</c:v>
                </c:pt>
                <c:pt idx="4">
                  <c:v>492</c:v>
                </c:pt>
                <c:pt idx="5">
                  <c:v>462</c:v>
                </c:pt>
                <c:pt idx="6">
                  <c:v>522</c:v>
                </c:pt>
                <c:pt idx="7">
                  <c:v>508</c:v>
                </c:pt>
                <c:pt idx="8">
                  <c:v>573</c:v>
                </c:pt>
                <c:pt idx="9">
                  <c:v>514</c:v>
                </c:pt>
                <c:pt idx="10">
                  <c:v>540</c:v>
                </c:pt>
                <c:pt idx="11">
                  <c:v>568</c:v>
                </c:pt>
              </c:numCache>
            </c:numRef>
          </c:val>
          <c:extLst>
            <c:ext xmlns:c16="http://schemas.microsoft.com/office/drawing/2014/chart" uri="{C3380CC4-5D6E-409C-BE32-E72D297353CC}">
              <c16:uniqueId val="{00000002-5969-4AD9-A03A-8EB1BCB781E9}"/>
            </c:ext>
          </c:extLst>
        </c:ser>
        <c:ser>
          <c:idx val="0"/>
          <c:order val="2"/>
          <c:tx>
            <c:strRef>
              <c:f>'3.7'!$CN$33</c:f>
              <c:strCache>
                <c:ptCount val="1"/>
                <c:pt idx="0">
                  <c:v>2021 </c:v>
                </c:pt>
              </c:strCache>
            </c:strRef>
          </c:tx>
          <c:spPr>
            <a:solidFill>
              <a:srgbClr val="C00000"/>
            </a:solidFill>
          </c:spPr>
          <c:invertIfNegative val="0"/>
          <c:cat>
            <c:strRef>
              <c:f>'3.7'!$CG$34:$CG$45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'3.7'!$CN$34:$CN$45</c:f>
              <c:numCache>
                <c:formatCode>#,##0</c:formatCode>
                <c:ptCount val="12"/>
                <c:pt idx="0">
                  <c:v>444</c:v>
                </c:pt>
                <c:pt idx="1">
                  <c:v>423</c:v>
                </c:pt>
                <c:pt idx="2">
                  <c:v>545</c:v>
                </c:pt>
                <c:pt idx="3">
                  <c:v>534</c:v>
                </c:pt>
                <c:pt idx="4">
                  <c:v>516</c:v>
                </c:pt>
                <c:pt idx="5">
                  <c:v>482</c:v>
                </c:pt>
                <c:pt idx="6">
                  <c:v>507</c:v>
                </c:pt>
                <c:pt idx="7">
                  <c:v>543</c:v>
                </c:pt>
                <c:pt idx="8">
                  <c:v>502</c:v>
                </c:pt>
                <c:pt idx="9">
                  <c:v>524</c:v>
                </c:pt>
                <c:pt idx="10">
                  <c:v>448</c:v>
                </c:pt>
                <c:pt idx="11">
                  <c:v>446</c:v>
                </c:pt>
              </c:numCache>
            </c:numRef>
          </c:val>
          <c:extLst>
            <c:ext xmlns:c16="http://schemas.microsoft.com/office/drawing/2014/chart" uri="{C3380CC4-5D6E-409C-BE32-E72D297353CC}">
              <c16:uniqueId val="{00000000-256F-47A9-88F1-372C9EC845FC}"/>
            </c:ext>
          </c:extLst>
        </c:ser>
        <c:dLbls>
          <c:showLegendKey val="0"/>
          <c:showVal val="0"/>
          <c:showCatName val="0"/>
          <c:showSerName val="0"/>
          <c:showPercent val="0"/>
          <c:showBubbleSize val="0"/>
        </c:dLbls>
        <c:gapWidth val="52"/>
        <c:axId val="496720048"/>
        <c:axId val="496718480"/>
      </c:barChart>
      <c:catAx>
        <c:axId val="496720048"/>
        <c:scaling>
          <c:orientation val="minMax"/>
        </c:scaling>
        <c:delete val="0"/>
        <c:axPos val="b"/>
        <c:numFmt formatCode="General" sourceLinked="1"/>
        <c:majorTickMark val="cross"/>
        <c:minorTickMark val="none"/>
        <c:tickLblPos val="nextTo"/>
        <c:spPr>
          <a:ln/>
        </c:spPr>
        <c:txPr>
          <a:bodyPr rot="0" vert="horz"/>
          <a:lstStyle/>
          <a:p>
            <a:pPr>
              <a:defRPr sz="800" b="0" i="0" u="none" strike="noStrike" baseline="0">
                <a:solidFill>
                  <a:srgbClr val="000000"/>
                </a:solidFill>
                <a:latin typeface="Calibri"/>
                <a:ea typeface="Calibri"/>
                <a:cs typeface="Calibri"/>
              </a:defRPr>
            </a:pPr>
            <a:endParaRPr lang="en-US"/>
          </a:p>
        </c:txPr>
        <c:crossAx val="496718480"/>
        <c:crosses val="autoZero"/>
        <c:auto val="1"/>
        <c:lblAlgn val="ctr"/>
        <c:lblOffset val="100"/>
        <c:noMultiLvlLbl val="0"/>
      </c:catAx>
      <c:valAx>
        <c:axId val="496718480"/>
        <c:scaling>
          <c:orientation val="minMax"/>
          <c:max val="650"/>
          <c:min val="0"/>
        </c:scaling>
        <c:delete val="0"/>
        <c:axPos val="l"/>
        <c:title>
          <c:tx>
            <c:rich>
              <a:bodyPr/>
              <a:lstStyle/>
              <a:p>
                <a:pPr>
                  <a:defRPr sz="800" b="1" i="0" u="none" strike="noStrike" baseline="0">
                    <a:solidFill>
                      <a:srgbClr val="000000"/>
                    </a:solidFill>
                    <a:latin typeface="Calibri"/>
                    <a:ea typeface="Calibri"/>
                    <a:cs typeface="Calibri"/>
                  </a:defRPr>
                </a:pPr>
                <a:r>
                  <a:rPr lang="en-US" sz="800"/>
                  <a:t>in numbers</a:t>
                </a:r>
              </a:p>
            </c:rich>
          </c:tx>
          <c:layout>
            <c:manualLayout>
              <c:xMode val="edge"/>
              <c:yMode val="edge"/>
              <c:x val="3.909911877348151E-3"/>
              <c:y val="0.31628862181700973"/>
            </c:manualLayout>
          </c:layout>
          <c:overlay val="0"/>
        </c:title>
        <c:numFmt formatCode="#,##0" sourceLinked="1"/>
        <c:majorTickMark val="none"/>
        <c:minorTickMark val="none"/>
        <c:tickLblPos val="nextTo"/>
        <c:txPr>
          <a:bodyPr rot="0" vert="horz"/>
          <a:lstStyle/>
          <a:p>
            <a:pPr>
              <a:defRPr sz="500" b="0" i="0" u="none" strike="noStrike" baseline="0">
                <a:solidFill>
                  <a:srgbClr val="000000"/>
                </a:solidFill>
                <a:latin typeface="Calibri"/>
                <a:ea typeface="Calibri"/>
                <a:cs typeface="Calibri"/>
              </a:defRPr>
            </a:pPr>
            <a:endParaRPr lang="en-US"/>
          </a:p>
        </c:txPr>
        <c:crossAx val="496720048"/>
        <c:crosses val="autoZero"/>
        <c:crossBetween val="between"/>
        <c:majorUnit val="150"/>
      </c:valAx>
      <c:spPr>
        <a:ln>
          <a:solidFill>
            <a:schemeClr val="bg1">
              <a:lumMod val="65000"/>
            </a:schemeClr>
          </a:solidFill>
        </a:ln>
      </c:spPr>
    </c:plotArea>
    <c:legend>
      <c:legendPos val="r"/>
      <c:layout>
        <c:manualLayout>
          <c:xMode val="edge"/>
          <c:yMode val="edge"/>
          <c:x val="0.10236538248624091"/>
          <c:y val="0.177811186929691"/>
          <c:w val="0.28342743126040038"/>
          <c:h val="7.5629366865978584E-2"/>
        </c:manualLayout>
      </c:layout>
      <c:overlay val="0"/>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paperSize="9" orientation="landscape" verticalDpi="0"/>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800" b="1" i="0" u="none" strike="noStrike" baseline="0">
                <a:solidFill>
                  <a:srgbClr val="000000"/>
                </a:solidFill>
                <a:latin typeface="Consolas"/>
                <a:ea typeface="Consolas"/>
                <a:cs typeface="Consolas"/>
              </a:defRPr>
            </a:pPr>
            <a:r>
              <a:rPr lang="en-US" sz="900"/>
              <a:t>Figure 3.11: Monthly records of Deaths, 201</a:t>
            </a:r>
            <a:r>
              <a:rPr lang="dv-MV" sz="900"/>
              <a:t>9</a:t>
            </a:r>
            <a:r>
              <a:rPr lang="en-US" sz="900"/>
              <a:t>-202</a:t>
            </a:r>
            <a:r>
              <a:rPr lang="dv-MV" sz="900"/>
              <a:t>1</a:t>
            </a:r>
            <a:endParaRPr lang="en-US" sz="900"/>
          </a:p>
        </c:rich>
      </c:tx>
      <c:layout>
        <c:manualLayout>
          <c:xMode val="edge"/>
          <c:yMode val="edge"/>
          <c:x val="0.2373150135465415"/>
          <c:y val="4.5986604102853892E-2"/>
        </c:manualLayout>
      </c:layout>
      <c:overlay val="0"/>
    </c:title>
    <c:autoTitleDeleted val="0"/>
    <c:plotArea>
      <c:layout>
        <c:manualLayout>
          <c:layoutTarget val="inner"/>
          <c:xMode val="edge"/>
          <c:yMode val="edge"/>
          <c:x val="9.29871987059981E-2"/>
          <c:y val="0.17302976344478774"/>
          <c:w val="0.87732294567058045"/>
          <c:h val="0.69161929419710699"/>
        </c:manualLayout>
      </c:layout>
      <c:barChart>
        <c:barDir val="col"/>
        <c:grouping val="clustered"/>
        <c:varyColors val="0"/>
        <c:ser>
          <c:idx val="1"/>
          <c:order val="0"/>
          <c:tx>
            <c:strRef>
              <c:f>'3.7'!$CB$33</c:f>
              <c:strCache>
                <c:ptCount val="1"/>
                <c:pt idx="0">
                  <c:v>2019 </c:v>
                </c:pt>
              </c:strCache>
            </c:strRef>
          </c:tx>
          <c:spPr>
            <a:solidFill>
              <a:srgbClr val="FFAFAF"/>
            </a:solidFill>
          </c:spPr>
          <c:invertIfNegative val="0"/>
          <c:cat>
            <c:strRef>
              <c:f>'3.7'!$BW$34:$BW$45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'3.7'!$CB$34:$CB$45</c:f>
              <c:numCache>
                <c:formatCode>#,##0</c:formatCode>
                <c:ptCount val="12"/>
                <c:pt idx="0">
                  <c:v>110</c:v>
                </c:pt>
                <c:pt idx="1">
                  <c:v>78</c:v>
                </c:pt>
                <c:pt idx="2">
                  <c:v>101</c:v>
                </c:pt>
                <c:pt idx="3">
                  <c:v>87</c:v>
                </c:pt>
                <c:pt idx="4">
                  <c:v>89</c:v>
                </c:pt>
                <c:pt idx="5">
                  <c:v>80</c:v>
                </c:pt>
                <c:pt idx="6">
                  <c:v>98</c:v>
                </c:pt>
                <c:pt idx="7">
                  <c:v>85</c:v>
                </c:pt>
                <c:pt idx="8">
                  <c:v>78</c:v>
                </c:pt>
                <c:pt idx="9">
                  <c:v>91</c:v>
                </c:pt>
                <c:pt idx="10">
                  <c:v>86</c:v>
                </c:pt>
                <c:pt idx="11">
                  <c:v>58</c:v>
                </c:pt>
              </c:numCache>
            </c:numRef>
          </c:val>
          <c:extLst>
            <c:ext xmlns:c16="http://schemas.microsoft.com/office/drawing/2014/chart" uri="{C3380CC4-5D6E-409C-BE32-E72D297353CC}">
              <c16:uniqueId val="{00000000-147F-41DA-8E2D-3D3D3C463BCE}"/>
            </c:ext>
          </c:extLst>
        </c:ser>
        <c:ser>
          <c:idx val="2"/>
          <c:order val="1"/>
          <c:tx>
            <c:strRef>
              <c:f>'3.7'!$CC$33</c:f>
              <c:strCache>
                <c:ptCount val="1"/>
                <c:pt idx="0">
                  <c:v>2020 </c:v>
                </c:pt>
              </c:strCache>
            </c:strRef>
          </c:tx>
          <c:spPr>
            <a:solidFill>
              <a:srgbClr val="FFDDDD"/>
            </a:solidFill>
          </c:spPr>
          <c:invertIfNegative val="0"/>
          <c:cat>
            <c:strRef>
              <c:f>'3.7'!$BW$34:$BW$45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'3.7'!$CC$34:$CC$45</c:f>
              <c:numCache>
                <c:formatCode>#,##0</c:formatCode>
                <c:ptCount val="12"/>
                <c:pt idx="0">
                  <c:v>114</c:v>
                </c:pt>
                <c:pt idx="1">
                  <c:v>96</c:v>
                </c:pt>
                <c:pt idx="2">
                  <c:v>109</c:v>
                </c:pt>
                <c:pt idx="3">
                  <c:v>91</c:v>
                </c:pt>
                <c:pt idx="4">
                  <c:v>109</c:v>
                </c:pt>
                <c:pt idx="5">
                  <c:v>91</c:v>
                </c:pt>
                <c:pt idx="6">
                  <c:v>115</c:v>
                </c:pt>
                <c:pt idx="7">
                  <c:v>129</c:v>
                </c:pt>
                <c:pt idx="8">
                  <c:v>112</c:v>
                </c:pt>
                <c:pt idx="9">
                  <c:v>103</c:v>
                </c:pt>
                <c:pt idx="10">
                  <c:v>110</c:v>
                </c:pt>
                <c:pt idx="11">
                  <c:v>96</c:v>
                </c:pt>
              </c:numCache>
            </c:numRef>
          </c:val>
          <c:extLst>
            <c:ext xmlns:c16="http://schemas.microsoft.com/office/drawing/2014/chart" uri="{C3380CC4-5D6E-409C-BE32-E72D297353CC}">
              <c16:uniqueId val="{00000001-147F-41DA-8E2D-3D3D3C463BCE}"/>
            </c:ext>
          </c:extLst>
        </c:ser>
        <c:ser>
          <c:idx val="0"/>
          <c:order val="2"/>
          <c:tx>
            <c:strRef>
              <c:f>'3.7'!$CD$33</c:f>
              <c:strCache>
                <c:ptCount val="1"/>
                <c:pt idx="0">
                  <c:v>2021 </c:v>
                </c:pt>
              </c:strCache>
            </c:strRef>
          </c:tx>
          <c:spPr>
            <a:solidFill>
              <a:srgbClr val="C00000"/>
            </a:solidFill>
          </c:spPr>
          <c:invertIfNegative val="0"/>
          <c:cat>
            <c:strRef>
              <c:f>'3.7'!$BW$34:$BW$45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'3.7'!$CD$34:$CD$45</c:f>
              <c:numCache>
                <c:formatCode>#,##0</c:formatCode>
                <c:ptCount val="12"/>
                <c:pt idx="0">
                  <c:v>146</c:v>
                </c:pt>
                <c:pt idx="1">
                  <c:v>142</c:v>
                </c:pt>
                <c:pt idx="2">
                  <c:v>127</c:v>
                </c:pt>
                <c:pt idx="3">
                  <c:v>145</c:v>
                </c:pt>
                <c:pt idx="4">
                  <c:v>191</c:v>
                </c:pt>
                <c:pt idx="5">
                  <c:v>161</c:v>
                </c:pt>
                <c:pt idx="6">
                  <c:v>93</c:v>
                </c:pt>
                <c:pt idx="7">
                  <c:v>70</c:v>
                </c:pt>
                <c:pt idx="8">
                  <c:v>70</c:v>
                </c:pt>
                <c:pt idx="9">
                  <c:v>80</c:v>
                </c:pt>
                <c:pt idx="10">
                  <c:v>146</c:v>
                </c:pt>
                <c:pt idx="11">
                  <c:v>181</c:v>
                </c:pt>
              </c:numCache>
            </c:numRef>
          </c:val>
          <c:extLst>
            <c:ext xmlns:c16="http://schemas.microsoft.com/office/drawing/2014/chart" uri="{C3380CC4-5D6E-409C-BE32-E72D297353CC}">
              <c16:uniqueId val="{00000000-C52C-4120-AF80-56536D1C9BFD}"/>
            </c:ext>
          </c:extLst>
        </c:ser>
        <c:dLbls>
          <c:showLegendKey val="0"/>
          <c:showVal val="0"/>
          <c:showCatName val="0"/>
          <c:showSerName val="0"/>
          <c:showPercent val="0"/>
          <c:showBubbleSize val="0"/>
        </c:dLbls>
        <c:gapWidth val="75"/>
        <c:overlap val="2"/>
        <c:axId val="496719264"/>
        <c:axId val="496721224"/>
      </c:barChart>
      <c:catAx>
        <c:axId val="496719264"/>
        <c:scaling>
          <c:orientation val="minMax"/>
        </c:scaling>
        <c:delete val="0"/>
        <c:axPos val="b"/>
        <c:numFmt formatCode="General" sourceLinked="1"/>
        <c:majorTickMark val="cross"/>
        <c:minorTickMark val="none"/>
        <c:tickLblPos val="nextTo"/>
        <c:spPr>
          <a:ln/>
        </c:spPr>
        <c:txPr>
          <a:bodyPr rot="0" vert="horz"/>
          <a:lstStyle/>
          <a:p>
            <a:pPr>
              <a:defRPr sz="800" b="0" i="0" u="none" strike="noStrike" baseline="0">
                <a:solidFill>
                  <a:srgbClr val="000000"/>
                </a:solidFill>
                <a:latin typeface="Calibri"/>
                <a:ea typeface="Calibri"/>
                <a:cs typeface="Calibri"/>
              </a:defRPr>
            </a:pPr>
            <a:endParaRPr lang="en-US"/>
          </a:p>
        </c:txPr>
        <c:crossAx val="496721224"/>
        <c:crosses val="autoZero"/>
        <c:auto val="1"/>
        <c:lblAlgn val="ctr"/>
        <c:lblOffset val="100"/>
        <c:noMultiLvlLbl val="0"/>
      </c:catAx>
      <c:valAx>
        <c:axId val="496721224"/>
        <c:scaling>
          <c:orientation val="minMax"/>
          <c:max val="200"/>
        </c:scaling>
        <c:delete val="0"/>
        <c:axPos val="l"/>
        <c:majorGridlines>
          <c:spPr>
            <a:ln>
              <a:solidFill>
                <a:schemeClr val="bg1"/>
              </a:solidFill>
            </a:ln>
          </c:spPr>
        </c:majorGridlines>
        <c:title>
          <c:tx>
            <c:rich>
              <a:bodyPr/>
              <a:lstStyle/>
              <a:p>
                <a:pPr>
                  <a:defRPr sz="900" b="0" i="0" u="none" strike="noStrike" baseline="0">
                    <a:solidFill>
                      <a:srgbClr val="000000"/>
                    </a:solidFill>
                    <a:latin typeface="Calibri"/>
                    <a:ea typeface="Calibri"/>
                    <a:cs typeface="Calibri"/>
                  </a:defRPr>
                </a:pPr>
                <a:r>
                  <a:rPr lang="en-US" sz="900"/>
                  <a:t>in numbers</a:t>
                </a:r>
              </a:p>
            </c:rich>
          </c:tx>
          <c:layout>
            <c:manualLayout>
              <c:xMode val="edge"/>
              <c:yMode val="edge"/>
              <c:x val="4.1990220440386748E-3"/>
              <c:y val="0.37841122965082363"/>
            </c:manualLayout>
          </c:layout>
          <c:overlay val="0"/>
        </c:title>
        <c:numFmt formatCode="#,##0" sourceLinked="1"/>
        <c:majorTickMark val="none"/>
        <c:minorTickMark val="none"/>
        <c:tickLblPos val="nextTo"/>
        <c:txPr>
          <a:bodyPr rot="0" vert="horz"/>
          <a:lstStyle/>
          <a:p>
            <a:pPr>
              <a:defRPr sz="700" b="0" i="0" u="none" strike="noStrike" baseline="0">
                <a:solidFill>
                  <a:srgbClr val="000000"/>
                </a:solidFill>
                <a:latin typeface="Calibri"/>
                <a:ea typeface="Calibri"/>
                <a:cs typeface="Calibri"/>
              </a:defRPr>
            </a:pPr>
            <a:endParaRPr lang="en-US"/>
          </a:p>
        </c:txPr>
        <c:crossAx val="496719264"/>
        <c:crosses val="autoZero"/>
        <c:crossBetween val="between"/>
      </c:valAx>
      <c:spPr>
        <a:ln>
          <a:solidFill>
            <a:schemeClr val="bg1">
              <a:lumMod val="65000"/>
            </a:schemeClr>
          </a:solidFill>
        </a:ln>
      </c:spPr>
    </c:plotArea>
    <c:legend>
      <c:legendPos val="r"/>
      <c:layout>
        <c:manualLayout>
          <c:xMode val="edge"/>
          <c:yMode val="edge"/>
          <c:x val="0.11890649429187515"/>
          <c:y val="0.2067182086129839"/>
          <c:w val="0.24221491520683805"/>
          <c:h val="7.9750508570877801E-2"/>
        </c:manualLayout>
      </c:layout>
      <c:overlay val="0"/>
      <c:txPr>
        <a:bodyPr/>
        <a:lstStyle/>
        <a:p>
          <a:pPr>
            <a:defRPr sz="7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paperSize="9" orientation="landscape" verticalDpi="0"/>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4.7945117971364692E-2"/>
          <c:y val="0.14806549537179739"/>
          <c:w val="0.93207094822359482"/>
          <c:h val="0.72861901159152254"/>
        </c:manualLayout>
      </c:layout>
      <c:barChart>
        <c:barDir val="col"/>
        <c:grouping val="clustered"/>
        <c:varyColors val="0"/>
        <c:ser>
          <c:idx val="0"/>
          <c:order val="0"/>
          <c:tx>
            <c:strRef>
              <c:f>'3.9'!$BF$21</c:f>
              <c:strCache>
                <c:ptCount val="1"/>
                <c:pt idx="0">
                  <c:v>Male'</c:v>
                </c:pt>
              </c:strCache>
            </c:strRef>
          </c:tx>
          <c:spPr>
            <a:solidFill>
              <a:srgbClr val="C00000"/>
            </a:solidFill>
          </c:spPr>
          <c:invertIfNegative val="0"/>
          <c:cat>
            <c:numRef>
              <c:f>'3.9'!$BN$20:$BX$20</c:f>
              <c:numCache>
                <c:formatCode>General</c:formatCode>
                <c:ptCount val="11"/>
                <c:pt idx="0" formatCode="General_)">
                  <c:v>2011</c:v>
                </c:pt>
                <c:pt idx="1">
                  <c:v>2012</c:v>
                </c:pt>
                <c:pt idx="2" formatCode="General_)">
                  <c:v>2013</c:v>
                </c:pt>
                <c:pt idx="3" formatCode="General_)">
                  <c:v>2014</c:v>
                </c:pt>
                <c:pt idx="4">
                  <c:v>2015</c:v>
                </c:pt>
                <c:pt idx="5" formatCode="General_)">
                  <c:v>2016</c:v>
                </c:pt>
                <c:pt idx="6" formatCode="General_)">
                  <c:v>2017</c:v>
                </c:pt>
                <c:pt idx="7" formatCode="General_)">
                  <c:v>2018</c:v>
                </c:pt>
                <c:pt idx="8" formatCode="General_)">
                  <c:v>2019</c:v>
                </c:pt>
                <c:pt idx="9" formatCode="General_)">
                  <c:v>2020</c:v>
                </c:pt>
                <c:pt idx="10" formatCode="General_)">
                  <c:v>2021</c:v>
                </c:pt>
              </c:numCache>
            </c:numRef>
          </c:cat>
          <c:val>
            <c:numRef>
              <c:f>'3.9'!$BN$21:$BX$21</c:f>
              <c:numCache>
                <c:formatCode>0</c:formatCode>
                <c:ptCount val="11"/>
                <c:pt idx="0">
                  <c:v>10</c:v>
                </c:pt>
                <c:pt idx="1">
                  <c:v>10</c:v>
                </c:pt>
                <c:pt idx="2">
                  <c:v>5.1085568326947639</c:v>
                </c:pt>
                <c:pt idx="3">
                  <c:v>8.4388185654008439</c:v>
                </c:pt>
                <c:pt idx="4">
                  <c:v>9.7949886104783594</c:v>
                </c:pt>
                <c:pt idx="5">
                  <c:v>8.2063305978898011</c:v>
                </c:pt>
                <c:pt idx="6">
                  <c:v>10.526315789473683</c:v>
                </c:pt>
                <c:pt idx="7">
                  <c:v>7.5029308323563892</c:v>
                </c:pt>
                <c:pt idx="8">
                  <c:v>5.6417489421720735</c:v>
                </c:pt>
                <c:pt idx="9">
                  <c:v>11.424944462075532</c:v>
                </c:pt>
                <c:pt idx="10">
                  <c:v>24.13036665622062</c:v>
                </c:pt>
              </c:numCache>
            </c:numRef>
          </c:val>
          <c:extLst>
            <c:ext xmlns:c16="http://schemas.microsoft.com/office/drawing/2014/chart" uri="{C3380CC4-5D6E-409C-BE32-E72D297353CC}">
              <c16:uniqueId val="{00000000-0022-430D-A178-ABC8C9D55230}"/>
            </c:ext>
          </c:extLst>
        </c:ser>
        <c:ser>
          <c:idx val="1"/>
          <c:order val="1"/>
          <c:tx>
            <c:strRef>
              <c:f>'3.9'!$BF$22</c:f>
              <c:strCache>
                <c:ptCount val="1"/>
                <c:pt idx="0">
                  <c:v>Atolls</c:v>
                </c:pt>
              </c:strCache>
            </c:strRef>
          </c:tx>
          <c:spPr>
            <a:solidFill>
              <a:srgbClr val="FFDDDD"/>
            </a:solidFill>
          </c:spPr>
          <c:invertIfNegative val="1"/>
          <c:cat>
            <c:numRef>
              <c:f>'3.9'!$BN$20:$BX$20</c:f>
              <c:numCache>
                <c:formatCode>General</c:formatCode>
                <c:ptCount val="11"/>
                <c:pt idx="0" formatCode="General_)">
                  <c:v>2011</c:v>
                </c:pt>
                <c:pt idx="1">
                  <c:v>2012</c:v>
                </c:pt>
                <c:pt idx="2" formatCode="General_)">
                  <c:v>2013</c:v>
                </c:pt>
                <c:pt idx="3" formatCode="General_)">
                  <c:v>2014</c:v>
                </c:pt>
                <c:pt idx="4">
                  <c:v>2015</c:v>
                </c:pt>
                <c:pt idx="5" formatCode="General_)">
                  <c:v>2016</c:v>
                </c:pt>
                <c:pt idx="6" formatCode="General_)">
                  <c:v>2017</c:v>
                </c:pt>
                <c:pt idx="7" formatCode="General_)">
                  <c:v>2018</c:v>
                </c:pt>
                <c:pt idx="8" formatCode="General_)">
                  <c:v>2019</c:v>
                </c:pt>
                <c:pt idx="9" formatCode="General_)">
                  <c:v>2020</c:v>
                </c:pt>
                <c:pt idx="10" formatCode="General_)">
                  <c:v>2021</c:v>
                </c:pt>
              </c:numCache>
            </c:numRef>
          </c:cat>
          <c:val>
            <c:numRef>
              <c:f>'3.9'!$BN$22:$BX$22</c:f>
              <c:numCache>
                <c:formatCode>0</c:formatCode>
                <c:ptCount val="11"/>
                <c:pt idx="0">
                  <c:v>6</c:v>
                </c:pt>
                <c:pt idx="1">
                  <c:v>7</c:v>
                </c:pt>
                <c:pt idx="2">
                  <c:v>6.9060773480662982</c:v>
                </c:pt>
                <c:pt idx="3">
                  <c:v>4.6296296296296298</c:v>
                </c:pt>
                <c:pt idx="4">
                  <c:v>5.84795321637427</c:v>
                </c:pt>
                <c:pt idx="5">
                  <c:v>6.5207265952491849</c:v>
                </c:pt>
                <c:pt idx="6">
                  <c:v>6.381039197812215</c:v>
                </c:pt>
                <c:pt idx="7">
                  <c:v>5.8852378616969103</c:v>
                </c:pt>
                <c:pt idx="8">
                  <c:v>4.3431053203040175</c:v>
                </c:pt>
                <c:pt idx="9">
                  <c:v>2.2816166883963493</c:v>
                </c:pt>
                <c:pt idx="10">
                  <c:v>7.3448402497245686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0022-430D-A178-ABC8C9D55230}"/>
            </c:ext>
          </c:extLst>
        </c:ser>
        <c:dLbls>
          <c:showLegendKey val="0"/>
          <c:showVal val="0"/>
          <c:showCatName val="0"/>
          <c:showSerName val="0"/>
          <c:showPercent val="0"/>
          <c:showBubbleSize val="0"/>
        </c:dLbls>
        <c:gapWidth val="23"/>
        <c:axId val="496720832"/>
        <c:axId val="497990808"/>
      </c:barChart>
      <c:catAx>
        <c:axId val="496720832"/>
        <c:scaling>
          <c:orientation val="minMax"/>
        </c:scaling>
        <c:delete val="0"/>
        <c:axPos val="b"/>
        <c:numFmt formatCode="General_)" sourceLinked="1"/>
        <c:majorTickMark val="out"/>
        <c:minorTickMark val="none"/>
        <c:tickLblPos val="nextTo"/>
        <c:txPr>
          <a:bodyPr rot="0" vert="horz"/>
          <a:lstStyle/>
          <a:p>
            <a:pPr>
              <a:defRPr sz="1400" b="0" i="0" u="none" strike="noStrike" baseline="0">
                <a:solidFill>
                  <a:srgbClr val="000000"/>
                </a:solidFill>
                <a:latin typeface="Calibri"/>
                <a:ea typeface="Calibri"/>
                <a:cs typeface="Calibri"/>
              </a:defRPr>
            </a:pPr>
            <a:endParaRPr lang="en-US"/>
          </a:p>
        </c:txPr>
        <c:crossAx val="497990808"/>
        <c:crosses val="autoZero"/>
        <c:auto val="1"/>
        <c:lblAlgn val="ctr"/>
        <c:lblOffset val="100"/>
        <c:tickLblSkip val="1"/>
        <c:tickMarkSkip val="1"/>
        <c:noMultiLvlLbl val="0"/>
      </c:catAx>
      <c:valAx>
        <c:axId val="497990808"/>
        <c:scaling>
          <c:orientation val="minMax"/>
        </c:scaling>
        <c:delete val="0"/>
        <c:axPos val="l"/>
        <c:majorGridlines>
          <c:spPr>
            <a:ln>
              <a:solidFill>
                <a:srgbClr val="EDDBC9"/>
              </a:solidFill>
            </a:ln>
          </c:spPr>
        </c:majorGridlines>
        <c:title>
          <c:tx>
            <c:rich>
              <a:bodyPr rot="0" vert="horz"/>
              <a:lstStyle/>
              <a:p>
                <a:pPr algn="ctr">
                  <a:defRPr sz="1050" b="0" i="0" u="none" strike="noStrike" baseline="0">
                    <a:solidFill>
                      <a:srgbClr val="000000"/>
                    </a:solidFill>
                    <a:latin typeface="Calibri"/>
                    <a:ea typeface="Calibri"/>
                    <a:cs typeface="Calibri"/>
                  </a:defRPr>
                </a:pPr>
                <a:r>
                  <a:rPr lang="en-US" sz="1050"/>
                  <a:t>Per '000 Live Births</a:t>
                </a:r>
              </a:p>
            </c:rich>
          </c:tx>
          <c:layout>
            <c:manualLayout>
              <c:xMode val="edge"/>
              <c:yMode val="edge"/>
              <c:x val="5.5661626367500524E-3"/>
              <c:y val="5.9941528661230509E-2"/>
            </c:manualLayout>
          </c:layout>
          <c:overlay val="0"/>
        </c:title>
        <c:numFmt formatCode="0" sourceLinked="1"/>
        <c:majorTickMark val="none"/>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496720832"/>
        <c:crosses val="autoZero"/>
        <c:crossBetween val="between"/>
        <c:majorUnit val="4"/>
      </c:valAx>
      <c:spPr>
        <a:ln>
          <a:solidFill>
            <a:sysClr val="window" lastClr="FFFFFF">
              <a:lumMod val="65000"/>
            </a:sysClr>
          </a:solidFill>
        </a:ln>
      </c:spPr>
    </c:plotArea>
    <c:legend>
      <c:legendPos val="r"/>
      <c:legendEntry>
        <c:idx val="0"/>
        <c:txPr>
          <a:bodyPr/>
          <a:lstStyle/>
          <a:p>
            <a:pPr>
              <a:defRPr sz="1400" b="0" i="0" u="none" strike="noStrike" baseline="0">
                <a:solidFill>
                  <a:srgbClr val="000000"/>
                </a:solidFill>
                <a:latin typeface="Calibri"/>
                <a:ea typeface="Calibri"/>
                <a:cs typeface="Calibri"/>
              </a:defRPr>
            </a:pPr>
            <a:endParaRPr lang="en-US"/>
          </a:p>
        </c:txPr>
      </c:legendEntry>
      <c:legendEntry>
        <c:idx val="1"/>
        <c:txPr>
          <a:bodyPr/>
          <a:lstStyle/>
          <a:p>
            <a:pPr>
              <a:defRPr sz="1400" b="0" i="0" u="none" strike="noStrike" baseline="0">
                <a:solidFill>
                  <a:srgbClr val="000000"/>
                </a:solidFill>
                <a:latin typeface="Calibri"/>
                <a:ea typeface="Calibri"/>
                <a:cs typeface="Calibri"/>
              </a:defRPr>
            </a:pPr>
            <a:endParaRPr lang="en-US"/>
          </a:p>
        </c:txPr>
      </c:legendEntry>
      <c:layout>
        <c:manualLayout>
          <c:xMode val="edge"/>
          <c:yMode val="edge"/>
          <c:x val="0.71191484764910251"/>
          <c:y val="0.21603305142761481"/>
          <c:w val="0.15962417343074728"/>
          <c:h val="8.6840499273348623E-2"/>
        </c:manualLayout>
      </c:layout>
      <c:overlay val="0"/>
      <c:txPr>
        <a:bodyPr/>
        <a:lstStyle/>
        <a:p>
          <a:pPr>
            <a:defRPr sz="14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22" r="0.75000000000000022" t="1" header="0.5" footer="0.5"/>
    <c:pageSetup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Calibri"/>
                <a:ea typeface="Calibri"/>
                <a:cs typeface="Calibri"/>
              </a:defRPr>
            </a:pPr>
            <a:r>
              <a:rPr lang="en-US" sz="800"/>
              <a:t>Figure 3.13: Population Pyramid of</a:t>
            </a:r>
            <a:r>
              <a:rPr lang="en-US" sz="800" baseline="0"/>
              <a:t> </a:t>
            </a:r>
            <a:r>
              <a:rPr lang="en-US" sz="800"/>
              <a:t> Resident Maldivian and Foreigners  in Maldives, 2022 </a:t>
            </a:r>
          </a:p>
        </c:rich>
      </c:tx>
      <c:layout>
        <c:manualLayout>
          <c:xMode val="edge"/>
          <c:yMode val="edge"/>
          <c:x val="0.12281198476723695"/>
          <c:y val="3.6408211173304228E-2"/>
        </c:manualLayout>
      </c:layout>
      <c:overlay val="0"/>
      <c:spPr>
        <a:noFill/>
        <a:ln w="25400">
          <a:noFill/>
        </a:ln>
      </c:spPr>
    </c:title>
    <c:autoTitleDeleted val="0"/>
    <c:plotArea>
      <c:layout>
        <c:manualLayout>
          <c:layoutTarget val="inner"/>
          <c:xMode val="edge"/>
          <c:yMode val="edge"/>
          <c:x val="6.958668795188791E-2"/>
          <c:y val="0.11236303596696279"/>
          <c:w val="0.89809535295920884"/>
          <c:h val="0.80771417550435465"/>
        </c:manualLayout>
      </c:layout>
      <c:barChart>
        <c:barDir val="bar"/>
        <c:grouping val="clustered"/>
        <c:varyColors val="0"/>
        <c:ser>
          <c:idx val="2"/>
          <c:order val="0"/>
          <c:tx>
            <c:strRef>
              <c:f>'3.13'!$AQ$5:$AQ$6</c:f>
              <c:strCache>
                <c:ptCount val="2"/>
                <c:pt idx="0">
                  <c:v>Residential Maldivian 2022</c:v>
                </c:pt>
                <c:pt idx="1">
                  <c:v>Male</c:v>
                </c:pt>
              </c:strCache>
            </c:strRef>
          </c:tx>
          <c:spPr>
            <a:solidFill>
              <a:srgbClr val="C00000"/>
            </a:solidFill>
            <a:ln w="7620">
              <a:solidFill>
                <a:schemeClr val="bg1"/>
              </a:solidFill>
            </a:ln>
          </c:spPr>
          <c:invertIfNegative val="0"/>
          <c:cat>
            <c:strRef>
              <c:f>'3.13'!$AP$7:$AP$22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'3.13'!$AQ$7:$AQ$22</c:f>
              <c:numCache>
                <c:formatCode>#,##0</c:formatCode>
                <c:ptCount val="16"/>
                <c:pt idx="0">
                  <c:v>-19560.693639508645</c:v>
                </c:pt>
                <c:pt idx="1">
                  <c:v>-18909.156065847743</c:v>
                </c:pt>
                <c:pt idx="2">
                  <c:v>-18626.924852678196</c:v>
                </c:pt>
                <c:pt idx="3">
                  <c:v>-15233.727780061274</c:v>
                </c:pt>
                <c:pt idx="4">
                  <c:v>-18531.454221774042</c:v>
                </c:pt>
                <c:pt idx="5">
                  <c:v>-19147.737740784945</c:v>
                </c:pt>
                <c:pt idx="6">
                  <c:v>-18103.57074086916</c:v>
                </c:pt>
                <c:pt idx="7">
                  <c:v>-16967.594434025934</c:v>
                </c:pt>
                <c:pt idx="8">
                  <c:v>-12800.981956379317</c:v>
                </c:pt>
                <c:pt idx="9">
                  <c:v>-10051.213412884959</c:v>
                </c:pt>
                <c:pt idx="10">
                  <c:v>-8969.2713682624035</c:v>
                </c:pt>
                <c:pt idx="11">
                  <c:v>-7270.248405113909</c:v>
                </c:pt>
                <c:pt idx="12">
                  <c:v>-6535.6588906157886</c:v>
                </c:pt>
                <c:pt idx="13">
                  <c:v>-3987.7109531210526</c:v>
                </c:pt>
                <c:pt idx="14">
                  <c:v>-2241.2369843736842</c:v>
                </c:pt>
                <c:pt idx="15">
                  <c:v>-3955.1560658477447</c:v>
                </c:pt>
              </c:numCache>
            </c:numRef>
          </c:val>
          <c:extLst>
            <c:ext xmlns:c16="http://schemas.microsoft.com/office/drawing/2014/chart" uri="{C3380CC4-5D6E-409C-BE32-E72D297353CC}">
              <c16:uniqueId val="{00000000-38FD-48C4-9BDB-8C010CC7422D}"/>
            </c:ext>
          </c:extLst>
        </c:ser>
        <c:ser>
          <c:idx val="6"/>
          <c:order val="1"/>
          <c:tx>
            <c:strRef>
              <c:f>'3.13'!$AR$5:$AR$6</c:f>
              <c:strCache>
                <c:ptCount val="2"/>
                <c:pt idx="0">
                  <c:v>Residential Maldivian 2022</c:v>
                </c:pt>
                <c:pt idx="1">
                  <c:v>Female</c:v>
                </c:pt>
              </c:strCache>
            </c:strRef>
          </c:tx>
          <c:spPr>
            <a:solidFill>
              <a:srgbClr val="FFDDDD"/>
            </a:solidFill>
            <a:ln w="7620">
              <a:solidFill>
                <a:schemeClr val="bg1"/>
              </a:solidFill>
            </a:ln>
          </c:spPr>
          <c:invertIfNegative val="0"/>
          <c:cat>
            <c:strRef>
              <c:f>'3.13'!$AP$7:$AP$22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'3.13'!$AR$7:$AR$22</c:f>
              <c:numCache>
                <c:formatCode>#,##0_);\(#,##0\)</c:formatCode>
                <c:ptCount val="16"/>
                <c:pt idx="0">
                  <c:v>18043.693639508645</c:v>
                </c:pt>
                <c:pt idx="1">
                  <c:v>17296.231213169547</c:v>
                </c:pt>
                <c:pt idx="2">
                  <c:v>17190.924852678196</c:v>
                </c:pt>
                <c:pt idx="3">
                  <c:v>13627.786100442858</c:v>
                </c:pt>
                <c:pt idx="4">
                  <c:v>13805.994107127819</c:v>
                </c:pt>
                <c:pt idx="5">
                  <c:v>16444.809185259397</c:v>
                </c:pt>
                <c:pt idx="6">
                  <c:v>18337.17337946015</c:v>
                </c:pt>
                <c:pt idx="7">
                  <c:v>18143.393050221428</c:v>
                </c:pt>
                <c:pt idx="8">
                  <c:v>13724.236984373683</c:v>
                </c:pt>
                <c:pt idx="9">
                  <c:v>10599.924852678196</c:v>
                </c:pt>
                <c:pt idx="10">
                  <c:v>9576.3121316954894</c:v>
                </c:pt>
                <c:pt idx="11">
                  <c:v>7695.6936395086468</c:v>
                </c:pt>
                <c:pt idx="12">
                  <c:v>6659.6936395086468</c:v>
                </c:pt>
                <c:pt idx="13">
                  <c:v>3851</c:v>
                </c:pt>
                <c:pt idx="14">
                  <c:v>2293.2312131695489</c:v>
                </c:pt>
                <c:pt idx="15">
                  <c:v>3857.2312131695489</c:v>
                </c:pt>
              </c:numCache>
            </c:numRef>
          </c:val>
          <c:extLst>
            <c:ext xmlns:c16="http://schemas.microsoft.com/office/drawing/2014/chart" uri="{C3380CC4-5D6E-409C-BE32-E72D297353CC}">
              <c16:uniqueId val="{00000001-38FD-48C4-9BDB-8C010CC7422D}"/>
            </c:ext>
          </c:extLst>
        </c:ser>
        <c:ser>
          <c:idx val="7"/>
          <c:order val="2"/>
          <c:tx>
            <c:strRef>
              <c:f>'3.13'!$AS$5:$AS$6</c:f>
              <c:strCache>
                <c:ptCount val="2"/>
                <c:pt idx="0">
                  <c:v>Resident Foreigners 2022</c:v>
                </c:pt>
                <c:pt idx="1">
                  <c:v>Male</c:v>
                </c:pt>
              </c:strCache>
            </c:strRef>
          </c:tx>
          <c:spPr>
            <a:noFill/>
            <a:ln>
              <a:solidFill>
                <a:srgbClr val="FF5050"/>
              </a:solidFill>
            </a:ln>
          </c:spPr>
          <c:invertIfNegative val="0"/>
          <c:cat>
            <c:strRef>
              <c:f>'3.13'!$AP$7:$AP$22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'3.13'!$AS$7:$AS$22</c:f>
              <c:numCache>
                <c:formatCode>#,##0</c:formatCode>
                <c:ptCount val="16"/>
                <c:pt idx="0">
                  <c:v>-948.03184013465068</c:v>
                </c:pt>
                <c:pt idx="1">
                  <c:v>-549.51237032776214</c:v>
                </c:pt>
                <c:pt idx="2">
                  <c:v>-312.93067267088156</c:v>
                </c:pt>
                <c:pt idx="3">
                  <c:v>-3178.6027639746471</c:v>
                </c:pt>
                <c:pt idx="4">
                  <c:v>-30534.189784332331</c:v>
                </c:pt>
                <c:pt idx="5">
                  <c:v>-49738.12991567835</c:v>
                </c:pt>
                <c:pt idx="6">
                  <c:v>-34889.215995591774</c:v>
                </c:pt>
                <c:pt idx="7">
                  <c:v>-22351.796096156264</c:v>
                </c:pt>
                <c:pt idx="8">
                  <c:v>-13911.005511113181</c:v>
                </c:pt>
                <c:pt idx="9">
                  <c:v>-7943.6550177202716</c:v>
                </c:pt>
                <c:pt idx="10">
                  <c:v>-3755.601796111865</c:v>
                </c:pt>
                <c:pt idx="11">
                  <c:v>-1480.2182518382865</c:v>
                </c:pt>
                <c:pt idx="12">
                  <c:v>-554.13497487487928</c:v>
                </c:pt>
                <c:pt idx="13">
                  <c:v>-197.5747773467894</c:v>
                </c:pt>
                <c:pt idx="14">
                  <c:v>-94.097883754957962</c:v>
                </c:pt>
                <c:pt idx="15">
                  <c:v>-87.810413601658809</c:v>
                </c:pt>
              </c:numCache>
            </c:numRef>
          </c:val>
          <c:extLst>
            <c:ext xmlns:c16="http://schemas.microsoft.com/office/drawing/2014/chart" uri="{C3380CC4-5D6E-409C-BE32-E72D297353CC}">
              <c16:uniqueId val="{00000002-38FD-48C4-9BDB-8C010CC7422D}"/>
            </c:ext>
          </c:extLst>
        </c:ser>
        <c:ser>
          <c:idx val="0"/>
          <c:order val="3"/>
          <c:tx>
            <c:strRef>
              <c:f>'3.13'!$AT$5:$AT$6</c:f>
              <c:strCache>
                <c:ptCount val="2"/>
                <c:pt idx="0">
                  <c:v>Resident Foreigners 2022</c:v>
                </c:pt>
                <c:pt idx="1">
                  <c:v>Female</c:v>
                </c:pt>
              </c:strCache>
            </c:strRef>
          </c:tx>
          <c:spPr>
            <a:noFill/>
            <a:ln>
              <a:solidFill>
                <a:srgbClr val="CC0066"/>
              </a:solidFill>
            </a:ln>
          </c:spPr>
          <c:invertIfNegative val="0"/>
          <c:cat>
            <c:strRef>
              <c:f>'3.13'!$AP$7:$AP$22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'3.13'!$AT$7:$AT$22</c:f>
              <c:numCache>
                <c:formatCode>#,##0_);\(#,##0\)</c:formatCode>
                <c:ptCount val="16"/>
                <c:pt idx="0">
                  <c:v>671.56679535544902</c:v>
                </c:pt>
                <c:pt idx="1">
                  <c:v>317.655053451181</c:v>
                </c:pt>
                <c:pt idx="2">
                  <c:v>159.91524553809484</c:v>
                </c:pt>
                <c:pt idx="3">
                  <c:v>275.12506629314436</c:v>
                </c:pt>
                <c:pt idx="4">
                  <c:v>1813.3404509944885</c:v>
                </c:pt>
                <c:pt idx="5">
                  <c:v>4449.4145845090516</c:v>
                </c:pt>
                <c:pt idx="6">
                  <c:v>3559.5153245866859</c:v>
                </c:pt>
                <c:pt idx="7">
                  <c:v>2370.9606805540952</c:v>
                </c:pt>
                <c:pt idx="8">
                  <c:v>1343.0536914992945</c:v>
                </c:pt>
                <c:pt idx="9">
                  <c:v>880.33859289759903</c:v>
                </c:pt>
                <c:pt idx="10">
                  <c:v>475.19511333525975</c:v>
                </c:pt>
                <c:pt idx="11">
                  <c:v>268.47224633308036</c:v>
                </c:pt>
                <c:pt idx="12">
                  <c:v>117.22545995685222</c:v>
                </c:pt>
                <c:pt idx="13">
                  <c:v>42.623202904906734</c:v>
                </c:pt>
                <c:pt idx="14">
                  <c:v>12.779636777075076</c:v>
                </c:pt>
                <c:pt idx="15">
                  <c:v>6.3998057899879131</c:v>
                </c:pt>
              </c:numCache>
            </c:numRef>
          </c:val>
          <c:extLst>
            <c:ext xmlns:c16="http://schemas.microsoft.com/office/drawing/2014/chart" uri="{C3380CC4-5D6E-409C-BE32-E72D297353CC}">
              <c16:uniqueId val="{00000003-38FD-48C4-9BDB-8C010CC7422D}"/>
            </c:ext>
          </c:extLst>
        </c:ser>
        <c:dLbls>
          <c:showLegendKey val="0"/>
          <c:showVal val="0"/>
          <c:showCatName val="0"/>
          <c:showSerName val="0"/>
          <c:showPercent val="0"/>
          <c:showBubbleSize val="0"/>
        </c:dLbls>
        <c:gapWidth val="0"/>
        <c:overlap val="100"/>
        <c:axId val="497993160"/>
        <c:axId val="392733856"/>
      </c:barChart>
      <c:catAx>
        <c:axId val="497993160"/>
        <c:scaling>
          <c:orientation val="minMax"/>
        </c:scaling>
        <c:delete val="0"/>
        <c:axPos val="l"/>
        <c:numFmt formatCode="#,##0.00" sourceLinked="0"/>
        <c:majorTickMark val="none"/>
        <c:minorTickMark val="none"/>
        <c:tickLblPos val="low"/>
        <c:spPr>
          <a:noFill/>
          <a:ln w="19050" cap="flat" cmpd="sng" algn="ctr">
            <a:solidFill>
              <a:schemeClr val="bg1">
                <a:lumMod val="65000"/>
              </a:schemeClr>
            </a:solidFill>
            <a:round/>
          </a:ln>
          <a:effectLst/>
        </c:spPr>
        <c:txPr>
          <a:bodyPr rot="0" vert="horz"/>
          <a:lstStyle/>
          <a:p>
            <a:pPr>
              <a:defRPr sz="800" b="0" i="0" u="none" strike="noStrike" baseline="0">
                <a:solidFill>
                  <a:srgbClr val="333333"/>
                </a:solidFill>
                <a:latin typeface="Calibri"/>
                <a:ea typeface="Calibri"/>
                <a:cs typeface="Calibri"/>
              </a:defRPr>
            </a:pPr>
            <a:endParaRPr lang="en-US"/>
          </a:p>
        </c:txPr>
        <c:crossAx val="392733856"/>
        <c:crosses val="autoZero"/>
        <c:auto val="1"/>
        <c:lblAlgn val="ctr"/>
        <c:lblOffset val="50"/>
        <c:noMultiLvlLbl val="0"/>
      </c:catAx>
      <c:valAx>
        <c:axId val="392733856"/>
        <c:scaling>
          <c:orientation val="minMax"/>
          <c:max val="70000"/>
          <c:min val="-70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7993160"/>
        <c:crossesAt val="1"/>
        <c:crossBetween val="between"/>
        <c:majorUnit val="10000"/>
        <c:minorUnit val="2000"/>
      </c:valAx>
      <c:spPr>
        <a:solidFill>
          <a:srgbClr val="FFF7F7"/>
        </a:solidFill>
        <a:ln>
          <a:solidFill>
            <a:schemeClr val="bg1">
              <a:lumMod val="50000"/>
            </a:schemeClr>
          </a:solidFill>
        </a:ln>
        <a:effectLst/>
      </c:spPr>
    </c:plotArea>
    <c:legend>
      <c:legendPos val="b"/>
      <c:layout>
        <c:manualLayout>
          <c:xMode val="edge"/>
          <c:yMode val="edge"/>
          <c:x val="8.687899967560235E-2"/>
          <c:y val="0.31403562418775322"/>
          <c:w val="0.32739426596177312"/>
          <c:h val="0.2239120352674363"/>
        </c:manualLayout>
      </c:layout>
      <c:overlay val="0"/>
      <c:spPr>
        <a:noFill/>
        <a:ln w="25400">
          <a:noFill/>
        </a:ln>
      </c:spPr>
      <c:txPr>
        <a:bodyPr/>
        <a:lstStyle/>
        <a:p>
          <a:pPr>
            <a:defRPr sz="7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rgbClr val="333333"/>
                </a:solidFill>
                <a:latin typeface="Calibri"/>
                <a:ea typeface="Calibri"/>
                <a:cs typeface="Calibri"/>
              </a:defRPr>
            </a:pPr>
            <a:r>
              <a:rPr lang="en-US" sz="800"/>
              <a:t>Figure 3.14:  </a:t>
            </a:r>
            <a:r>
              <a:rPr lang="en-US" sz="800" b="1" i="0" baseline="0">
                <a:effectLst/>
              </a:rPr>
              <a:t>Population Pyramid of  Resident Maldivian and Foreigners  in Maldives, </a:t>
            </a:r>
            <a:r>
              <a:rPr lang="en-US" sz="800"/>
              <a:t>2030 </a:t>
            </a:r>
          </a:p>
        </c:rich>
      </c:tx>
      <c:layout>
        <c:manualLayout>
          <c:xMode val="edge"/>
          <c:yMode val="edge"/>
          <c:x val="0.17275858329222032"/>
          <c:y val="2.9148713453012221E-2"/>
        </c:manualLayout>
      </c:layout>
      <c:overlay val="0"/>
      <c:spPr>
        <a:noFill/>
        <a:ln w="25400">
          <a:noFill/>
        </a:ln>
      </c:spPr>
    </c:title>
    <c:autoTitleDeleted val="0"/>
    <c:plotArea>
      <c:layout>
        <c:manualLayout>
          <c:layoutTarget val="inner"/>
          <c:xMode val="edge"/>
          <c:yMode val="edge"/>
          <c:x val="6.8348684584871713E-2"/>
          <c:y val="0.11236306047660699"/>
          <c:w val="0.89809535295920884"/>
          <c:h val="0.83171336796050355"/>
        </c:manualLayout>
      </c:layout>
      <c:barChart>
        <c:barDir val="bar"/>
        <c:grouping val="clustered"/>
        <c:varyColors val="0"/>
        <c:ser>
          <c:idx val="2"/>
          <c:order val="0"/>
          <c:tx>
            <c:strRef>
              <c:f>'3.13'!$AQ$32:$AQ$33</c:f>
              <c:strCache>
                <c:ptCount val="2"/>
                <c:pt idx="0">
                  <c:v>Residential Maldivian 2030</c:v>
                </c:pt>
                <c:pt idx="1">
                  <c:v>Male</c:v>
                </c:pt>
              </c:strCache>
            </c:strRef>
          </c:tx>
          <c:spPr>
            <a:solidFill>
              <a:srgbClr val="C00000"/>
            </a:solidFill>
            <a:ln w="7620">
              <a:solidFill>
                <a:schemeClr val="bg1"/>
              </a:solidFill>
            </a:ln>
          </c:spPr>
          <c:invertIfNegative val="0"/>
          <c:cat>
            <c:strRef>
              <c:f>'3.13'!$AP$34:$AP$49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'3.13'!$AQ$34:$AQ$49</c:f>
              <c:numCache>
                <c:formatCode>General</c:formatCode>
                <c:ptCount val="16"/>
                <c:pt idx="0">
                  <c:v>-17612.54765760661</c:v>
                </c:pt>
                <c:pt idx="1">
                  <c:v>-18841.579429344354</c:v>
                </c:pt>
                <c:pt idx="2">
                  <c:v>-19544.063543475484</c:v>
                </c:pt>
                <c:pt idx="3">
                  <c:v>-20066.779776636948</c:v>
                </c:pt>
                <c:pt idx="4">
                  <c:v>-22716.290361734587</c:v>
                </c:pt>
                <c:pt idx="5">
                  <c:v>-18331.420128317488</c:v>
                </c:pt>
                <c:pt idx="6">
                  <c:v>-18446.18638980946</c:v>
                </c:pt>
                <c:pt idx="7">
                  <c:v>-16998.77117841769</c:v>
                </c:pt>
                <c:pt idx="8">
                  <c:v>-17280.369983001696</c:v>
                </c:pt>
                <c:pt idx="9">
                  <c:v>-14798.389358241351</c:v>
                </c:pt>
                <c:pt idx="10">
                  <c:v>-10751.958010565308</c:v>
                </c:pt>
                <c:pt idx="11">
                  <c:v>-8602.8836900694314</c:v>
                </c:pt>
                <c:pt idx="12">
                  <c:v>-7288.5568151493153</c:v>
                </c:pt>
                <c:pt idx="13">
                  <c:v>-6204.6672064925642</c:v>
                </c:pt>
                <c:pt idx="14">
                  <c:v>-4648.2224021641878</c:v>
                </c:pt>
                <c:pt idx="15">
                  <c:v>-4509.5794293443523</c:v>
                </c:pt>
              </c:numCache>
            </c:numRef>
          </c:val>
          <c:extLst>
            <c:ext xmlns:c16="http://schemas.microsoft.com/office/drawing/2014/chart" uri="{C3380CC4-5D6E-409C-BE32-E72D297353CC}">
              <c16:uniqueId val="{00000000-2D9A-49CA-96FC-8BBF04AD1140}"/>
            </c:ext>
          </c:extLst>
        </c:ser>
        <c:ser>
          <c:idx val="5"/>
          <c:order val="1"/>
          <c:tx>
            <c:strRef>
              <c:f>'3.13'!$AR$32:$AR$33</c:f>
              <c:strCache>
                <c:ptCount val="2"/>
                <c:pt idx="0">
                  <c:v>Residential Maldivian 2030</c:v>
                </c:pt>
                <c:pt idx="1">
                  <c:v>Female</c:v>
                </c:pt>
              </c:strCache>
            </c:strRef>
          </c:tx>
          <c:spPr>
            <a:solidFill>
              <a:srgbClr val="FFDDDD"/>
            </a:solidFill>
            <a:ln w="7620">
              <a:solidFill>
                <a:schemeClr val="bg1"/>
              </a:solidFill>
            </a:ln>
          </c:spPr>
          <c:invertIfNegative val="0"/>
          <c:cat>
            <c:strRef>
              <c:f>'3.13'!$AP$34:$AP$49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'3.13'!$AR$34:$AR$49</c:f>
              <c:numCache>
                <c:formatCode>#,##0_);\(#,##0\)</c:formatCode>
                <c:ptCount val="16"/>
                <c:pt idx="0">
                  <c:v>16348.547657606612</c:v>
                </c:pt>
                <c:pt idx="1">
                  <c:v>17330.51588586887</c:v>
                </c:pt>
                <c:pt idx="2">
                  <c:v>17864.063543475484</c:v>
                </c:pt>
                <c:pt idx="3">
                  <c:v>17018.603663017082</c:v>
                </c:pt>
                <c:pt idx="4">
                  <c:v>16906.541739019292</c:v>
                </c:pt>
                <c:pt idx="5">
                  <c:v>12976.429728198351</c:v>
                </c:pt>
                <c:pt idx="6">
                  <c:v>14632.698978230304</c:v>
                </c:pt>
                <c:pt idx="7">
                  <c:v>16851.801831508539</c:v>
                </c:pt>
                <c:pt idx="8">
                  <c:v>18907.222402164189</c:v>
                </c:pt>
                <c:pt idx="9">
                  <c:v>16686.063543475484</c:v>
                </c:pt>
                <c:pt idx="10">
                  <c:v>11935.158858688706</c:v>
                </c:pt>
                <c:pt idx="11">
                  <c:v>9795.5476576066121</c:v>
                </c:pt>
                <c:pt idx="12">
                  <c:v>8232.5476576066121</c:v>
                </c:pt>
                <c:pt idx="13">
                  <c:v>6786</c:v>
                </c:pt>
                <c:pt idx="14">
                  <c:v>4972.515885868871</c:v>
                </c:pt>
                <c:pt idx="15">
                  <c:v>4660.5158858688701</c:v>
                </c:pt>
              </c:numCache>
            </c:numRef>
          </c:val>
          <c:extLst>
            <c:ext xmlns:c16="http://schemas.microsoft.com/office/drawing/2014/chart" uri="{C3380CC4-5D6E-409C-BE32-E72D297353CC}">
              <c16:uniqueId val="{00000001-2D9A-49CA-96FC-8BBF04AD1140}"/>
            </c:ext>
          </c:extLst>
        </c:ser>
        <c:ser>
          <c:idx val="6"/>
          <c:order val="2"/>
          <c:tx>
            <c:strRef>
              <c:f>'3.13'!$AS$32:$AS$33</c:f>
              <c:strCache>
                <c:ptCount val="2"/>
                <c:pt idx="0">
                  <c:v>Resident Foreigners 2030</c:v>
                </c:pt>
                <c:pt idx="1">
                  <c:v>Male</c:v>
                </c:pt>
              </c:strCache>
            </c:strRef>
          </c:tx>
          <c:spPr>
            <a:noFill/>
            <a:ln>
              <a:solidFill>
                <a:srgbClr val="FF5050"/>
              </a:solidFill>
            </a:ln>
          </c:spPr>
          <c:invertIfNegative val="0"/>
          <c:cat>
            <c:strRef>
              <c:f>'3.13'!$AP$34:$AP$49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'3.13'!$AS$34:$AS$49</c:f>
              <c:numCache>
                <c:formatCode>General</c:formatCode>
                <c:ptCount val="16"/>
                <c:pt idx="0">
                  <c:v>-1157.9287043641234</c:v>
                </c:pt>
                <c:pt idx="1">
                  <c:v>-671.17592476146115</c:v>
                </c:pt>
                <c:pt idx="2">
                  <c:v>-382.21438671313183</c:v>
                </c:pt>
                <c:pt idx="3">
                  <c:v>-3882.3541830141735</c:v>
                </c:pt>
                <c:pt idx="4">
                  <c:v>-37294.543620769597</c:v>
                </c:pt>
                <c:pt idx="5">
                  <c:v>-60750.289064738405</c:v>
                </c:pt>
                <c:pt idx="6">
                  <c:v>-42613.784647061708</c:v>
                </c:pt>
                <c:pt idx="7">
                  <c:v>-27300.545401678988</c:v>
                </c:pt>
                <c:pt idx="8">
                  <c:v>-16990.940500054967</c:v>
                </c:pt>
                <c:pt idx="9">
                  <c:v>-9702.4021485164158</c:v>
                </c:pt>
                <c:pt idx="10">
                  <c:v>-4587.1023923223202</c:v>
                </c:pt>
                <c:pt idx="11">
                  <c:v>-1807.9426554743077</c:v>
                </c:pt>
                <c:pt idx="12">
                  <c:v>-676.82198670519392</c:v>
                </c:pt>
                <c:pt idx="13">
                  <c:v>-241.31837799425</c:v>
                </c:pt>
                <c:pt idx="14">
                  <c:v>-114.93141475534074</c:v>
                </c:pt>
                <c:pt idx="15" formatCode="#,##0_);\(#,##0\)">
                  <c:v>-107.25188136825139</c:v>
                </c:pt>
              </c:numCache>
            </c:numRef>
          </c:val>
          <c:extLst>
            <c:ext xmlns:c16="http://schemas.microsoft.com/office/drawing/2014/chart" uri="{C3380CC4-5D6E-409C-BE32-E72D297353CC}">
              <c16:uniqueId val="{00000002-2D9A-49CA-96FC-8BBF04AD1140}"/>
            </c:ext>
          </c:extLst>
        </c:ser>
        <c:ser>
          <c:idx val="7"/>
          <c:order val="3"/>
          <c:tx>
            <c:strRef>
              <c:f>'3.13'!$AT$32:$AT$33</c:f>
              <c:strCache>
                <c:ptCount val="2"/>
                <c:pt idx="0">
                  <c:v>Resident Foreigners 2030</c:v>
                </c:pt>
                <c:pt idx="1">
                  <c:v>Female</c:v>
                </c:pt>
              </c:strCache>
            </c:strRef>
          </c:tx>
          <c:spPr>
            <a:noFill/>
            <a:ln>
              <a:solidFill>
                <a:srgbClr val="CC0066"/>
              </a:solidFill>
            </a:ln>
          </c:spPr>
          <c:invertIfNegative val="0"/>
          <c:cat>
            <c:strRef>
              <c:f>'3.13'!$AP$34:$AP$49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'3.13'!$AT$34:$AT$49</c:f>
              <c:numCache>
                <c:formatCode>#,##0_);\(#,##0\)</c:formatCode>
                <c:ptCount val="16"/>
                <c:pt idx="0">
                  <c:v>820.25353613593177</c:v>
                </c:pt>
                <c:pt idx="1">
                  <c:v>387.98475842878872</c:v>
                </c:pt>
                <c:pt idx="2">
                  <c:v>195.32092197208985</c:v>
                </c:pt>
                <c:pt idx="3">
                  <c:v>336.03851480944616</c:v>
                </c:pt>
                <c:pt idx="4">
                  <c:v>2214.8190283280746</c:v>
                </c:pt>
                <c:pt idx="5">
                  <c:v>5434.5272457174424</c:v>
                </c:pt>
                <c:pt idx="6">
                  <c:v>4347.6018351635703</c:v>
                </c:pt>
                <c:pt idx="7">
                  <c:v>2895.8979147180862</c:v>
                </c:pt>
                <c:pt idx="8">
                  <c:v>1640.4094831544364</c:v>
                </c:pt>
                <c:pt idx="9">
                  <c:v>1075.2479854799701</c:v>
                </c:pt>
                <c:pt idx="10">
                  <c:v>580.40462209192083</c:v>
                </c:pt>
                <c:pt idx="11">
                  <c:v>327.91274216068092</c:v>
                </c:pt>
                <c:pt idx="12">
                  <c:v>143.17950011789392</c:v>
                </c:pt>
                <c:pt idx="13">
                  <c:v>52.060097589673653</c:v>
                </c:pt>
                <c:pt idx="14">
                  <c:v>15.609083607804646</c:v>
                </c:pt>
                <c:pt idx="15">
                  <c:v>7.8167404435806649</c:v>
                </c:pt>
              </c:numCache>
            </c:numRef>
          </c:val>
          <c:extLst>
            <c:ext xmlns:c16="http://schemas.microsoft.com/office/drawing/2014/chart" uri="{C3380CC4-5D6E-409C-BE32-E72D297353CC}">
              <c16:uniqueId val="{00000003-2D9A-49CA-96FC-8BBF04AD1140}"/>
            </c:ext>
          </c:extLst>
        </c:ser>
        <c:dLbls>
          <c:showLegendKey val="0"/>
          <c:showVal val="0"/>
          <c:showCatName val="0"/>
          <c:showSerName val="0"/>
          <c:showPercent val="0"/>
          <c:showBubbleSize val="0"/>
        </c:dLbls>
        <c:gapWidth val="0"/>
        <c:overlap val="100"/>
        <c:axId val="499762896"/>
        <c:axId val="499765640"/>
      </c:barChart>
      <c:catAx>
        <c:axId val="499762896"/>
        <c:scaling>
          <c:orientation val="minMax"/>
        </c:scaling>
        <c:delete val="0"/>
        <c:axPos val="l"/>
        <c:numFmt formatCode="#,##0.00" sourceLinked="0"/>
        <c:majorTickMark val="none"/>
        <c:minorTickMark val="none"/>
        <c:tickLblPos val="low"/>
        <c:spPr>
          <a:noFill/>
          <a:ln w="12700" cap="flat" cmpd="sng" algn="ctr">
            <a:solidFill>
              <a:schemeClr val="bg1">
                <a:lumMod val="6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99765640"/>
        <c:crosses val="autoZero"/>
        <c:auto val="1"/>
        <c:lblAlgn val="ctr"/>
        <c:lblOffset val="50"/>
        <c:noMultiLvlLbl val="0"/>
      </c:catAx>
      <c:valAx>
        <c:axId val="499765640"/>
        <c:scaling>
          <c:orientation val="minMax"/>
          <c:max val="70000"/>
          <c:min val="-70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9762896"/>
        <c:crossesAt val="1"/>
        <c:crossBetween val="between"/>
        <c:majorUnit val="10000"/>
      </c:valAx>
      <c:spPr>
        <a:solidFill>
          <a:srgbClr val="FFF7F7"/>
        </a:solidFill>
        <a:ln>
          <a:solidFill>
            <a:schemeClr val="bg1">
              <a:lumMod val="50000"/>
            </a:schemeClr>
          </a:solidFill>
        </a:ln>
        <a:effectLst/>
      </c:spPr>
    </c:plotArea>
    <c:legend>
      <c:legendPos val="b"/>
      <c:layout>
        <c:manualLayout>
          <c:xMode val="edge"/>
          <c:yMode val="edge"/>
          <c:x val="9.2044493397602165E-2"/>
          <c:y val="0.28443183860020299"/>
          <c:w val="0.29242277461325222"/>
          <c:h val="0.22132398903688033"/>
        </c:manualLayout>
      </c:layout>
      <c:overlay val="0"/>
      <c:spPr>
        <a:noFill/>
        <a:ln w="25400">
          <a:noFill/>
        </a:ln>
      </c:spPr>
      <c:txPr>
        <a:bodyPr/>
        <a:lstStyle/>
        <a:p>
          <a:pPr>
            <a:defRPr sz="7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Calibri"/>
                <a:ea typeface="Calibri"/>
                <a:cs typeface="Calibri"/>
              </a:defRPr>
            </a:pPr>
            <a:r>
              <a:rPr lang="en-US" sz="800"/>
              <a:t>Figure 3.15: Population Pyramid of</a:t>
            </a:r>
            <a:r>
              <a:rPr lang="en-US" sz="800" baseline="0"/>
              <a:t> </a:t>
            </a:r>
            <a:r>
              <a:rPr lang="en-US" sz="800"/>
              <a:t> Resident Maldivian and Foreigners  in Male', 2022 </a:t>
            </a:r>
          </a:p>
        </c:rich>
      </c:tx>
      <c:layout>
        <c:manualLayout>
          <c:xMode val="edge"/>
          <c:yMode val="edge"/>
          <c:x val="0.12281198476723695"/>
          <c:y val="3.6408211173304228E-2"/>
        </c:manualLayout>
      </c:layout>
      <c:overlay val="0"/>
      <c:spPr>
        <a:noFill/>
        <a:ln w="25400">
          <a:noFill/>
        </a:ln>
      </c:spPr>
    </c:title>
    <c:autoTitleDeleted val="0"/>
    <c:plotArea>
      <c:layout>
        <c:manualLayout>
          <c:layoutTarget val="inner"/>
          <c:xMode val="edge"/>
          <c:yMode val="edge"/>
          <c:x val="7.0076358733968988E-2"/>
          <c:y val="0.10450367322841224"/>
          <c:w val="0.89809535295920884"/>
          <c:h val="0.80771417550435465"/>
        </c:manualLayout>
      </c:layout>
      <c:barChart>
        <c:barDir val="bar"/>
        <c:grouping val="clustered"/>
        <c:varyColors val="0"/>
        <c:ser>
          <c:idx val="2"/>
          <c:order val="0"/>
          <c:tx>
            <c:strRef>
              <c:f>'3.14'!$AK$5:$AK$6</c:f>
              <c:strCache>
                <c:ptCount val="2"/>
                <c:pt idx="0">
                  <c:v>Residential Maldivian 2022</c:v>
                </c:pt>
                <c:pt idx="1">
                  <c:v>Male</c:v>
                </c:pt>
              </c:strCache>
            </c:strRef>
          </c:tx>
          <c:spPr>
            <a:solidFill>
              <a:srgbClr val="C00000"/>
            </a:solidFill>
            <a:ln w="6350">
              <a:solidFill>
                <a:schemeClr val="bg1"/>
              </a:solidFill>
              <a:prstDash val="solid"/>
            </a:ln>
          </c:spPr>
          <c:invertIfNegative val="0"/>
          <c:cat>
            <c:strRef>
              <c:f>'3.14'!$AJ$7:$AJ$22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'3.14'!$AK$7:$AK$22</c:f>
              <c:numCache>
                <c:formatCode>0</c:formatCode>
                <c:ptCount val="16"/>
                <c:pt idx="0">
                  <c:v>-8395</c:v>
                </c:pt>
                <c:pt idx="1">
                  <c:v>-7106</c:v>
                </c:pt>
                <c:pt idx="2">
                  <c:v>-6673</c:v>
                </c:pt>
                <c:pt idx="3">
                  <c:v>-5081</c:v>
                </c:pt>
                <c:pt idx="4">
                  <c:v>-5439</c:v>
                </c:pt>
                <c:pt idx="5">
                  <c:v>-9069</c:v>
                </c:pt>
                <c:pt idx="6">
                  <c:v>-9211</c:v>
                </c:pt>
                <c:pt idx="7">
                  <c:v>-8689</c:v>
                </c:pt>
                <c:pt idx="8">
                  <c:v>-6543</c:v>
                </c:pt>
                <c:pt idx="9">
                  <c:v>-5225</c:v>
                </c:pt>
                <c:pt idx="10">
                  <c:v>-4322</c:v>
                </c:pt>
                <c:pt idx="11">
                  <c:v>-3311</c:v>
                </c:pt>
                <c:pt idx="12">
                  <c:v>-2573</c:v>
                </c:pt>
                <c:pt idx="13">
                  <c:v>-1517</c:v>
                </c:pt>
                <c:pt idx="14">
                  <c:v>-889</c:v>
                </c:pt>
                <c:pt idx="15">
                  <c:v>-1140</c:v>
                </c:pt>
              </c:numCache>
            </c:numRef>
          </c:val>
          <c:extLst>
            <c:ext xmlns:c16="http://schemas.microsoft.com/office/drawing/2014/chart" uri="{C3380CC4-5D6E-409C-BE32-E72D297353CC}">
              <c16:uniqueId val="{00000000-BAFA-4BE5-BF44-D76002E3A0CD}"/>
            </c:ext>
          </c:extLst>
        </c:ser>
        <c:ser>
          <c:idx val="6"/>
          <c:order val="1"/>
          <c:tx>
            <c:strRef>
              <c:f>'3.14'!$AL$5:$AL$6</c:f>
              <c:strCache>
                <c:ptCount val="2"/>
                <c:pt idx="0">
                  <c:v>Residential Maldivian 2022</c:v>
                </c:pt>
                <c:pt idx="1">
                  <c:v>Female</c:v>
                </c:pt>
              </c:strCache>
            </c:strRef>
          </c:tx>
          <c:spPr>
            <a:solidFill>
              <a:srgbClr val="FFDDDD"/>
            </a:solidFill>
            <a:ln>
              <a:solidFill>
                <a:schemeClr val="bg1"/>
              </a:solidFill>
            </a:ln>
            <a:effectLst/>
          </c:spPr>
          <c:invertIfNegative val="0"/>
          <c:cat>
            <c:strRef>
              <c:f>'3.14'!$AJ$7:$AJ$22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'3.14'!$AL$7:$AL$22</c:f>
              <c:numCache>
                <c:formatCode>0</c:formatCode>
                <c:ptCount val="16"/>
                <c:pt idx="0">
                  <c:v>7822</c:v>
                </c:pt>
                <c:pt idx="1">
                  <c:v>6625</c:v>
                </c:pt>
                <c:pt idx="2">
                  <c:v>6225</c:v>
                </c:pt>
                <c:pt idx="3">
                  <c:v>4980</c:v>
                </c:pt>
                <c:pt idx="4">
                  <c:v>5421</c:v>
                </c:pt>
                <c:pt idx="5">
                  <c:v>9956</c:v>
                </c:pt>
                <c:pt idx="6">
                  <c:v>9604</c:v>
                </c:pt>
                <c:pt idx="7">
                  <c:v>8948</c:v>
                </c:pt>
                <c:pt idx="8">
                  <c:v>6792</c:v>
                </c:pt>
                <c:pt idx="9">
                  <c:v>4979</c:v>
                </c:pt>
                <c:pt idx="10">
                  <c:v>4256</c:v>
                </c:pt>
                <c:pt idx="11">
                  <c:v>3344</c:v>
                </c:pt>
                <c:pt idx="12">
                  <c:v>2658</c:v>
                </c:pt>
                <c:pt idx="13">
                  <c:v>1514</c:v>
                </c:pt>
                <c:pt idx="14">
                  <c:v>951</c:v>
                </c:pt>
                <c:pt idx="15">
                  <c:v>1310</c:v>
                </c:pt>
              </c:numCache>
            </c:numRef>
          </c:val>
          <c:extLst>
            <c:ext xmlns:c16="http://schemas.microsoft.com/office/drawing/2014/chart" uri="{C3380CC4-5D6E-409C-BE32-E72D297353CC}">
              <c16:uniqueId val="{00000001-BAFA-4BE5-BF44-D76002E3A0CD}"/>
            </c:ext>
          </c:extLst>
        </c:ser>
        <c:ser>
          <c:idx val="7"/>
          <c:order val="2"/>
          <c:tx>
            <c:strRef>
              <c:f>'3.14'!$AM$5:$AM$6</c:f>
              <c:strCache>
                <c:ptCount val="2"/>
                <c:pt idx="0">
                  <c:v>Resident Foreigners 2022</c:v>
                </c:pt>
                <c:pt idx="1">
                  <c:v>Male</c:v>
                </c:pt>
              </c:strCache>
            </c:strRef>
          </c:tx>
          <c:spPr>
            <a:noFill/>
            <a:ln>
              <a:solidFill>
                <a:srgbClr val="FF8181"/>
              </a:solidFill>
              <a:prstDash val="solid"/>
            </a:ln>
            <a:effectLst/>
          </c:spPr>
          <c:invertIfNegative val="0"/>
          <c:cat>
            <c:strRef>
              <c:f>'3.14'!$AJ$7:$AJ$22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'3.14'!$AM$7:$AM$22</c:f>
              <c:numCache>
                <c:formatCode>0</c:formatCode>
                <c:ptCount val="16"/>
                <c:pt idx="0">
                  <c:v>-492.57716966090123</c:v>
                </c:pt>
                <c:pt idx="1">
                  <c:v>-326.37014922317366</c:v>
                </c:pt>
                <c:pt idx="2">
                  <c:v>-166.20702043772735</c:v>
                </c:pt>
                <c:pt idx="3">
                  <c:v>-1362.8975675893646</c:v>
                </c:pt>
                <c:pt idx="4">
                  <c:v>-13505.075897021881</c:v>
                </c:pt>
                <c:pt idx="5">
                  <c:v>-19216.553508427431</c:v>
                </c:pt>
                <c:pt idx="6">
                  <c:v>-11719.105913772852</c:v>
                </c:pt>
                <c:pt idx="7">
                  <c:v>-7355.4161408259715</c:v>
                </c:pt>
                <c:pt idx="8">
                  <c:v>-4532.918739210746</c:v>
                </c:pt>
                <c:pt idx="9">
                  <c:v>-2725.7951351787292</c:v>
                </c:pt>
                <c:pt idx="10">
                  <c:v>-1160.4271972379513</c:v>
                </c:pt>
                <c:pt idx="11">
                  <c:v>-465.37965722563666</c:v>
                </c:pt>
                <c:pt idx="12">
                  <c:v>-190.38258704685134</c:v>
                </c:pt>
                <c:pt idx="13">
                  <c:v>-96.702266436495918</c:v>
                </c:pt>
                <c:pt idx="14">
                  <c:v>-57.416970696669445</c:v>
                </c:pt>
                <c:pt idx="15">
                  <c:v>-72.526699827371942</c:v>
                </c:pt>
              </c:numCache>
            </c:numRef>
          </c:val>
          <c:extLst>
            <c:ext xmlns:c16="http://schemas.microsoft.com/office/drawing/2014/chart" uri="{C3380CC4-5D6E-409C-BE32-E72D297353CC}">
              <c16:uniqueId val="{00000002-BAFA-4BE5-BF44-D76002E3A0CD}"/>
            </c:ext>
          </c:extLst>
        </c:ser>
        <c:ser>
          <c:idx val="0"/>
          <c:order val="3"/>
          <c:tx>
            <c:strRef>
              <c:f>'3.14'!$AN$5:$AN$6</c:f>
              <c:strCache>
                <c:ptCount val="2"/>
                <c:pt idx="0">
                  <c:v>Resident Foreigners 2022</c:v>
                </c:pt>
                <c:pt idx="1">
                  <c:v>Female</c:v>
                </c:pt>
              </c:strCache>
            </c:strRef>
          </c:tx>
          <c:spPr>
            <a:noFill/>
            <a:ln w="9525">
              <a:solidFill>
                <a:srgbClr val="CC0066"/>
              </a:solidFill>
            </a:ln>
          </c:spPr>
          <c:invertIfNegative val="0"/>
          <c:cat>
            <c:strRef>
              <c:f>'3.14'!$AJ$7:$AJ$22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'3.14'!$AN$7:$AN$22</c:f>
              <c:numCache>
                <c:formatCode>#,##0</c:formatCode>
                <c:ptCount val="16"/>
                <c:pt idx="0">
                  <c:v>355.51456851278829</c:v>
                </c:pt>
                <c:pt idx="1">
                  <c:v>170.30638012588659</c:v>
                </c:pt>
                <c:pt idx="2">
                  <c:v>78.766700808222552</c:v>
                </c:pt>
                <c:pt idx="3">
                  <c:v>112.82797683339987</c:v>
                </c:pt>
                <c:pt idx="4">
                  <c:v>583.29935193116148</c:v>
                </c:pt>
                <c:pt idx="5">
                  <c:v>1666.873695482115</c:v>
                </c:pt>
                <c:pt idx="6">
                  <c:v>1475.2790178404923</c:v>
                </c:pt>
                <c:pt idx="7">
                  <c:v>1183.6293418749119</c:v>
                </c:pt>
                <c:pt idx="8">
                  <c:v>736.57509404445943</c:v>
                </c:pt>
                <c:pt idx="9">
                  <c:v>517.30562963238049</c:v>
                </c:pt>
                <c:pt idx="10">
                  <c:v>325.71095199075813</c:v>
                </c:pt>
                <c:pt idx="11">
                  <c:v>191.59467764162241</c:v>
                </c:pt>
                <c:pt idx="12">
                  <c:v>72.380211553501795</c:v>
                </c:pt>
                <c:pt idx="13">
                  <c:v>27.674786770456571</c:v>
                </c:pt>
                <c:pt idx="14">
                  <c:v>10.644148757867912</c:v>
                </c:pt>
                <c:pt idx="15">
                  <c:v>2.1288297515735826</c:v>
                </c:pt>
              </c:numCache>
            </c:numRef>
          </c:val>
          <c:extLst>
            <c:ext xmlns:c16="http://schemas.microsoft.com/office/drawing/2014/chart" uri="{C3380CC4-5D6E-409C-BE32-E72D297353CC}">
              <c16:uniqueId val="{00000003-BAFA-4BE5-BF44-D76002E3A0CD}"/>
            </c:ext>
          </c:extLst>
        </c:ser>
        <c:dLbls>
          <c:showLegendKey val="0"/>
          <c:showVal val="0"/>
          <c:showCatName val="0"/>
          <c:showSerName val="0"/>
          <c:showPercent val="0"/>
          <c:showBubbleSize val="0"/>
        </c:dLbls>
        <c:gapWidth val="0"/>
        <c:overlap val="100"/>
        <c:axId val="499766424"/>
        <c:axId val="499767208"/>
      </c:barChart>
      <c:catAx>
        <c:axId val="499766424"/>
        <c:scaling>
          <c:orientation val="minMax"/>
        </c:scaling>
        <c:delete val="0"/>
        <c:axPos val="l"/>
        <c:numFmt formatCode="#,##0.00" sourceLinked="0"/>
        <c:majorTickMark val="none"/>
        <c:minorTickMark val="none"/>
        <c:tickLblPos val="low"/>
        <c:spPr>
          <a:noFill/>
          <a:ln w="19050" cap="flat" cmpd="sng" algn="ctr">
            <a:solidFill>
              <a:schemeClr val="bg1">
                <a:lumMod val="65000"/>
              </a:schemeClr>
            </a:solidFill>
            <a:round/>
          </a:ln>
          <a:effectLst/>
        </c:spPr>
        <c:txPr>
          <a:bodyPr rot="0" vert="horz"/>
          <a:lstStyle/>
          <a:p>
            <a:pPr>
              <a:defRPr sz="800" b="0" i="0" u="none" strike="noStrike" baseline="0">
                <a:solidFill>
                  <a:srgbClr val="333333"/>
                </a:solidFill>
                <a:latin typeface="Calibri"/>
                <a:ea typeface="Calibri"/>
                <a:cs typeface="Calibri"/>
              </a:defRPr>
            </a:pPr>
            <a:endParaRPr lang="en-US"/>
          </a:p>
        </c:txPr>
        <c:crossAx val="499767208"/>
        <c:crosses val="autoZero"/>
        <c:auto val="1"/>
        <c:lblAlgn val="ctr"/>
        <c:lblOffset val="50"/>
        <c:noMultiLvlLbl val="0"/>
      </c:catAx>
      <c:valAx>
        <c:axId val="499767208"/>
        <c:scaling>
          <c:orientation val="minMax"/>
          <c:max val="25000"/>
          <c:min val="-25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9766424"/>
        <c:crossesAt val="1"/>
        <c:crossBetween val="between"/>
        <c:majorUnit val="5000"/>
        <c:minorUnit val="2000"/>
      </c:valAx>
      <c:spPr>
        <a:solidFill>
          <a:srgbClr val="FFF7F7"/>
        </a:solidFill>
        <a:ln>
          <a:solidFill>
            <a:schemeClr val="bg1">
              <a:lumMod val="50000"/>
            </a:schemeClr>
          </a:solidFill>
        </a:ln>
        <a:effectLst/>
      </c:spPr>
    </c:plotArea>
    <c:legend>
      <c:legendPos val="b"/>
      <c:layout>
        <c:manualLayout>
          <c:xMode val="edge"/>
          <c:yMode val="edge"/>
          <c:x val="7.4319195850644143E-2"/>
          <c:y val="0.28350661293605633"/>
          <c:w val="0.33259486150404505"/>
          <c:h val="0.23194011581375643"/>
        </c:manualLayout>
      </c:layout>
      <c:overlay val="0"/>
      <c:spPr>
        <a:noFill/>
        <a:ln w="25400">
          <a:noFill/>
        </a:ln>
      </c:spPr>
      <c:txPr>
        <a:bodyPr/>
        <a:lstStyle/>
        <a:p>
          <a:pPr>
            <a:defRPr sz="8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rgbClr val="333333"/>
                </a:solidFill>
                <a:latin typeface="Calibri"/>
                <a:ea typeface="Calibri"/>
                <a:cs typeface="Calibri"/>
              </a:defRPr>
            </a:pPr>
            <a:r>
              <a:rPr lang="en-US" sz="800"/>
              <a:t>Figure 3.16:  </a:t>
            </a:r>
            <a:r>
              <a:rPr lang="en-US" sz="800" b="1" i="0" baseline="0">
                <a:effectLst/>
              </a:rPr>
              <a:t>Population Pyramid of  Resident Maldivian and Foreigners  in Male', </a:t>
            </a:r>
            <a:r>
              <a:rPr lang="en-US" sz="800"/>
              <a:t>2030 </a:t>
            </a:r>
          </a:p>
        </c:rich>
      </c:tx>
      <c:layout>
        <c:manualLayout>
          <c:xMode val="edge"/>
          <c:yMode val="edge"/>
          <c:x val="0.16064817534285031"/>
          <c:y val="3.7071522238483992E-2"/>
        </c:manualLayout>
      </c:layout>
      <c:overlay val="0"/>
      <c:spPr>
        <a:noFill/>
        <a:ln w="25400">
          <a:noFill/>
        </a:ln>
      </c:spPr>
    </c:title>
    <c:autoTitleDeleted val="0"/>
    <c:plotArea>
      <c:layout>
        <c:manualLayout>
          <c:layoutTarget val="inner"/>
          <c:xMode val="edge"/>
          <c:yMode val="edge"/>
          <c:x val="6.8348684584871713E-2"/>
          <c:y val="0.11236306047660699"/>
          <c:w val="0.89809535295920884"/>
          <c:h val="0.83171336796050355"/>
        </c:manualLayout>
      </c:layout>
      <c:barChart>
        <c:barDir val="bar"/>
        <c:grouping val="clustered"/>
        <c:varyColors val="0"/>
        <c:ser>
          <c:idx val="2"/>
          <c:order val="0"/>
          <c:tx>
            <c:strRef>
              <c:f>'3.14'!$AK$32:$AK$33</c:f>
              <c:strCache>
                <c:ptCount val="2"/>
                <c:pt idx="0">
                  <c:v>Residential Maldivian 2030</c:v>
                </c:pt>
                <c:pt idx="1">
                  <c:v>Male</c:v>
                </c:pt>
              </c:strCache>
            </c:strRef>
          </c:tx>
          <c:spPr>
            <a:solidFill>
              <a:srgbClr val="C00000"/>
            </a:solidFill>
            <a:ln w="6350">
              <a:solidFill>
                <a:schemeClr val="bg1"/>
              </a:solidFill>
            </a:ln>
            <a:effectLst/>
          </c:spPr>
          <c:invertIfNegative val="0"/>
          <c:cat>
            <c:strRef>
              <c:extLst>
                <c:ext xmlns:c15="http://schemas.microsoft.com/office/drawing/2012/chart" uri="{02D57815-91ED-43cb-92C2-25804820EDAC}">
                  <c15:fullRef>
                    <c15:sqref>'3.14'!$AJ$34:$AJ$50</c15:sqref>
                  </c15:fullRef>
                </c:ext>
              </c:extLst>
              <c:f>'3.14'!$AJ$34:$AJ$49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extLst>
                <c:ext xmlns:c15="http://schemas.microsoft.com/office/drawing/2012/chart" uri="{02D57815-91ED-43cb-92C2-25804820EDAC}">
                  <c15:fullRef>
                    <c15:sqref>'3.14'!$AK$34:$AK$50</c15:sqref>
                  </c15:fullRef>
                </c:ext>
              </c:extLst>
              <c:f>'3.14'!$AK$34:$AK$49</c:f>
              <c:numCache>
                <c:formatCode>0</c:formatCode>
                <c:ptCount val="16"/>
                <c:pt idx="0">
                  <c:v>-8496</c:v>
                </c:pt>
                <c:pt idx="1">
                  <c:v>-8824</c:v>
                </c:pt>
                <c:pt idx="2">
                  <c:v>-8398</c:v>
                </c:pt>
                <c:pt idx="3">
                  <c:v>-7477</c:v>
                </c:pt>
                <c:pt idx="4">
                  <c:v>-7328</c:v>
                </c:pt>
                <c:pt idx="5">
                  <c:v>-6437</c:v>
                </c:pt>
                <c:pt idx="6">
                  <c:v>-8460</c:v>
                </c:pt>
                <c:pt idx="7">
                  <c:v>-10564</c:v>
                </c:pt>
                <c:pt idx="8">
                  <c:v>-10108</c:v>
                </c:pt>
                <c:pt idx="9">
                  <c:v>-8628</c:v>
                </c:pt>
                <c:pt idx="10">
                  <c:v>-6383</c:v>
                </c:pt>
                <c:pt idx="11">
                  <c:v>-5048</c:v>
                </c:pt>
                <c:pt idx="12">
                  <c:v>-3916</c:v>
                </c:pt>
                <c:pt idx="13">
                  <c:v>-2980</c:v>
                </c:pt>
                <c:pt idx="14">
                  <c:v>-1877</c:v>
                </c:pt>
                <c:pt idx="15">
                  <c:v>-1838</c:v>
                </c:pt>
              </c:numCache>
            </c:numRef>
          </c:val>
          <c:extLst>
            <c:ext xmlns:c16="http://schemas.microsoft.com/office/drawing/2014/chart" uri="{C3380CC4-5D6E-409C-BE32-E72D297353CC}">
              <c16:uniqueId val="{00000000-29F5-47C9-9DE8-6A477AD12621}"/>
            </c:ext>
          </c:extLst>
        </c:ser>
        <c:ser>
          <c:idx val="5"/>
          <c:order val="1"/>
          <c:tx>
            <c:strRef>
              <c:f>'3.14'!$AL$32:$AL$33</c:f>
              <c:strCache>
                <c:ptCount val="2"/>
                <c:pt idx="0">
                  <c:v>Residential Maldivian 2030</c:v>
                </c:pt>
                <c:pt idx="1">
                  <c:v>Female</c:v>
                </c:pt>
              </c:strCache>
            </c:strRef>
          </c:tx>
          <c:spPr>
            <a:solidFill>
              <a:srgbClr val="FFDDDD"/>
            </a:solidFill>
            <a:ln w="6350">
              <a:solidFill>
                <a:schemeClr val="bg1"/>
              </a:solidFill>
              <a:prstDash val="solid"/>
            </a:ln>
          </c:spPr>
          <c:invertIfNegative val="0"/>
          <c:cat>
            <c:strRef>
              <c:extLst>
                <c:ext xmlns:c15="http://schemas.microsoft.com/office/drawing/2012/chart" uri="{02D57815-91ED-43cb-92C2-25804820EDAC}">
                  <c15:fullRef>
                    <c15:sqref>'3.14'!$AJ$34:$AJ$50</c15:sqref>
                  </c15:fullRef>
                </c:ext>
              </c:extLst>
              <c:f>'3.14'!$AJ$34:$AJ$49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extLst>
                <c:ext xmlns:c15="http://schemas.microsoft.com/office/drawing/2012/chart" uri="{02D57815-91ED-43cb-92C2-25804820EDAC}">
                  <c15:fullRef>
                    <c15:sqref>'3.14'!$AL$34:$AL$50</c15:sqref>
                  </c15:fullRef>
                </c:ext>
              </c:extLst>
              <c:f>'3.14'!$AL$34:$AL$49</c:f>
              <c:numCache>
                <c:formatCode>0</c:formatCode>
                <c:ptCount val="16"/>
                <c:pt idx="0">
                  <c:v>7944</c:v>
                </c:pt>
                <c:pt idx="1">
                  <c:v>8212</c:v>
                </c:pt>
                <c:pt idx="2">
                  <c:v>7800</c:v>
                </c:pt>
                <c:pt idx="3">
                  <c:v>6865</c:v>
                </c:pt>
                <c:pt idx="4">
                  <c:v>7334</c:v>
                </c:pt>
                <c:pt idx="5">
                  <c:v>6491</c:v>
                </c:pt>
                <c:pt idx="6">
                  <c:v>8956</c:v>
                </c:pt>
                <c:pt idx="7">
                  <c:v>11335</c:v>
                </c:pt>
                <c:pt idx="8">
                  <c:v>10372</c:v>
                </c:pt>
                <c:pt idx="9">
                  <c:v>8988</c:v>
                </c:pt>
                <c:pt idx="10">
                  <c:v>6434</c:v>
                </c:pt>
                <c:pt idx="11">
                  <c:v>4988</c:v>
                </c:pt>
                <c:pt idx="12">
                  <c:v>3892</c:v>
                </c:pt>
                <c:pt idx="13">
                  <c:v>3053</c:v>
                </c:pt>
                <c:pt idx="14">
                  <c:v>2083</c:v>
                </c:pt>
                <c:pt idx="15">
                  <c:v>1967</c:v>
                </c:pt>
              </c:numCache>
            </c:numRef>
          </c:val>
          <c:extLst>
            <c:ext xmlns:c16="http://schemas.microsoft.com/office/drawing/2014/chart" uri="{C3380CC4-5D6E-409C-BE32-E72D297353CC}">
              <c16:uniqueId val="{00000001-29F5-47C9-9DE8-6A477AD12621}"/>
            </c:ext>
          </c:extLst>
        </c:ser>
        <c:ser>
          <c:idx val="6"/>
          <c:order val="2"/>
          <c:tx>
            <c:strRef>
              <c:f>'3.14'!$AM$32:$AM$33</c:f>
              <c:strCache>
                <c:ptCount val="2"/>
                <c:pt idx="0">
                  <c:v>Resident Foreigners 2030</c:v>
                </c:pt>
                <c:pt idx="1">
                  <c:v>Male</c:v>
                </c:pt>
              </c:strCache>
            </c:strRef>
          </c:tx>
          <c:spPr>
            <a:noFill/>
            <a:ln>
              <a:solidFill>
                <a:srgbClr val="FF8181"/>
              </a:solidFill>
              <a:prstDash val="solid"/>
            </a:ln>
            <a:effectLst/>
          </c:spPr>
          <c:invertIfNegative val="0"/>
          <c:cat>
            <c:strRef>
              <c:extLst>
                <c:ext xmlns:c15="http://schemas.microsoft.com/office/drawing/2012/chart" uri="{02D57815-91ED-43cb-92C2-25804820EDAC}">
                  <c15:fullRef>
                    <c15:sqref>'3.14'!$AJ$34:$AJ$50</c15:sqref>
                  </c15:fullRef>
                </c:ext>
              </c:extLst>
              <c:f>'3.14'!$AJ$34:$AJ$49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extLst>
                <c:ext xmlns:c15="http://schemas.microsoft.com/office/drawing/2012/chart" uri="{02D57815-91ED-43cb-92C2-25804820EDAC}">
                  <c15:fullRef>
                    <c15:sqref>'3.14'!$AM$34:$AM$50</c15:sqref>
                  </c15:fullRef>
                </c:ext>
              </c:extLst>
              <c:f>'3.14'!$AM$34:$AM$49</c:f>
              <c:numCache>
                <c:formatCode>0</c:formatCode>
                <c:ptCount val="16"/>
                <c:pt idx="0">
                  <c:v>-601.63511363055454</c:v>
                </c:pt>
                <c:pt idx="1">
                  <c:v>-398.62940044233051</c:v>
                </c:pt>
                <c:pt idx="2">
                  <c:v>-203.00571318822398</c:v>
                </c:pt>
                <c:pt idx="3">
                  <c:v>-1664.646848143437</c:v>
                </c:pt>
                <c:pt idx="4">
                  <c:v>-16495.136949784959</c:v>
                </c:pt>
                <c:pt idx="5">
                  <c:v>-23471.151457525757</c:v>
                </c:pt>
                <c:pt idx="6">
                  <c:v>-14313.74828625332</c:v>
                </c:pt>
                <c:pt idx="7">
                  <c:v>-8983.9255618206753</c:v>
                </c:pt>
                <c:pt idx="8">
                  <c:v>-5536.5194505879253</c:v>
                </c:pt>
                <c:pt idx="9">
                  <c:v>-3329.2936962868739</c:v>
                </c:pt>
                <c:pt idx="10">
                  <c:v>-1417.3489793505089</c:v>
                </c:pt>
                <c:pt idx="11">
                  <c:v>-568.41599692702709</c:v>
                </c:pt>
                <c:pt idx="12">
                  <c:v>-232.53381692469284</c:v>
                </c:pt>
                <c:pt idx="13">
                  <c:v>-118.11241494587573</c:v>
                </c:pt>
                <c:pt idx="14">
                  <c:v>-70.129246374113734</c:v>
                </c:pt>
                <c:pt idx="15">
                  <c:v>-88.584311209406792</c:v>
                </c:pt>
              </c:numCache>
            </c:numRef>
          </c:val>
          <c:extLst>
            <c:ext xmlns:c16="http://schemas.microsoft.com/office/drawing/2014/chart" uri="{C3380CC4-5D6E-409C-BE32-E72D297353CC}">
              <c16:uniqueId val="{00000002-29F5-47C9-9DE8-6A477AD12621}"/>
            </c:ext>
          </c:extLst>
        </c:ser>
        <c:ser>
          <c:idx val="7"/>
          <c:order val="3"/>
          <c:tx>
            <c:strRef>
              <c:f>'3.14'!$AN$32:$AN$33</c:f>
              <c:strCache>
                <c:ptCount val="2"/>
                <c:pt idx="0">
                  <c:v>Resident Foreigners 2030</c:v>
                </c:pt>
                <c:pt idx="1">
                  <c:v>Female</c:v>
                </c:pt>
              </c:strCache>
            </c:strRef>
          </c:tx>
          <c:spPr>
            <a:noFill/>
            <a:ln w="9525" cmpd="sng">
              <a:solidFill>
                <a:srgbClr val="CC0066"/>
              </a:solidFill>
              <a:prstDash val="solid"/>
            </a:ln>
            <a:effectLst/>
          </c:spPr>
          <c:invertIfNegative val="0"/>
          <c:cat>
            <c:strRef>
              <c:extLst>
                <c:ext xmlns:c15="http://schemas.microsoft.com/office/drawing/2012/chart" uri="{02D57815-91ED-43cb-92C2-25804820EDAC}">
                  <c15:fullRef>
                    <c15:sqref>'3.14'!$AJ$34:$AJ$50</c15:sqref>
                  </c15:fullRef>
                </c:ext>
              </c:extLst>
              <c:f>'3.14'!$AJ$34:$AJ$49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extLst>
                <c:ext xmlns:c15="http://schemas.microsoft.com/office/drawing/2012/chart" uri="{02D57815-91ED-43cb-92C2-25804820EDAC}">
                  <c15:fullRef>
                    <c15:sqref>'3.14'!$AN$34:$AN$50</c15:sqref>
                  </c15:fullRef>
                </c:ext>
              </c:extLst>
              <c:f>'3.14'!$AN$34:$AN$49</c:f>
              <c:numCache>
                <c:formatCode>0</c:formatCode>
                <c:ptCount val="16"/>
                <c:pt idx="0">
                  <c:v>434.22647454764228</c:v>
                </c:pt>
                <c:pt idx="1">
                  <c:v>208.01268241803223</c:v>
                </c:pt>
                <c:pt idx="2">
                  <c:v>96.205865618339914</c:v>
                </c:pt>
                <c:pt idx="3">
                  <c:v>137.80840210194634</c:v>
                </c:pt>
                <c:pt idx="4">
                  <c:v>712.44343728176045</c:v>
                </c:pt>
                <c:pt idx="5">
                  <c:v>2035.9241291664905</c:v>
                </c:pt>
                <c:pt idx="6">
                  <c:v>1801.9098614462039</c:v>
                </c:pt>
                <c:pt idx="7">
                  <c:v>1445.6881428053243</c:v>
                </c:pt>
                <c:pt idx="8">
                  <c:v>899.65485145798948</c:v>
                </c:pt>
                <c:pt idx="9">
                  <c:v>631.83852284477291</c:v>
                </c:pt>
                <c:pt idx="10">
                  <c:v>397.82425512448663</c:v>
                </c:pt>
                <c:pt idx="11">
                  <c:v>234.01426772028626</c:v>
                </c:pt>
                <c:pt idx="12">
                  <c:v>88.405390027663685</c:v>
                </c:pt>
                <c:pt idx="13">
                  <c:v>33.802060892930243</c:v>
                </c:pt>
                <c:pt idx="14">
                  <c:v>13.000792651127014</c:v>
                </c:pt>
                <c:pt idx="15">
                  <c:v>2.6001585302254036</c:v>
                </c:pt>
              </c:numCache>
            </c:numRef>
          </c:val>
          <c:extLst>
            <c:ext xmlns:c16="http://schemas.microsoft.com/office/drawing/2014/chart" uri="{C3380CC4-5D6E-409C-BE32-E72D297353CC}">
              <c16:uniqueId val="{00000003-29F5-47C9-9DE8-6A477AD12621}"/>
            </c:ext>
          </c:extLst>
        </c:ser>
        <c:dLbls>
          <c:showLegendKey val="0"/>
          <c:showVal val="0"/>
          <c:showCatName val="0"/>
          <c:showSerName val="0"/>
          <c:showPercent val="0"/>
          <c:showBubbleSize val="0"/>
        </c:dLbls>
        <c:gapWidth val="0"/>
        <c:overlap val="100"/>
        <c:axId val="499766032"/>
        <c:axId val="499764072"/>
      </c:barChart>
      <c:catAx>
        <c:axId val="499766032"/>
        <c:scaling>
          <c:orientation val="minMax"/>
        </c:scaling>
        <c:delete val="0"/>
        <c:axPos val="l"/>
        <c:numFmt formatCode="#,##0.00" sourceLinked="0"/>
        <c:majorTickMark val="none"/>
        <c:minorTickMark val="none"/>
        <c:tickLblPos val="low"/>
        <c:spPr>
          <a:noFill/>
          <a:ln w="12700" cap="flat" cmpd="sng" algn="ctr">
            <a:solidFill>
              <a:schemeClr val="bg1">
                <a:lumMod val="6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99764072"/>
        <c:crosses val="autoZero"/>
        <c:auto val="1"/>
        <c:lblAlgn val="ctr"/>
        <c:lblOffset val="50"/>
        <c:noMultiLvlLbl val="0"/>
      </c:catAx>
      <c:valAx>
        <c:axId val="499764072"/>
        <c:scaling>
          <c:orientation val="minMax"/>
          <c:max val="25000"/>
          <c:min val="-25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9766032"/>
        <c:crossesAt val="1"/>
        <c:crossBetween val="between"/>
        <c:majorUnit val="5000"/>
      </c:valAx>
      <c:spPr>
        <a:solidFill>
          <a:srgbClr val="FFF7F7"/>
        </a:solidFill>
        <a:ln>
          <a:solidFill>
            <a:schemeClr val="bg1">
              <a:lumMod val="50000"/>
            </a:schemeClr>
          </a:solidFill>
        </a:ln>
        <a:effectLst/>
      </c:spPr>
    </c:plotArea>
    <c:legend>
      <c:legendPos val="b"/>
      <c:layout>
        <c:manualLayout>
          <c:xMode val="edge"/>
          <c:yMode val="edge"/>
          <c:x val="8.7195384711762802E-2"/>
          <c:y val="0.19290069088055978"/>
          <c:w val="0.31241803776812016"/>
          <c:h val="0.22483254605932654"/>
        </c:manualLayout>
      </c:layout>
      <c:overlay val="0"/>
      <c:spPr>
        <a:noFill/>
        <a:ln w="25400">
          <a:noFill/>
        </a:ln>
      </c:spPr>
      <c:txPr>
        <a:bodyPr/>
        <a:lstStyle/>
        <a:p>
          <a:pPr>
            <a:defRPr sz="8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2162021089574E-2"/>
          <c:y val="0.11236296244680395"/>
          <c:w val="0.89809535295920884"/>
          <c:h val="0.83171336796050355"/>
        </c:manualLayout>
      </c:layout>
      <c:barChart>
        <c:barDir val="bar"/>
        <c:grouping val="clustered"/>
        <c:varyColors val="0"/>
        <c:ser>
          <c:idx val="2"/>
          <c:order val="0"/>
          <c:tx>
            <c:strRef>
              <c:f>'3.15'!$AI$32:$AI$33</c:f>
              <c:strCache>
                <c:ptCount val="2"/>
                <c:pt idx="0">
                  <c:v>Residential Maldivian 2030</c:v>
                </c:pt>
                <c:pt idx="1">
                  <c:v>Male</c:v>
                </c:pt>
              </c:strCache>
            </c:strRef>
          </c:tx>
          <c:spPr>
            <a:solidFill>
              <a:srgbClr val="C00000"/>
            </a:solidFill>
            <a:ln w="6350">
              <a:solidFill>
                <a:schemeClr val="bg1"/>
              </a:solidFill>
            </a:ln>
            <a:effectLst/>
          </c:spPr>
          <c:invertIfNegative val="0"/>
          <c:cat>
            <c:strRef>
              <c:f>'3.15'!$AH$34:$AH$49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'3.15'!$AI$34:$AI$49</c:f>
              <c:numCache>
                <c:formatCode>#,##0</c:formatCode>
                <c:ptCount val="16"/>
                <c:pt idx="0">
                  <c:v>-9112</c:v>
                </c:pt>
                <c:pt idx="1">
                  <c:v>-10010</c:v>
                </c:pt>
                <c:pt idx="2">
                  <c:v>-11140</c:v>
                </c:pt>
                <c:pt idx="3">
                  <c:v>-11418</c:v>
                </c:pt>
                <c:pt idx="4">
                  <c:v>-10160</c:v>
                </c:pt>
                <c:pt idx="5">
                  <c:v>-7274</c:v>
                </c:pt>
                <c:pt idx="6">
                  <c:v>-6724</c:v>
                </c:pt>
                <c:pt idx="7">
                  <c:v>-4405</c:v>
                </c:pt>
                <c:pt idx="8">
                  <c:v>-5658</c:v>
                </c:pt>
                <c:pt idx="9">
                  <c:v>-5179</c:v>
                </c:pt>
                <c:pt idx="10">
                  <c:v>-3705</c:v>
                </c:pt>
                <c:pt idx="11">
                  <c:v>-3232</c:v>
                </c:pt>
                <c:pt idx="12">
                  <c:v>-3224</c:v>
                </c:pt>
                <c:pt idx="13">
                  <c:v>-3161</c:v>
                </c:pt>
                <c:pt idx="14">
                  <c:v>-2750</c:v>
                </c:pt>
                <c:pt idx="15">
                  <c:v>-2664</c:v>
                </c:pt>
              </c:numCache>
            </c:numRef>
          </c:val>
          <c:extLst>
            <c:ext xmlns:c16="http://schemas.microsoft.com/office/drawing/2014/chart" uri="{C3380CC4-5D6E-409C-BE32-E72D297353CC}">
              <c16:uniqueId val="{00000000-3071-43E7-B1B3-24DB0B7B4CA7}"/>
            </c:ext>
          </c:extLst>
        </c:ser>
        <c:ser>
          <c:idx val="5"/>
          <c:order val="1"/>
          <c:tx>
            <c:strRef>
              <c:f>'3.15'!$AJ$32:$AJ$33</c:f>
              <c:strCache>
                <c:ptCount val="2"/>
                <c:pt idx="0">
                  <c:v>Residential Maldivian 2030</c:v>
                </c:pt>
                <c:pt idx="1">
                  <c:v>Female</c:v>
                </c:pt>
              </c:strCache>
            </c:strRef>
          </c:tx>
          <c:spPr>
            <a:solidFill>
              <a:srgbClr val="FFDDDD"/>
            </a:solidFill>
            <a:ln w="6350">
              <a:solidFill>
                <a:schemeClr val="bg1"/>
              </a:solidFill>
              <a:prstDash val="solid"/>
            </a:ln>
          </c:spPr>
          <c:invertIfNegative val="0"/>
          <c:cat>
            <c:strRef>
              <c:f>'3.15'!$AH$34:$AH$49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'3.15'!$AJ$34:$AJ$49</c:f>
              <c:numCache>
                <c:formatCode>#,##0</c:formatCode>
                <c:ptCount val="16"/>
                <c:pt idx="0">
                  <c:v>8400</c:v>
                </c:pt>
                <c:pt idx="1">
                  <c:v>9117</c:v>
                </c:pt>
                <c:pt idx="2">
                  <c:v>10058</c:v>
                </c:pt>
                <c:pt idx="3">
                  <c:v>10096</c:v>
                </c:pt>
                <c:pt idx="4">
                  <c:v>9330</c:v>
                </c:pt>
                <c:pt idx="5">
                  <c:v>6349</c:v>
                </c:pt>
                <c:pt idx="6">
                  <c:v>5610</c:v>
                </c:pt>
                <c:pt idx="7">
                  <c:v>5488</c:v>
                </c:pt>
                <c:pt idx="8">
                  <c:v>8514</c:v>
                </c:pt>
                <c:pt idx="9">
                  <c:v>7692</c:v>
                </c:pt>
                <c:pt idx="10">
                  <c:v>5486</c:v>
                </c:pt>
                <c:pt idx="11">
                  <c:v>4803</c:v>
                </c:pt>
                <c:pt idx="12">
                  <c:v>4336</c:v>
                </c:pt>
                <c:pt idx="13">
                  <c:v>3733</c:v>
                </c:pt>
                <c:pt idx="14">
                  <c:v>2888</c:v>
                </c:pt>
                <c:pt idx="15">
                  <c:v>2692</c:v>
                </c:pt>
              </c:numCache>
            </c:numRef>
          </c:val>
          <c:extLst>
            <c:ext xmlns:c16="http://schemas.microsoft.com/office/drawing/2014/chart" uri="{C3380CC4-5D6E-409C-BE32-E72D297353CC}">
              <c16:uniqueId val="{00000001-3071-43E7-B1B3-24DB0B7B4CA7}"/>
            </c:ext>
          </c:extLst>
        </c:ser>
        <c:ser>
          <c:idx val="6"/>
          <c:order val="2"/>
          <c:tx>
            <c:strRef>
              <c:f>'3.15'!$AK$32:$AK$33</c:f>
              <c:strCache>
                <c:ptCount val="2"/>
                <c:pt idx="0">
                  <c:v>Resident Foreigners 2030</c:v>
                </c:pt>
                <c:pt idx="1">
                  <c:v>Male</c:v>
                </c:pt>
              </c:strCache>
            </c:strRef>
          </c:tx>
          <c:spPr>
            <a:noFill/>
            <a:ln>
              <a:solidFill>
                <a:srgbClr val="FF8181"/>
              </a:solidFill>
              <a:prstDash val="solid"/>
            </a:ln>
            <a:effectLst/>
          </c:spPr>
          <c:invertIfNegative val="0"/>
          <c:cat>
            <c:strRef>
              <c:f>'3.15'!$AH$34:$AH$49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'3.15'!$AK$34:$AK$49</c:f>
              <c:numCache>
                <c:formatCode>#,##0</c:formatCode>
                <c:ptCount val="16"/>
                <c:pt idx="0">
                  <c:v>-526.42547847941728</c:v>
                </c:pt>
                <c:pt idx="1">
                  <c:v>-268.81301028736203</c:v>
                </c:pt>
                <c:pt idx="2">
                  <c:v>-175.47515949313913</c:v>
                </c:pt>
                <c:pt idx="3">
                  <c:v>-1347.798565468579</c:v>
                </c:pt>
                <c:pt idx="4">
                  <c:v>-9856.4770438699416</c:v>
                </c:pt>
                <c:pt idx="5">
                  <c:v>-15561.286484412845</c:v>
                </c:pt>
                <c:pt idx="6">
                  <c:v>-10476.240373143582</c:v>
                </c:pt>
                <c:pt idx="7">
                  <c:v>-6253.636003212936</c:v>
                </c:pt>
                <c:pt idx="8">
                  <c:v>-3561.7723863075475</c:v>
                </c:pt>
                <c:pt idx="9">
                  <c:v>-2068.3667735999798</c:v>
                </c:pt>
                <c:pt idx="10">
                  <c:v>-993.11473245053196</c:v>
                </c:pt>
                <c:pt idx="11">
                  <c:v>-436.82114171696327</c:v>
                </c:pt>
                <c:pt idx="12">
                  <c:v>-209.07678577905941</c:v>
                </c:pt>
                <c:pt idx="13">
                  <c:v>-44.802168381226998</c:v>
                </c:pt>
                <c:pt idx="14">
                  <c:v>-11.200542095306751</c:v>
                </c:pt>
                <c:pt idx="15">
                  <c:v>-11.200542095306751</c:v>
                </c:pt>
              </c:numCache>
            </c:numRef>
          </c:val>
          <c:extLst>
            <c:ext xmlns:c16="http://schemas.microsoft.com/office/drawing/2014/chart" uri="{C3380CC4-5D6E-409C-BE32-E72D297353CC}">
              <c16:uniqueId val="{00000002-3071-43E7-B1B3-24DB0B7B4CA7}"/>
            </c:ext>
          </c:extLst>
        </c:ser>
        <c:ser>
          <c:idx val="7"/>
          <c:order val="3"/>
          <c:tx>
            <c:strRef>
              <c:f>'3.15'!$AL$32:$AL$33</c:f>
              <c:strCache>
                <c:ptCount val="2"/>
                <c:pt idx="0">
                  <c:v>Resident Foreigners 2030</c:v>
                </c:pt>
                <c:pt idx="1">
                  <c:v>Female</c:v>
                </c:pt>
              </c:strCache>
            </c:strRef>
          </c:tx>
          <c:spPr>
            <a:noFill/>
            <a:ln w="9525" cmpd="sng">
              <a:solidFill>
                <a:srgbClr val="CC0066"/>
              </a:solidFill>
              <a:prstDash val="solid"/>
            </a:ln>
            <a:effectLst/>
          </c:spPr>
          <c:invertIfNegative val="0"/>
          <c:cat>
            <c:strRef>
              <c:f>'3.15'!$AH$34:$AH$49</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'3.15'!$AL$34:$AL$49</c:f>
              <c:numCache>
                <c:formatCode>#,##0</c:formatCode>
                <c:ptCount val="16"/>
                <c:pt idx="0">
                  <c:v>386.0270615882892</c:v>
                </c:pt>
                <c:pt idx="1">
                  <c:v>169.53891218404596</c:v>
                </c:pt>
                <c:pt idx="2">
                  <c:v>99.115056353749964</c:v>
                </c:pt>
                <c:pt idx="3">
                  <c:v>67.815564873618385</c:v>
                </c:pt>
                <c:pt idx="4">
                  <c:v>333.86124245473661</c:v>
                </c:pt>
                <c:pt idx="5">
                  <c:v>1593.6657745300322</c:v>
                </c:pt>
                <c:pt idx="6">
                  <c:v>1236.3299134651966</c:v>
                </c:pt>
                <c:pt idx="7">
                  <c:v>719.88830404302587</c:v>
                </c:pt>
                <c:pt idx="8">
                  <c:v>396.46022541499963</c:v>
                </c:pt>
                <c:pt idx="9">
                  <c:v>281.69542332118397</c:v>
                </c:pt>
                <c:pt idx="10">
                  <c:v>125.19796592052629</c:v>
                </c:pt>
                <c:pt idx="11">
                  <c:v>80.857019657006546</c:v>
                </c:pt>
                <c:pt idx="12">
                  <c:v>44.340946263519712</c:v>
                </c:pt>
                <c:pt idx="13">
                  <c:v>13.041454783388154</c:v>
                </c:pt>
                <c:pt idx="14">
                  <c:v>2.6082909566776307</c:v>
                </c:pt>
                <c:pt idx="15">
                  <c:v>2.6082909566776307</c:v>
                </c:pt>
              </c:numCache>
            </c:numRef>
          </c:val>
          <c:extLst>
            <c:ext xmlns:c16="http://schemas.microsoft.com/office/drawing/2014/chart" uri="{C3380CC4-5D6E-409C-BE32-E72D297353CC}">
              <c16:uniqueId val="{00000003-3071-43E7-B1B3-24DB0B7B4CA7}"/>
            </c:ext>
          </c:extLst>
        </c:ser>
        <c:dLbls>
          <c:showLegendKey val="0"/>
          <c:showVal val="0"/>
          <c:showCatName val="0"/>
          <c:showSerName val="0"/>
          <c:showPercent val="0"/>
          <c:showBubbleSize val="0"/>
        </c:dLbls>
        <c:gapWidth val="0"/>
        <c:overlap val="100"/>
        <c:axId val="499768384"/>
        <c:axId val="499761328"/>
      </c:barChart>
      <c:catAx>
        <c:axId val="499768384"/>
        <c:scaling>
          <c:orientation val="minMax"/>
        </c:scaling>
        <c:delete val="0"/>
        <c:axPos val="l"/>
        <c:numFmt formatCode="#,##0.00" sourceLinked="0"/>
        <c:majorTickMark val="none"/>
        <c:minorTickMark val="none"/>
        <c:tickLblPos val="low"/>
        <c:spPr>
          <a:noFill/>
          <a:ln w="12700" cap="flat" cmpd="sng" algn="ctr">
            <a:solidFill>
              <a:schemeClr val="bg1">
                <a:lumMod val="6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99761328"/>
        <c:crosses val="autoZero"/>
        <c:auto val="1"/>
        <c:lblAlgn val="ctr"/>
        <c:lblOffset val="50"/>
        <c:noMultiLvlLbl val="0"/>
      </c:catAx>
      <c:valAx>
        <c:axId val="499761328"/>
        <c:scaling>
          <c:orientation val="minMax"/>
          <c:max val="20000"/>
          <c:min val="-20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9768384"/>
        <c:crossesAt val="1"/>
        <c:crossBetween val="between"/>
        <c:majorUnit val="5000"/>
      </c:valAx>
      <c:spPr>
        <a:solidFill>
          <a:srgbClr val="FFF7F7"/>
        </a:solidFill>
        <a:ln>
          <a:solidFill>
            <a:schemeClr val="bg1">
              <a:lumMod val="50000"/>
            </a:schemeClr>
          </a:solidFill>
        </a:ln>
        <a:effectLst/>
      </c:spPr>
    </c:plotArea>
    <c:legend>
      <c:legendPos val="b"/>
      <c:layout>
        <c:manualLayout>
          <c:xMode val="edge"/>
          <c:yMode val="edge"/>
          <c:x val="7.7551698640553848E-2"/>
          <c:y val="0.27609331179387586"/>
          <c:w val="0.31962872477475202"/>
          <c:h val="0.2329515343027794"/>
        </c:manualLayout>
      </c:layout>
      <c:overlay val="0"/>
      <c:spPr>
        <a:noFill/>
        <a:ln w="25400">
          <a:noFill/>
        </a:ln>
      </c:spPr>
      <c:txPr>
        <a:bodyPr/>
        <a:lstStyle/>
        <a:p>
          <a:pPr>
            <a:defRPr sz="85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2162021089574E-2"/>
          <c:y val="0.11236296244680395"/>
          <c:w val="0.89809535295920884"/>
          <c:h val="0.83171336796050355"/>
        </c:manualLayout>
      </c:layout>
      <c:barChart>
        <c:barDir val="bar"/>
        <c:grouping val="clustered"/>
        <c:varyColors val="0"/>
        <c:ser>
          <c:idx val="2"/>
          <c:order val="0"/>
          <c:tx>
            <c:strRef>
              <c:f>'3.15'!$AI$5:$AI$6</c:f>
              <c:strCache>
                <c:ptCount val="2"/>
                <c:pt idx="0">
                  <c:v>Residential Maldivian 2022</c:v>
                </c:pt>
                <c:pt idx="1">
                  <c:v>Male</c:v>
                </c:pt>
              </c:strCache>
            </c:strRef>
          </c:tx>
          <c:spPr>
            <a:solidFill>
              <a:srgbClr val="C00000"/>
            </a:solidFill>
            <a:ln w="7620">
              <a:solidFill>
                <a:schemeClr val="bg1"/>
              </a:solidFill>
            </a:ln>
          </c:spPr>
          <c:invertIfNegative val="0"/>
          <c:cat>
            <c:strRef>
              <c:f>'3.15'!$AH$7:$AH$22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'3.15'!$AI$7:$AI$22</c:f>
              <c:numCache>
                <c:formatCode>#,##0</c:formatCode>
                <c:ptCount val="16"/>
                <c:pt idx="0">
                  <c:v>-11162</c:v>
                </c:pt>
                <c:pt idx="1">
                  <c:v>-11797</c:v>
                </c:pt>
                <c:pt idx="2">
                  <c:v>-11949</c:v>
                </c:pt>
                <c:pt idx="3">
                  <c:v>-9201</c:v>
                </c:pt>
                <c:pt idx="4">
                  <c:v>-8846</c:v>
                </c:pt>
                <c:pt idx="5">
                  <c:v>-6326</c:v>
                </c:pt>
                <c:pt idx="6">
                  <c:v>-6243</c:v>
                </c:pt>
                <c:pt idx="7">
                  <c:v>-6630</c:v>
                </c:pt>
                <c:pt idx="8">
                  <c:v>-5028</c:v>
                </c:pt>
                <c:pt idx="9">
                  <c:v>-4021</c:v>
                </c:pt>
                <c:pt idx="10">
                  <c:v>-4108</c:v>
                </c:pt>
                <c:pt idx="11">
                  <c:v>-3697</c:v>
                </c:pt>
                <c:pt idx="12">
                  <c:v>-3842</c:v>
                </c:pt>
                <c:pt idx="13">
                  <c:v>-2419</c:v>
                </c:pt>
                <c:pt idx="14">
                  <c:v>-1335</c:v>
                </c:pt>
                <c:pt idx="15">
                  <c:v>-2809</c:v>
                </c:pt>
              </c:numCache>
            </c:numRef>
          </c:val>
          <c:extLst>
            <c:ext xmlns:c16="http://schemas.microsoft.com/office/drawing/2014/chart" uri="{C3380CC4-5D6E-409C-BE32-E72D297353CC}">
              <c16:uniqueId val="{00000000-FD28-4326-8218-05DCB7345FCB}"/>
            </c:ext>
          </c:extLst>
        </c:ser>
        <c:ser>
          <c:idx val="5"/>
          <c:order val="1"/>
          <c:tx>
            <c:strRef>
              <c:f>'3.15'!$AJ$5:$AJ$6</c:f>
              <c:strCache>
                <c:ptCount val="2"/>
                <c:pt idx="0">
                  <c:v>Residential Maldivian 2022</c:v>
                </c:pt>
                <c:pt idx="1">
                  <c:v>Female</c:v>
                </c:pt>
              </c:strCache>
            </c:strRef>
          </c:tx>
          <c:spPr>
            <a:solidFill>
              <a:srgbClr val="FFDDDD"/>
            </a:solidFill>
            <a:ln w="7620">
              <a:solidFill>
                <a:schemeClr val="bg1"/>
              </a:solidFill>
            </a:ln>
          </c:spPr>
          <c:invertIfNegative val="0"/>
          <c:cat>
            <c:strRef>
              <c:f>'3.15'!$AH$7:$AH$22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'3.15'!$AJ$7:$AJ$22</c:f>
              <c:numCache>
                <c:formatCode>#,##0</c:formatCode>
                <c:ptCount val="16"/>
                <c:pt idx="0">
                  <c:v>10218</c:v>
                </c:pt>
                <c:pt idx="1">
                  <c:v>10670</c:v>
                </c:pt>
                <c:pt idx="2">
                  <c:v>10961</c:v>
                </c:pt>
                <c:pt idx="3">
                  <c:v>8601</c:v>
                </c:pt>
                <c:pt idx="4">
                  <c:v>8188</c:v>
                </c:pt>
                <c:pt idx="5">
                  <c:v>6378</c:v>
                </c:pt>
                <c:pt idx="6">
                  <c:v>8679</c:v>
                </c:pt>
                <c:pt idx="7">
                  <c:v>9172</c:v>
                </c:pt>
                <c:pt idx="8">
                  <c:v>6915</c:v>
                </c:pt>
                <c:pt idx="9">
                  <c:v>5616</c:v>
                </c:pt>
                <c:pt idx="10">
                  <c:v>5308</c:v>
                </c:pt>
                <c:pt idx="11">
                  <c:v>4348</c:v>
                </c:pt>
                <c:pt idx="12">
                  <c:v>3998</c:v>
                </c:pt>
                <c:pt idx="13">
                  <c:v>2337</c:v>
                </c:pt>
                <c:pt idx="14">
                  <c:v>1341</c:v>
                </c:pt>
                <c:pt idx="15">
                  <c:v>2546</c:v>
                </c:pt>
              </c:numCache>
            </c:numRef>
          </c:val>
          <c:extLst>
            <c:ext xmlns:c16="http://schemas.microsoft.com/office/drawing/2014/chart" uri="{C3380CC4-5D6E-409C-BE32-E72D297353CC}">
              <c16:uniqueId val="{00000001-FD28-4326-8218-05DCB7345FCB}"/>
            </c:ext>
          </c:extLst>
        </c:ser>
        <c:ser>
          <c:idx val="6"/>
          <c:order val="2"/>
          <c:tx>
            <c:strRef>
              <c:f>'3.15'!$AK$5:$AK$6</c:f>
              <c:strCache>
                <c:ptCount val="2"/>
                <c:pt idx="0">
                  <c:v>Resident Foreigners 2022</c:v>
                </c:pt>
                <c:pt idx="1">
                  <c:v>Male</c:v>
                </c:pt>
              </c:strCache>
            </c:strRef>
          </c:tx>
          <c:spPr>
            <a:noFill/>
            <a:ln>
              <a:solidFill>
                <a:srgbClr val="FF8181"/>
              </a:solidFill>
            </a:ln>
          </c:spPr>
          <c:invertIfNegative val="0"/>
          <c:cat>
            <c:strRef>
              <c:f>'3.15'!$AH$7:$AH$22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'3.15'!$AK$7:$AK$22</c:f>
              <c:numCache>
                <c:formatCode>#,##0</c:formatCode>
                <c:ptCount val="16"/>
                <c:pt idx="0">
                  <c:v>-431.00072843489016</c:v>
                </c:pt>
                <c:pt idx="1">
                  <c:v>-220.08547834973118</c:v>
                </c:pt>
                <c:pt idx="2">
                  <c:v>-143.66690947829676</c:v>
                </c:pt>
                <c:pt idx="3">
                  <c:v>-1103.4841345035134</c:v>
                </c:pt>
                <c:pt idx="4">
                  <c:v>-8069.8008728234763</c:v>
                </c:pt>
                <c:pt idx="5">
                  <c:v>-12740.503802245546</c:v>
                </c:pt>
                <c:pt idx="6">
                  <c:v>-8577.2201701298018</c:v>
                </c:pt>
                <c:pt idx="7">
                  <c:v>-5120.0441143861062</c:v>
                </c:pt>
                <c:pt idx="8">
                  <c:v>-2916.1325881339385</c:v>
                </c:pt>
                <c:pt idx="9">
                  <c:v>-1693.4354861909871</c:v>
                </c:pt>
                <c:pt idx="10">
                  <c:v>-813.09357279206245</c:v>
                </c:pt>
                <c:pt idx="11">
                  <c:v>-357.63890231831317</c:v>
                </c:pt>
                <c:pt idx="12">
                  <c:v>-171.1775942720131</c:v>
                </c:pt>
                <c:pt idx="13">
                  <c:v>-36.680913058288525</c:v>
                </c:pt>
                <c:pt idx="14">
                  <c:v>-9.1702282645721329</c:v>
                </c:pt>
                <c:pt idx="15">
                  <c:v>-9.1702282645721329</c:v>
                </c:pt>
              </c:numCache>
            </c:numRef>
          </c:val>
          <c:extLst>
            <c:ext xmlns:c16="http://schemas.microsoft.com/office/drawing/2014/chart" uri="{C3380CC4-5D6E-409C-BE32-E72D297353CC}">
              <c16:uniqueId val="{00000002-FD28-4326-8218-05DCB7345FCB}"/>
            </c:ext>
          </c:extLst>
        </c:ser>
        <c:ser>
          <c:idx val="7"/>
          <c:order val="3"/>
          <c:tx>
            <c:strRef>
              <c:f>'3.15'!$AL$5:$AL$6</c:f>
              <c:strCache>
                <c:ptCount val="2"/>
                <c:pt idx="0">
                  <c:v>Resident Foreigners 2022</c:v>
                </c:pt>
                <c:pt idx="1">
                  <c:v>Female</c:v>
                </c:pt>
              </c:strCache>
            </c:strRef>
          </c:tx>
          <c:spPr>
            <a:noFill/>
            <a:ln>
              <a:solidFill>
                <a:srgbClr val="CC0066"/>
              </a:solidFill>
            </a:ln>
          </c:spPr>
          <c:invertIfNegative val="0"/>
          <c:cat>
            <c:strRef>
              <c:f>'3.15'!$AH$7:$AH$22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'3.15'!$AL$7:$AL$22</c:f>
              <c:numCache>
                <c:formatCode>#,##0_);\(#,##0\)</c:formatCode>
                <c:ptCount val="16"/>
                <c:pt idx="0">
                  <c:v>316.05222684266039</c:v>
                </c:pt>
                <c:pt idx="1">
                  <c:v>138.80672124846572</c:v>
                </c:pt>
                <c:pt idx="2">
                  <c:v>81.148544729872285</c:v>
                </c:pt>
                <c:pt idx="3">
                  <c:v>55.522688499386298</c:v>
                </c:pt>
                <c:pt idx="4">
                  <c:v>273.34246645851721</c:v>
                </c:pt>
                <c:pt idx="5">
                  <c:v>1304.783179735578</c:v>
                </c:pt>
                <c:pt idx="6">
                  <c:v>1012.2213211041962</c:v>
                </c:pt>
                <c:pt idx="7">
                  <c:v>589.39469330117754</c:v>
                </c:pt>
                <c:pt idx="8">
                  <c:v>324.5941789194892</c:v>
                </c:pt>
                <c:pt idx="9">
                  <c:v>230.6327060743738</c:v>
                </c:pt>
                <c:pt idx="10">
                  <c:v>102.50342492194392</c:v>
                </c:pt>
                <c:pt idx="11">
                  <c:v>66.200128595422115</c:v>
                </c:pt>
                <c:pt idx="12">
                  <c:v>36.303296326521817</c:v>
                </c:pt>
                <c:pt idx="13">
                  <c:v>10.677440096035827</c:v>
                </c:pt>
                <c:pt idx="14">
                  <c:v>2.1354880192071652</c:v>
                </c:pt>
                <c:pt idx="15">
                  <c:v>2.1354880192071652</c:v>
                </c:pt>
              </c:numCache>
            </c:numRef>
          </c:val>
          <c:extLst>
            <c:ext xmlns:c16="http://schemas.microsoft.com/office/drawing/2014/chart" uri="{C3380CC4-5D6E-409C-BE32-E72D297353CC}">
              <c16:uniqueId val="{00000003-FD28-4326-8218-05DCB7345FCB}"/>
            </c:ext>
          </c:extLst>
        </c:ser>
        <c:dLbls>
          <c:showLegendKey val="0"/>
          <c:showVal val="0"/>
          <c:showCatName val="0"/>
          <c:showSerName val="0"/>
          <c:showPercent val="0"/>
          <c:showBubbleSize val="0"/>
        </c:dLbls>
        <c:gapWidth val="0"/>
        <c:overlap val="100"/>
        <c:axId val="499767600"/>
        <c:axId val="499767992"/>
      </c:barChart>
      <c:catAx>
        <c:axId val="499767600"/>
        <c:scaling>
          <c:orientation val="minMax"/>
        </c:scaling>
        <c:delete val="0"/>
        <c:axPos val="l"/>
        <c:numFmt formatCode="#,##0.00" sourceLinked="0"/>
        <c:majorTickMark val="none"/>
        <c:minorTickMark val="none"/>
        <c:tickLblPos val="low"/>
        <c:spPr>
          <a:noFill/>
          <a:ln w="12700" cap="flat" cmpd="sng" algn="ctr">
            <a:solidFill>
              <a:schemeClr val="bg1">
                <a:lumMod val="6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99767992"/>
        <c:crosses val="autoZero"/>
        <c:auto val="1"/>
        <c:lblAlgn val="ctr"/>
        <c:lblOffset val="50"/>
        <c:noMultiLvlLbl val="0"/>
      </c:catAx>
      <c:valAx>
        <c:axId val="499767992"/>
        <c:scaling>
          <c:orientation val="minMax"/>
          <c:max val="20000"/>
          <c:min val="-20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499767600"/>
        <c:crossesAt val="1"/>
        <c:crossBetween val="between"/>
        <c:majorUnit val="5000"/>
      </c:valAx>
      <c:spPr>
        <a:solidFill>
          <a:srgbClr val="FFF7F7"/>
        </a:solidFill>
        <a:ln>
          <a:solidFill>
            <a:schemeClr val="bg1">
              <a:lumMod val="50000"/>
            </a:schemeClr>
          </a:solidFill>
        </a:ln>
        <a:effectLst/>
      </c:spPr>
    </c:plotArea>
    <c:legend>
      <c:legendPos val="b"/>
      <c:layout>
        <c:manualLayout>
          <c:xMode val="edge"/>
          <c:yMode val="edge"/>
          <c:x val="7.7551698640553848E-2"/>
          <c:y val="0.27609331179387586"/>
          <c:w val="0.31962872477475202"/>
          <c:h val="0.2329515343027794"/>
        </c:manualLayout>
      </c:layout>
      <c:overlay val="0"/>
      <c:spPr>
        <a:noFill/>
        <a:ln w="25400">
          <a:noFill/>
        </a:ln>
      </c:spPr>
      <c:txPr>
        <a:bodyPr/>
        <a:lstStyle/>
        <a:p>
          <a:pPr>
            <a:defRPr sz="85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Calibri"/>
                <a:ea typeface="Calibri"/>
                <a:cs typeface="Calibri"/>
              </a:defRPr>
            </a:pPr>
            <a:r>
              <a:rPr lang="en-US"/>
              <a:t>Figure 3.13: Marriages and Divorces in Male' and Atolls, 2012- 2014</a:t>
            </a:r>
          </a:p>
        </c:rich>
      </c:tx>
      <c:overlay val="0"/>
    </c:title>
    <c:autoTitleDeleted val="0"/>
    <c:plotArea>
      <c:layout>
        <c:manualLayout>
          <c:layoutTarget val="inner"/>
          <c:xMode val="edge"/>
          <c:yMode val="edge"/>
          <c:x val="6.3129094401141506E-2"/>
          <c:y val="0.14945103059869913"/>
          <c:w val="0.8782754341900284"/>
          <c:h val="0.56172460207808605"/>
        </c:manualLayout>
      </c:layout>
      <c:barChart>
        <c:barDir val="col"/>
        <c:grouping val="clustered"/>
        <c:varyColors val="0"/>
        <c:ser>
          <c:idx val="0"/>
          <c:order val="0"/>
          <c:tx>
            <c:strRef>
              <c:f>'[2]3.17'!$O$42</c:f>
              <c:strCache>
                <c:ptCount val="1"/>
              </c:strCache>
            </c:strRef>
          </c:tx>
          <c:spPr>
            <a:solidFill>
              <a:srgbClr val="7030A0"/>
            </a:solidFill>
          </c:spPr>
          <c:invertIfNegative val="0"/>
          <c:val>
            <c:numRef>
              <c:f>'[2]3.17'!$AM$42:$AR$42</c:f>
              <c:numCache>
                <c:formatCode>General</c:formatCode>
                <c:ptCount val="6"/>
              </c:numCache>
            </c:numRef>
          </c:val>
          <c:extLst>
            <c:ext xmlns:c15="http://schemas.microsoft.com/office/drawing/2012/chart" uri="{02D57815-91ED-43cb-92C2-25804820EDAC}">
              <c15:filteredCategoryTitle>
                <c15:cat>
                  <c:strRef>
                    <c:extLst xmlns:c16="http://schemas.microsoft.com/office/drawing/2014/chart">
                      <c:ext uri="{02D57815-91ED-43cb-92C2-25804820EDAC}">
                        <c15:formulaRef>
                          <c15:sqref>'[2]3.17'!$AM$40:$AR$41</c15:sqref>
                        </c15:formulaRef>
                      </c:ext>
                    </c:extLst>
                    <c:strCache>
                      <c:ptCount val="6"/>
                    </c:strCache>
                  </c:strRef>
                </c15:cat>
              </c15:filteredCategoryTitle>
            </c:ext>
            <c:ext xmlns:c16="http://schemas.microsoft.com/office/drawing/2014/chart" uri="{C3380CC4-5D6E-409C-BE32-E72D297353CC}">
              <c16:uniqueId val="{00000000-2E29-442A-AE6D-26567BD04A8F}"/>
            </c:ext>
          </c:extLst>
        </c:ser>
        <c:ser>
          <c:idx val="1"/>
          <c:order val="1"/>
          <c:tx>
            <c:strRef>
              <c:f>'[2]3.17'!$O$43</c:f>
              <c:strCache>
                <c:ptCount val="1"/>
              </c:strCache>
            </c:strRef>
          </c:tx>
          <c:spPr>
            <a:solidFill>
              <a:schemeClr val="accent4">
                <a:lumMod val="60000"/>
                <a:lumOff val="40000"/>
              </a:schemeClr>
            </a:solidFill>
          </c:spPr>
          <c:invertIfNegative val="0"/>
          <c:val>
            <c:numRef>
              <c:f>'[2]3.17'!$AM$43:$AR$43</c:f>
              <c:numCache>
                <c:formatCode>General</c:formatCode>
                <c:ptCount val="6"/>
              </c:numCache>
            </c:numRef>
          </c:val>
          <c:extLst>
            <c:ext xmlns:c15="http://schemas.microsoft.com/office/drawing/2012/chart" uri="{02D57815-91ED-43cb-92C2-25804820EDAC}">
              <c15:filteredCategoryTitle>
                <c15:cat>
                  <c:strRef>
                    <c:extLst xmlns:c16="http://schemas.microsoft.com/office/drawing/2014/chart">
                      <c:ext uri="{02D57815-91ED-43cb-92C2-25804820EDAC}">
                        <c15:formulaRef>
                          <c15:sqref>'[2]3.17'!$AM$40:$AR$41</c15:sqref>
                        </c15:formulaRef>
                      </c:ext>
                    </c:extLst>
                    <c:strCache>
                      <c:ptCount val="6"/>
                    </c:strCache>
                  </c:strRef>
                </c15:cat>
              </c15:filteredCategoryTitle>
            </c:ext>
            <c:ext xmlns:c16="http://schemas.microsoft.com/office/drawing/2014/chart" uri="{C3380CC4-5D6E-409C-BE32-E72D297353CC}">
              <c16:uniqueId val="{00000001-2E29-442A-AE6D-26567BD04A8F}"/>
            </c:ext>
          </c:extLst>
        </c:ser>
        <c:dLbls>
          <c:showLegendKey val="0"/>
          <c:showVal val="0"/>
          <c:showCatName val="0"/>
          <c:showSerName val="0"/>
          <c:showPercent val="0"/>
          <c:showBubbleSize val="0"/>
        </c:dLbls>
        <c:gapWidth val="150"/>
        <c:axId val="499761720"/>
        <c:axId val="499762112"/>
      </c:barChart>
      <c:catAx>
        <c:axId val="499761720"/>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9762112"/>
        <c:crosses val="autoZero"/>
        <c:auto val="1"/>
        <c:lblAlgn val="ctr"/>
        <c:lblOffset val="100"/>
        <c:noMultiLvlLbl val="0"/>
      </c:catAx>
      <c:valAx>
        <c:axId val="499762112"/>
        <c:scaling>
          <c:orientation val="minMax"/>
          <c:max val="4000"/>
        </c:scaling>
        <c:delete val="0"/>
        <c:axPos val="l"/>
        <c:majorGridlines>
          <c:spPr>
            <a:ln>
              <a:solidFill>
                <a:schemeClr val="bg1"/>
              </a:solidFill>
            </a:ln>
          </c:spPr>
        </c:majorGridlines>
        <c:title>
          <c:tx>
            <c:rich>
              <a:bodyPr rot="0" vert="horz"/>
              <a:lstStyle/>
              <a:p>
                <a:pPr algn="ctr">
                  <a:defRPr sz="1000" b="0" i="0" u="none" strike="noStrike" baseline="0">
                    <a:solidFill>
                      <a:srgbClr val="000000"/>
                    </a:solidFill>
                    <a:latin typeface="Calibri"/>
                    <a:ea typeface="Calibri"/>
                    <a:cs typeface="Calibri"/>
                  </a:defRPr>
                </a:pPr>
                <a:r>
                  <a:rPr lang="en-US"/>
                  <a:t>in Numbers</a:t>
                </a:r>
              </a:p>
            </c:rich>
          </c:tx>
          <c:layout>
            <c:manualLayout>
              <c:xMode val="edge"/>
              <c:yMode val="edge"/>
              <c:x val="1.1115908898484463E-2"/>
              <c:y val="5.5209070526103264E-2"/>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n-US"/>
          </a:p>
        </c:txPr>
        <c:crossAx val="499761720"/>
        <c:crosses val="autoZero"/>
        <c:crossBetween val="between"/>
      </c:valAx>
      <c:spPr>
        <a:ln>
          <a:solidFill>
            <a:schemeClr val="bg1">
              <a:lumMod val="50000"/>
            </a:schemeClr>
          </a:solidFill>
        </a:ln>
      </c:spPr>
    </c:plotArea>
    <c:legend>
      <c:legendPos val="r"/>
      <c:layout>
        <c:manualLayout>
          <c:xMode val="edge"/>
          <c:yMode val="edge"/>
          <c:x val="0.69003217339768008"/>
          <c:y val="0.17596565611484799"/>
          <c:w val="0.23208746084158838"/>
          <c:h val="6.0085647188838243E-2"/>
        </c:manualLayout>
      </c:layout>
      <c:overlay val="0"/>
      <c:txPr>
        <a:bodyPr/>
        <a:lstStyle/>
        <a:p>
          <a:pPr>
            <a:defRPr sz="780" b="1"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Calibri"/>
                <a:ea typeface="Calibri"/>
                <a:cs typeface="Calibri"/>
              </a:defRPr>
            </a:pPr>
            <a:r>
              <a:rPr lang="en-US"/>
              <a:t>Figure 3.14: Marriages and Divorces in Male' and Atolls, 2013 - 2015</a:t>
            </a:r>
          </a:p>
        </c:rich>
      </c:tx>
      <c:overlay val="0"/>
    </c:title>
    <c:autoTitleDeleted val="0"/>
    <c:plotArea>
      <c:layout>
        <c:manualLayout>
          <c:layoutTarget val="inner"/>
          <c:xMode val="edge"/>
          <c:yMode val="edge"/>
          <c:x val="6.3129094401141506E-2"/>
          <c:y val="0.17123845223492679"/>
          <c:w val="0.8782754341900284"/>
          <c:h val="0.56172446625093286"/>
        </c:manualLayout>
      </c:layout>
      <c:barChart>
        <c:barDir val="col"/>
        <c:grouping val="clustered"/>
        <c:varyColors val="0"/>
        <c:ser>
          <c:idx val="6"/>
          <c:order val="0"/>
          <c:tx>
            <c:strRef>
              <c:f>'[2]3.17'!$AN$42</c:f>
              <c:strCache>
                <c:ptCount val="1"/>
              </c:strCache>
            </c:strRef>
          </c:tx>
          <c:spPr>
            <a:solidFill>
              <a:srgbClr val="1C706E"/>
            </a:solidFill>
          </c:spPr>
          <c:invertIfNegative val="0"/>
          <c:cat>
            <c:multiLvlStrRef>
              <c:f>'[2]3.17'!$AU$40:$AZ$41</c:f>
              <c:multiLvlStrCache>
                <c:ptCount val="6"/>
                <c:lvl>
                  <c:pt idx="0">
                    <c:v>Divorces </c:v>
                  </c:pt>
                  <c:pt idx="1">
                    <c:v>Marriages </c:v>
                  </c:pt>
                  <c:pt idx="2">
                    <c:v>Divorces </c:v>
                  </c:pt>
                  <c:pt idx="3">
                    <c:v>Marriages </c:v>
                  </c:pt>
                  <c:pt idx="4">
                    <c:v>Divorces </c:v>
                  </c:pt>
                  <c:pt idx="5">
                    <c:v>Marriages </c:v>
                  </c:pt>
                </c:lvl>
                <c:lvl>
                  <c:pt idx="1">
                    <c:v>2011</c:v>
                  </c:pt>
                  <c:pt idx="3">
                    <c:v>2012</c:v>
                  </c:pt>
                  <c:pt idx="5">
                    <c:v>2013</c:v>
                  </c:pt>
                </c:lvl>
              </c:multiLvlStrCache>
            </c:multiLvlStrRef>
          </c:cat>
          <c:val>
            <c:numRef>
              <c:f>'[2]3.17'!$AU$42:$AZ$42</c:f>
              <c:numCache>
                <c:formatCode>General</c:formatCode>
                <c:ptCount val="6"/>
                <c:pt idx="0">
                  <c:v>1248</c:v>
                </c:pt>
                <c:pt idx="1">
                  <c:v>2366</c:v>
                </c:pt>
                <c:pt idx="2">
                  <c:v>1209</c:v>
                </c:pt>
                <c:pt idx="3">
                  <c:v>2404</c:v>
                </c:pt>
                <c:pt idx="4">
                  <c:v>1320</c:v>
                </c:pt>
                <c:pt idx="5">
                  <c:v>2463</c:v>
                </c:pt>
              </c:numCache>
            </c:numRef>
          </c:val>
          <c:extLst>
            <c:ext xmlns:c16="http://schemas.microsoft.com/office/drawing/2014/chart" uri="{C3380CC4-5D6E-409C-BE32-E72D297353CC}">
              <c16:uniqueId val="{00000000-A983-49AD-AAA2-A8C2484540DC}"/>
            </c:ext>
          </c:extLst>
        </c:ser>
        <c:ser>
          <c:idx val="7"/>
          <c:order val="1"/>
          <c:tx>
            <c:strRef>
              <c:f>'[2]3.17'!$AN$43</c:f>
              <c:strCache>
                <c:ptCount val="1"/>
              </c:strCache>
            </c:strRef>
          </c:tx>
          <c:spPr>
            <a:solidFill>
              <a:srgbClr val="33CCCC"/>
            </a:solidFill>
          </c:spPr>
          <c:invertIfNegative val="0"/>
          <c:cat>
            <c:multiLvlStrRef>
              <c:f>'[2]3.17'!$AU$40:$AZ$41</c:f>
              <c:multiLvlStrCache>
                <c:ptCount val="6"/>
                <c:lvl>
                  <c:pt idx="0">
                    <c:v>Divorces </c:v>
                  </c:pt>
                  <c:pt idx="1">
                    <c:v>Marriages </c:v>
                  </c:pt>
                  <c:pt idx="2">
                    <c:v>Divorces </c:v>
                  </c:pt>
                  <c:pt idx="3">
                    <c:v>Marriages </c:v>
                  </c:pt>
                  <c:pt idx="4">
                    <c:v>Divorces </c:v>
                  </c:pt>
                  <c:pt idx="5">
                    <c:v>Marriages </c:v>
                  </c:pt>
                </c:lvl>
                <c:lvl>
                  <c:pt idx="1">
                    <c:v>2011</c:v>
                  </c:pt>
                  <c:pt idx="3">
                    <c:v>2012</c:v>
                  </c:pt>
                  <c:pt idx="5">
                    <c:v>2013</c:v>
                  </c:pt>
                </c:lvl>
              </c:multiLvlStrCache>
            </c:multiLvlStrRef>
          </c:cat>
          <c:val>
            <c:numRef>
              <c:f>'[2]3.17'!$AU$44:$AZ$44</c:f>
              <c:numCache>
                <c:formatCode>General</c:formatCode>
                <c:ptCount val="6"/>
                <c:pt idx="0">
                  <c:v>1547</c:v>
                </c:pt>
                <c:pt idx="1">
                  <c:v>3649</c:v>
                </c:pt>
                <c:pt idx="2">
                  <c:v>1807</c:v>
                </c:pt>
                <c:pt idx="3">
                  <c:v>3295</c:v>
                </c:pt>
                <c:pt idx="4">
                  <c:v>1691</c:v>
                </c:pt>
                <c:pt idx="5">
                  <c:v>3157</c:v>
                </c:pt>
              </c:numCache>
            </c:numRef>
          </c:val>
          <c:extLst>
            <c:ext xmlns:c16="http://schemas.microsoft.com/office/drawing/2014/chart" uri="{C3380CC4-5D6E-409C-BE32-E72D297353CC}">
              <c16:uniqueId val="{00000001-A983-49AD-AAA2-A8C2484540DC}"/>
            </c:ext>
          </c:extLst>
        </c:ser>
        <c:dLbls>
          <c:showLegendKey val="0"/>
          <c:showVal val="0"/>
          <c:showCatName val="0"/>
          <c:showSerName val="0"/>
          <c:showPercent val="0"/>
          <c:showBubbleSize val="0"/>
        </c:dLbls>
        <c:gapWidth val="150"/>
        <c:axId val="499763680"/>
        <c:axId val="499764464"/>
      </c:barChart>
      <c:catAx>
        <c:axId val="499763680"/>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9764464"/>
        <c:crosses val="autoZero"/>
        <c:auto val="1"/>
        <c:lblAlgn val="ctr"/>
        <c:lblOffset val="100"/>
        <c:noMultiLvlLbl val="0"/>
      </c:catAx>
      <c:valAx>
        <c:axId val="499764464"/>
        <c:scaling>
          <c:orientation val="minMax"/>
          <c:max val="4000"/>
        </c:scaling>
        <c:delete val="0"/>
        <c:axPos val="l"/>
        <c:majorGridlines>
          <c:spPr>
            <a:ln>
              <a:solidFill>
                <a:schemeClr val="bg1"/>
              </a:solidFill>
            </a:ln>
          </c:spPr>
        </c:majorGridlines>
        <c:title>
          <c:tx>
            <c:rich>
              <a:bodyPr rot="0" vert="horz"/>
              <a:lstStyle/>
              <a:p>
                <a:pPr algn="ctr">
                  <a:defRPr sz="1000" b="0" i="0" u="none" strike="noStrike" baseline="0">
                    <a:solidFill>
                      <a:srgbClr val="000000"/>
                    </a:solidFill>
                    <a:latin typeface="Calibri"/>
                    <a:ea typeface="Calibri"/>
                    <a:cs typeface="Calibri"/>
                  </a:defRPr>
                </a:pPr>
                <a:r>
                  <a:rPr lang="en-US"/>
                  <a:t>in Numbers</a:t>
                </a:r>
              </a:p>
            </c:rich>
          </c:tx>
          <c:layout>
            <c:manualLayout>
              <c:xMode val="edge"/>
              <c:yMode val="edge"/>
              <c:x val="1.1115971614659279E-2"/>
              <c:y val="5.5209153543307084E-2"/>
            </c:manualLayout>
          </c:layout>
          <c:overlay val="0"/>
        </c:title>
        <c:numFmt formatCode="#,##0" sourceLinked="0"/>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n-US"/>
          </a:p>
        </c:txPr>
        <c:crossAx val="499763680"/>
        <c:crosses val="autoZero"/>
        <c:crossBetween val="between"/>
      </c:valAx>
      <c:spPr>
        <a:ln>
          <a:solidFill>
            <a:schemeClr val="bg1">
              <a:lumMod val="50000"/>
            </a:schemeClr>
          </a:solidFill>
        </a:ln>
      </c:spPr>
    </c:plotArea>
    <c:legend>
      <c:legendPos val="r"/>
      <c:layout>
        <c:manualLayout>
          <c:xMode val="edge"/>
          <c:yMode val="edge"/>
          <c:x val="0.46292310683386795"/>
          <c:y val="0.20319963910761155"/>
          <c:w val="0.28933313891319146"/>
          <c:h val="9.4525508530183738E-2"/>
        </c:manualLayout>
      </c:layout>
      <c:overlay val="0"/>
      <c:txPr>
        <a:bodyPr/>
        <a:lstStyle/>
        <a:p>
          <a:pPr>
            <a:defRPr sz="780" b="1"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Calibri"/>
                <a:ea typeface="Calibri"/>
                <a:cs typeface="Calibri"/>
              </a:defRPr>
            </a:pPr>
            <a:r>
              <a:rPr lang="en-US"/>
              <a:t>Figure 3.13: Marriages and Divorces in Male' and Atolls, 2012- 2014</a:t>
            </a:r>
          </a:p>
        </c:rich>
      </c:tx>
      <c:overlay val="0"/>
    </c:title>
    <c:autoTitleDeleted val="0"/>
    <c:plotArea>
      <c:layout>
        <c:manualLayout>
          <c:layoutTarget val="inner"/>
          <c:xMode val="edge"/>
          <c:yMode val="edge"/>
          <c:x val="6.3129094401141506E-2"/>
          <c:y val="0.14945103059869913"/>
          <c:w val="0.8782754341900284"/>
          <c:h val="0.56172460207808605"/>
        </c:manualLayout>
      </c:layout>
      <c:barChart>
        <c:barDir val="col"/>
        <c:grouping val="clustered"/>
        <c:varyColors val="0"/>
        <c:ser>
          <c:idx val="0"/>
          <c:order val="0"/>
          <c:tx>
            <c:strRef>
              <c:f>'[3]3.14'!$O$42</c:f>
              <c:strCache>
                <c:ptCount val="1"/>
              </c:strCache>
            </c:strRef>
          </c:tx>
          <c:spPr>
            <a:solidFill>
              <a:srgbClr val="7030A0"/>
            </a:solidFill>
          </c:spPr>
          <c:invertIfNegative val="0"/>
          <c:cat>
            <c:multiLvlStrRef>
              <c:f>'[3]3.14'!$AI$40:$AN$41</c:f>
              <c:multiLvlStrCache>
                <c:ptCount val="6"/>
                <c:lvl>
                  <c:pt idx="2">
                    <c:v>Marriages </c:v>
                  </c:pt>
                  <c:pt idx="3">
                    <c:v>Divorces </c:v>
                  </c:pt>
                  <c:pt idx="4">
                    <c:v>Marriages </c:v>
                  </c:pt>
                  <c:pt idx="5">
                    <c:v>Divorces </c:v>
                  </c:pt>
                </c:lvl>
                <c:lvl>
                  <c:pt idx="2">
                    <c:v>2010</c:v>
                  </c:pt>
                  <c:pt idx="4">
                    <c:v>2011</c:v>
                  </c:pt>
                </c:lvl>
              </c:multiLvlStrCache>
            </c:multiLvlStrRef>
          </c:cat>
          <c:val>
            <c:numRef>
              <c:f>'[3]3.14'!$AI$42:$AN$42</c:f>
              <c:numCache>
                <c:formatCode>General</c:formatCode>
                <c:ptCount val="6"/>
                <c:pt idx="1">
                  <c:v>0</c:v>
                </c:pt>
                <c:pt idx="2">
                  <c:v>2491</c:v>
                </c:pt>
                <c:pt idx="3">
                  <c:v>1248</c:v>
                </c:pt>
                <c:pt idx="4">
                  <c:v>2366</c:v>
                </c:pt>
                <c:pt idx="5">
                  <c:v>1209</c:v>
                </c:pt>
              </c:numCache>
            </c:numRef>
          </c:val>
          <c:extLst>
            <c:ext xmlns:c16="http://schemas.microsoft.com/office/drawing/2014/chart" uri="{C3380CC4-5D6E-409C-BE32-E72D297353CC}">
              <c16:uniqueId val="{00000000-514A-48E3-A9C1-0BC40742D964}"/>
            </c:ext>
          </c:extLst>
        </c:ser>
        <c:ser>
          <c:idx val="1"/>
          <c:order val="1"/>
          <c:tx>
            <c:strRef>
              <c:f>'[3]3.14'!$O$43</c:f>
              <c:strCache>
                <c:ptCount val="1"/>
              </c:strCache>
            </c:strRef>
          </c:tx>
          <c:spPr>
            <a:solidFill>
              <a:schemeClr val="accent4">
                <a:lumMod val="60000"/>
                <a:lumOff val="40000"/>
              </a:schemeClr>
            </a:solidFill>
          </c:spPr>
          <c:invertIfNegative val="0"/>
          <c:cat>
            <c:multiLvlStrRef>
              <c:f>'[3]3.14'!$AI$40:$AN$41</c:f>
              <c:multiLvlStrCache>
                <c:ptCount val="6"/>
                <c:lvl>
                  <c:pt idx="2">
                    <c:v>Marriages </c:v>
                  </c:pt>
                  <c:pt idx="3">
                    <c:v>Divorces </c:v>
                  </c:pt>
                  <c:pt idx="4">
                    <c:v>Marriages </c:v>
                  </c:pt>
                  <c:pt idx="5">
                    <c:v>Divorces </c:v>
                  </c:pt>
                </c:lvl>
                <c:lvl>
                  <c:pt idx="2">
                    <c:v>2010</c:v>
                  </c:pt>
                  <c:pt idx="4">
                    <c:v>2011</c:v>
                  </c:pt>
                </c:lvl>
              </c:multiLvlStrCache>
            </c:multiLvlStrRef>
          </c:cat>
          <c:val>
            <c:numRef>
              <c:f>'[3]3.14'!$AI$43:$AN$43</c:f>
              <c:numCache>
                <c:formatCode>General</c:formatCode>
                <c:ptCount val="6"/>
                <c:pt idx="1">
                  <c:v>0</c:v>
                </c:pt>
                <c:pt idx="2">
                  <c:v>3645</c:v>
                </c:pt>
                <c:pt idx="3">
                  <c:v>1547</c:v>
                </c:pt>
                <c:pt idx="4">
                  <c:v>3649</c:v>
                </c:pt>
                <c:pt idx="5">
                  <c:v>1807</c:v>
                </c:pt>
              </c:numCache>
            </c:numRef>
          </c:val>
          <c:extLst>
            <c:ext xmlns:c16="http://schemas.microsoft.com/office/drawing/2014/chart" uri="{C3380CC4-5D6E-409C-BE32-E72D297353CC}">
              <c16:uniqueId val="{00000001-514A-48E3-A9C1-0BC40742D964}"/>
            </c:ext>
          </c:extLst>
        </c:ser>
        <c:dLbls>
          <c:showLegendKey val="0"/>
          <c:showVal val="0"/>
          <c:showCatName val="0"/>
          <c:showSerName val="0"/>
          <c:showPercent val="0"/>
          <c:showBubbleSize val="0"/>
        </c:dLbls>
        <c:gapWidth val="150"/>
        <c:axId val="504217008"/>
        <c:axId val="504217792"/>
      </c:barChart>
      <c:catAx>
        <c:axId val="50421700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7792"/>
        <c:crosses val="autoZero"/>
        <c:auto val="1"/>
        <c:lblAlgn val="ctr"/>
        <c:lblOffset val="100"/>
        <c:noMultiLvlLbl val="0"/>
      </c:catAx>
      <c:valAx>
        <c:axId val="504217792"/>
        <c:scaling>
          <c:orientation val="minMax"/>
          <c:max val="4000"/>
        </c:scaling>
        <c:delete val="0"/>
        <c:axPos val="l"/>
        <c:majorGridlines>
          <c:spPr>
            <a:ln>
              <a:solidFill>
                <a:schemeClr val="bg1"/>
              </a:solidFill>
            </a:ln>
          </c:spPr>
        </c:majorGridlines>
        <c:title>
          <c:tx>
            <c:rich>
              <a:bodyPr rot="0" vert="horz"/>
              <a:lstStyle/>
              <a:p>
                <a:pPr algn="ctr">
                  <a:defRPr sz="1000" b="0" i="0" u="none" strike="noStrike" baseline="0">
                    <a:solidFill>
                      <a:srgbClr val="000000"/>
                    </a:solidFill>
                    <a:latin typeface="Calibri"/>
                    <a:ea typeface="Calibri"/>
                    <a:cs typeface="Calibri"/>
                  </a:defRPr>
                </a:pPr>
                <a:r>
                  <a:rPr lang="en-US"/>
                  <a:t>in Numbers</a:t>
                </a:r>
              </a:p>
            </c:rich>
          </c:tx>
          <c:layout>
            <c:manualLayout>
              <c:xMode val="edge"/>
              <c:yMode val="edge"/>
              <c:x val="1.1115908898484463E-2"/>
              <c:y val="5.5209070526103264E-2"/>
            </c:manualLayout>
          </c:layout>
          <c:overlay val="0"/>
        </c:title>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n-US"/>
          </a:p>
        </c:txPr>
        <c:crossAx val="504217008"/>
        <c:crosses val="autoZero"/>
        <c:crossBetween val="between"/>
      </c:valAx>
      <c:spPr>
        <a:ln>
          <a:solidFill>
            <a:schemeClr val="bg1">
              <a:lumMod val="50000"/>
            </a:schemeClr>
          </a:solidFill>
        </a:ln>
      </c:spPr>
    </c:plotArea>
    <c:legend>
      <c:legendPos val="r"/>
      <c:layout>
        <c:manualLayout>
          <c:xMode val="edge"/>
          <c:yMode val="edge"/>
          <c:x val="0.69003217339768008"/>
          <c:y val="0.17596565611484799"/>
          <c:w val="0.23208746084158838"/>
          <c:h val="6.0085647188838243E-2"/>
        </c:manualLayout>
      </c:layout>
      <c:overlay val="0"/>
      <c:txPr>
        <a:bodyPr/>
        <a:lstStyle/>
        <a:p>
          <a:pPr>
            <a:defRPr sz="715" b="1"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sz="1400"/>
              <a:t>Figure 3.19: Marriages and Divorces in Male', Hulhumale'  and Atolls, 2018 - 2021</a:t>
            </a:r>
          </a:p>
        </c:rich>
      </c:tx>
      <c:layout>
        <c:manualLayout>
          <c:xMode val="edge"/>
          <c:yMode val="edge"/>
          <c:x val="0.18862319043834039"/>
          <c:y val="5.3135611266173777E-2"/>
        </c:manualLayout>
      </c:layout>
      <c:overlay val="0"/>
    </c:title>
    <c:autoTitleDeleted val="0"/>
    <c:plotArea>
      <c:layout>
        <c:manualLayout>
          <c:layoutTarget val="inner"/>
          <c:xMode val="edge"/>
          <c:yMode val="edge"/>
          <c:x val="6.3129094401141506E-2"/>
          <c:y val="0.17123845223492679"/>
          <c:w val="0.8782754341900284"/>
          <c:h val="0.60767886883429123"/>
        </c:manualLayout>
      </c:layout>
      <c:barChart>
        <c:barDir val="col"/>
        <c:grouping val="clustered"/>
        <c:varyColors val="0"/>
        <c:ser>
          <c:idx val="6"/>
          <c:order val="0"/>
          <c:tx>
            <c:strRef>
              <c:f>'3.17'!$BE$42</c:f>
              <c:strCache>
                <c:ptCount val="1"/>
                <c:pt idx="0">
                  <c:v>Male'</c:v>
                </c:pt>
              </c:strCache>
            </c:strRef>
          </c:tx>
          <c:spPr>
            <a:solidFill>
              <a:srgbClr val="FFDDDD"/>
            </a:solidFill>
          </c:spPr>
          <c:invertIfNegative val="0"/>
          <c:cat>
            <c:multiLvlStrRef>
              <c:f>'3.17'!$BV$40:$CC$41</c:f>
              <c:multiLvlStrCache>
                <c:ptCount val="8"/>
                <c:lvl>
                  <c:pt idx="0">
                    <c:v>Marriages </c:v>
                  </c:pt>
                  <c:pt idx="1">
                    <c:v>Divorces </c:v>
                  </c:pt>
                  <c:pt idx="2">
                    <c:v>Marriages </c:v>
                  </c:pt>
                  <c:pt idx="3">
                    <c:v>Divorces </c:v>
                  </c:pt>
                  <c:pt idx="4">
                    <c:v>Marriages </c:v>
                  </c:pt>
                  <c:pt idx="5">
                    <c:v>Divorces </c:v>
                  </c:pt>
                  <c:pt idx="6">
                    <c:v>Marriages </c:v>
                  </c:pt>
                  <c:pt idx="7">
                    <c:v>Divorces </c:v>
                  </c:pt>
                </c:lvl>
                <c:lvl>
                  <c:pt idx="0">
                    <c:v>2018 </c:v>
                  </c:pt>
                  <c:pt idx="2">
                    <c:v>2019 </c:v>
                  </c:pt>
                  <c:pt idx="4">
                    <c:v>2020 </c:v>
                  </c:pt>
                  <c:pt idx="6">
                    <c:v>2021 </c:v>
                  </c:pt>
                </c:lvl>
              </c:multiLvlStrCache>
            </c:multiLvlStrRef>
          </c:cat>
          <c:val>
            <c:numRef>
              <c:f>'3.17'!$BV$42:$CC$42</c:f>
              <c:numCache>
                <c:formatCode>General_)</c:formatCode>
                <c:ptCount val="8"/>
                <c:pt idx="0">
                  <c:v>2191</c:v>
                </c:pt>
                <c:pt idx="1">
                  <c:v>1156</c:v>
                </c:pt>
                <c:pt idx="2">
                  <c:v>2055</c:v>
                </c:pt>
                <c:pt idx="3">
                  <c:v>1260</c:v>
                </c:pt>
                <c:pt idx="4">
                  <c:v>1995</c:v>
                </c:pt>
                <c:pt idx="5">
                  <c:v>928</c:v>
                </c:pt>
                <c:pt idx="6">
                  <c:v>2396</c:v>
                </c:pt>
                <c:pt idx="7">
                  <c:v>1191</c:v>
                </c:pt>
              </c:numCache>
            </c:numRef>
          </c:val>
          <c:extLst>
            <c:ext xmlns:c16="http://schemas.microsoft.com/office/drawing/2014/chart" uri="{C3380CC4-5D6E-409C-BE32-E72D297353CC}">
              <c16:uniqueId val="{00000000-94C5-4C59-A154-E1DB424A89EF}"/>
            </c:ext>
          </c:extLst>
        </c:ser>
        <c:ser>
          <c:idx val="7"/>
          <c:order val="1"/>
          <c:tx>
            <c:strRef>
              <c:f>'3.17'!$BE$43</c:f>
              <c:strCache>
                <c:ptCount val="1"/>
                <c:pt idx="0">
                  <c:v>Hulhumale'</c:v>
                </c:pt>
              </c:strCache>
            </c:strRef>
          </c:tx>
          <c:spPr>
            <a:solidFill>
              <a:srgbClr val="FFAFAF"/>
            </a:solidFill>
          </c:spPr>
          <c:invertIfNegative val="0"/>
          <c:cat>
            <c:multiLvlStrRef>
              <c:f>'3.17'!$BV$40:$CC$41</c:f>
              <c:multiLvlStrCache>
                <c:ptCount val="8"/>
                <c:lvl>
                  <c:pt idx="0">
                    <c:v>Marriages </c:v>
                  </c:pt>
                  <c:pt idx="1">
                    <c:v>Divorces </c:v>
                  </c:pt>
                  <c:pt idx="2">
                    <c:v>Marriages </c:v>
                  </c:pt>
                  <c:pt idx="3">
                    <c:v>Divorces </c:v>
                  </c:pt>
                  <c:pt idx="4">
                    <c:v>Marriages </c:v>
                  </c:pt>
                  <c:pt idx="5">
                    <c:v>Divorces </c:v>
                  </c:pt>
                  <c:pt idx="6">
                    <c:v>Marriages </c:v>
                  </c:pt>
                  <c:pt idx="7">
                    <c:v>Divorces </c:v>
                  </c:pt>
                </c:lvl>
                <c:lvl>
                  <c:pt idx="0">
                    <c:v>2018 </c:v>
                  </c:pt>
                  <c:pt idx="2">
                    <c:v>2019 </c:v>
                  </c:pt>
                  <c:pt idx="4">
                    <c:v>2020 </c:v>
                  </c:pt>
                  <c:pt idx="6">
                    <c:v>2021 </c:v>
                  </c:pt>
                </c:lvl>
              </c:multiLvlStrCache>
            </c:multiLvlStrRef>
          </c:cat>
          <c:val>
            <c:numRef>
              <c:f>'3.17'!$BV$43:$CC$43</c:f>
              <c:numCache>
                <c:formatCode>General_)</c:formatCode>
                <c:ptCount val="8"/>
                <c:pt idx="0">
                  <c:v>258</c:v>
                </c:pt>
                <c:pt idx="1">
                  <c:v>217</c:v>
                </c:pt>
                <c:pt idx="2">
                  <c:v>312</c:v>
                </c:pt>
                <c:pt idx="3">
                  <c:v>359</c:v>
                </c:pt>
                <c:pt idx="4">
                  <c:v>237</c:v>
                </c:pt>
                <c:pt idx="5">
                  <c:v>173</c:v>
                </c:pt>
                <c:pt idx="6">
                  <c:v>330</c:v>
                </c:pt>
                <c:pt idx="7">
                  <c:v>247</c:v>
                </c:pt>
              </c:numCache>
            </c:numRef>
          </c:val>
          <c:extLst>
            <c:ext xmlns:c16="http://schemas.microsoft.com/office/drawing/2014/chart" uri="{C3380CC4-5D6E-409C-BE32-E72D297353CC}">
              <c16:uniqueId val="{00000001-94C5-4C59-A154-E1DB424A89EF}"/>
            </c:ext>
          </c:extLst>
        </c:ser>
        <c:ser>
          <c:idx val="0"/>
          <c:order val="2"/>
          <c:tx>
            <c:strRef>
              <c:f>'3.17'!$BE$44</c:f>
              <c:strCache>
                <c:ptCount val="1"/>
                <c:pt idx="0">
                  <c:v>Atolls</c:v>
                </c:pt>
              </c:strCache>
            </c:strRef>
          </c:tx>
          <c:spPr>
            <a:solidFill>
              <a:srgbClr val="C00000"/>
            </a:solidFill>
          </c:spPr>
          <c:invertIfNegative val="0"/>
          <c:cat>
            <c:multiLvlStrRef>
              <c:f>'3.17'!$BV$40:$CC$41</c:f>
              <c:multiLvlStrCache>
                <c:ptCount val="8"/>
                <c:lvl>
                  <c:pt idx="0">
                    <c:v>Marriages </c:v>
                  </c:pt>
                  <c:pt idx="1">
                    <c:v>Divorces </c:v>
                  </c:pt>
                  <c:pt idx="2">
                    <c:v>Marriages </c:v>
                  </c:pt>
                  <c:pt idx="3">
                    <c:v>Divorces </c:v>
                  </c:pt>
                  <c:pt idx="4">
                    <c:v>Marriages </c:v>
                  </c:pt>
                  <c:pt idx="5">
                    <c:v>Divorces </c:v>
                  </c:pt>
                  <c:pt idx="6">
                    <c:v>Marriages </c:v>
                  </c:pt>
                  <c:pt idx="7">
                    <c:v>Divorces </c:v>
                  </c:pt>
                </c:lvl>
                <c:lvl>
                  <c:pt idx="0">
                    <c:v>2018 </c:v>
                  </c:pt>
                  <c:pt idx="2">
                    <c:v>2019 </c:v>
                  </c:pt>
                  <c:pt idx="4">
                    <c:v>2020 </c:v>
                  </c:pt>
                  <c:pt idx="6">
                    <c:v>2021 </c:v>
                  </c:pt>
                </c:lvl>
              </c:multiLvlStrCache>
            </c:multiLvlStrRef>
          </c:cat>
          <c:val>
            <c:numRef>
              <c:f>'3.17'!$BV$44:$CC$44</c:f>
              <c:numCache>
                <c:formatCode>General_)</c:formatCode>
                <c:ptCount val="8"/>
                <c:pt idx="0">
                  <c:v>2841</c:v>
                </c:pt>
                <c:pt idx="1">
                  <c:v>1793</c:v>
                </c:pt>
                <c:pt idx="2">
                  <c:v>2702</c:v>
                </c:pt>
                <c:pt idx="3">
                  <c:v>1931</c:v>
                </c:pt>
                <c:pt idx="4">
                  <c:v>2766</c:v>
                </c:pt>
                <c:pt idx="5">
                  <c:v>1883</c:v>
                </c:pt>
                <c:pt idx="6">
                  <c:v>2688</c:v>
                </c:pt>
                <c:pt idx="7">
                  <c:v>1804</c:v>
                </c:pt>
              </c:numCache>
            </c:numRef>
          </c:val>
          <c:extLst>
            <c:ext xmlns:c16="http://schemas.microsoft.com/office/drawing/2014/chart" uri="{C3380CC4-5D6E-409C-BE32-E72D297353CC}">
              <c16:uniqueId val="{00000002-94C5-4C59-A154-E1DB424A89EF}"/>
            </c:ext>
          </c:extLst>
        </c:ser>
        <c:dLbls>
          <c:showLegendKey val="0"/>
          <c:showVal val="0"/>
          <c:showCatName val="0"/>
          <c:showSerName val="0"/>
          <c:showPercent val="0"/>
          <c:showBubbleSize val="0"/>
        </c:dLbls>
        <c:gapWidth val="150"/>
        <c:axId val="504213480"/>
        <c:axId val="504216224"/>
      </c:barChart>
      <c:catAx>
        <c:axId val="504213480"/>
        <c:scaling>
          <c:orientation val="minMax"/>
        </c:scaling>
        <c:delete val="0"/>
        <c:axPos val="b"/>
        <c:numFmt formatCode="General" sourceLinked="1"/>
        <c:majorTickMark val="none"/>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504216224"/>
        <c:crosses val="autoZero"/>
        <c:auto val="1"/>
        <c:lblAlgn val="ctr"/>
        <c:lblOffset val="100"/>
        <c:noMultiLvlLbl val="0"/>
      </c:catAx>
      <c:valAx>
        <c:axId val="504216224"/>
        <c:scaling>
          <c:orientation val="minMax"/>
          <c:max val="4000"/>
        </c:scaling>
        <c:delete val="0"/>
        <c:axPos val="l"/>
        <c:majorGridlines>
          <c:spPr>
            <a:ln>
              <a:solidFill>
                <a:schemeClr val="bg1"/>
              </a:solidFill>
            </a:ln>
          </c:spPr>
        </c:majorGridlines>
        <c:title>
          <c:tx>
            <c:rich>
              <a:bodyPr rot="0" vert="horz"/>
              <a:lstStyle/>
              <a:p>
                <a:pPr algn="ctr">
                  <a:defRPr sz="1000" b="0" i="0" u="none" strike="noStrike" baseline="0">
                    <a:solidFill>
                      <a:srgbClr val="000000"/>
                    </a:solidFill>
                    <a:latin typeface="Calibri"/>
                    <a:ea typeface="Calibri"/>
                    <a:cs typeface="Calibri"/>
                  </a:defRPr>
                </a:pPr>
                <a:r>
                  <a:rPr lang="en-US"/>
                  <a:t>in Numbers</a:t>
                </a:r>
              </a:p>
            </c:rich>
          </c:tx>
          <c:layout>
            <c:manualLayout>
              <c:xMode val="edge"/>
              <c:yMode val="edge"/>
              <c:x val="1.1116306707395364E-2"/>
              <c:y val="5.5208909697098671E-2"/>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3480"/>
        <c:crosses val="autoZero"/>
        <c:crossBetween val="between"/>
      </c:valAx>
      <c:spPr>
        <a:ln>
          <a:solidFill>
            <a:schemeClr val="bg1">
              <a:lumMod val="50000"/>
            </a:schemeClr>
          </a:solidFill>
        </a:ln>
      </c:spPr>
    </c:plotArea>
    <c:legend>
      <c:legendPos val="r"/>
      <c:layout>
        <c:manualLayout>
          <c:xMode val="edge"/>
          <c:yMode val="edge"/>
          <c:x val="0.34026545316647705"/>
          <c:y val="0.20319973516823911"/>
          <c:w val="0.327658906117964"/>
          <c:h val="9.4525391533265529E-2"/>
        </c:manualLayout>
      </c:layout>
      <c:overlay val="0"/>
      <c:txPr>
        <a:bodyPr/>
        <a:lstStyle/>
        <a:p>
          <a:pPr>
            <a:defRPr sz="12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Calibri"/>
                <a:ea typeface="Calibri"/>
                <a:cs typeface="Calibri"/>
              </a:defRPr>
            </a:pPr>
            <a:r>
              <a:rPr lang="en-US" sz="1600"/>
              <a:t>Figure 3.20: Marriages and Divorces by Atolls, 2021</a:t>
            </a:r>
          </a:p>
        </c:rich>
      </c:tx>
      <c:layout>
        <c:manualLayout>
          <c:xMode val="edge"/>
          <c:yMode val="edge"/>
          <c:x val="0.24892840351615703"/>
          <c:y val="4.8072190189889223E-2"/>
        </c:manualLayout>
      </c:layout>
      <c:overlay val="0"/>
    </c:title>
    <c:autoTitleDeleted val="0"/>
    <c:plotArea>
      <c:layout>
        <c:manualLayout>
          <c:layoutTarget val="inner"/>
          <c:xMode val="edge"/>
          <c:yMode val="edge"/>
          <c:x val="6.3130214770483917E-2"/>
          <c:y val="0.17163971611049528"/>
          <c:w val="0.91379665618722206"/>
          <c:h val="0.72482235622258184"/>
        </c:manualLayout>
      </c:layout>
      <c:barChart>
        <c:barDir val="col"/>
        <c:grouping val="clustered"/>
        <c:varyColors val="0"/>
        <c:ser>
          <c:idx val="1"/>
          <c:order val="0"/>
          <c:tx>
            <c:strRef>
              <c:f>'3.17'!$AM$7</c:f>
              <c:strCache>
                <c:ptCount val="1"/>
                <c:pt idx="0">
                  <c:v>Marriages</c:v>
                </c:pt>
              </c:strCache>
            </c:strRef>
          </c:tx>
          <c:spPr>
            <a:solidFill>
              <a:srgbClr val="C00000"/>
            </a:solidFill>
          </c:spPr>
          <c:invertIfNegative val="0"/>
          <c:cat>
            <c:strRef>
              <c:f>'3.17'!$A$12:$A$31</c:f>
              <c:strCache>
                <c:ptCount val="20"/>
                <c:pt idx="0">
                  <c:v> HA</c:v>
                </c:pt>
                <c:pt idx="1">
                  <c:v> HDh</c:v>
                </c:pt>
                <c:pt idx="2">
                  <c:v> Sh</c:v>
                </c:pt>
                <c:pt idx="3">
                  <c:v> N</c:v>
                </c:pt>
                <c:pt idx="4">
                  <c:v> R</c:v>
                </c:pt>
                <c:pt idx="5">
                  <c:v>B</c:v>
                </c:pt>
                <c:pt idx="6">
                  <c:v>Lh</c:v>
                </c:pt>
                <c:pt idx="7">
                  <c:v>K</c:v>
                </c:pt>
                <c:pt idx="8">
                  <c:v>AA</c:v>
                </c:pt>
                <c:pt idx="9">
                  <c:v>ADh</c:v>
                </c:pt>
                <c:pt idx="10">
                  <c:v>V</c:v>
                </c:pt>
                <c:pt idx="11">
                  <c:v>M</c:v>
                </c:pt>
                <c:pt idx="12">
                  <c:v>F</c:v>
                </c:pt>
                <c:pt idx="13">
                  <c:v>Dh</c:v>
                </c:pt>
                <c:pt idx="14">
                  <c:v>Th</c:v>
                </c:pt>
                <c:pt idx="15">
                  <c:v> L</c:v>
                </c:pt>
                <c:pt idx="16">
                  <c:v>GA</c:v>
                </c:pt>
                <c:pt idx="17">
                  <c:v>GDh</c:v>
                </c:pt>
                <c:pt idx="18">
                  <c:v>Gn</c:v>
                </c:pt>
                <c:pt idx="19">
                  <c:v>S</c:v>
                </c:pt>
              </c:strCache>
            </c:strRef>
          </c:cat>
          <c:val>
            <c:numRef>
              <c:f>'3.17'!$AM$12:$AM$31</c:f>
              <c:numCache>
                <c:formatCode>#,##0</c:formatCode>
                <c:ptCount val="20"/>
                <c:pt idx="0">
                  <c:v>121</c:v>
                </c:pt>
                <c:pt idx="1">
                  <c:v>242</c:v>
                </c:pt>
                <c:pt idx="2">
                  <c:v>141</c:v>
                </c:pt>
                <c:pt idx="3">
                  <c:v>146</c:v>
                </c:pt>
                <c:pt idx="4">
                  <c:v>212</c:v>
                </c:pt>
                <c:pt idx="5">
                  <c:v>107</c:v>
                </c:pt>
                <c:pt idx="6">
                  <c:v>131</c:v>
                </c:pt>
                <c:pt idx="7">
                  <c:v>186</c:v>
                </c:pt>
                <c:pt idx="8">
                  <c:v>98</c:v>
                </c:pt>
                <c:pt idx="9">
                  <c:v>110</c:v>
                </c:pt>
                <c:pt idx="10">
                  <c:v>14</c:v>
                </c:pt>
                <c:pt idx="11">
                  <c:v>45</c:v>
                </c:pt>
                <c:pt idx="12">
                  <c:v>55</c:v>
                </c:pt>
                <c:pt idx="13">
                  <c:v>60</c:v>
                </c:pt>
                <c:pt idx="14">
                  <c:v>122</c:v>
                </c:pt>
                <c:pt idx="15">
                  <c:v>224</c:v>
                </c:pt>
                <c:pt idx="16">
                  <c:v>108</c:v>
                </c:pt>
                <c:pt idx="17">
                  <c:v>137</c:v>
                </c:pt>
                <c:pt idx="18">
                  <c:v>143</c:v>
                </c:pt>
                <c:pt idx="19">
                  <c:v>286</c:v>
                </c:pt>
              </c:numCache>
            </c:numRef>
          </c:val>
          <c:extLst>
            <c:ext xmlns:c16="http://schemas.microsoft.com/office/drawing/2014/chart" uri="{C3380CC4-5D6E-409C-BE32-E72D297353CC}">
              <c16:uniqueId val="{00000000-A1CE-4DC1-8E7A-D34232CDBAFB}"/>
            </c:ext>
          </c:extLst>
        </c:ser>
        <c:ser>
          <c:idx val="2"/>
          <c:order val="1"/>
          <c:tx>
            <c:strRef>
              <c:f>'3.17'!$AN$7</c:f>
              <c:strCache>
                <c:ptCount val="1"/>
                <c:pt idx="0">
                  <c:v>Divorces</c:v>
                </c:pt>
              </c:strCache>
            </c:strRef>
          </c:tx>
          <c:spPr>
            <a:solidFill>
              <a:srgbClr val="FFAFAF"/>
            </a:solidFill>
          </c:spPr>
          <c:invertIfNegative val="0"/>
          <c:cat>
            <c:strRef>
              <c:f>'3.17'!$A$12:$A$31</c:f>
              <c:strCache>
                <c:ptCount val="20"/>
                <c:pt idx="0">
                  <c:v> HA</c:v>
                </c:pt>
                <c:pt idx="1">
                  <c:v> HDh</c:v>
                </c:pt>
                <c:pt idx="2">
                  <c:v> Sh</c:v>
                </c:pt>
                <c:pt idx="3">
                  <c:v> N</c:v>
                </c:pt>
                <c:pt idx="4">
                  <c:v> R</c:v>
                </c:pt>
                <c:pt idx="5">
                  <c:v>B</c:v>
                </c:pt>
                <c:pt idx="6">
                  <c:v>Lh</c:v>
                </c:pt>
                <c:pt idx="7">
                  <c:v>K</c:v>
                </c:pt>
                <c:pt idx="8">
                  <c:v>AA</c:v>
                </c:pt>
                <c:pt idx="9">
                  <c:v>ADh</c:v>
                </c:pt>
                <c:pt idx="10">
                  <c:v>V</c:v>
                </c:pt>
                <c:pt idx="11">
                  <c:v>M</c:v>
                </c:pt>
                <c:pt idx="12">
                  <c:v>F</c:v>
                </c:pt>
                <c:pt idx="13">
                  <c:v>Dh</c:v>
                </c:pt>
                <c:pt idx="14">
                  <c:v>Th</c:v>
                </c:pt>
                <c:pt idx="15">
                  <c:v> L</c:v>
                </c:pt>
                <c:pt idx="16">
                  <c:v>GA</c:v>
                </c:pt>
                <c:pt idx="17">
                  <c:v>GDh</c:v>
                </c:pt>
                <c:pt idx="18">
                  <c:v>Gn</c:v>
                </c:pt>
                <c:pt idx="19">
                  <c:v>S</c:v>
                </c:pt>
              </c:strCache>
            </c:strRef>
          </c:cat>
          <c:val>
            <c:numRef>
              <c:f>'3.17'!$AN$12:$AN$31</c:f>
              <c:numCache>
                <c:formatCode>General_)</c:formatCode>
                <c:ptCount val="20"/>
                <c:pt idx="0">
                  <c:v>82</c:v>
                </c:pt>
                <c:pt idx="1">
                  <c:v>158</c:v>
                </c:pt>
                <c:pt idx="2">
                  <c:v>99</c:v>
                </c:pt>
                <c:pt idx="3">
                  <c:v>133</c:v>
                </c:pt>
                <c:pt idx="4">
                  <c:v>128</c:v>
                </c:pt>
                <c:pt idx="5">
                  <c:v>59</c:v>
                </c:pt>
                <c:pt idx="6">
                  <c:v>75</c:v>
                </c:pt>
                <c:pt idx="7">
                  <c:v>120</c:v>
                </c:pt>
                <c:pt idx="8">
                  <c:v>55</c:v>
                </c:pt>
                <c:pt idx="9">
                  <c:v>83</c:v>
                </c:pt>
                <c:pt idx="10">
                  <c:v>10</c:v>
                </c:pt>
                <c:pt idx="11">
                  <c:v>29</c:v>
                </c:pt>
                <c:pt idx="12">
                  <c:v>23</c:v>
                </c:pt>
                <c:pt idx="13">
                  <c:v>41</c:v>
                </c:pt>
                <c:pt idx="14">
                  <c:v>76</c:v>
                </c:pt>
                <c:pt idx="15">
                  <c:v>162</c:v>
                </c:pt>
                <c:pt idx="16">
                  <c:v>73</c:v>
                </c:pt>
                <c:pt idx="17">
                  <c:v>117</c:v>
                </c:pt>
                <c:pt idx="18">
                  <c:v>101</c:v>
                </c:pt>
                <c:pt idx="19">
                  <c:v>180</c:v>
                </c:pt>
              </c:numCache>
            </c:numRef>
          </c:val>
          <c:extLst>
            <c:ext xmlns:c16="http://schemas.microsoft.com/office/drawing/2014/chart" uri="{C3380CC4-5D6E-409C-BE32-E72D297353CC}">
              <c16:uniqueId val="{00000001-A1CE-4DC1-8E7A-D34232CDBAFB}"/>
            </c:ext>
          </c:extLst>
        </c:ser>
        <c:dLbls>
          <c:showLegendKey val="0"/>
          <c:showVal val="0"/>
          <c:showCatName val="0"/>
          <c:showSerName val="0"/>
          <c:showPercent val="0"/>
          <c:showBubbleSize val="0"/>
        </c:dLbls>
        <c:gapWidth val="150"/>
        <c:axId val="504216616"/>
        <c:axId val="504218184"/>
      </c:barChart>
      <c:catAx>
        <c:axId val="504216616"/>
        <c:scaling>
          <c:orientation val="minMax"/>
        </c:scaling>
        <c:delete val="0"/>
        <c:axPos val="b"/>
        <c:numFmt formatCode="General" sourceLinked="1"/>
        <c:majorTickMark val="none"/>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504218184"/>
        <c:crosses val="autoZero"/>
        <c:auto val="1"/>
        <c:lblAlgn val="ctr"/>
        <c:lblOffset val="100"/>
        <c:noMultiLvlLbl val="0"/>
      </c:catAx>
      <c:valAx>
        <c:axId val="504218184"/>
        <c:scaling>
          <c:orientation val="minMax"/>
          <c:max val="300"/>
        </c:scaling>
        <c:delete val="0"/>
        <c:axPos val="l"/>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6616"/>
        <c:crosses val="autoZero"/>
        <c:crossBetween val="between"/>
      </c:valAx>
      <c:spPr>
        <a:ln>
          <a:solidFill>
            <a:sysClr val="windowText" lastClr="000000">
              <a:lumMod val="50000"/>
              <a:lumOff val="50000"/>
            </a:sysClr>
          </a:solidFill>
        </a:ln>
      </c:spPr>
    </c:plotArea>
    <c:legend>
      <c:legendPos val="r"/>
      <c:layout>
        <c:manualLayout>
          <c:xMode val="edge"/>
          <c:yMode val="edge"/>
          <c:x val="0.39325367379924964"/>
          <c:y val="0.24805558879608133"/>
          <c:w val="0.24075626139952849"/>
          <c:h val="7.7567112621560602E-2"/>
        </c:manualLayout>
      </c:layout>
      <c:overlay val="0"/>
      <c:txPr>
        <a:bodyPr/>
        <a:lstStyle/>
        <a:p>
          <a:pPr>
            <a:defRPr sz="1200" b="1"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200" b="1" i="0" u="none" strike="noStrike" baseline="0">
                <a:solidFill>
                  <a:srgbClr val="000000"/>
                </a:solidFill>
                <a:latin typeface="Calibri"/>
                <a:ea typeface="Calibri"/>
                <a:cs typeface="Calibri"/>
              </a:defRPr>
            </a:pPr>
            <a:r>
              <a:rPr lang="en-US"/>
              <a:t>Figure 3.16:  Percentage of Maldivians married to foreign nationals by sex, 2015</a:t>
            </a:r>
          </a:p>
        </c:rich>
      </c:tx>
      <c:layout>
        <c:manualLayout>
          <c:xMode val="edge"/>
          <c:yMode val="edge"/>
          <c:x val="0.12109413350358231"/>
          <c:y val="3.6666666666666667E-2"/>
        </c:manualLayout>
      </c:layout>
      <c:overlay val="0"/>
    </c:title>
    <c:autoTitleDeleted val="0"/>
    <c:plotArea>
      <c:layout>
        <c:manualLayout>
          <c:layoutTarget val="inner"/>
          <c:xMode val="edge"/>
          <c:yMode val="edge"/>
          <c:x val="0.2606818330534168"/>
          <c:y val="0.216104908528225"/>
          <c:w val="0.35851183466931497"/>
          <c:h val="0.74244055313981272"/>
        </c:manualLayout>
      </c:layout>
      <c:pieChart>
        <c:varyColors val="1"/>
        <c:ser>
          <c:idx val="0"/>
          <c:order val="0"/>
          <c:explosion val="5"/>
          <c:dPt>
            <c:idx val="0"/>
            <c:bubble3D val="0"/>
            <c:spPr>
              <a:solidFill>
                <a:srgbClr val="1C706E"/>
              </a:solidFill>
            </c:spPr>
            <c:extLst>
              <c:ext xmlns:c16="http://schemas.microsoft.com/office/drawing/2014/chart" uri="{C3380CC4-5D6E-409C-BE32-E72D297353CC}">
                <c16:uniqueId val="{00000001-44B0-46CD-B61E-DD86ED9D8D9F}"/>
              </c:ext>
            </c:extLst>
          </c:dPt>
          <c:dPt>
            <c:idx val="1"/>
            <c:bubble3D val="0"/>
            <c:spPr>
              <a:solidFill>
                <a:srgbClr val="33CCCC"/>
              </a:solidFill>
            </c:spPr>
            <c:extLst>
              <c:ext xmlns:c16="http://schemas.microsoft.com/office/drawing/2014/chart" uri="{C3380CC4-5D6E-409C-BE32-E72D297353CC}">
                <c16:uniqueId val="{00000003-44B0-46CD-B61E-DD86ED9D8D9F}"/>
              </c:ext>
            </c:extLst>
          </c:dPt>
          <c:dLbls>
            <c:dLbl>
              <c:idx val="0"/>
              <c:layout>
                <c:manualLayout>
                  <c:x val="-0.17907817973860604"/>
                  <c:y val="-3.1160543135672538E-2"/>
                </c:manualLayout>
              </c:layout>
              <c:spPr/>
              <c:txPr>
                <a:bodyPr/>
                <a:lstStyle/>
                <a:p>
                  <a:pPr>
                    <a:defRPr sz="900" b="0" i="0" u="none" strike="noStrike" baseline="0">
                      <a:solidFill>
                        <a:srgbClr val="000000"/>
                      </a:solidFill>
                      <a:latin typeface="Calibri"/>
                      <a:ea typeface="Calibri"/>
                      <a:cs typeface="Calibri"/>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B0-46CD-B61E-DD86ED9D8D9F}"/>
                </c:ext>
              </c:extLst>
            </c:dLbl>
            <c:dLbl>
              <c:idx val="1"/>
              <c:layout>
                <c:manualLayout>
                  <c:x val="0.17270517013221595"/>
                  <c:y val="-6.5775769927447734E-3"/>
                </c:manualLayout>
              </c:layout>
              <c:spPr/>
              <c:txPr>
                <a:bodyPr/>
                <a:lstStyle/>
                <a:p>
                  <a:pPr>
                    <a:defRPr sz="900" b="0" i="0" u="none" strike="noStrike" baseline="0">
                      <a:solidFill>
                        <a:srgbClr val="000000"/>
                      </a:solidFill>
                      <a:latin typeface="Calibri"/>
                      <a:ea typeface="Calibri"/>
                      <a:cs typeface="Calibri"/>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B0-46CD-B61E-DD86ED9D8D9F}"/>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'[2]3.19'!$O$5:$O$6</c:f>
              <c:numCache>
                <c:formatCode>General</c:formatCode>
                <c:ptCount val="2"/>
              </c:numCache>
            </c:numRef>
          </c:cat>
          <c:val>
            <c:numRef>
              <c:f>'[2]3.19'!$P$5:$P$6</c:f>
              <c:numCache>
                <c:formatCode>General</c:formatCode>
                <c:ptCount val="2"/>
              </c:numCache>
            </c:numRef>
          </c:val>
          <c:extLst>
            <c:ext xmlns:c16="http://schemas.microsoft.com/office/drawing/2014/chart" uri="{C3380CC4-5D6E-409C-BE32-E72D297353CC}">
              <c16:uniqueId val="{00000004-44B0-46CD-B61E-DD86ED9D8D9F}"/>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lotArea>
      <c:layout>
        <c:manualLayout>
          <c:layoutTarget val="inner"/>
          <c:xMode val="edge"/>
          <c:yMode val="edge"/>
          <c:x val="0.25827944479912984"/>
          <c:y val="0.18349928829429238"/>
          <c:w val="0.44740072355820387"/>
          <c:h val="0.7783931083849629"/>
        </c:manualLayout>
      </c:layout>
      <c:pieChart>
        <c:varyColors val="1"/>
        <c:ser>
          <c:idx val="0"/>
          <c:order val="0"/>
          <c:spPr>
            <a:solidFill>
              <a:srgbClr val="953735"/>
            </a:solidFill>
          </c:spPr>
          <c:explosion val="5"/>
          <c:dPt>
            <c:idx val="0"/>
            <c:bubble3D val="0"/>
            <c:spPr>
              <a:solidFill>
                <a:srgbClr val="C00000"/>
              </a:solidFill>
            </c:spPr>
            <c:extLst>
              <c:ext xmlns:c16="http://schemas.microsoft.com/office/drawing/2014/chart" uri="{C3380CC4-5D6E-409C-BE32-E72D297353CC}">
                <c16:uniqueId val="{00000001-C7DE-4896-BF2C-AED965DE72C0}"/>
              </c:ext>
            </c:extLst>
          </c:dPt>
          <c:dPt>
            <c:idx val="1"/>
            <c:bubble3D val="0"/>
            <c:explosion val="4"/>
            <c:spPr>
              <a:solidFill>
                <a:srgbClr val="FFAFAF"/>
              </a:solidFill>
            </c:spPr>
            <c:extLst>
              <c:ext xmlns:c16="http://schemas.microsoft.com/office/drawing/2014/chart" uri="{C3380CC4-5D6E-409C-BE32-E72D297353CC}">
                <c16:uniqueId val="{00000003-C7DE-4896-BF2C-AED965DE72C0}"/>
              </c:ext>
            </c:extLst>
          </c:dPt>
          <c:dLbls>
            <c:dLbl>
              <c:idx val="0"/>
              <c:layout>
                <c:manualLayout>
                  <c:x val="-0.17602364569293702"/>
                  <c:y val="9.6401424142223913E-2"/>
                </c:manualLayout>
              </c:layout>
              <c:spPr/>
              <c:txPr>
                <a:bodyPr/>
                <a:lstStyle/>
                <a:p>
                  <a:pPr>
                    <a:defRPr sz="900" b="0" i="0" u="none" strike="noStrike" baseline="0">
                      <a:solidFill>
                        <a:schemeClr val="tx1"/>
                      </a:solidFill>
                      <a:latin typeface="Calibri"/>
                      <a:ea typeface="Calibri"/>
                      <a:cs typeface="Calibri"/>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DE-4896-BF2C-AED965DE72C0}"/>
                </c:ext>
              </c:extLst>
            </c:dLbl>
            <c:dLbl>
              <c:idx val="1"/>
              <c:layout>
                <c:manualLayout>
                  <c:x val="0.19115556501383274"/>
                  <c:y val="-0.12875419273497157"/>
                </c:manualLayout>
              </c:layout>
              <c:spPr/>
              <c:txPr>
                <a:bodyPr/>
                <a:lstStyle/>
                <a:p>
                  <a:pPr>
                    <a:defRPr sz="900" b="0" i="0" u="none" strike="noStrike" baseline="0">
                      <a:solidFill>
                        <a:schemeClr val="bg1"/>
                      </a:solidFill>
                      <a:latin typeface="Calibri"/>
                      <a:ea typeface="Calibri"/>
                      <a:cs typeface="Calibri"/>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DE-4896-BF2C-AED965DE72C0}"/>
                </c:ext>
              </c:extLst>
            </c:dLbl>
            <c:spPr>
              <a:noFill/>
              <a:ln w="25400">
                <a:noFill/>
              </a:ln>
            </c:spPr>
            <c:txPr>
              <a:bodyPr wrap="square" lIns="38100" tIns="19050" rIns="38100" bIns="19050" anchor="ctr">
                <a:spAutoFit/>
              </a:bodyPr>
              <a:lstStyle/>
              <a:p>
                <a:pPr>
                  <a:defRPr sz="900" b="0" i="0" u="none" strike="noStrike" baseline="0">
                    <a:solidFill>
                      <a:schemeClr val="bg1"/>
                    </a:solidFill>
                    <a:latin typeface="Calibri"/>
                    <a:ea typeface="Calibri"/>
                    <a:cs typeface="Calibri"/>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'3.19'!$P$4:$P$5</c:f>
              <c:strCache>
                <c:ptCount val="2"/>
                <c:pt idx="0">
                  <c:v>    Foreign Males</c:v>
                </c:pt>
                <c:pt idx="1">
                  <c:v>    Foreign Females</c:v>
                </c:pt>
              </c:strCache>
            </c:strRef>
          </c:cat>
          <c:val>
            <c:numRef>
              <c:f>'3.19'!$Q$4:$Q$5</c:f>
              <c:numCache>
                <c:formatCode>0.00</c:formatCode>
                <c:ptCount val="2"/>
                <c:pt idx="0">
                  <c:v>39.230769230769234</c:v>
                </c:pt>
                <c:pt idx="1">
                  <c:v>60.769230769230766</c:v>
                </c:pt>
              </c:numCache>
            </c:numRef>
          </c:val>
          <c:extLst>
            <c:ext xmlns:c16="http://schemas.microsoft.com/office/drawing/2014/chart" uri="{C3380CC4-5D6E-409C-BE32-E72D297353CC}">
              <c16:uniqueId val="{00000004-C7DE-4896-BF2C-AED965DE72C0}"/>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b="1" i="0" u="none" strike="noStrike" baseline="0">
                <a:solidFill>
                  <a:srgbClr val="000000"/>
                </a:solidFill>
                <a:latin typeface="Calibri"/>
                <a:ea typeface="Calibri"/>
                <a:cs typeface="Calibri"/>
              </a:defRPr>
            </a:pPr>
            <a:r>
              <a:rPr lang="en-US"/>
              <a:t>Figure 3.23: Percentage of  marriages between locals and locals to foreign nationals by locally and overseas, 2021</a:t>
            </a:r>
          </a:p>
        </c:rich>
      </c:tx>
      <c:layout>
        <c:manualLayout>
          <c:xMode val="edge"/>
          <c:yMode val="edge"/>
          <c:x val="0.1497264446222297"/>
          <c:y val="2.2261295008026909E-2"/>
        </c:manualLayout>
      </c:layout>
      <c:overlay val="0"/>
    </c:title>
    <c:autoTitleDeleted val="0"/>
    <c:plotArea>
      <c:layout>
        <c:manualLayout>
          <c:layoutTarget val="inner"/>
          <c:xMode val="edge"/>
          <c:yMode val="edge"/>
          <c:x val="0.10850234629762188"/>
          <c:y val="0.17738776872544113"/>
          <c:w val="0.88920454545454553"/>
          <c:h val="0.66500811912129665"/>
        </c:manualLayout>
      </c:layout>
      <c:barChart>
        <c:barDir val="col"/>
        <c:grouping val="stacked"/>
        <c:varyColors val="0"/>
        <c:ser>
          <c:idx val="0"/>
          <c:order val="0"/>
          <c:tx>
            <c:strRef>
              <c:f>'3.19'!$R$27</c:f>
              <c:strCache>
                <c:ptCount val="1"/>
                <c:pt idx="0">
                  <c:v>Marriages overseas         </c:v>
                </c:pt>
              </c:strCache>
            </c:strRef>
          </c:tx>
          <c:spPr>
            <a:solidFill>
              <a:srgbClr val="FFAFAF"/>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08E3-4FFB-80DB-4D060BE7E15D}"/>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'3.19'!$Q$28:$Q$29</c:f>
              <c:strCache>
                <c:ptCount val="2"/>
                <c:pt idx="0">
                  <c:v>Marriage between maldivian nationals </c:v>
                </c:pt>
                <c:pt idx="1">
                  <c:v>Marriage with foreign nationals </c:v>
                </c:pt>
              </c:strCache>
            </c:strRef>
          </c:cat>
          <c:val>
            <c:numRef>
              <c:f>'3.19'!$R$28:$R$29</c:f>
              <c:numCache>
                <c:formatCode>0</c:formatCode>
                <c:ptCount val="2"/>
                <c:pt idx="0">
                  <c:v>1.1133791055854518</c:v>
                </c:pt>
                <c:pt idx="1">
                  <c:v>34.615384615384613</c:v>
                </c:pt>
              </c:numCache>
            </c:numRef>
          </c:val>
          <c:extLst>
            <c:ext xmlns:c16="http://schemas.microsoft.com/office/drawing/2014/chart" uri="{C3380CC4-5D6E-409C-BE32-E72D297353CC}">
              <c16:uniqueId val="{00000000-39EF-4751-AC5A-92C981660425}"/>
            </c:ext>
          </c:extLst>
        </c:ser>
        <c:ser>
          <c:idx val="1"/>
          <c:order val="1"/>
          <c:tx>
            <c:strRef>
              <c:f>'3.19'!$S$27</c:f>
              <c:strCache>
                <c:ptCount val="1"/>
                <c:pt idx="0">
                  <c:v>Marriages  in Maldives          </c:v>
                </c:pt>
              </c:strCache>
            </c:strRef>
          </c:tx>
          <c:spPr>
            <a:solidFill>
              <a:srgbClr val="C00000"/>
            </a:solidFill>
          </c:spPr>
          <c:invertIfNegative val="0"/>
          <c:dPt>
            <c:idx val="0"/>
            <c:invertIfNegative val="0"/>
            <c:bubble3D val="0"/>
            <c:extLst>
              <c:ext xmlns:c16="http://schemas.microsoft.com/office/drawing/2014/chart" uri="{C3380CC4-5D6E-409C-BE32-E72D297353CC}">
                <c16:uniqueId val="{00000001-4E5F-48D3-8C3C-BE39D4006F81}"/>
              </c:ext>
            </c:extLst>
          </c:dPt>
          <c:dPt>
            <c:idx val="1"/>
            <c:invertIfNegative val="0"/>
            <c:bubble3D val="0"/>
            <c:extLst>
              <c:ext xmlns:c16="http://schemas.microsoft.com/office/drawing/2014/chart" uri="{C3380CC4-5D6E-409C-BE32-E72D297353CC}">
                <c16:uniqueId val="{00000003-4E5F-48D3-8C3C-BE39D4006F81}"/>
              </c:ext>
            </c:extLst>
          </c:dPt>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'3.19'!$Q$28:$Q$29</c:f>
              <c:strCache>
                <c:ptCount val="2"/>
                <c:pt idx="0">
                  <c:v>Marriage between maldivian nationals </c:v>
                </c:pt>
                <c:pt idx="1">
                  <c:v>Marriage with foreign nationals </c:v>
                </c:pt>
              </c:strCache>
            </c:strRef>
          </c:cat>
          <c:val>
            <c:numRef>
              <c:f>'3.19'!$S$28:$S$29</c:f>
              <c:numCache>
                <c:formatCode>0</c:formatCode>
                <c:ptCount val="2"/>
                <c:pt idx="0">
                  <c:v>98.886620894414548</c:v>
                </c:pt>
                <c:pt idx="1">
                  <c:v>65.384615384615387</c:v>
                </c:pt>
              </c:numCache>
            </c:numRef>
          </c:val>
          <c:extLst>
            <c:ext xmlns:c16="http://schemas.microsoft.com/office/drawing/2014/chart" uri="{C3380CC4-5D6E-409C-BE32-E72D297353CC}">
              <c16:uniqueId val="{00000001-39EF-4751-AC5A-92C981660425}"/>
            </c:ext>
          </c:extLst>
        </c:ser>
        <c:dLbls>
          <c:showLegendKey val="0"/>
          <c:showVal val="0"/>
          <c:showCatName val="0"/>
          <c:showSerName val="0"/>
          <c:showPercent val="0"/>
          <c:showBubbleSize val="0"/>
        </c:dLbls>
        <c:gapWidth val="198"/>
        <c:overlap val="100"/>
        <c:axId val="504217400"/>
        <c:axId val="504210736"/>
      </c:barChart>
      <c:catAx>
        <c:axId val="504217400"/>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0736"/>
        <c:crosses val="autoZero"/>
        <c:auto val="1"/>
        <c:lblAlgn val="ctr"/>
        <c:lblOffset val="100"/>
        <c:noMultiLvlLbl val="0"/>
      </c:catAx>
      <c:valAx>
        <c:axId val="504210736"/>
        <c:scaling>
          <c:orientation val="minMax"/>
          <c:max val="100"/>
          <c:min val="0"/>
        </c:scaling>
        <c:delete val="0"/>
        <c:axPos val="l"/>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7400"/>
        <c:crosses val="autoZero"/>
        <c:crossBetween val="between"/>
      </c:valAx>
      <c:spPr>
        <a:ln>
          <a:solidFill>
            <a:schemeClr val="bg1">
              <a:lumMod val="85000"/>
            </a:schemeClr>
          </a:solidFill>
        </a:ln>
      </c:spPr>
    </c:plotArea>
    <c:legend>
      <c:legendPos val="r"/>
      <c:layout>
        <c:manualLayout>
          <c:xMode val="edge"/>
          <c:yMode val="edge"/>
          <c:x val="0.40720891172025958"/>
          <c:y val="0.61115166962511192"/>
          <c:w val="0.27168470251379007"/>
          <c:h val="0.13669443053722333"/>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Calibri"/>
                <a:ea typeface="Calibri"/>
                <a:cs typeface="Calibri"/>
              </a:defRPr>
            </a:pPr>
            <a:r>
              <a:rPr lang="en-US"/>
              <a:t>Figure 3.24: Marriages by number of times married by sex of bride and groom, 2019 - 2021</a:t>
            </a:r>
          </a:p>
        </c:rich>
      </c:tx>
      <c:layout>
        <c:manualLayout>
          <c:xMode val="edge"/>
          <c:yMode val="edge"/>
          <c:x val="0.12047834376821899"/>
          <c:y val="6.576957677474754E-2"/>
        </c:manualLayout>
      </c:layout>
      <c:overlay val="0"/>
    </c:title>
    <c:autoTitleDeleted val="0"/>
    <c:plotArea>
      <c:layout>
        <c:manualLayout>
          <c:layoutTarget val="inner"/>
          <c:xMode val="edge"/>
          <c:yMode val="edge"/>
          <c:x val="6.6347180740338491E-2"/>
          <c:y val="0.15620699818939746"/>
          <c:w val="0.88929054665580587"/>
          <c:h val="0.68575518969219762"/>
        </c:manualLayout>
      </c:layout>
      <c:barChart>
        <c:barDir val="col"/>
        <c:grouping val="clustered"/>
        <c:varyColors val="0"/>
        <c:ser>
          <c:idx val="0"/>
          <c:order val="0"/>
          <c:tx>
            <c:strRef>
              <c:f>'3.21'!$AG$24</c:f>
              <c:strCache>
                <c:ptCount val="1"/>
                <c:pt idx="0">
                  <c:v>First</c:v>
                </c:pt>
              </c:strCache>
            </c:strRef>
          </c:tx>
          <c:spPr>
            <a:solidFill>
              <a:srgbClr val="C00000"/>
            </a:solidFill>
          </c:spPr>
          <c:invertIfNegative val="0"/>
          <c:cat>
            <c:multiLvlStrRef>
              <c:f>'3.21'!$AN$22:$AS$23</c:f>
              <c:multiLvlStrCache>
                <c:ptCount val="6"/>
                <c:lvl>
                  <c:pt idx="0">
                    <c:v>Male</c:v>
                  </c:pt>
                  <c:pt idx="1">
                    <c:v>Female</c:v>
                  </c:pt>
                  <c:pt idx="2">
                    <c:v>Male</c:v>
                  </c:pt>
                  <c:pt idx="3">
                    <c:v>Female</c:v>
                  </c:pt>
                  <c:pt idx="4">
                    <c:v>Male</c:v>
                  </c:pt>
                  <c:pt idx="5">
                    <c:v>Female</c:v>
                  </c:pt>
                </c:lvl>
                <c:lvl>
                  <c:pt idx="0">
                    <c:v>2019</c:v>
                  </c:pt>
                  <c:pt idx="2">
                    <c:v>2020</c:v>
                  </c:pt>
                  <c:pt idx="4">
                    <c:v>2021</c:v>
                  </c:pt>
                </c:lvl>
              </c:multiLvlStrCache>
            </c:multiLvlStrRef>
          </c:cat>
          <c:val>
            <c:numRef>
              <c:f>'3.21'!$AN$24:$AS$24</c:f>
              <c:numCache>
                <c:formatCode>_(* #,##0_);_(* \(#,##0\);_(* "-"??_);_(@_)</c:formatCode>
                <c:ptCount val="6"/>
                <c:pt idx="0">
                  <c:v>2605</c:v>
                </c:pt>
                <c:pt idx="1">
                  <c:v>2511</c:v>
                </c:pt>
                <c:pt idx="2">
                  <c:v>2760</c:v>
                </c:pt>
                <c:pt idx="3">
                  <c:v>2583</c:v>
                </c:pt>
                <c:pt idx="4">
                  <c:v>2829</c:v>
                </c:pt>
                <c:pt idx="5">
                  <c:v>2706</c:v>
                </c:pt>
              </c:numCache>
            </c:numRef>
          </c:val>
          <c:extLst>
            <c:ext xmlns:c16="http://schemas.microsoft.com/office/drawing/2014/chart" uri="{C3380CC4-5D6E-409C-BE32-E72D297353CC}">
              <c16:uniqueId val="{00000000-3D0E-4E9D-B349-46AB501D8C8F}"/>
            </c:ext>
          </c:extLst>
        </c:ser>
        <c:ser>
          <c:idx val="2"/>
          <c:order val="1"/>
          <c:tx>
            <c:strRef>
              <c:f>'3.21'!$AG$25</c:f>
              <c:strCache>
                <c:ptCount val="1"/>
                <c:pt idx="0">
                  <c:v>Second</c:v>
                </c:pt>
              </c:strCache>
            </c:strRef>
          </c:tx>
          <c:spPr>
            <a:solidFill>
              <a:srgbClr val="FF8181"/>
            </a:solidFill>
          </c:spPr>
          <c:invertIfNegative val="0"/>
          <c:cat>
            <c:multiLvlStrRef>
              <c:f>'3.21'!$AN$22:$AS$23</c:f>
              <c:multiLvlStrCache>
                <c:ptCount val="6"/>
                <c:lvl>
                  <c:pt idx="0">
                    <c:v>Male</c:v>
                  </c:pt>
                  <c:pt idx="1">
                    <c:v>Female</c:v>
                  </c:pt>
                  <c:pt idx="2">
                    <c:v>Male</c:v>
                  </c:pt>
                  <c:pt idx="3">
                    <c:v>Female</c:v>
                  </c:pt>
                  <c:pt idx="4">
                    <c:v>Male</c:v>
                  </c:pt>
                  <c:pt idx="5">
                    <c:v>Female</c:v>
                  </c:pt>
                </c:lvl>
                <c:lvl>
                  <c:pt idx="0">
                    <c:v>2019</c:v>
                  </c:pt>
                  <c:pt idx="2">
                    <c:v>2020</c:v>
                  </c:pt>
                  <c:pt idx="4">
                    <c:v>2021</c:v>
                  </c:pt>
                </c:lvl>
              </c:multiLvlStrCache>
            </c:multiLvlStrRef>
          </c:cat>
          <c:val>
            <c:numRef>
              <c:f>'3.21'!$AN$25:$AS$25</c:f>
              <c:numCache>
                <c:formatCode>_(* #,##0_);_(* \(#,##0\);_(* "-"??_);_(@_)</c:formatCode>
                <c:ptCount val="6"/>
                <c:pt idx="0">
                  <c:v>1287</c:v>
                </c:pt>
                <c:pt idx="1">
                  <c:v>1326</c:v>
                </c:pt>
                <c:pt idx="2">
                  <c:v>1151</c:v>
                </c:pt>
                <c:pt idx="3">
                  <c:v>1254</c:v>
                </c:pt>
                <c:pt idx="4">
                  <c:v>1297</c:v>
                </c:pt>
                <c:pt idx="5">
                  <c:v>1354</c:v>
                </c:pt>
              </c:numCache>
            </c:numRef>
          </c:val>
          <c:extLst>
            <c:ext xmlns:c16="http://schemas.microsoft.com/office/drawing/2014/chart" uri="{C3380CC4-5D6E-409C-BE32-E72D297353CC}">
              <c16:uniqueId val="{00000001-3D0E-4E9D-B349-46AB501D8C8F}"/>
            </c:ext>
          </c:extLst>
        </c:ser>
        <c:ser>
          <c:idx val="3"/>
          <c:order val="2"/>
          <c:tx>
            <c:strRef>
              <c:f>'3.21'!$AG$26</c:f>
              <c:strCache>
                <c:ptCount val="1"/>
                <c:pt idx="0">
                  <c:v>Third </c:v>
                </c:pt>
              </c:strCache>
            </c:strRef>
          </c:tx>
          <c:spPr>
            <a:solidFill>
              <a:srgbClr val="FFAFAF"/>
            </a:solidFill>
          </c:spPr>
          <c:invertIfNegative val="0"/>
          <c:cat>
            <c:multiLvlStrRef>
              <c:f>'3.21'!$AN$22:$AS$23</c:f>
              <c:multiLvlStrCache>
                <c:ptCount val="6"/>
                <c:lvl>
                  <c:pt idx="0">
                    <c:v>Male</c:v>
                  </c:pt>
                  <c:pt idx="1">
                    <c:v>Female</c:v>
                  </c:pt>
                  <c:pt idx="2">
                    <c:v>Male</c:v>
                  </c:pt>
                  <c:pt idx="3">
                    <c:v>Female</c:v>
                  </c:pt>
                  <c:pt idx="4">
                    <c:v>Male</c:v>
                  </c:pt>
                  <c:pt idx="5">
                    <c:v>Female</c:v>
                  </c:pt>
                </c:lvl>
                <c:lvl>
                  <c:pt idx="0">
                    <c:v>2019</c:v>
                  </c:pt>
                  <c:pt idx="2">
                    <c:v>2020</c:v>
                  </c:pt>
                  <c:pt idx="4">
                    <c:v>2021</c:v>
                  </c:pt>
                </c:lvl>
              </c:multiLvlStrCache>
            </c:multiLvlStrRef>
          </c:cat>
          <c:val>
            <c:numRef>
              <c:f>'3.21'!$AN$26:$AS$26</c:f>
              <c:numCache>
                <c:formatCode>_(* #,##0_);_(* \(#,##0\);_(* "-"??_);_(@_)</c:formatCode>
                <c:ptCount val="6"/>
                <c:pt idx="0">
                  <c:v>591</c:v>
                </c:pt>
                <c:pt idx="1">
                  <c:v>621</c:v>
                </c:pt>
                <c:pt idx="2">
                  <c:v>549</c:v>
                </c:pt>
                <c:pt idx="3">
                  <c:v>628</c:v>
                </c:pt>
                <c:pt idx="4">
                  <c:v>610</c:v>
                </c:pt>
                <c:pt idx="5">
                  <c:v>715</c:v>
                </c:pt>
              </c:numCache>
            </c:numRef>
          </c:val>
          <c:extLst>
            <c:ext xmlns:c16="http://schemas.microsoft.com/office/drawing/2014/chart" uri="{C3380CC4-5D6E-409C-BE32-E72D297353CC}">
              <c16:uniqueId val="{00000002-3D0E-4E9D-B349-46AB501D8C8F}"/>
            </c:ext>
          </c:extLst>
        </c:ser>
        <c:ser>
          <c:idx val="4"/>
          <c:order val="3"/>
          <c:tx>
            <c:strRef>
              <c:f>'3.21'!$AG$27</c:f>
              <c:strCache>
                <c:ptCount val="1"/>
                <c:pt idx="0">
                  <c:v>Fourth or more</c:v>
                </c:pt>
              </c:strCache>
            </c:strRef>
          </c:tx>
          <c:spPr>
            <a:solidFill>
              <a:schemeClr val="bg2">
                <a:lumMod val="90000"/>
              </a:schemeClr>
            </a:solidFill>
          </c:spPr>
          <c:invertIfNegative val="0"/>
          <c:cat>
            <c:multiLvlStrRef>
              <c:f>'3.21'!$AN$22:$AS$23</c:f>
              <c:multiLvlStrCache>
                <c:ptCount val="6"/>
                <c:lvl>
                  <c:pt idx="0">
                    <c:v>Male</c:v>
                  </c:pt>
                  <c:pt idx="1">
                    <c:v>Female</c:v>
                  </c:pt>
                  <c:pt idx="2">
                    <c:v>Male</c:v>
                  </c:pt>
                  <c:pt idx="3">
                    <c:v>Female</c:v>
                  </c:pt>
                  <c:pt idx="4">
                    <c:v>Male</c:v>
                  </c:pt>
                  <c:pt idx="5">
                    <c:v>Female</c:v>
                  </c:pt>
                </c:lvl>
                <c:lvl>
                  <c:pt idx="0">
                    <c:v>2019</c:v>
                  </c:pt>
                  <c:pt idx="2">
                    <c:v>2020</c:v>
                  </c:pt>
                  <c:pt idx="4">
                    <c:v>2021</c:v>
                  </c:pt>
                </c:lvl>
              </c:multiLvlStrCache>
            </c:multiLvlStrRef>
          </c:cat>
          <c:val>
            <c:numRef>
              <c:f>'3.21'!$AN$27:$AS$27</c:f>
              <c:numCache>
                <c:formatCode>_(* #,##0_);_(* \(#,##0\);_(* "-"??_);_(@_)</c:formatCode>
                <c:ptCount val="6"/>
                <c:pt idx="0">
                  <c:v>586</c:v>
                </c:pt>
                <c:pt idx="1">
                  <c:v>611</c:v>
                </c:pt>
                <c:pt idx="2">
                  <c:v>538</c:v>
                </c:pt>
                <c:pt idx="3">
                  <c:v>533</c:v>
                </c:pt>
                <c:pt idx="4">
                  <c:v>678</c:v>
                </c:pt>
                <c:pt idx="5">
                  <c:v>639</c:v>
                </c:pt>
              </c:numCache>
            </c:numRef>
          </c:val>
          <c:extLst>
            <c:ext xmlns:c16="http://schemas.microsoft.com/office/drawing/2014/chart" uri="{C3380CC4-5D6E-409C-BE32-E72D297353CC}">
              <c16:uniqueId val="{00000003-3D0E-4E9D-B349-46AB501D8C8F}"/>
            </c:ext>
          </c:extLst>
        </c:ser>
        <c:dLbls>
          <c:showLegendKey val="0"/>
          <c:showVal val="0"/>
          <c:showCatName val="0"/>
          <c:showSerName val="0"/>
          <c:showPercent val="0"/>
          <c:showBubbleSize val="0"/>
        </c:dLbls>
        <c:gapWidth val="150"/>
        <c:axId val="504211912"/>
        <c:axId val="504212696"/>
      </c:barChart>
      <c:catAx>
        <c:axId val="504211912"/>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2696"/>
        <c:crosses val="autoZero"/>
        <c:auto val="1"/>
        <c:lblAlgn val="ctr"/>
        <c:lblOffset val="100"/>
        <c:noMultiLvlLbl val="0"/>
      </c:catAx>
      <c:valAx>
        <c:axId val="504212696"/>
        <c:scaling>
          <c:orientation val="minMax"/>
        </c:scaling>
        <c:delete val="0"/>
        <c:axPos val="l"/>
        <c:majorGridlines>
          <c:spPr>
            <a:ln>
              <a:solidFill>
                <a:schemeClr val="bg1"/>
              </a:solidFill>
            </a:ln>
          </c:spPr>
        </c:majorGridlines>
        <c:numFmt formatCode="#,##0"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1912"/>
        <c:crosses val="autoZero"/>
        <c:crossBetween val="between"/>
      </c:valAx>
      <c:spPr>
        <a:ln>
          <a:solidFill>
            <a:schemeClr val="bg1">
              <a:lumMod val="65000"/>
            </a:schemeClr>
          </a:solidFill>
        </a:ln>
      </c:spPr>
    </c:plotArea>
    <c:legend>
      <c:legendPos val="r"/>
      <c:layout>
        <c:manualLayout>
          <c:xMode val="edge"/>
          <c:yMode val="edge"/>
          <c:x val="8.9759573818551291E-2"/>
          <c:y val="0.17426262112147467"/>
          <c:w val="0.48434026907213928"/>
          <c:h val="5.109688829003325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sz="1000"/>
              <a:t>Figure 3.25: Percentage share of marriages by number of  times married by sex of bride and groom, 2021</a:t>
            </a:r>
          </a:p>
        </c:rich>
      </c:tx>
      <c:layout>
        <c:manualLayout>
          <c:xMode val="edge"/>
          <c:yMode val="edge"/>
          <c:x val="0.12652942956017765"/>
          <c:y val="4.517163159668508E-2"/>
        </c:manualLayout>
      </c:layout>
      <c:overlay val="0"/>
    </c:title>
    <c:autoTitleDeleted val="0"/>
    <c:plotArea>
      <c:layout>
        <c:manualLayout>
          <c:layoutTarget val="inner"/>
          <c:xMode val="edge"/>
          <c:yMode val="edge"/>
          <c:x val="6.6268464014813677E-2"/>
          <c:y val="0.13601639521087261"/>
          <c:w val="0.9076097364852046"/>
          <c:h val="0.72348815302196812"/>
        </c:manualLayout>
      </c:layout>
      <c:barChart>
        <c:barDir val="col"/>
        <c:grouping val="clustered"/>
        <c:varyColors val="0"/>
        <c:ser>
          <c:idx val="0"/>
          <c:order val="0"/>
          <c:tx>
            <c:strRef>
              <c:f>'3.21'!$AH$13</c:f>
              <c:strCache>
                <c:ptCount val="1"/>
                <c:pt idx="0">
                  <c:v>Male</c:v>
                </c:pt>
              </c:strCache>
            </c:strRef>
          </c:tx>
          <c:spPr>
            <a:solidFill>
              <a:srgbClr val="C00000"/>
            </a:solidFill>
          </c:spPr>
          <c:invertIfNegative val="0"/>
          <c:cat>
            <c:strRef>
              <c:f>'3.21'!$AG$14:$AG$17</c:f>
              <c:strCache>
                <c:ptCount val="4"/>
                <c:pt idx="0">
                  <c:v>First</c:v>
                </c:pt>
                <c:pt idx="1">
                  <c:v>Second</c:v>
                </c:pt>
                <c:pt idx="2">
                  <c:v>Third </c:v>
                </c:pt>
                <c:pt idx="3">
                  <c:v>Fourth or more</c:v>
                </c:pt>
              </c:strCache>
            </c:strRef>
          </c:cat>
          <c:val>
            <c:numRef>
              <c:f>'3.21'!$AH$14:$AH$17</c:f>
              <c:numCache>
                <c:formatCode>0</c:formatCode>
                <c:ptCount val="4"/>
                <c:pt idx="0">
                  <c:v>52.253417066863683</c:v>
                </c:pt>
                <c:pt idx="1">
                  <c:v>23.956409309198374</c:v>
                </c:pt>
                <c:pt idx="2">
                  <c:v>11.267085334318434</c:v>
                </c:pt>
                <c:pt idx="3">
                  <c:v>12.523088289619505</c:v>
                </c:pt>
              </c:numCache>
            </c:numRef>
          </c:val>
          <c:extLst>
            <c:ext xmlns:c16="http://schemas.microsoft.com/office/drawing/2014/chart" uri="{C3380CC4-5D6E-409C-BE32-E72D297353CC}">
              <c16:uniqueId val="{00000000-C643-4279-8923-A03CCAFC6990}"/>
            </c:ext>
          </c:extLst>
        </c:ser>
        <c:ser>
          <c:idx val="1"/>
          <c:order val="1"/>
          <c:tx>
            <c:strRef>
              <c:f>'3.21'!$AI$13</c:f>
              <c:strCache>
                <c:ptCount val="1"/>
                <c:pt idx="0">
                  <c:v>Female</c:v>
                </c:pt>
              </c:strCache>
            </c:strRef>
          </c:tx>
          <c:spPr>
            <a:solidFill>
              <a:srgbClr val="FFAFAF"/>
            </a:solidFill>
          </c:spPr>
          <c:invertIfNegative val="0"/>
          <c:cat>
            <c:strRef>
              <c:f>'3.21'!$AG$14:$AG$17</c:f>
              <c:strCache>
                <c:ptCount val="4"/>
                <c:pt idx="0">
                  <c:v>First</c:v>
                </c:pt>
                <c:pt idx="1">
                  <c:v>Second</c:v>
                </c:pt>
                <c:pt idx="2">
                  <c:v>Third </c:v>
                </c:pt>
                <c:pt idx="3">
                  <c:v>Fourth or more</c:v>
                </c:pt>
              </c:strCache>
            </c:strRef>
          </c:cat>
          <c:val>
            <c:numRef>
              <c:f>'3.21'!$AI$14:$AI$17</c:f>
              <c:numCache>
                <c:formatCode>0</c:formatCode>
                <c:ptCount val="4"/>
                <c:pt idx="0">
                  <c:v>49.981529368304393</c:v>
                </c:pt>
                <c:pt idx="1">
                  <c:v>25.0092353158478</c:v>
                </c:pt>
                <c:pt idx="2">
                  <c:v>13.206501662356853</c:v>
                </c:pt>
                <c:pt idx="3">
                  <c:v>11.802733653490948</c:v>
                </c:pt>
              </c:numCache>
            </c:numRef>
          </c:val>
          <c:extLst>
            <c:ext xmlns:c16="http://schemas.microsoft.com/office/drawing/2014/chart" uri="{C3380CC4-5D6E-409C-BE32-E72D297353CC}">
              <c16:uniqueId val="{00000001-C643-4279-8923-A03CCAFC6990}"/>
            </c:ext>
          </c:extLst>
        </c:ser>
        <c:dLbls>
          <c:showLegendKey val="0"/>
          <c:showVal val="0"/>
          <c:showCatName val="0"/>
          <c:showSerName val="0"/>
          <c:showPercent val="0"/>
          <c:showBubbleSize val="0"/>
        </c:dLbls>
        <c:gapWidth val="150"/>
        <c:axId val="504213872"/>
        <c:axId val="504214264"/>
      </c:barChart>
      <c:catAx>
        <c:axId val="504213872"/>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4264"/>
        <c:crosses val="autoZero"/>
        <c:auto val="1"/>
        <c:lblAlgn val="ctr"/>
        <c:lblOffset val="100"/>
        <c:noMultiLvlLbl val="0"/>
      </c:catAx>
      <c:valAx>
        <c:axId val="504214264"/>
        <c:scaling>
          <c:orientation val="minMax"/>
        </c:scaling>
        <c:delete val="0"/>
        <c:axPos val="l"/>
        <c:majorGridlines>
          <c:spPr>
            <a:ln>
              <a:solidFill>
                <a:schemeClr val="bg1"/>
              </a:solidFill>
            </a:ln>
          </c:spPr>
        </c:majorGridlines>
        <c:title>
          <c:tx>
            <c:rich>
              <a:bodyPr/>
              <a:lstStyle/>
              <a:p>
                <a:pPr>
                  <a:defRPr sz="1000" b="1" i="0" u="none" strike="noStrike" baseline="0">
                    <a:solidFill>
                      <a:srgbClr val="000000"/>
                    </a:solidFill>
                    <a:latin typeface="Calibri"/>
                    <a:ea typeface="Calibri"/>
                    <a:cs typeface="Calibri"/>
                  </a:defRPr>
                </a:pPr>
                <a:r>
                  <a:rPr lang="en-US"/>
                  <a:t>Percentage</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4213872"/>
        <c:crosses val="autoZero"/>
        <c:crossBetween val="between"/>
      </c:valAx>
      <c:spPr>
        <a:ln>
          <a:solidFill>
            <a:schemeClr val="bg1">
              <a:lumMod val="65000"/>
            </a:schemeClr>
          </a:solidFill>
        </a:ln>
      </c:spPr>
    </c:plotArea>
    <c:legend>
      <c:legendPos val="r"/>
      <c:layout>
        <c:manualLayout>
          <c:xMode val="edge"/>
          <c:yMode val="edge"/>
          <c:x val="0.63789519129952099"/>
          <c:y val="0.24131879414126861"/>
          <c:w val="0.22283491978646275"/>
          <c:h val="0.13990776389544363"/>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190500</xdr:colOff>
      <xdr:row>41</xdr:row>
      <xdr:rowOff>47625</xdr:rowOff>
    </xdr:from>
    <xdr:to>
      <xdr:col>12</xdr:col>
      <xdr:colOff>657225</xdr:colOff>
      <xdr:row>62</xdr:row>
      <xdr:rowOff>28575</xdr:rowOff>
    </xdr:to>
    <xdr:graphicFrame macro="">
      <xdr:nvGraphicFramePr>
        <xdr:cNvPr id="2" name="Chart 2">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33</xdr:row>
      <xdr:rowOff>171450</xdr:rowOff>
    </xdr:from>
    <xdr:to>
      <xdr:col>6</xdr:col>
      <xdr:colOff>447675</xdr:colOff>
      <xdr:row>46</xdr:row>
      <xdr:rowOff>114300</xdr:rowOff>
    </xdr:to>
    <xdr:graphicFrame macro="">
      <xdr:nvGraphicFramePr>
        <xdr:cNvPr id="2" name="Chart 12">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352425</xdr:colOff>
      <xdr:row>33</xdr:row>
      <xdr:rowOff>0</xdr:rowOff>
    </xdr:from>
    <xdr:to>
      <xdr:col>7</xdr:col>
      <xdr:colOff>457200</xdr:colOff>
      <xdr:row>33</xdr:row>
      <xdr:rowOff>28575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5067300" y="7058025"/>
          <a:ext cx="10477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171450</xdr:colOff>
      <xdr:row>26</xdr:row>
      <xdr:rowOff>0</xdr:rowOff>
    </xdr:from>
    <xdr:to>
      <xdr:col>18</xdr:col>
      <xdr:colOff>266700</xdr:colOff>
      <xdr:row>26</xdr:row>
      <xdr:rowOff>38100</xdr:rowOff>
    </xdr:to>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11677650" y="5467350"/>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33</xdr:row>
      <xdr:rowOff>0</xdr:rowOff>
    </xdr:from>
    <xdr:to>
      <xdr:col>1</xdr:col>
      <xdr:colOff>95250</xdr:colOff>
      <xdr:row>33</xdr:row>
      <xdr:rowOff>38100</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1038225" y="705802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228600</xdr:colOff>
      <xdr:row>33</xdr:row>
      <xdr:rowOff>0</xdr:rowOff>
    </xdr:from>
    <xdr:to>
      <xdr:col>11</xdr:col>
      <xdr:colOff>247650</xdr:colOff>
      <xdr:row>33</xdr:row>
      <xdr:rowOff>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628650</xdr:colOff>
      <xdr:row>26</xdr:row>
      <xdr:rowOff>0</xdr:rowOff>
    </xdr:from>
    <xdr:to>
      <xdr:col>22</xdr:col>
      <xdr:colOff>457200</xdr:colOff>
      <xdr:row>26</xdr:row>
      <xdr:rowOff>0</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160235</xdr:colOff>
      <xdr:row>61</xdr:row>
      <xdr:rowOff>80117</xdr:rowOff>
    </xdr:from>
    <xdr:to>
      <xdr:col>13</xdr:col>
      <xdr:colOff>49025</xdr:colOff>
      <xdr:row>62</xdr:row>
      <xdr:rowOff>63033</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399110" y="12157817"/>
          <a:ext cx="1450890" cy="17341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700" b="1"/>
            <a:t>Population in Thousands</a:t>
          </a:r>
        </a:p>
      </xdr:txBody>
    </xdr:sp>
    <xdr:clientData/>
  </xdr:twoCellAnchor>
  <xdr:twoCellAnchor>
    <xdr:from>
      <xdr:col>2</xdr:col>
      <xdr:colOff>70036</xdr:colOff>
      <xdr:row>45</xdr:row>
      <xdr:rowOff>161084</xdr:rowOff>
    </xdr:from>
    <xdr:to>
      <xdr:col>3</xdr:col>
      <xdr:colOff>581306</xdr:colOff>
      <xdr:row>46</xdr:row>
      <xdr:rowOff>105054</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832161" y="9514634"/>
          <a:ext cx="1235170" cy="13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Population in Thousands</a:t>
          </a:r>
          <a:endParaRPr lang="en-US" sz="700">
            <a:effectLst/>
          </a:endParaRPr>
        </a:p>
        <a:p>
          <a:endParaRPr lang="en-US" sz="700"/>
        </a:p>
      </xdr:txBody>
    </xdr:sp>
    <xdr:clientData/>
  </xdr:twoCellAnchor>
  <xdr:twoCellAnchor>
    <xdr:from>
      <xdr:col>10</xdr:col>
      <xdr:colOff>70572</xdr:colOff>
      <xdr:row>45</xdr:row>
      <xdr:rowOff>141784</xdr:rowOff>
    </xdr:from>
    <xdr:to>
      <xdr:col>12</xdr:col>
      <xdr:colOff>91584</xdr:colOff>
      <xdr:row>46</xdr:row>
      <xdr:rowOff>138149</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6309447" y="9495334"/>
          <a:ext cx="1392612" cy="186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Population in Thousands</a:t>
          </a:r>
          <a:endParaRPr lang="en-US" sz="700">
            <a:effectLst/>
          </a:endParaRPr>
        </a:p>
        <a:p>
          <a:endParaRPr lang="en-US" sz="400"/>
        </a:p>
      </xdr:txBody>
    </xdr:sp>
    <xdr:clientData/>
  </xdr:twoCellAnchor>
  <xdr:twoCellAnchor>
    <xdr:from>
      <xdr:col>7</xdr:col>
      <xdr:colOff>57150</xdr:colOff>
      <xdr:row>49</xdr:row>
      <xdr:rowOff>0</xdr:rowOff>
    </xdr:from>
    <xdr:to>
      <xdr:col>14</xdr:col>
      <xdr:colOff>295275</xdr:colOff>
      <xdr:row>62</xdr:row>
      <xdr:rowOff>142875</xdr:rowOff>
    </xdr:to>
    <xdr:graphicFrame macro="">
      <xdr:nvGraphicFramePr>
        <xdr:cNvPr id="13" name="Chart 13">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xdr:colOff>
      <xdr:row>34</xdr:row>
      <xdr:rowOff>9525</xdr:rowOff>
    </xdr:from>
    <xdr:to>
      <xdr:col>14</xdr:col>
      <xdr:colOff>257175</xdr:colOff>
      <xdr:row>46</xdr:row>
      <xdr:rowOff>104775</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476250</xdr:colOff>
      <xdr:row>48</xdr:row>
      <xdr:rowOff>133350</xdr:rowOff>
    </xdr:from>
    <xdr:to>
      <xdr:col>6</xdr:col>
      <xdr:colOff>428625</xdr:colOff>
      <xdr:row>62</xdr:row>
      <xdr:rowOff>161925</xdr:rowOff>
    </xdr:to>
    <xdr:graphicFrame macro="">
      <xdr:nvGraphicFramePr>
        <xdr:cNvPr id="15" name="Chart 12">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383463</xdr:colOff>
      <xdr:row>61</xdr:row>
      <xdr:rowOff>139589</xdr:rowOff>
    </xdr:from>
    <xdr:to>
      <xdr:col>4</xdr:col>
      <xdr:colOff>94429</xdr:colOff>
      <xdr:row>62</xdr:row>
      <xdr:rowOff>181960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2144767" y="12189535"/>
          <a:ext cx="1156138" cy="231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Population in Thousands</a:t>
          </a:r>
          <a:endParaRPr lang="en-US" sz="700">
            <a:effectLst/>
          </a:endParaRPr>
        </a:p>
        <a:p>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0.01332</cdr:x>
      <cdr:y>0.34779</cdr:y>
    </cdr:from>
    <cdr:to>
      <cdr:x>0.05621</cdr:x>
      <cdr:y>0.57189</cdr:y>
    </cdr:to>
    <cdr:sp macro="" textlink="">
      <cdr:nvSpPr>
        <cdr:cNvPr id="3" name="TextBox 2"/>
        <cdr:cNvSpPr txBox="1"/>
      </cdr:nvSpPr>
      <cdr:spPr>
        <a:xfrm xmlns:a="http://schemas.openxmlformats.org/drawingml/2006/main">
          <a:off x="53374" y="790082"/>
          <a:ext cx="171777" cy="509095"/>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r>
            <a:rPr lang="en-US" sz="700" b="1"/>
            <a:t>Age Group</a:t>
          </a:r>
        </a:p>
      </cdr:txBody>
    </cdr:sp>
  </cdr:relSizeAnchor>
</c:userShapes>
</file>

<file path=xl/drawings/drawing4.xml><?xml version="1.0" encoding="utf-8"?>
<c:userShapes xmlns:c="http://schemas.openxmlformats.org/drawingml/2006/chart">
  <cdr:relSizeAnchor xmlns:cdr="http://schemas.openxmlformats.org/drawingml/2006/chartDrawing">
    <cdr:from>
      <cdr:x>0.01332</cdr:x>
      <cdr:y>0.34779</cdr:y>
    </cdr:from>
    <cdr:to>
      <cdr:x>0.05621</cdr:x>
      <cdr:y>0.57189</cdr:y>
    </cdr:to>
    <cdr:sp macro="" textlink="">
      <cdr:nvSpPr>
        <cdr:cNvPr id="3" name="TextBox 2"/>
        <cdr:cNvSpPr txBox="1"/>
      </cdr:nvSpPr>
      <cdr:spPr>
        <a:xfrm xmlns:a="http://schemas.openxmlformats.org/drawingml/2006/main">
          <a:off x="53374" y="790082"/>
          <a:ext cx="171777" cy="509095"/>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r>
            <a:rPr lang="en-US" sz="700" b="1"/>
            <a:t>Age Group</a:t>
          </a:r>
        </a:p>
      </cdr:txBody>
    </cdr:sp>
  </cdr:relSizeAnchor>
  <cdr:relSizeAnchor xmlns:cdr="http://schemas.openxmlformats.org/drawingml/2006/chartDrawing">
    <cdr:from>
      <cdr:x>0.31295</cdr:x>
      <cdr:y>0.91739</cdr:y>
    </cdr:from>
    <cdr:to>
      <cdr:x>0.70146</cdr:x>
      <cdr:y>0.9941</cdr:y>
    </cdr:to>
    <cdr:sp macro="" textlink="">
      <cdr:nvSpPr>
        <cdr:cNvPr id="2" name="TextBox 1"/>
        <cdr:cNvSpPr txBox="1"/>
      </cdr:nvSpPr>
      <cdr:spPr>
        <a:xfrm xmlns:a="http://schemas.openxmlformats.org/drawingml/2006/main">
          <a:off x="1252462" y="2177851"/>
          <a:ext cx="1554816" cy="18209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eaLnBrk="1" fontAlgn="auto" latinLnBrk="0" hangingPunct="1">
            <a:lnSpc>
              <a:spcPts val="800"/>
            </a:lnSpc>
            <a:spcBef>
              <a:spcPts val="0"/>
            </a:spcBef>
            <a:spcAft>
              <a:spcPts val="0"/>
            </a:spcAft>
            <a:buClrTx/>
            <a:buSzTx/>
            <a:buFontTx/>
            <a:buNone/>
            <a:tabLst/>
            <a:defRPr/>
          </a:pPr>
          <a:r>
            <a:rPr lang="en-US" sz="700" b="1">
              <a:effectLst/>
              <a:latin typeface="+mn-lt"/>
              <a:ea typeface="+mn-ea"/>
              <a:cs typeface="+mn-cs"/>
            </a:rPr>
            <a:t>Population in Thousands</a:t>
          </a:r>
          <a:endParaRPr lang="en-US" sz="700">
            <a:effectLst/>
          </a:endParaRPr>
        </a:p>
        <a:p xmlns:a="http://schemas.openxmlformats.org/drawingml/2006/main">
          <a:pPr algn="ctr">
            <a:lnSpc>
              <a:spcPts val="900"/>
            </a:lnSpc>
          </a:pPr>
          <a:endParaRPr lang="en-US" sz="800"/>
        </a:p>
      </cdr:txBody>
    </cdr:sp>
  </cdr:relSizeAnchor>
  <cdr:relSizeAnchor xmlns:cdr="http://schemas.openxmlformats.org/drawingml/2006/chartDrawing">
    <cdr:from>
      <cdr:x>0.01332</cdr:x>
      <cdr:y>0.34779</cdr:y>
    </cdr:from>
    <cdr:to>
      <cdr:x>0.05621</cdr:x>
      <cdr:y>0.57189</cdr:y>
    </cdr:to>
    <cdr:sp macro="" textlink="">
      <cdr:nvSpPr>
        <cdr:cNvPr id="4" name="TextBox 2"/>
        <cdr:cNvSpPr txBox="1"/>
      </cdr:nvSpPr>
      <cdr:spPr>
        <a:xfrm xmlns:a="http://schemas.openxmlformats.org/drawingml/2006/main">
          <a:off x="53374" y="790082"/>
          <a:ext cx="171777" cy="509095"/>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r>
            <a:rPr lang="en-US" sz="700" b="1"/>
            <a:t>Age Group</a:t>
          </a:r>
        </a:p>
      </cdr:txBody>
    </cdr:sp>
  </cdr:relSizeAnchor>
</c:userShapes>
</file>

<file path=xl/drawings/drawing5.xml><?xml version="1.0" encoding="utf-8"?>
<c:userShapes xmlns:c="http://schemas.openxmlformats.org/drawingml/2006/chart">
  <cdr:relSizeAnchor xmlns:cdr="http://schemas.openxmlformats.org/drawingml/2006/chartDrawing">
    <cdr:from>
      <cdr:x>0.01332</cdr:x>
      <cdr:y>0.34779</cdr:y>
    </cdr:from>
    <cdr:to>
      <cdr:x>0.05621</cdr:x>
      <cdr:y>0.57189</cdr:y>
    </cdr:to>
    <cdr:sp macro="" textlink="">
      <cdr:nvSpPr>
        <cdr:cNvPr id="3" name="TextBox 2"/>
        <cdr:cNvSpPr txBox="1"/>
      </cdr:nvSpPr>
      <cdr:spPr>
        <a:xfrm xmlns:a="http://schemas.openxmlformats.org/drawingml/2006/main">
          <a:off x="53374" y="790082"/>
          <a:ext cx="171777" cy="509095"/>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r>
            <a:rPr lang="en-US" sz="700" b="1"/>
            <a:t>Age Group</a:t>
          </a:r>
        </a:p>
      </cdr:txBody>
    </cdr:sp>
  </cdr:relSizeAnchor>
  <cdr:relSizeAnchor xmlns:cdr="http://schemas.openxmlformats.org/drawingml/2006/chartDrawing">
    <cdr:from>
      <cdr:x>0.31295</cdr:x>
      <cdr:y>0.91739</cdr:y>
    </cdr:from>
    <cdr:to>
      <cdr:x>0.70146</cdr:x>
      <cdr:y>0.9941</cdr:y>
    </cdr:to>
    <cdr:sp macro="" textlink="">
      <cdr:nvSpPr>
        <cdr:cNvPr id="2" name="TextBox 1"/>
        <cdr:cNvSpPr txBox="1"/>
      </cdr:nvSpPr>
      <cdr:spPr>
        <a:xfrm xmlns:a="http://schemas.openxmlformats.org/drawingml/2006/main">
          <a:off x="1252462" y="2177851"/>
          <a:ext cx="1554816" cy="18209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eaLnBrk="1" fontAlgn="auto" latinLnBrk="0" hangingPunct="1">
            <a:lnSpc>
              <a:spcPts val="800"/>
            </a:lnSpc>
            <a:spcBef>
              <a:spcPts val="0"/>
            </a:spcBef>
            <a:spcAft>
              <a:spcPts val="0"/>
            </a:spcAft>
            <a:buClrTx/>
            <a:buSzTx/>
            <a:buFontTx/>
            <a:buNone/>
            <a:tabLst/>
            <a:defRPr/>
          </a:pPr>
          <a:r>
            <a:rPr lang="en-US" sz="700" b="1">
              <a:effectLst/>
              <a:latin typeface="+mn-lt"/>
              <a:ea typeface="+mn-ea"/>
              <a:cs typeface="+mn-cs"/>
            </a:rPr>
            <a:t>Population in Thousands</a:t>
          </a:r>
          <a:endParaRPr lang="en-US" sz="700">
            <a:effectLst/>
          </a:endParaRPr>
        </a:p>
        <a:p xmlns:a="http://schemas.openxmlformats.org/drawingml/2006/main">
          <a:pPr algn="ctr">
            <a:lnSpc>
              <a:spcPts val="900"/>
            </a:lnSpc>
          </a:pPr>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0.01332</cdr:x>
      <cdr:y>0.34779</cdr:y>
    </cdr:from>
    <cdr:to>
      <cdr:x>0.05621</cdr:x>
      <cdr:y>0.57189</cdr:y>
    </cdr:to>
    <cdr:sp macro="" textlink="">
      <cdr:nvSpPr>
        <cdr:cNvPr id="3" name="TextBox 2"/>
        <cdr:cNvSpPr txBox="1"/>
      </cdr:nvSpPr>
      <cdr:spPr>
        <a:xfrm xmlns:a="http://schemas.openxmlformats.org/drawingml/2006/main">
          <a:off x="53374" y="790082"/>
          <a:ext cx="171777" cy="509095"/>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r>
            <a:rPr lang="en-US" sz="700" b="1"/>
            <a:t>Age Group</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66675</xdr:colOff>
      <xdr:row>25</xdr:row>
      <xdr:rowOff>0</xdr:rowOff>
    </xdr:from>
    <xdr:to>
      <xdr:col>6</xdr:col>
      <xdr:colOff>781050</xdr:colOff>
      <xdr:row>42</xdr:row>
      <xdr:rowOff>38100</xdr:rowOff>
    </xdr:to>
    <xdr:graphicFrame macro="">
      <xdr:nvGraphicFramePr>
        <xdr:cNvPr id="2" name="Chart 3">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0.17852</cdr:y>
    </cdr:from>
    <cdr:to>
      <cdr:x>0.03975</cdr:x>
      <cdr:y>0.55882</cdr:y>
    </cdr:to>
    <cdr:sp macro="" textlink="">
      <cdr:nvSpPr>
        <cdr:cNvPr id="2" name="TextBox 1"/>
        <cdr:cNvSpPr txBox="1"/>
      </cdr:nvSpPr>
      <cdr:spPr>
        <a:xfrm xmlns:a="http://schemas.openxmlformats.org/drawingml/2006/main" rot="16200000">
          <a:off x="-384373" y="860626"/>
          <a:ext cx="1006881" cy="238136"/>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000" b="1"/>
            <a:t>In Numbers</a:t>
          </a:r>
        </a:p>
      </cdr:txBody>
    </cdr:sp>
  </cdr:relSizeAnchor>
  <cdr:relSizeAnchor xmlns:cdr="http://schemas.openxmlformats.org/drawingml/2006/chartDrawing">
    <cdr:from>
      <cdr:x>0.4795</cdr:x>
      <cdr:y>0.13054</cdr:y>
    </cdr:from>
    <cdr:to>
      <cdr:x>1</cdr:x>
      <cdr:y>0.24699</cdr:y>
    </cdr:to>
    <cdr:sp macro="" textlink="">
      <cdr:nvSpPr>
        <cdr:cNvPr id="5" name="TextBox 4"/>
        <cdr:cNvSpPr txBox="1"/>
      </cdr:nvSpPr>
      <cdr:spPr>
        <a:xfrm xmlns:a="http://schemas.openxmlformats.org/drawingml/2006/main">
          <a:off x="3258571" y="413522"/>
          <a:ext cx="3537176" cy="3688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a:p>
      </cdr:txBody>
    </cdr:sp>
  </cdr:relSizeAnchor>
  <cdr:relSizeAnchor xmlns:cdr="http://schemas.openxmlformats.org/drawingml/2006/chartDrawing">
    <cdr:from>
      <cdr:x>0.06241</cdr:x>
      <cdr:y>0.04246</cdr:y>
    </cdr:from>
    <cdr:to>
      <cdr:x>0.99855</cdr:x>
      <cdr:y>0.12569</cdr:y>
    </cdr:to>
    <cdr:sp macro="" textlink="">
      <cdr:nvSpPr>
        <cdr:cNvPr id="6" name="TextBox 5"/>
        <cdr:cNvSpPr txBox="1"/>
      </cdr:nvSpPr>
      <cdr:spPr>
        <a:xfrm xmlns:a="http://schemas.openxmlformats.org/drawingml/2006/main">
          <a:off x="409575" y="136689"/>
          <a:ext cx="6143625" cy="267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050" b="1" i="0" baseline="0">
              <a:effectLst/>
              <a:latin typeface="Consolas" pitchFamily="49" charset="0"/>
              <a:ea typeface="+mn-ea"/>
              <a:cs typeface="Consolas" pitchFamily="49" charset="0"/>
            </a:rPr>
            <a:t>Figure 3.8: Number of inhabited islands by size of population, 2000, 2006 &amp; 2014</a:t>
          </a:r>
          <a:endParaRPr lang="en-US" sz="1050">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123825</xdr:colOff>
      <xdr:row>33</xdr:row>
      <xdr:rowOff>19050</xdr:rowOff>
    </xdr:from>
    <xdr:to>
      <xdr:col>7</xdr:col>
      <xdr:colOff>1295400</xdr:colOff>
      <xdr:row>51</xdr:row>
      <xdr:rowOff>57150</xdr:rowOff>
    </xdr:to>
    <xdr:graphicFrame macro="">
      <xdr:nvGraphicFramePr>
        <xdr:cNvPr id="2" name="Chart 5">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695325</xdr:colOff>
      <xdr:row>34</xdr:row>
      <xdr:rowOff>133350</xdr:rowOff>
    </xdr:from>
    <xdr:to>
      <xdr:col>0</xdr:col>
      <xdr:colOff>695325</xdr:colOff>
      <xdr:row>34</xdr:row>
      <xdr:rowOff>133350</xdr:rowOff>
    </xdr:to>
    <xdr:sp macro="" textlink="">
      <xdr:nvSpPr>
        <xdr:cNvPr id="3" name="Line 4">
          <a:extLst>
            <a:ext uri="{FF2B5EF4-FFF2-40B4-BE49-F238E27FC236}">
              <a16:creationId xmlns:a16="http://schemas.microsoft.com/office/drawing/2014/main" id="{00000000-0008-0000-0400-000003000000}"/>
            </a:ext>
          </a:extLst>
        </xdr:cNvPr>
        <xdr:cNvSpPr>
          <a:spLocks noChangeShapeType="1"/>
        </xdr:cNvSpPr>
      </xdr:nvSpPr>
      <xdr:spPr bwMode="auto">
        <a:xfrm flipV="1">
          <a:off x="695325" y="6829425"/>
          <a:ext cx="0" cy="0"/>
        </a:xfrm>
        <a:prstGeom prst="line">
          <a:avLst/>
        </a:prstGeom>
        <a:noFill/>
        <a:ln w="19050">
          <a:solidFill>
            <a:srgbClr val="7030A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501015</xdr:colOff>
      <xdr:row>33</xdr:row>
      <xdr:rowOff>83309</xdr:rowOff>
    </xdr:from>
    <xdr:to>
      <xdr:col>7</xdr:col>
      <xdr:colOff>1091565</xdr:colOff>
      <xdr:row>34</xdr:row>
      <xdr:rowOff>103060</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01015" y="6560309"/>
          <a:ext cx="6400800" cy="238826"/>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l"/>
          <a:r>
            <a:rPr lang="en-US" sz="1050" b="1">
              <a:latin typeface="Consolas" pitchFamily="49" charset="0"/>
              <a:cs typeface="Consolas" pitchFamily="49" charset="0"/>
            </a:rPr>
            <a:t>Figure 3.9: Sex ratio of population by locality, census 2014 (Males per 100 Females)</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cdr:x>
      <cdr:y>0.1232</cdr:y>
    </cdr:from>
    <cdr:to>
      <cdr:x>0</cdr:x>
      <cdr:y>0.16117</cdr:y>
    </cdr:to>
    <cdr:sp macro="" textlink="">
      <cdr:nvSpPr>
        <cdr:cNvPr id="2" name="TextBox 1"/>
        <cdr:cNvSpPr txBox="1"/>
      </cdr:nvSpPr>
      <cdr:spPr>
        <a:xfrm xmlns:a="http://schemas.openxmlformats.org/drawingml/2006/main">
          <a:off x="0" y="296465"/>
          <a:ext cx="1113817" cy="132156"/>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marL="0" marR="0" indent="0" algn="l" defTabSz="914400" rtl="1" eaLnBrk="1" fontAlgn="auto" latinLnBrk="0" hangingPunct="1">
            <a:lnSpc>
              <a:spcPts val="600"/>
            </a:lnSpc>
            <a:spcBef>
              <a:spcPts val="0"/>
            </a:spcBef>
            <a:spcAft>
              <a:spcPts val="0"/>
            </a:spcAft>
            <a:buClrTx/>
            <a:buSzTx/>
            <a:buFontTx/>
            <a:buNone/>
            <a:tabLst/>
            <a:defRPr/>
          </a:pPr>
          <a:r>
            <a:rPr lang="en-US" sz="800" b="0" i="0" baseline="0">
              <a:latin typeface="+mn-lt"/>
              <a:ea typeface="+mn-ea"/>
              <a:cs typeface="+mn-cs"/>
            </a:rPr>
            <a:t>(Males / 100 Female)</a:t>
          </a:r>
          <a:endParaRPr lang="en-US" sz="800" b="0"/>
        </a:p>
        <a:p xmlns:a="http://schemas.openxmlformats.org/drawingml/2006/main">
          <a:pPr algn="l">
            <a:lnSpc>
              <a:spcPts val="800"/>
            </a:lnSpc>
          </a:pPr>
          <a:endParaRPr lang="en-US" sz="800" b="0"/>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2933</xdr:colOff>
      <xdr:row>67</xdr:row>
      <xdr:rowOff>71887</xdr:rowOff>
    </xdr:from>
    <xdr:to>
      <xdr:col>12</xdr:col>
      <xdr:colOff>358414</xdr:colOff>
      <xdr:row>86</xdr:row>
      <xdr:rowOff>5392</xdr:rowOff>
    </xdr:to>
    <xdr:graphicFrame macro="">
      <xdr:nvGraphicFramePr>
        <xdr:cNvPr id="2" name="Chart 1">
          <a:extLst>
            <a:ext uri="{FF2B5EF4-FFF2-40B4-BE49-F238E27FC236}">
              <a16:creationId xmlns:a16="http://schemas.microsoft.com/office/drawing/2014/main" id="{D7E2156A-4355-4129-9962-6BCA860CD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851741</xdr:colOff>
      <xdr:row>22</xdr:row>
      <xdr:rowOff>40221</xdr:rowOff>
    </xdr:from>
    <xdr:to>
      <xdr:col>35</xdr:col>
      <xdr:colOff>140560</xdr:colOff>
      <xdr:row>33</xdr:row>
      <xdr:rowOff>24804</xdr:rowOff>
    </xdr:to>
    <xdr:graphicFrame macro="">
      <xdr:nvGraphicFramePr>
        <xdr:cNvPr id="2" name="Chart 2">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849858</xdr:colOff>
      <xdr:row>33</xdr:row>
      <xdr:rowOff>121424</xdr:rowOff>
    </xdr:from>
    <xdr:to>
      <xdr:col>35</xdr:col>
      <xdr:colOff>114102</xdr:colOff>
      <xdr:row>42</xdr:row>
      <xdr:rowOff>223242</xdr:rowOff>
    </xdr:to>
    <xdr:graphicFrame macro="">
      <xdr:nvGraphicFramePr>
        <xdr:cNvPr id="3" name="Chart 3">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19</xdr:row>
      <xdr:rowOff>123824</xdr:rowOff>
    </xdr:from>
    <xdr:to>
      <xdr:col>52</xdr:col>
      <xdr:colOff>676275</xdr:colOff>
      <xdr:row>42</xdr:row>
      <xdr:rowOff>139700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0.20432</cdr:x>
      <cdr:y>0.02673</cdr:y>
    </cdr:from>
    <cdr:to>
      <cdr:x>0.82671</cdr:x>
      <cdr:y>0.11388</cdr:y>
    </cdr:to>
    <cdr:sp macro="" textlink="">
      <cdr:nvSpPr>
        <cdr:cNvPr id="37890" name="Text Box 2"/>
        <cdr:cNvSpPr txBox="1">
          <a:spLocks xmlns:a="http://schemas.openxmlformats.org/drawingml/2006/main" noChangeArrowheads="1"/>
        </cdr:cNvSpPr>
      </cdr:nvSpPr>
      <cdr:spPr bwMode="auto">
        <a:xfrm xmlns:a="http://schemas.openxmlformats.org/drawingml/2006/main">
          <a:off x="1472045" y="71782"/>
          <a:ext cx="4484172" cy="2340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ctr" rtl="1">
            <a:defRPr sz="1000"/>
          </a:pPr>
          <a:r>
            <a:rPr lang="en-US" sz="1800" b="1" i="0" strike="noStrike">
              <a:solidFill>
                <a:srgbClr val="000000"/>
              </a:solidFill>
              <a:latin typeface="Consolas" pitchFamily="49" charset="0"/>
              <a:cs typeface="Consolas" pitchFamily="49" charset="0"/>
            </a:rPr>
            <a:t>Figure 3.12: Infant mortality rate, 2011 - 2021</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152400</xdr:colOff>
      <xdr:row>193</xdr:row>
      <xdr:rowOff>19050</xdr:rowOff>
    </xdr:from>
    <xdr:to>
      <xdr:col>8</xdr:col>
      <xdr:colOff>304800</xdr:colOff>
      <xdr:row>209</xdr:row>
      <xdr:rowOff>123825</xdr:rowOff>
    </xdr:to>
    <xdr:graphicFrame macro="">
      <xdr:nvGraphicFramePr>
        <xdr:cNvPr id="2" name="Chart 5">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411066</xdr:colOff>
      <xdr:row>193</xdr:row>
      <xdr:rowOff>28690</xdr:rowOff>
    </xdr:from>
    <xdr:to>
      <xdr:col>17</xdr:col>
      <xdr:colOff>449166</xdr:colOff>
      <xdr:row>209</xdr:row>
      <xdr:rowOff>107587</xdr:rowOff>
    </xdr:to>
    <xdr:graphicFrame macro="">
      <xdr:nvGraphicFramePr>
        <xdr:cNvPr id="3" name="Chart 5">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268715</xdr:colOff>
      <xdr:row>206</xdr:row>
      <xdr:rowOff>16815</xdr:rowOff>
    </xdr:from>
    <xdr:to>
      <xdr:col>17</xdr:col>
      <xdr:colOff>269684</xdr:colOff>
      <xdr:row>206</xdr:row>
      <xdr:rowOff>17730</xdr:rowOff>
    </xdr:to>
    <xdr:cxnSp macro="">
      <xdr:nvCxnSpPr>
        <xdr:cNvPr id="4" name="Straight Connector 3">
          <a:extLst>
            <a:ext uri="{FF2B5EF4-FFF2-40B4-BE49-F238E27FC236}">
              <a16:creationId xmlns:a16="http://schemas.microsoft.com/office/drawing/2014/main" id="{00000000-0008-0000-0C00-000004000000}"/>
            </a:ext>
          </a:extLst>
        </xdr:cNvPr>
        <xdr:cNvCxnSpPr/>
      </xdr:nvCxnSpPr>
      <xdr:spPr>
        <a:xfrm>
          <a:off x="5769670" y="39807770"/>
          <a:ext cx="4709958" cy="915"/>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531813</xdr:colOff>
      <xdr:row>197</xdr:row>
      <xdr:rowOff>62120</xdr:rowOff>
    </xdr:from>
    <xdr:to>
      <xdr:col>8</xdr:col>
      <xdr:colOff>124239</xdr:colOff>
      <xdr:row>197</xdr:row>
      <xdr:rowOff>100542</xdr:rowOff>
    </xdr:to>
    <xdr:cxnSp macro="">
      <xdr:nvCxnSpPr>
        <xdr:cNvPr id="5" name="Straight Connector 4">
          <a:extLst>
            <a:ext uri="{FF2B5EF4-FFF2-40B4-BE49-F238E27FC236}">
              <a16:creationId xmlns:a16="http://schemas.microsoft.com/office/drawing/2014/main" id="{00000000-0008-0000-0C00-000005000000}"/>
            </a:ext>
          </a:extLst>
        </xdr:cNvPr>
        <xdr:cNvCxnSpPr/>
      </xdr:nvCxnSpPr>
      <xdr:spPr>
        <a:xfrm flipV="1">
          <a:off x="531813" y="36635474"/>
          <a:ext cx="4733280" cy="38422"/>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76437</xdr:colOff>
      <xdr:row>195</xdr:row>
      <xdr:rowOff>86487</xdr:rowOff>
    </xdr:from>
    <xdr:to>
      <xdr:col>7</xdr:col>
      <xdr:colOff>363668</xdr:colOff>
      <xdr:row>196</xdr:row>
      <xdr:rowOff>176180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3811521" y="37758397"/>
          <a:ext cx="875855" cy="282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Elderly Population</a:t>
          </a:r>
        </a:p>
      </xdr:txBody>
    </xdr:sp>
    <xdr:clientData/>
  </xdr:twoCellAnchor>
  <xdr:twoCellAnchor>
    <xdr:from>
      <xdr:col>5</xdr:col>
      <xdr:colOff>581309</xdr:colOff>
      <xdr:row>206</xdr:row>
      <xdr:rowOff>29797</xdr:rowOff>
    </xdr:from>
    <xdr:to>
      <xdr:col>7</xdr:col>
      <xdr:colOff>467285</xdr:colOff>
      <xdr:row>207</xdr:row>
      <xdr:rowOff>148319</xdr:rowOff>
    </xdr:to>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3740821" y="38199492"/>
          <a:ext cx="1070793" cy="30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Child Population</a:t>
          </a:r>
        </a:p>
      </xdr:txBody>
    </xdr:sp>
    <xdr:clientData/>
  </xdr:twoCellAnchor>
  <xdr:twoCellAnchor>
    <xdr:from>
      <xdr:col>6</xdr:col>
      <xdr:colOff>19814</xdr:colOff>
      <xdr:row>200</xdr:row>
      <xdr:rowOff>167352</xdr:rowOff>
    </xdr:from>
    <xdr:to>
      <xdr:col>7</xdr:col>
      <xdr:colOff>434837</xdr:colOff>
      <xdr:row>201</xdr:row>
      <xdr:rowOff>165652</xdr:rowOff>
    </xdr:to>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3762518" y="38350178"/>
          <a:ext cx="1005159" cy="18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Working Population</a:t>
          </a:r>
        </a:p>
      </xdr:txBody>
    </xdr:sp>
    <xdr:clientData/>
  </xdr:twoCellAnchor>
  <xdr:twoCellAnchor>
    <xdr:from>
      <xdr:col>15</xdr:col>
      <xdr:colOff>29206</xdr:colOff>
      <xdr:row>195</xdr:row>
      <xdr:rowOff>80331</xdr:rowOff>
    </xdr:from>
    <xdr:to>
      <xdr:col>16</xdr:col>
      <xdr:colOff>316437</xdr:colOff>
      <xdr:row>196</xdr:row>
      <xdr:rowOff>175585</xdr:rowOff>
    </xdr:to>
    <xdr:sp macro="" textlink="">
      <xdr:nvSpPr>
        <xdr:cNvPr id="9" name="TextBox 8">
          <a:extLst>
            <a:ext uri="{FF2B5EF4-FFF2-40B4-BE49-F238E27FC236}">
              <a16:creationId xmlns:a16="http://schemas.microsoft.com/office/drawing/2014/main" id="{00000000-0008-0000-0C00-000009000000}"/>
            </a:ext>
          </a:extLst>
        </xdr:cNvPr>
        <xdr:cNvSpPr txBox="1"/>
      </xdr:nvSpPr>
      <xdr:spPr>
        <a:xfrm>
          <a:off x="9095170" y="36883554"/>
          <a:ext cx="878240" cy="28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Elderly Population</a:t>
          </a:r>
        </a:p>
      </xdr:txBody>
    </xdr:sp>
    <xdr:clientData/>
  </xdr:twoCellAnchor>
  <xdr:twoCellAnchor>
    <xdr:from>
      <xdr:col>15</xdr:col>
      <xdr:colOff>22226</xdr:colOff>
      <xdr:row>206</xdr:row>
      <xdr:rowOff>126234</xdr:rowOff>
    </xdr:from>
    <xdr:to>
      <xdr:col>16</xdr:col>
      <xdr:colOff>407394</xdr:colOff>
      <xdr:row>208</xdr:row>
      <xdr:rowOff>18560</xdr:rowOff>
    </xdr:to>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9088190" y="39012333"/>
          <a:ext cx="976177" cy="27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Child Population</a:t>
          </a:r>
        </a:p>
      </xdr:txBody>
    </xdr:sp>
    <xdr:clientData/>
  </xdr:twoCellAnchor>
  <xdr:twoCellAnchor>
    <xdr:from>
      <xdr:col>15</xdr:col>
      <xdr:colOff>3959</xdr:colOff>
      <xdr:row>200</xdr:row>
      <xdr:rowOff>86918</xdr:rowOff>
    </xdr:from>
    <xdr:to>
      <xdr:col>16</xdr:col>
      <xdr:colOff>430345</xdr:colOff>
      <xdr:row>203</xdr:row>
      <xdr:rowOff>132004</xdr:rowOff>
    </xdr:to>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9069923" y="37836903"/>
          <a:ext cx="1017395" cy="61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Working Population</a:t>
          </a:r>
        </a:p>
      </xdr:txBody>
    </xdr:sp>
    <xdr:clientData/>
  </xdr:twoCellAnchor>
</xdr:wsDr>
</file>

<file path=xl/drawings/drawing16.xml><?xml version="1.0" encoding="utf-8"?>
<c:userShapes xmlns:c="http://schemas.openxmlformats.org/drawingml/2006/chart">
  <cdr:relSizeAnchor xmlns:cdr="http://schemas.openxmlformats.org/drawingml/2006/chartDrawing">
    <cdr:from>
      <cdr:x>0.07368</cdr:x>
      <cdr:y>0.76388</cdr:y>
    </cdr:from>
    <cdr:to>
      <cdr:x>0.96884</cdr:x>
      <cdr:y>0.76842</cdr:y>
    </cdr:to>
    <cdr:cxnSp macro="">
      <cdr:nvCxnSpPr>
        <cdr:cNvPr id="3" name="Straight Connector 2">
          <a:extLst xmlns:a="http://schemas.openxmlformats.org/drawingml/2006/main">
            <a:ext uri="{FF2B5EF4-FFF2-40B4-BE49-F238E27FC236}">
              <a16:creationId xmlns:a16="http://schemas.microsoft.com/office/drawing/2014/main" id="{36AB2574-9E3C-4E26-B073-11810F39E6BC}"/>
            </a:ext>
          </a:extLst>
        </cdr:cNvPr>
        <cdr:cNvCxnSpPr/>
      </cdr:nvCxnSpPr>
      <cdr:spPr>
        <a:xfrm xmlns:a="http://schemas.openxmlformats.org/drawingml/2006/main">
          <a:off x="389996" y="2343679"/>
          <a:ext cx="4738320" cy="13917"/>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0.08587</cdr:x>
      <cdr:y>0.26346</cdr:y>
    </cdr:from>
    <cdr:to>
      <cdr:x>0.96596</cdr:x>
      <cdr:y>0.26905</cdr:y>
    </cdr:to>
    <cdr:cxnSp macro="">
      <cdr:nvCxnSpPr>
        <cdr:cNvPr id="2" name="Straight Connector 1">
          <a:extLst xmlns:a="http://schemas.openxmlformats.org/drawingml/2006/main">
            <a:ext uri="{FF2B5EF4-FFF2-40B4-BE49-F238E27FC236}">
              <a16:creationId xmlns:a16="http://schemas.microsoft.com/office/drawing/2014/main" id="{8A37FD0F-9245-4CB2-8D9B-0DBA275F67B0}"/>
            </a:ext>
          </a:extLst>
        </cdr:cNvPr>
        <cdr:cNvCxnSpPr/>
      </cdr:nvCxnSpPr>
      <cdr:spPr>
        <a:xfrm xmlns:a="http://schemas.openxmlformats.org/drawingml/2006/main" flipV="1">
          <a:off x="458170" y="832841"/>
          <a:ext cx="4695933" cy="17651"/>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8.xml><?xml version="1.0" encoding="utf-8"?>
<xdr:wsDr xmlns:xdr="http://schemas.openxmlformats.org/drawingml/2006/spreadsheetDrawing" xmlns:a="http://schemas.openxmlformats.org/drawingml/2006/main">
  <xdr:twoCellAnchor>
    <xdr:from>
      <xdr:col>0</xdr:col>
      <xdr:colOff>265814</xdr:colOff>
      <xdr:row>192</xdr:row>
      <xdr:rowOff>76786</xdr:rowOff>
    </xdr:from>
    <xdr:to>
      <xdr:col>8</xdr:col>
      <xdr:colOff>397916</xdr:colOff>
      <xdr:row>209</xdr:row>
      <xdr:rowOff>70048</xdr:rowOff>
    </xdr:to>
    <xdr:graphicFrame macro="">
      <xdr:nvGraphicFramePr>
        <xdr:cNvPr id="12" name="Chart 5">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39008</xdr:colOff>
      <xdr:row>192</xdr:row>
      <xdr:rowOff>64274</xdr:rowOff>
    </xdr:from>
    <xdr:to>
      <xdr:col>17</xdr:col>
      <xdr:colOff>554460</xdr:colOff>
      <xdr:row>209</xdr:row>
      <xdr:rowOff>31658</xdr:rowOff>
    </xdr:to>
    <xdr:graphicFrame macro="">
      <xdr:nvGraphicFramePr>
        <xdr:cNvPr id="13" name="Chart 5">
          <a:extLst>
            <a:ext uri="{FF2B5EF4-FFF2-40B4-BE49-F238E27FC236}">
              <a16:creationId xmlns:a16="http://schemas.microsoft.com/office/drawing/2014/main" id="{00000000-0008-0000-0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632960</xdr:colOff>
      <xdr:row>196</xdr:row>
      <xdr:rowOff>168852</xdr:rowOff>
    </xdr:from>
    <xdr:to>
      <xdr:col>8</xdr:col>
      <xdr:colOff>220807</xdr:colOff>
      <xdr:row>196</xdr:row>
      <xdr:rowOff>170741</xdr:rowOff>
    </xdr:to>
    <xdr:cxnSp macro="">
      <xdr:nvCxnSpPr>
        <xdr:cNvPr id="14" name="Straight Connector 13">
          <a:extLst>
            <a:ext uri="{FF2B5EF4-FFF2-40B4-BE49-F238E27FC236}">
              <a16:creationId xmlns:a16="http://schemas.microsoft.com/office/drawing/2014/main" id="{00000000-0008-0000-0D00-00000E000000}"/>
            </a:ext>
          </a:extLst>
        </xdr:cNvPr>
        <xdr:cNvCxnSpPr/>
      </xdr:nvCxnSpPr>
      <xdr:spPr>
        <a:xfrm flipV="1">
          <a:off x="632960" y="37571795"/>
          <a:ext cx="4501881" cy="1889"/>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68348</xdr:colOff>
      <xdr:row>195</xdr:row>
      <xdr:rowOff>15291</xdr:rowOff>
    </xdr:from>
    <xdr:to>
      <xdr:col>7</xdr:col>
      <xdr:colOff>359061</xdr:colOff>
      <xdr:row>196</xdr:row>
      <xdr:rowOff>102769</xdr:rowOff>
    </xdr:to>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3827138" y="37992388"/>
          <a:ext cx="884746" cy="28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Elderly Population</a:t>
          </a:r>
        </a:p>
      </xdr:txBody>
    </xdr:sp>
    <xdr:clientData/>
  </xdr:twoCellAnchor>
  <xdr:twoCellAnchor>
    <xdr:from>
      <xdr:col>5</xdr:col>
      <xdr:colOff>554175</xdr:colOff>
      <xdr:row>205</xdr:row>
      <xdr:rowOff>162784</xdr:rowOff>
    </xdr:from>
    <xdr:to>
      <xdr:col>7</xdr:col>
      <xdr:colOff>440151</xdr:colOff>
      <xdr:row>207</xdr:row>
      <xdr:rowOff>90806</xdr:rowOff>
    </xdr:to>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3706950" y="39234334"/>
          <a:ext cx="1067076" cy="30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Child Population</a:t>
          </a:r>
        </a:p>
      </xdr:txBody>
    </xdr:sp>
    <xdr:clientData/>
  </xdr:twoCellAnchor>
  <xdr:twoCellAnchor>
    <xdr:from>
      <xdr:col>5</xdr:col>
      <xdr:colOff>562205</xdr:colOff>
      <xdr:row>199</xdr:row>
      <xdr:rowOff>148732</xdr:rowOff>
    </xdr:from>
    <xdr:to>
      <xdr:col>7</xdr:col>
      <xdr:colOff>386678</xdr:colOff>
      <xdr:row>200</xdr:row>
      <xdr:rowOff>149715</xdr:rowOff>
    </xdr:to>
    <xdr:sp macro="" textlink="">
      <xdr:nvSpPr>
        <xdr:cNvPr id="17" name="TextBox 16">
          <a:extLst>
            <a:ext uri="{FF2B5EF4-FFF2-40B4-BE49-F238E27FC236}">
              <a16:creationId xmlns:a16="http://schemas.microsoft.com/office/drawing/2014/main" id="{00000000-0008-0000-0D00-000011000000}"/>
            </a:ext>
          </a:extLst>
        </xdr:cNvPr>
        <xdr:cNvSpPr txBox="1"/>
      </xdr:nvSpPr>
      <xdr:spPr>
        <a:xfrm>
          <a:off x="3709785" y="38123175"/>
          <a:ext cx="1002109" cy="19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Working Population</a:t>
          </a:r>
        </a:p>
      </xdr:txBody>
    </xdr:sp>
    <xdr:clientData/>
  </xdr:twoCellAnchor>
  <xdr:twoCellAnchor>
    <xdr:from>
      <xdr:col>9</xdr:col>
      <xdr:colOff>445674</xdr:colOff>
      <xdr:row>205</xdr:row>
      <xdr:rowOff>107324</xdr:rowOff>
    </xdr:from>
    <xdr:to>
      <xdr:col>17</xdr:col>
      <xdr:colOff>382732</xdr:colOff>
      <xdr:row>205</xdr:row>
      <xdr:rowOff>113234</xdr:rowOff>
    </xdr:to>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5928087" y="38794330"/>
          <a:ext cx="4633104" cy="5910"/>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357149</xdr:colOff>
      <xdr:row>194</xdr:row>
      <xdr:rowOff>154742</xdr:rowOff>
    </xdr:from>
    <xdr:to>
      <xdr:col>17</xdr:col>
      <xdr:colOff>52018</xdr:colOff>
      <xdr:row>196</xdr:row>
      <xdr:rowOff>53935</xdr:rowOff>
    </xdr:to>
    <xdr:sp macro="" textlink="">
      <xdr:nvSpPr>
        <xdr:cNvPr id="19" name="TextBox 18">
          <a:extLst>
            <a:ext uri="{FF2B5EF4-FFF2-40B4-BE49-F238E27FC236}">
              <a16:creationId xmlns:a16="http://schemas.microsoft.com/office/drawing/2014/main" id="{00000000-0008-0000-0D00-000013000000}"/>
            </a:ext>
          </a:extLst>
        </xdr:cNvPr>
        <xdr:cNvSpPr txBox="1"/>
      </xdr:nvSpPr>
      <xdr:spPr>
        <a:xfrm>
          <a:off x="9392910" y="37176685"/>
          <a:ext cx="872506" cy="280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Elderly Population</a:t>
          </a:r>
        </a:p>
      </xdr:txBody>
    </xdr:sp>
    <xdr:clientData/>
  </xdr:twoCellAnchor>
  <xdr:twoCellAnchor>
    <xdr:from>
      <xdr:col>15</xdr:col>
      <xdr:colOff>302454</xdr:colOff>
      <xdr:row>205</xdr:row>
      <xdr:rowOff>141942</xdr:rowOff>
    </xdr:from>
    <xdr:to>
      <xdr:col>17</xdr:col>
      <xdr:colOff>188430</xdr:colOff>
      <xdr:row>207</xdr:row>
      <xdr:rowOff>69964</xdr:rowOff>
    </xdr:to>
    <xdr:sp macro="" textlink="">
      <xdr:nvSpPr>
        <xdr:cNvPr id="20" name="TextBox 19">
          <a:extLst>
            <a:ext uri="{FF2B5EF4-FFF2-40B4-BE49-F238E27FC236}">
              <a16:creationId xmlns:a16="http://schemas.microsoft.com/office/drawing/2014/main" id="{00000000-0008-0000-0D00-000014000000}"/>
            </a:ext>
          </a:extLst>
        </xdr:cNvPr>
        <xdr:cNvSpPr txBox="1"/>
      </xdr:nvSpPr>
      <xdr:spPr>
        <a:xfrm>
          <a:off x="9338215" y="39259385"/>
          <a:ext cx="1063613" cy="30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Child</a:t>
          </a:r>
          <a:r>
            <a:rPr lang="en-US" sz="700" b="1">
              <a:solidFill>
                <a:srgbClr val="A85400"/>
              </a:solidFill>
            </a:rPr>
            <a:t> </a:t>
          </a:r>
          <a:r>
            <a:rPr lang="en-US" sz="700" b="1">
              <a:solidFill>
                <a:srgbClr val="FF0000"/>
              </a:solidFill>
            </a:rPr>
            <a:t>Population</a:t>
          </a:r>
        </a:p>
      </xdr:txBody>
    </xdr:sp>
    <xdr:clientData/>
  </xdr:twoCellAnchor>
  <xdr:twoCellAnchor>
    <xdr:from>
      <xdr:col>15</xdr:col>
      <xdr:colOff>362760</xdr:colOff>
      <xdr:row>200</xdr:row>
      <xdr:rowOff>147624</xdr:rowOff>
    </xdr:from>
    <xdr:to>
      <xdr:col>17</xdr:col>
      <xdr:colOff>187233</xdr:colOff>
      <xdr:row>201</xdr:row>
      <xdr:rowOff>148607</xdr:rowOff>
    </xdr:to>
    <xdr:sp macro="" textlink="">
      <xdr:nvSpPr>
        <xdr:cNvPr id="21" name="TextBox 20">
          <a:extLst>
            <a:ext uri="{FF2B5EF4-FFF2-40B4-BE49-F238E27FC236}">
              <a16:creationId xmlns:a16="http://schemas.microsoft.com/office/drawing/2014/main" id="{00000000-0008-0000-0D00-000015000000}"/>
            </a:ext>
          </a:extLst>
        </xdr:cNvPr>
        <xdr:cNvSpPr txBox="1"/>
      </xdr:nvSpPr>
      <xdr:spPr>
        <a:xfrm>
          <a:off x="9398521" y="38312567"/>
          <a:ext cx="1002110" cy="19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Working Population</a:t>
          </a: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0.07266</cdr:x>
      <cdr:y>0.76698</cdr:y>
    </cdr:from>
    <cdr:to>
      <cdr:x>0.96591</cdr:x>
      <cdr:y>0.7716</cdr:y>
    </cdr:to>
    <cdr:cxnSp macro="">
      <cdr:nvCxnSpPr>
        <cdr:cNvPr id="3" name="Straight Connector 2">
          <a:extLst xmlns:a="http://schemas.openxmlformats.org/drawingml/2006/main">
            <a:ext uri="{FF2B5EF4-FFF2-40B4-BE49-F238E27FC236}">
              <a16:creationId xmlns:a16="http://schemas.microsoft.com/office/drawing/2014/main" id="{B2D0B9D7-605D-46CE-B53E-600B4C603F22}"/>
            </a:ext>
          </a:extLst>
        </cdr:cNvPr>
        <cdr:cNvCxnSpPr/>
      </cdr:nvCxnSpPr>
      <cdr:spPr>
        <a:xfrm xmlns:a="http://schemas.openxmlformats.org/drawingml/2006/main">
          <a:off x="367357" y="2443718"/>
          <a:ext cx="4515882" cy="14713"/>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0.08286</cdr:x>
      <cdr:y>0.26379</cdr:y>
    </cdr:from>
    <cdr:to>
      <cdr:x>0.97125</cdr:x>
      <cdr:y>0.26566</cdr:y>
    </cdr:to>
    <cdr:cxnSp macro="">
      <cdr:nvCxnSpPr>
        <cdr:cNvPr id="2" name="Straight Connector 1">
          <a:extLst xmlns:a="http://schemas.openxmlformats.org/drawingml/2006/main">
            <a:ext uri="{FF2B5EF4-FFF2-40B4-BE49-F238E27FC236}">
              <a16:creationId xmlns:a16="http://schemas.microsoft.com/office/drawing/2014/main" id="{0180F48C-592E-4406-8808-B1FFE3F54BA6}"/>
            </a:ext>
          </a:extLst>
        </cdr:cNvPr>
        <cdr:cNvCxnSpPr/>
      </cdr:nvCxnSpPr>
      <cdr:spPr>
        <a:xfrm xmlns:a="http://schemas.openxmlformats.org/drawingml/2006/main" flipV="1">
          <a:off x="443888" y="828080"/>
          <a:ext cx="4759291" cy="5875"/>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21.xml><?xml version="1.0" encoding="utf-8"?>
<xdr:wsDr xmlns:xdr="http://schemas.openxmlformats.org/drawingml/2006/spreadsheetDrawing" xmlns:a="http://schemas.openxmlformats.org/drawingml/2006/main">
  <xdr:twoCellAnchor>
    <xdr:from>
      <xdr:col>8</xdr:col>
      <xdr:colOff>414832</xdr:colOff>
      <xdr:row>193</xdr:row>
      <xdr:rowOff>115</xdr:rowOff>
    </xdr:from>
    <xdr:to>
      <xdr:col>17</xdr:col>
      <xdr:colOff>340863</xdr:colOff>
      <xdr:row>209</xdr:row>
      <xdr:rowOff>112387</xdr:rowOff>
    </xdr:to>
    <xdr:graphicFrame macro="">
      <xdr:nvGraphicFramePr>
        <xdr:cNvPr id="13" name="Chart 5">
          <a:extLst>
            <a:ext uri="{FF2B5EF4-FFF2-40B4-BE49-F238E27FC236}">
              <a16:creationId xmlns:a16="http://schemas.microsoft.com/office/drawing/2014/main" id="{00000000-0008-0000-0E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530225</xdr:colOff>
      <xdr:row>197</xdr:row>
      <xdr:rowOff>99730</xdr:rowOff>
    </xdr:from>
    <xdr:to>
      <xdr:col>8</xdr:col>
      <xdr:colOff>41684</xdr:colOff>
      <xdr:row>197</xdr:row>
      <xdr:rowOff>116667</xdr:rowOff>
    </xdr:to>
    <xdr:cxnSp macro="">
      <xdr:nvCxnSpPr>
        <xdr:cNvPr id="17" name="Straight Connector 16">
          <a:extLst>
            <a:ext uri="{FF2B5EF4-FFF2-40B4-BE49-F238E27FC236}">
              <a16:creationId xmlns:a16="http://schemas.microsoft.com/office/drawing/2014/main" id="{00000000-0008-0000-0E00-000011000000}"/>
            </a:ext>
          </a:extLst>
        </xdr:cNvPr>
        <xdr:cNvCxnSpPr/>
      </xdr:nvCxnSpPr>
      <xdr:spPr>
        <a:xfrm flipV="1">
          <a:off x="530225" y="37465511"/>
          <a:ext cx="4472397" cy="16937"/>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200025</xdr:colOff>
      <xdr:row>195</xdr:row>
      <xdr:rowOff>128985</xdr:rowOff>
    </xdr:from>
    <xdr:to>
      <xdr:col>17</xdr:col>
      <xdr:colOff>19156</xdr:colOff>
      <xdr:row>197</xdr:row>
      <xdr:rowOff>24797</xdr:rowOff>
    </xdr:to>
    <xdr:sp macro="" textlink="">
      <xdr:nvSpPr>
        <xdr:cNvPr id="24" name="TextBox 23">
          <a:extLst>
            <a:ext uri="{FF2B5EF4-FFF2-40B4-BE49-F238E27FC236}">
              <a16:creationId xmlns:a16="http://schemas.microsoft.com/office/drawing/2014/main" id="{00000000-0008-0000-0E00-000018000000}"/>
            </a:ext>
          </a:extLst>
        </xdr:cNvPr>
        <xdr:cNvSpPr txBox="1"/>
      </xdr:nvSpPr>
      <xdr:spPr>
        <a:xfrm>
          <a:off x="9258300" y="37486035"/>
          <a:ext cx="1000231" cy="276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FF0000"/>
              </a:solidFill>
            </a:rPr>
            <a:t>Elderly Population</a:t>
          </a:r>
        </a:p>
      </xdr:txBody>
    </xdr:sp>
    <xdr:clientData/>
  </xdr:twoCellAnchor>
  <xdr:twoCellAnchor>
    <xdr:from>
      <xdr:col>15</xdr:col>
      <xdr:colOff>119062</xdr:colOff>
      <xdr:row>206</xdr:row>
      <xdr:rowOff>82341</xdr:rowOff>
    </xdr:from>
    <xdr:to>
      <xdr:col>17</xdr:col>
      <xdr:colOff>6883</xdr:colOff>
      <xdr:row>208</xdr:row>
      <xdr:rowOff>6982</xdr:rowOff>
    </xdr:to>
    <xdr:sp macro="" textlink="">
      <xdr:nvSpPr>
        <xdr:cNvPr id="25" name="TextBox 24">
          <a:extLst>
            <a:ext uri="{FF2B5EF4-FFF2-40B4-BE49-F238E27FC236}">
              <a16:creationId xmlns:a16="http://schemas.microsoft.com/office/drawing/2014/main" id="{00000000-0008-0000-0E00-000019000000}"/>
            </a:ext>
          </a:extLst>
        </xdr:cNvPr>
        <xdr:cNvSpPr txBox="1"/>
      </xdr:nvSpPr>
      <xdr:spPr>
        <a:xfrm>
          <a:off x="9247187" y="39144763"/>
          <a:ext cx="1078446" cy="30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FF0000"/>
              </a:solidFill>
            </a:rPr>
            <a:t>Child Population</a:t>
          </a:r>
        </a:p>
      </xdr:txBody>
    </xdr:sp>
    <xdr:clientData/>
  </xdr:twoCellAnchor>
  <xdr:twoCellAnchor>
    <xdr:from>
      <xdr:col>15</xdr:col>
      <xdr:colOff>141811</xdr:colOff>
      <xdr:row>201</xdr:row>
      <xdr:rowOff>99022</xdr:rowOff>
    </xdr:from>
    <xdr:to>
      <xdr:col>17</xdr:col>
      <xdr:colOff>104774</xdr:colOff>
      <xdr:row>202</xdr:row>
      <xdr:rowOff>114300</xdr:rowOff>
    </xdr:to>
    <xdr:sp macro="" textlink="">
      <xdr:nvSpPr>
        <xdr:cNvPr id="26" name="TextBox 25">
          <a:extLst>
            <a:ext uri="{FF2B5EF4-FFF2-40B4-BE49-F238E27FC236}">
              <a16:creationId xmlns:a16="http://schemas.microsoft.com/office/drawing/2014/main" id="{00000000-0008-0000-0E00-00001A000000}"/>
            </a:ext>
          </a:extLst>
        </xdr:cNvPr>
        <xdr:cNvSpPr txBox="1"/>
      </xdr:nvSpPr>
      <xdr:spPr>
        <a:xfrm>
          <a:off x="9200086" y="38599072"/>
          <a:ext cx="1144063" cy="20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FF0000"/>
              </a:solidFill>
            </a:rPr>
            <a:t>Working Population</a:t>
          </a:r>
        </a:p>
      </xdr:txBody>
    </xdr:sp>
    <xdr:clientData/>
  </xdr:twoCellAnchor>
  <xdr:twoCellAnchor>
    <xdr:from>
      <xdr:col>6</xdr:col>
      <xdr:colOff>43215</xdr:colOff>
      <xdr:row>195</xdr:row>
      <xdr:rowOff>102791</xdr:rowOff>
    </xdr:from>
    <xdr:to>
      <xdr:col>7</xdr:col>
      <xdr:colOff>331101</xdr:colOff>
      <xdr:row>196</xdr:row>
      <xdr:rowOff>187118</xdr:rowOff>
    </xdr:to>
    <xdr:sp macro="" textlink="">
      <xdr:nvSpPr>
        <xdr:cNvPr id="27" name="TextBox 26">
          <a:extLst>
            <a:ext uri="{FF2B5EF4-FFF2-40B4-BE49-F238E27FC236}">
              <a16:creationId xmlns:a16="http://schemas.microsoft.com/office/drawing/2014/main" id="{00000000-0008-0000-0E00-00001B000000}"/>
            </a:ext>
          </a:extLst>
        </xdr:cNvPr>
        <xdr:cNvSpPr txBox="1"/>
      </xdr:nvSpPr>
      <xdr:spPr>
        <a:xfrm>
          <a:off x="3813528" y="37091541"/>
          <a:ext cx="883198" cy="272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accent4">
                  <a:lumMod val="50000"/>
                </a:schemeClr>
              </a:solidFill>
            </a:rPr>
            <a:t>Elderly Population</a:t>
          </a:r>
        </a:p>
      </xdr:txBody>
    </xdr:sp>
    <xdr:clientData/>
  </xdr:twoCellAnchor>
  <xdr:twoCellAnchor>
    <xdr:from>
      <xdr:col>5</xdr:col>
      <xdr:colOff>569119</xdr:colOff>
      <xdr:row>206</xdr:row>
      <xdr:rowOff>56147</xdr:rowOff>
    </xdr:from>
    <xdr:to>
      <xdr:col>7</xdr:col>
      <xdr:colOff>456940</xdr:colOff>
      <xdr:row>207</xdr:row>
      <xdr:rowOff>169303</xdr:rowOff>
    </xdr:to>
    <xdr:sp macro="" textlink="">
      <xdr:nvSpPr>
        <xdr:cNvPr id="28" name="TextBox 27">
          <a:extLst>
            <a:ext uri="{FF2B5EF4-FFF2-40B4-BE49-F238E27FC236}">
              <a16:creationId xmlns:a16="http://schemas.microsoft.com/office/drawing/2014/main" id="{00000000-0008-0000-0E00-00001C000000}"/>
            </a:ext>
          </a:extLst>
        </xdr:cNvPr>
        <xdr:cNvSpPr txBox="1"/>
      </xdr:nvSpPr>
      <xdr:spPr>
        <a:xfrm>
          <a:off x="3744119" y="39118569"/>
          <a:ext cx="1078446" cy="30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accent4">
                  <a:lumMod val="50000"/>
                </a:schemeClr>
              </a:solidFill>
            </a:rPr>
            <a:t>Child Population</a:t>
          </a:r>
        </a:p>
      </xdr:txBody>
    </xdr:sp>
    <xdr:clientData/>
  </xdr:twoCellAnchor>
  <xdr:twoCellAnchor>
    <xdr:from>
      <xdr:col>5</xdr:col>
      <xdr:colOff>591869</xdr:colOff>
      <xdr:row>201</xdr:row>
      <xdr:rowOff>72828</xdr:rowOff>
    </xdr:from>
    <xdr:to>
      <xdr:col>7</xdr:col>
      <xdr:colOff>418187</xdr:colOff>
      <xdr:row>202</xdr:row>
      <xdr:rowOff>71129</xdr:rowOff>
    </xdr:to>
    <xdr:sp macro="" textlink="">
      <xdr:nvSpPr>
        <xdr:cNvPr id="29" name="TextBox 28">
          <a:extLst>
            <a:ext uri="{FF2B5EF4-FFF2-40B4-BE49-F238E27FC236}">
              <a16:creationId xmlns:a16="http://schemas.microsoft.com/office/drawing/2014/main" id="{00000000-0008-0000-0E00-00001D000000}"/>
            </a:ext>
          </a:extLst>
        </xdr:cNvPr>
        <xdr:cNvSpPr txBox="1"/>
      </xdr:nvSpPr>
      <xdr:spPr>
        <a:xfrm>
          <a:off x="3766869" y="38192672"/>
          <a:ext cx="1016943" cy="186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chemeClr val="accent4">
                  <a:lumMod val="50000"/>
                </a:schemeClr>
              </a:solidFill>
            </a:rPr>
            <a:t>Working Population</a:t>
          </a:r>
        </a:p>
      </xdr:txBody>
    </xdr:sp>
    <xdr:clientData/>
  </xdr:twoCellAnchor>
  <xdr:twoCellAnchor>
    <xdr:from>
      <xdr:col>9</xdr:col>
      <xdr:colOff>207963</xdr:colOff>
      <xdr:row>206</xdr:row>
      <xdr:rowOff>16669</xdr:rowOff>
    </xdr:from>
    <xdr:to>
      <xdr:col>17</xdr:col>
      <xdr:colOff>139577</xdr:colOff>
      <xdr:row>206</xdr:row>
      <xdr:rowOff>22519</xdr:rowOff>
    </xdr:to>
    <xdr:cxnSp macro="">
      <xdr:nvCxnSpPr>
        <xdr:cNvPr id="30" name="Straight Connector 29">
          <a:extLst>
            <a:ext uri="{FF2B5EF4-FFF2-40B4-BE49-F238E27FC236}">
              <a16:creationId xmlns:a16="http://schemas.microsoft.com/office/drawing/2014/main" id="{00000000-0008-0000-0E00-00001E000000}"/>
            </a:ext>
          </a:extLst>
        </xdr:cNvPr>
        <xdr:cNvCxnSpPr/>
      </xdr:nvCxnSpPr>
      <xdr:spPr>
        <a:xfrm flipV="1">
          <a:off x="5722938" y="39478744"/>
          <a:ext cx="4656014" cy="5850"/>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0</xdr:colOff>
      <xdr:row>193</xdr:row>
      <xdr:rowOff>19843</xdr:rowOff>
    </xdr:from>
    <xdr:to>
      <xdr:col>8</xdr:col>
      <xdr:colOff>322905</xdr:colOff>
      <xdr:row>209</xdr:row>
      <xdr:rowOff>132115</xdr:rowOff>
    </xdr:to>
    <xdr:graphicFrame macro="">
      <xdr:nvGraphicFramePr>
        <xdr:cNvPr id="32" name="Chart 5">
          <a:extLst>
            <a:ext uri="{FF2B5EF4-FFF2-40B4-BE49-F238E27FC236}">
              <a16:creationId xmlns:a16="http://schemas.microsoft.com/office/drawing/2014/main" id="{00000000-0008-0000-0E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414399</xdr:colOff>
      <xdr:row>206</xdr:row>
      <xdr:rowOff>24741</xdr:rowOff>
    </xdr:from>
    <xdr:to>
      <xdr:col>8</xdr:col>
      <xdr:colOff>153844</xdr:colOff>
      <xdr:row>206</xdr:row>
      <xdr:rowOff>30688</xdr:rowOff>
    </xdr:to>
    <xdr:cxnSp macro="">
      <xdr:nvCxnSpPr>
        <xdr:cNvPr id="33" name="Straight Connector 32">
          <a:extLst>
            <a:ext uri="{FF2B5EF4-FFF2-40B4-BE49-F238E27FC236}">
              <a16:creationId xmlns:a16="http://schemas.microsoft.com/office/drawing/2014/main" id="{00000000-0008-0000-0E00-000021000000}"/>
            </a:ext>
          </a:extLst>
        </xdr:cNvPr>
        <xdr:cNvCxnSpPr/>
      </xdr:nvCxnSpPr>
      <xdr:spPr>
        <a:xfrm flipV="1">
          <a:off x="414399" y="39739043"/>
          <a:ext cx="4644201" cy="5947"/>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248776</xdr:colOff>
      <xdr:row>195</xdr:row>
      <xdr:rowOff>111331</xdr:rowOff>
    </xdr:from>
    <xdr:to>
      <xdr:col>7</xdr:col>
      <xdr:colOff>536661</xdr:colOff>
      <xdr:row>197</xdr:row>
      <xdr:rowOff>7143</xdr:rowOff>
    </xdr:to>
    <xdr:sp macro="" textlink="">
      <xdr:nvSpPr>
        <xdr:cNvPr id="34" name="TextBox 33">
          <a:extLst>
            <a:ext uri="{FF2B5EF4-FFF2-40B4-BE49-F238E27FC236}">
              <a16:creationId xmlns:a16="http://schemas.microsoft.com/office/drawing/2014/main" id="{00000000-0008-0000-0E00-000022000000}"/>
            </a:ext>
          </a:extLst>
        </xdr:cNvPr>
        <xdr:cNvSpPr txBox="1"/>
      </xdr:nvSpPr>
      <xdr:spPr>
        <a:xfrm>
          <a:off x="3978370" y="37716526"/>
          <a:ext cx="875466" cy="279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Elderly Population</a:t>
          </a:r>
        </a:p>
      </xdr:txBody>
    </xdr:sp>
    <xdr:clientData/>
  </xdr:twoCellAnchor>
  <xdr:twoCellAnchor>
    <xdr:from>
      <xdr:col>6</xdr:col>
      <xdr:colOff>179367</xdr:colOff>
      <xdr:row>206</xdr:row>
      <xdr:rowOff>64687</xdr:rowOff>
    </xdr:from>
    <xdr:to>
      <xdr:col>8</xdr:col>
      <xdr:colOff>67188</xdr:colOff>
      <xdr:row>207</xdr:row>
      <xdr:rowOff>181065</xdr:rowOff>
    </xdr:to>
    <xdr:sp macro="" textlink="">
      <xdr:nvSpPr>
        <xdr:cNvPr id="35" name="TextBox 34">
          <a:extLst>
            <a:ext uri="{FF2B5EF4-FFF2-40B4-BE49-F238E27FC236}">
              <a16:creationId xmlns:a16="http://schemas.microsoft.com/office/drawing/2014/main" id="{00000000-0008-0000-0E00-000023000000}"/>
            </a:ext>
          </a:extLst>
        </xdr:cNvPr>
        <xdr:cNvSpPr txBox="1"/>
      </xdr:nvSpPr>
      <xdr:spPr>
        <a:xfrm>
          <a:off x="3908961" y="39778989"/>
          <a:ext cx="1062983" cy="308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FF0000"/>
              </a:solidFill>
            </a:rPr>
            <a:t>Child Population</a:t>
          </a:r>
        </a:p>
      </xdr:txBody>
    </xdr:sp>
    <xdr:clientData/>
  </xdr:twoCellAnchor>
  <xdr:twoCellAnchor>
    <xdr:from>
      <xdr:col>6</xdr:col>
      <xdr:colOff>202117</xdr:colOff>
      <xdr:row>201</xdr:row>
      <xdr:rowOff>81368</xdr:rowOff>
    </xdr:from>
    <xdr:to>
      <xdr:col>8</xdr:col>
      <xdr:colOff>36166</xdr:colOff>
      <xdr:row>202</xdr:row>
      <xdr:rowOff>79669</xdr:rowOff>
    </xdr:to>
    <xdr:sp macro="" textlink="">
      <xdr:nvSpPr>
        <xdr:cNvPr id="36" name="TextBox 35">
          <a:extLst>
            <a:ext uri="{FF2B5EF4-FFF2-40B4-BE49-F238E27FC236}">
              <a16:creationId xmlns:a16="http://schemas.microsoft.com/office/drawing/2014/main" id="{00000000-0008-0000-0E00-000024000000}"/>
            </a:ext>
          </a:extLst>
        </xdr:cNvPr>
        <xdr:cNvSpPr txBox="1"/>
      </xdr:nvSpPr>
      <xdr:spPr>
        <a:xfrm>
          <a:off x="3931711" y="38836985"/>
          <a:ext cx="1009211" cy="19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FF0000"/>
              </a:solidFill>
            </a:rPr>
            <a:t>Working Population</a:t>
          </a:r>
        </a:p>
      </xdr:txBody>
    </xdr:sp>
    <xdr:clientData/>
  </xdr:twoCellAnchor>
</xdr:wsDr>
</file>

<file path=xl/drawings/drawing22.xml><?xml version="1.0" encoding="utf-8"?>
<c:userShapes xmlns:c="http://schemas.openxmlformats.org/drawingml/2006/chart">
  <cdr:relSizeAnchor xmlns:cdr="http://schemas.openxmlformats.org/drawingml/2006/chartDrawing">
    <cdr:from>
      <cdr:x>0.06972</cdr:x>
      <cdr:y>0.25745</cdr:y>
    </cdr:from>
    <cdr:to>
      <cdr:x>0.95811</cdr:x>
      <cdr:y>0.25932</cdr:y>
    </cdr:to>
    <cdr:cxnSp macro="">
      <cdr:nvCxnSpPr>
        <cdr:cNvPr id="2" name="Straight Connector 1">
          <a:extLst xmlns:a="http://schemas.openxmlformats.org/drawingml/2006/main">
            <a:ext uri="{FF2B5EF4-FFF2-40B4-BE49-F238E27FC236}">
              <a16:creationId xmlns:a16="http://schemas.microsoft.com/office/drawing/2014/main" id="{43F1316E-5FE4-4866-8197-FA4F4D248198}"/>
            </a:ext>
          </a:extLst>
        </cdr:cNvPr>
        <cdr:cNvCxnSpPr/>
      </cdr:nvCxnSpPr>
      <cdr:spPr>
        <a:xfrm xmlns:a="http://schemas.openxmlformats.org/drawingml/2006/main" flipV="1">
          <a:off x="368366" y="805430"/>
          <a:ext cx="4694114" cy="5850"/>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0.00971</cdr:x>
      <cdr:y>0.01607</cdr:y>
    </cdr:from>
    <cdr:to>
      <cdr:x>0.96215</cdr:x>
      <cdr:y>0.15472</cdr:y>
    </cdr:to>
    <cdr:sp macro="" textlink="">
      <cdr:nvSpPr>
        <cdr:cNvPr id="3" name="TextBox 1"/>
        <cdr:cNvSpPr txBox="1"/>
      </cdr:nvSpPr>
      <cdr:spPr>
        <a:xfrm xmlns:a="http://schemas.openxmlformats.org/drawingml/2006/main">
          <a:off x="50799" y="50800"/>
          <a:ext cx="4981477" cy="43815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900" b="1" i="0" baseline="0">
              <a:effectLst/>
              <a:latin typeface="+mn-lt"/>
              <a:ea typeface="+mn-ea"/>
              <a:cs typeface="+mn-cs"/>
            </a:rPr>
            <a:t>Figure 3.18: Population Pyramid of  Resident Maldivian and Foreigners  in </a:t>
          </a:r>
        </a:p>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900" b="1" i="0" baseline="0">
              <a:effectLst/>
              <a:latin typeface="+mn-lt"/>
              <a:ea typeface="+mn-ea"/>
              <a:cs typeface="+mn-cs"/>
            </a:rPr>
            <a:t> Administartive islands , 2030 </a:t>
          </a:r>
          <a:endParaRPr lang="en-US" sz="900">
            <a:effectLst/>
          </a:endParaRPr>
        </a:p>
        <a:p xmlns:a="http://schemas.openxmlformats.org/drawingml/2006/main">
          <a:endParaRPr lang="en-US" sz="1000"/>
        </a:p>
      </cdr:txBody>
    </cdr:sp>
  </cdr:relSizeAnchor>
</c:userShapes>
</file>

<file path=xl/drawings/drawing23.xml><?xml version="1.0" encoding="utf-8"?>
<c:userShapes xmlns:c="http://schemas.openxmlformats.org/drawingml/2006/chart">
  <cdr:relSizeAnchor xmlns:cdr="http://schemas.openxmlformats.org/drawingml/2006/chartDrawing">
    <cdr:from>
      <cdr:x>0.07919</cdr:x>
      <cdr:y>0.26523</cdr:y>
    </cdr:from>
    <cdr:to>
      <cdr:x>0.96757</cdr:x>
      <cdr:y>0.2671</cdr:y>
    </cdr:to>
    <cdr:cxnSp macro="">
      <cdr:nvCxnSpPr>
        <cdr:cNvPr id="2" name="Straight Connector 1">
          <a:extLst xmlns:a="http://schemas.openxmlformats.org/drawingml/2006/main">
            <a:ext uri="{FF2B5EF4-FFF2-40B4-BE49-F238E27FC236}">
              <a16:creationId xmlns:a16="http://schemas.microsoft.com/office/drawing/2014/main" id="{78626E68-0515-4D1F-9192-F621D903FE8A}"/>
            </a:ext>
          </a:extLst>
        </cdr:cNvPr>
        <cdr:cNvCxnSpPr/>
      </cdr:nvCxnSpPr>
      <cdr:spPr>
        <a:xfrm xmlns:a="http://schemas.openxmlformats.org/drawingml/2006/main" flipV="1">
          <a:off x="413953" y="843447"/>
          <a:ext cx="4644201" cy="5947"/>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0.1124</cdr:x>
      <cdr:y>0.01607</cdr:y>
    </cdr:from>
    <cdr:to>
      <cdr:x>0.96215</cdr:x>
      <cdr:y>0.15472</cdr:y>
    </cdr:to>
    <cdr:sp macro="" textlink="">
      <cdr:nvSpPr>
        <cdr:cNvPr id="3" name="TextBox 1"/>
        <cdr:cNvSpPr txBox="1"/>
      </cdr:nvSpPr>
      <cdr:spPr>
        <a:xfrm xmlns:a="http://schemas.openxmlformats.org/drawingml/2006/main">
          <a:off x="587581" y="51104"/>
          <a:ext cx="4442213" cy="44091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eaLnBrk="1" fontAlgn="auto" latinLnBrk="0" hangingPunct="1"/>
          <a:r>
            <a:rPr lang="en-US" sz="900" b="1" i="0" baseline="0">
              <a:effectLst/>
              <a:latin typeface="+mn-lt"/>
              <a:ea typeface="+mn-ea"/>
              <a:cs typeface="+mn-cs"/>
            </a:rPr>
            <a:t>Figure 3.17: Population Pyramid of  Resident Maldivian and Foreigners  in </a:t>
          </a:r>
          <a:endParaRPr lang="en-US" sz="900">
            <a:effectLst/>
          </a:endParaRPr>
        </a:p>
        <a:p xmlns:a="http://schemas.openxmlformats.org/drawingml/2006/main">
          <a:pPr algn="ctr" rtl="0" eaLnBrk="1" fontAlgn="auto" latinLnBrk="0" hangingPunct="1"/>
          <a:r>
            <a:rPr lang="en-US" sz="900" b="1" i="0" baseline="0">
              <a:effectLst/>
              <a:latin typeface="+mn-lt"/>
              <a:ea typeface="+mn-ea"/>
              <a:cs typeface="+mn-cs"/>
            </a:rPr>
            <a:t> Administartive islands,  2022</a:t>
          </a:r>
          <a:endParaRPr lang="en-US" sz="900">
            <a:effectLst/>
          </a:endParaRPr>
        </a:p>
        <a:p xmlns:a="http://schemas.openxmlformats.org/drawingml/2006/main">
          <a:pPr algn="ctr"/>
          <a:endParaRPr lang="en-US" sz="1000"/>
        </a:p>
      </cdr:txBody>
    </cdr:sp>
  </cdr:relSizeAnchor>
</c:userShapes>
</file>

<file path=xl/drawings/drawing24.xml><?xml version="1.0" encoding="utf-8"?>
<xdr:wsDr xmlns:xdr="http://schemas.openxmlformats.org/drawingml/2006/spreadsheetDrawing" xmlns:a="http://schemas.openxmlformats.org/drawingml/2006/main">
  <xdr:twoCellAnchor>
    <xdr:from>
      <xdr:col>6</xdr:col>
      <xdr:colOff>0</xdr:colOff>
      <xdr:row>33</xdr:row>
      <xdr:rowOff>0</xdr:rowOff>
    </xdr:from>
    <xdr:to>
      <xdr:col>10</xdr:col>
      <xdr:colOff>0</xdr:colOff>
      <xdr:row>47</xdr:row>
      <xdr:rowOff>85725</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33</xdr:row>
      <xdr:rowOff>0</xdr:rowOff>
    </xdr:from>
    <xdr:to>
      <xdr:col>17</xdr:col>
      <xdr:colOff>428625</xdr:colOff>
      <xdr:row>47</xdr:row>
      <xdr:rowOff>85725</xdr:rowOff>
    </xdr:to>
    <xdr:graphicFrame macro="">
      <xdr:nvGraphicFramePr>
        <xdr:cNvPr id="3" name="Chart 1">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270711</xdr:colOff>
      <xdr:row>51</xdr:row>
      <xdr:rowOff>70185</xdr:rowOff>
    </xdr:from>
    <xdr:to>
      <xdr:col>14</xdr:col>
      <xdr:colOff>290764</xdr:colOff>
      <xdr:row>51</xdr:row>
      <xdr:rowOff>80211</xdr:rowOff>
    </xdr:to>
    <xdr:sp macro="" textlink="">
      <xdr:nvSpPr>
        <xdr:cNvPr id="4" name="Line 4">
          <a:extLst>
            <a:ext uri="{FF2B5EF4-FFF2-40B4-BE49-F238E27FC236}">
              <a16:creationId xmlns:a16="http://schemas.microsoft.com/office/drawing/2014/main" id="{00000000-0008-0000-1000-000004000000}"/>
            </a:ext>
          </a:extLst>
        </xdr:cNvPr>
        <xdr:cNvSpPr>
          <a:spLocks noChangeShapeType="1"/>
        </xdr:cNvSpPr>
      </xdr:nvSpPr>
      <xdr:spPr bwMode="auto">
        <a:xfrm flipV="1">
          <a:off x="781050" y="9204660"/>
          <a:ext cx="0" cy="10026"/>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txBody>
        <a:bodyPr/>
        <a:lstStyle/>
        <a:p>
          <a:endParaRPr lang="en-US"/>
        </a:p>
      </xdr:txBody>
    </xdr:sp>
    <xdr:clientData/>
  </xdr:twoCellAnchor>
  <xdr:twoCellAnchor>
    <xdr:from>
      <xdr:col>7</xdr:col>
      <xdr:colOff>513349</xdr:colOff>
      <xdr:row>34</xdr:row>
      <xdr:rowOff>110290</xdr:rowOff>
    </xdr:from>
    <xdr:to>
      <xdr:col>15</xdr:col>
      <xdr:colOff>90238</xdr:colOff>
      <xdr:row>34</xdr:row>
      <xdr:rowOff>112295</xdr:rowOff>
    </xdr:to>
    <xdr:sp macro="" textlink="">
      <xdr:nvSpPr>
        <xdr:cNvPr id="5" name="Line 4">
          <a:extLst>
            <a:ext uri="{FF2B5EF4-FFF2-40B4-BE49-F238E27FC236}">
              <a16:creationId xmlns:a16="http://schemas.microsoft.com/office/drawing/2014/main" id="{00000000-0008-0000-1000-000005000000}"/>
            </a:ext>
          </a:extLst>
        </xdr:cNvPr>
        <xdr:cNvSpPr>
          <a:spLocks noChangeShapeType="1"/>
        </xdr:cNvSpPr>
      </xdr:nvSpPr>
      <xdr:spPr bwMode="auto">
        <a:xfrm flipV="1">
          <a:off x="781050" y="6463465"/>
          <a:ext cx="0" cy="200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txBody>
        <a:bodyPr/>
        <a:lstStyle/>
        <a:p>
          <a:endParaRPr lang="en-US"/>
        </a:p>
      </xdr:txBody>
    </xdr:sp>
    <xdr:clientData/>
  </xdr:twoCellAnchor>
  <xdr:twoCellAnchor>
    <xdr:from>
      <xdr:col>6</xdr:col>
      <xdr:colOff>0</xdr:colOff>
      <xdr:row>33</xdr:row>
      <xdr:rowOff>0</xdr:rowOff>
    </xdr:from>
    <xdr:to>
      <xdr:col>10</xdr:col>
      <xdr:colOff>0</xdr:colOff>
      <xdr:row>47</xdr:row>
      <xdr:rowOff>85725</xdr:rowOff>
    </xdr:to>
    <xdr:graphicFrame macro="">
      <xdr:nvGraphicFramePr>
        <xdr:cNvPr id="6" name="Chart 1">
          <a:extLst>
            <a:ext uri="{FF2B5EF4-FFF2-40B4-BE49-F238E27FC236}">
              <a16:creationId xmlns:a16="http://schemas.microsoft.com/office/drawing/2014/main" id="{00000000-0008-0000-1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165651</xdr:rowOff>
    </xdr:from>
    <xdr:to>
      <xdr:col>43</xdr:col>
      <xdr:colOff>247650</xdr:colOff>
      <xdr:row>54</xdr:row>
      <xdr:rowOff>13803</xdr:rowOff>
    </xdr:to>
    <xdr:graphicFrame macro="">
      <xdr:nvGraphicFramePr>
        <xdr:cNvPr id="7" name="Chart 1">
          <a:extLst>
            <a:ext uri="{FF2B5EF4-FFF2-40B4-BE49-F238E27FC236}">
              <a16:creationId xmlns:a16="http://schemas.microsoft.com/office/drawing/2014/main" id="{00000000-0008-0000-1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7326</xdr:colOff>
      <xdr:row>54</xdr:row>
      <xdr:rowOff>145221</xdr:rowOff>
    </xdr:from>
    <xdr:to>
      <xdr:col>43</xdr:col>
      <xdr:colOff>285749</xdr:colOff>
      <xdr:row>77</xdr:row>
      <xdr:rowOff>69020</xdr:rowOff>
    </xdr:to>
    <xdr:graphicFrame macro="">
      <xdr:nvGraphicFramePr>
        <xdr:cNvPr id="8" name="Chart 2">
          <a:extLst>
            <a:ext uri="{FF2B5EF4-FFF2-40B4-BE49-F238E27FC236}">
              <a16:creationId xmlns:a16="http://schemas.microsoft.com/office/drawing/2014/main" id="{00000000-0008-0000-1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1247775</xdr:colOff>
      <xdr:row>14</xdr:row>
      <xdr:rowOff>133350</xdr:rowOff>
    </xdr:from>
    <xdr:to>
      <xdr:col>4</xdr:col>
      <xdr:colOff>904875</xdr:colOff>
      <xdr:row>26</xdr:row>
      <xdr:rowOff>19050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1809751</xdr:colOff>
      <xdr:row>16</xdr:row>
      <xdr:rowOff>142874</xdr:rowOff>
    </xdr:from>
    <xdr:to>
      <xdr:col>4</xdr:col>
      <xdr:colOff>66676</xdr:colOff>
      <xdr:row>16</xdr:row>
      <xdr:rowOff>144879</xdr:rowOff>
    </xdr:to>
    <xdr:sp macro="" textlink="">
      <xdr:nvSpPr>
        <xdr:cNvPr id="3" name="Line 4">
          <a:extLst>
            <a:ext uri="{FF2B5EF4-FFF2-40B4-BE49-F238E27FC236}">
              <a16:creationId xmlns:a16="http://schemas.microsoft.com/office/drawing/2014/main" id="{00000000-0008-0000-1200-000003000000}"/>
            </a:ext>
          </a:extLst>
        </xdr:cNvPr>
        <xdr:cNvSpPr>
          <a:spLocks noChangeShapeType="1"/>
        </xdr:cNvSpPr>
      </xdr:nvSpPr>
      <xdr:spPr bwMode="auto">
        <a:xfrm flipV="1">
          <a:off x="1809751" y="3676649"/>
          <a:ext cx="3886200" cy="200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txBody>
        <a:bodyPr/>
        <a:lstStyle/>
        <a:p>
          <a:endParaRPr lang="en-US"/>
        </a:p>
      </xdr:txBody>
    </xdr:sp>
    <xdr:clientData/>
  </xdr:twoCellAnchor>
  <xdr:twoCellAnchor>
    <xdr:from>
      <xdr:col>0</xdr:col>
      <xdr:colOff>2019300</xdr:colOff>
      <xdr:row>29</xdr:row>
      <xdr:rowOff>9525</xdr:rowOff>
    </xdr:from>
    <xdr:to>
      <xdr:col>4</xdr:col>
      <xdr:colOff>276225</xdr:colOff>
      <xdr:row>29</xdr:row>
      <xdr:rowOff>11530</xdr:rowOff>
    </xdr:to>
    <xdr:sp macro="" textlink="">
      <xdr:nvSpPr>
        <xdr:cNvPr id="4" name="Line 4">
          <a:extLst>
            <a:ext uri="{FF2B5EF4-FFF2-40B4-BE49-F238E27FC236}">
              <a16:creationId xmlns:a16="http://schemas.microsoft.com/office/drawing/2014/main" id="{00000000-0008-0000-1200-000004000000}"/>
            </a:ext>
          </a:extLst>
        </xdr:cNvPr>
        <xdr:cNvSpPr>
          <a:spLocks noChangeShapeType="1"/>
        </xdr:cNvSpPr>
      </xdr:nvSpPr>
      <xdr:spPr bwMode="auto">
        <a:xfrm flipV="1">
          <a:off x="2019300" y="6381750"/>
          <a:ext cx="3886200" cy="200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txBody>
        <a:bodyPr/>
        <a:lstStyle/>
        <a:p>
          <a:endParaRPr lang="en-US"/>
        </a:p>
      </xdr:txBody>
    </xdr:sp>
    <xdr:clientData/>
  </xdr:twoCellAnchor>
  <xdr:twoCellAnchor>
    <xdr:from>
      <xdr:col>0</xdr:col>
      <xdr:colOff>1247775</xdr:colOff>
      <xdr:row>13</xdr:row>
      <xdr:rowOff>114300</xdr:rowOff>
    </xdr:from>
    <xdr:to>
      <xdr:col>4</xdr:col>
      <xdr:colOff>904875</xdr:colOff>
      <xdr:row>27</xdr:row>
      <xdr:rowOff>76200</xdr:rowOff>
    </xdr:to>
    <xdr:graphicFrame macro="">
      <xdr:nvGraphicFramePr>
        <xdr:cNvPr id="5" name="Chart 1">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1181100</xdr:colOff>
      <xdr:row>28</xdr:row>
      <xdr:rowOff>171450</xdr:rowOff>
    </xdr:from>
    <xdr:to>
      <xdr:col>4</xdr:col>
      <xdr:colOff>895350</xdr:colOff>
      <xdr:row>45</xdr:row>
      <xdr:rowOff>47625</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0.02883</cdr:x>
      <cdr:y>0.03762</cdr:y>
    </cdr:from>
    <cdr:to>
      <cdr:x>0.94595</cdr:x>
      <cdr:y>0.12539</cdr:y>
    </cdr:to>
    <cdr:sp macro="" textlink="">
      <cdr:nvSpPr>
        <cdr:cNvPr id="2" name="TextBox 1"/>
        <cdr:cNvSpPr txBox="1"/>
      </cdr:nvSpPr>
      <cdr:spPr>
        <a:xfrm xmlns:a="http://schemas.openxmlformats.org/drawingml/2006/main">
          <a:off x="152400" y="114302"/>
          <a:ext cx="484822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Figure 3.22:  Percentage of Maldivians married to foreign nationals by sex, 2021</a:t>
          </a:r>
          <a:endParaRPr lang="en-US">
            <a:effectLst/>
          </a:endParaRPr>
        </a:p>
        <a:p xmlns:a="http://schemas.openxmlformats.org/drawingml/2006/main">
          <a:endParaRPr lang="en-US" sz="1100"/>
        </a:p>
      </cdr:txBody>
    </cdr:sp>
  </cdr:relSizeAnchor>
</c:userShapes>
</file>

<file path=xl/drawings/drawing27.xml><?xml version="1.0" encoding="utf-8"?>
<xdr:wsDr xmlns:xdr="http://schemas.openxmlformats.org/drawingml/2006/spreadsheetDrawing" xmlns:a="http://schemas.openxmlformats.org/drawingml/2006/main">
  <xdr:twoCellAnchor>
    <xdr:from>
      <xdr:col>7</xdr:col>
      <xdr:colOff>9525</xdr:colOff>
      <xdr:row>13</xdr:row>
      <xdr:rowOff>142875</xdr:rowOff>
    </xdr:from>
    <xdr:to>
      <xdr:col>22</xdr:col>
      <xdr:colOff>542925</xdr:colOff>
      <xdr:row>32</xdr:row>
      <xdr:rowOff>85725</xdr:rowOff>
    </xdr:to>
    <xdr:graphicFrame macro="">
      <xdr:nvGraphicFramePr>
        <xdr:cNvPr id="4" name="Chart 1">
          <a:extLst>
            <a:ext uri="{FF2B5EF4-FFF2-40B4-BE49-F238E27FC236}">
              <a16:creationId xmlns:a16="http://schemas.microsoft.com/office/drawing/2014/main" id="{00000000-0008-0000-1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33</xdr:row>
      <xdr:rowOff>57150</xdr:rowOff>
    </xdr:from>
    <xdr:to>
      <xdr:col>22</xdr:col>
      <xdr:colOff>533400</xdr:colOff>
      <xdr:row>51</xdr:row>
      <xdr:rowOff>104775</xdr:rowOff>
    </xdr:to>
    <xdr:graphicFrame macro="">
      <xdr:nvGraphicFramePr>
        <xdr:cNvPr id="5" name="Chart 2">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stat_backs\userbackups\maha\Yearbook%202001\Graphs2001\pyrami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20-%20DJ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61">
          <cell r="B61" t="str">
            <v>Male</v>
          </cell>
          <cell r="C61" t="str">
            <v>Female</v>
          </cell>
        </row>
        <row r="62">
          <cell r="A62" t="str">
            <v xml:space="preserve">   0-4</v>
          </cell>
          <cell r="B62">
            <v>19113</v>
          </cell>
          <cell r="C62">
            <v>-17859</v>
          </cell>
        </row>
        <row r="63">
          <cell r="A63" t="str">
            <v xml:space="preserve">   5-9</v>
          </cell>
          <cell r="B63">
            <v>20840</v>
          </cell>
          <cell r="C63">
            <v>-19919</v>
          </cell>
        </row>
        <row r="64">
          <cell r="A64" t="str">
            <v xml:space="preserve"> 10-14</v>
          </cell>
          <cell r="B64">
            <v>18286</v>
          </cell>
          <cell r="C64">
            <v>-17584</v>
          </cell>
        </row>
        <row r="65">
          <cell r="A65" t="str">
            <v xml:space="preserve"> 15-19</v>
          </cell>
          <cell r="B65">
            <v>12343</v>
          </cell>
          <cell r="C65">
            <v>-12562</v>
          </cell>
        </row>
        <row r="66">
          <cell r="A66" t="str">
            <v xml:space="preserve"> 20-24</v>
          </cell>
          <cell r="B66">
            <v>9944</v>
          </cell>
          <cell r="C66">
            <v>-11077</v>
          </cell>
        </row>
        <row r="67">
          <cell r="A67" t="str">
            <v xml:space="preserve"> 25-29</v>
          </cell>
          <cell r="B67">
            <v>8802</v>
          </cell>
          <cell r="C67">
            <v>-9389</v>
          </cell>
        </row>
        <row r="68">
          <cell r="A68" t="str">
            <v xml:space="preserve"> 30-34</v>
          </cell>
          <cell r="B68">
            <v>7579</v>
          </cell>
          <cell r="C68">
            <v>-7785</v>
          </cell>
        </row>
        <row r="69">
          <cell r="A69" t="str">
            <v xml:space="preserve"> 35-39</v>
          </cell>
          <cell r="B69">
            <v>6315</v>
          </cell>
          <cell r="C69">
            <v>-6317</v>
          </cell>
        </row>
        <row r="70">
          <cell r="A70" t="str">
            <v xml:space="preserve"> 40-44</v>
          </cell>
          <cell r="B70">
            <v>3625</v>
          </cell>
          <cell r="C70">
            <v>-3297</v>
          </cell>
        </row>
        <row r="71">
          <cell r="A71" t="str">
            <v xml:space="preserve"> 45-49</v>
          </cell>
          <cell r="B71">
            <v>3369</v>
          </cell>
          <cell r="C71">
            <v>-3215</v>
          </cell>
        </row>
        <row r="72">
          <cell r="A72" t="str">
            <v xml:space="preserve"> 50-54</v>
          </cell>
          <cell r="B72">
            <v>3205</v>
          </cell>
          <cell r="C72">
            <v>-3042</v>
          </cell>
        </row>
        <row r="73">
          <cell r="A73" t="str">
            <v xml:space="preserve"> 55-59</v>
          </cell>
          <cell r="B73">
            <v>3240</v>
          </cell>
          <cell r="C73">
            <v>-2722</v>
          </cell>
        </row>
        <row r="74">
          <cell r="A74" t="str">
            <v xml:space="preserve"> 60-64</v>
          </cell>
          <cell r="B74">
            <v>3010</v>
          </cell>
          <cell r="C74">
            <v>-2284</v>
          </cell>
        </row>
        <row r="75">
          <cell r="A75" t="str">
            <v xml:space="preserve"> 65-69</v>
          </cell>
          <cell r="B75">
            <v>1897</v>
          </cell>
          <cell r="C75">
            <v>-1304</v>
          </cell>
        </row>
        <row r="76">
          <cell r="A76" t="str">
            <v xml:space="preserve"> 70-74</v>
          </cell>
          <cell r="B76">
            <v>1279</v>
          </cell>
          <cell r="C76">
            <v>-822</v>
          </cell>
        </row>
        <row r="77">
          <cell r="A77" t="str">
            <v xml:space="preserve">   75+</v>
          </cell>
          <cell r="B77">
            <v>1384</v>
          </cell>
          <cell r="C77">
            <v>-862</v>
          </cell>
        </row>
        <row r="87">
          <cell r="B87" t="str">
            <v>Male</v>
          </cell>
          <cell r="C87" t="str">
            <v>Female</v>
          </cell>
        </row>
        <row r="88">
          <cell r="A88" t="str">
            <v xml:space="preserve">   0-4</v>
          </cell>
          <cell r="B88">
            <v>-15699</v>
          </cell>
          <cell r="C88">
            <v>15213</v>
          </cell>
        </row>
        <row r="89">
          <cell r="A89" t="str">
            <v xml:space="preserve">   5-9</v>
          </cell>
          <cell r="B89">
            <v>-19336</v>
          </cell>
          <cell r="C89">
            <v>18591</v>
          </cell>
        </row>
        <row r="90">
          <cell r="A90" t="str">
            <v xml:space="preserve"> 10-14</v>
          </cell>
          <cell r="B90">
            <v>-20897</v>
          </cell>
          <cell r="C90">
            <v>20192</v>
          </cell>
        </row>
        <row r="91">
          <cell r="A91" t="str">
            <v xml:space="preserve"> 15-19</v>
          </cell>
          <cell r="B91">
            <v>-16590</v>
          </cell>
          <cell r="C91">
            <v>16676</v>
          </cell>
        </row>
        <row r="92">
          <cell r="A92" t="str">
            <v xml:space="preserve"> 20-24</v>
          </cell>
          <cell r="B92">
            <v>-11620</v>
          </cell>
          <cell r="C92">
            <v>11894</v>
          </cell>
        </row>
        <row r="93">
          <cell r="A93" t="str">
            <v xml:space="preserve"> 25-29</v>
          </cell>
          <cell r="B93">
            <v>-9805</v>
          </cell>
          <cell r="C93">
            <v>10285</v>
          </cell>
        </row>
        <row r="94">
          <cell r="A94" t="str">
            <v xml:space="preserve"> 30-34</v>
          </cell>
          <cell r="B94">
            <v>-8890</v>
          </cell>
          <cell r="C94">
            <v>9271</v>
          </cell>
        </row>
        <row r="95">
          <cell r="A95" t="str">
            <v xml:space="preserve"> 35-39</v>
          </cell>
          <cell r="B95">
            <v>-7828</v>
          </cell>
          <cell r="C95">
            <v>7871</v>
          </cell>
        </row>
        <row r="96">
          <cell r="A96" t="str">
            <v xml:space="preserve"> 40-44</v>
          </cell>
          <cell r="B96">
            <v>-6272</v>
          </cell>
          <cell r="C96">
            <v>6130</v>
          </cell>
        </row>
        <row r="97">
          <cell r="A97" t="str">
            <v xml:space="preserve"> 45-49</v>
          </cell>
          <cell r="B97">
            <v>-3977</v>
          </cell>
          <cell r="C97">
            <v>3484</v>
          </cell>
        </row>
        <row r="98">
          <cell r="A98" t="str">
            <v xml:space="preserve"> 50-54</v>
          </cell>
          <cell r="B98">
            <v>-3051</v>
          </cell>
          <cell r="C98">
            <v>2916</v>
          </cell>
        </row>
        <row r="99">
          <cell r="A99" t="str">
            <v xml:space="preserve"> 55-59</v>
          </cell>
          <cell r="B99">
            <v>-3131</v>
          </cell>
          <cell r="C99">
            <v>2865</v>
          </cell>
        </row>
        <row r="100">
          <cell r="A100" t="str">
            <v xml:space="preserve"> 60-64</v>
          </cell>
          <cell r="B100">
            <v>-3370</v>
          </cell>
          <cell r="C100">
            <v>2942</v>
          </cell>
        </row>
        <row r="101">
          <cell r="A101" t="str">
            <v xml:space="preserve"> 65-69</v>
          </cell>
          <cell r="B101">
            <v>-2650</v>
          </cell>
          <cell r="C101">
            <v>1961</v>
          </cell>
        </row>
        <row r="102">
          <cell r="A102" t="str">
            <v xml:space="preserve"> 70-74</v>
          </cell>
          <cell r="B102">
            <v>-1737</v>
          </cell>
          <cell r="C102">
            <v>1136</v>
          </cell>
        </row>
        <row r="103">
          <cell r="A103" t="str">
            <v xml:space="preserve">   75+</v>
          </cell>
          <cell r="B103">
            <v>-1532</v>
          </cell>
          <cell r="C103">
            <v>1013</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s>
    <sheetDataSet>
      <sheetData sheetId="0">
        <row r="8">
          <cell r="B8" t="str">
            <v>1911</v>
          </cell>
        </row>
      </sheetData>
      <sheetData sheetId="1">
        <row r="7">
          <cell r="AG7" t="str">
            <v>Male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D4" t="str">
            <v>Residential Maldivian 2019</v>
          </cell>
        </row>
      </sheetData>
      <sheetData sheetId="13">
        <row r="4">
          <cell r="BB4" t="str">
            <v>Residential Maldivian 2018</v>
          </cell>
        </row>
      </sheetData>
      <sheetData sheetId="14">
        <row r="4">
          <cell r="BB4" t="str">
            <v>Residential Maldivian 2018</v>
          </cell>
        </row>
      </sheetData>
      <sheetData sheetId="15">
        <row r="4">
          <cell r="BB4" t="str">
            <v>Residential Maldivian 2018</v>
          </cell>
        </row>
      </sheetData>
      <sheetData sheetId="16">
        <row r="7">
          <cell r="AA7" t="str">
            <v>Marriages</v>
          </cell>
        </row>
        <row r="40">
          <cell r="AV40">
            <v>2011</v>
          </cell>
          <cell r="AX40">
            <v>2012</v>
          </cell>
          <cell r="AZ40">
            <v>2013</v>
          </cell>
        </row>
        <row r="41">
          <cell r="AU41" t="str">
            <v xml:space="preserve">Divorces </v>
          </cell>
          <cell r="AV41" t="str">
            <v xml:space="preserve">Marriages </v>
          </cell>
          <cell r="AW41" t="str">
            <v xml:space="preserve">Divorces </v>
          </cell>
          <cell r="AX41" t="str">
            <v xml:space="preserve">Marriages </v>
          </cell>
          <cell r="AY41" t="str">
            <v xml:space="preserve">Divorces </v>
          </cell>
          <cell r="AZ41" t="str">
            <v xml:space="preserve">Marriages </v>
          </cell>
        </row>
        <row r="42">
          <cell r="AU42">
            <v>1248</v>
          </cell>
          <cell r="AV42">
            <v>2366</v>
          </cell>
          <cell r="AW42">
            <v>1209</v>
          </cell>
          <cell r="AX42">
            <v>2404</v>
          </cell>
          <cell r="AY42">
            <v>1320</v>
          </cell>
          <cell r="AZ42">
            <v>2463</v>
          </cell>
        </row>
        <row r="44">
          <cell r="AU44">
            <v>1547</v>
          </cell>
          <cell r="AV44">
            <v>3649</v>
          </cell>
          <cell r="AW44">
            <v>1807</v>
          </cell>
          <cell r="AX44">
            <v>3295</v>
          </cell>
          <cell r="AY44">
            <v>1691</v>
          </cell>
          <cell r="AZ44">
            <v>3157</v>
          </cell>
        </row>
      </sheetData>
      <sheetData sheetId="17">
        <row r="97">
          <cell r="S97" t="str">
            <v>15 - 19</v>
          </cell>
        </row>
      </sheetData>
      <sheetData sheetId="18">
        <row r="4">
          <cell r="M4" t="str">
            <v xml:space="preserve">    Foreign Males</v>
          </cell>
        </row>
      </sheetData>
      <sheetData sheetId="19" refreshError="1"/>
      <sheetData sheetId="20">
        <row r="4">
          <cell r="F4">
            <v>2014</v>
          </cell>
        </row>
      </sheetData>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4"/>
      <sheetName val="319"/>
      <sheetName val="3.20"/>
      <sheetName val="3.21"/>
      <sheetName val="3.22"/>
      <sheetName val="3.23"/>
      <sheetName val="3.24"/>
    </sheetNames>
    <sheetDataSet>
      <sheetData sheetId="0">
        <row r="40">
          <cell r="AK40">
            <v>2010</v>
          </cell>
          <cell r="AM40">
            <v>2011</v>
          </cell>
        </row>
        <row r="41">
          <cell r="AK41" t="str">
            <v xml:space="preserve">Marriages </v>
          </cell>
          <cell r="AL41" t="str">
            <v xml:space="preserve">Divorces </v>
          </cell>
          <cell r="AM41" t="str">
            <v xml:space="preserve">Marriages </v>
          </cell>
          <cell r="AN41" t="str">
            <v xml:space="preserve">Divorces </v>
          </cell>
        </row>
        <row r="42">
          <cell r="AJ42" t="str">
            <v>Male'</v>
          </cell>
          <cell r="AK42">
            <v>2491</v>
          </cell>
          <cell r="AL42">
            <v>1248</v>
          </cell>
          <cell r="AM42">
            <v>2366</v>
          </cell>
          <cell r="AN42">
            <v>1209</v>
          </cell>
        </row>
        <row r="43">
          <cell r="AJ43" t="str">
            <v>Atolls</v>
          </cell>
          <cell r="AK43">
            <v>3645</v>
          </cell>
          <cell r="AL43">
            <v>1547</v>
          </cell>
          <cell r="AM43">
            <v>3649</v>
          </cell>
          <cell r="AN43">
            <v>1807</v>
          </cell>
        </row>
      </sheetData>
      <sheetData sheetId="1">
        <row r="27">
          <cell r="O27" t="str">
            <v xml:space="preserve">Marriages overseas         </v>
          </cell>
        </row>
      </sheetData>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X73"/>
  <sheetViews>
    <sheetView topLeftCell="B34" zoomScaleNormal="100" workbookViewId="0">
      <selection activeCell="J40" sqref="J40"/>
    </sheetView>
  </sheetViews>
  <sheetFormatPr defaultRowHeight="12.75"/>
  <cols>
    <col min="1" max="1" width="8.42578125" style="2" customWidth="1"/>
    <col min="2" max="2" width="12.7109375" style="2" customWidth="1"/>
    <col min="3" max="3" width="13.42578125" style="2" bestFit="1" customWidth="1"/>
    <col min="4" max="4" width="2.28515625" style="2" customWidth="1"/>
    <col min="5" max="5" width="11.7109375" style="6" customWidth="1"/>
    <col min="6" max="7" width="11.7109375" style="2" customWidth="1"/>
    <col min="8" max="8" width="2" style="2" customWidth="1"/>
    <col min="9" max="9" width="9.7109375" style="2" customWidth="1"/>
    <col min="10" max="10" width="11.28515625" style="2" customWidth="1"/>
    <col min="11" max="11" width="2.28515625" style="2" customWidth="1"/>
    <col min="12" max="12" width="19.85546875" style="2" customWidth="1"/>
    <col min="13" max="13" width="18.42578125" style="2" customWidth="1"/>
    <col min="14" max="14" width="16.42578125" style="2" customWidth="1"/>
    <col min="15" max="256" width="9.140625" style="2"/>
    <col min="257" max="257" width="8.42578125" style="2" customWidth="1"/>
    <col min="258" max="258" width="12.7109375" style="2" customWidth="1"/>
    <col min="259" max="259" width="13.42578125" style="2" bestFit="1" customWidth="1"/>
    <col min="260" max="260" width="2.28515625" style="2" customWidth="1"/>
    <col min="261" max="263" width="11.7109375" style="2" customWidth="1"/>
    <col min="264" max="264" width="2" style="2" customWidth="1"/>
    <col min="265" max="265" width="9.7109375" style="2" customWidth="1"/>
    <col min="266" max="266" width="11.28515625" style="2" customWidth="1"/>
    <col min="267" max="267" width="2.28515625" style="2" customWidth="1"/>
    <col min="268" max="268" width="19.85546875" style="2" customWidth="1"/>
    <col min="269" max="269" width="18.42578125" style="2" customWidth="1"/>
    <col min="270" max="270" width="16.42578125" style="2" customWidth="1"/>
    <col min="271" max="512" width="9.140625" style="2"/>
    <col min="513" max="513" width="8.42578125" style="2" customWidth="1"/>
    <col min="514" max="514" width="12.7109375" style="2" customWidth="1"/>
    <col min="515" max="515" width="13.42578125" style="2" bestFit="1" customWidth="1"/>
    <col min="516" max="516" width="2.28515625" style="2" customWidth="1"/>
    <col min="517" max="519" width="11.7109375" style="2" customWidth="1"/>
    <col min="520" max="520" width="2" style="2" customWidth="1"/>
    <col min="521" max="521" width="9.7109375" style="2" customWidth="1"/>
    <col min="522" max="522" width="11.28515625" style="2" customWidth="1"/>
    <col min="523" max="523" width="2.28515625" style="2" customWidth="1"/>
    <col min="524" max="524" width="19.85546875" style="2" customWidth="1"/>
    <col min="525" max="525" width="18.42578125" style="2" customWidth="1"/>
    <col min="526" max="526" width="16.42578125" style="2" customWidth="1"/>
    <col min="527" max="768" width="9.140625" style="2"/>
    <col min="769" max="769" width="8.42578125" style="2" customWidth="1"/>
    <col min="770" max="770" width="12.7109375" style="2" customWidth="1"/>
    <col min="771" max="771" width="13.42578125" style="2" bestFit="1" customWidth="1"/>
    <col min="772" max="772" width="2.28515625" style="2" customWidth="1"/>
    <col min="773" max="775" width="11.7109375" style="2" customWidth="1"/>
    <col min="776" max="776" width="2" style="2" customWidth="1"/>
    <col min="777" max="777" width="9.7109375" style="2" customWidth="1"/>
    <col min="778" max="778" width="11.28515625" style="2" customWidth="1"/>
    <col min="779" max="779" width="2.28515625" style="2" customWidth="1"/>
    <col min="780" max="780" width="19.85546875" style="2" customWidth="1"/>
    <col min="781" max="781" width="18.42578125" style="2" customWidth="1"/>
    <col min="782" max="782" width="16.42578125" style="2" customWidth="1"/>
    <col min="783" max="1024" width="9.140625" style="2"/>
    <col min="1025" max="1025" width="8.42578125" style="2" customWidth="1"/>
    <col min="1026" max="1026" width="12.7109375" style="2" customWidth="1"/>
    <col min="1027" max="1027" width="13.42578125" style="2" bestFit="1" customWidth="1"/>
    <col min="1028" max="1028" width="2.28515625" style="2" customWidth="1"/>
    <col min="1029" max="1031" width="11.7109375" style="2" customWidth="1"/>
    <col min="1032" max="1032" width="2" style="2" customWidth="1"/>
    <col min="1033" max="1033" width="9.7109375" style="2" customWidth="1"/>
    <col min="1034" max="1034" width="11.28515625" style="2" customWidth="1"/>
    <col min="1035" max="1035" width="2.28515625" style="2" customWidth="1"/>
    <col min="1036" max="1036" width="19.85546875" style="2" customWidth="1"/>
    <col min="1037" max="1037" width="18.42578125" style="2" customWidth="1"/>
    <col min="1038" max="1038" width="16.42578125" style="2" customWidth="1"/>
    <col min="1039" max="1280" width="9.140625" style="2"/>
    <col min="1281" max="1281" width="8.42578125" style="2" customWidth="1"/>
    <col min="1282" max="1282" width="12.7109375" style="2" customWidth="1"/>
    <col min="1283" max="1283" width="13.42578125" style="2" bestFit="1" customWidth="1"/>
    <col min="1284" max="1284" width="2.28515625" style="2" customWidth="1"/>
    <col min="1285" max="1287" width="11.7109375" style="2" customWidth="1"/>
    <col min="1288" max="1288" width="2" style="2" customWidth="1"/>
    <col min="1289" max="1289" width="9.7109375" style="2" customWidth="1"/>
    <col min="1290" max="1290" width="11.28515625" style="2" customWidth="1"/>
    <col min="1291" max="1291" width="2.28515625" style="2" customWidth="1"/>
    <col min="1292" max="1292" width="19.85546875" style="2" customWidth="1"/>
    <col min="1293" max="1293" width="18.42578125" style="2" customWidth="1"/>
    <col min="1294" max="1294" width="16.42578125" style="2" customWidth="1"/>
    <col min="1295" max="1536" width="9.140625" style="2"/>
    <col min="1537" max="1537" width="8.42578125" style="2" customWidth="1"/>
    <col min="1538" max="1538" width="12.7109375" style="2" customWidth="1"/>
    <col min="1539" max="1539" width="13.42578125" style="2" bestFit="1" customWidth="1"/>
    <col min="1540" max="1540" width="2.28515625" style="2" customWidth="1"/>
    <col min="1541" max="1543" width="11.7109375" style="2" customWidth="1"/>
    <col min="1544" max="1544" width="2" style="2" customWidth="1"/>
    <col min="1545" max="1545" width="9.7109375" style="2" customWidth="1"/>
    <col min="1546" max="1546" width="11.28515625" style="2" customWidth="1"/>
    <col min="1547" max="1547" width="2.28515625" style="2" customWidth="1"/>
    <col min="1548" max="1548" width="19.85546875" style="2" customWidth="1"/>
    <col min="1549" max="1549" width="18.42578125" style="2" customWidth="1"/>
    <col min="1550" max="1550" width="16.42578125" style="2" customWidth="1"/>
    <col min="1551" max="1792" width="9.140625" style="2"/>
    <col min="1793" max="1793" width="8.42578125" style="2" customWidth="1"/>
    <col min="1794" max="1794" width="12.7109375" style="2" customWidth="1"/>
    <col min="1795" max="1795" width="13.42578125" style="2" bestFit="1" customWidth="1"/>
    <col min="1796" max="1796" width="2.28515625" style="2" customWidth="1"/>
    <col min="1797" max="1799" width="11.7109375" style="2" customWidth="1"/>
    <col min="1800" max="1800" width="2" style="2" customWidth="1"/>
    <col min="1801" max="1801" width="9.7109375" style="2" customWidth="1"/>
    <col min="1802" max="1802" width="11.28515625" style="2" customWidth="1"/>
    <col min="1803" max="1803" width="2.28515625" style="2" customWidth="1"/>
    <col min="1804" max="1804" width="19.85546875" style="2" customWidth="1"/>
    <col min="1805" max="1805" width="18.42578125" style="2" customWidth="1"/>
    <col min="1806" max="1806" width="16.42578125" style="2" customWidth="1"/>
    <col min="1807" max="2048" width="9.140625" style="2"/>
    <col min="2049" max="2049" width="8.42578125" style="2" customWidth="1"/>
    <col min="2050" max="2050" width="12.7109375" style="2" customWidth="1"/>
    <col min="2051" max="2051" width="13.42578125" style="2" bestFit="1" customWidth="1"/>
    <col min="2052" max="2052" width="2.28515625" style="2" customWidth="1"/>
    <col min="2053" max="2055" width="11.7109375" style="2" customWidth="1"/>
    <col min="2056" max="2056" width="2" style="2" customWidth="1"/>
    <col min="2057" max="2057" width="9.7109375" style="2" customWidth="1"/>
    <col min="2058" max="2058" width="11.28515625" style="2" customWidth="1"/>
    <col min="2059" max="2059" width="2.28515625" style="2" customWidth="1"/>
    <col min="2060" max="2060" width="19.85546875" style="2" customWidth="1"/>
    <col min="2061" max="2061" width="18.42578125" style="2" customWidth="1"/>
    <col min="2062" max="2062" width="16.42578125" style="2" customWidth="1"/>
    <col min="2063" max="2304" width="9.140625" style="2"/>
    <col min="2305" max="2305" width="8.42578125" style="2" customWidth="1"/>
    <col min="2306" max="2306" width="12.7109375" style="2" customWidth="1"/>
    <col min="2307" max="2307" width="13.42578125" style="2" bestFit="1" customWidth="1"/>
    <col min="2308" max="2308" width="2.28515625" style="2" customWidth="1"/>
    <col min="2309" max="2311" width="11.7109375" style="2" customWidth="1"/>
    <col min="2312" max="2312" width="2" style="2" customWidth="1"/>
    <col min="2313" max="2313" width="9.7109375" style="2" customWidth="1"/>
    <col min="2314" max="2314" width="11.28515625" style="2" customWidth="1"/>
    <col min="2315" max="2315" width="2.28515625" style="2" customWidth="1"/>
    <col min="2316" max="2316" width="19.85546875" style="2" customWidth="1"/>
    <col min="2317" max="2317" width="18.42578125" style="2" customWidth="1"/>
    <col min="2318" max="2318" width="16.42578125" style="2" customWidth="1"/>
    <col min="2319" max="2560" width="9.140625" style="2"/>
    <col min="2561" max="2561" width="8.42578125" style="2" customWidth="1"/>
    <col min="2562" max="2562" width="12.7109375" style="2" customWidth="1"/>
    <col min="2563" max="2563" width="13.42578125" style="2" bestFit="1" customWidth="1"/>
    <col min="2564" max="2564" width="2.28515625" style="2" customWidth="1"/>
    <col min="2565" max="2567" width="11.7109375" style="2" customWidth="1"/>
    <col min="2568" max="2568" width="2" style="2" customWidth="1"/>
    <col min="2569" max="2569" width="9.7109375" style="2" customWidth="1"/>
    <col min="2570" max="2570" width="11.28515625" style="2" customWidth="1"/>
    <col min="2571" max="2571" width="2.28515625" style="2" customWidth="1"/>
    <col min="2572" max="2572" width="19.85546875" style="2" customWidth="1"/>
    <col min="2573" max="2573" width="18.42578125" style="2" customWidth="1"/>
    <col min="2574" max="2574" width="16.42578125" style="2" customWidth="1"/>
    <col min="2575" max="2816" width="9.140625" style="2"/>
    <col min="2817" max="2817" width="8.42578125" style="2" customWidth="1"/>
    <col min="2818" max="2818" width="12.7109375" style="2" customWidth="1"/>
    <col min="2819" max="2819" width="13.42578125" style="2" bestFit="1" customWidth="1"/>
    <col min="2820" max="2820" width="2.28515625" style="2" customWidth="1"/>
    <col min="2821" max="2823" width="11.7109375" style="2" customWidth="1"/>
    <col min="2824" max="2824" width="2" style="2" customWidth="1"/>
    <col min="2825" max="2825" width="9.7109375" style="2" customWidth="1"/>
    <col min="2826" max="2826" width="11.28515625" style="2" customWidth="1"/>
    <col min="2827" max="2827" width="2.28515625" style="2" customWidth="1"/>
    <col min="2828" max="2828" width="19.85546875" style="2" customWidth="1"/>
    <col min="2829" max="2829" width="18.42578125" style="2" customWidth="1"/>
    <col min="2830" max="2830" width="16.42578125" style="2" customWidth="1"/>
    <col min="2831" max="3072" width="9.140625" style="2"/>
    <col min="3073" max="3073" width="8.42578125" style="2" customWidth="1"/>
    <col min="3074" max="3074" width="12.7109375" style="2" customWidth="1"/>
    <col min="3075" max="3075" width="13.42578125" style="2" bestFit="1" customWidth="1"/>
    <col min="3076" max="3076" width="2.28515625" style="2" customWidth="1"/>
    <col min="3077" max="3079" width="11.7109375" style="2" customWidth="1"/>
    <col min="3080" max="3080" width="2" style="2" customWidth="1"/>
    <col min="3081" max="3081" width="9.7109375" style="2" customWidth="1"/>
    <col min="3082" max="3082" width="11.28515625" style="2" customWidth="1"/>
    <col min="3083" max="3083" width="2.28515625" style="2" customWidth="1"/>
    <col min="3084" max="3084" width="19.85546875" style="2" customWidth="1"/>
    <col min="3085" max="3085" width="18.42578125" style="2" customWidth="1"/>
    <col min="3086" max="3086" width="16.42578125" style="2" customWidth="1"/>
    <col min="3087" max="3328" width="9.140625" style="2"/>
    <col min="3329" max="3329" width="8.42578125" style="2" customWidth="1"/>
    <col min="3330" max="3330" width="12.7109375" style="2" customWidth="1"/>
    <col min="3331" max="3331" width="13.42578125" style="2" bestFit="1" customWidth="1"/>
    <col min="3332" max="3332" width="2.28515625" style="2" customWidth="1"/>
    <col min="3333" max="3335" width="11.7109375" style="2" customWidth="1"/>
    <col min="3336" max="3336" width="2" style="2" customWidth="1"/>
    <col min="3337" max="3337" width="9.7109375" style="2" customWidth="1"/>
    <col min="3338" max="3338" width="11.28515625" style="2" customWidth="1"/>
    <col min="3339" max="3339" width="2.28515625" style="2" customWidth="1"/>
    <col min="3340" max="3340" width="19.85546875" style="2" customWidth="1"/>
    <col min="3341" max="3341" width="18.42578125" style="2" customWidth="1"/>
    <col min="3342" max="3342" width="16.42578125" style="2" customWidth="1"/>
    <col min="3343" max="3584" width="9.140625" style="2"/>
    <col min="3585" max="3585" width="8.42578125" style="2" customWidth="1"/>
    <col min="3586" max="3586" width="12.7109375" style="2" customWidth="1"/>
    <col min="3587" max="3587" width="13.42578125" style="2" bestFit="1" customWidth="1"/>
    <col min="3588" max="3588" width="2.28515625" style="2" customWidth="1"/>
    <col min="3589" max="3591" width="11.7109375" style="2" customWidth="1"/>
    <col min="3592" max="3592" width="2" style="2" customWidth="1"/>
    <col min="3593" max="3593" width="9.7109375" style="2" customWidth="1"/>
    <col min="3594" max="3594" width="11.28515625" style="2" customWidth="1"/>
    <col min="3595" max="3595" width="2.28515625" style="2" customWidth="1"/>
    <col min="3596" max="3596" width="19.85546875" style="2" customWidth="1"/>
    <col min="3597" max="3597" width="18.42578125" style="2" customWidth="1"/>
    <col min="3598" max="3598" width="16.42578125" style="2" customWidth="1"/>
    <col min="3599" max="3840" width="9.140625" style="2"/>
    <col min="3841" max="3841" width="8.42578125" style="2" customWidth="1"/>
    <col min="3842" max="3842" width="12.7109375" style="2" customWidth="1"/>
    <col min="3843" max="3843" width="13.42578125" style="2" bestFit="1" customWidth="1"/>
    <col min="3844" max="3844" width="2.28515625" style="2" customWidth="1"/>
    <col min="3845" max="3847" width="11.7109375" style="2" customWidth="1"/>
    <col min="3848" max="3848" width="2" style="2" customWidth="1"/>
    <col min="3849" max="3849" width="9.7109375" style="2" customWidth="1"/>
    <col min="3850" max="3850" width="11.28515625" style="2" customWidth="1"/>
    <col min="3851" max="3851" width="2.28515625" style="2" customWidth="1"/>
    <col min="3852" max="3852" width="19.85546875" style="2" customWidth="1"/>
    <col min="3853" max="3853" width="18.42578125" style="2" customWidth="1"/>
    <col min="3854" max="3854" width="16.42578125" style="2" customWidth="1"/>
    <col min="3855" max="4096" width="9.140625" style="2"/>
    <col min="4097" max="4097" width="8.42578125" style="2" customWidth="1"/>
    <col min="4098" max="4098" width="12.7109375" style="2" customWidth="1"/>
    <col min="4099" max="4099" width="13.42578125" style="2" bestFit="1" customWidth="1"/>
    <col min="4100" max="4100" width="2.28515625" style="2" customWidth="1"/>
    <col min="4101" max="4103" width="11.7109375" style="2" customWidth="1"/>
    <col min="4104" max="4104" width="2" style="2" customWidth="1"/>
    <col min="4105" max="4105" width="9.7109375" style="2" customWidth="1"/>
    <col min="4106" max="4106" width="11.28515625" style="2" customWidth="1"/>
    <col min="4107" max="4107" width="2.28515625" style="2" customWidth="1"/>
    <col min="4108" max="4108" width="19.85546875" style="2" customWidth="1"/>
    <col min="4109" max="4109" width="18.42578125" style="2" customWidth="1"/>
    <col min="4110" max="4110" width="16.42578125" style="2" customWidth="1"/>
    <col min="4111" max="4352" width="9.140625" style="2"/>
    <col min="4353" max="4353" width="8.42578125" style="2" customWidth="1"/>
    <col min="4354" max="4354" width="12.7109375" style="2" customWidth="1"/>
    <col min="4355" max="4355" width="13.42578125" style="2" bestFit="1" customWidth="1"/>
    <col min="4356" max="4356" width="2.28515625" style="2" customWidth="1"/>
    <col min="4357" max="4359" width="11.7109375" style="2" customWidth="1"/>
    <col min="4360" max="4360" width="2" style="2" customWidth="1"/>
    <col min="4361" max="4361" width="9.7109375" style="2" customWidth="1"/>
    <col min="4362" max="4362" width="11.28515625" style="2" customWidth="1"/>
    <col min="4363" max="4363" width="2.28515625" style="2" customWidth="1"/>
    <col min="4364" max="4364" width="19.85546875" style="2" customWidth="1"/>
    <col min="4365" max="4365" width="18.42578125" style="2" customWidth="1"/>
    <col min="4366" max="4366" width="16.42578125" style="2" customWidth="1"/>
    <col min="4367" max="4608" width="9.140625" style="2"/>
    <col min="4609" max="4609" width="8.42578125" style="2" customWidth="1"/>
    <col min="4610" max="4610" width="12.7109375" style="2" customWidth="1"/>
    <col min="4611" max="4611" width="13.42578125" style="2" bestFit="1" customWidth="1"/>
    <col min="4612" max="4612" width="2.28515625" style="2" customWidth="1"/>
    <col min="4613" max="4615" width="11.7109375" style="2" customWidth="1"/>
    <col min="4616" max="4616" width="2" style="2" customWidth="1"/>
    <col min="4617" max="4617" width="9.7109375" style="2" customWidth="1"/>
    <col min="4618" max="4618" width="11.28515625" style="2" customWidth="1"/>
    <col min="4619" max="4619" width="2.28515625" style="2" customWidth="1"/>
    <col min="4620" max="4620" width="19.85546875" style="2" customWidth="1"/>
    <col min="4621" max="4621" width="18.42578125" style="2" customWidth="1"/>
    <col min="4622" max="4622" width="16.42578125" style="2" customWidth="1"/>
    <col min="4623" max="4864" width="9.140625" style="2"/>
    <col min="4865" max="4865" width="8.42578125" style="2" customWidth="1"/>
    <col min="4866" max="4866" width="12.7109375" style="2" customWidth="1"/>
    <col min="4867" max="4867" width="13.42578125" style="2" bestFit="1" customWidth="1"/>
    <col min="4868" max="4868" width="2.28515625" style="2" customWidth="1"/>
    <col min="4869" max="4871" width="11.7109375" style="2" customWidth="1"/>
    <col min="4872" max="4872" width="2" style="2" customWidth="1"/>
    <col min="4873" max="4873" width="9.7109375" style="2" customWidth="1"/>
    <col min="4874" max="4874" width="11.28515625" style="2" customWidth="1"/>
    <col min="4875" max="4875" width="2.28515625" style="2" customWidth="1"/>
    <col min="4876" max="4876" width="19.85546875" style="2" customWidth="1"/>
    <col min="4877" max="4877" width="18.42578125" style="2" customWidth="1"/>
    <col min="4878" max="4878" width="16.42578125" style="2" customWidth="1"/>
    <col min="4879" max="5120" width="9.140625" style="2"/>
    <col min="5121" max="5121" width="8.42578125" style="2" customWidth="1"/>
    <col min="5122" max="5122" width="12.7109375" style="2" customWidth="1"/>
    <col min="5123" max="5123" width="13.42578125" style="2" bestFit="1" customWidth="1"/>
    <col min="5124" max="5124" width="2.28515625" style="2" customWidth="1"/>
    <col min="5125" max="5127" width="11.7109375" style="2" customWidth="1"/>
    <col min="5128" max="5128" width="2" style="2" customWidth="1"/>
    <col min="5129" max="5129" width="9.7109375" style="2" customWidth="1"/>
    <col min="5130" max="5130" width="11.28515625" style="2" customWidth="1"/>
    <col min="5131" max="5131" width="2.28515625" style="2" customWidth="1"/>
    <col min="5132" max="5132" width="19.85546875" style="2" customWidth="1"/>
    <col min="5133" max="5133" width="18.42578125" style="2" customWidth="1"/>
    <col min="5134" max="5134" width="16.42578125" style="2" customWidth="1"/>
    <col min="5135" max="5376" width="9.140625" style="2"/>
    <col min="5377" max="5377" width="8.42578125" style="2" customWidth="1"/>
    <col min="5378" max="5378" width="12.7109375" style="2" customWidth="1"/>
    <col min="5379" max="5379" width="13.42578125" style="2" bestFit="1" customWidth="1"/>
    <col min="5380" max="5380" width="2.28515625" style="2" customWidth="1"/>
    <col min="5381" max="5383" width="11.7109375" style="2" customWidth="1"/>
    <col min="5384" max="5384" width="2" style="2" customWidth="1"/>
    <col min="5385" max="5385" width="9.7109375" style="2" customWidth="1"/>
    <col min="5386" max="5386" width="11.28515625" style="2" customWidth="1"/>
    <col min="5387" max="5387" width="2.28515625" style="2" customWidth="1"/>
    <col min="5388" max="5388" width="19.85546875" style="2" customWidth="1"/>
    <col min="5389" max="5389" width="18.42578125" style="2" customWidth="1"/>
    <col min="5390" max="5390" width="16.42578125" style="2" customWidth="1"/>
    <col min="5391" max="5632" width="9.140625" style="2"/>
    <col min="5633" max="5633" width="8.42578125" style="2" customWidth="1"/>
    <col min="5634" max="5634" width="12.7109375" style="2" customWidth="1"/>
    <col min="5635" max="5635" width="13.42578125" style="2" bestFit="1" customWidth="1"/>
    <col min="5636" max="5636" width="2.28515625" style="2" customWidth="1"/>
    <col min="5637" max="5639" width="11.7109375" style="2" customWidth="1"/>
    <col min="5640" max="5640" width="2" style="2" customWidth="1"/>
    <col min="5641" max="5641" width="9.7109375" style="2" customWidth="1"/>
    <col min="5642" max="5642" width="11.28515625" style="2" customWidth="1"/>
    <col min="5643" max="5643" width="2.28515625" style="2" customWidth="1"/>
    <col min="5644" max="5644" width="19.85546875" style="2" customWidth="1"/>
    <col min="5645" max="5645" width="18.42578125" style="2" customWidth="1"/>
    <col min="5646" max="5646" width="16.42578125" style="2" customWidth="1"/>
    <col min="5647" max="5888" width="9.140625" style="2"/>
    <col min="5889" max="5889" width="8.42578125" style="2" customWidth="1"/>
    <col min="5890" max="5890" width="12.7109375" style="2" customWidth="1"/>
    <col min="5891" max="5891" width="13.42578125" style="2" bestFit="1" customWidth="1"/>
    <col min="5892" max="5892" width="2.28515625" style="2" customWidth="1"/>
    <col min="5893" max="5895" width="11.7109375" style="2" customWidth="1"/>
    <col min="5896" max="5896" width="2" style="2" customWidth="1"/>
    <col min="5897" max="5897" width="9.7109375" style="2" customWidth="1"/>
    <col min="5898" max="5898" width="11.28515625" style="2" customWidth="1"/>
    <col min="5899" max="5899" width="2.28515625" style="2" customWidth="1"/>
    <col min="5900" max="5900" width="19.85546875" style="2" customWidth="1"/>
    <col min="5901" max="5901" width="18.42578125" style="2" customWidth="1"/>
    <col min="5902" max="5902" width="16.42578125" style="2" customWidth="1"/>
    <col min="5903" max="6144" width="9.140625" style="2"/>
    <col min="6145" max="6145" width="8.42578125" style="2" customWidth="1"/>
    <col min="6146" max="6146" width="12.7109375" style="2" customWidth="1"/>
    <col min="6147" max="6147" width="13.42578125" style="2" bestFit="1" customWidth="1"/>
    <col min="6148" max="6148" width="2.28515625" style="2" customWidth="1"/>
    <col min="6149" max="6151" width="11.7109375" style="2" customWidth="1"/>
    <col min="6152" max="6152" width="2" style="2" customWidth="1"/>
    <col min="6153" max="6153" width="9.7109375" style="2" customWidth="1"/>
    <col min="6154" max="6154" width="11.28515625" style="2" customWidth="1"/>
    <col min="6155" max="6155" width="2.28515625" style="2" customWidth="1"/>
    <col min="6156" max="6156" width="19.85546875" style="2" customWidth="1"/>
    <col min="6157" max="6157" width="18.42578125" style="2" customWidth="1"/>
    <col min="6158" max="6158" width="16.42578125" style="2" customWidth="1"/>
    <col min="6159" max="6400" width="9.140625" style="2"/>
    <col min="6401" max="6401" width="8.42578125" style="2" customWidth="1"/>
    <col min="6402" max="6402" width="12.7109375" style="2" customWidth="1"/>
    <col min="6403" max="6403" width="13.42578125" style="2" bestFit="1" customWidth="1"/>
    <col min="6404" max="6404" width="2.28515625" style="2" customWidth="1"/>
    <col min="6405" max="6407" width="11.7109375" style="2" customWidth="1"/>
    <col min="6408" max="6408" width="2" style="2" customWidth="1"/>
    <col min="6409" max="6409" width="9.7109375" style="2" customWidth="1"/>
    <col min="6410" max="6410" width="11.28515625" style="2" customWidth="1"/>
    <col min="6411" max="6411" width="2.28515625" style="2" customWidth="1"/>
    <col min="6412" max="6412" width="19.85546875" style="2" customWidth="1"/>
    <col min="6413" max="6413" width="18.42578125" style="2" customWidth="1"/>
    <col min="6414" max="6414" width="16.42578125" style="2" customWidth="1"/>
    <col min="6415" max="6656" width="9.140625" style="2"/>
    <col min="6657" max="6657" width="8.42578125" style="2" customWidth="1"/>
    <col min="6658" max="6658" width="12.7109375" style="2" customWidth="1"/>
    <col min="6659" max="6659" width="13.42578125" style="2" bestFit="1" customWidth="1"/>
    <col min="6660" max="6660" width="2.28515625" style="2" customWidth="1"/>
    <col min="6661" max="6663" width="11.7109375" style="2" customWidth="1"/>
    <col min="6664" max="6664" width="2" style="2" customWidth="1"/>
    <col min="6665" max="6665" width="9.7109375" style="2" customWidth="1"/>
    <col min="6666" max="6666" width="11.28515625" style="2" customWidth="1"/>
    <col min="6667" max="6667" width="2.28515625" style="2" customWidth="1"/>
    <col min="6668" max="6668" width="19.85546875" style="2" customWidth="1"/>
    <col min="6669" max="6669" width="18.42578125" style="2" customWidth="1"/>
    <col min="6670" max="6670" width="16.42578125" style="2" customWidth="1"/>
    <col min="6671" max="6912" width="9.140625" style="2"/>
    <col min="6913" max="6913" width="8.42578125" style="2" customWidth="1"/>
    <col min="6914" max="6914" width="12.7109375" style="2" customWidth="1"/>
    <col min="6915" max="6915" width="13.42578125" style="2" bestFit="1" customWidth="1"/>
    <col min="6916" max="6916" width="2.28515625" style="2" customWidth="1"/>
    <col min="6917" max="6919" width="11.7109375" style="2" customWidth="1"/>
    <col min="6920" max="6920" width="2" style="2" customWidth="1"/>
    <col min="6921" max="6921" width="9.7109375" style="2" customWidth="1"/>
    <col min="6922" max="6922" width="11.28515625" style="2" customWidth="1"/>
    <col min="6923" max="6923" width="2.28515625" style="2" customWidth="1"/>
    <col min="6924" max="6924" width="19.85546875" style="2" customWidth="1"/>
    <col min="6925" max="6925" width="18.42578125" style="2" customWidth="1"/>
    <col min="6926" max="6926" width="16.42578125" style="2" customWidth="1"/>
    <col min="6927" max="7168" width="9.140625" style="2"/>
    <col min="7169" max="7169" width="8.42578125" style="2" customWidth="1"/>
    <col min="7170" max="7170" width="12.7109375" style="2" customWidth="1"/>
    <col min="7171" max="7171" width="13.42578125" style="2" bestFit="1" customWidth="1"/>
    <col min="7172" max="7172" width="2.28515625" style="2" customWidth="1"/>
    <col min="7173" max="7175" width="11.7109375" style="2" customWidth="1"/>
    <col min="7176" max="7176" width="2" style="2" customWidth="1"/>
    <col min="7177" max="7177" width="9.7109375" style="2" customWidth="1"/>
    <col min="7178" max="7178" width="11.28515625" style="2" customWidth="1"/>
    <col min="7179" max="7179" width="2.28515625" style="2" customWidth="1"/>
    <col min="7180" max="7180" width="19.85546875" style="2" customWidth="1"/>
    <col min="7181" max="7181" width="18.42578125" style="2" customWidth="1"/>
    <col min="7182" max="7182" width="16.42578125" style="2" customWidth="1"/>
    <col min="7183" max="7424" width="9.140625" style="2"/>
    <col min="7425" max="7425" width="8.42578125" style="2" customWidth="1"/>
    <col min="7426" max="7426" width="12.7109375" style="2" customWidth="1"/>
    <col min="7427" max="7427" width="13.42578125" style="2" bestFit="1" customWidth="1"/>
    <col min="7428" max="7428" width="2.28515625" style="2" customWidth="1"/>
    <col min="7429" max="7431" width="11.7109375" style="2" customWidth="1"/>
    <col min="7432" max="7432" width="2" style="2" customWidth="1"/>
    <col min="7433" max="7433" width="9.7109375" style="2" customWidth="1"/>
    <col min="7434" max="7434" width="11.28515625" style="2" customWidth="1"/>
    <col min="7435" max="7435" width="2.28515625" style="2" customWidth="1"/>
    <col min="7436" max="7436" width="19.85546875" style="2" customWidth="1"/>
    <col min="7437" max="7437" width="18.42578125" style="2" customWidth="1"/>
    <col min="7438" max="7438" width="16.42578125" style="2" customWidth="1"/>
    <col min="7439" max="7680" width="9.140625" style="2"/>
    <col min="7681" max="7681" width="8.42578125" style="2" customWidth="1"/>
    <col min="7682" max="7682" width="12.7109375" style="2" customWidth="1"/>
    <col min="7683" max="7683" width="13.42578125" style="2" bestFit="1" customWidth="1"/>
    <col min="7684" max="7684" width="2.28515625" style="2" customWidth="1"/>
    <col min="7685" max="7687" width="11.7109375" style="2" customWidth="1"/>
    <col min="7688" max="7688" width="2" style="2" customWidth="1"/>
    <col min="7689" max="7689" width="9.7109375" style="2" customWidth="1"/>
    <col min="7690" max="7690" width="11.28515625" style="2" customWidth="1"/>
    <col min="7691" max="7691" width="2.28515625" style="2" customWidth="1"/>
    <col min="7692" max="7692" width="19.85546875" style="2" customWidth="1"/>
    <col min="7693" max="7693" width="18.42578125" style="2" customWidth="1"/>
    <col min="7694" max="7694" width="16.42578125" style="2" customWidth="1"/>
    <col min="7695" max="7936" width="9.140625" style="2"/>
    <col min="7937" max="7937" width="8.42578125" style="2" customWidth="1"/>
    <col min="7938" max="7938" width="12.7109375" style="2" customWidth="1"/>
    <col min="7939" max="7939" width="13.42578125" style="2" bestFit="1" customWidth="1"/>
    <col min="7940" max="7940" width="2.28515625" style="2" customWidth="1"/>
    <col min="7941" max="7943" width="11.7109375" style="2" customWidth="1"/>
    <col min="7944" max="7944" width="2" style="2" customWidth="1"/>
    <col min="7945" max="7945" width="9.7109375" style="2" customWidth="1"/>
    <col min="7946" max="7946" width="11.28515625" style="2" customWidth="1"/>
    <col min="7947" max="7947" width="2.28515625" style="2" customWidth="1"/>
    <col min="7948" max="7948" width="19.85546875" style="2" customWidth="1"/>
    <col min="7949" max="7949" width="18.42578125" style="2" customWidth="1"/>
    <col min="7950" max="7950" width="16.42578125" style="2" customWidth="1"/>
    <col min="7951" max="8192" width="9.140625" style="2"/>
    <col min="8193" max="8193" width="8.42578125" style="2" customWidth="1"/>
    <col min="8194" max="8194" width="12.7109375" style="2" customWidth="1"/>
    <col min="8195" max="8195" width="13.42578125" style="2" bestFit="1" customWidth="1"/>
    <col min="8196" max="8196" width="2.28515625" style="2" customWidth="1"/>
    <col min="8197" max="8199" width="11.7109375" style="2" customWidth="1"/>
    <col min="8200" max="8200" width="2" style="2" customWidth="1"/>
    <col min="8201" max="8201" width="9.7109375" style="2" customWidth="1"/>
    <col min="8202" max="8202" width="11.28515625" style="2" customWidth="1"/>
    <col min="8203" max="8203" width="2.28515625" style="2" customWidth="1"/>
    <col min="8204" max="8204" width="19.85546875" style="2" customWidth="1"/>
    <col min="8205" max="8205" width="18.42578125" style="2" customWidth="1"/>
    <col min="8206" max="8206" width="16.42578125" style="2" customWidth="1"/>
    <col min="8207" max="8448" width="9.140625" style="2"/>
    <col min="8449" max="8449" width="8.42578125" style="2" customWidth="1"/>
    <col min="8450" max="8450" width="12.7109375" style="2" customWidth="1"/>
    <col min="8451" max="8451" width="13.42578125" style="2" bestFit="1" customWidth="1"/>
    <col min="8452" max="8452" width="2.28515625" style="2" customWidth="1"/>
    <col min="8453" max="8455" width="11.7109375" style="2" customWidth="1"/>
    <col min="8456" max="8456" width="2" style="2" customWidth="1"/>
    <col min="8457" max="8457" width="9.7109375" style="2" customWidth="1"/>
    <col min="8458" max="8458" width="11.28515625" style="2" customWidth="1"/>
    <col min="8459" max="8459" width="2.28515625" style="2" customWidth="1"/>
    <col min="8460" max="8460" width="19.85546875" style="2" customWidth="1"/>
    <col min="8461" max="8461" width="18.42578125" style="2" customWidth="1"/>
    <col min="8462" max="8462" width="16.42578125" style="2" customWidth="1"/>
    <col min="8463" max="8704" width="9.140625" style="2"/>
    <col min="8705" max="8705" width="8.42578125" style="2" customWidth="1"/>
    <col min="8706" max="8706" width="12.7109375" style="2" customWidth="1"/>
    <col min="8707" max="8707" width="13.42578125" style="2" bestFit="1" customWidth="1"/>
    <col min="8708" max="8708" width="2.28515625" style="2" customWidth="1"/>
    <col min="8709" max="8711" width="11.7109375" style="2" customWidth="1"/>
    <col min="8712" max="8712" width="2" style="2" customWidth="1"/>
    <col min="8713" max="8713" width="9.7109375" style="2" customWidth="1"/>
    <col min="8714" max="8714" width="11.28515625" style="2" customWidth="1"/>
    <col min="8715" max="8715" width="2.28515625" style="2" customWidth="1"/>
    <col min="8716" max="8716" width="19.85546875" style="2" customWidth="1"/>
    <col min="8717" max="8717" width="18.42578125" style="2" customWidth="1"/>
    <col min="8718" max="8718" width="16.42578125" style="2" customWidth="1"/>
    <col min="8719" max="8960" width="9.140625" style="2"/>
    <col min="8961" max="8961" width="8.42578125" style="2" customWidth="1"/>
    <col min="8962" max="8962" width="12.7109375" style="2" customWidth="1"/>
    <col min="8963" max="8963" width="13.42578125" style="2" bestFit="1" customWidth="1"/>
    <col min="8964" max="8964" width="2.28515625" style="2" customWidth="1"/>
    <col min="8965" max="8967" width="11.7109375" style="2" customWidth="1"/>
    <col min="8968" max="8968" width="2" style="2" customWidth="1"/>
    <col min="8969" max="8969" width="9.7109375" style="2" customWidth="1"/>
    <col min="8970" max="8970" width="11.28515625" style="2" customWidth="1"/>
    <col min="8971" max="8971" width="2.28515625" style="2" customWidth="1"/>
    <col min="8972" max="8972" width="19.85546875" style="2" customWidth="1"/>
    <col min="8973" max="8973" width="18.42578125" style="2" customWidth="1"/>
    <col min="8974" max="8974" width="16.42578125" style="2" customWidth="1"/>
    <col min="8975" max="9216" width="9.140625" style="2"/>
    <col min="9217" max="9217" width="8.42578125" style="2" customWidth="1"/>
    <col min="9218" max="9218" width="12.7109375" style="2" customWidth="1"/>
    <col min="9219" max="9219" width="13.42578125" style="2" bestFit="1" customWidth="1"/>
    <col min="9220" max="9220" width="2.28515625" style="2" customWidth="1"/>
    <col min="9221" max="9223" width="11.7109375" style="2" customWidth="1"/>
    <col min="9224" max="9224" width="2" style="2" customWidth="1"/>
    <col min="9225" max="9225" width="9.7109375" style="2" customWidth="1"/>
    <col min="9226" max="9226" width="11.28515625" style="2" customWidth="1"/>
    <col min="9227" max="9227" width="2.28515625" style="2" customWidth="1"/>
    <col min="9228" max="9228" width="19.85546875" style="2" customWidth="1"/>
    <col min="9229" max="9229" width="18.42578125" style="2" customWidth="1"/>
    <col min="9230" max="9230" width="16.42578125" style="2" customWidth="1"/>
    <col min="9231" max="9472" width="9.140625" style="2"/>
    <col min="9473" max="9473" width="8.42578125" style="2" customWidth="1"/>
    <col min="9474" max="9474" width="12.7109375" style="2" customWidth="1"/>
    <col min="9475" max="9475" width="13.42578125" style="2" bestFit="1" customWidth="1"/>
    <col min="9476" max="9476" width="2.28515625" style="2" customWidth="1"/>
    <col min="9477" max="9479" width="11.7109375" style="2" customWidth="1"/>
    <col min="9480" max="9480" width="2" style="2" customWidth="1"/>
    <col min="9481" max="9481" width="9.7109375" style="2" customWidth="1"/>
    <col min="9482" max="9482" width="11.28515625" style="2" customWidth="1"/>
    <col min="9483" max="9483" width="2.28515625" style="2" customWidth="1"/>
    <col min="9484" max="9484" width="19.85546875" style="2" customWidth="1"/>
    <col min="9485" max="9485" width="18.42578125" style="2" customWidth="1"/>
    <col min="9486" max="9486" width="16.42578125" style="2" customWidth="1"/>
    <col min="9487" max="9728" width="9.140625" style="2"/>
    <col min="9729" max="9729" width="8.42578125" style="2" customWidth="1"/>
    <col min="9730" max="9730" width="12.7109375" style="2" customWidth="1"/>
    <col min="9731" max="9731" width="13.42578125" style="2" bestFit="1" customWidth="1"/>
    <col min="9732" max="9732" width="2.28515625" style="2" customWidth="1"/>
    <col min="9733" max="9735" width="11.7109375" style="2" customWidth="1"/>
    <col min="9736" max="9736" width="2" style="2" customWidth="1"/>
    <col min="9737" max="9737" width="9.7109375" style="2" customWidth="1"/>
    <col min="9738" max="9738" width="11.28515625" style="2" customWidth="1"/>
    <col min="9739" max="9739" width="2.28515625" style="2" customWidth="1"/>
    <col min="9740" max="9740" width="19.85546875" style="2" customWidth="1"/>
    <col min="9741" max="9741" width="18.42578125" style="2" customWidth="1"/>
    <col min="9742" max="9742" width="16.42578125" style="2" customWidth="1"/>
    <col min="9743" max="9984" width="9.140625" style="2"/>
    <col min="9985" max="9985" width="8.42578125" style="2" customWidth="1"/>
    <col min="9986" max="9986" width="12.7109375" style="2" customWidth="1"/>
    <col min="9987" max="9987" width="13.42578125" style="2" bestFit="1" customWidth="1"/>
    <col min="9988" max="9988" width="2.28515625" style="2" customWidth="1"/>
    <col min="9989" max="9991" width="11.7109375" style="2" customWidth="1"/>
    <col min="9992" max="9992" width="2" style="2" customWidth="1"/>
    <col min="9993" max="9993" width="9.7109375" style="2" customWidth="1"/>
    <col min="9994" max="9994" width="11.28515625" style="2" customWidth="1"/>
    <col min="9995" max="9995" width="2.28515625" style="2" customWidth="1"/>
    <col min="9996" max="9996" width="19.85546875" style="2" customWidth="1"/>
    <col min="9997" max="9997" width="18.42578125" style="2" customWidth="1"/>
    <col min="9998" max="9998" width="16.42578125" style="2" customWidth="1"/>
    <col min="9999" max="10240" width="9.140625" style="2"/>
    <col min="10241" max="10241" width="8.42578125" style="2" customWidth="1"/>
    <col min="10242" max="10242" width="12.7109375" style="2" customWidth="1"/>
    <col min="10243" max="10243" width="13.42578125" style="2" bestFit="1" customWidth="1"/>
    <col min="10244" max="10244" width="2.28515625" style="2" customWidth="1"/>
    <col min="10245" max="10247" width="11.7109375" style="2" customWidth="1"/>
    <col min="10248" max="10248" width="2" style="2" customWidth="1"/>
    <col min="10249" max="10249" width="9.7109375" style="2" customWidth="1"/>
    <col min="10250" max="10250" width="11.28515625" style="2" customWidth="1"/>
    <col min="10251" max="10251" width="2.28515625" style="2" customWidth="1"/>
    <col min="10252" max="10252" width="19.85546875" style="2" customWidth="1"/>
    <col min="10253" max="10253" width="18.42578125" style="2" customWidth="1"/>
    <col min="10254" max="10254" width="16.42578125" style="2" customWidth="1"/>
    <col min="10255" max="10496" width="9.140625" style="2"/>
    <col min="10497" max="10497" width="8.42578125" style="2" customWidth="1"/>
    <col min="10498" max="10498" width="12.7109375" style="2" customWidth="1"/>
    <col min="10499" max="10499" width="13.42578125" style="2" bestFit="1" customWidth="1"/>
    <col min="10500" max="10500" width="2.28515625" style="2" customWidth="1"/>
    <col min="10501" max="10503" width="11.7109375" style="2" customWidth="1"/>
    <col min="10504" max="10504" width="2" style="2" customWidth="1"/>
    <col min="10505" max="10505" width="9.7109375" style="2" customWidth="1"/>
    <col min="10506" max="10506" width="11.28515625" style="2" customWidth="1"/>
    <col min="10507" max="10507" width="2.28515625" style="2" customWidth="1"/>
    <col min="10508" max="10508" width="19.85546875" style="2" customWidth="1"/>
    <col min="10509" max="10509" width="18.42578125" style="2" customWidth="1"/>
    <col min="10510" max="10510" width="16.42578125" style="2" customWidth="1"/>
    <col min="10511" max="10752" width="9.140625" style="2"/>
    <col min="10753" max="10753" width="8.42578125" style="2" customWidth="1"/>
    <col min="10754" max="10754" width="12.7109375" style="2" customWidth="1"/>
    <col min="10755" max="10755" width="13.42578125" style="2" bestFit="1" customWidth="1"/>
    <col min="10756" max="10756" width="2.28515625" style="2" customWidth="1"/>
    <col min="10757" max="10759" width="11.7109375" style="2" customWidth="1"/>
    <col min="10760" max="10760" width="2" style="2" customWidth="1"/>
    <col min="10761" max="10761" width="9.7109375" style="2" customWidth="1"/>
    <col min="10762" max="10762" width="11.28515625" style="2" customWidth="1"/>
    <col min="10763" max="10763" width="2.28515625" style="2" customWidth="1"/>
    <col min="10764" max="10764" width="19.85546875" style="2" customWidth="1"/>
    <col min="10765" max="10765" width="18.42578125" style="2" customWidth="1"/>
    <col min="10766" max="10766" width="16.42578125" style="2" customWidth="1"/>
    <col min="10767" max="11008" width="9.140625" style="2"/>
    <col min="11009" max="11009" width="8.42578125" style="2" customWidth="1"/>
    <col min="11010" max="11010" width="12.7109375" style="2" customWidth="1"/>
    <col min="11011" max="11011" width="13.42578125" style="2" bestFit="1" customWidth="1"/>
    <col min="11012" max="11012" width="2.28515625" style="2" customWidth="1"/>
    <col min="11013" max="11015" width="11.7109375" style="2" customWidth="1"/>
    <col min="11016" max="11016" width="2" style="2" customWidth="1"/>
    <col min="11017" max="11017" width="9.7109375" style="2" customWidth="1"/>
    <col min="11018" max="11018" width="11.28515625" style="2" customWidth="1"/>
    <col min="11019" max="11019" width="2.28515625" style="2" customWidth="1"/>
    <col min="11020" max="11020" width="19.85546875" style="2" customWidth="1"/>
    <col min="11021" max="11021" width="18.42578125" style="2" customWidth="1"/>
    <col min="11022" max="11022" width="16.42578125" style="2" customWidth="1"/>
    <col min="11023" max="11264" width="9.140625" style="2"/>
    <col min="11265" max="11265" width="8.42578125" style="2" customWidth="1"/>
    <col min="11266" max="11266" width="12.7109375" style="2" customWidth="1"/>
    <col min="11267" max="11267" width="13.42578125" style="2" bestFit="1" customWidth="1"/>
    <col min="11268" max="11268" width="2.28515625" style="2" customWidth="1"/>
    <col min="11269" max="11271" width="11.7109375" style="2" customWidth="1"/>
    <col min="11272" max="11272" width="2" style="2" customWidth="1"/>
    <col min="11273" max="11273" width="9.7109375" style="2" customWidth="1"/>
    <col min="11274" max="11274" width="11.28515625" style="2" customWidth="1"/>
    <col min="11275" max="11275" width="2.28515625" style="2" customWidth="1"/>
    <col min="11276" max="11276" width="19.85546875" style="2" customWidth="1"/>
    <col min="11277" max="11277" width="18.42578125" style="2" customWidth="1"/>
    <col min="11278" max="11278" width="16.42578125" style="2" customWidth="1"/>
    <col min="11279" max="11520" width="9.140625" style="2"/>
    <col min="11521" max="11521" width="8.42578125" style="2" customWidth="1"/>
    <col min="11522" max="11522" width="12.7109375" style="2" customWidth="1"/>
    <col min="11523" max="11523" width="13.42578125" style="2" bestFit="1" customWidth="1"/>
    <col min="11524" max="11524" width="2.28515625" style="2" customWidth="1"/>
    <col min="11525" max="11527" width="11.7109375" style="2" customWidth="1"/>
    <col min="11528" max="11528" width="2" style="2" customWidth="1"/>
    <col min="11529" max="11529" width="9.7109375" style="2" customWidth="1"/>
    <col min="11530" max="11530" width="11.28515625" style="2" customWidth="1"/>
    <col min="11531" max="11531" width="2.28515625" style="2" customWidth="1"/>
    <col min="11532" max="11532" width="19.85546875" style="2" customWidth="1"/>
    <col min="11533" max="11533" width="18.42578125" style="2" customWidth="1"/>
    <col min="11534" max="11534" width="16.42578125" style="2" customWidth="1"/>
    <col min="11535" max="11776" width="9.140625" style="2"/>
    <col min="11777" max="11777" width="8.42578125" style="2" customWidth="1"/>
    <col min="11778" max="11778" width="12.7109375" style="2" customWidth="1"/>
    <col min="11779" max="11779" width="13.42578125" style="2" bestFit="1" customWidth="1"/>
    <col min="11780" max="11780" width="2.28515625" style="2" customWidth="1"/>
    <col min="11781" max="11783" width="11.7109375" style="2" customWidth="1"/>
    <col min="11784" max="11784" width="2" style="2" customWidth="1"/>
    <col min="11785" max="11785" width="9.7109375" style="2" customWidth="1"/>
    <col min="11786" max="11786" width="11.28515625" style="2" customWidth="1"/>
    <col min="11787" max="11787" width="2.28515625" style="2" customWidth="1"/>
    <col min="11788" max="11788" width="19.85546875" style="2" customWidth="1"/>
    <col min="11789" max="11789" width="18.42578125" style="2" customWidth="1"/>
    <col min="11790" max="11790" width="16.42578125" style="2" customWidth="1"/>
    <col min="11791" max="12032" width="9.140625" style="2"/>
    <col min="12033" max="12033" width="8.42578125" style="2" customWidth="1"/>
    <col min="12034" max="12034" width="12.7109375" style="2" customWidth="1"/>
    <col min="12035" max="12035" width="13.42578125" style="2" bestFit="1" customWidth="1"/>
    <col min="12036" max="12036" width="2.28515625" style="2" customWidth="1"/>
    <col min="12037" max="12039" width="11.7109375" style="2" customWidth="1"/>
    <col min="12040" max="12040" width="2" style="2" customWidth="1"/>
    <col min="12041" max="12041" width="9.7109375" style="2" customWidth="1"/>
    <col min="12042" max="12042" width="11.28515625" style="2" customWidth="1"/>
    <col min="12043" max="12043" width="2.28515625" style="2" customWidth="1"/>
    <col min="12044" max="12044" width="19.85546875" style="2" customWidth="1"/>
    <col min="12045" max="12045" width="18.42578125" style="2" customWidth="1"/>
    <col min="12046" max="12046" width="16.42578125" style="2" customWidth="1"/>
    <col min="12047" max="12288" width="9.140625" style="2"/>
    <col min="12289" max="12289" width="8.42578125" style="2" customWidth="1"/>
    <col min="12290" max="12290" width="12.7109375" style="2" customWidth="1"/>
    <col min="12291" max="12291" width="13.42578125" style="2" bestFit="1" customWidth="1"/>
    <col min="12292" max="12292" width="2.28515625" style="2" customWidth="1"/>
    <col min="12293" max="12295" width="11.7109375" style="2" customWidth="1"/>
    <col min="12296" max="12296" width="2" style="2" customWidth="1"/>
    <col min="12297" max="12297" width="9.7109375" style="2" customWidth="1"/>
    <col min="12298" max="12298" width="11.28515625" style="2" customWidth="1"/>
    <col min="12299" max="12299" width="2.28515625" style="2" customWidth="1"/>
    <col min="12300" max="12300" width="19.85546875" style="2" customWidth="1"/>
    <col min="12301" max="12301" width="18.42578125" style="2" customWidth="1"/>
    <col min="12302" max="12302" width="16.42578125" style="2" customWidth="1"/>
    <col min="12303" max="12544" width="9.140625" style="2"/>
    <col min="12545" max="12545" width="8.42578125" style="2" customWidth="1"/>
    <col min="12546" max="12546" width="12.7109375" style="2" customWidth="1"/>
    <col min="12547" max="12547" width="13.42578125" style="2" bestFit="1" customWidth="1"/>
    <col min="12548" max="12548" width="2.28515625" style="2" customWidth="1"/>
    <col min="12549" max="12551" width="11.7109375" style="2" customWidth="1"/>
    <col min="12552" max="12552" width="2" style="2" customWidth="1"/>
    <col min="12553" max="12553" width="9.7109375" style="2" customWidth="1"/>
    <col min="12554" max="12554" width="11.28515625" style="2" customWidth="1"/>
    <col min="12555" max="12555" width="2.28515625" style="2" customWidth="1"/>
    <col min="12556" max="12556" width="19.85546875" style="2" customWidth="1"/>
    <col min="12557" max="12557" width="18.42578125" style="2" customWidth="1"/>
    <col min="12558" max="12558" width="16.42578125" style="2" customWidth="1"/>
    <col min="12559" max="12800" width="9.140625" style="2"/>
    <col min="12801" max="12801" width="8.42578125" style="2" customWidth="1"/>
    <col min="12802" max="12802" width="12.7109375" style="2" customWidth="1"/>
    <col min="12803" max="12803" width="13.42578125" style="2" bestFit="1" customWidth="1"/>
    <col min="12804" max="12804" width="2.28515625" style="2" customWidth="1"/>
    <col min="12805" max="12807" width="11.7109375" style="2" customWidth="1"/>
    <col min="12808" max="12808" width="2" style="2" customWidth="1"/>
    <col min="12809" max="12809" width="9.7109375" style="2" customWidth="1"/>
    <col min="12810" max="12810" width="11.28515625" style="2" customWidth="1"/>
    <col min="12811" max="12811" width="2.28515625" style="2" customWidth="1"/>
    <col min="12812" max="12812" width="19.85546875" style="2" customWidth="1"/>
    <col min="12813" max="12813" width="18.42578125" style="2" customWidth="1"/>
    <col min="12814" max="12814" width="16.42578125" style="2" customWidth="1"/>
    <col min="12815" max="13056" width="9.140625" style="2"/>
    <col min="13057" max="13057" width="8.42578125" style="2" customWidth="1"/>
    <col min="13058" max="13058" width="12.7109375" style="2" customWidth="1"/>
    <col min="13059" max="13059" width="13.42578125" style="2" bestFit="1" customWidth="1"/>
    <col min="13060" max="13060" width="2.28515625" style="2" customWidth="1"/>
    <col min="13061" max="13063" width="11.7109375" style="2" customWidth="1"/>
    <col min="13064" max="13064" width="2" style="2" customWidth="1"/>
    <col min="13065" max="13065" width="9.7109375" style="2" customWidth="1"/>
    <col min="13066" max="13066" width="11.28515625" style="2" customWidth="1"/>
    <col min="13067" max="13067" width="2.28515625" style="2" customWidth="1"/>
    <col min="13068" max="13068" width="19.85546875" style="2" customWidth="1"/>
    <col min="13069" max="13069" width="18.42578125" style="2" customWidth="1"/>
    <col min="13070" max="13070" width="16.42578125" style="2" customWidth="1"/>
    <col min="13071" max="13312" width="9.140625" style="2"/>
    <col min="13313" max="13313" width="8.42578125" style="2" customWidth="1"/>
    <col min="13314" max="13314" width="12.7109375" style="2" customWidth="1"/>
    <col min="13315" max="13315" width="13.42578125" style="2" bestFit="1" customWidth="1"/>
    <col min="13316" max="13316" width="2.28515625" style="2" customWidth="1"/>
    <col min="13317" max="13319" width="11.7109375" style="2" customWidth="1"/>
    <col min="13320" max="13320" width="2" style="2" customWidth="1"/>
    <col min="13321" max="13321" width="9.7109375" style="2" customWidth="1"/>
    <col min="13322" max="13322" width="11.28515625" style="2" customWidth="1"/>
    <col min="13323" max="13323" width="2.28515625" style="2" customWidth="1"/>
    <col min="13324" max="13324" width="19.85546875" style="2" customWidth="1"/>
    <col min="13325" max="13325" width="18.42578125" style="2" customWidth="1"/>
    <col min="13326" max="13326" width="16.42578125" style="2" customWidth="1"/>
    <col min="13327" max="13568" width="9.140625" style="2"/>
    <col min="13569" max="13569" width="8.42578125" style="2" customWidth="1"/>
    <col min="13570" max="13570" width="12.7109375" style="2" customWidth="1"/>
    <col min="13571" max="13571" width="13.42578125" style="2" bestFit="1" customWidth="1"/>
    <col min="13572" max="13572" width="2.28515625" style="2" customWidth="1"/>
    <col min="13573" max="13575" width="11.7109375" style="2" customWidth="1"/>
    <col min="13576" max="13576" width="2" style="2" customWidth="1"/>
    <col min="13577" max="13577" width="9.7109375" style="2" customWidth="1"/>
    <col min="13578" max="13578" width="11.28515625" style="2" customWidth="1"/>
    <col min="13579" max="13579" width="2.28515625" style="2" customWidth="1"/>
    <col min="13580" max="13580" width="19.85546875" style="2" customWidth="1"/>
    <col min="13581" max="13581" width="18.42578125" style="2" customWidth="1"/>
    <col min="13582" max="13582" width="16.42578125" style="2" customWidth="1"/>
    <col min="13583" max="13824" width="9.140625" style="2"/>
    <col min="13825" max="13825" width="8.42578125" style="2" customWidth="1"/>
    <col min="13826" max="13826" width="12.7109375" style="2" customWidth="1"/>
    <col min="13827" max="13827" width="13.42578125" style="2" bestFit="1" customWidth="1"/>
    <col min="13828" max="13828" width="2.28515625" style="2" customWidth="1"/>
    <col min="13829" max="13831" width="11.7109375" style="2" customWidth="1"/>
    <col min="13832" max="13832" width="2" style="2" customWidth="1"/>
    <col min="13833" max="13833" width="9.7109375" style="2" customWidth="1"/>
    <col min="13834" max="13834" width="11.28515625" style="2" customWidth="1"/>
    <col min="13835" max="13835" width="2.28515625" style="2" customWidth="1"/>
    <col min="13836" max="13836" width="19.85546875" style="2" customWidth="1"/>
    <col min="13837" max="13837" width="18.42578125" style="2" customWidth="1"/>
    <col min="13838" max="13838" width="16.42578125" style="2" customWidth="1"/>
    <col min="13839" max="14080" width="9.140625" style="2"/>
    <col min="14081" max="14081" width="8.42578125" style="2" customWidth="1"/>
    <col min="14082" max="14082" width="12.7109375" style="2" customWidth="1"/>
    <col min="14083" max="14083" width="13.42578125" style="2" bestFit="1" customWidth="1"/>
    <col min="14084" max="14084" width="2.28515625" style="2" customWidth="1"/>
    <col min="14085" max="14087" width="11.7109375" style="2" customWidth="1"/>
    <col min="14088" max="14088" width="2" style="2" customWidth="1"/>
    <col min="14089" max="14089" width="9.7109375" style="2" customWidth="1"/>
    <col min="14090" max="14090" width="11.28515625" style="2" customWidth="1"/>
    <col min="14091" max="14091" width="2.28515625" style="2" customWidth="1"/>
    <col min="14092" max="14092" width="19.85546875" style="2" customWidth="1"/>
    <col min="14093" max="14093" width="18.42578125" style="2" customWidth="1"/>
    <col min="14094" max="14094" width="16.42578125" style="2" customWidth="1"/>
    <col min="14095" max="14336" width="9.140625" style="2"/>
    <col min="14337" max="14337" width="8.42578125" style="2" customWidth="1"/>
    <col min="14338" max="14338" width="12.7109375" style="2" customWidth="1"/>
    <col min="14339" max="14339" width="13.42578125" style="2" bestFit="1" customWidth="1"/>
    <col min="14340" max="14340" width="2.28515625" style="2" customWidth="1"/>
    <col min="14341" max="14343" width="11.7109375" style="2" customWidth="1"/>
    <col min="14344" max="14344" width="2" style="2" customWidth="1"/>
    <col min="14345" max="14345" width="9.7109375" style="2" customWidth="1"/>
    <col min="14346" max="14346" width="11.28515625" style="2" customWidth="1"/>
    <col min="14347" max="14347" width="2.28515625" style="2" customWidth="1"/>
    <col min="14348" max="14348" width="19.85546875" style="2" customWidth="1"/>
    <col min="14349" max="14349" width="18.42578125" style="2" customWidth="1"/>
    <col min="14350" max="14350" width="16.42578125" style="2" customWidth="1"/>
    <col min="14351" max="14592" width="9.140625" style="2"/>
    <col min="14593" max="14593" width="8.42578125" style="2" customWidth="1"/>
    <col min="14594" max="14594" width="12.7109375" style="2" customWidth="1"/>
    <col min="14595" max="14595" width="13.42578125" style="2" bestFit="1" customWidth="1"/>
    <col min="14596" max="14596" width="2.28515625" style="2" customWidth="1"/>
    <col min="14597" max="14599" width="11.7109375" style="2" customWidth="1"/>
    <col min="14600" max="14600" width="2" style="2" customWidth="1"/>
    <col min="14601" max="14601" width="9.7109375" style="2" customWidth="1"/>
    <col min="14602" max="14602" width="11.28515625" style="2" customWidth="1"/>
    <col min="14603" max="14603" width="2.28515625" style="2" customWidth="1"/>
    <col min="14604" max="14604" width="19.85546875" style="2" customWidth="1"/>
    <col min="14605" max="14605" width="18.42578125" style="2" customWidth="1"/>
    <col min="14606" max="14606" width="16.42578125" style="2" customWidth="1"/>
    <col min="14607" max="14848" width="9.140625" style="2"/>
    <col min="14849" max="14849" width="8.42578125" style="2" customWidth="1"/>
    <col min="14850" max="14850" width="12.7109375" style="2" customWidth="1"/>
    <col min="14851" max="14851" width="13.42578125" style="2" bestFit="1" customWidth="1"/>
    <col min="14852" max="14852" width="2.28515625" style="2" customWidth="1"/>
    <col min="14853" max="14855" width="11.7109375" style="2" customWidth="1"/>
    <col min="14856" max="14856" width="2" style="2" customWidth="1"/>
    <col min="14857" max="14857" width="9.7109375" style="2" customWidth="1"/>
    <col min="14858" max="14858" width="11.28515625" style="2" customWidth="1"/>
    <col min="14859" max="14859" width="2.28515625" style="2" customWidth="1"/>
    <col min="14860" max="14860" width="19.85546875" style="2" customWidth="1"/>
    <col min="14861" max="14861" width="18.42578125" style="2" customWidth="1"/>
    <col min="14862" max="14862" width="16.42578125" style="2" customWidth="1"/>
    <col min="14863" max="15104" width="9.140625" style="2"/>
    <col min="15105" max="15105" width="8.42578125" style="2" customWidth="1"/>
    <col min="15106" max="15106" width="12.7109375" style="2" customWidth="1"/>
    <col min="15107" max="15107" width="13.42578125" style="2" bestFit="1" customWidth="1"/>
    <col min="15108" max="15108" width="2.28515625" style="2" customWidth="1"/>
    <col min="15109" max="15111" width="11.7109375" style="2" customWidth="1"/>
    <col min="15112" max="15112" width="2" style="2" customWidth="1"/>
    <col min="15113" max="15113" width="9.7109375" style="2" customWidth="1"/>
    <col min="15114" max="15114" width="11.28515625" style="2" customWidth="1"/>
    <col min="15115" max="15115" width="2.28515625" style="2" customWidth="1"/>
    <col min="15116" max="15116" width="19.85546875" style="2" customWidth="1"/>
    <col min="15117" max="15117" width="18.42578125" style="2" customWidth="1"/>
    <col min="15118" max="15118" width="16.42578125" style="2" customWidth="1"/>
    <col min="15119" max="15360" width="9.140625" style="2"/>
    <col min="15361" max="15361" width="8.42578125" style="2" customWidth="1"/>
    <col min="15362" max="15362" width="12.7109375" style="2" customWidth="1"/>
    <col min="15363" max="15363" width="13.42578125" style="2" bestFit="1" customWidth="1"/>
    <col min="15364" max="15364" width="2.28515625" style="2" customWidth="1"/>
    <col min="15365" max="15367" width="11.7109375" style="2" customWidth="1"/>
    <col min="15368" max="15368" width="2" style="2" customWidth="1"/>
    <col min="15369" max="15369" width="9.7109375" style="2" customWidth="1"/>
    <col min="15370" max="15370" width="11.28515625" style="2" customWidth="1"/>
    <col min="15371" max="15371" width="2.28515625" style="2" customWidth="1"/>
    <col min="15372" max="15372" width="19.85546875" style="2" customWidth="1"/>
    <col min="15373" max="15373" width="18.42578125" style="2" customWidth="1"/>
    <col min="15374" max="15374" width="16.42578125" style="2" customWidth="1"/>
    <col min="15375" max="15616" width="9.140625" style="2"/>
    <col min="15617" max="15617" width="8.42578125" style="2" customWidth="1"/>
    <col min="15618" max="15618" width="12.7109375" style="2" customWidth="1"/>
    <col min="15619" max="15619" width="13.42578125" style="2" bestFit="1" customWidth="1"/>
    <col min="15620" max="15620" width="2.28515625" style="2" customWidth="1"/>
    <col min="15621" max="15623" width="11.7109375" style="2" customWidth="1"/>
    <col min="15624" max="15624" width="2" style="2" customWidth="1"/>
    <col min="15625" max="15625" width="9.7109375" style="2" customWidth="1"/>
    <col min="15626" max="15626" width="11.28515625" style="2" customWidth="1"/>
    <col min="15627" max="15627" width="2.28515625" style="2" customWidth="1"/>
    <col min="15628" max="15628" width="19.85546875" style="2" customWidth="1"/>
    <col min="15629" max="15629" width="18.42578125" style="2" customWidth="1"/>
    <col min="15630" max="15630" width="16.42578125" style="2" customWidth="1"/>
    <col min="15631" max="15872" width="9.140625" style="2"/>
    <col min="15873" max="15873" width="8.42578125" style="2" customWidth="1"/>
    <col min="15874" max="15874" width="12.7109375" style="2" customWidth="1"/>
    <col min="15875" max="15875" width="13.42578125" style="2" bestFit="1" customWidth="1"/>
    <col min="15876" max="15876" width="2.28515625" style="2" customWidth="1"/>
    <col min="15877" max="15879" width="11.7109375" style="2" customWidth="1"/>
    <col min="15880" max="15880" width="2" style="2" customWidth="1"/>
    <col min="15881" max="15881" width="9.7109375" style="2" customWidth="1"/>
    <col min="15882" max="15882" width="11.28515625" style="2" customWidth="1"/>
    <col min="15883" max="15883" width="2.28515625" style="2" customWidth="1"/>
    <col min="15884" max="15884" width="19.85546875" style="2" customWidth="1"/>
    <col min="15885" max="15885" width="18.42578125" style="2" customWidth="1"/>
    <col min="15886" max="15886" width="16.42578125" style="2" customWidth="1"/>
    <col min="15887" max="16128" width="9.140625" style="2"/>
    <col min="16129" max="16129" width="8.42578125" style="2" customWidth="1"/>
    <col min="16130" max="16130" width="12.7109375" style="2" customWidth="1"/>
    <col min="16131" max="16131" width="13.42578125" style="2" bestFit="1" customWidth="1"/>
    <col min="16132" max="16132" width="2.28515625" style="2" customWidth="1"/>
    <col min="16133" max="16135" width="11.7109375" style="2" customWidth="1"/>
    <col min="16136" max="16136" width="2" style="2" customWidth="1"/>
    <col min="16137" max="16137" width="9.7109375" style="2" customWidth="1"/>
    <col min="16138" max="16138" width="11.28515625" style="2" customWidth="1"/>
    <col min="16139" max="16139" width="2.28515625" style="2" customWidth="1"/>
    <col min="16140" max="16140" width="19.85546875" style="2" customWidth="1"/>
    <col min="16141" max="16141" width="18.42578125" style="2" customWidth="1"/>
    <col min="16142" max="16142" width="16.42578125" style="2" customWidth="1"/>
    <col min="16143" max="16384" width="9.140625" style="2"/>
  </cols>
  <sheetData>
    <row r="1" spans="1:24" ht="24.75" customHeight="1">
      <c r="A1" s="1291" t="s">
        <v>0</v>
      </c>
      <c r="B1" s="1291"/>
      <c r="C1" s="1291"/>
      <c r="D1" s="1291"/>
      <c r="E1" s="1291"/>
      <c r="F1" s="1291"/>
      <c r="G1" s="1291"/>
      <c r="H1" s="1291"/>
      <c r="I1" s="1291"/>
      <c r="J1" s="1291"/>
      <c r="K1" s="1291"/>
      <c r="L1" s="1291"/>
      <c r="M1" s="1291"/>
      <c r="N1" s="1"/>
    </row>
    <row r="2" spans="1:24" s="4" customFormat="1" ht="22.5" customHeight="1">
      <c r="A2" s="1292" t="s">
        <v>1</v>
      </c>
      <c r="B2" s="1292"/>
      <c r="C2" s="1292"/>
      <c r="D2" s="1292"/>
      <c r="E2" s="1292"/>
      <c r="F2" s="1292"/>
      <c r="G2" s="1292"/>
      <c r="H2" s="1292"/>
      <c r="I2" s="1292"/>
      <c r="J2" s="1292"/>
      <c r="K2" s="1292"/>
      <c r="L2" s="1292"/>
      <c r="M2" s="1292"/>
      <c r="N2" s="3"/>
      <c r="O2" s="2"/>
      <c r="P2" s="2"/>
      <c r="Q2" s="2"/>
      <c r="R2" s="2"/>
      <c r="S2" s="2"/>
      <c r="T2" s="2"/>
      <c r="U2" s="2"/>
      <c r="V2" s="2"/>
      <c r="W2" s="2"/>
      <c r="X2" s="2"/>
    </row>
    <row r="3" spans="1:24" s="9" customFormat="1" ht="15.75" customHeight="1">
      <c r="A3" s="5"/>
      <c r="B3" s="1293" t="s">
        <v>1017</v>
      </c>
      <c r="C3" s="1293"/>
      <c r="D3" s="5"/>
      <c r="E3" s="1296" t="s">
        <v>1019</v>
      </c>
      <c r="F3" s="1296"/>
      <c r="G3" s="1296"/>
      <c r="H3" s="1296"/>
      <c r="I3" s="1296"/>
      <c r="J3" s="1296"/>
      <c r="K3" s="6"/>
      <c r="L3" s="7" t="s">
        <v>2</v>
      </c>
      <c r="M3" s="824" t="s">
        <v>3</v>
      </c>
      <c r="N3" s="8"/>
      <c r="O3" s="2"/>
      <c r="P3" s="2"/>
      <c r="Q3" s="2"/>
      <c r="R3" s="2"/>
      <c r="S3" s="2"/>
      <c r="T3" s="2"/>
      <c r="U3" s="2"/>
      <c r="V3" s="2"/>
      <c r="W3" s="2"/>
      <c r="X3" s="2"/>
    </row>
    <row r="4" spans="1:24" s="13" customFormat="1" ht="16.5" customHeight="1">
      <c r="A4" s="9"/>
      <c r="B4" s="1294"/>
      <c r="C4" s="1294"/>
      <c r="D4" s="10"/>
      <c r="E4" s="1297"/>
      <c r="F4" s="1297"/>
      <c r="G4" s="1297"/>
      <c r="H4" s="1297"/>
      <c r="I4" s="1297"/>
      <c r="J4" s="1297"/>
      <c r="K4" s="9"/>
      <c r="L4" s="11" t="s">
        <v>4</v>
      </c>
      <c r="M4" s="822" t="s">
        <v>1018</v>
      </c>
      <c r="N4" s="12"/>
      <c r="O4" s="9"/>
      <c r="P4" s="9"/>
      <c r="Q4" s="9"/>
      <c r="R4" s="9"/>
      <c r="S4" s="9"/>
      <c r="T4" s="9"/>
      <c r="U4" s="9"/>
      <c r="V4" s="9"/>
      <c r="W4" s="9"/>
      <c r="X4" s="9"/>
    </row>
    <row r="5" spans="1:24" s="19" customFormat="1" ht="15.75" customHeight="1">
      <c r="A5" s="13"/>
      <c r="B5" s="1295"/>
      <c r="C5" s="1295"/>
      <c r="D5" s="14"/>
      <c r="E5" s="15" t="s">
        <v>5</v>
      </c>
      <c r="F5" s="16"/>
      <c r="G5" s="825" t="s">
        <v>6</v>
      </c>
      <c r="H5" s="17"/>
      <c r="I5" s="18" t="s">
        <v>7</v>
      </c>
      <c r="J5" s="826" t="s">
        <v>8</v>
      </c>
      <c r="K5" s="13"/>
      <c r="L5" s="11" t="s">
        <v>9</v>
      </c>
      <c r="M5" s="822" t="s">
        <v>10</v>
      </c>
      <c r="N5" s="12"/>
    </row>
    <row r="6" spans="1:24" s="4" customFormat="1" ht="16.5" customHeight="1">
      <c r="A6" s="6"/>
      <c r="B6" s="821" t="s">
        <v>11</v>
      </c>
      <c r="C6" s="822" t="s">
        <v>12</v>
      </c>
      <c r="D6" s="20"/>
      <c r="E6" s="821" t="s">
        <v>13</v>
      </c>
      <c r="F6" s="822" t="s">
        <v>14</v>
      </c>
      <c r="G6" s="822" t="s">
        <v>15</v>
      </c>
      <c r="H6" s="822"/>
      <c r="I6" s="823" t="s">
        <v>14</v>
      </c>
      <c r="J6" s="822" t="s">
        <v>15</v>
      </c>
      <c r="K6" s="6"/>
      <c r="L6" s="21" t="s">
        <v>16</v>
      </c>
      <c r="M6" s="22" t="s">
        <v>17</v>
      </c>
      <c r="N6" s="23"/>
    </row>
    <row r="7" spans="1:24" s="4" customFormat="1" ht="29.25" customHeight="1">
      <c r="A7" s="24" t="s">
        <v>18</v>
      </c>
      <c r="B7" s="24" t="s">
        <v>19</v>
      </c>
      <c r="C7" s="25" t="s">
        <v>20</v>
      </c>
      <c r="D7" s="25"/>
      <c r="E7" s="24" t="s">
        <v>21</v>
      </c>
      <c r="F7" s="25" t="s">
        <v>22</v>
      </c>
      <c r="G7" s="25" t="s">
        <v>23</v>
      </c>
      <c r="H7" s="25"/>
      <c r="I7" s="26" t="s">
        <v>22</v>
      </c>
      <c r="J7" s="25" t="s">
        <v>23</v>
      </c>
      <c r="K7" s="27"/>
      <c r="L7" s="28" t="s">
        <v>24</v>
      </c>
      <c r="M7" s="29" t="s">
        <v>25</v>
      </c>
      <c r="N7" s="30"/>
      <c r="O7" s="31"/>
      <c r="P7" s="31"/>
      <c r="Q7" s="31"/>
      <c r="R7" s="31"/>
      <c r="S7" s="31"/>
      <c r="T7" s="31"/>
      <c r="U7" s="31"/>
      <c r="V7" s="31"/>
      <c r="W7" s="31"/>
      <c r="X7" s="31"/>
    </row>
    <row r="8" spans="1:24" s="4" customFormat="1" ht="18" customHeight="1">
      <c r="A8" s="32">
        <v>1</v>
      </c>
      <c r="B8" s="33" t="s">
        <v>26</v>
      </c>
      <c r="C8" s="34" t="s">
        <v>27</v>
      </c>
      <c r="D8" s="35"/>
      <c r="E8" s="36">
        <f>SUM(F8:G8)</f>
        <v>72237</v>
      </c>
      <c r="F8" s="37">
        <v>39244</v>
      </c>
      <c r="G8" s="37">
        <v>32993</v>
      </c>
      <c r="H8" s="37"/>
      <c r="I8" s="38">
        <v>54.33</v>
      </c>
      <c r="J8" s="39">
        <v>45.67</v>
      </c>
      <c r="K8" s="40"/>
      <c r="L8" s="41">
        <f t="shared" ref="L8:L33" si="0">SUM(F8/G8)*100</f>
        <v>118.94644318491801</v>
      </c>
      <c r="M8" s="42" t="s">
        <v>28</v>
      </c>
      <c r="N8" s="42"/>
      <c r="O8" s="43"/>
    </row>
    <row r="9" spans="1:24" s="4" customFormat="1" ht="18" customHeight="1">
      <c r="A9" s="32">
        <v>2</v>
      </c>
      <c r="B9" s="33" t="s">
        <v>29</v>
      </c>
      <c r="C9" s="34" t="s">
        <v>30</v>
      </c>
      <c r="D9" s="35"/>
      <c r="E9" s="36">
        <f t="shared" ref="E9:E34" si="1">SUM(F9:G9)</f>
        <v>70413</v>
      </c>
      <c r="F9" s="37">
        <v>38174</v>
      </c>
      <c r="G9" s="37">
        <v>32239</v>
      </c>
      <c r="H9" s="37"/>
      <c r="I9" s="44" t="s">
        <v>31</v>
      </c>
      <c r="J9" s="45" t="s">
        <v>32</v>
      </c>
      <c r="K9" s="40"/>
      <c r="L9" s="41">
        <f t="shared" si="0"/>
        <v>118.40937994354664</v>
      </c>
      <c r="M9" s="46">
        <v>-0.27</v>
      </c>
      <c r="N9" s="46"/>
      <c r="O9" s="43"/>
    </row>
    <row r="10" spans="1:24" s="4" customFormat="1" ht="18" customHeight="1">
      <c r="A10" s="32">
        <v>3</v>
      </c>
      <c r="B10" s="33" t="s">
        <v>33</v>
      </c>
      <c r="C10" s="34" t="s">
        <v>34</v>
      </c>
      <c r="D10" s="35"/>
      <c r="E10" s="36">
        <f t="shared" si="1"/>
        <v>79281</v>
      </c>
      <c r="F10" s="37">
        <v>43235</v>
      </c>
      <c r="G10" s="37">
        <v>36046</v>
      </c>
      <c r="H10" s="37"/>
      <c r="I10" s="44" t="s">
        <v>35</v>
      </c>
      <c r="J10" s="45" t="s">
        <v>36</v>
      </c>
      <c r="K10" s="40"/>
      <c r="L10" s="41">
        <f t="shared" si="0"/>
        <v>119.94396049492315</v>
      </c>
      <c r="M10" s="46">
        <v>1.18</v>
      </c>
      <c r="N10" s="46"/>
      <c r="O10" s="1289"/>
      <c r="P10" s="1289"/>
    </row>
    <row r="11" spans="1:24" s="4" customFormat="1" ht="18" customHeight="1">
      <c r="A11" s="32">
        <v>4</v>
      </c>
      <c r="B11" s="33" t="s">
        <v>37</v>
      </c>
      <c r="C11" s="34" t="s">
        <v>38</v>
      </c>
      <c r="D11" s="35"/>
      <c r="E11" s="36">
        <f t="shared" si="1"/>
        <v>82068</v>
      </c>
      <c r="F11" s="37">
        <v>44308</v>
      </c>
      <c r="G11" s="37">
        <v>37760</v>
      </c>
      <c r="H11" s="37"/>
      <c r="I11" s="44" t="s">
        <v>39</v>
      </c>
      <c r="J11" s="45" t="s">
        <v>40</v>
      </c>
      <c r="K11" s="40"/>
      <c r="L11" s="41">
        <f t="shared" si="0"/>
        <v>117.34110169491525</v>
      </c>
      <c r="M11" s="46">
        <v>0.23</v>
      </c>
      <c r="N11" s="46"/>
      <c r="O11" s="43"/>
    </row>
    <row r="12" spans="1:24" s="4" customFormat="1" ht="18" customHeight="1">
      <c r="A12" s="32">
        <v>5</v>
      </c>
      <c r="B12" s="33" t="s">
        <v>41</v>
      </c>
      <c r="C12" s="34" t="s">
        <v>38</v>
      </c>
      <c r="D12" s="35"/>
      <c r="E12" s="36">
        <f t="shared" si="1"/>
        <v>77273</v>
      </c>
      <c r="F12" s="37">
        <v>41656</v>
      </c>
      <c r="G12" s="37">
        <v>35617</v>
      </c>
      <c r="H12" s="37"/>
      <c r="I12" s="44" t="s">
        <v>42</v>
      </c>
      <c r="J12" s="45" t="s">
        <v>43</v>
      </c>
      <c r="K12" s="40"/>
      <c r="L12" s="41">
        <f t="shared" si="0"/>
        <v>116.95538647275177</v>
      </c>
      <c r="M12" s="46">
        <v>-0.86</v>
      </c>
      <c r="N12" s="46"/>
      <c r="O12" s="43"/>
    </row>
    <row r="13" spans="1:24" s="4" customFormat="1" ht="18" customHeight="1">
      <c r="A13" s="32">
        <v>6</v>
      </c>
      <c r="B13" s="33" t="s">
        <v>44</v>
      </c>
      <c r="C13" s="34" t="s">
        <v>38</v>
      </c>
      <c r="D13" s="35"/>
      <c r="E13" s="36">
        <f t="shared" si="1"/>
        <v>83075</v>
      </c>
      <c r="F13" s="37">
        <v>44614</v>
      </c>
      <c r="G13" s="37">
        <v>38461</v>
      </c>
      <c r="H13" s="37"/>
      <c r="I13" s="44" t="s">
        <v>45</v>
      </c>
      <c r="J13" s="45" t="s">
        <v>46</v>
      </c>
      <c r="K13" s="40"/>
      <c r="L13" s="41">
        <f t="shared" si="0"/>
        <v>115.9980239723356</v>
      </c>
      <c r="M13" s="46">
        <v>1.81</v>
      </c>
      <c r="N13" s="46"/>
      <c r="O13" s="43"/>
    </row>
    <row r="14" spans="1:24" s="4" customFormat="1" ht="18" customHeight="1">
      <c r="A14" s="32">
        <v>7</v>
      </c>
      <c r="B14" s="33" t="s">
        <v>47</v>
      </c>
      <c r="C14" s="34" t="s">
        <v>38</v>
      </c>
      <c r="D14" s="35"/>
      <c r="E14" s="36">
        <f t="shared" si="1"/>
        <v>87582</v>
      </c>
      <c r="F14" s="37">
        <v>46888</v>
      </c>
      <c r="G14" s="37">
        <v>40694</v>
      </c>
      <c r="H14" s="37"/>
      <c r="I14" s="44" t="s">
        <v>48</v>
      </c>
      <c r="J14" s="45" t="s">
        <v>49</v>
      </c>
      <c r="K14" s="40"/>
      <c r="L14" s="41">
        <f t="shared" si="0"/>
        <v>115.22091708851427</v>
      </c>
      <c r="M14" s="46">
        <v>5.28</v>
      </c>
      <c r="N14" s="46"/>
      <c r="O14" s="43"/>
    </row>
    <row r="15" spans="1:24" s="4" customFormat="1" ht="18" customHeight="1">
      <c r="A15" s="32">
        <v>8</v>
      </c>
      <c r="B15" s="33" t="s">
        <v>50</v>
      </c>
      <c r="C15" s="34" t="s">
        <v>38</v>
      </c>
      <c r="D15" s="35"/>
      <c r="E15" s="36">
        <f t="shared" si="1"/>
        <v>89290</v>
      </c>
      <c r="F15" s="37">
        <v>47505</v>
      </c>
      <c r="G15" s="37">
        <v>41785</v>
      </c>
      <c r="H15" s="37"/>
      <c r="I15" s="44" t="s">
        <v>51</v>
      </c>
      <c r="J15" s="45" t="s">
        <v>52</v>
      </c>
      <c r="K15" s="40"/>
      <c r="L15" s="41">
        <f t="shared" si="0"/>
        <v>113.68912289098958</v>
      </c>
      <c r="M15" s="46">
        <v>1.93</v>
      </c>
      <c r="N15" s="46"/>
      <c r="O15" s="43"/>
    </row>
    <row r="16" spans="1:24" s="4" customFormat="1" ht="18" customHeight="1">
      <c r="A16" s="32">
        <v>9</v>
      </c>
      <c r="B16" s="33" t="s">
        <v>53</v>
      </c>
      <c r="C16" s="34" t="s">
        <v>38</v>
      </c>
      <c r="D16" s="35"/>
      <c r="E16" s="36">
        <f t="shared" si="1"/>
        <v>92247</v>
      </c>
      <c r="F16" s="37">
        <v>49640</v>
      </c>
      <c r="G16" s="37">
        <v>42607</v>
      </c>
      <c r="H16" s="37"/>
      <c r="I16" s="44" t="s">
        <v>54</v>
      </c>
      <c r="J16" s="45">
        <v>46.19</v>
      </c>
      <c r="K16" s="40"/>
      <c r="L16" s="41">
        <f t="shared" si="0"/>
        <v>116.50667730654587</v>
      </c>
      <c r="M16" s="46">
        <v>3.26</v>
      </c>
      <c r="N16" s="46"/>
      <c r="O16" s="43"/>
    </row>
    <row r="17" spans="1:18" s="4" customFormat="1" ht="18" customHeight="1">
      <c r="A17" s="32">
        <v>10</v>
      </c>
      <c r="B17" s="33" t="s">
        <v>55</v>
      </c>
      <c r="C17" s="34" t="s">
        <v>38</v>
      </c>
      <c r="D17" s="35"/>
      <c r="E17" s="36">
        <f t="shared" si="1"/>
        <v>92793</v>
      </c>
      <c r="F17" s="37">
        <v>49906</v>
      </c>
      <c r="G17" s="37">
        <v>42887</v>
      </c>
      <c r="H17" s="37"/>
      <c r="I17" s="44" t="s">
        <v>56</v>
      </c>
      <c r="J17" s="45" t="s">
        <v>57</v>
      </c>
      <c r="K17" s="40"/>
      <c r="L17" s="41">
        <f t="shared" si="0"/>
        <v>116.36626483549794</v>
      </c>
      <c r="M17" s="46">
        <v>0.59</v>
      </c>
      <c r="N17" s="46"/>
      <c r="O17" s="43"/>
    </row>
    <row r="18" spans="1:18" s="4" customFormat="1" ht="18" customHeight="1">
      <c r="A18" s="32">
        <v>11</v>
      </c>
      <c r="B18" s="33" t="s">
        <v>58</v>
      </c>
      <c r="C18" s="34" t="s">
        <v>38</v>
      </c>
      <c r="D18" s="35"/>
      <c r="E18" s="36">
        <f t="shared" si="1"/>
        <v>92744</v>
      </c>
      <c r="F18" s="37">
        <v>49454</v>
      </c>
      <c r="G18" s="37">
        <v>43290</v>
      </c>
      <c r="H18" s="37"/>
      <c r="I18" s="44" t="s">
        <v>59</v>
      </c>
      <c r="J18" s="45" t="s">
        <v>60</v>
      </c>
      <c r="K18" s="40"/>
      <c r="L18" s="41">
        <f t="shared" si="0"/>
        <v>114.23885423885424</v>
      </c>
      <c r="M18" s="46">
        <v>-0.05</v>
      </c>
      <c r="N18" s="46"/>
      <c r="O18" s="43"/>
    </row>
    <row r="19" spans="1:18" s="4" customFormat="1" ht="18" customHeight="1">
      <c r="A19" s="32">
        <v>12</v>
      </c>
      <c r="B19" s="33" t="s">
        <v>61</v>
      </c>
      <c r="C19" s="34" t="s">
        <v>38</v>
      </c>
      <c r="D19" s="35"/>
      <c r="E19" s="36">
        <f t="shared" si="1"/>
        <v>94527</v>
      </c>
      <c r="F19" s="37">
        <v>50274</v>
      </c>
      <c r="G19" s="37">
        <v>44253</v>
      </c>
      <c r="H19" s="37"/>
      <c r="I19" s="44" t="s">
        <v>62</v>
      </c>
      <c r="J19" s="45" t="s">
        <v>63</v>
      </c>
      <c r="K19" s="40"/>
      <c r="L19" s="41">
        <f t="shared" si="0"/>
        <v>113.6058572300183</v>
      </c>
      <c r="M19" s="46">
        <v>1.9</v>
      </c>
      <c r="N19" s="46"/>
      <c r="O19" s="43"/>
    </row>
    <row r="20" spans="1:18" s="4" customFormat="1" ht="18" customHeight="1">
      <c r="A20" s="32">
        <v>13</v>
      </c>
      <c r="B20" s="33" t="s">
        <v>64</v>
      </c>
      <c r="C20" s="34" t="s">
        <v>65</v>
      </c>
      <c r="D20" s="35"/>
      <c r="E20" s="36">
        <f t="shared" si="1"/>
        <v>93960</v>
      </c>
      <c r="F20" s="37">
        <v>50276</v>
      </c>
      <c r="G20" s="37">
        <v>43684</v>
      </c>
      <c r="H20" s="37"/>
      <c r="I20" s="44" t="s">
        <v>66</v>
      </c>
      <c r="J20" s="45" t="s">
        <v>67</v>
      </c>
      <c r="K20" s="40"/>
      <c r="L20" s="41">
        <f t="shared" si="0"/>
        <v>115.09019320575038</v>
      </c>
      <c r="M20" s="46">
        <v>-0.6</v>
      </c>
      <c r="N20" s="46"/>
      <c r="O20" s="43"/>
    </row>
    <row r="21" spans="1:18" s="4" customFormat="1" ht="18" customHeight="1">
      <c r="A21" s="32">
        <v>14</v>
      </c>
      <c r="B21" s="33" t="s">
        <v>68</v>
      </c>
      <c r="C21" s="34" t="s">
        <v>69</v>
      </c>
      <c r="D21" s="35"/>
      <c r="E21" s="36">
        <f t="shared" si="1"/>
        <v>97743</v>
      </c>
      <c r="F21" s="37">
        <v>51964</v>
      </c>
      <c r="G21" s="37">
        <v>45779</v>
      </c>
      <c r="H21" s="37"/>
      <c r="I21" s="44" t="s">
        <v>70</v>
      </c>
      <c r="J21" s="45" t="s">
        <v>71</v>
      </c>
      <c r="K21" s="40"/>
      <c r="L21" s="41">
        <f t="shared" si="0"/>
        <v>113.5105616112191</v>
      </c>
      <c r="M21" s="46">
        <v>3.95</v>
      </c>
      <c r="N21" s="46"/>
      <c r="O21" s="43"/>
    </row>
    <row r="22" spans="1:18" s="4" customFormat="1" ht="18" customHeight="1">
      <c r="A22" s="32">
        <v>15</v>
      </c>
      <c r="B22" s="33" t="s">
        <v>72</v>
      </c>
      <c r="C22" s="34" t="s">
        <v>73</v>
      </c>
      <c r="D22" s="35"/>
      <c r="E22" s="36">
        <f t="shared" si="1"/>
        <v>100883</v>
      </c>
      <c r="F22" s="37">
        <v>53938</v>
      </c>
      <c r="G22" s="37">
        <v>46945</v>
      </c>
      <c r="H22" s="37"/>
      <c r="I22" s="44" t="s">
        <v>74</v>
      </c>
      <c r="J22" s="45" t="s">
        <v>75</v>
      </c>
      <c r="K22" s="40"/>
      <c r="L22" s="41">
        <f t="shared" si="0"/>
        <v>114.89615507508786</v>
      </c>
      <c r="M22" s="46">
        <v>3.16</v>
      </c>
      <c r="N22" s="46"/>
      <c r="O22" s="43"/>
    </row>
    <row r="23" spans="1:18" s="4" customFormat="1" ht="18" customHeight="1">
      <c r="A23" s="32">
        <v>16</v>
      </c>
      <c r="B23" s="33" t="s">
        <v>76</v>
      </c>
      <c r="C23" s="34" t="s">
        <v>77</v>
      </c>
      <c r="D23" s="35"/>
      <c r="E23" s="36">
        <f t="shared" si="1"/>
        <v>103801</v>
      </c>
      <c r="F23" s="37">
        <v>55346</v>
      </c>
      <c r="G23" s="37">
        <v>48455</v>
      </c>
      <c r="H23" s="37"/>
      <c r="I23" s="44" t="s">
        <v>59</v>
      </c>
      <c r="J23" s="45" t="s">
        <v>60</v>
      </c>
      <c r="K23" s="40"/>
      <c r="L23" s="41">
        <f t="shared" si="0"/>
        <v>114.2214425755856</v>
      </c>
      <c r="M23" s="46">
        <v>2.85</v>
      </c>
      <c r="N23" s="46"/>
      <c r="O23" s="43"/>
    </row>
    <row r="24" spans="1:18" s="4" customFormat="1" ht="18" customHeight="1">
      <c r="A24" s="32">
        <v>17</v>
      </c>
      <c r="B24" s="33" t="s">
        <v>78</v>
      </c>
      <c r="C24" s="34" t="s">
        <v>69</v>
      </c>
      <c r="D24" s="35"/>
      <c r="E24" s="36">
        <f t="shared" si="1"/>
        <v>106969</v>
      </c>
      <c r="F24" s="37">
        <v>56983</v>
      </c>
      <c r="G24" s="37">
        <v>49986</v>
      </c>
      <c r="H24" s="37"/>
      <c r="I24" s="44" t="s">
        <v>79</v>
      </c>
      <c r="J24" s="45" t="s">
        <v>80</v>
      </c>
      <c r="K24" s="40"/>
      <c r="L24" s="41">
        <f t="shared" si="0"/>
        <v>113.99791941743689</v>
      </c>
      <c r="M24" s="46">
        <v>3.01</v>
      </c>
      <c r="N24" s="46"/>
      <c r="O24" s="43"/>
    </row>
    <row r="25" spans="1:18" s="4" customFormat="1" ht="18" customHeight="1">
      <c r="A25" s="32">
        <v>18</v>
      </c>
      <c r="B25" s="33" t="s">
        <v>81</v>
      </c>
      <c r="C25" s="34" t="s">
        <v>82</v>
      </c>
      <c r="D25" s="35"/>
      <c r="E25" s="36">
        <f t="shared" si="1"/>
        <v>110770</v>
      </c>
      <c r="F25" s="37">
        <v>58897</v>
      </c>
      <c r="G25" s="37">
        <v>51873</v>
      </c>
      <c r="H25" s="37"/>
      <c r="I25" s="44" t="s">
        <v>83</v>
      </c>
      <c r="J25" s="45" t="s">
        <v>84</v>
      </c>
      <c r="K25" s="40"/>
      <c r="L25" s="41">
        <f t="shared" si="0"/>
        <v>113.54076301736936</v>
      </c>
      <c r="M25" s="46">
        <v>3.49</v>
      </c>
      <c r="N25" s="46"/>
      <c r="O25" s="43"/>
    </row>
    <row r="26" spans="1:18" s="4" customFormat="1" ht="18" customHeight="1">
      <c r="A26" s="32">
        <v>19</v>
      </c>
      <c r="B26" s="33" t="s">
        <v>85</v>
      </c>
      <c r="C26" s="34" t="s">
        <v>86</v>
      </c>
      <c r="D26" s="35"/>
      <c r="E26" s="36">
        <f t="shared" si="1"/>
        <v>114469</v>
      </c>
      <c r="F26" s="37">
        <v>60975</v>
      </c>
      <c r="G26" s="37">
        <v>53494</v>
      </c>
      <c r="H26" s="37"/>
      <c r="I26" s="44" t="s">
        <v>79</v>
      </c>
      <c r="J26" s="45" t="s">
        <v>80</v>
      </c>
      <c r="K26" s="40"/>
      <c r="L26" s="41">
        <f t="shared" si="0"/>
        <v>113.98474595281714</v>
      </c>
      <c r="M26" s="46">
        <v>3.28</v>
      </c>
      <c r="N26" s="46"/>
    </row>
    <row r="27" spans="1:18" s="4" customFormat="1" ht="18" customHeight="1">
      <c r="A27" s="32">
        <v>20</v>
      </c>
      <c r="B27" s="33" t="s">
        <v>87</v>
      </c>
      <c r="C27" s="34" t="s">
        <v>88</v>
      </c>
      <c r="D27" s="35"/>
      <c r="E27" s="36">
        <f t="shared" si="1"/>
        <v>118818</v>
      </c>
      <c r="F27" s="37">
        <v>63188</v>
      </c>
      <c r="G27" s="37">
        <v>55630</v>
      </c>
      <c r="H27" s="37"/>
      <c r="I27" s="44" t="s">
        <v>62</v>
      </c>
      <c r="J27" s="45" t="s">
        <v>63</v>
      </c>
      <c r="K27" s="40"/>
      <c r="L27" s="41">
        <f t="shared" si="0"/>
        <v>113.58619449937083</v>
      </c>
      <c r="M27" s="46">
        <v>3.73</v>
      </c>
      <c r="N27" s="46"/>
    </row>
    <row r="28" spans="1:18" s="4" customFormat="1" ht="18" customHeight="1">
      <c r="A28" s="32">
        <v>21</v>
      </c>
      <c r="B28" s="33" t="s">
        <v>89</v>
      </c>
      <c r="C28" s="34" t="s">
        <v>77</v>
      </c>
      <c r="D28" s="35"/>
      <c r="E28" s="36">
        <f t="shared" si="1"/>
        <v>122673</v>
      </c>
      <c r="F28" s="37">
        <v>64924</v>
      </c>
      <c r="G28" s="37">
        <v>57749</v>
      </c>
      <c r="H28" s="37"/>
      <c r="I28" s="44" t="s">
        <v>90</v>
      </c>
      <c r="J28" s="45" t="s">
        <v>91</v>
      </c>
      <c r="K28" s="40"/>
      <c r="L28" s="41">
        <f t="shared" si="0"/>
        <v>112.42445756636479</v>
      </c>
      <c r="M28" s="46">
        <v>3.19</v>
      </c>
      <c r="N28" s="46"/>
    </row>
    <row r="29" spans="1:18" s="47" customFormat="1" ht="18" customHeight="1">
      <c r="A29" s="32">
        <v>22</v>
      </c>
      <c r="B29" s="33" t="s">
        <v>92</v>
      </c>
      <c r="C29" s="34" t="s">
        <v>69</v>
      </c>
      <c r="D29" s="35"/>
      <c r="E29" s="36">
        <f t="shared" si="1"/>
        <v>128697</v>
      </c>
      <c r="F29" s="37">
        <v>68301</v>
      </c>
      <c r="G29" s="37">
        <v>60396</v>
      </c>
      <c r="H29" s="37"/>
      <c r="I29" s="44" t="s">
        <v>93</v>
      </c>
      <c r="J29" s="45" t="s">
        <v>94</v>
      </c>
      <c r="K29" s="40"/>
      <c r="L29" s="41">
        <f t="shared" si="0"/>
        <v>113.0886151400755</v>
      </c>
      <c r="M29" s="46">
        <v>2.4</v>
      </c>
      <c r="N29" s="46"/>
    </row>
    <row r="30" spans="1:18" s="47" customFormat="1" ht="18" customHeight="1">
      <c r="A30" s="32">
        <v>23</v>
      </c>
      <c r="B30" s="33" t="s">
        <v>95</v>
      </c>
      <c r="C30" s="34" t="s">
        <v>96</v>
      </c>
      <c r="D30" s="35"/>
      <c r="E30" s="36">
        <f t="shared" si="1"/>
        <v>142832</v>
      </c>
      <c r="F30" s="37">
        <v>75224</v>
      </c>
      <c r="G30" s="37">
        <v>67608</v>
      </c>
      <c r="H30" s="37"/>
      <c r="I30" s="44" t="s">
        <v>97</v>
      </c>
      <c r="J30" s="45" t="s">
        <v>98</v>
      </c>
      <c r="K30" s="40"/>
      <c r="L30" s="41">
        <f t="shared" si="0"/>
        <v>111.26493906046622</v>
      </c>
      <c r="M30" s="46">
        <v>2.98</v>
      </c>
      <c r="N30" s="46"/>
    </row>
    <row r="31" spans="1:18" s="47" customFormat="1" ht="18" customHeight="1">
      <c r="A31" s="32">
        <v>24</v>
      </c>
      <c r="B31" s="33" t="s">
        <v>99</v>
      </c>
      <c r="C31" s="34" t="s">
        <v>100</v>
      </c>
      <c r="D31" s="35"/>
      <c r="E31" s="36">
        <f t="shared" si="1"/>
        <v>180088</v>
      </c>
      <c r="F31" s="37">
        <v>93482</v>
      </c>
      <c r="G31" s="37">
        <v>86606</v>
      </c>
      <c r="H31" s="37"/>
      <c r="I31" s="44" t="s">
        <v>101</v>
      </c>
      <c r="J31" s="45" t="s">
        <v>102</v>
      </c>
      <c r="K31" s="40"/>
      <c r="L31" s="41">
        <f t="shared" si="0"/>
        <v>107.93940373646167</v>
      </c>
      <c r="M31" s="46">
        <v>3.2</v>
      </c>
      <c r="N31" s="46"/>
    </row>
    <row r="32" spans="1:18" s="13" customFormat="1" ht="18" customHeight="1">
      <c r="A32" s="32">
        <v>25</v>
      </c>
      <c r="B32" s="33" t="s">
        <v>103</v>
      </c>
      <c r="C32" s="34" t="s">
        <v>104</v>
      </c>
      <c r="D32" s="35"/>
      <c r="E32" s="36">
        <f t="shared" si="1"/>
        <v>213215</v>
      </c>
      <c r="F32" s="37">
        <v>109336</v>
      </c>
      <c r="G32" s="37">
        <v>103879</v>
      </c>
      <c r="H32" s="37"/>
      <c r="I32" s="48" t="s">
        <v>105</v>
      </c>
      <c r="J32" s="49" t="s">
        <v>106</v>
      </c>
      <c r="K32" s="40"/>
      <c r="L32" s="41">
        <f t="shared" si="0"/>
        <v>105.25322731254634</v>
      </c>
      <c r="M32" s="46">
        <v>3.43</v>
      </c>
      <c r="N32" s="46"/>
      <c r="O32" s="47"/>
      <c r="P32" s="50"/>
      <c r="R32" s="50"/>
    </row>
    <row r="33" spans="1:15" s="55" customFormat="1" ht="18" customHeight="1">
      <c r="A33" s="32">
        <v>26</v>
      </c>
      <c r="B33" s="33" t="s">
        <v>107</v>
      </c>
      <c r="C33" s="51" t="s">
        <v>108</v>
      </c>
      <c r="D33" s="52"/>
      <c r="E33" s="36">
        <f t="shared" si="1"/>
        <v>244814</v>
      </c>
      <c r="F33" s="37">
        <v>124622</v>
      </c>
      <c r="G33" s="37">
        <v>120192</v>
      </c>
      <c r="H33" s="37"/>
      <c r="I33" s="53">
        <f>SUM(F33/E33)*100</f>
        <v>50.904768518140301</v>
      </c>
      <c r="J33" s="54">
        <f>SUM(G33/E33)*100</f>
        <v>49.095231481859699</v>
      </c>
      <c r="K33" s="40"/>
      <c r="L33" s="41">
        <f t="shared" si="0"/>
        <v>103.68576943556975</v>
      </c>
      <c r="M33" s="46">
        <v>2.73</v>
      </c>
      <c r="N33" s="46"/>
      <c r="O33" s="47"/>
    </row>
    <row r="34" spans="1:15" ht="18" customHeight="1">
      <c r="A34" s="32">
        <v>27</v>
      </c>
      <c r="B34" s="33" t="s">
        <v>109</v>
      </c>
      <c r="C34" s="51" t="s">
        <v>110</v>
      </c>
      <c r="D34" s="34"/>
      <c r="E34" s="36">
        <f t="shared" si="1"/>
        <v>270101</v>
      </c>
      <c r="F34" s="37">
        <v>137200</v>
      </c>
      <c r="G34" s="37">
        <v>132901</v>
      </c>
      <c r="H34" s="37"/>
      <c r="I34" s="53">
        <f>SUM(F34/E34)*100</f>
        <v>50.795813417943656</v>
      </c>
      <c r="J34" s="54">
        <f>SUM(G34/E34)*100</f>
        <v>49.204186582056344</v>
      </c>
      <c r="K34" s="34"/>
      <c r="L34" s="41">
        <f>SUM(F34/G34)*100</f>
        <v>103.23473864004033</v>
      </c>
      <c r="M34" s="46">
        <v>1.96</v>
      </c>
      <c r="N34" s="46"/>
      <c r="O34" s="47"/>
    </row>
    <row r="35" spans="1:15" ht="18" customHeight="1">
      <c r="A35" s="32">
        <v>28</v>
      </c>
      <c r="B35" s="33" t="s">
        <v>111</v>
      </c>
      <c r="C35" s="51" t="s">
        <v>112</v>
      </c>
      <c r="D35" s="34"/>
      <c r="E35" s="36">
        <f>SUM(F35:G35)</f>
        <v>298968</v>
      </c>
      <c r="F35" s="37">
        <v>151459</v>
      </c>
      <c r="G35" s="37">
        <v>147509</v>
      </c>
      <c r="H35" s="37"/>
      <c r="I35" s="53">
        <f>SUM(F35/E35)*100</f>
        <v>50.660605817344994</v>
      </c>
      <c r="J35" s="54">
        <f>SUM(G35/E35)*100</f>
        <v>49.339394182654999</v>
      </c>
      <c r="K35" s="34"/>
      <c r="L35" s="41">
        <f>SUM(F35/G35)*100</f>
        <v>102.6778027103431</v>
      </c>
      <c r="M35" s="46">
        <v>1.69</v>
      </c>
      <c r="N35" s="46"/>
      <c r="O35" s="47"/>
    </row>
    <row r="36" spans="1:15" s="47" customFormat="1" ht="18" customHeight="1">
      <c r="A36" s="56">
        <v>29</v>
      </c>
      <c r="B36" s="57">
        <v>2014</v>
      </c>
      <c r="C36" s="58" t="s">
        <v>113</v>
      </c>
      <c r="D36" s="59"/>
      <c r="E36" s="60">
        <v>344023</v>
      </c>
      <c r="F36" s="61">
        <v>174666</v>
      </c>
      <c r="G36" s="61">
        <v>169357</v>
      </c>
      <c r="H36" s="61"/>
      <c r="I36" s="62">
        <v>50.771605386849139</v>
      </c>
      <c r="J36" s="63">
        <v>49.228394613150869</v>
      </c>
      <c r="K36" s="59"/>
      <c r="L36" s="64">
        <v>103</v>
      </c>
      <c r="M36" s="65">
        <v>1.65</v>
      </c>
      <c r="N36" s="46"/>
    </row>
    <row r="37" spans="1:15" s="68" customFormat="1" ht="18" customHeight="1">
      <c r="A37" s="66" t="s">
        <v>114</v>
      </c>
      <c r="B37" s="67"/>
      <c r="O37" s="47"/>
    </row>
    <row r="38" spans="1:15" s="69" customFormat="1" ht="17.25" customHeight="1">
      <c r="B38" s="70"/>
      <c r="C38" s="70"/>
      <c r="D38" s="70"/>
      <c r="E38" s="70"/>
      <c r="F38" s="70"/>
      <c r="G38" s="70"/>
      <c r="H38" s="70"/>
      <c r="I38" s="70"/>
      <c r="J38" s="70"/>
      <c r="K38" s="70"/>
      <c r="L38" s="70"/>
      <c r="M38" s="70" t="s">
        <v>115</v>
      </c>
      <c r="N38" s="70"/>
      <c r="O38" s="47"/>
    </row>
    <row r="39" spans="1:15" ht="26.25" customHeight="1">
      <c r="A39" s="1290" t="s">
        <v>116</v>
      </c>
      <c r="B39" s="1290"/>
      <c r="C39" s="1290"/>
      <c r="D39" s="1290"/>
      <c r="E39" s="1290"/>
      <c r="F39" s="1290"/>
      <c r="G39" s="1290"/>
      <c r="H39" s="1290"/>
      <c r="I39" s="1290"/>
      <c r="J39" s="1290"/>
      <c r="K39" s="1290"/>
      <c r="L39" s="1290"/>
      <c r="M39" s="1290"/>
    </row>
    <row r="40" spans="1:15" ht="17.25">
      <c r="A40" s="66" t="s">
        <v>1180</v>
      </c>
      <c r="B40" s="71"/>
      <c r="C40" s="71"/>
      <c r="D40" s="71"/>
      <c r="E40" s="72"/>
      <c r="F40" s="73"/>
      <c r="G40" s="73"/>
      <c r="H40" s="74"/>
      <c r="I40" s="75"/>
      <c r="J40" s="75"/>
      <c r="K40" s="76"/>
      <c r="L40" s="77"/>
      <c r="M40" s="70" t="s">
        <v>118</v>
      </c>
    </row>
    <row r="41" spans="1:15" ht="13.5">
      <c r="A41" s="78"/>
      <c r="B41" s="79"/>
      <c r="C41" s="79"/>
      <c r="D41" s="80"/>
      <c r="E41" s="81"/>
      <c r="F41" s="82"/>
      <c r="G41" s="82"/>
      <c r="H41" s="82"/>
      <c r="I41" s="83"/>
      <c r="J41" s="83"/>
      <c r="K41" s="80"/>
      <c r="L41" s="84"/>
      <c r="M41" s="85"/>
    </row>
    <row r="65" spans="1:5">
      <c r="E65" s="2"/>
    </row>
    <row r="66" spans="1:5">
      <c r="E66" s="2"/>
    </row>
    <row r="67" spans="1:5">
      <c r="E67" s="2"/>
    </row>
    <row r="68" spans="1:5">
      <c r="E68" s="2"/>
    </row>
    <row r="69" spans="1:5">
      <c r="A69" s="86"/>
      <c r="E69" s="2"/>
    </row>
    <row r="70" spans="1:5">
      <c r="E70" s="2"/>
    </row>
    <row r="71" spans="1:5">
      <c r="E71" s="2"/>
    </row>
    <row r="72" spans="1:5">
      <c r="E72" s="2"/>
    </row>
    <row r="73" spans="1:5">
      <c r="E73" s="2"/>
    </row>
  </sheetData>
  <mergeCells count="6">
    <mergeCell ref="O10:P10"/>
    <mergeCell ref="A39:M39"/>
    <mergeCell ref="A1:M1"/>
    <mergeCell ref="A2:M2"/>
    <mergeCell ref="B3:C5"/>
    <mergeCell ref="E3:J4"/>
  </mergeCells>
  <pageMargins left="0.7" right="0.7" top="0.75" bottom="0.75" header="0.3" footer="0.3"/>
  <pageSetup paperSize="9" scale="64" orientation="portrait" horizontalDpi="4294967295" verticalDpi="4294967295" r:id="rId1"/>
  <colBreaks count="1" manualBreakCount="1">
    <brk id="13" max="1048575" man="1"/>
  </colBreaks>
  <ignoredErrors>
    <ignoredError sqref="I9:I32 J9:J32 I36" numberStoredAsText="1"/>
    <ignoredError sqref="I33:I35 J33:J35" numberStoredAsText="1" unlockedFormula="1"/>
    <ignoredError sqref="J36"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I96"/>
  <sheetViews>
    <sheetView topLeftCell="A28" zoomScale="89" zoomScaleNormal="89" workbookViewId="0">
      <selection activeCell="P61" sqref="P61"/>
    </sheetView>
  </sheetViews>
  <sheetFormatPr defaultRowHeight="12.75"/>
  <cols>
    <col min="1" max="1" width="15.5703125" style="90" customWidth="1"/>
    <col min="2" max="4" width="10.85546875" style="90" customWidth="1"/>
    <col min="5" max="5" width="2.28515625" style="90" customWidth="1"/>
    <col min="6" max="8" width="10.140625" style="90" customWidth="1"/>
    <col min="9" max="9" width="2.42578125" style="90" customWidth="1"/>
    <col min="10" max="12" width="10.28515625" style="90" customWidth="1"/>
    <col min="13" max="13" width="2.85546875" style="90" customWidth="1"/>
    <col min="14" max="16" width="10.42578125" style="90" customWidth="1"/>
    <col min="17" max="18" width="12.140625" style="90" customWidth="1"/>
    <col min="19" max="19" width="11.85546875" style="90" bestFit="1" customWidth="1"/>
    <col min="20" max="21" width="10.5703125" style="90" bestFit="1" customWidth="1"/>
    <col min="22" max="22" width="11.85546875" style="90" bestFit="1" customWidth="1"/>
    <col min="23" max="23" width="10.5703125" style="90" bestFit="1" customWidth="1"/>
    <col min="24" max="25" width="10.5703125" style="90" customWidth="1"/>
    <col min="26" max="33" width="9.140625" style="90"/>
    <col min="34" max="34" width="10.85546875" style="90" customWidth="1"/>
    <col min="35" max="256" width="9.140625" style="90"/>
    <col min="257" max="257" width="15.5703125" style="90" customWidth="1"/>
    <col min="258" max="260" width="10.85546875" style="90" customWidth="1"/>
    <col min="261" max="261" width="2.28515625" style="90" customWidth="1"/>
    <col min="262" max="264" width="10.140625" style="90" customWidth="1"/>
    <col min="265" max="265" width="2.42578125" style="90" customWidth="1"/>
    <col min="266" max="268" width="10.28515625" style="90" customWidth="1"/>
    <col min="269" max="269" width="2.85546875" style="90" customWidth="1"/>
    <col min="270" max="272" width="10.42578125" style="90" customWidth="1"/>
    <col min="273" max="274" width="12.140625" style="90" customWidth="1"/>
    <col min="275" max="275" width="11.85546875" style="90" bestFit="1" customWidth="1"/>
    <col min="276" max="277" width="10.5703125" style="90" bestFit="1" customWidth="1"/>
    <col min="278" max="278" width="11.85546875" style="90" bestFit="1" customWidth="1"/>
    <col min="279" max="279" width="10.5703125" style="90" bestFit="1" customWidth="1"/>
    <col min="280" max="281" width="10.5703125" style="90" customWidth="1"/>
    <col min="282" max="289" width="9.140625" style="90"/>
    <col min="290" max="290" width="10.85546875" style="90" customWidth="1"/>
    <col min="291" max="512" width="9.140625" style="90"/>
    <col min="513" max="513" width="15.5703125" style="90" customWidth="1"/>
    <col min="514" max="516" width="10.85546875" style="90" customWidth="1"/>
    <col min="517" max="517" width="2.28515625" style="90" customWidth="1"/>
    <col min="518" max="520" width="10.140625" style="90" customWidth="1"/>
    <col min="521" max="521" width="2.42578125" style="90" customWidth="1"/>
    <col min="522" max="524" width="10.28515625" style="90" customWidth="1"/>
    <col min="525" max="525" width="2.85546875" style="90" customWidth="1"/>
    <col min="526" max="528" width="10.42578125" style="90" customWidth="1"/>
    <col min="529" max="530" width="12.140625" style="90" customWidth="1"/>
    <col min="531" max="531" width="11.85546875" style="90" bestFit="1" customWidth="1"/>
    <col min="532" max="533" width="10.5703125" style="90" bestFit="1" customWidth="1"/>
    <col min="534" max="534" width="11.85546875" style="90" bestFit="1" customWidth="1"/>
    <col min="535" max="535" width="10.5703125" style="90" bestFit="1" customWidth="1"/>
    <col min="536" max="537" width="10.5703125" style="90" customWidth="1"/>
    <col min="538" max="545" width="9.140625" style="90"/>
    <col min="546" max="546" width="10.85546875" style="90" customWidth="1"/>
    <col min="547" max="768" width="9.140625" style="90"/>
    <col min="769" max="769" width="15.5703125" style="90" customWidth="1"/>
    <col min="770" max="772" width="10.85546875" style="90" customWidth="1"/>
    <col min="773" max="773" width="2.28515625" style="90" customWidth="1"/>
    <col min="774" max="776" width="10.140625" style="90" customWidth="1"/>
    <col min="777" max="777" width="2.42578125" style="90" customWidth="1"/>
    <col min="778" max="780" width="10.28515625" style="90" customWidth="1"/>
    <col min="781" max="781" width="2.85546875" style="90" customWidth="1"/>
    <col min="782" max="784" width="10.42578125" style="90" customWidth="1"/>
    <col min="785" max="786" width="12.140625" style="90" customWidth="1"/>
    <col min="787" max="787" width="11.85546875" style="90" bestFit="1" customWidth="1"/>
    <col min="788" max="789" width="10.5703125" style="90" bestFit="1" customWidth="1"/>
    <col min="790" max="790" width="11.85546875" style="90" bestFit="1" customWidth="1"/>
    <col min="791" max="791" width="10.5703125" style="90" bestFit="1" customWidth="1"/>
    <col min="792" max="793" width="10.5703125" style="90" customWidth="1"/>
    <col min="794" max="801" width="9.140625" style="90"/>
    <col min="802" max="802" width="10.85546875" style="90" customWidth="1"/>
    <col min="803" max="1024" width="9.140625" style="90"/>
    <col min="1025" max="1025" width="15.5703125" style="90" customWidth="1"/>
    <col min="1026" max="1028" width="10.85546875" style="90" customWidth="1"/>
    <col min="1029" max="1029" width="2.28515625" style="90" customWidth="1"/>
    <col min="1030" max="1032" width="10.140625" style="90" customWidth="1"/>
    <col min="1033" max="1033" width="2.42578125" style="90" customWidth="1"/>
    <col min="1034" max="1036" width="10.28515625" style="90" customWidth="1"/>
    <col min="1037" max="1037" width="2.85546875" style="90" customWidth="1"/>
    <col min="1038" max="1040" width="10.42578125" style="90" customWidth="1"/>
    <col min="1041" max="1042" width="12.140625" style="90" customWidth="1"/>
    <col min="1043" max="1043" width="11.85546875" style="90" bestFit="1" customWidth="1"/>
    <col min="1044" max="1045" width="10.5703125" style="90" bestFit="1" customWidth="1"/>
    <col min="1046" max="1046" width="11.85546875" style="90" bestFit="1" customWidth="1"/>
    <col min="1047" max="1047" width="10.5703125" style="90" bestFit="1" customWidth="1"/>
    <col min="1048" max="1049" width="10.5703125" style="90" customWidth="1"/>
    <col min="1050" max="1057" width="9.140625" style="90"/>
    <col min="1058" max="1058" width="10.85546875" style="90" customWidth="1"/>
    <col min="1059" max="1280" width="9.140625" style="90"/>
    <col min="1281" max="1281" width="15.5703125" style="90" customWidth="1"/>
    <col min="1282" max="1284" width="10.85546875" style="90" customWidth="1"/>
    <col min="1285" max="1285" width="2.28515625" style="90" customWidth="1"/>
    <col min="1286" max="1288" width="10.140625" style="90" customWidth="1"/>
    <col min="1289" max="1289" width="2.42578125" style="90" customWidth="1"/>
    <col min="1290" max="1292" width="10.28515625" style="90" customWidth="1"/>
    <col min="1293" max="1293" width="2.85546875" style="90" customWidth="1"/>
    <col min="1294" max="1296" width="10.42578125" style="90" customWidth="1"/>
    <col min="1297" max="1298" width="12.140625" style="90" customWidth="1"/>
    <col min="1299" max="1299" width="11.85546875" style="90" bestFit="1" customWidth="1"/>
    <col min="1300" max="1301" width="10.5703125" style="90" bestFit="1" customWidth="1"/>
    <col min="1302" max="1302" width="11.85546875" style="90" bestFit="1" customWidth="1"/>
    <col min="1303" max="1303" width="10.5703125" style="90" bestFit="1" customWidth="1"/>
    <col min="1304" max="1305" width="10.5703125" style="90" customWidth="1"/>
    <col min="1306" max="1313" width="9.140625" style="90"/>
    <col min="1314" max="1314" width="10.85546875" style="90" customWidth="1"/>
    <col min="1315" max="1536" width="9.140625" style="90"/>
    <col min="1537" max="1537" width="15.5703125" style="90" customWidth="1"/>
    <col min="1538" max="1540" width="10.85546875" style="90" customWidth="1"/>
    <col min="1541" max="1541" width="2.28515625" style="90" customWidth="1"/>
    <col min="1542" max="1544" width="10.140625" style="90" customWidth="1"/>
    <col min="1545" max="1545" width="2.42578125" style="90" customWidth="1"/>
    <col min="1546" max="1548" width="10.28515625" style="90" customWidth="1"/>
    <col min="1549" max="1549" width="2.85546875" style="90" customWidth="1"/>
    <col min="1550" max="1552" width="10.42578125" style="90" customWidth="1"/>
    <col min="1553" max="1554" width="12.140625" style="90" customWidth="1"/>
    <col min="1555" max="1555" width="11.85546875" style="90" bestFit="1" customWidth="1"/>
    <col min="1556" max="1557" width="10.5703125" style="90" bestFit="1" customWidth="1"/>
    <col min="1558" max="1558" width="11.85546875" style="90" bestFit="1" customWidth="1"/>
    <col min="1559" max="1559" width="10.5703125" style="90" bestFit="1" customWidth="1"/>
    <col min="1560" max="1561" width="10.5703125" style="90" customWidth="1"/>
    <col min="1562" max="1569" width="9.140625" style="90"/>
    <col min="1570" max="1570" width="10.85546875" style="90" customWidth="1"/>
    <col min="1571" max="1792" width="9.140625" style="90"/>
    <col min="1793" max="1793" width="15.5703125" style="90" customWidth="1"/>
    <col min="1794" max="1796" width="10.85546875" style="90" customWidth="1"/>
    <col min="1797" max="1797" width="2.28515625" style="90" customWidth="1"/>
    <col min="1798" max="1800" width="10.140625" style="90" customWidth="1"/>
    <col min="1801" max="1801" width="2.42578125" style="90" customWidth="1"/>
    <col min="1802" max="1804" width="10.28515625" style="90" customWidth="1"/>
    <col min="1805" max="1805" width="2.85546875" style="90" customWidth="1"/>
    <col min="1806" max="1808" width="10.42578125" style="90" customWidth="1"/>
    <col min="1809" max="1810" width="12.140625" style="90" customWidth="1"/>
    <col min="1811" max="1811" width="11.85546875" style="90" bestFit="1" customWidth="1"/>
    <col min="1812" max="1813" width="10.5703125" style="90" bestFit="1" customWidth="1"/>
    <col min="1814" max="1814" width="11.85546875" style="90" bestFit="1" customWidth="1"/>
    <col min="1815" max="1815" width="10.5703125" style="90" bestFit="1" customWidth="1"/>
    <col min="1816" max="1817" width="10.5703125" style="90" customWidth="1"/>
    <col min="1818" max="1825" width="9.140625" style="90"/>
    <col min="1826" max="1826" width="10.85546875" style="90" customWidth="1"/>
    <col min="1827" max="2048" width="9.140625" style="90"/>
    <col min="2049" max="2049" width="15.5703125" style="90" customWidth="1"/>
    <col min="2050" max="2052" width="10.85546875" style="90" customWidth="1"/>
    <col min="2053" max="2053" width="2.28515625" style="90" customWidth="1"/>
    <col min="2054" max="2056" width="10.140625" style="90" customWidth="1"/>
    <col min="2057" max="2057" width="2.42578125" style="90" customWidth="1"/>
    <col min="2058" max="2060" width="10.28515625" style="90" customWidth="1"/>
    <col min="2061" max="2061" width="2.85546875" style="90" customWidth="1"/>
    <col min="2062" max="2064" width="10.42578125" style="90" customWidth="1"/>
    <col min="2065" max="2066" width="12.140625" style="90" customWidth="1"/>
    <col min="2067" max="2067" width="11.85546875" style="90" bestFit="1" customWidth="1"/>
    <col min="2068" max="2069" width="10.5703125" style="90" bestFit="1" customWidth="1"/>
    <col min="2070" max="2070" width="11.85546875" style="90" bestFit="1" customWidth="1"/>
    <col min="2071" max="2071" width="10.5703125" style="90" bestFit="1" customWidth="1"/>
    <col min="2072" max="2073" width="10.5703125" style="90" customWidth="1"/>
    <col min="2074" max="2081" width="9.140625" style="90"/>
    <col min="2082" max="2082" width="10.85546875" style="90" customWidth="1"/>
    <col min="2083" max="2304" width="9.140625" style="90"/>
    <col min="2305" max="2305" width="15.5703125" style="90" customWidth="1"/>
    <col min="2306" max="2308" width="10.85546875" style="90" customWidth="1"/>
    <col min="2309" max="2309" width="2.28515625" style="90" customWidth="1"/>
    <col min="2310" max="2312" width="10.140625" style="90" customWidth="1"/>
    <col min="2313" max="2313" width="2.42578125" style="90" customWidth="1"/>
    <col min="2314" max="2316" width="10.28515625" style="90" customWidth="1"/>
    <col min="2317" max="2317" width="2.85546875" style="90" customWidth="1"/>
    <col min="2318" max="2320" width="10.42578125" style="90" customWidth="1"/>
    <col min="2321" max="2322" width="12.140625" style="90" customWidth="1"/>
    <col min="2323" max="2323" width="11.85546875" style="90" bestFit="1" customWidth="1"/>
    <col min="2324" max="2325" width="10.5703125" style="90" bestFit="1" customWidth="1"/>
    <col min="2326" max="2326" width="11.85546875" style="90" bestFit="1" customWidth="1"/>
    <col min="2327" max="2327" width="10.5703125" style="90" bestFit="1" customWidth="1"/>
    <col min="2328" max="2329" width="10.5703125" style="90" customWidth="1"/>
    <col min="2330" max="2337" width="9.140625" style="90"/>
    <col min="2338" max="2338" width="10.85546875" style="90" customWidth="1"/>
    <col min="2339" max="2560" width="9.140625" style="90"/>
    <col min="2561" max="2561" width="15.5703125" style="90" customWidth="1"/>
    <col min="2562" max="2564" width="10.85546875" style="90" customWidth="1"/>
    <col min="2565" max="2565" width="2.28515625" style="90" customWidth="1"/>
    <col min="2566" max="2568" width="10.140625" style="90" customWidth="1"/>
    <col min="2569" max="2569" width="2.42578125" style="90" customWidth="1"/>
    <col min="2570" max="2572" width="10.28515625" style="90" customWidth="1"/>
    <col min="2573" max="2573" width="2.85546875" style="90" customWidth="1"/>
    <col min="2574" max="2576" width="10.42578125" style="90" customWidth="1"/>
    <col min="2577" max="2578" width="12.140625" style="90" customWidth="1"/>
    <col min="2579" max="2579" width="11.85546875" style="90" bestFit="1" customWidth="1"/>
    <col min="2580" max="2581" width="10.5703125" style="90" bestFit="1" customWidth="1"/>
    <col min="2582" max="2582" width="11.85546875" style="90" bestFit="1" customWidth="1"/>
    <col min="2583" max="2583" width="10.5703125" style="90" bestFit="1" customWidth="1"/>
    <col min="2584" max="2585" width="10.5703125" style="90" customWidth="1"/>
    <col min="2586" max="2593" width="9.140625" style="90"/>
    <col min="2594" max="2594" width="10.85546875" style="90" customWidth="1"/>
    <col min="2595" max="2816" width="9.140625" style="90"/>
    <col min="2817" max="2817" width="15.5703125" style="90" customWidth="1"/>
    <col min="2818" max="2820" width="10.85546875" style="90" customWidth="1"/>
    <col min="2821" max="2821" width="2.28515625" style="90" customWidth="1"/>
    <col min="2822" max="2824" width="10.140625" style="90" customWidth="1"/>
    <col min="2825" max="2825" width="2.42578125" style="90" customWidth="1"/>
    <col min="2826" max="2828" width="10.28515625" style="90" customWidth="1"/>
    <col min="2829" max="2829" width="2.85546875" style="90" customWidth="1"/>
    <col min="2830" max="2832" width="10.42578125" style="90" customWidth="1"/>
    <col min="2833" max="2834" width="12.140625" style="90" customWidth="1"/>
    <col min="2835" max="2835" width="11.85546875" style="90" bestFit="1" customWidth="1"/>
    <col min="2836" max="2837" width="10.5703125" style="90" bestFit="1" customWidth="1"/>
    <col min="2838" max="2838" width="11.85546875" style="90" bestFit="1" customWidth="1"/>
    <col min="2839" max="2839" width="10.5703125" style="90" bestFit="1" customWidth="1"/>
    <col min="2840" max="2841" width="10.5703125" style="90" customWidth="1"/>
    <col min="2842" max="2849" width="9.140625" style="90"/>
    <col min="2850" max="2850" width="10.85546875" style="90" customWidth="1"/>
    <col min="2851" max="3072" width="9.140625" style="90"/>
    <col min="3073" max="3073" width="15.5703125" style="90" customWidth="1"/>
    <col min="3074" max="3076" width="10.85546875" style="90" customWidth="1"/>
    <col min="3077" max="3077" width="2.28515625" style="90" customWidth="1"/>
    <col min="3078" max="3080" width="10.140625" style="90" customWidth="1"/>
    <col min="3081" max="3081" width="2.42578125" style="90" customWidth="1"/>
    <col min="3082" max="3084" width="10.28515625" style="90" customWidth="1"/>
    <col min="3085" max="3085" width="2.85546875" style="90" customWidth="1"/>
    <col min="3086" max="3088" width="10.42578125" style="90" customWidth="1"/>
    <col min="3089" max="3090" width="12.140625" style="90" customWidth="1"/>
    <col min="3091" max="3091" width="11.85546875" style="90" bestFit="1" customWidth="1"/>
    <col min="3092" max="3093" width="10.5703125" style="90" bestFit="1" customWidth="1"/>
    <col min="3094" max="3094" width="11.85546875" style="90" bestFit="1" customWidth="1"/>
    <col min="3095" max="3095" width="10.5703125" style="90" bestFit="1" customWidth="1"/>
    <col min="3096" max="3097" width="10.5703125" style="90" customWidth="1"/>
    <col min="3098" max="3105" width="9.140625" style="90"/>
    <col min="3106" max="3106" width="10.85546875" style="90" customWidth="1"/>
    <col min="3107" max="3328" width="9.140625" style="90"/>
    <col min="3329" max="3329" width="15.5703125" style="90" customWidth="1"/>
    <col min="3330" max="3332" width="10.85546875" style="90" customWidth="1"/>
    <col min="3333" max="3333" width="2.28515625" style="90" customWidth="1"/>
    <col min="3334" max="3336" width="10.140625" style="90" customWidth="1"/>
    <col min="3337" max="3337" width="2.42578125" style="90" customWidth="1"/>
    <col min="3338" max="3340" width="10.28515625" style="90" customWidth="1"/>
    <col min="3341" max="3341" width="2.85546875" style="90" customWidth="1"/>
    <col min="3342" max="3344" width="10.42578125" style="90" customWidth="1"/>
    <col min="3345" max="3346" width="12.140625" style="90" customWidth="1"/>
    <col min="3347" max="3347" width="11.85546875" style="90" bestFit="1" customWidth="1"/>
    <col min="3348" max="3349" width="10.5703125" style="90" bestFit="1" customWidth="1"/>
    <col min="3350" max="3350" width="11.85546875" style="90" bestFit="1" customWidth="1"/>
    <col min="3351" max="3351" width="10.5703125" style="90" bestFit="1" customWidth="1"/>
    <col min="3352" max="3353" width="10.5703125" style="90" customWidth="1"/>
    <col min="3354" max="3361" width="9.140625" style="90"/>
    <col min="3362" max="3362" width="10.85546875" style="90" customWidth="1"/>
    <col min="3363" max="3584" width="9.140625" style="90"/>
    <col min="3585" max="3585" width="15.5703125" style="90" customWidth="1"/>
    <col min="3586" max="3588" width="10.85546875" style="90" customWidth="1"/>
    <col min="3589" max="3589" width="2.28515625" style="90" customWidth="1"/>
    <col min="3590" max="3592" width="10.140625" style="90" customWidth="1"/>
    <col min="3593" max="3593" width="2.42578125" style="90" customWidth="1"/>
    <col min="3594" max="3596" width="10.28515625" style="90" customWidth="1"/>
    <col min="3597" max="3597" width="2.85546875" style="90" customWidth="1"/>
    <col min="3598" max="3600" width="10.42578125" style="90" customWidth="1"/>
    <col min="3601" max="3602" width="12.140625" style="90" customWidth="1"/>
    <col min="3603" max="3603" width="11.85546875" style="90" bestFit="1" customWidth="1"/>
    <col min="3604" max="3605" width="10.5703125" style="90" bestFit="1" customWidth="1"/>
    <col min="3606" max="3606" width="11.85546875" style="90" bestFit="1" customWidth="1"/>
    <col min="3607" max="3607" width="10.5703125" style="90" bestFit="1" customWidth="1"/>
    <col min="3608" max="3609" width="10.5703125" style="90" customWidth="1"/>
    <col min="3610" max="3617" width="9.140625" style="90"/>
    <col min="3618" max="3618" width="10.85546875" style="90" customWidth="1"/>
    <col min="3619" max="3840" width="9.140625" style="90"/>
    <col min="3841" max="3841" width="15.5703125" style="90" customWidth="1"/>
    <col min="3842" max="3844" width="10.85546875" style="90" customWidth="1"/>
    <col min="3845" max="3845" width="2.28515625" style="90" customWidth="1"/>
    <col min="3846" max="3848" width="10.140625" style="90" customWidth="1"/>
    <col min="3849" max="3849" width="2.42578125" style="90" customWidth="1"/>
    <col min="3850" max="3852" width="10.28515625" style="90" customWidth="1"/>
    <col min="3853" max="3853" width="2.85546875" style="90" customWidth="1"/>
    <col min="3854" max="3856" width="10.42578125" style="90" customWidth="1"/>
    <col min="3857" max="3858" width="12.140625" style="90" customWidth="1"/>
    <col min="3859" max="3859" width="11.85546875" style="90" bestFit="1" customWidth="1"/>
    <col min="3860" max="3861" width="10.5703125" style="90" bestFit="1" customWidth="1"/>
    <col min="3862" max="3862" width="11.85546875" style="90" bestFit="1" customWidth="1"/>
    <col min="3863" max="3863" width="10.5703125" style="90" bestFit="1" customWidth="1"/>
    <col min="3864" max="3865" width="10.5703125" style="90" customWidth="1"/>
    <col min="3866" max="3873" width="9.140625" style="90"/>
    <col min="3874" max="3874" width="10.85546875" style="90" customWidth="1"/>
    <col min="3875" max="4096" width="9.140625" style="90"/>
    <col min="4097" max="4097" width="15.5703125" style="90" customWidth="1"/>
    <col min="4098" max="4100" width="10.85546875" style="90" customWidth="1"/>
    <col min="4101" max="4101" width="2.28515625" style="90" customWidth="1"/>
    <col min="4102" max="4104" width="10.140625" style="90" customWidth="1"/>
    <col min="4105" max="4105" width="2.42578125" style="90" customWidth="1"/>
    <col min="4106" max="4108" width="10.28515625" style="90" customWidth="1"/>
    <col min="4109" max="4109" width="2.85546875" style="90" customWidth="1"/>
    <col min="4110" max="4112" width="10.42578125" style="90" customWidth="1"/>
    <col min="4113" max="4114" width="12.140625" style="90" customWidth="1"/>
    <col min="4115" max="4115" width="11.85546875" style="90" bestFit="1" customWidth="1"/>
    <col min="4116" max="4117" width="10.5703125" style="90" bestFit="1" customWidth="1"/>
    <col min="4118" max="4118" width="11.85546875" style="90" bestFit="1" customWidth="1"/>
    <col min="4119" max="4119" width="10.5703125" style="90" bestFit="1" customWidth="1"/>
    <col min="4120" max="4121" width="10.5703125" style="90" customWidth="1"/>
    <col min="4122" max="4129" width="9.140625" style="90"/>
    <col min="4130" max="4130" width="10.85546875" style="90" customWidth="1"/>
    <col min="4131" max="4352" width="9.140625" style="90"/>
    <col min="4353" max="4353" width="15.5703125" style="90" customWidth="1"/>
    <col min="4354" max="4356" width="10.85546875" style="90" customWidth="1"/>
    <col min="4357" max="4357" width="2.28515625" style="90" customWidth="1"/>
    <col min="4358" max="4360" width="10.140625" style="90" customWidth="1"/>
    <col min="4361" max="4361" width="2.42578125" style="90" customWidth="1"/>
    <col min="4362" max="4364" width="10.28515625" style="90" customWidth="1"/>
    <col min="4365" max="4365" width="2.85546875" style="90" customWidth="1"/>
    <col min="4366" max="4368" width="10.42578125" style="90" customWidth="1"/>
    <col min="4369" max="4370" width="12.140625" style="90" customWidth="1"/>
    <col min="4371" max="4371" width="11.85546875" style="90" bestFit="1" customWidth="1"/>
    <col min="4372" max="4373" width="10.5703125" style="90" bestFit="1" customWidth="1"/>
    <col min="4374" max="4374" width="11.85546875" style="90" bestFit="1" customWidth="1"/>
    <col min="4375" max="4375" width="10.5703125" style="90" bestFit="1" customWidth="1"/>
    <col min="4376" max="4377" width="10.5703125" style="90" customWidth="1"/>
    <col min="4378" max="4385" width="9.140625" style="90"/>
    <col min="4386" max="4386" width="10.85546875" style="90" customWidth="1"/>
    <col min="4387" max="4608" width="9.140625" style="90"/>
    <col min="4609" max="4609" width="15.5703125" style="90" customWidth="1"/>
    <col min="4610" max="4612" width="10.85546875" style="90" customWidth="1"/>
    <col min="4613" max="4613" width="2.28515625" style="90" customWidth="1"/>
    <col min="4614" max="4616" width="10.140625" style="90" customWidth="1"/>
    <col min="4617" max="4617" width="2.42578125" style="90" customWidth="1"/>
    <col min="4618" max="4620" width="10.28515625" style="90" customWidth="1"/>
    <col min="4621" max="4621" width="2.85546875" style="90" customWidth="1"/>
    <col min="4622" max="4624" width="10.42578125" style="90" customWidth="1"/>
    <col min="4625" max="4626" width="12.140625" style="90" customWidth="1"/>
    <col min="4627" max="4627" width="11.85546875" style="90" bestFit="1" customWidth="1"/>
    <col min="4628" max="4629" width="10.5703125" style="90" bestFit="1" customWidth="1"/>
    <col min="4630" max="4630" width="11.85546875" style="90" bestFit="1" customWidth="1"/>
    <col min="4631" max="4631" width="10.5703125" style="90" bestFit="1" customWidth="1"/>
    <col min="4632" max="4633" width="10.5703125" style="90" customWidth="1"/>
    <col min="4634" max="4641" width="9.140625" style="90"/>
    <col min="4642" max="4642" width="10.85546875" style="90" customWidth="1"/>
    <col min="4643" max="4864" width="9.140625" style="90"/>
    <col min="4865" max="4865" width="15.5703125" style="90" customWidth="1"/>
    <col min="4866" max="4868" width="10.85546875" style="90" customWidth="1"/>
    <col min="4869" max="4869" width="2.28515625" style="90" customWidth="1"/>
    <col min="4870" max="4872" width="10.140625" style="90" customWidth="1"/>
    <col min="4873" max="4873" width="2.42578125" style="90" customWidth="1"/>
    <col min="4874" max="4876" width="10.28515625" style="90" customWidth="1"/>
    <col min="4877" max="4877" width="2.85546875" style="90" customWidth="1"/>
    <col min="4878" max="4880" width="10.42578125" style="90" customWidth="1"/>
    <col min="4881" max="4882" width="12.140625" style="90" customWidth="1"/>
    <col min="4883" max="4883" width="11.85546875" style="90" bestFit="1" customWidth="1"/>
    <col min="4884" max="4885" width="10.5703125" style="90" bestFit="1" customWidth="1"/>
    <col min="4886" max="4886" width="11.85546875" style="90" bestFit="1" customWidth="1"/>
    <col min="4887" max="4887" width="10.5703125" style="90" bestFit="1" customWidth="1"/>
    <col min="4888" max="4889" width="10.5703125" style="90" customWidth="1"/>
    <col min="4890" max="4897" width="9.140625" style="90"/>
    <col min="4898" max="4898" width="10.85546875" style="90" customWidth="1"/>
    <col min="4899" max="5120" width="9.140625" style="90"/>
    <col min="5121" max="5121" width="15.5703125" style="90" customWidth="1"/>
    <col min="5122" max="5124" width="10.85546875" style="90" customWidth="1"/>
    <col min="5125" max="5125" width="2.28515625" style="90" customWidth="1"/>
    <col min="5126" max="5128" width="10.140625" style="90" customWidth="1"/>
    <col min="5129" max="5129" width="2.42578125" style="90" customWidth="1"/>
    <col min="5130" max="5132" width="10.28515625" style="90" customWidth="1"/>
    <col min="5133" max="5133" width="2.85546875" style="90" customWidth="1"/>
    <col min="5134" max="5136" width="10.42578125" style="90" customWidth="1"/>
    <col min="5137" max="5138" width="12.140625" style="90" customWidth="1"/>
    <col min="5139" max="5139" width="11.85546875" style="90" bestFit="1" customWidth="1"/>
    <col min="5140" max="5141" width="10.5703125" style="90" bestFit="1" customWidth="1"/>
    <col min="5142" max="5142" width="11.85546875" style="90" bestFit="1" customWidth="1"/>
    <col min="5143" max="5143" width="10.5703125" style="90" bestFit="1" customWidth="1"/>
    <col min="5144" max="5145" width="10.5703125" style="90" customWidth="1"/>
    <col min="5146" max="5153" width="9.140625" style="90"/>
    <col min="5154" max="5154" width="10.85546875" style="90" customWidth="1"/>
    <col min="5155" max="5376" width="9.140625" style="90"/>
    <col min="5377" max="5377" width="15.5703125" style="90" customWidth="1"/>
    <col min="5378" max="5380" width="10.85546875" style="90" customWidth="1"/>
    <col min="5381" max="5381" width="2.28515625" style="90" customWidth="1"/>
    <col min="5382" max="5384" width="10.140625" style="90" customWidth="1"/>
    <col min="5385" max="5385" width="2.42578125" style="90" customWidth="1"/>
    <col min="5386" max="5388" width="10.28515625" style="90" customWidth="1"/>
    <col min="5389" max="5389" width="2.85546875" style="90" customWidth="1"/>
    <col min="5390" max="5392" width="10.42578125" style="90" customWidth="1"/>
    <col min="5393" max="5394" width="12.140625" style="90" customWidth="1"/>
    <col min="5395" max="5395" width="11.85546875" style="90" bestFit="1" customWidth="1"/>
    <col min="5396" max="5397" width="10.5703125" style="90" bestFit="1" customWidth="1"/>
    <col min="5398" max="5398" width="11.85546875" style="90" bestFit="1" customWidth="1"/>
    <col min="5399" max="5399" width="10.5703125" style="90" bestFit="1" customWidth="1"/>
    <col min="5400" max="5401" width="10.5703125" style="90" customWidth="1"/>
    <col min="5402" max="5409" width="9.140625" style="90"/>
    <col min="5410" max="5410" width="10.85546875" style="90" customWidth="1"/>
    <col min="5411" max="5632" width="9.140625" style="90"/>
    <col min="5633" max="5633" width="15.5703125" style="90" customWidth="1"/>
    <col min="5634" max="5636" width="10.85546875" style="90" customWidth="1"/>
    <col min="5637" max="5637" width="2.28515625" style="90" customWidth="1"/>
    <col min="5638" max="5640" width="10.140625" style="90" customWidth="1"/>
    <col min="5641" max="5641" width="2.42578125" style="90" customWidth="1"/>
    <col min="5642" max="5644" width="10.28515625" style="90" customWidth="1"/>
    <col min="5645" max="5645" width="2.85546875" style="90" customWidth="1"/>
    <col min="5646" max="5648" width="10.42578125" style="90" customWidth="1"/>
    <col min="5649" max="5650" width="12.140625" style="90" customWidth="1"/>
    <col min="5651" max="5651" width="11.85546875" style="90" bestFit="1" customWidth="1"/>
    <col min="5652" max="5653" width="10.5703125" style="90" bestFit="1" customWidth="1"/>
    <col min="5654" max="5654" width="11.85546875" style="90" bestFit="1" customWidth="1"/>
    <col min="5655" max="5655" width="10.5703125" style="90" bestFit="1" customWidth="1"/>
    <col min="5656" max="5657" width="10.5703125" style="90" customWidth="1"/>
    <col min="5658" max="5665" width="9.140625" style="90"/>
    <col min="5666" max="5666" width="10.85546875" style="90" customWidth="1"/>
    <col min="5667" max="5888" width="9.140625" style="90"/>
    <col min="5889" max="5889" width="15.5703125" style="90" customWidth="1"/>
    <col min="5890" max="5892" width="10.85546875" style="90" customWidth="1"/>
    <col min="5893" max="5893" width="2.28515625" style="90" customWidth="1"/>
    <col min="5894" max="5896" width="10.140625" style="90" customWidth="1"/>
    <col min="5897" max="5897" width="2.42578125" style="90" customWidth="1"/>
    <col min="5898" max="5900" width="10.28515625" style="90" customWidth="1"/>
    <col min="5901" max="5901" width="2.85546875" style="90" customWidth="1"/>
    <col min="5902" max="5904" width="10.42578125" style="90" customWidth="1"/>
    <col min="5905" max="5906" width="12.140625" style="90" customWidth="1"/>
    <col min="5907" max="5907" width="11.85546875" style="90" bestFit="1" customWidth="1"/>
    <col min="5908" max="5909" width="10.5703125" style="90" bestFit="1" customWidth="1"/>
    <col min="5910" max="5910" width="11.85546875" style="90" bestFit="1" customWidth="1"/>
    <col min="5911" max="5911" width="10.5703125" style="90" bestFit="1" customWidth="1"/>
    <col min="5912" max="5913" width="10.5703125" style="90" customWidth="1"/>
    <col min="5914" max="5921" width="9.140625" style="90"/>
    <col min="5922" max="5922" width="10.85546875" style="90" customWidth="1"/>
    <col min="5923" max="6144" width="9.140625" style="90"/>
    <col min="6145" max="6145" width="15.5703125" style="90" customWidth="1"/>
    <col min="6146" max="6148" width="10.85546875" style="90" customWidth="1"/>
    <col min="6149" max="6149" width="2.28515625" style="90" customWidth="1"/>
    <col min="6150" max="6152" width="10.140625" style="90" customWidth="1"/>
    <col min="6153" max="6153" width="2.42578125" style="90" customWidth="1"/>
    <col min="6154" max="6156" width="10.28515625" style="90" customWidth="1"/>
    <col min="6157" max="6157" width="2.85546875" style="90" customWidth="1"/>
    <col min="6158" max="6160" width="10.42578125" style="90" customWidth="1"/>
    <col min="6161" max="6162" width="12.140625" style="90" customWidth="1"/>
    <col min="6163" max="6163" width="11.85546875" style="90" bestFit="1" customWidth="1"/>
    <col min="6164" max="6165" width="10.5703125" style="90" bestFit="1" customWidth="1"/>
    <col min="6166" max="6166" width="11.85546875" style="90" bestFit="1" customWidth="1"/>
    <col min="6167" max="6167" width="10.5703125" style="90" bestFit="1" customWidth="1"/>
    <col min="6168" max="6169" width="10.5703125" style="90" customWidth="1"/>
    <col min="6170" max="6177" width="9.140625" style="90"/>
    <col min="6178" max="6178" width="10.85546875" style="90" customWidth="1"/>
    <col min="6179" max="6400" width="9.140625" style="90"/>
    <col min="6401" max="6401" width="15.5703125" style="90" customWidth="1"/>
    <col min="6402" max="6404" width="10.85546875" style="90" customWidth="1"/>
    <col min="6405" max="6405" width="2.28515625" style="90" customWidth="1"/>
    <col min="6406" max="6408" width="10.140625" style="90" customWidth="1"/>
    <col min="6409" max="6409" width="2.42578125" style="90" customWidth="1"/>
    <col min="6410" max="6412" width="10.28515625" style="90" customWidth="1"/>
    <col min="6413" max="6413" width="2.85546875" style="90" customWidth="1"/>
    <col min="6414" max="6416" width="10.42578125" style="90" customWidth="1"/>
    <col min="6417" max="6418" width="12.140625" style="90" customWidth="1"/>
    <col min="6419" max="6419" width="11.85546875" style="90" bestFit="1" customWidth="1"/>
    <col min="6420" max="6421" width="10.5703125" style="90" bestFit="1" customWidth="1"/>
    <col min="6422" max="6422" width="11.85546875" style="90" bestFit="1" customWidth="1"/>
    <col min="6423" max="6423" width="10.5703125" style="90" bestFit="1" customWidth="1"/>
    <col min="6424" max="6425" width="10.5703125" style="90" customWidth="1"/>
    <col min="6426" max="6433" width="9.140625" style="90"/>
    <col min="6434" max="6434" width="10.85546875" style="90" customWidth="1"/>
    <col min="6435" max="6656" width="9.140625" style="90"/>
    <col min="6657" max="6657" width="15.5703125" style="90" customWidth="1"/>
    <col min="6658" max="6660" width="10.85546875" style="90" customWidth="1"/>
    <col min="6661" max="6661" width="2.28515625" style="90" customWidth="1"/>
    <col min="6662" max="6664" width="10.140625" style="90" customWidth="1"/>
    <col min="6665" max="6665" width="2.42578125" style="90" customWidth="1"/>
    <col min="6666" max="6668" width="10.28515625" style="90" customWidth="1"/>
    <col min="6669" max="6669" width="2.85546875" style="90" customWidth="1"/>
    <col min="6670" max="6672" width="10.42578125" style="90" customWidth="1"/>
    <col min="6673" max="6674" width="12.140625" style="90" customWidth="1"/>
    <col min="6675" max="6675" width="11.85546875" style="90" bestFit="1" customWidth="1"/>
    <col min="6676" max="6677" width="10.5703125" style="90" bestFit="1" customWidth="1"/>
    <col min="6678" max="6678" width="11.85546875" style="90" bestFit="1" customWidth="1"/>
    <col min="6679" max="6679" width="10.5703125" style="90" bestFit="1" customWidth="1"/>
    <col min="6680" max="6681" width="10.5703125" style="90" customWidth="1"/>
    <col min="6682" max="6689" width="9.140625" style="90"/>
    <col min="6690" max="6690" width="10.85546875" style="90" customWidth="1"/>
    <col min="6691" max="6912" width="9.140625" style="90"/>
    <col min="6913" max="6913" width="15.5703125" style="90" customWidth="1"/>
    <col min="6914" max="6916" width="10.85546875" style="90" customWidth="1"/>
    <col min="6917" max="6917" width="2.28515625" style="90" customWidth="1"/>
    <col min="6918" max="6920" width="10.140625" style="90" customWidth="1"/>
    <col min="6921" max="6921" width="2.42578125" style="90" customWidth="1"/>
    <col min="6922" max="6924" width="10.28515625" style="90" customWidth="1"/>
    <col min="6925" max="6925" width="2.85546875" style="90" customWidth="1"/>
    <col min="6926" max="6928" width="10.42578125" style="90" customWidth="1"/>
    <col min="6929" max="6930" width="12.140625" style="90" customWidth="1"/>
    <col min="6931" max="6931" width="11.85546875" style="90" bestFit="1" customWidth="1"/>
    <col min="6932" max="6933" width="10.5703125" style="90" bestFit="1" customWidth="1"/>
    <col min="6934" max="6934" width="11.85546875" style="90" bestFit="1" customWidth="1"/>
    <col min="6935" max="6935" width="10.5703125" style="90" bestFit="1" customWidth="1"/>
    <col min="6936" max="6937" width="10.5703125" style="90" customWidth="1"/>
    <col min="6938" max="6945" width="9.140625" style="90"/>
    <col min="6946" max="6946" width="10.85546875" style="90" customWidth="1"/>
    <col min="6947" max="7168" width="9.140625" style="90"/>
    <col min="7169" max="7169" width="15.5703125" style="90" customWidth="1"/>
    <col min="7170" max="7172" width="10.85546875" style="90" customWidth="1"/>
    <col min="7173" max="7173" width="2.28515625" style="90" customWidth="1"/>
    <col min="7174" max="7176" width="10.140625" style="90" customWidth="1"/>
    <col min="7177" max="7177" width="2.42578125" style="90" customWidth="1"/>
    <col min="7178" max="7180" width="10.28515625" style="90" customWidth="1"/>
    <col min="7181" max="7181" width="2.85546875" style="90" customWidth="1"/>
    <col min="7182" max="7184" width="10.42578125" style="90" customWidth="1"/>
    <col min="7185" max="7186" width="12.140625" style="90" customWidth="1"/>
    <col min="7187" max="7187" width="11.85546875" style="90" bestFit="1" customWidth="1"/>
    <col min="7188" max="7189" width="10.5703125" style="90" bestFit="1" customWidth="1"/>
    <col min="7190" max="7190" width="11.85546875" style="90" bestFit="1" customWidth="1"/>
    <col min="7191" max="7191" width="10.5703125" style="90" bestFit="1" customWidth="1"/>
    <col min="7192" max="7193" width="10.5703125" style="90" customWidth="1"/>
    <col min="7194" max="7201" width="9.140625" style="90"/>
    <col min="7202" max="7202" width="10.85546875" style="90" customWidth="1"/>
    <col min="7203" max="7424" width="9.140625" style="90"/>
    <col min="7425" max="7425" width="15.5703125" style="90" customWidth="1"/>
    <col min="7426" max="7428" width="10.85546875" style="90" customWidth="1"/>
    <col min="7429" max="7429" width="2.28515625" style="90" customWidth="1"/>
    <col min="7430" max="7432" width="10.140625" style="90" customWidth="1"/>
    <col min="7433" max="7433" width="2.42578125" style="90" customWidth="1"/>
    <col min="7434" max="7436" width="10.28515625" style="90" customWidth="1"/>
    <col min="7437" max="7437" width="2.85546875" style="90" customWidth="1"/>
    <col min="7438" max="7440" width="10.42578125" style="90" customWidth="1"/>
    <col min="7441" max="7442" width="12.140625" style="90" customWidth="1"/>
    <col min="7443" max="7443" width="11.85546875" style="90" bestFit="1" customWidth="1"/>
    <col min="7444" max="7445" width="10.5703125" style="90" bestFit="1" customWidth="1"/>
    <col min="7446" max="7446" width="11.85546875" style="90" bestFit="1" customWidth="1"/>
    <col min="7447" max="7447" width="10.5703125" style="90" bestFit="1" customWidth="1"/>
    <col min="7448" max="7449" width="10.5703125" style="90" customWidth="1"/>
    <col min="7450" max="7457" width="9.140625" style="90"/>
    <col min="7458" max="7458" width="10.85546875" style="90" customWidth="1"/>
    <col min="7459" max="7680" width="9.140625" style="90"/>
    <col min="7681" max="7681" width="15.5703125" style="90" customWidth="1"/>
    <col min="7682" max="7684" width="10.85546875" style="90" customWidth="1"/>
    <col min="7685" max="7685" width="2.28515625" style="90" customWidth="1"/>
    <col min="7686" max="7688" width="10.140625" style="90" customWidth="1"/>
    <col min="7689" max="7689" width="2.42578125" style="90" customWidth="1"/>
    <col min="7690" max="7692" width="10.28515625" style="90" customWidth="1"/>
    <col min="7693" max="7693" width="2.85546875" style="90" customWidth="1"/>
    <col min="7694" max="7696" width="10.42578125" style="90" customWidth="1"/>
    <col min="7697" max="7698" width="12.140625" style="90" customWidth="1"/>
    <col min="7699" max="7699" width="11.85546875" style="90" bestFit="1" customWidth="1"/>
    <col min="7700" max="7701" width="10.5703125" style="90" bestFit="1" customWidth="1"/>
    <col min="7702" max="7702" width="11.85546875" style="90" bestFit="1" customWidth="1"/>
    <col min="7703" max="7703" width="10.5703125" style="90" bestFit="1" customWidth="1"/>
    <col min="7704" max="7705" width="10.5703125" style="90" customWidth="1"/>
    <col min="7706" max="7713" width="9.140625" style="90"/>
    <col min="7714" max="7714" width="10.85546875" style="90" customWidth="1"/>
    <col min="7715" max="7936" width="9.140625" style="90"/>
    <col min="7937" max="7937" width="15.5703125" style="90" customWidth="1"/>
    <col min="7938" max="7940" width="10.85546875" style="90" customWidth="1"/>
    <col min="7941" max="7941" width="2.28515625" style="90" customWidth="1"/>
    <col min="7942" max="7944" width="10.140625" style="90" customWidth="1"/>
    <col min="7945" max="7945" width="2.42578125" style="90" customWidth="1"/>
    <col min="7946" max="7948" width="10.28515625" style="90" customWidth="1"/>
    <col min="7949" max="7949" width="2.85546875" style="90" customWidth="1"/>
    <col min="7950" max="7952" width="10.42578125" style="90" customWidth="1"/>
    <col min="7953" max="7954" width="12.140625" style="90" customWidth="1"/>
    <col min="7955" max="7955" width="11.85546875" style="90" bestFit="1" customWidth="1"/>
    <col min="7956" max="7957" width="10.5703125" style="90" bestFit="1" customWidth="1"/>
    <col min="7958" max="7958" width="11.85546875" style="90" bestFit="1" customWidth="1"/>
    <col min="7959" max="7959" width="10.5703125" style="90" bestFit="1" customWidth="1"/>
    <col min="7960" max="7961" width="10.5703125" style="90" customWidth="1"/>
    <col min="7962" max="7969" width="9.140625" style="90"/>
    <col min="7970" max="7970" width="10.85546875" style="90" customWidth="1"/>
    <col min="7971" max="8192" width="9.140625" style="90"/>
    <col min="8193" max="8193" width="15.5703125" style="90" customWidth="1"/>
    <col min="8194" max="8196" width="10.85546875" style="90" customWidth="1"/>
    <col min="8197" max="8197" width="2.28515625" style="90" customWidth="1"/>
    <col min="8198" max="8200" width="10.140625" style="90" customWidth="1"/>
    <col min="8201" max="8201" width="2.42578125" style="90" customWidth="1"/>
    <col min="8202" max="8204" width="10.28515625" style="90" customWidth="1"/>
    <col min="8205" max="8205" width="2.85546875" style="90" customWidth="1"/>
    <col min="8206" max="8208" width="10.42578125" style="90" customWidth="1"/>
    <col min="8209" max="8210" width="12.140625" style="90" customWidth="1"/>
    <col min="8211" max="8211" width="11.85546875" style="90" bestFit="1" customWidth="1"/>
    <col min="8212" max="8213" width="10.5703125" style="90" bestFit="1" customWidth="1"/>
    <col min="8214" max="8214" width="11.85546875" style="90" bestFit="1" customWidth="1"/>
    <col min="8215" max="8215" width="10.5703125" style="90" bestFit="1" customWidth="1"/>
    <col min="8216" max="8217" width="10.5703125" style="90" customWidth="1"/>
    <col min="8218" max="8225" width="9.140625" style="90"/>
    <col min="8226" max="8226" width="10.85546875" style="90" customWidth="1"/>
    <col min="8227" max="8448" width="9.140625" style="90"/>
    <col min="8449" max="8449" width="15.5703125" style="90" customWidth="1"/>
    <col min="8450" max="8452" width="10.85546875" style="90" customWidth="1"/>
    <col min="8453" max="8453" width="2.28515625" style="90" customWidth="1"/>
    <col min="8454" max="8456" width="10.140625" style="90" customWidth="1"/>
    <col min="8457" max="8457" width="2.42578125" style="90" customWidth="1"/>
    <col min="8458" max="8460" width="10.28515625" style="90" customWidth="1"/>
    <col min="8461" max="8461" width="2.85546875" style="90" customWidth="1"/>
    <col min="8462" max="8464" width="10.42578125" style="90" customWidth="1"/>
    <col min="8465" max="8466" width="12.140625" style="90" customWidth="1"/>
    <col min="8467" max="8467" width="11.85546875" style="90" bestFit="1" customWidth="1"/>
    <col min="8468" max="8469" width="10.5703125" style="90" bestFit="1" customWidth="1"/>
    <col min="8470" max="8470" width="11.85546875" style="90" bestFit="1" customWidth="1"/>
    <col min="8471" max="8471" width="10.5703125" style="90" bestFit="1" customWidth="1"/>
    <col min="8472" max="8473" width="10.5703125" style="90" customWidth="1"/>
    <col min="8474" max="8481" width="9.140625" style="90"/>
    <col min="8482" max="8482" width="10.85546875" style="90" customWidth="1"/>
    <col min="8483" max="8704" width="9.140625" style="90"/>
    <col min="8705" max="8705" width="15.5703125" style="90" customWidth="1"/>
    <col min="8706" max="8708" width="10.85546875" style="90" customWidth="1"/>
    <col min="8709" max="8709" width="2.28515625" style="90" customWidth="1"/>
    <col min="8710" max="8712" width="10.140625" style="90" customWidth="1"/>
    <col min="8713" max="8713" width="2.42578125" style="90" customWidth="1"/>
    <col min="8714" max="8716" width="10.28515625" style="90" customWidth="1"/>
    <col min="8717" max="8717" width="2.85546875" style="90" customWidth="1"/>
    <col min="8718" max="8720" width="10.42578125" style="90" customWidth="1"/>
    <col min="8721" max="8722" width="12.140625" style="90" customWidth="1"/>
    <col min="8723" max="8723" width="11.85546875" style="90" bestFit="1" customWidth="1"/>
    <col min="8724" max="8725" width="10.5703125" style="90" bestFit="1" customWidth="1"/>
    <col min="8726" max="8726" width="11.85546875" style="90" bestFit="1" customWidth="1"/>
    <col min="8727" max="8727" width="10.5703125" style="90" bestFit="1" customWidth="1"/>
    <col min="8728" max="8729" width="10.5703125" style="90" customWidth="1"/>
    <col min="8730" max="8737" width="9.140625" style="90"/>
    <col min="8738" max="8738" width="10.85546875" style="90" customWidth="1"/>
    <col min="8739" max="8960" width="9.140625" style="90"/>
    <col min="8961" max="8961" width="15.5703125" style="90" customWidth="1"/>
    <col min="8962" max="8964" width="10.85546875" style="90" customWidth="1"/>
    <col min="8965" max="8965" width="2.28515625" style="90" customWidth="1"/>
    <col min="8966" max="8968" width="10.140625" style="90" customWidth="1"/>
    <col min="8969" max="8969" width="2.42578125" style="90" customWidth="1"/>
    <col min="8970" max="8972" width="10.28515625" style="90" customWidth="1"/>
    <col min="8973" max="8973" width="2.85546875" style="90" customWidth="1"/>
    <col min="8974" max="8976" width="10.42578125" style="90" customWidth="1"/>
    <col min="8977" max="8978" width="12.140625" style="90" customWidth="1"/>
    <col min="8979" max="8979" width="11.85546875" style="90" bestFit="1" customWidth="1"/>
    <col min="8980" max="8981" width="10.5703125" style="90" bestFit="1" customWidth="1"/>
    <col min="8982" max="8982" width="11.85546875" style="90" bestFit="1" customWidth="1"/>
    <col min="8983" max="8983" width="10.5703125" style="90" bestFit="1" customWidth="1"/>
    <col min="8984" max="8985" width="10.5703125" style="90" customWidth="1"/>
    <col min="8986" max="8993" width="9.140625" style="90"/>
    <col min="8994" max="8994" width="10.85546875" style="90" customWidth="1"/>
    <col min="8995" max="9216" width="9.140625" style="90"/>
    <col min="9217" max="9217" width="15.5703125" style="90" customWidth="1"/>
    <col min="9218" max="9220" width="10.85546875" style="90" customWidth="1"/>
    <col min="9221" max="9221" width="2.28515625" style="90" customWidth="1"/>
    <col min="9222" max="9224" width="10.140625" style="90" customWidth="1"/>
    <col min="9225" max="9225" width="2.42578125" style="90" customWidth="1"/>
    <col min="9226" max="9228" width="10.28515625" style="90" customWidth="1"/>
    <col min="9229" max="9229" width="2.85546875" style="90" customWidth="1"/>
    <col min="9230" max="9232" width="10.42578125" style="90" customWidth="1"/>
    <col min="9233" max="9234" width="12.140625" style="90" customWidth="1"/>
    <col min="9235" max="9235" width="11.85546875" style="90" bestFit="1" customWidth="1"/>
    <col min="9236" max="9237" width="10.5703125" style="90" bestFit="1" customWidth="1"/>
    <col min="9238" max="9238" width="11.85546875" style="90" bestFit="1" customWidth="1"/>
    <col min="9239" max="9239" width="10.5703125" style="90" bestFit="1" customWidth="1"/>
    <col min="9240" max="9241" width="10.5703125" style="90" customWidth="1"/>
    <col min="9242" max="9249" width="9.140625" style="90"/>
    <col min="9250" max="9250" width="10.85546875" style="90" customWidth="1"/>
    <col min="9251" max="9472" width="9.140625" style="90"/>
    <col min="9473" max="9473" width="15.5703125" style="90" customWidth="1"/>
    <col min="9474" max="9476" width="10.85546875" style="90" customWidth="1"/>
    <col min="9477" max="9477" width="2.28515625" style="90" customWidth="1"/>
    <col min="9478" max="9480" width="10.140625" style="90" customWidth="1"/>
    <col min="9481" max="9481" width="2.42578125" style="90" customWidth="1"/>
    <col min="9482" max="9484" width="10.28515625" style="90" customWidth="1"/>
    <col min="9485" max="9485" width="2.85546875" style="90" customWidth="1"/>
    <col min="9486" max="9488" width="10.42578125" style="90" customWidth="1"/>
    <col min="9489" max="9490" width="12.140625" style="90" customWidth="1"/>
    <col min="9491" max="9491" width="11.85546875" style="90" bestFit="1" customWidth="1"/>
    <col min="9492" max="9493" width="10.5703125" style="90" bestFit="1" customWidth="1"/>
    <col min="9494" max="9494" width="11.85546875" style="90" bestFit="1" customWidth="1"/>
    <col min="9495" max="9495" width="10.5703125" style="90" bestFit="1" customWidth="1"/>
    <col min="9496" max="9497" width="10.5703125" style="90" customWidth="1"/>
    <col min="9498" max="9505" width="9.140625" style="90"/>
    <col min="9506" max="9506" width="10.85546875" style="90" customWidth="1"/>
    <col min="9507" max="9728" width="9.140625" style="90"/>
    <col min="9729" max="9729" width="15.5703125" style="90" customWidth="1"/>
    <col min="9730" max="9732" width="10.85546875" style="90" customWidth="1"/>
    <col min="9733" max="9733" width="2.28515625" style="90" customWidth="1"/>
    <col min="9734" max="9736" width="10.140625" style="90" customWidth="1"/>
    <col min="9737" max="9737" width="2.42578125" style="90" customWidth="1"/>
    <col min="9738" max="9740" width="10.28515625" style="90" customWidth="1"/>
    <col min="9741" max="9741" width="2.85546875" style="90" customWidth="1"/>
    <col min="9742" max="9744" width="10.42578125" style="90" customWidth="1"/>
    <col min="9745" max="9746" width="12.140625" style="90" customWidth="1"/>
    <col min="9747" max="9747" width="11.85546875" style="90" bestFit="1" customWidth="1"/>
    <col min="9748" max="9749" width="10.5703125" style="90" bestFit="1" customWidth="1"/>
    <col min="9750" max="9750" width="11.85546875" style="90" bestFit="1" customWidth="1"/>
    <col min="9751" max="9751" width="10.5703125" style="90" bestFit="1" customWidth="1"/>
    <col min="9752" max="9753" width="10.5703125" style="90" customWidth="1"/>
    <col min="9754" max="9761" width="9.140625" style="90"/>
    <col min="9762" max="9762" width="10.85546875" style="90" customWidth="1"/>
    <col min="9763" max="9984" width="9.140625" style="90"/>
    <col min="9985" max="9985" width="15.5703125" style="90" customWidth="1"/>
    <col min="9986" max="9988" width="10.85546875" style="90" customWidth="1"/>
    <col min="9989" max="9989" width="2.28515625" style="90" customWidth="1"/>
    <col min="9990" max="9992" width="10.140625" style="90" customWidth="1"/>
    <col min="9993" max="9993" width="2.42578125" style="90" customWidth="1"/>
    <col min="9994" max="9996" width="10.28515625" style="90" customWidth="1"/>
    <col min="9997" max="9997" width="2.85546875" style="90" customWidth="1"/>
    <col min="9998" max="10000" width="10.42578125" style="90" customWidth="1"/>
    <col min="10001" max="10002" width="12.140625" style="90" customWidth="1"/>
    <col min="10003" max="10003" width="11.85546875" style="90" bestFit="1" customWidth="1"/>
    <col min="10004" max="10005" width="10.5703125" style="90" bestFit="1" customWidth="1"/>
    <col min="10006" max="10006" width="11.85546875" style="90" bestFit="1" customWidth="1"/>
    <col min="10007" max="10007" width="10.5703125" style="90" bestFit="1" customWidth="1"/>
    <col min="10008" max="10009" width="10.5703125" style="90" customWidth="1"/>
    <col min="10010" max="10017" width="9.140625" style="90"/>
    <col min="10018" max="10018" width="10.85546875" style="90" customWidth="1"/>
    <col min="10019" max="10240" width="9.140625" style="90"/>
    <col min="10241" max="10241" width="15.5703125" style="90" customWidth="1"/>
    <col min="10242" max="10244" width="10.85546875" style="90" customWidth="1"/>
    <col min="10245" max="10245" width="2.28515625" style="90" customWidth="1"/>
    <col min="10246" max="10248" width="10.140625" style="90" customWidth="1"/>
    <col min="10249" max="10249" width="2.42578125" style="90" customWidth="1"/>
    <col min="10250" max="10252" width="10.28515625" style="90" customWidth="1"/>
    <col min="10253" max="10253" width="2.85546875" style="90" customWidth="1"/>
    <col min="10254" max="10256" width="10.42578125" style="90" customWidth="1"/>
    <col min="10257" max="10258" width="12.140625" style="90" customWidth="1"/>
    <col min="10259" max="10259" width="11.85546875" style="90" bestFit="1" customWidth="1"/>
    <col min="10260" max="10261" width="10.5703125" style="90" bestFit="1" customWidth="1"/>
    <col min="10262" max="10262" width="11.85546875" style="90" bestFit="1" customWidth="1"/>
    <col min="10263" max="10263" width="10.5703125" style="90" bestFit="1" customWidth="1"/>
    <col min="10264" max="10265" width="10.5703125" style="90" customWidth="1"/>
    <col min="10266" max="10273" width="9.140625" style="90"/>
    <col min="10274" max="10274" width="10.85546875" style="90" customWidth="1"/>
    <col min="10275" max="10496" width="9.140625" style="90"/>
    <col min="10497" max="10497" width="15.5703125" style="90" customWidth="1"/>
    <col min="10498" max="10500" width="10.85546875" style="90" customWidth="1"/>
    <col min="10501" max="10501" width="2.28515625" style="90" customWidth="1"/>
    <col min="10502" max="10504" width="10.140625" style="90" customWidth="1"/>
    <col min="10505" max="10505" width="2.42578125" style="90" customWidth="1"/>
    <col min="10506" max="10508" width="10.28515625" style="90" customWidth="1"/>
    <col min="10509" max="10509" width="2.85546875" style="90" customWidth="1"/>
    <col min="10510" max="10512" width="10.42578125" style="90" customWidth="1"/>
    <col min="10513" max="10514" width="12.140625" style="90" customWidth="1"/>
    <col min="10515" max="10515" width="11.85546875" style="90" bestFit="1" customWidth="1"/>
    <col min="10516" max="10517" width="10.5703125" style="90" bestFit="1" customWidth="1"/>
    <col min="10518" max="10518" width="11.85546875" style="90" bestFit="1" customWidth="1"/>
    <col min="10519" max="10519" width="10.5703125" style="90" bestFit="1" customWidth="1"/>
    <col min="10520" max="10521" width="10.5703125" style="90" customWidth="1"/>
    <col min="10522" max="10529" width="9.140625" style="90"/>
    <col min="10530" max="10530" width="10.85546875" style="90" customWidth="1"/>
    <col min="10531" max="10752" width="9.140625" style="90"/>
    <col min="10753" max="10753" width="15.5703125" style="90" customWidth="1"/>
    <col min="10754" max="10756" width="10.85546875" style="90" customWidth="1"/>
    <col min="10757" max="10757" width="2.28515625" style="90" customWidth="1"/>
    <col min="10758" max="10760" width="10.140625" style="90" customWidth="1"/>
    <col min="10761" max="10761" width="2.42578125" style="90" customWidth="1"/>
    <col min="10762" max="10764" width="10.28515625" style="90" customWidth="1"/>
    <col min="10765" max="10765" width="2.85546875" style="90" customWidth="1"/>
    <col min="10766" max="10768" width="10.42578125" style="90" customWidth="1"/>
    <col min="10769" max="10770" width="12.140625" style="90" customWidth="1"/>
    <col min="10771" max="10771" width="11.85546875" style="90" bestFit="1" customWidth="1"/>
    <col min="10772" max="10773" width="10.5703125" style="90" bestFit="1" customWidth="1"/>
    <col min="10774" max="10774" width="11.85546875" style="90" bestFit="1" customWidth="1"/>
    <col min="10775" max="10775" width="10.5703125" style="90" bestFit="1" customWidth="1"/>
    <col min="10776" max="10777" width="10.5703125" style="90" customWidth="1"/>
    <col min="10778" max="10785" width="9.140625" style="90"/>
    <col min="10786" max="10786" width="10.85546875" style="90" customWidth="1"/>
    <col min="10787" max="11008" width="9.140625" style="90"/>
    <col min="11009" max="11009" width="15.5703125" style="90" customWidth="1"/>
    <col min="11010" max="11012" width="10.85546875" style="90" customWidth="1"/>
    <col min="11013" max="11013" width="2.28515625" style="90" customWidth="1"/>
    <col min="11014" max="11016" width="10.140625" style="90" customWidth="1"/>
    <col min="11017" max="11017" width="2.42578125" style="90" customWidth="1"/>
    <col min="11018" max="11020" width="10.28515625" style="90" customWidth="1"/>
    <col min="11021" max="11021" width="2.85546875" style="90" customWidth="1"/>
    <col min="11022" max="11024" width="10.42578125" style="90" customWidth="1"/>
    <col min="11025" max="11026" width="12.140625" style="90" customWidth="1"/>
    <col min="11027" max="11027" width="11.85546875" style="90" bestFit="1" customWidth="1"/>
    <col min="11028" max="11029" width="10.5703125" style="90" bestFit="1" customWidth="1"/>
    <col min="11030" max="11030" width="11.85546875" style="90" bestFit="1" customWidth="1"/>
    <col min="11031" max="11031" width="10.5703125" style="90" bestFit="1" customWidth="1"/>
    <col min="11032" max="11033" width="10.5703125" style="90" customWidth="1"/>
    <col min="11034" max="11041" width="9.140625" style="90"/>
    <col min="11042" max="11042" width="10.85546875" style="90" customWidth="1"/>
    <col min="11043" max="11264" width="9.140625" style="90"/>
    <col min="11265" max="11265" width="15.5703125" style="90" customWidth="1"/>
    <col min="11266" max="11268" width="10.85546875" style="90" customWidth="1"/>
    <col min="11269" max="11269" width="2.28515625" style="90" customWidth="1"/>
    <col min="11270" max="11272" width="10.140625" style="90" customWidth="1"/>
    <col min="11273" max="11273" width="2.42578125" style="90" customWidth="1"/>
    <col min="11274" max="11276" width="10.28515625" style="90" customWidth="1"/>
    <col min="11277" max="11277" width="2.85546875" style="90" customWidth="1"/>
    <col min="11278" max="11280" width="10.42578125" style="90" customWidth="1"/>
    <col min="11281" max="11282" width="12.140625" style="90" customWidth="1"/>
    <col min="11283" max="11283" width="11.85546875" style="90" bestFit="1" customWidth="1"/>
    <col min="11284" max="11285" width="10.5703125" style="90" bestFit="1" customWidth="1"/>
    <col min="11286" max="11286" width="11.85546875" style="90" bestFit="1" customWidth="1"/>
    <col min="11287" max="11287" width="10.5703125" style="90" bestFit="1" customWidth="1"/>
    <col min="11288" max="11289" width="10.5703125" style="90" customWidth="1"/>
    <col min="11290" max="11297" width="9.140625" style="90"/>
    <col min="11298" max="11298" width="10.85546875" style="90" customWidth="1"/>
    <col min="11299" max="11520" width="9.140625" style="90"/>
    <col min="11521" max="11521" width="15.5703125" style="90" customWidth="1"/>
    <col min="11522" max="11524" width="10.85546875" style="90" customWidth="1"/>
    <col min="11525" max="11525" width="2.28515625" style="90" customWidth="1"/>
    <col min="11526" max="11528" width="10.140625" style="90" customWidth="1"/>
    <col min="11529" max="11529" width="2.42578125" style="90" customWidth="1"/>
    <col min="11530" max="11532" width="10.28515625" style="90" customWidth="1"/>
    <col min="11533" max="11533" width="2.85546875" style="90" customWidth="1"/>
    <col min="11534" max="11536" width="10.42578125" style="90" customWidth="1"/>
    <col min="11537" max="11538" width="12.140625" style="90" customWidth="1"/>
    <col min="11539" max="11539" width="11.85546875" style="90" bestFit="1" customWidth="1"/>
    <col min="11540" max="11541" width="10.5703125" style="90" bestFit="1" customWidth="1"/>
    <col min="11542" max="11542" width="11.85546875" style="90" bestFit="1" customWidth="1"/>
    <col min="11543" max="11543" width="10.5703125" style="90" bestFit="1" customWidth="1"/>
    <col min="11544" max="11545" width="10.5703125" style="90" customWidth="1"/>
    <col min="11546" max="11553" width="9.140625" style="90"/>
    <col min="11554" max="11554" width="10.85546875" style="90" customWidth="1"/>
    <col min="11555" max="11776" width="9.140625" style="90"/>
    <col min="11777" max="11777" width="15.5703125" style="90" customWidth="1"/>
    <col min="11778" max="11780" width="10.85546875" style="90" customWidth="1"/>
    <col min="11781" max="11781" width="2.28515625" style="90" customWidth="1"/>
    <col min="11782" max="11784" width="10.140625" style="90" customWidth="1"/>
    <col min="11785" max="11785" width="2.42578125" style="90" customWidth="1"/>
    <col min="11786" max="11788" width="10.28515625" style="90" customWidth="1"/>
    <col min="11789" max="11789" width="2.85546875" style="90" customWidth="1"/>
    <col min="11790" max="11792" width="10.42578125" style="90" customWidth="1"/>
    <col min="11793" max="11794" width="12.140625" style="90" customWidth="1"/>
    <col min="11795" max="11795" width="11.85546875" style="90" bestFit="1" customWidth="1"/>
    <col min="11796" max="11797" width="10.5703125" style="90" bestFit="1" customWidth="1"/>
    <col min="11798" max="11798" width="11.85546875" style="90" bestFit="1" customWidth="1"/>
    <col min="11799" max="11799" width="10.5703125" style="90" bestFit="1" customWidth="1"/>
    <col min="11800" max="11801" width="10.5703125" style="90" customWidth="1"/>
    <col min="11802" max="11809" width="9.140625" style="90"/>
    <col min="11810" max="11810" width="10.85546875" style="90" customWidth="1"/>
    <col min="11811" max="12032" width="9.140625" style="90"/>
    <col min="12033" max="12033" width="15.5703125" style="90" customWidth="1"/>
    <col min="12034" max="12036" width="10.85546875" style="90" customWidth="1"/>
    <col min="12037" max="12037" width="2.28515625" style="90" customWidth="1"/>
    <col min="12038" max="12040" width="10.140625" style="90" customWidth="1"/>
    <col min="12041" max="12041" width="2.42578125" style="90" customWidth="1"/>
    <col min="12042" max="12044" width="10.28515625" style="90" customWidth="1"/>
    <col min="12045" max="12045" width="2.85546875" style="90" customWidth="1"/>
    <col min="12046" max="12048" width="10.42578125" style="90" customWidth="1"/>
    <col min="12049" max="12050" width="12.140625" style="90" customWidth="1"/>
    <col min="12051" max="12051" width="11.85546875" style="90" bestFit="1" customWidth="1"/>
    <col min="12052" max="12053" width="10.5703125" style="90" bestFit="1" customWidth="1"/>
    <col min="12054" max="12054" width="11.85546875" style="90" bestFit="1" customWidth="1"/>
    <col min="12055" max="12055" width="10.5703125" style="90" bestFit="1" customWidth="1"/>
    <col min="12056" max="12057" width="10.5703125" style="90" customWidth="1"/>
    <col min="12058" max="12065" width="9.140625" style="90"/>
    <col min="12066" max="12066" width="10.85546875" style="90" customWidth="1"/>
    <col min="12067" max="12288" width="9.140625" style="90"/>
    <col min="12289" max="12289" width="15.5703125" style="90" customWidth="1"/>
    <col min="12290" max="12292" width="10.85546875" style="90" customWidth="1"/>
    <col min="12293" max="12293" width="2.28515625" style="90" customWidth="1"/>
    <col min="12294" max="12296" width="10.140625" style="90" customWidth="1"/>
    <col min="12297" max="12297" width="2.42578125" style="90" customWidth="1"/>
    <col min="12298" max="12300" width="10.28515625" style="90" customWidth="1"/>
    <col min="12301" max="12301" width="2.85546875" style="90" customWidth="1"/>
    <col min="12302" max="12304" width="10.42578125" style="90" customWidth="1"/>
    <col min="12305" max="12306" width="12.140625" style="90" customWidth="1"/>
    <col min="12307" max="12307" width="11.85546875" style="90" bestFit="1" customWidth="1"/>
    <col min="12308" max="12309" width="10.5703125" style="90" bestFit="1" customWidth="1"/>
    <col min="12310" max="12310" width="11.85546875" style="90" bestFit="1" customWidth="1"/>
    <col min="12311" max="12311" width="10.5703125" style="90" bestFit="1" customWidth="1"/>
    <col min="12312" max="12313" width="10.5703125" style="90" customWidth="1"/>
    <col min="12314" max="12321" width="9.140625" style="90"/>
    <col min="12322" max="12322" width="10.85546875" style="90" customWidth="1"/>
    <col min="12323" max="12544" width="9.140625" style="90"/>
    <col min="12545" max="12545" width="15.5703125" style="90" customWidth="1"/>
    <col min="12546" max="12548" width="10.85546875" style="90" customWidth="1"/>
    <col min="12549" max="12549" width="2.28515625" style="90" customWidth="1"/>
    <col min="12550" max="12552" width="10.140625" style="90" customWidth="1"/>
    <col min="12553" max="12553" width="2.42578125" style="90" customWidth="1"/>
    <col min="12554" max="12556" width="10.28515625" style="90" customWidth="1"/>
    <col min="12557" max="12557" width="2.85546875" style="90" customWidth="1"/>
    <col min="12558" max="12560" width="10.42578125" style="90" customWidth="1"/>
    <col min="12561" max="12562" width="12.140625" style="90" customWidth="1"/>
    <col min="12563" max="12563" width="11.85546875" style="90" bestFit="1" customWidth="1"/>
    <col min="12564" max="12565" width="10.5703125" style="90" bestFit="1" customWidth="1"/>
    <col min="12566" max="12566" width="11.85546875" style="90" bestFit="1" customWidth="1"/>
    <col min="12567" max="12567" width="10.5703125" style="90" bestFit="1" customWidth="1"/>
    <col min="12568" max="12569" width="10.5703125" style="90" customWidth="1"/>
    <col min="12570" max="12577" width="9.140625" style="90"/>
    <col min="12578" max="12578" width="10.85546875" style="90" customWidth="1"/>
    <col min="12579" max="12800" width="9.140625" style="90"/>
    <col min="12801" max="12801" width="15.5703125" style="90" customWidth="1"/>
    <col min="12802" max="12804" width="10.85546875" style="90" customWidth="1"/>
    <col min="12805" max="12805" width="2.28515625" style="90" customWidth="1"/>
    <col min="12806" max="12808" width="10.140625" style="90" customWidth="1"/>
    <col min="12809" max="12809" width="2.42578125" style="90" customWidth="1"/>
    <col min="12810" max="12812" width="10.28515625" style="90" customWidth="1"/>
    <col min="12813" max="12813" width="2.85546875" style="90" customWidth="1"/>
    <col min="12814" max="12816" width="10.42578125" style="90" customWidth="1"/>
    <col min="12817" max="12818" width="12.140625" style="90" customWidth="1"/>
    <col min="12819" max="12819" width="11.85546875" style="90" bestFit="1" customWidth="1"/>
    <col min="12820" max="12821" width="10.5703125" style="90" bestFit="1" customWidth="1"/>
    <col min="12822" max="12822" width="11.85546875" style="90" bestFit="1" customWidth="1"/>
    <col min="12823" max="12823" width="10.5703125" style="90" bestFit="1" customWidth="1"/>
    <col min="12824" max="12825" width="10.5703125" style="90" customWidth="1"/>
    <col min="12826" max="12833" width="9.140625" style="90"/>
    <col min="12834" max="12834" width="10.85546875" style="90" customWidth="1"/>
    <col min="12835" max="13056" width="9.140625" style="90"/>
    <col min="13057" max="13057" width="15.5703125" style="90" customWidth="1"/>
    <col min="13058" max="13060" width="10.85546875" style="90" customWidth="1"/>
    <col min="13061" max="13061" width="2.28515625" style="90" customWidth="1"/>
    <col min="13062" max="13064" width="10.140625" style="90" customWidth="1"/>
    <col min="13065" max="13065" width="2.42578125" style="90" customWidth="1"/>
    <col min="13066" max="13068" width="10.28515625" style="90" customWidth="1"/>
    <col min="13069" max="13069" width="2.85546875" style="90" customWidth="1"/>
    <col min="13070" max="13072" width="10.42578125" style="90" customWidth="1"/>
    <col min="13073" max="13074" width="12.140625" style="90" customWidth="1"/>
    <col min="13075" max="13075" width="11.85546875" style="90" bestFit="1" customWidth="1"/>
    <col min="13076" max="13077" width="10.5703125" style="90" bestFit="1" customWidth="1"/>
    <col min="13078" max="13078" width="11.85546875" style="90" bestFit="1" customWidth="1"/>
    <col min="13079" max="13079" width="10.5703125" style="90" bestFit="1" customWidth="1"/>
    <col min="13080" max="13081" width="10.5703125" style="90" customWidth="1"/>
    <col min="13082" max="13089" width="9.140625" style="90"/>
    <col min="13090" max="13090" width="10.85546875" style="90" customWidth="1"/>
    <col min="13091" max="13312" width="9.140625" style="90"/>
    <col min="13313" max="13313" width="15.5703125" style="90" customWidth="1"/>
    <col min="13314" max="13316" width="10.85546875" style="90" customWidth="1"/>
    <col min="13317" max="13317" width="2.28515625" style="90" customWidth="1"/>
    <col min="13318" max="13320" width="10.140625" style="90" customWidth="1"/>
    <col min="13321" max="13321" width="2.42578125" style="90" customWidth="1"/>
    <col min="13322" max="13324" width="10.28515625" style="90" customWidth="1"/>
    <col min="13325" max="13325" width="2.85546875" style="90" customWidth="1"/>
    <col min="13326" max="13328" width="10.42578125" style="90" customWidth="1"/>
    <col min="13329" max="13330" width="12.140625" style="90" customWidth="1"/>
    <col min="13331" max="13331" width="11.85546875" style="90" bestFit="1" customWidth="1"/>
    <col min="13332" max="13333" width="10.5703125" style="90" bestFit="1" customWidth="1"/>
    <col min="13334" max="13334" width="11.85546875" style="90" bestFit="1" customWidth="1"/>
    <col min="13335" max="13335" width="10.5703125" style="90" bestFit="1" customWidth="1"/>
    <col min="13336" max="13337" width="10.5703125" style="90" customWidth="1"/>
    <col min="13338" max="13345" width="9.140625" style="90"/>
    <col min="13346" max="13346" width="10.85546875" style="90" customWidth="1"/>
    <col min="13347" max="13568" width="9.140625" style="90"/>
    <col min="13569" max="13569" width="15.5703125" style="90" customWidth="1"/>
    <col min="13570" max="13572" width="10.85546875" style="90" customWidth="1"/>
    <col min="13573" max="13573" width="2.28515625" style="90" customWidth="1"/>
    <col min="13574" max="13576" width="10.140625" style="90" customWidth="1"/>
    <col min="13577" max="13577" width="2.42578125" style="90" customWidth="1"/>
    <col min="13578" max="13580" width="10.28515625" style="90" customWidth="1"/>
    <col min="13581" max="13581" width="2.85546875" style="90" customWidth="1"/>
    <col min="13582" max="13584" width="10.42578125" style="90" customWidth="1"/>
    <col min="13585" max="13586" width="12.140625" style="90" customWidth="1"/>
    <col min="13587" max="13587" width="11.85546875" style="90" bestFit="1" customWidth="1"/>
    <col min="13588" max="13589" width="10.5703125" style="90" bestFit="1" customWidth="1"/>
    <col min="13590" max="13590" width="11.85546875" style="90" bestFit="1" customWidth="1"/>
    <col min="13591" max="13591" width="10.5703125" style="90" bestFit="1" customWidth="1"/>
    <col min="13592" max="13593" width="10.5703125" style="90" customWidth="1"/>
    <col min="13594" max="13601" width="9.140625" style="90"/>
    <col min="13602" max="13602" width="10.85546875" style="90" customWidth="1"/>
    <col min="13603" max="13824" width="9.140625" style="90"/>
    <col min="13825" max="13825" width="15.5703125" style="90" customWidth="1"/>
    <col min="13826" max="13828" width="10.85546875" style="90" customWidth="1"/>
    <col min="13829" max="13829" width="2.28515625" style="90" customWidth="1"/>
    <col min="13830" max="13832" width="10.140625" style="90" customWidth="1"/>
    <col min="13833" max="13833" width="2.42578125" style="90" customWidth="1"/>
    <col min="13834" max="13836" width="10.28515625" style="90" customWidth="1"/>
    <col min="13837" max="13837" width="2.85546875" style="90" customWidth="1"/>
    <col min="13838" max="13840" width="10.42578125" style="90" customWidth="1"/>
    <col min="13841" max="13842" width="12.140625" style="90" customWidth="1"/>
    <col min="13843" max="13843" width="11.85546875" style="90" bestFit="1" customWidth="1"/>
    <col min="13844" max="13845" width="10.5703125" style="90" bestFit="1" customWidth="1"/>
    <col min="13846" max="13846" width="11.85546875" style="90" bestFit="1" customWidth="1"/>
    <col min="13847" max="13847" width="10.5703125" style="90" bestFit="1" customWidth="1"/>
    <col min="13848" max="13849" width="10.5703125" style="90" customWidth="1"/>
    <col min="13850" max="13857" width="9.140625" style="90"/>
    <col min="13858" max="13858" width="10.85546875" style="90" customWidth="1"/>
    <col min="13859" max="14080" width="9.140625" style="90"/>
    <col min="14081" max="14081" width="15.5703125" style="90" customWidth="1"/>
    <col min="14082" max="14084" width="10.85546875" style="90" customWidth="1"/>
    <col min="14085" max="14085" width="2.28515625" style="90" customWidth="1"/>
    <col min="14086" max="14088" width="10.140625" style="90" customWidth="1"/>
    <col min="14089" max="14089" width="2.42578125" style="90" customWidth="1"/>
    <col min="14090" max="14092" width="10.28515625" style="90" customWidth="1"/>
    <col min="14093" max="14093" width="2.85546875" style="90" customWidth="1"/>
    <col min="14094" max="14096" width="10.42578125" style="90" customWidth="1"/>
    <col min="14097" max="14098" width="12.140625" style="90" customWidth="1"/>
    <col min="14099" max="14099" width="11.85546875" style="90" bestFit="1" customWidth="1"/>
    <col min="14100" max="14101" width="10.5703125" style="90" bestFit="1" customWidth="1"/>
    <col min="14102" max="14102" width="11.85546875" style="90" bestFit="1" customWidth="1"/>
    <col min="14103" max="14103" width="10.5703125" style="90" bestFit="1" customWidth="1"/>
    <col min="14104" max="14105" width="10.5703125" style="90" customWidth="1"/>
    <col min="14106" max="14113" width="9.140625" style="90"/>
    <col min="14114" max="14114" width="10.85546875" style="90" customWidth="1"/>
    <col min="14115" max="14336" width="9.140625" style="90"/>
    <col min="14337" max="14337" width="15.5703125" style="90" customWidth="1"/>
    <col min="14338" max="14340" width="10.85546875" style="90" customWidth="1"/>
    <col min="14341" max="14341" width="2.28515625" style="90" customWidth="1"/>
    <col min="14342" max="14344" width="10.140625" style="90" customWidth="1"/>
    <col min="14345" max="14345" width="2.42578125" style="90" customWidth="1"/>
    <col min="14346" max="14348" width="10.28515625" style="90" customWidth="1"/>
    <col min="14349" max="14349" width="2.85546875" style="90" customWidth="1"/>
    <col min="14350" max="14352" width="10.42578125" style="90" customWidth="1"/>
    <col min="14353" max="14354" width="12.140625" style="90" customWidth="1"/>
    <col min="14355" max="14355" width="11.85546875" style="90" bestFit="1" customWidth="1"/>
    <col min="14356" max="14357" width="10.5703125" style="90" bestFit="1" customWidth="1"/>
    <col min="14358" max="14358" width="11.85546875" style="90" bestFit="1" customWidth="1"/>
    <col min="14359" max="14359" width="10.5703125" style="90" bestFit="1" customWidth="1"/>
    <col min="14360" max="14361" width="10.5703125" style="90" customWidth="1"/>
    <col min="14362" max="14369" width="9.140625" style="90"/>
    <col min="14370" max="14370" width="10.85546875" style="90" customWidth="1"/>
    <col min="14371" max="14592" width="9.140625" style="90"/>
    <col min="14593" max="14593" width="15.5703125" style="90" customWidth="1"/>
    <col min="14594" max="14596" width="10.85546875" style="90" customWidth="1"/>
    <col min="14597" max="14597" width="2.28515625" style="90" customWidth="1"/>
    <col min="14598" max="14600" width="10.140625" style="90" customWidth="1"/>
    <col min="14601" max="14601" width="2.42578125" style="90" customWidth="1"/>
    <col min="14602" max="14604" width="10.28515625" style="90" customWidth="1"/>
    <col min="14605" max="14605" width="2.85546875" style="90" customWidth="1"/>
    <col min="14606" max="14608" width="10.42578125" style="90" customWidth="1"/>
    <col min="14609" max="14610" width="12.140625" style="90" customWidth="1"/>
    <col min="14611" max="14611" width="11.85546875" style="90" bestFit="1" customWidth="1"/>
    <col min="14612" max="14613" width="10.5703125" style="90" bestFit="1" customWidth="1"/>
    <col min="14614" max="14614" width="11.85546875" style="90" bestFit="1" customWidth="1"/>
    <col min="14615" max="14615" width="10.5703125" style="90" bestFit="1" customWidth="1"/>
    <col min="14616" max="14617" width="10.5703125" style="90" customWidth="1"/>
    <col min="14618" max="14625" width="9.140625" style="90"/>
    <col min="14626" max="14626" width="10.85546875" style="90" customWidth="1"/>
    <col min="14627" max="14848" width="9.140625" style="90"/>
    <col min="14849" max="14849" width="15.5703125" style="90" customWidth="1"/>
    <col min="14850" max="14852" width="10.85546875" style="90" customWidth="1"/>
    <col min="14853" max="14853" width="2.28515625" style="90" customWidth="1"/>
    <col min="14854" max="14856" width="10.140625" style="90" customWidth="1"/>
    <col min="14857" max="14857" width="2.42578125" style="90" customWidth="1"/>
    <col min="14858" max="14860" width="10.28515625" style="90" customWidth="1"/>
    <col min="14861" max="14861" width="2.85546875" style="90" customWidth="1"/>
    <col min="14862" max="14864" width="10.42578125" style="90" customWidth="1"/>
    <col min="14865" max="14866" width="12.140625" style="90" customWidth="1"/>
    <col min="14867" max="14867" width="11.85546875" style="90" bestFit="1" customWidth="1"/>
    <col min="14868" max="14869" width="10.5703125" style="90" bestFit="1" customWidth="1"/>
    <col min="14870" max="14870" width="11.85546875" style="90" bestFit="1" customWidth="1"/>
    <col min="14871" max="14871" width="10.5703125" style="90" bestFit="1" customWidth="1"/>
    <col min="14872" max="14873" width="10.5703125" style="90" customWidth="1"/>
    <col min="14874" max="14881" width="9.140625" style="90"/>
    <col min="14882" max="14882" width="10.85546875" style="90" customWidth="1"/>
    <col min="14883" max="15104" width="9.140625" style="90"/>
    <col min="15105" max="15105" width="15.5703125" style="90" customWidth="1"/>
    <col min="15106" max="15108" width="10.85546875" style="90" customWidth="1"/>
    <col min="15109" max="15109" width="2.28515625" style="90" customWidth="1"/>
    <col min="15110" max="15112" width="10.140625" style="90" customWidth="1"/>
    <col min="15113" max="15113" width="2.42578125" style="90" customWidth="1"/>
    <col min="15114" max="15116" width="10.28515625" style="90" customWidth="1"/>
    <col min="15117" max="15117" width="2.85546875" style="90" customWidth="1"/>
    <col min="15118" max="15120" width="10.42578125" style="90" customWidth="1"/>
    <col min="15121" max="15122" width="12.140625" style="90" customWidth="1"/>
    <col min="15123" max="15123" width="11.85546875" style="90" bestFit="1" customWidth="1"/>
    <col min="15124" max="15125" width="10.5703125" style="90" bestFit="1" customWidth="1"/>
    <col min="15126" max="15126" width="11.85546875" style="90" bestFit="1" customWidth="1"/>
    <col min="15127" max="15127" width="10.5703125" style="90" bestFit="1" customWidth="1"/>
    <col min="15128" max="15129" width="10.5703125" style="90" customWidth="1"/>
    <col min="15130" max="15137" width="9.140625" style="90"/>
    <col min="15138" max="15138" width="10.85546875" style="90" customWidth="1"/>
    <col min="15139" max="15360" width="9.140625" style="90"/>
    <col min="15361" max="15361" width="15.5703125" style="90" customWidth="1"/>
    <col min="15362" max="15364" width="10.85546875" style="90" customWidth="1"/>
    <col min="15365" max="15365" width="2.28515625" style="90" customWidth="1"/>
    <col min="15366" max="15368" width="10.140625" style="90" customWidth="1"/>
    <col min="15369" max="15369" width="2.42578125" style="90" customWidth="1"/>
    <col min="15370" max="15372" width="10.28515625" style="90" customWidth="1"/>
    <col min="15373" max="15373" width="2.85546875" style="90" customWidth="1"/>
    <col min="15374" max="15376" width="10.42578125" style="90" customWidth="1"/>
    <col min="15377" max="15378" width="12.140625" style="90" customWidth="1"/>
    <col min="15379" max="15379" width="11.85546875" style="90" bestFit="1" customWidth="1"/>
    <col min="15380" max="15381" width="10.5703125" style="90" bestFit="1" customWidth="1"/>
    <col min="15382" max="15382" width="11.85546875" style="90" bestFit="1" customWidth="1"/>
    <col min="15383" max="15383" width="10.5703125" style="90" bestFit="1" customWidth="1"/>
    <col min="15384" max="15385" width="10.5703125" style="90" customWidth="1"/>
    <col min="15386" max="15393" width="9.140625" style="90"/>
    <col min="15394" max="15394" width="10.85546875" style="90" customWidth="1"/>
    <col min="15395" max="15616" width="9.140625" style="90"/>
    <col min="15617" max="15617" width="15.5703125" style="90" customWidth="1"/>
    <col min="15618" max="15620" width="10.85546875" style="90" customWidth="1"/>
    <col min="15621" max="15621" width="2.28515625" style="90" customWidth="1"/>
    <col min="15622" max="15624" width="10.140625" style="90" customWidth="1"/>
    <col min="15625" max="15625" width="2.42578125" style="90" customWidth="1"/>
    <col min="15626" max="15628" width="10.28515625" style="90" customWidth="1"/>
    <col min="15629" max="15629" width="2.85546875" style="90" customWidth="1"/>
    <col min="15630" max="15632" width="10.42578125" style="90" customWidth="1"/>
    <col min="15633" max="15634" width="12.140625" style="90" customWidth="1"/>
    <col min="15635" max="15635" width="11.85546875" style="90" bestFit="1" customWidth="1"/>
    <col min="15636" max="15637" width="10.5703125" style="90" bestFit="1" customWidth="1"/>
    <col min="15638" max="15638" width="11.85546875" style="90" bestFit="1" customWidth="1"/>
    <col min="15639" max="15639" width="10.5703125" style="90" bestFit="1" customWidth="1"/>
    <col min="15640" max="15641" width="10.5703125" style="90" customWidth="1"/>
    <col min="15642" max="15649" width="9.140625" style="90"/>
    <col min="15650" max="15650" width="10.85546875" style="90" customWidth="1"/>
    <col min="15651" max="15872" width="9.140625" style="90"/>
    <col min="15873" max="15873" width="15.5703125" style="90" customWidth="1"/>
    <col min="15874" max="15876" width="10.85546875" style="90" customWidth="1"/>
    <col min="15877" max="15877" width="2.28515625" style="90" customWidth="1"/>
    <col min="15878" max="15880" width="10.140625" style="90" customWidth="1"/>
    <col min="15881" max="15881" width="2.42578125" style="90" customWidth="1"/>
    <col min="15882" max="15884" width="10.28515625" style="90" customWidth="1"/>
    <col min="15885" max="15885" width="2.85546875" style="90" customWidth="1"/>
    <col min="15886" max="15888" width="10.42578125" style="90" customWidth="1"/>
    <col min="15889" max="15890" width="12.140625" style="90" customWidth="1"/>
    <col min="15891" max="15891" width="11.85546875" style="90" bestFit="1" customWidth="1"/>
    <col min="15892" max="15893" width="10.5703125" style="90" bestFit="1" customWidth="1"/>
    <col min="15894" max="15894" width="11.85546875" style="90" bestFit="1" customWidth="1"/>
    <col min="15895" max="15895" width="10.5703125" style="90" bestFit="1" customWidth="1"/>
    <col min="15896" max="15897" width="10.5703125" style="90" customWidth="1"/>
    <col min="15898" max="15905" width="9.140625" style="90"/>
    <col min="15906" max="15906" width="10.85546875" style="90" customWidth="1"/>
    <col min="15907" max="16128" width="9.140625" style="90"/>
    <col min="16129" max="16129" width="15.5703125" style="90" customWidth="1"/>
    <col min="16130" max="16132" width="10.85546875" style="90" customWidth="1"/>
    <col min="16133" max="16133" width="2.28515625" style="90" customWidth="1"/>
    <col min="16134" max="16136" width="10.140625" style="90" customWidth="1"/>
    <col min="16137" max="16137" width="2.42578125" style="90" customWidth="1"/>
    <col min="16138" max="16140" width="10.28515625" style="90" customWidth="1"/>
    <col min="16141" max="16141" width="2.85546875" style="90" customWidth="1"/>
    <col min="16142" max="16144" width="10.42578125" style="90" customWidth="1"/>
    <col min="16145" max="16146" width="12.140625" style="90" customWidth="1"/>
    <col min="16147" max="16147" width="11.85546875" style="90" bestFit="1" customWidth="1"/>
    <col min="16148" max="16149" width="10.5703125" style="90" bestFit="1" customWidth="1"/>
    <col min="16150" max="16150" width="11.85546875" style="90" bestFit="1" customWidth="1"/>
    <col min="16151" max="16151" width="10.5703125" style="90" bestFit="1" customWidth="1"/>
    <col min="16152" max="16153" width="10.5703125" style="90" customWidth="1"/>
    <col min="16154" max="16161" width="9.140625" style="90"/>
    <col min="16162" max="16162" width="10.85546875" style="90" customWidth="1"/>
    <col min="16163" max="16384" width="9.140625" style="90"/>
  </cols>
  <sheetData>
    <row r="1" spans="1:35" ht="17.25" customHeight="1">
      <c r="A1" s="1298" t="s">
        <v>119</v>
      </c>
      <c r="B1" s="1298"/>
      <c r="C1" s="1298"/>
      <c r="D1" s="1298"/>
      <c r="E1" s="1298"/>
      <c r="F1" s="1298"/>
      <c r="G1" s="1298"/>
      <c r="H1" s="1298"/>
      <c r="I1" s="1298"/>
      <c r="J1" s="1298"/>
      <c r="K1" s="1298"/>
      <c r="L1" s="1298"/>
      <c r="M1" s="1298"/>
      <c r="N1" s="1298"/>
      <c r="O1" s="1298"/>
      <c r="P1" s="1298"/>
      <c r="Q1" s="89"/>
    </row>
    <row r="2" spans="1:35" ht="17.25" customHeight="1">
      <c r="A2" s="1299" t="s">
        <v>120</v>
      </c>
      <c r="B2" s="1299"/>
      <c r="C2" s="1299"/>
      <c r="D2" s="1299"/>
      <c r="E2" s="1299"/>
      <c r="F2" s="1299"/>
      <c r="G2" s="1299"/>
      <c r="H2" s="1299"/>
      <c r="I2" s="1299"/>
      <c r="J2" s="1299"/>
      <c r="K2" s="1299"/>
      <c r="L2" s="1299"/>
      <c r="M2" s="1299"/>
      <c r="N2" s="1299"/>
      <c r="O2" s="1299"/>
      <c r="P2" s="1299"/>
      <c r="Q2" s="89"/>
    </row>
    <row r="3" spans="1:35" ht="5.25" customHeight="1">
      <c r="A3" s="91"/>
      <c r="B3" s="91"/>
      <c r="C3" s="91"/>
      <c r="D3" s="91"/>
      <c r="E3" s="91"/>
      <c r="F3" s="91"/>
      <c r="G3" s="91"/>
      <c r="H3" s="91"/>
      <c r="I3" s="91"/>
      <c r="J3" s="91"/>
      <c r="K3" s="91"/>
      <c r="L3" s="91"/>
      <c r="M3" s="91"/>
      <c r="N3" s="91"/>
      <c r="O3" s="91"/>
      <c r="P3" s="91"/>
    </row>
    <row r="4" spans="1:35" ht="17.25" customHeight="1">
      <c r="A4" s="92"/>
      <c r="B4" s="93" t="s">
        <v>121</v>
      </c>
      <c r="C4" s="94"/>
      <c r="D4" s="758" t="s">
        <v>122</v>
      </c>
      <c r="E4" s="95"/>
      <c r="F4" s="93" t="s">
        <v>123</v>
      </c>
      <c r="G4" s="96"/>
      <c r="H4" s="758" t="s">
        <v>124</v>
      </c>
      <c r="I4" s="95"/>
      <c r="J4" s="93" t="s">
        <v>125</v>
      </c>
      <c r="K4" s="96"/>
      <c r="L4" s="758" t="s">
        <v>126</v>
      </c>
      <c r="N4" s="93" t="s">
        <v>127</v>
      </c>
      <c r="O4" s="96"/>
      <c r="P4" s="758" t="s">
        <v>128</v>
      </c>
      <c r="AF4" s="90">
        <v>1995</v>
      </c>
    </row>
    <row r="5" spans="1:35" ht="17.25" customHeight="1">
      <c r="A5" s="756" t="s">
        <v>129</v>
      </c>
      <c r="B5" s="755" t="s">
        <v>13</v>
      </c>
      <c r="C5" s="755" t="s">
        <v>14</v>
      </c>
      <c r="D5" s="755" t="s">
        <v>15</v>
      </c>
      <c r="E5" s="756"/>
      <c r="F5" s="755" t="s">
        <v>13</v>
      </c>
      <c r="G5" s="755" t="s">
        <v>14</v>
      </c>
      <c r="H5" s="755" t="s">
        <v>15</v>
      </c>
      <c r="I5" s="755"/>
      <c r="J5" s="755" t="s">
        <v>13</v>
      </c>
      <c r="K5" s="755" t="s">
        <v>14</v>
      </c>
      <c r="L5" s="755" t="s">
        <v>15</v>
      </c>
      <c r="M5" s="757"/>
      <c r="N5" s="755" t="s">
        <v>13</v>
      </c>
      <c r="O5" s="755" t="s">
        <v>14</v>
      </c>
      <c r="P5" s="755" t="s">
        <v>15</v>
      </c>
    </row>
    <row r="6" spans="1:35" ht="16.5" customHeight="1">
      <c r="A6" s="97" t="s">
        <v>130</v>
      </c>
      <c r="B6" s="98" t="s">
        <v>21</v>
      </c>
      <c r="C6" s="98" t="s">
        <v>22</v>
      </c>
      <c r="D6" s="98" t="s">
        <v>23</v>
      </c>
      <c r="E6" s="97"/>
      <c r="F6" s="98" t="s">
        <v>21</v>
      </c>
      <c r="G6" s="98" t="s">
        <v>22</v>
      </c>
      <c r="H6" s="98" t="s">
        <v>23</v>
      </c>
      <c r="I6" s="98"/>
      <c r="J6" s="98" t="s">
        <v>21</v>
      </c>
      <c r="K6" s="98" t="s">
        <v>22</v>
      </c>
      <c r="L6" s="98" t="s">
        <v>23</v>
      </c>
      <c r="M6" s="91"/>
      <c r="N6" s="98" t="s">
        <v>21</v>
      </c>
      <c r="O6" s="98" t="s">
        <v>22</v>
      </c>
      <c r="P6" s="98" t="s">
        <v>23</v>
      </c>
      <c r="AI6" s="99"/>
    </row>
    <row r="7" spans="1:35" ht="15" customHeight="1">
      <c r="A7" s="100" t="s">
        <v>131</v>
      </c>
      <c r="B7" s="101"/>
      <c r="C7" s="101"/>
      <c r="D7" s="101"/>
      <c r="E7" s="101"/>
      <c r="F7" s="101"/>
      <c r="G7" s="101"/>
      <c r="H7" s="101"/>
      <c r="I7" s="101"/>
      <c r="J7" s="101"/>
      <c r="K7" s="101"/>
      <c r="L7" s="101"/>
      <c r="M7" s="102"/>
      <c r="N7" s="101"/>
      <c r="O7" s="101"/>
      <c r="P7" s="101"/>
      <c r="AG7" s="103" t="s">
        <v>22</v>
      </c>
      <c r="AH7" s="103" t="s">
        <v>23</v>
      </c>
    </row>
    <row r="8" spans="1:35" ht="15" customHeight="1">
      <c r="A8" s="104" t="s">
        <v>132</v>
      </c>
      <c r="B8" s="105">
        <f>SUM(B10:B32)</f>
        <v>244814</v>
      </c>
      <c r="C8" s="105">
        <f>SUM(C10:C32)</f>
        <v>124622</v>
      </c>
      <c r="D8" s="105">
        <f>SUM(D10:D32)</f>
        <v>120192</v>
      </c>
      <c r="E8" s="105"/>
      <c r="F8" s="105">
        <f>SUM(F10:F32)</f>
        <v>270101</v>
      </c>
      <c r="G8" s="105">
        <f>SUM(G10:G32)</f>
        <v>137200</v>
      </c>
      <c r="H8" s="105">
        <f>SUM(H10:H32)</f>
        <v>132901</v>
      </c>
      <c r="I8" s="105"/>
      <c r="J8" s="106">
        <v>298968</v>
      </c>
      <c r="K8" s="106">
        <v>151459</v>
      </c>
      <c r="L8" s="106">
        <v>147509</v>
      </c>
      <c r="M8" s="107"/>
      <c r="N8" s="106">
        <f>O8+P8</f>
        <v>344023</v>
      </c>
      <c r="O8" s="106">
        <f>SUM(O10:O32)</f>
        <v>174666</v>
      </c>
      <c r="P8" s="106">
        <f>SUM(P10:P32)</f>
        <v>169357</v>
      </c>
      <c r="Q8" s="72"/>
      <c r="R8" s="73"/>
      <c r="S8" s="73"/>
      <c r="AF8" s="108" t="s">
        <v>133</v>
      </c>
      <c r="AG8" s="109">
        <f>-1*AI8</f>
        <v>-19113</v>
      </c>
      <c r="AH8" s="99">
        <f>D10+D11</f>
        <v>17859</v>
      </c>
      <c r="AI8" s="99">
        <f>C10+C11</f>
        <v>19113</v>
      </c>
    </row>
    <row r="9" spans="1:35" ht="10.5" customHeight="1">
      <c r="A9" s="110" t="s">
        <v>134</v>
      </c>
      <c r="B9" s="111"/>
      <c r="C9" s="111"/>
      <c r="D9" s="111"/>
      <c r="E9" s="111"/>
      <c r="F9" s="111"/>
      <c r="G9" s="111"/>
      <c r="H9" s="111"/>
      <c r="I9" s="111"/>
      <c r="J9" s="112"/>
      <c r="K9" s="112"/>
      <c r="L9" s="112"/>
      <c r="M9" s="107"/>
      <c r="N9" s="112"/>
      <c r="O9" s="112"/>
      <c r="P9" s="112"/>
      <c r="AF9" s="108" t="s">
        <v>135</v>
      </c>
      <c r="AG9" s="109">
        <f t="shared" ref="AG9:AG23" si="0">-1*AI9</f>
        <v>-20840</v>
      </c>
      <c r="AH9" s="99">
        <f>D12+D13</f>
        <v>19919</v>
      </c>
      <c r="AI9" s="99">
        <f>C12+C13</f>
        <v>20840</v>
      </c>
    </row>
    <row r="10" spans="1:35" s="118" customFormat="1" ht="11.25" customHeight="1">
      <c r="A10" s="113" t="s">
        <v>136</v>
      </c>
      <c r="B10" s="114">
        <v>7044</v>
      </c>
      <c r="C10" s="114">
        <v>3593</v>
      </c>
      <c r="D10" s="114">
        <v>3451</v>
      </c>
      <c r="E10" s="114"/>
      <c r="F10" s="114">
        <v>5515</v>
      </c>
      <c r="G10" s="114">
        <v>2780</v>
      </c>
      <c r="H10" s="114">
        <v>2735</v>
      </c>
      <c r="I10" s="114"/>
      <c r="J10" s="115">
        <v>5462</v>
      </c>
      <c r="K10" s="115">
        <v>2777</v>
      </c>
      <c r="L10" s="115">
        <v>2685</v>
      </c>
      <c r="M10" s="116"/>
      <c r="N10" s="115">
        <f>O10+P10</f>
        <v>7017</v>
      </c>
      <c r="O10" s="115">
        <v>3634</v>
      </c>
      <c r="P10" s="115">
        <v>3383</v>
      </c>
      <c r="Q10" s="117"/>
      <c r="AF10" s="108" t="s">
        <v>137</v>
      </c>
      <c r="AG10" s="109">
        <f t="shared" si="0"/>
        <v>-18286</v>
      </c>
      <c r="AH10" s="114">
        <v>17584</v>
      </c>
      <c r="AI10" s="114">
        <v>18286</v>
      </c>
    </row>
    <row r="11" spans="1:35" ht="18" customHeight="1">
      <c r="A11" s="108" t="s">
        <v>138</v>
      </c>
      <c r="B11" s="114">
        <v>29928</v>
      </c>
      <c r="C11" s="114">
        <v>15520</v>
      </c>
      <c r="D11" s="114">
        <v>14408</v>
      </c>
      <c r="E11" s="114"/>
      <c r="F11" s="114">
        <v>25397</v>
      </c>
      <c r="G11" s="114">
        <v>12919</v>
      </c>
      <c r="H11" s="114">
        <v>12478</v>
      </c>
      <c r="I11" s="114"/>
      <c r="J11" s="115">
        <v>20709</v>
      </c>
      <c r="K11" s="115">
        <v>10585</v>
      </c>
      <c r="L11" s="115">
        <v>10124</v>
      </c>
      <c r="M11" s="116"/>
      <c r="N11" s="115">
        <f t="shared" ref="N11:N32" si="1">O11+P11</f>
        <v>29069</v>
      </c>
      <c r="O11" s="115">
        <v>15229</v>
      </c>
      <c r="P11" s="115">
        <v>13840</v>
      </c>
      <c r="R11" s="119"/>
      <c r="S11" s="120"/>
      <c r="T11" s="120"/>
      <c r="U11" s="120"/>
      <c r="AF11" s="108" t="s">
        <v>139</v>
      </c>
      <c r="AG11" s="109">
        <f t="shared" si="0"/>
        <v>-12343</v>
      </c>
      <c r="AH11" s="114">
        <v>12562</v>
      </c>
      <c r="AI11" s="114">
        <v>12343</v>
      </c>
    </row>
    <row r="12" spans="1:35" ht="18" customHeight="1">
      <c r="A12" s="108" t="s">
        <v>140</v>
      </c>
      <c r="B12" s="114">
        <v>8625</v>
      </c>
      <c r="C12" s="114">
        <v>4375</v>
      </c>
      <c r="D12" s="114">
        <v>4250</v>
      </c>
      <c r="E12" s="114"/>
      <c r="F12" s="114">
        <v>7114</v>
      </c>
      <c r="G12" s="114">
        <v>3572</v>
      </c>
      <c r="H12" s="114">
        <v>3542</v>
      </c>
      <c r="I12" s="114"/>
      <c r="J12" s="115">
        <v>5514</v>
      </c>
      <c r="K12" s="115">
        <v>2849</v>
      </c>
      <c r="L12" s="115">
        <v>2665</v>
      </c>
      <c r="M12" s="116"/>
      <c r="N12" s="115">
        <f t="shared" si="1"/>
        <v>7302</v>
      </c>
      <c r="O12" s="115">
        <v>3680</v>
      </c>
      <c r="P12" s="115">
        <v>3622</v>
      </c>
      <c r="Q12" s="121"/>
      <c r="R12" s="122"/>
      <c r="S12" s="123"/>
      <c r="T12" s="123"/>
      <c r="U12" s="123"/>
      <c r="V12" s="124"/>
      <c r="W12" s="124"/>
      <c r="X12" s="124"/>
      <c r="Y12" s="124"/>
      <c r="Z12" s="124"/>
      <c r="AF12" s="108" t="s">
        <v>141</v>
      </c>
      <c r="AG12" s="109">
        <f t="shared" si="0"/>
        <v>-9944</v>
      </c>
      <c r="AH12" s="114">
        <v>11077</v>
      </c>
      <c r="AI12" s="114">
        <v>9944</v>
      </c>
    </row>
    <row r="13" spans="1:35" ht="18" customHeight="1">
      <c r="A13" s="108" t="s">
        <v>142</v>
      </c>
      <c r="B13" s="114">
        <v>32134</v>
      </c>
      <c r="C13" s="114">
        <v>16465</v>
      </c>
      <c r="D13" s="114">
        <v>15669</v>
      </c>
      <c r="E13" s="114"/>
      <c r="F13" s="114">
        <v>30813</v>
      </c>
      <c r="G13" s="114">
        <v>15764</v>
      </c>
      <c r="H13" s="114">
        <v>15049</v>
      </c>
      <c r="I13" s="114"/>
      <c r="J13" s="115">
        <v>24353</v>
      </c>
      <c r="K13" s="115">
        <v>12503</v>
      </c>
      <c r="L13" s="115">
        <v>11850</v>
      </c>
      <c r="M13" s="116"/>
      <c r="N13" s="115">
        <f t="shared" si="1"/>
        <v>24678</v>
      </c>
      <c r="O13" s="115">
        <v>12684</v>
      </c>
      <c r="P13" s="115">
        <v>11994</v>
      </c>
      <c r="Q13" s="121"/>
      <c r="R13" s="122"/>
      <c r="S13" s="123"/>
      <c r="T13" s="123"/>
      <c r="U13" s="123"/>
      <c r="V13" s="124"/>
      <c r="W13" s="124"/>
      <c r="X13" s="124"/>
      <c r="Y13" s="124"/>
      <c r="Z13" s="124"/>
      <c r="AF13" s="108" t="s">
        <v>143</v>
      </c>
      <c r="AG13" s="109">
        <f t="shared" si="0"/>
        <v>-8802</v>
      </c>
      <c r="AH13" s="114">
        <v>9389</v>
      </c>
      <c r="AI13" s="114">
        <v>8802</v>
      </c>
    </row>
    <row r="14" spans="1:35" ht="18" customHeight="1">
      <c r="A14" s="108" t="s">
        <v>137</v>
      </c>
      <c r="B14" s="114">
        <v>35870</v>
      </c>
      <c r="C14" s="114">
        <v>18286</v>
      </c>
      <c r="D14" s="114">
        <v>17584</v>
      </c>
      <c r="E14" s="114"/>
      <c r="F14" s="114">
        <v>41089</v>
      </c>
      <c r="G14" s="114">
        <v>20897</v>
      </c>
      <c r="H14" s="114">
        <v>20192</v>
      </c>
      <c r="I14" s="114"/>
      <c r="J14" s="115">
        <v>36999</v>
      </c>
      <c r="K14" s="115">
        <v>19111</v>
      </c>
      <c r="L14" s="115">
        <v>17888</v>
      </c>
      <c r="M14" s="116"/>
      <c r="N14" s="115">
        <f t="shared" si="1"/>
        <v>26358</v>
      </c>
      <c r="O14" s="115">
        <v>13571</v>
      </c>
      <c r="P14" s="115">
        <v>12787</v>
      </c>
      <c r="Q14" s="121"/>
      <c r="R14" s="125"/>
      <c r="S14" s="123"/>
      <c r="T14" s="123"/>
      <c r="U14" s="123"/>
      <c r="AF14" s="108" t="s">
        <v>144</v>
      </c>
      <c r="AG14" s="109">
        <f t="shared" si="0"/>
        <v>-7579</v>
      </c>
      <c r="AH14" s="114">
        <v>7785</v>
      </c>
      <c r="AI14" s="114">
        <v>7579</v>
      </c>
    </row>
    <row r="15" spans="1:35" ht="18" customHeight="1">
      <c r="A15" s="108" t="s">
        <v>139</v>
      </c>
      <c r="B15" s="114">
        <v>24905</v>
      </c>
      <c r="C15" s="114">
        <v>12343</v>
      </c>
      <c r="D15" s="114">
        <v>12562</v>
      </c>
      <c r="E15" s="114"/>
      <c r="F15" s="114">
        <v>33266</v>
      </c>
      <c r="G15" s="114">
        <v>16590</v>
      </c>
      <c r="H15" s="114">
        <v>16676</v>
      </c>
      <c r="I15" s="114"/>
      <c r="J15" s="115">
        <v>39904</v>
      </c>
      <c r="K15" s="115">
        <v>20155</v>
      </c>
      <c r="L15" s="115">
        <v>19749</v>
      </c>
      <c r="M15" s="116"/>
      <c r="N15" s="115">
        <f t="shared" si="1"/>
        <v>31383</v>
      </c>
      <c r="O15" s="115">
        <v>15922</v>
      </c>
      <c r="P15" s="115">
        <v>15461</v>
      </c>
      <c r="Q15" s="121"/>
      <c r="R15" s="125"/>
      <c r="S15" s="123"/>
      <c r="T15" s="123"/>
      <c r="U15" s="123"/>
      <c r="AF15" s="108" t="s">
        <v>145</v>
      </c>
      <c r="AG15" s="109">
        <f t="shared" si="0"/>
        <v>-6315</v>
      </c>
      <c r="AH15" s="114">
        <v>6317</v>
      </c>
      <c r="AI15" s="114">
        <v>6315</v>
      </c>
    </row>
    <row r="16" spans="1:35" ht="18" customHeight="1">
      <c r="A16" s="108" t="s">
        <v>141</v>
      </c>
      <c r="B16" s="114">
        <v>21021</v>
      </c>
      <c r="C16" s="114">
        <v>9944</v>
      </c>
      <c r="D16" s="114">
        <v>11077</v>
      </c>
      <c r="E16" s="114"/>
      <c r="F16" s="114">
        <v>23514</v>
      </c>
      <c r="G16" s="114">
        <v>11620</v>
      </c>
      <c r="H16" s="114">
        <v>11894</v>
      </c>
      <c r="I16" s="114"/>
      <c r="J16" s="115">
        <v>34809</v>
      </c>
      <c r="K16" s="115">
        <v>16933</v>
      </c>
      <c r="L16" s="115">
        <v>17876</v>
      </c>
      <c r="M16" s="116"/>
      <c r="N16" s="115">
        <f t="shared" si="1"/>
        <v>37886</v>
      </c>
      <c r="O16" s="115">
        <v>19349</v>
      </c>
      <c r="P16" s="115">
        <v>18537</v>
      </c>
      <c r="Q16" s="121"/>
      <c r="R16" s="125"/>
      <c r="S16" s="123"/>
      <c r="T16" s="123"/>
      <c r="U16" s="123"/>
      <c r="AF16" s="108" t="s">
        <v>146</v>
      </c>
      <c r="AG16" s="109">
        <f t="shared" si="0"/>
        <v>-3625</v>
      </c>
      <c r="AH16" s="114">
        <v>3297</v>
      </c>
      <c r="AI16" s="114">
        <v>3625</v>
      </c>
    </row>
    <row r="17" spans="1:35" ht="18" customHeight="1">
      <c r="A17" s="108" t="s">
        <v>143</v>
      </c>
      <c r="B17" s="114">
        <v>18191</v>
      </c>
      <c r="C17" s="114">
        <v>8802</v>
      </c>
      <c r="D17" s="114">
        <v>9389</v>
      </c>
      <c r="E17" s="114"/>
      <c r="F17" s="114">
        <v>20090</v>
      </c>
      <c r="G17" s="114">
        <v>9805</v>
      </c>
      <c r="H17" s="114">
        <v>10285</v>
      </c>
      <c r="I17" s="114"/>
      <c r="J17" s="115">
        <v>24581</v>
      </c>
      <c r="K17" s="115">
        <v>11915</v>
      </c>
      <c r="L17" s="115">
        <v>12666</v>
      </c>
      <c r="M17" s="116"/>
      <c r="N17" s="115">
        <f t="shared" si="1"/>
        <v>39189</v>
      </c>
      <c r="O17" s="115">
        <v>19451</v>
      </c>
      <c r="P17" s="115">
        <v>19738</v>
      </c>
      <c r="Q17" s="121"/>
      <c r="R17" s="125"/>
      <c r="S17" s="123"/>
      <c r="T17" s="123"/>
      <c r="U17" s="123"/>
      <c r="AF17" s="108" t="s">
        <v>147</v>
      </c>
      <c r="AG17" s="109">
        <f t="shared" si="0"/>
        <v>-3369</v>
      </c>
      <c r="AH17" s="114">
        <v>3215</v>
      </c>
      <c r="AI17" s="114">
        <v>3369</v>
      </c>
    </row>
    <row r="18" spans="1:35" ht="18" customHeight="1">
      <c r="A18" s="108" t="s">
        <v>144</v>
      </c>
      <c r="B18" s="114">
        <v>15364</v>
      </c>
      <c r="C18" s="114">
        <v>7579</v>
      </c>
      <c r="D18" s="114">
        <v>7785</v>
      </c>
      <c r="E18" s="114"/>
      <c r="F18" s="114">
        <v>18161</v>
      </c>
      <c r="G18" s="114">
        <v>8890</v>
      </c>
      <c r="H18" s="114">
        <v>9271</v>
      </c>
      <c r="I18" s="114"/>
      <c r="J18" s="115">
        <v>20635</v>
      </c>
      <c r="K18" s="115">
        <v>10022</v>
      </c>
      <c r="L18" s="115">
        <v>10613</v>
      </c>
      <c r="M18" s="116"/>
      <c r="N18" s="115">
        <f t="shared" si="1"/>
        <v>31362</v>
      </c>
      <c r="O18" s="115">
        <v>15494</v>
      </c>
      <c r="P18" s="115">
        <v>15868</v>
      </c>
      <c r="Q18" s="121"/>
      <c r="R18" s="125"/>
      <c r="S18" s="123"/>
      <c r="T18" s="123"/>
      <c r="U18" s="123"/>
      <c r="AF18" s="108" t="s">
        <v>148</v>
      </c>
      <c r="AG18" s="109">
        <f t="shared" si="0"/>
        <v>-3205</v>
      </c>
      <c r="AH18" s="114">
        <v>3042</v>
      </c>
      <c r="AI18" s="114">
        <v>3205</v>
      </c>
    </row>
    <row r="19" spans="1:35" ht="18" customHeight="1">
      <c r="A19" s="108" t="s">
        <v>145</v>
      </c>
      <c r="B19" s="114">
        <v>12632</v>
      </c>
      <c r="C19" s="114">
        <v>6315</v>
      </c>
      <c r="D19" s="114">
        <v>6317</v>
      </c>
      <c r="E19" s="114"/>
      <c r="F19" s="114">
        <v>15699</v>
      </c>
      <c r="G19" s="114">
        <v>7828</v>
      </c>
      <c r="H19" s="114">
        <v>7871</v>
      </c>
      <c r="I19" s="114"/>
      <c r="J19" s="115">
        <v>18174</v>
      </c>
      <c r="K19" s="115">
        <v>8780</v>
      </c>
      <c r="L19" s="115">
        <v>9394</v>
      </c>
      <c r="M19" s="116"/>
      <c r="N19" s="115">
        <f t="shared" si="1"/>
        <v>22904</v>
      </c>
      <c r="O19" s="115">
        <v>11386</v>
      </c>
      <c r="P19" s="115">
        <v>11518</v>
      </c>
      <c r="Q19" s="121"/>
      <c r="R19" s="125"/>
      <c r="S19" s="123"/>
      <c r="T19" s="123"/>
      <c r="U19" s="123"/>
      <c r="AF19" s="108" t="s">
        <v>149</v>
      </c>
      <c r="AG19" s="109">
        <f t="shared" si="0"/>
        <v>-3240</v>
      </c>
      <c r="AH19" s="114">
        <v>2722</v>
      </c>
      <c r="AI19" s="114">
        <v>3240</v>
      </c>
    </row>
    <row r="20" spans="1:35" ht="18" customHeight="1">
      <c r="A20" s="108" t="s">
        <v>146</v>
      </c>
      <c r="B20" s="114">
        <v>6922</v>
      </c>
      <c r="C20" s="114">
        <v>3625</v>
      </c>
      <c r="D20" s="114">
        <v>3297</v>
      </c>
      <c r="E20" s="114"/>
      <c r="F20" s="114">
        <v>12402</v>
      </c>
      <c r="G20" s="114">
        <v>6272</v>
      </c>
      <c r="H20" s="114">
        <v>6130</v>
      </c>
      <c r="I20" s="114"/>
      <c r="J20" s="115">
        <v>15871</v>
      </c>
      <c r="K20" s="115">
        <v>7828</v>
      </c>
      <c r="L20" s="115">
        <v>8043</v>
      </c>
      <c r="M20" s="116"/>
      <c r="N20" s="115">
        <f t="shared" si="1"/>
        <v>19875</v>
      </c>
      <c r="O20" s="115">
        <v>9811</v>
      </c>
      <c r="P20" s="115">
        <v>10064</v>
      </c>
      <c r="Q20" s="121"/>
      <c r="R20" s="125"/>
      <c r="S20" s="123"/>
      <c r="T20" s="123"/>
      <c r="U20" s="123"/>
      <c r="AF20" s="108" t="s">
        <v>150</v>
      </c>
      <c r="AG20" s="109">
        <f t="shared" si="0"/>
        <v>-3010</v>
      </c>
      <c r="AH20" s="114">
        <v>2284</v>
      </c>
      <c r="AI20" s="114">
        <v>3010</v>
      </c>
    </row>
    <row r="21" spans="1:35" ht="18" customHeight="1">
      <c r="A21" s="108" t="s">
        <v>147</v>
      </c>
      <c r="B21" s="114">
        <v>6584</v>
      </c>
      <c r="C21" s="114">
        <v>3369</v>
      </c>
      <c r="D21" s="114">
        <v>3215</v>
      </c>
      <c r="E21" s="114"/>
      <c r="F21" s="114">
        <v>7461</v>
      </c>
      <c r="G21" s="114">
        <v>3977</v>
      </c>
      <c r="H21" s="114">
        <v>3484</v>
      </c>
      <c r="I21" s="114"/>
      <c r="J21" s="115">
        <v>13569</v>
      </c>
      <c r="K21" s="115">
        <v>6872</v>
      </c>
      <c r="L21" s="115">
        <v>6697</v>
      </c>
      <c r="M21" s="116"/>
      <c r="N21" s="115">
        <f t="shared" si="1"/>
        <v>17579</v>
      </c>
      <c r="O21" s="115">
        <v>8784</v>
      </c>
      <c r="P21" s="115">
        <v>8795</v>
      </c>
      <c r="Q21" s="121"/>
      <c r="R21" s="125"/>
      <c r="S21" s="123"/>
      <c r="T21" s="123"/>
      <c r="U21" s="123"/>
      <c r="AF21" s="108" t="s">
        <v>151</v>
      </c>
      <c r="AG21" s="109">
        <f t="shared" si="0"/>
        <v>-1897</v>
      </c>
      <c r="AH21" s="114">
        <v>1304</v>
      </c>
      <c r="AI21" s="114">
        <v>1897</v>
      </c>
    </row>
    <row r="22" spans="1:35" ht="18" customHeight="1">
      <c r="A22" s="108" t="s">
        <v>148</v>
      </c>
      <c r="B22" s="114">
        <v>6247</v>
      </c>
      <c r="C22" s="114">
        <v>3205</v>
      </c>
      <c r="D22" s="114">
        <v>3042</v>
      </c>
      <c r="E22" s="114"/>
      <c r="F22" s="114">
        <v>5967</v>
      </c>
      <c r="G22" s="114">
        <v>3051</v>
      </c>
      <c r="H22" s="114">
        <v>2916</v>
      </c>
      <c r="I22" s="114"/>
      <c r="J22" s="115">
        <v>7936</v>
      </c>
      <c r="K22" s="115">
        <v>4147</v>
      </c>
      <c r="L22" s="115">
        <v>3789</v>
      </c>
      <c r="M22" s="116"/>
      <c r="N22" s="115">
        <f t="shared" si="1"/>
        <v>15050</v>
      </c>
      <c r="O22" s="115">
        <v>7645</v>
      </c>
      <c r="P22" s="115">
        <v>7405</v>
      </c>
      <c r="Q22" s="121"/>
      <c r="R22" s="125"/>
      <c r="S22" s="123"/>
      <c r="T22" s="123"/>
      <c r="U22" s="123"/>
      <c r="AF22" s="108" t="s">
        <v>152</v>
      </c>
      <c r="AG22" s="109">
        <f t="shared" si="0"/>
        <v>-1279</v>
      </c>
      <c r="AH22" s="114">
        <v>822</v>
      </c>
      <c r="AI22" s="114">
        <v>1279</v>
      </c>
    </row>
    <row r="23" spans="1:35" ht="18" customHeight="1">
      <c r="A23" s="108" t="s">
        <v>149</v>
      </c>
      <c r="B23" s="114">
        <v>5962</v>
      </c>
      <c r="C23" s="114">
        <v>3240</v>
      </c>
      <c r="D23" s="114">
        <v>2722</v>
      </c>
      <c r="E23" s="114"/>
      <c r="F23" s="114">
        <v>5996</v>
      </c>
      <c r="G23" s="114">
        <v>3131</v>
      </c>
      <c r="H23" s="114">
        <v>2865</v>
      </c>
      <c r="I23" s="114"/>
      <c r="J23" s="115">
        <v>5859</v>
      </c>
      <c r="K23" s="115">
        <v>3046</v>
      </c>
      <c r="L23" s="115">
        <v>2813</v>
      </c>
      <c r="M23" s="116"/>
      <c r="N23" s="115">
        <f t="shared" si="1"/>
        <v>11703</v>
      </c>
      <c r="O23" s="115">
        <v>6031</v>
      </c>
      <c r="P23" s="115">
        <v>5672</v>
      </c>
      <c r="Q23" s="121"/>
      <c r="R23" s="125"/>
      <c r="S23" s="123"/>
      <c r="T23" s="123"/>
      <c r="U23" s="123"/>
      <c r="AF23" s="108" t="s">
        <v>153</v>
      </c>
      <c r="AG23" s="109">
        <f t="shared" si="0"/>
        <v>-1384</v>
      </c>
      <c r="AH23" s="99">
        <f>D27+D28+D29+D30+D31</f>
        <v>862</v>
      </c>
      <c r="AI23" s="99">
        <f>C27+C28+C29+C30+C31</f>
        <v>1384</v>
      </c>
    </row>
    <row r="24" spans="1:35" ht="18" customHeight="1">
      <c r="A24" s="108" t="s">
        <v>150</v>
      </c>
      <c r="B24" s="114">
        <v>5294</v>
      </c>
      <c r="C24" s="114">
        <v>3010</v>
      </c>
      <c r="D24" s="114">
        <v>2284</v>
      </c>
      <c r="E24" s="114"/>
      <c r="F24" s="114">
        <v>6312</v>
      </c>
      <c r="G24" s="114">
        <v>3370</v>
      </c>
      <c r="H24" s="114">
        <v>2942</v>
      </c>
      <c r="I24" s="114"/>
      <c r="J24" s="115">
        <v>5566</v>
      </c>
      <c r="K24" s="115">
        <v>2852</v>
      </c>
      <c r="L24" s="115">
        <v>2714</v>
      </c>
      <c r="M24" s="116"/>
      <c r="N24" s="115">
        <f t="shared" si="1"/>
        <v>6249</v>
      </c>
      <c r="O24" s="115">
        <v>3327</v>
      </c>
      <c r="P24" s="115">
        <v>2922</v>
      </c>
      <c r="Q24" s="121"/>
      <c r="R24" s="125"/>
      <c r="S24" s="123"/>
      <c r="T24" s="123"/>
      <c r="U24" s="123"/>
      <c r="AF24" s="108"/>
      <c r="AG24" s="108"/>
      <c r="AH24" s="108"/>
    </row>
    <row r="25" spans="1:35" ht="18" customHeight="1">
      <c r="A25" s="108" t="s">
        <v>151</v>
      </c>
      <c r="B25" s="114">
        <v>3201</v>
      </c>
      <c r="C25" s="114">
        <v>1897</v>
      </c>
      <c r="D25" s="114">
        <v>1304</v>
      </c>
      <c r="E25" s="114"/>
      <c r="F25" s="114">
        <v>4611</v>
      </c>
      <c r="G25" s="114">
        <v>2650</v>
      </c>
      <c r="H25" s="114">
        <v>1961</v>
      </c>
      <c r="I25" s="114"/>
      <c r="J25" s="115">
        <v>5678</v>
      </c>
      <c r="K25" s="115">
        <v>3014</v>
      </c>
      <c r="L25" s="115">
        <v>2664</v>
      </c>
      <c r="M25" s="116"/>
      <c r="N25" s="115">
        <f t="shared" si="1"/>
        <v>4871</v>
      </c>
      <c r="O25" s="115">
        <v>2445</v>
      </c>
      <c r="P25" s="115">
        <v>2426</v>
      </c>
      <c r="Q25" s="121"/>
      <c r="R25" s="125"/>
      <c r="S25" s="123"/>
      <c r="T25" s="123"/>
      <c r="U25" s="123"/>
    </row>
    <row r="26" spans="1:35" ht="18" customHeight="1">
      <c r="A26" s="108" t="s">
        <v>152</v>
      </c>
      <c r="B26" s="114">
        <v>2101</v>
      </c>
      <c r="C26" s="114">
        <v>1279</v>
      </c>
      <c r="D26" s="114">
        <v>822</v>
      </c>
      <c r="E26" s="114"/>
      <c r="F26" s="114">
        <v>2873</v>
      </c>
      <c r="G26" s="114">
        <v>1737</v>
      </c>
      <c r="H26" s="114">
        <v>1136</v>
      </c>
      <c r="I26" s="114"/>
      <c r="J26" s="115">
        <v>4186</v>
      </c>
      <c r="K26" s="115">
        <v>2333</v>
      </c>
      <c r="L26" s="115">
        <v>1853</v>
      </c>
      <c r="M26" s="116"/>
      <c r="N26" s="115">
        <f t="shared" si="1"/>
        <v>4843</v>
      </c>
      <c r="O26" s="115">
        <v>2471</v>
      </c>
      <c r="P26" s="115">
        <v>2372</v>
      </c>
      <c r="Q26" s="121"/>
      <c r="R26" s="125"/>
      <c r="S26" s="123"/>
      <c r="T26" s="123"/>
      <c r="U26" s="123"/>
    </row>
    <row r="27" spans="1:35" ht="18" customHeight="1">
      <c r="A27" s="108" t="s">
        <v>154</v>
      </c>
      <c r="B27" s="114">
        <v>968</v>
      </c>
      <c r="C27" s="114">
        <v>617</v>
      </c>
      <c r="D27" s="114">
        <v>351</v>
      </c>
      <c r="E27" s="114"/>
      <c r="F27" s="114">
        <v>1410</v>
      </c>
      <c r="G27" s="114">
        <v>859</v>
      </c>
      <c r="H27" s="114">
        <v>551</v>
      </c>
      <c r="I27" s="114"/>
      <c r="J27" s="115">
        <v>2377</v>
      </c>
      <c r="K27" s="115">
        <v>1444</v>
      </c>
      <c r="L27" s="115">
        <v>933</v>
      </c>
      <c r="M27" s="126"/>
      <c r="N27" s="115">
        <f t="shared" si="1"/>
        <v>3723</v>
      </c>
      <c r="O27" s="115">
        <v>1968</v>
      </c>
      <c r="P27" s="115">
        <v>1755</v>
      </c>
      <c r="Q27" s="121"/>
      <c r="R27" s="125"/>
      <c r="S27" s="123"/>
      <c r="T27" s="123"/>
      <c r="U27" s="123"/>
    </row>
    <row r="28" spans="1:35" ht="18" customHeight="1">
      <c r="A28" s="108" t="s">
        <v>155</v>
      </c>
      <c r="B28" s="114">
        <v>695</v>
      </c>
      <c r="C28" s="114">
        <v>394</v>
      </c>
      <c r="D28" s="114">
        <v>301</v>
      </c>
      <c r="E28" s="114"/>
      <c r="F28" s="114">
        <v>679</v>
      </c>
      <c r="G28" s="114">
        <v>407</v>
      </c>
      <c r="H28" s="114">
        <v>272</v>
      </c>
      <c r="I28" s="114"/>
      <c r="J28" s="115">
        <v>1064</v>
      </c>
      <c r="K28" s="115">
        <v>617</v>
      </c>
      <c r="L28" s="115">
        <v>447</v>
      </c>
      <c r="M28" s="126"/>
      <c r="N28" s="115">
        <f t="shared" si="1"/>
        <v>1949</v>
      </c>
      <c r="O28" s="115">
        <v>1155</v>
      </c>
      <c r="P28" s="115">
        <v>794</v>
      </c>
      <c r="Q28" s="121"/>
      <c r="R28" s="125"/>
      <c r="S28" s="123"/>
      <c r="T28" s="123"/>
      <c r="U28" s="123"/>
      <c r="AF28" s="90">
        <v>2000</v>
      </c>
    </row>
    <row r="29" spans="1:35" ht="18" customHeight="1">
      <c r="A29" s="108" t="s">
        <v>156</v>
      </c>
      <c r="B29" s="114">
        <v>326</v>
      </c>
      <c r="C29" s="114">
        <v>220</v>
      </c>
      <c r="D29" s="114">
        <v>106</v>
      </c>
      <c r="E29" s="114"/>
      <c r="F29" s="114">
        <v>284</v>
      </c>
      <c r="G29" s="114">
        <v>162</v>
      </c>
      <c r="H29" s="114">
        <v>122</v>
      </c>
      <c r="I29" s="114"/>
      <c r="J29" s="115">
        <v>396</v>
      </c>
      <c r="K29" s="115">
        <v>241</v>
      </c>
      <c r="L29" s="115">
        <v>155</v>
      </c>
      <c r="M29" s="126"/>
      <c r="N29" s="115">
        <f t="shared" si="1"/>
        <v>725</v>
      </c>
      <c r="O29" s="115">
        <v>442</v>
      </c>
      <c r="P29" s="115">
        <v>283</v>
      </c>
      <c r="Q29" s="121"/>
      <c r="R29" s="125"/>
      <c r="S29" s="123"/>
      <c r="T29" s="123"/>
      <c r="U29" s="123"/>
    </row>
    <row r="30" spans="1:35" ht="18" customHeight="1">
      <c r="A30" s="108" t="s">
        <v>157</v>
      </c>
      <c r="B30" s="114">
        <v>163</v>
      </c>
      <c r="C30" s="114">
        <v>86</v>
      </c>
      <c r="D30" s="114">
        <v>77</v>
      </c>
      <c r="E30" s="114"/>
      <c r="F30" s="114">
        <v>96</v>
      </c>
      <c r="G30" s="114">
        <v>59</v>
      </c>
      <c r="H30" s="114">
        <v>37</v>
      </c>
      <c r="I30" s="114"/>
      <c r="J30" s="115">
        <v>159</v>
      </c>
      <c r="K30" s="115">
        <v>89</v>
      </c>
      <c r="L30" s="115">
        <v>70</v>
      </c>
      <c r="M30" s="126"/>
      <c r="N30" s="115">
        <f t="shared" si="1"/>
        <v>225</v>
      </c>
      <c r="O30" s="115">
        <v>140</v>
      </c>
      <c r="P30" s="115">
        <v>85</v>
      </c>
      <c r="Q30" s="121"/>
      <c r="R30" s="125"/>
      <c r="S30" s="123"/>
      <c r="T30" s="123"/>
      <c r="U30" s="123"/>
      <c r="AI30" s="99"/>
    </row>
    <row r="31" spans="1:35" ht="18" customHeight="1">
      <c r="A31" s="108" t="s">
        <v>158</v>
      </c>
      <c r="B31" s="127">
        <v>94</v>
      </c>
      <c r="C31" s="127">
        <v>67</v>
      </c>
      <c r="D31" s="127">
        <v>27</v>
      </c>
      <c r="E31" s="127"/>
      <c r="F31" s="114">
        <v>76</v>
      </c>
      <c r="G31" s="114">
        <v>45</v>
      </c>
      <c r="H31" s="114">
        <v>31</v>
      </c>
      <c r="I31" s="114"/>
      <c r="J31" s="115">
        <v>84</v>
      </c>
      <c r="K31" s="115">
        <v>52</v>
      </c>
      <c r="L31" s="115">
        <v>32</v>
      </c>
      <c r="M31" s="126"/>
      <c r="N31" s="115">
        <f t="shared" si="1"/>
        <v>83</v>
      </c>
      <c r="O31" s="115">
        <v>47</v>
      </c>
      <c r="P31" s="115">
        <v>36</v>
      </c>
      <c r="Q31" s="121"/>
      <c r="R31" s="125"/>
      <c r="S31" s="123"/>
      <c r="T31" s="123"/>
      <c r="U31" s="123"/>
      <c r="AG31" s="103" t="s">
        <v>22</v>
      </c>
      <c r="AH31" s="103" t="s">
        <v>23</v>
      </c>
    </row>
    <row r="32" spans="1:35" ht="18" customHeight="1">
      <c r="A32" s="128" t="s">
        <v>159</v>
      </c>
      <c r="B32" s="129">
        <v>543</v>
      </c>
      <c r="C32" s="129">
        <v>391</v>
      </c>
      <c r="D32" s="129">
        <v>152</v>
      </c>
      <c r="E32" s="129"/>
      <c r="F32" s="130">
        <v>1276</v>
      </c>
      <c r="G32" s="130">
        <v>815</v>
      </c>
      <c r="H32" s="130">
        <v>461</v>
      </c>
      <c r="I32" s="130"/>
      <c r="J32" s="131">
        <v>5083</v>
      </c>
      <c r="K32" s="131">
        <v>3294</v>
      </c>
      <c r="L32" s="131">
        <v>1789</v>
      </c>
      <c r="M32" s="132"/>
      <c r="N32" s="115">
        <f t="shared" si="1"/>
        <v>0</v>
      </c>
      <c r="O32" s="131">
        <v>0</v>
      </c>
      <c r="P32" s="131">
        <v>0</v>
      </c>
      <c r="Q32" s="121"/>
      <c r="R32" s="125"/>
      <c r="S32" s="88"/>
      <c r="T32" s="88"/>
      <c r="U32" s="88"/>
      <c r="V32" s="88"/>
      <c r="AF32" s="108" t="s">
        <v>133</v>
      </c>
      <c r="AG32" s="109">
        <f>-1*AI32</f>
        <v>-15699</v>
      </c>
      <c r="AH32" s="99">
        <f>H10+H11</f>
        <v>15213</v>
      </c>
      <c r="AI32" s="99">
        <f>G10+G11</f>
        <v>15699</v>
      </c>
    </row>
    <row r="33" spans="1:35" ht="17.25">
      <c r="A33" s="66" t="s">
        <v>117</v>
      </c>
      <c r="B33" s="133"/>
      <c r="C33" s="133"/>
      <c r="D33" s="133"/>
      <c r="E33" s="133"/>
      <c r="F33" s="133"/>
      <c r="G33" s="133"/>
      <c r="H33" s="133"/>
      <c r="I33" s="133"/>
      <c r="J33" s="133"/>
      <c r="K33" s="133"/>
      <c r="L33" s="70"/>
      <c r="N33" s="133"/>
      <c r="O33" s="133"/>
      <c r="P33" s="70" t="s">
        <v>118</v>
      </c>
      <c r="Q33" s="87"/>
      <c r="R33" s="88"/>
      <c r="S33" s="88"/>
      <c r="T33" s="88"/>
      <c r="U33" s="88"/>
      <c r="V33" s="88"/>
      <c r="W33" s="108"/>
      <c r="X33" s="108"/>
      <c r="Y33" s="108"/>
      <c r="AF33" s="108" t="s">
        <v>135</v>
      </c>
      <c r="AG33" s="109">
        <f t="shared" ref="AG33:AG47" si="2">-1*AI33</f>
        <v>-19336</v>
      </c>
      <c r="AH33" s="99">
        <f>H12+H13</f>
        <v>18591</v>
      </c>
      <c r="AI33" s="99">
        <f>G12+G13</f>
        <v>19336</v>
      </c>
    </row>
    <row r="34" spans="1:35" ht="15.75">
      <c r="A34" s="134"/>
      <c r="B34" s="110"/>
      <c r="C34" s="134"/>
      <c r="D34" s="134"/>
      <c r="E34" s="134"/>
      <c r="F34" s="88"/>
      <c r="G34" s="88"/>
      <c r="H34" s="88"/>
      <c r="I34" s="88"/>
      <c r="J34" s="88"/>
      <c r="K34" s="88"/>
      <c r="L34" s="134"/>
      <c r="M34" s="134"/>
      <c r="N34" s="88"/>
      <c r="O34" s="88"/>
      <c r="P34" s="134"/>
      <c r="Q34" s="87"/>
      <c r="R34" s="88"/>
      <c r="S34" s="88"/>
      <c r="T34" s="88"/>
      <c r="U34" s="88"/>
      <c r="V34" s="88"/>
      <c r="W34" s="108"/>
      <c r="X34" s="108"/>
      <c r="Y34" s="108"/>
      <c r="AF34" s="108" t="s">
        <v>137</v>
      </c>
      <c r="AG34" s="109">
        <f t="shared" si="2"/>
        <v>-20897</v>
      </c>
      <c r="AH34" s="114">
        <v>20192</v>
      </c>
      <c r="AI34" s="114">
        <v>20897</v>
      </c>
    </row>
    <row r="35" spans="1:35" ht="15">
      <c r="A35" s="134"/>
      <c r="B35" s="134"/>
      <c r="C35" s="134"/>
      <c r="D35" s="134"/>
      <c r="E35" s="134"/>
      <c r="F35" s="134"/>
      <c r="G35" s="134"/>
      <c r="H35" s="134"/>
      <c r="I35" s="134"/>
      <c r="J35" s="134"/>
      <c r="K35" s="134"/>
      <c r="L35" s="134"/>
      <c r="M35" s="134"/>
      <c r="N35" s="134"/>
      <c r="O35" s="134"/>
      <c r="P35" s="134"/>
      <c r="Q35" s="87"/>
      <c r="R35" s="88"/>
      <c r="S35" s="88"/>
      <c r="T35" s="88"/>
      <c r="U35" s="88"/>
      <c r="V35" s="88"/>
      <c r="W35" s="108"/>
      <c r="X35" s="108"/>
      <c r="Y35" s="108"/>
      <c r="AF35" s="108" t="s">
        <v>139</v>
      </c>
      <c r="AG35" s="109">
        <f t="shared" si="2"/>
        <v>-16590</v>
      </c>
      <c r="AH35" s="114">
        <v>16676</v>
      </c>
      <c r="AI35" s="114">
        <v>16590</v>
      </c>
    </row>
    <row r="36" spans="1:35" ht="15">
      <c r="A36" s="134"/>
      <c r="B36" s="134"/>
      <c r="C36" s="134"/>
      <c r="D36" s="134"/>
      <c r="E36" s="134"/>
      <c r="F36" s="134"/>
      <c r="G36" s="134"/>
      <c r="H36" s="134"/>
      <c r="I36" s="134"/>
      <c r="J36" s="134"/>
      <c r="K36" s="134"/>
      <c r="L36" s="134"/>
      <c r="M36" s="134"/>
      <c r="N36" s="134"/>
      <c r="O36" s="134"/>
      <c r="P36" s="134"/>
      <c r="Q36" s="87"/>
      <c r="R36" s="88"/>
      <c r="S36" s="88"/>
      <c r="T36" s="88"/>
      <c r="U36" s="88"/>
      <c r="V36" s="88"/>
      <c r="W36" s="108"/>
      <c r="X36" s="108"/>
      <c r="Y36" s="108"/>
      <c r="AF36" s="108" t="s">
        <v>141</v>
      </c>
      <c r="AG36" s="109">
        <f t="shared" si="2"/>
        <v>-11620</v>
      </c>
      <c r="AH36" s="114">
        <v>11894</v>
      </c>
      <c r="AI36" s="114">
        <v>11620</v>
      </c>
    </row>
    <row r="37" spans="1:35" ht="15">
      <c r="A37" s="134"/>
      <c r="B37" s="134"/>
      <c r="C37" s="134"/>
      <c r="D37" s="134"/>
      <c r="E37" s="134"/>
      <c r="F37" s="134"/>
      <c r="G37" s="134"/>
      <c r="H37" s="134"/>
      <c r="I37" s="134"/>
      <c r="J37" s="134"/>
      <c r="K37" s="134"/>
      <c r="L37" s="134"/>
      <c r="M37" s="134"/>
      <c r="N37" s="134"/>
      <c r="O37" s="134"/>
      <c r="P37" s="134"/>
      <c r="Q37" s="87"/>
      <c r="R37" s="88"/>
      <c r="S37" s="88"/>
      <c r="T37" s="88"/>
      <c r="U37" s="88"/>
      <c r="V37" s="88"/>
      <c r="W37" s="88"/>
      <c r="X37" s="88"/>
      <c r="Y37" s="88"/>
      <c r="AF37" s="108" t="s">
        <v>143</v>
      </c>
      <c r="AG37" s="109">
        <f t="shared" si="2"/>
        <v>-9805</v>
      </c>
      <c r="AH37" s="114">
        <v>10285</v>
      </c>
      <c r="AI37" s="114">
        <v>9805</v>
      </c>
    </row>
    <row r="38" spans="1:35" ht="15">
      <c r="A38" s="134"/>
      <c r="B38" s="134"/>
      <c r="C38" s="134"/>
      <c r="D38" s="134"/>
      <c r="E38" s="134"/>
      <c r="F38" s="134"/>
      <c r="G38" s="134"/>
      <c r="H38" s="134"/>
      <c r="I38" s="134"/>
      <c r="J38" s="134"/>
      <c r="K38" s="134"/>
      <c r="L38" s="134"/>
      <c r="M38" s="134"/>
      <c r="N38" s="134"/>
      <c r="O38" s="134"/>
      <c r="P38" s="134"/>
      <c r="Q38" s="87"/>
      <c r="R38" s="88"/>
      <c r="S38" s="88"/>
      <c r="T38" s="88"/>
      <c r="U38" s="88"/>
      <c r="V38" s="88"/>
      <c r="W38" s="88"/>
      <c r="X38" s="88"/>
      <c r="Y38" s="88"/>
      <c r="AF38" s="108" t="s">
        <v>144</v>
      </c>
      <c r="AG38" s="109">
        <f t="shared" si="2"/>
        <v>-8890</v>
      </c>
      <c r="AH38" s="114">
        <v>9271</v>
      </c>
      <c r="AI38" s="114">
        <v>8890</v>
      </c>
    </row>
    <row r="39" spans="1:35" ht="15">
      <c r="A39" s="134"/>
      <c r="B39" s="134"/>
      <c r="C39" s="134"/>
      <c r="D39" s="134"/>
      <c r="E39" s="134"/>
      <c r="F39" s="134"/>
      <c r="G39" s="134"/>
      <c r="H39" s="134"/>
      <c r="I39" s="134"/>
      <c r="J39" s="134"/>
      <c r="K39" s="134"/>
      <c r="L39" s="134"/>
      <c r="M39" s="134"/>
      <c r="N39" s="134"/>
      <c r="O39" s="134"/>
      <c r="P39" s="134"/>
      <c r="Q39" s="87"/>
      <c r="R39" s="88"/>
      <c r="S39" s="88"/>
      <c r="T39" s="88"/>
      <c r="U39" s="88"/>
      <c r="V39" s="88"/>
      <c r="W39" s="88"/>
      <c r="X39" s="88"/>
      <c r="Y39" s="88"/>
      <c r="AF39" s="108" t="s">
        <v>145</v>
      </c>
      <c r="AG39" s="109">
        <f t="shared" si="2"/>
        <v>-7828</v>
      </c>
      <c r="AH39" s="114">
        <v>7871</v>
      </c>
      <c r="AI39" s="114">
        <v>7828</v>
      </c>
    </row>
    <row r="40" spans="1:35" ht="15">
      <c r="A40" s="134"/>
      <c r="B40" s="134"/>
      <c r="C40" s="134"/>
      <c r="D40" s="134"/>
      <c r="E40" s="134"/>
      <c r="F40" s="134"/>
      <c r="G40" s="134"/>
      <c r="H40" s="134"/>
      <c r="I40" s="134"/>
      <c r="J40" s="134"/>
      <c r="K40" s="134"/>
      <c r="L40" s="134"/>
      <c r="M40" s="134"/>
      <c r="N40" s="134"/>
      <c r="O40" s="134"/>
      <c r="P40" s="134"/>
      <c r="Q40" s="87"/>
      <c r="R40" s="88"/>
      <c r="S40" s="88"/>
      <c r="T40" s="88"/>
      <c r="U40" s="88"/>
      <c r="V40" s="88"/>
      <c r="W40" s="88"/>
      <c r="X40" s="88"/>
      <c r="Y40" s="88"/>
      <c r="AF40" s="108" t="s">
        <v>146</v>
      </c>
      <c r="AG40" s="109">
        <f t="shared" si="2"/>
        <v>-6272</v>
      </c>
      <c r="AH40" s="114">
        <v>6130</v>
      </c>
      <c r="AI40" s="114">
        <v>6272</v>
      </c>
    </row>
    <row r="41" spans="1:35" ht="15">
      <c r="A41" s="134"/>
      <c r="B41" s="134"/>
      <c r="C41" s="134"/>
      <c r="D41" s="134"/>
      <c r="E41" s="134"/>
      <c r="F41" s="134"/>
      <c r="G41" s="134"/>
      <c r="H41" s="134"/>
      <c r="I41" s="134"/>
      <c r="J41" s="134"/>
      <c r="K41" s="134"/>
      <c r="L41" s="134"/>
      <c r="M41" s="134"/>
      <c r="N41" s="134"/>
      <c r="O41" s="134"/>
      <c r="P41" s="134"/>
      <c r="Q41" s="87"/>
      <c r="R41" s="88"/>
      <c r="S41" s="88"/>
      <c r="T41" s="88"/>
      <c r="U41" s="88"/>
      <c r="V41" s="88"/>
      <c r="W41" s="88"/>
      <c r="X41" s="88"/>
      <c r="Y41" s="88"/>
      <c r="AF41" s="108" t="s">
        <v>147</v>
      </c>
      <c r="AG41" s="109">
        <f t="shared" si="2"/>
        <v>-3977</v>
      </c>
      <c r="AH41" s="114">
        <v>3484</v>
      </c>
      <c r="AI41" s="114">
        <v>3977</v>
      </c>
    </row>
    <row r="42" spans="1:35" ht="15">
      <c r="A42" s="134"/>
      <c r="B42" s="134"/>
      <c r="C42" s="134"/>
      <c r="D42" s="134"/>
      <c r="E42" s="134"/>
      <c r="F42" s="134"/>
      <c r="G42" s="134"/>
      <c r="H42" s="134"/>
      <c r="I42" s="134"/>
      <c r="J42" s="134"/>
      <c r="K42" s="134"/>
      <c r="L42" s="134"/>
      <c r="M42" s="134"/>
      <c r="N42" s="134"/>
      <c r="O42" s="134"/>
      <c r="P42" s="134"/>
      <c r="Q42" s="87"/>
      <c r="R42" s="88"/>
      <c r="S42" s="88"/>
      <c r="T42" s="88"/>
      <c r="U42" s="88"/>
      <c r="V42" s="88"/>
      <c r="W42" s="88"/>
      <c r="X42" s="88"/>
      <c r="Y42" s="88"/>
      <c r="AF42" s="108" t="s">
        <v>148</v>
      </c>
      <c r="AG42" s="109">
        <f t="shared" si="2"/>
        <v>-3051</v>
      </c>
      <c r="AH42" s="114">
        <v>2916</v>
      </c>
      <c r="AI42" s="114">
        <v>3051</v>
      </c>
    </row>
    <row r="43" spans="1:35" ht="15">
      <c r="A43" s="134"/>
      <c r="B43" s="134"/>
      <c r="C43" s="134"/>
      <c r="D43" s="134"/>
      <c r="E43" s="134"/>
      <c r="F43" s="134"/>
      <c r="G43" s="134"/>
      <c r="H43" s="134"/>
      <c r="I43" s="134"/>
      <c r="J43" s="134"/>
      <c r="K43" s="134"/>
      <c r="L43" s="134"/>
      <c r="M43" s="134"/>
      <c r="N43" s="134"/>
      <c r="O43" s="134"/>
      <c r="P43" s="134"/>
      <c r="Q43" s="87"/>
      <c r="R43" s="88"/>
      <c r="S43" s="88"/>
      <c r="T43" s="88"/>
      <c r="U43" s="88"/>
      <c r="V43" s="88"/>
      <c r="W43" s="88"/>
      <c r="X43" s="88"/>
      <c r="Y43" s="88"/>
      <c r="AF43" s="108" t="s">
        <v>149</v>
      </c>
      <c r="AG43" s="109">
        <f t="shared" si="2"/>
        <v>-3131</v>
      </c>
      <c r="AH43" s="114">
        <v>2865</v>
      </c>
      <c r="AI43" s="114">
        <v>3131</v>
      </c>
    </row>
    <row r="44" spans="1:35" ht="15">
      <c r="A44" s="134"/>
      <c r="B44" s="134"/>
      <c r="C44" s="134"/>
      <c r="D44" s="134"/>
      <c r="E44" s="134"/>
      <c r="F44" s="134"/>
      <c r="G44" s="134"/>
      <c r="H44" s="134"/>
      <c r="I44" s="134"/>
      <c r="J44" s="134"/>
      <c r="K44" s="134"/>
      <c r="L44" s="134"/>
      <c r="M44" s="134"/>
      <c r="N44" s="134"/>
      <c r="O44" s="134"/>
      <c r="P44" s="134"/>
      <c r="Q44" s="87"/>
      <c r="R44" s="88"/>
      <c r="S44" s="88"/>
      <c r="T44" s="88"/>
      <c r="U44" s="88"/>
      <c r="V44" s="88"/>
      <c r="W44" s="88"/>
      <c r="X44" s="88"/>
      <c r="Y44" s="88"/>
      <c r="AF44" s="108" t="s">
        <v>150</v>
      </c>
      <c r="AG44" s="109">
        <f t="shared" si="2"/>
        <v>-3370</v>
      </c>
      <c r="AH44" s="114">
        <v>2942</v>
      </c>
      <c r="AI44" s="114">
        <v>3370</v>
      </c>
    </row>
    <row r="45" spans="1:35" ht="15">
      <c r="A45" s="134"/>
      <c r="B45" s="134"/>
      <c r="C45" s="134"/>
      <c r="D45" s="134"/>
      <c r="E45" s="134"/>
      <c r="F45" s="134"/>
      <c r="G45" s="134"/>
      <c r="H45" s="134"/>
      <c r="I45" s="134"/>
      <c r="J45" s="134"/>
      <c r="K45" s="134"/>
      <c r="L45" s="134"/>
      <c r="M45" s="134"/>
      <c r="N45" s="134"/>
      <c r="O45" s="134"/>
      <c r="P45" s="134"/>
      <c r="Q45" s="87"/>
      <c r="R45" s="88"/>
      <c r="S45" s="88"/>
      <c r="T45" s="88"/>
      <c r="U45" s="88"/>
      <c r="V45" s="88"/>
      <c r="W45" s="88"/>
      <c r="X45" s="88"/>
      <c r="Y45" s="88"/>
      <c r="AF45" s="108" t="s">
        <v>151</v>
      </c>
      <c r="AG45" s="109">
        <f t="shared" si="2"/>
        <v>-2650</v>
      </c>
      <c r="AH45" s="114">
        <v>1961</v>
      </c>
      <c r="AI45" s="114">
        <v>2650</v>
      </c>
    </row>
    <row r="46" spans="1:35" ht="15">
      <c r="A46" s="134"/>
      <c r="B46" s="134"/>
      <c r="C46" s="134"/>
      <c r="D46" s="134"/>
      <c r="E46" s="134"/>
      <c r="F46" s="134"/>
      <c r="G46" s="134"/>
      <c r="H46" s="134"/>
      <c r="I46" s="134"/>
      <c r="J46" s="134"/>
      <c r="K46" s="134"/>
      <c r="L46" s="134"/>
      <c r="M46" s="134"/>
      <c r="N46" s="134"/>
      <c r="O46" s="134"/>
      <c r="P46" s="134"/>
      <c r="Q46" s="87"/>
      <c r="R46" s="88"/>
      <c r="S46" s="88"/>
      <c r="T46" s="88"/>
      <c r="U46" s="88"/>
      <c r="V46" s="88"/>
      <c r="W46" s="88"/>
      <c r="X46" s="88"/>
      <c r="Y46" s="88"/>
      <c r="AF46" s="108" t="s">
        <v>152</v>
      </c>
      <c r="AG46" s="109">
        <f t="shared" si="2"/>
        <v>-1737</v>
      </c>
      <c r="AH46" s="114">
        <v>1136</v>
      </c>
      <c r="AI46" s="114">
        <v>1737</v>
      </c>
    </row>
    <row r="47" spans="1:35">
      <c r="A47" s="134"/>
      <c r="B47" s="134"/>
      <c r="C47" s="134"/>
      <c r="D47" s="134"/>
      <c r="E47" s="134"/>
      <c r="F47" s="134"/>
      <c r="G47" s="134"/>
      <c r="H47" s="134"/>
      <c r="I47" s="134"/>
      <c r="J47" s="134"/>
      <c r="K47" s="134"/>
      <c r="L47" s="134"/>
      <c r="M47" s="134"/>
      <c r="N47" s="134"/>
      <c r="O47" s="134"/>
      <c r="P47" s="134"/>
      <c r="Q47" s="87"/>
      <c r="R47" s="88"/>
      <c r="S47" s="88"/>
      <c r="T47" s="88"/>
      <c r="U47" s="88"/>
      <c r="V47" s="88"/>
      <c r="W47" s="88"/>
      <c r="X47" s="88"/>
      <c r="Y47" s="88"/>
      <c r="AF47" s="108" t="s">
        <v>153</v>
      </c>
      <c r="AG47" s="109">
        <f t="shared" si="2"/>
        <v>-1532</v>
      </c>
      <c r="AH47" s="99">
        <f>H27+H28+H29+H30+H31</f>
        <v>1013</v>
      </c>
      <c r="AI47" s="99">
        <f>G27+G28+G29+G30+G31</f>
        <v>1532</v>
      </c>
    </row>
    <row r="48" spans="1:35">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AF48" s="108"/>
      <c r="AG48" s="108"/>
      <c r="AH48" s="108"/>
    </row>
    <row r="49" spans="1:35">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row>
    <row r="50" spans="1:35">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row>
    <row r="51" spans="1:35">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row>
    <row r="52" spans="1:35" s="135" customFormat="1" ht="14.25" customHeight="1">
      <c r="A52" s="134"/>
      <c r="B52" s="134"/>
      <c r="C52" s="134"/>
      <c r="D52" s="134"/>
      <c r="E52" s="134"/>
      <c r="F52" s="134"/>
      <c r="G52" s="134"/>
      <c r="H52" s="134"/>
      <c r="I52" s="134"/>
      <c r="J52" s="134"/>
      <c r="K52" s="134"/>
      <c r="L52" s="134"/>
      <c r="N52" s="134"/>
      <c r="O52" s="134"/>
      <c r="P52" s="134"/>
    </row>
    <row r="53" spans="1:35">
      <c r="A53" s="134"/>
      <c r="B53" s="134"/>
      <c r="C53" s="134"/>
      <c r="D53" s="134"/>
      <c r="E53" s="134"/>
      <c r="F53" s="134"/>
      <c r="G53" s="134"/>
      <c r="H53" s="134"/>
      <c r="I53" s="134"/>
      <c r="J53" s="134"/>
      <c r="K53" s="134"/>
      <c r="L53" s="134"/>
      <c r="N53" s="134"/>
      <c r="O53" s="134"/>
      <c r="P53" s="134"/>
      <c r="AF53" s="90">
        <v>2006</v>
      </c>
    </row>
    <row r="54" spans="1:35">
      <c r="A54" s="134"/>
      <c r="B54" s="134"/>
      <c r="C54" s="134"/>
      <c r="D54" s="134"/>
      <c r="E54" s="134"/>
      <c r="F54" s="134"/>
      <c r="G54" s="134"/>
      <c r="H54" s="134"/>
      <c r="I54" s="134"/>
      <c r="J54" s="134"/>
      <c r="K54" s="134"/>
      <c r="L54" s="134"/>
      <c r="N54" s="134"/>
      <c r="O54" s="134"/>
      <c r="P54" s="134"/>
    </row>
    <row r="55" spans="1:35">
      <c r="A55" s="134"/>
      <c r="B55" s="134"/>
      <c r="C55" s="134"/>
      <c r="D55" s="134"/>
      <c r="E55" s="134"/>
      <c r="F55" s="134"/>
      <c r="G55" s="134"/>
      <c r="H55" s="134"/>
      <c r="I55" s="134"/>
      <c r="J55" s="134"/>
      <c r="K55" s="134"/>
      <c r="L55" s="134"/>
      <c r="N55" s="134"/>
      <c r="O55" s="134"/>
      <c r="P55" s="134"/>
      <c r="AI55" s="99">
        <f>W50+W51</f>
        <v>0</v>
      </c>
    </row>
    <row r="56" spans="1:35">
      <c r="A56" s="134"/>
      <c r="B56" s="134"/>
      <c r="C56" s="134"/>
      <c r="D56" s="134"/>
      <c r="E56" s="134"/>
      <c r="F56" s="134"/>
      <c r="G56" s="134"/>
      <c r="H56" s="134"/>
      <c r="I56" s="134"/>
      <c r="J56" s="134"/>
      <c r="K56" s="134"/>
      <c r="L56" s="134"/>
      <c r="N56" s="134"/>
      <c r="O56" s="134"/>
      <c r="P56" s="134"/>
      <c r="AG56" s="103" t="s">
        <v>22</v>
      </c>
      <c r="AH56" s="103" t="s">
        <v>23</v>
      </c>
    </row>
    <row r="57" spans="1:35">
      <c r="B57" s="134"/>
      <c r="C57" s="134"/>
      <c r="D57" s="134"/>
      <c r="E57" s="134"/>
      <c r="F57" s="134"/>
      <c r="G57" s="134"/>
      <c r="H57" s="134"/>
      <c r="I57" s="134"/>
      <c r="J57" s="134"/>
      <c r="K57" s="134"/>
      <c r="N57" s="134"/>
      <c r="O57" s="134"/>
      <c r="AF57" s="108" t="s">
        <v>133</v>
      </c>
      <c r="AG57" s="109">
        <f>-1*AI57</f>
        <v>-13362</v>
      </c>
      <c r="AH57" s="99">
        <f>L10+L11</f>
        <v>12809</v>
      </c>
      <c r="AI57" s="99">
        <f>K10+K11</f>
        <v>13362</v>
      </c>
    </row>
    <row r="58" spans="1:35" s="2" customFormat="1">
      <c r="B58" s="136"/>
      <c r="C58" s="136"/>
      <c r="D58" s="137"/>
      <c r="E58" s="138"/>
      <c r="F58" s="74"/>
      <c r="G58" s="74"/>
      <c r="H58" s="139"/>
      <c r="I58" s="74"/>
      <c r="J58" s="75"/>
      <c r="K58" s="75"/>
      <c r="L58" s="76"/>
      <c r="N58" s="75"/>
      <c r="O58" s="75"/>
      <c r="P58" s="76"/>
      <c r="AF58" s="108" t="s">
        <v>135</v>
      </c>
      <c r="AG58" s="109">
        <f t="shared" ref="AG58:AG72" si="3">-1*AI58</f>
        <v>-15352</v>
      </c>
      <c r="AH58" s="99">
        <f>L12+L13</f>
        <v>14515</v>
      </c>
      <c r="AI58" s="99">
        <f>K12+K13</f>
        <v>15352</v>
      </c>
    </row>
    <row r="59" spans="1:35" ht="15">
      <c r="A59" s="135"/>
      <c r="AF59" s="108" t="s">
        <v>137</v>
      </c>
      <c r="AG59" s="109">
        <f t="shared" si="3"/>
        <v>-19111</v>
      </c>
      <c r="AH59" s="115">
        <v>17888</v>
      </c>
      <c r="AI59" s="115">
        <v>19111</v>
      </c>
    </row>
    <row r="60" spans="1:35" ht="15">
      <c r="AF60" s="108" t="s">
        <v>139</v>
      </c>
      <c r="AG60" s="109">
        <f t="shared" si="3"/>
        <v>-20155</v>
      </c>
      <c r="AH60" s="115">
        <v>19749</v>
      </c>
      <c r="AI60" s="115">
        <v>20155</v>
      </c>
    </row>
    <row r="61" spans="1:35" ht="15">
      <c r="AF61" s="108" t="s">
        <v>141</v>
      </c>
      <c r="AG61" s="109">
        <f t="shared" si="3"/>
        <v>-16933</v>
      </c>
      <c r="AH61" s="115">
        <v>17876</v>
      </c>
      <c r="AI61" s="115">
        <v>16933</v>
      </c>
    </row>
    <row r="62" spans="1:35" ht="15">
      <c r="AF62" s="108" t="s">
        <v>143</v>
      </c>
      <c r="AG62" s="109">
        <f t="shared" si="3"/>
        <v>-11915</v>
      </c>
      <c r="AH62" s="115">
        <v>12666</v>
      </c>
      <c r="AI62" s="115">
        <v>11915</v>
      </c>
    </row>
    <row r="63" spans="1:35" ht="15">
      <c r="AF63" s="108" t="s">
        <v>144</v>
      </c>
      <c r="AG63" s="109">
        <f t="shared" si="3"/>
        <v>-10022</v>
      </c>
      <c r="AH63" s="115">
        <v>10613</v>
      </c>
      <c r="AI63" s="115">
        <v>10022</v>
      </c>
    </row>
    <row r="64" spans="1:35" ht="15">
      <c r="AF64" s="108" t="s">
        <v>145</v>
      </c>
      <c r="AG64" s="109">
        <f t="shared" si="3"/>
        <v>-8780</v>
      </c>
      <c r="AH64" s="115">
        <v>9394</v>
      </c>
      <c r="AI64" s="115">
        <v>8780</v>
      </c>
    </row>
    <row r="65" spans="7:35" ht="15">
      <c r="AF65" s="108" t="s">
        <v>146</v>
      </c>
      <c r="AG65" s="109">
        <f t="shared" si="3"/>
        <v>-7828</v>
      </c>
      <c r="AH65" s="115">
        <v>8043</v>
      </c>
      <c r="AI65" s="115">
        <v>7828</v>
      </c>
    </row>
    <row r="66" spans="7:35" ht="15">
      <c r="G66" s="140"/>
      <c r="AF66" s="108" t="s">
        <v>147</v>
      </c>
      <c r="AG66" s="109">
        <f t="shared" si="3"/>
        <v>-6872</v>
      </c>
      <c r="AH66" s="115">
        <v>6697</v>
      </c>
      <c r="AI66" s="115">
        <v>6872</v>
      </c>
    </row>
    <row r="67" spans="7:35" ht="15">
      <c r="AF67" s="108" t="s">
        <v>148</v>
      </c>
      <c r="AG67" s="109">
        <f t="shared" si="3"/>
        <v>-4147</v>
      </c>
      <c r="AH67" s="115">
        <v>3789</v>
      </c>
      <c r="AI67" s="115">
        <v>4147</v>
      </c>
    </row>
    <row r="68" spans="7:35" ht="15">
      <c r="AF68" s="108" t="s">
        <v>149</v>
      </c>
      <c r="AG68" s="109">
        <f t="shared" si="3"/>
        <v>-3046</v>
      </c>
      <c r="AH68" s="115">
        <v>2813</v>
      </c>
      <c r="AI68" s="115">
        <v>3046</v>
      </c>
    </row>
    <row r="69" spans="7:35" ht="15">
      <c r="AF69" s="108" t="s">
        <v>150</v>
      </c>
      <c r="AG69" s="109">
        <f t="shared" si="3"/>
        <v>-2852</v>
      </c>
      <c r="AH69" s="115">
        <v>2714</v>
      </c>
      <c r="AI69" s="115">
        <v>2852</v>
      </c>
    </row>
    <row r="70" spans="7:35" ht="15">
      <c r="AF70" s="108" t="s">
        <v>151</v>
      </c>
      <c r="AG70" s="109">
        <f t="shared" si="3"/>
        <v>-3014</v>
      </c>
      <c r="AH70" s="115">
        <v>2664</v>
      </c>
      <c r="AI70" s="115">
        <v>3014</v>
      </c>
    </row>
    <row r="71" spans="7:35" ht="15">
      <c r="AF71" s="108" t="s">
        <v>152</v>
      </c>
      <c r="AG71" s="109">
        <f t="shared" si="3"/>
        <v>-2333</v>
      </c>
      <c r="AH71" s="115">
        <v>1853</v>
      </c>
      <c r="AI71" s="115">
        <v>2333</v>
      </c>
    </row>
    <row r="72" spans="7:35">
      <c r="AF72" s="108" t="s">
        <v>153</v>
      </c>
      <c r="AG72" s="109">
        <f t="shared" si="3"/>
        <v>-2443</v>
      </c>
      <c r="AH72" s="99">
        <f>L27+L28+L29+L30+L31</f>
        <v>1637</v>
      </c>
      <c r="AI72" s="99">
        <f>K27+K28+K29+K30+K31</f>
        <v>2443</v>
      </c>
    </row>
    <row r="73" spans="7:35">
      <c r="AF73" s="108"/>
      <c r="AG73" s="108"/>
      <c r="AH73" s="108"/>
    </row>
    <row r="76" spans="7:35">
      <c r="AF76" s="90">
        <v>2014</v>
      </c>
    </row>
    <row r="77" spans="7:35">
      <c r="AI77" s="99"/>
    </row>
    <row r="78" spans="7:35">
      <c r="AG78" s="103" t="s">
        <v>22</v>
      </c>
      <c r="AH78" s="103" t="s">
        <v>23</v>
      </c>
    </row>
    <row r="79" spans="7:35">
      <c r="AF79" s="108" t="s">
        <v>133</v>
      </c>
      <c r="AG79" s="109">
        <f>-1*AI79</f>
        <v>-18863</v>
      </c>
      <c r="AH79" s="99">
        <f>P10+P11</f>
        <v>17223</v>
      </c>
      <c r="AI79" s="99">
        <f>O10+O11</f>
        <v>18863</v>
      </c>
    </row>
    <row r="80" spans="7:35">
      <c r="AF80" s="108" t="s">
        <v>135</v>
      </c>
      <c r="AG80" s="109">
        <f t="shared" ref="AG80:AG94" si="4">-1*AI80</f>
        <v>-16364</v>
      </c>
      <c r="AH80" s="99">
        <f>P12+P13</f>
        <v>15616</v>
      </c>
      <c r="AI80" s="99">
        <f>O12+O13</f>
        <v>16364</v>
      </c>
    </row>
    <row r="81" spans="32:35" ht="15">
      <c r="AF81" s="108" t="s">
        <v>137</v>
      </c>
      <c r="AG81" s="109">
        <f t="shared" si="4"/>
        <v>-13571</v>
      </c>
      <c r="AH81" s="115">
        <v>12787</v>
      </c>
      <c r="AI81" s="115">
        <v>13571</v>
      </c>
    </row>
    <row r="82" spans="32:35" ht="15">
      <c r="AF82" s="108" t="s">
        <v>139</v>
      </c>
      <c r="AG82" s="109">
        <f t="shared" si="4"/>
        <v>-15922</v>
      </c>
      <c r="AH82" s="115">
        <v>15461</v>
      </c>
      <c r="AI82" s="115">
        <v>15922</v>
      </c>
    </row>
    <row r="83" spans="32:35" ht="15">
      <c r="AF83" s="108" t="s">
        <v>141</v>
      </c>
      <c r="AG83" s="109">
        <f t="shared" si="4"/>
        <v>-19349</v>
      </c>
      <c r="AH83" s="115">
        <v>18537</v>
      </c>
      <c r="AI83" s="115">
        <v>19349</v>
      </c>
    </row>
    <row r="84" spans="32:35" ht="15">
      <c r="AF84" s="108" t="s">
        <v>143</v>
      </c>
      <c r="AG84" s="109">
        <f t="shared" si="4"/>
        <v>-19451</v>
      </c>
      <c r="AH84" s="115">
        <v>19738</v>
      </c>
      <c r="AI84" s="115">
        <v>19451</v>
      </c>
    </row>
    <row r="85" spans="32:35" ht="15">
      <c r="AF85" s="108" t="s">
        <v>144</v>
      </c>
      <c r="AG85" s="109">
        <f t="shared" si="4"/>
        <v>-15494</v>
      </c>
      <c r="AH85" s="115">
        <v>15868</v>
      </c>
      <c r="AI85" s="115">
        <v>15494</v>
      </c>
    </row>
    <row r="86" spans="32:35" ht="15">
      <c r="AF86" s="108" t="s">
        <v>145</v>
      </c>
      <c r="AG86" s="109">
        <f t="shared" si="4"/>
        <v>-11386</v>
      </c>
      <c r="AH86" s="115">
        <v>11518</v>
      </c>
      <c r="AI86" s="115">
        <v>11386</v>
      </c>
    </row>
    <row r="87" spans="32:35" ht="15">
      <c r="AF87" s="108" t="s">
        <v>146</v>
      </c>
      <c r="AG87" s="109">
        <f t="shared" si="4"/>
        <v>-9811</v>
      </c>
      <c r="AH87" s="115">
        <v>10064</v>
      </c>
      <c r="AI87" s="115">
        <v>9811</v>
      </c>
    </row>
    <row r="88" spans="32:35" ht="15">
      <c r="AF88" s="108" t="s">
        <v>147</v>
      </c>
      <c r="AG88" s="109">
        <f t="shared" si="4"/>
        <v>-8784</v>
      </c>
      <c r="AH88" s="115">
        <v>8795</v>
      </c>
      <c r="AI88" s="115">
        <v>8784</v>
      </c>
    </row>
    <row r="89" spans="32:35" ht="15">
      <c r="AF89" s="108" t="s">
        <v>148</v>
      </c>
      <c r="AG89" s="109">
        <f t="shared" si="4"/>
        <v>-7645</v>
      </c>
      <c r="AH89" s="115">
        <v>7405</v>
      </c>
      <c r="AI89" s="115">
        <v>7645</v>
      </c>
    </row>
    <row r="90" spans="32:35" ht="15">
      <c r="AF90" s="108" t="s">
        <v>149</v>
      </c>
      <c r="AG90" s="109">
        <f t="shared" si="4"/>
        <v>-6031</v>
      </c>
      <c r="AH90" s="115">
        <v>5672</v>
      </c>
      <c r="AI90" s="115">
        <v>6031</v>
      </c>
    </row>
    <row r="91" spans="32:35" ht="15">
      <c r="AF91" s="108" t="s">
        <v>150</v>
      </c>
      <c r="AG91" s="109">
        <f t="shared" si="4"/>
        <v>-3327</v>
      </c>
      <c r="AH91" s="115">
        <v>2922</v>
      </c>
      <c r="AI91" s="115">
        <v>3327</v>
      </c>
    </row>
    <row r="92" spans="32:35" ht="15">
      <c r="AF92" s="108" t="s">
        <v>151</v>
      </c>
      <c r="AG92" s="109">
        <f t="shared" si="4"/>
        <v>-2445</v>
      </c>
      <c r="AH92" s="115">
        <v>2426</v>
      </c>
      <c r="AI92" s="115">
        <v>2445</v>
      </c>
    </row>
    <row r="93" spans="32:35" ht="15">
      <c r="AF93" s="108" t="s">
        <v>152</v>
      </c>
      <c r="AG93" s="109">
        <f t="shared" si="4"/>
        <v>-2471</v>
      </c>
      <c r="AH93" s="115">
        <v>2372</v>
      </c>
      <c r="AI93" s="115">
        <v>2471</v>
      </c>
    </row>
    <row r="94" spans="32:35">
      <c r="AF94" s="108" t="s">
        <v>153</v>
      </c>
      <c r="AG94" s="109">
        <f t="shared" si="4"/>
        <v>-3752</v>
      </c>
      <c r="AH94" s="99">
        <f>P27+P28+P29+P30+P31+P32</f>
        <v>2953</v>
      </c>
      <c r="AI94" s="99">
        <f>O27+O28+O29+O30+O31+O32</f>
        <v>3752</v>
      </c>
    </row>
    <row r="96" spans="32:35">
      <c r="AI96" s="99">
        <f>SUM(AI92:AI94)</f>
        <v>8668</v>
      </c>
    </row>
  </sheetData>
  <mergeCells count="2">
    <mergeCell ref="A1:P1"/>
    <mergeCell ref="A2:P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2:BA342"/>
  <sheetViews>
    <sheetView tabSelected="1" workbookViewId="0">
      <selection activeCell="K52" sqref="K52"/>
    </sheetView>
  </sheetViews>
  <sheetFormatPr defaultRowHeight="15.75"/>
  <cols>
    <col min="1" max="1" width="29.42578125" style="150" customWidth="1"/>
    <col min="2" max="4" width="8.85546875" style="202" hidden="1" customWidth="1"/>
    <col min="5" max="5" width="11" style="202" hidden="1" customWidth="1"/>
    <col min="6" max="6" width="10.28515625" style="202" hidden="1" customWidth="1"/>
    <col min="7" max="9" width="8.85546875" style="202" customWidth="1"/>
    <col min="10" max="10" width="13.85546875" style="243" customWidth="1"/>
    <col min="11" max="11" width="10.42578125" style="202" customWidth="1"/>
    <col min="12" max="13" width="8.85546875" style="202" customWidth="1"/>
    <col min="14" max="14" width="13.28515625" style="202" customWidth="1"/>
    <col min="15" max="15" width="17.5703125" style="202" customWidth="1"/>
    <col min="16" max="24" width="10.85546875" style="202" customWidth="1"/>
    <col min="25" max="25" width="1.28515625" style="202" customWidth="1"/>
    <col min="26" max="26" width="10.42578125" style="202" hidden="1" customWidth="1"/>
    <col min="27" max="27" width="13.85546875" style="202" customWidth="1"/>
    <col min="28" max="28" width="14.140625" style="796" customWidth="1"/>
    <col min="29" max="29" width="13.28515625" style="796" customWidth="1"/>
    <col min="30" max="30" width="11.7109375" style="202" customWidth="1"/>
    <col min="31" max="31" width="17.140625" style="202" customWidth="1"/>
    <col min="32" max="32" width="13.42578125" style="202" customWidth="1"/>
    <col min="33" max="33" width="10.28515625" style="202" customWidth="1"/>
    <col min="34" max="34" width="11.7109375" style="202" customWidth="1"/>
    <col min="35" max="35" width="40.140625" style="811" customWidth="1"/>
    <col min="36" max="36" width="2.140625" style="244" customWidth="1"/>
    <col min="37" max="37" width="9.140625" style="242"/>
    <col min="38" max="226" width="9.140625" style="143"/>
    <col min="227" max="227" width="29.42578125" style="143" customWidth="1"/>
    <col min="228" max="236" width="0" style="143" hidden="1" customWidth="1"/>
    <col min="237" max="239" width="8.85546875" style="143" customWidth="1"/>
    <col min="240" max="240" width="1.28515625" style="143" customWidth="1"/>
    <col min="241" max="241" width="16.42578125" style="143" customWidth="1"/>
    <col min="242" max="242" width="13.42578125" style="143" customWidth="1"/>
    <col min="243" max="243" width="10.28515625" style="143" customWidth="1"/>
    <col min="244" max="245" width="11.7109375" style="143" customWidth="1"/>
    <col min="246" max="246" width="28.5703125" style="143" customWidth="1"/>
    <col min="247" max="247" width="2.140625" style="143" customWidth="1"/>
    <col min="248" max="248" width="9.140625" style="143"/>
    <col min="249" max="249" width="8.5703125" style="143" customWidth="1"/>
    <col min="250" max="482" width="9.140625" style="143"/>
    <col min="483" max="483" width="29.42578125" style="143" customWidth="1"/>
    <col min="484" max="492" width="0" style="143" hidden="1" customWidth="1"/>
    <col min="493" max="495" width="8.85546875" style="143" customWidth="1"/>
    <col min="496" max="496" width="1.28515625" style="143" customWidth="1"/>
    <col min="497" max="497" width="16.42578125" style="143" customWidth="1"/>
    <col min="498" max="498" width="13.42578125" style="143" customWidth="1"/>
    <col min="499" max="499" width="10.28515625" style="143" customWidth="1"/>
    <col min="500" max="501" width="11.7109375" style="143" customWidth="1"/>
    <col min="502" max="502" width="28.5703125" style="143" customWidth="1"/>
    <col min="503" max="503" width="2.140625" style="143" customWidth="1"/>
    <col min="504" max="504" width="9.140625" style="143"/>
    <col min="505" max="505" width="8.5703125" style="143" customWidth="1"/>
    <col min="506" max="738" width="9.140625" style="143"/>
    <col min="739" max="739" width="29.42578125" style="143" customWidth="1"/>
    <col min="740" max="748" width="0" style="143" hidden="1" customWidth="1"/>
    <col min="749" max="751" width="8.85546875" style="143" customWidth="1"/>
    <col min="752" max="752" width="1.28515625" style="143" customWidth="1"/>
    <col min="753" max="753" width="16.42578125" style="143" customWidth="1"/>
    <col min="754" max="754" width="13.42578125" style="143" customWidth="1"/>
    <col min="755" max="755" width="10.28515625" style="143" customWidth="1"/>
    <col min="756" max="757" width="11.7109375" style="143" customWidth="1"/>
    <col min="758" max="758" width="28.5703125" style="143" customWidth="1"/>
    <col min="759" max="759" width="2.140625" style="143" customWidth="1"/>
    <col min="760" max="760" width="9.140625" style="143"/>
    <col min="761" max="761" width="8.5703125" style="143" customWidth="1"/>
    <col min="762" max="994" width="9.140625" style="143"/>
    <col min="995" max="995" width="29.42578125" style="143" customWidth="1"/>
    <col min="996" max="1004" width="0" style="143" hidden="1" customWidth="1"/>
    <col min="1005" max="1007" width="8.85546875" style="143" customWidth="1"/>
    <col min="1008" max="1008" width="1.28515625" style="143" customWidth="1"/>
    <col min="1009" max="1009" width="16.42578125" style="143" customWidth="1"/>
    <col min="1010" max="1010" width="13.42578125" style="143" customWidth="1"/>
    <col min="1011" max="1011" width="10.28515625" style="143" customWidth="1"/>
    <col min="1012" max="1013" width="11.7109375" style="143" customWidth="1"/>
    <col min="1014" max="1014" width="28.5703125" style="143" customWidth="1"/>
    <col min="1015" max="1015" width="2.140625" style="143" customWidth="1"/>
    <col min="1016" max="1016" width="9.140625" style="143"/>
    <col min="1017" max="1017" width="8.5703125" style="143" customWidth="1"/>
    <col min="1018" max="1250" width="9.140625" style="143"/>
    <col min="1251" max="1251" width="29.42578125" style="143" customWidth="1"/>
    <col min="1252" max="1260" width="0" style="143" hidden="1" customWidth="1"/>
    <col min="1261" max="1263" width="8.85546875" style="143" customWidth="1"/>
    <col min="1264" max="1264" width="1.28515625" style="143" customWidth="1"/>
    <col min="1265" max="1265" width="16.42578125" style="143" customWidth="1"/>
    <col min="1266" max="1266" width="13.42578125" style="143" customWidth="1"/>
    <col min="1267" max="1267" width="10.28515625" style="143" customWidth="1"/>
    <col min="1268" max="1269" width="11.7109375" style="143" customWidth="1"/>
    <col min="1270" max="1270" width="28.5703125" style="143" customWidth="1"/>
    <col min="1271" max="1271" width="2.140625" style="143" customWidth="1"/>
    <col min="1272" max="1272" width="9.140625" style="143"/>
    <col min="1273" max="1273" width="8.5703125" style="143" customWidth="1"/>
    <col min="1274" max="1506" width="9.140625" style="143"/>
    <col min="1507" max="1507" width="29.42578125" style="143" customWidth="1"/>
    <col min="1508" max="1516" width="0" style="143" hidden="1" customWidth="1"/>
    <col min="1517" max="1519" width="8.85546875" style="143" customWidth="1"/>
    <col min="1520" max="1520" width="1.28515625" style="143" customWidth="1"/>
    <col min="1521" max="1521" width="16.42578125" style="143" customWidth="1"/>
    <col min="1522" max="1522" width="13.42578125" style="143" customWidth="1"/>
    <col min="1523" max="1523" width="10.28515625" style="143" customWidth="1"/>
    <col min="1524" max="1525" width="11.7109375" style="143" customWidth="1"/>
    <col min="1526" max="1526" width="28.5703125" style="143" customWidth="1"/>
    <col min="1527" max="1527" width="2.140625" style="143" customWidth="1"/>
    <col min="1528" max="1528" width="9.140625" style="143"/>
    <col min="1529" max="1529" width="8.5703125" style="143" customWidth="1"/>
    <col min="1530" max="1762" width="9.140625" style="143"/>
    <col min="1763" max="1763" width="29.42578125" style="143" customWidth="1"/>
    <col min="1764" max="1772" width="0" style="143" hidden="1" customWidth="1"/>
    <col min="1773" max="1775" width="8.85546875" style="143" customWidth="1"/>
    <col min="1776" max="1776" width="1.28515625" style="143" customWidth="1"/>
    <col min="1777" max="1777" width="16.42578125" style="143" customWidth="1"/>
    <col min="1778" max="1778" width="13.42578125" style="143" customWidth="1"/>
    <col min="1779" max="1779" width="10.28515625" style="143" customWidth="1"/>
    <col min="1780" max="1781" width="11.7109375" style="143" customWidth="1"/>
    <col min="1782" max="1782" width="28.5703125" style="143" customWidth="1"/>
    <col min="1783" max="1783" width="2.140625" style="143" customWidth="1"/>
    <col min="1784" max="1784" width="9.140625" style="143"/>
    <col min="1785" max="1785" width="8.5703125" style="143" customWidth="1"/>
    <col min="1786" max="2018" width="9.140625" style="143"/>
    <col min="2019" max="2019" width="29.42578125" style="143" customWidth="1"/>
    <col min="2020" max="2028" width="0" style="143" hidden="1" customWidth="1"/>
    <col min="2029" max="2031" width="8.85546875" style="143" customWidth="1"/>
    <col min="2032" max="2032" width="1.28515625" style="143" customWidth="1"/>
    <col min="2033" max="2033" width="16.42578125" style="143" customWidth="1"/>
    <col min="2034" max="2034" width="13.42578125" style="143" customWidth="1"/>
    <col min="2035" max="2035" width="10.28515625" style="143" customWidth="1"/>
    <col min="2036" max="2037" width="11.7109375" style="143" customWidth="1"/>
    <col min="2038" max="2038" width="28.5703125" style="143" customWidth="1"/>
    <col min="2039" max="2039" width="2.140625" style="143" customWidth="1"/>
    <col min="2040" max="2040" width="9.140625" style="143"/>
    <col min="2041" max="2041" width="8.5703125" style="143" customWidth="1"/>
    <col min="2042" max="2274" width="9.140625" style="143"/>
    <col min="2275" max="2275" width="29.42578125" style="143" customWidth="1"/>
    <col min="2276" max="2284" width="0" style="143" hidden="1" customWidth="1"/>
    <col min="2285" max="2287" width="8.85546875" style="143" customWidth="1"/>
    <col min="2288" max="2288" width="1.28515625" style="143" customWidth="1"/>
    <col min="2289" max="2289" width="16.42578125" style="143" customWidth="1"/>
    <col min="2290" max="2290" width="13.42578125" style="143" customWidth="1"/>
    <col min="2291" max="2291" width="10.28515625" style="143" customWidth="1"/>
    <col min="2292" max="2293" width="11.7109375" style="143" customWidth="1"/>
    <col min="2294" max="2294" width="28.5703125" style="143" customWidth="1"/>
    <col min="2295" max="2295" width="2.140625" style="143" customWidth="1"/>
    <col min="2296" max="2296" width="9.140625" style="143"/>
    <col min="2297" max="2297" width="8.5703125" style="143" customWidth="1"/>
    <col min="2298" max="2530" width="9.140625" style="143"/>
    <col min="2531" max="2531" width="29.42578125" style="143" customWidth="1"/>
    <col min="2532" max="2540" width="0" style="143" hidden="1" customWidth="1"/>
    <col min="2541" max="2543" width="8.85546875" style="143" customWidth="1"/>
    <col min="2544" max="2544" width="1.28515625" style="143" customWidth="1"/>
    <col min="2545" max="2545" width="16.42578125" style="143" customWidth="1"/>
    <col min="2546" max="2546" width="13.42578125" style="143" customWidth="1"/>
    <col min="2547" max="2547" width="10.28515625" style="143" customWidth="1"/>
    <col min="2548" max="2549" width="11.7109375" style="143" customWidth="1"/>
    <col min="2550" max="2550" width="28.5703125" style="143" customWidth="1"/>
    <col min="2551" max="2551" width="2.140625" style="143" customWidth="1"/>
    <col min="2552" max="2552" width="9.140625" style="143"/>
    <col min="2553" max="2553" width="8.5703125" style="143" customWidth="1"/>
    <col min="2554" max="2786" width="9.140625" style="143"/>
    <col min="2787" max="2787" width="29.42578125" style="143" customWidth="1"/>
    <col min="2788" max="2796" width="0" style="143" hidden="1" customWidth="1"/>
    <col min="2797" max="2799" width="8.85546875" style="143" customWidth="1"/>
    <col min="2800" max="2800" width="1.28515625" style="143" customWidth="1"/>
    <col min="2801" max="2801" width="16.42578125" style="143" customWidth="1"/>
    <col min="2802" max="2802" width="13.42578125" style="143" customWidth="1"/>
    <col min="2803" max="2803" width="10.28515625" style="143" customWidth="1"/>
    <col min="2804" max="2805" width="11.7109375" style="143" customWidth="1"/>
    <col min="2806" max="2806" width="28.5703125" style="143" customWidth="1"/>
    <col min="2807" max="2807" width="2.140625" style="143" customWidth="1"/>
    <col min="2808" max="2808" width="9.140625" style="143"/>
    <col min="2809" max="2809" width="8.5703125" style="143" customWidth="1"/>
    <col min="2810" max="3042" width="9.140625" style="143"/>
    <col min="3043" max="3043" width="29.42578125" style="143" customWidth="1"/>
    <col min="3044" max="3052" width="0" style="143" hidden="1" customWidth="1"/>
    <col min="3053" max="3055" width="8.85546875" style="143" customWidth="1"/>
    <col min="3056" max="3056" width="1.28515625" style="143" customWidth="1"/>
    <col min="3057" max="3057" width="16.42578125" style="143" customWidth="1"/>
    <col min="3058" max="3058" width="13.42578125" style="143" customWidth="1"/>
    <col min="3059" max="3059" width="10.28515625" style="143" customWidth="1"/>
    <col min="3060" max="3061" width="11.7109375" style="143" customWidth="1"/>
    <col min="3062" max="3062" width="28.5703125" style="143" customWidth="1"/>
    <col min="3063" max="3063" width="2.140625" style="143" customWidth="1"/>
    <col min="3064" max="3064" width="9.140625" style="143"/>
    <col min="3065" max="3065" width="8.5703125" style="143" customWidth="1"/>
    <col min="3066" max="3298" width="9.140625" style="143"/>
    <col min="3299" max="3299" width="29.42578125" style="143" customWidth="1"/>
    <col min="3300" max="3308" width="0" style="143" hidden="1" customWidth="1"/>
    <col min="3309" max="3311" width="8.85546875" style="143" customWidth="1"/>
    <col min="3312" max="3312" width="1.28515625" style="143" customWidth="1"/>
    <col min="3313" max="3313" width="16.42578125" style="143" customWidth="1"/>
    <col min="3314" max="3314" width="13.42578125" style="143" customWidth="1"/>
    <col min="3315" max="3315" width="10.28515625" style="143" customWidth="1"/>
    <col min="3316" max="3317" width="11.7109375" style="143" customWidth="1"/>
    <col min="3318" max="3318" width="28.5703125" style="143" customWidth="1"/>
    <col min="3319" max="3319" width="2.140625" style="143" customWidth="1"/>
    <col min="3320" max="3320" width="9.140625" style="143"/>
    <col min="3321" max="3321" width="8.5703125" style="143" customWidth="1"/>
    <col min="3322" max="3554" width="9.140625" style="143"/>
    <col min="3555" max="3555" width="29.42578125" style="143" customWidth="1"/>
    <col min="3556" max="3564" width="0" style="143" hidden="1" customWidth="1"/>
    <col min="3565" max="3567" width="8.85546875" style="143" customWidth="1"/>
    <col min="3568" max="3568" width="1.28515625" style="143" customWidth="1"/>
    <col min="3569" max="3569" width="16.42578125" style="143" customWidth="1"/>
    <col min="3570" max="3570" width="13.42578125" style="143" customWidth="1"/>
    <col min="3571" max="3571" width="10.28515625" style="143" customWidth="1"/>
    <col min="3572" max="3573" width="11.7109375" style="143" customWidth="1"/>
    <col min="3574" max="3574" width="28.5703125" style="143" customWidth="1"/>
    <col min="3575" max="3575" width="2.140625" style="143" customWidth="1"/>
    <col min="3576" max="3576" width="9.140625" style="143"/>
    <col min="3577" max="3577" width="8.5703125" style="143" customWidth="1"/>
    <col min="3578" max="3810" width="9.140625" style="143"/>
    <col min="3811" max="3811" width="29.42578125" style="143" customWidth="1"/>
    <col min="3812" max="3820" width="0" style="143" hidden="1" customWidth="1"/>
    <col min="3821" max="3823" width="8.85546875" style="143" customWidth="1"/>
    <col min="3824" max="3824" width="1.28515625" style="143" customWidth="1"/>
    <col min="3825" max="3825" width="16.42578125" style="143" customWidth="1"/>
    <col min="3826" max="3826" width="13.42578125" style="143" customWidth="1"/>
    <col min="3827" max="3827" width="10.28515625" style="143" customWidth="1"/>
    <col min="3828" max="3829" width="11.7109375" style="143" customWidth="1"/>
    <col min="3830" max="3830" width="28.5703125" style="143" customWidth="1"/>
    <col min="3831" max="3831" width="2.140625" style="143" customWidth="1"/>
    <col min="3832" max="3832" width="9.140625" style="143"/>
    <col min="3833" max="3833" width="8.5703125" style="143" customWidth="1"/>
    <col min="3834" max="4066" width="9.140625" style="143"/>
    <col min="4067" max="4067" width="29.42578125" style="143" customWidth="1"/>
    <col min="4068" max="4076" width="0" style="143" hidden="1" customWidth="1"/>
    <col min="4077" max="4079" width="8.85546875" style="143" customWidth="1"/>
    <col min="4080" max="4080" width="1.28515625" style="143" customWidth="1"/>
    <col min="4081" max="4081" width="16.42578125" style="143" customWidth="1"/>
    <col min="4082" max="4082" width="13.42578125" style="143" customWidth="1"/>
    <col min="4083" max="4083" width="10.28515625" style="143" customWidth="1"/>
    <col min="4084" max="4085" width="11.7109375" style="143" customWidth="1"/>
    <col min="4086" max="4086" width="28.5703125" style="143" customWidth="1"/>
    <col min="4087" max="4087" width="2.140625" style="143" customWidth="1"/>
    <col min="4088" max="4088" width="9.140625" style="143"/>
    <col min="4089" max="4089" width="8.5703125" style="143" customWidth="1"/>
    <col min="4090" max="4322" width="9.140625" style="143"/>
    <col min="4323" max="4323" width="29.42578125" style="143" customWidth="1"/>
    <col min="4324" max="4332" width="0" style="143" hidden="1" customWidth="1"/>
    <col min="4333" max="4335" width="8.85546875" style="143" customWidth="1"/>
    <col min="4336" max="4336" width="1.28515625" style="143" customWidth="1"/>
    <col min="4337" max="4337" width="16.42578125" style="143" customWidth="1"/>
    <col min="4338" max="4338" width="13.42578125" style="143" customWidth="1"/>
    <col min="4339" max="4339" width="10.28515625" style="143" customWidth="1"/>
    <col min="4340" max="4341" width="11.7109375" style="143" customWidth="1"/>
    <col min="4342" max="4342" width="28.5703125" style="143" customWidth="1"/>
    <col min="4343" max="4343" width="2.140625" style="143" customWidth="1"/>
    <col min="4344" max="4344" width="9.140625" style="143"/>
    <col min="4345" max="4345" width="8.5703125" style="143" customWidth="1"/>
    <col min="4346" max="4578" width="9.140625" style="143"/>
    <col min="4579" max="4579" width="29.42578125" style="143" customWidth="1"/>
    <col min="4580" max="4588" width="0" style="143" hidden="1" customWidth="1"/>
    <col min="4589" max="4591" width="8.85546875" style="143" customWidth="1"/>
    <col min="4592" max="4592" width="1.28515625" style="143" customWidth="1"/>
    <col min="4593" max="4593" width="16.42578125" style="143" customWidth="1"/>
    <col min="4594" max="4594" width="13.42578125" style="143" customWidth="1"/>
    <col min="4595" max="4595" width="10.28515625" style="143" customWidth="1"/>
    <col min="4596" max="4597" width="11.7109375" style="143" customWidth="1"/>
    <col min="4598" max="4598" width="28.5703125" style="143" customWidth="1"/>
    <col min="4599" max="4599" width="2.140625" style="143" customWidth="1"/>
    <col min="4600" max="4600" width="9.140625" style="143"/>
    <col min="4601" max="4601" width="8.5703125" style="143" customWidth="1"/>
    <col min="4602" max="4834" width="9.140625" style="143"/>
    <col min="4835" max="4835" width="29.42578125" style="143" customWidth="1"/>
    <col min="4836" max="4844" width="0" style="143" hidden="1" customWidth="1"/>
    <col min="4845" max="4847" width="8.85546875" style="143" customWidth="1"/>
    <col min="4848" max="4848" width="1.28515625" style="143" customWidth="1"/>
    <col min="4849" max="4849" width="16.42578125" style="143" customWidth="1"/>
    <col min="4850" max="4850" width="13.42578125" style="143" customWidth="1"/>
    <col min="4851" max="4851" width="10.28515625" style="143" customWidth="1"/>
    <col min="4852" max="4853" width="11.7109375" style="143" customWidth="1"/>
    <col min="4854" max="4854" width="28.5703125" style="143" customWidth="1"/>
    <col min="4855" max="4855" width="2.140625" style="143" customWidth="1"/>
    <col min="4856" max="4856" width="9.140625" style="143"/>
    <col min="4857" max="4857" width="8.5703125" style="143" customWidth="1"/>
    <col min="4858" max="5090" width="9.140625" style="143"/>
    <col min="5091" max="5091" width="29.42578125" style="143" customWidth="1"/>
    <col min="5092" max="5100" width="0" style="143" hidden="1" customWidth="1"/>
    <col min="5101" max="5103" width="8.85546875" style="143" customWidth="1"/>
    <col min="5104" max="5104" width="1.28515625" style="143" customWidth="1"/>
    <col min="5105" max="5105" width="16.42578125" style="143" customWidth="1"/>
    <col min="5106" max="5106" width="13.42578125" style="143" customWidth="1"/>
    <col min="5107" max="5107" width="10.28515625" style="143" customWidth="1"/>
    <col min="5108" max="5109" width="11.7109375" style="143" customWidth="1"/>
    <col min="5110" max="5110" width="28.5703125" style="143" customWidth="1"/>
    <col min="5111" max="5111" width="2.140625" style="143" customWidth="1"/>
    <col min="5112" max="5112" width="9.140625" style="143"/>
    <col min="5113" max="5113" width="8.5703125" style="143" customWidth="1"/>
    <col min="5114" max="5346" width="9.140625" style="143"/>
    <col min="5347" max="5347" width="29.42578125" style="143" customWidth="1"/>
    <col min="5348" max="5356" width="0" style="143" hidden="1" customWidth="1"/>
    <col min="5357" max="5359" width="8.85546875" style="143" customWidth="1"/>
    <col min="5360" max="5360" width="1.28515625" style="143" customWidth="1"/>
    <col min="5361" max="5361" width="16.42578125" style="143" customWidth="1"/>
    <col min="5362" max="5362" width="13.42578125" style="143" customWidth="1"/>
    <col min="5363" max="5363" width="10.28515625" style="143" customWidth="1"/>
    <col min="5364" max="5365" width="11.7109375" style="143" customWidth="1"/>
    <col min="5366" max="5366" width="28.5703125" style="143" customWidth="1"/>
    <col min="5367" max="5367" width="2.140625" style="143" customWidth="1"/>
    <col min="5368" max="5368" width="9.140625" style="143"/>
    <col min="5369" max="5369" width="8.5703125" style="143" customWidth="1"/>
    <col min="5370" max="5602" width="9.140625" style="143"/>
    <col min="5603" max="5603" width="29.42578125" style="143" customWidth="1"/>
    <col min="5604" max="5612" width="0" style="143" hidden="1" customWidth="1"/>
    <col min="5613" max="5615" width="8.85546875" style="143" customWidth="1"/>
    <col min="5616" max="5616" width="1.28515625" style="143" customWidth="1"/>
    <col min="5617" max="5617" width="16.42578125" style="143" customWidth="1"/>
    <col min="5618" max="5618" width="13.42578125" style="143" customWidth="1"/>
    <col min="5619" max="5619" width="10.28515625" style="143" customWidth="1"/>
    <col min="5620" max="5621" width="11.7109375" style="143" customWidth="1"/>
    <col min="5622" max="5622" width="28.5703125" style="143" customWidth="1"/>
    <col min="5623" max="5623" width="2.140625" style="143" customWidth="1"/>
    <col min="5624" max="5624" width="9.140625" style="143"/>
    <col min="5625" max="5625" width="8.5703125" style="143" customWidth="1"/>
    <col min="5626" max="5858" width="9.140625" style="143"/>
    <col min="5859" max="5859" width="29.42578125" style="143" customWidth="1"/>
    <col min="5860" max="5868" width="0" style="143" hidden="1" customWidth="1"/>
    <col min="5869" max="5871" width="8.85546875" style="143" customWidth="1"/>
    <col min="5872" max="5872" width="1.28515625" style="143" customWidth="1"/>
    <col min="5873" max="5873" width="16.42578125" style="143" customWidth="1"/>
    <col min="5874" max="5874" width="13.42578125" style="143" customWidth="1"/>
    <col min="5875" max="5875" width="10.28515625" style="143" customWidth="1"/>
    <col min="5876" max="5877" width="11.7109375" style="143" customWidth="1"/>
    <col min="5878" max="5878" width="28.5703125" style="143" customWidth="1"/>
    <col min="5879" max="5879" width="2.140625" style="143" customWidth="1"/>
    <col min="5880" max="5880" width="9.140625" style="143"/>
    <col min="5881" max="5881" width="8.5703125" style="143" customWidth="1"/>
    <col min="5882" max="6114" width="9.140625" style="143"/>
    <col min="6115" max="6115" width="29.42578125" style="143" customWidth="1"/>
    <col min="6116" max="6124" width="0" style="143" hidden="1" customWidth="1"/>
    <col min="6125" max="6127" width="8.85546875" style="143" customWidth="1"/>
    <col min="6128" max="6128" width="1.28515625" style="143" customWidth="1"/>
    <col min="6129" max="6129" width="16.42578125" style="143" customWidth="1"/>
    <col min="6130" max="6130" width="13.42578125" style="143" customWidth="1"/>
    <col min="6131" max="6131" width="10.28515625" style="143" customWidth="1"/>
    <col min="6132" max="6133" width="11.7109375" style="143" customWidth="1"/>
    <col min="6134" max="6134" width="28.5703125" style="143" customWidth="1"/>
    <col min="6135" max="6135" width="2.140625" style="143" customWidth="1"/>
    <col min="6136" max="6136" width="9.140625" style="143"/>
    <col min="6137" max="6137" width="8.5703125" style="143" customWidth="1"/>
    <col min="6138" max="6370" width="9.140625" style="143"/>
    <col min="6371" max="6371" width="29.42578125" style="143" customWidth="1"/>
    <col min="6372" max="6380" width="0" style="143" hidden="1" customWidth="1"/>
    <col min="6381" max="6383" width="8.85546875" style="143" customWidth="1"/>
    <col min="6384" max="6384" width="1.28515625" style="143" customWidth="1"/>
    <col min="6385" max="6385" width="16.42578125" style="143" customWidth="1"/>
    <col min="6386" max="6386" width="13.42578125" style="143" customWidth="1"/>
    <col min="6387" max="6387" width="10.28515625" style="143" customWidth="1"/>
    <col min="6388" max="6389" width="11.7109375" style="143" customWidth="1"/>
    <col min="6390" max="6390" width="28.5703125" style="143" customWidth="1"/>
    <col min="6391" max="6391" width="2.140625" style="143" customWidth="1"/>
    <col min="6392" max="6392" width="9.140625" style="143"/>
    <col min="6393" max="6393" width="8.5703125" style="143" customWidth="1"/>
    <col min="6394" max="6626" width="9.140625" style="143"/>
    <col min="6627" max="6627" width="29.42578125" style="143" customWidth="1"/>
    <col min="6628" max="6636" width="0" style="143" hidden="1" customWidth="1"/>
    <col min="6637" max="6639" width="8.85546875" style="143" customWidth="1"/>
    <col min="6640" max="6640" width="1.28515625" style="143" customWidth="1"/>
    <col min="6641" max="6641" width="16.42578125" style="143" customWidth="1"/>
    <col min="6642" max="6642" width="13.42578125" style="143" customWidth="1"/>
    <col min="6643" max="6643" width="10.28515625" style="143" customWidth="1"/>
    <col min="6644" max="6645" width="11.7109375" style="143" customWidth="1"/>
    <col min="6646" max="6646" width="28.5703125" style="143" customWidth="1"/>
    <col min="6647" max="6647" width="2.140625" style="143" customWidth="1"/>
    <col min="6648" max="6648" width="9.140625" style="143"/>
    <col min="6649" max="6649" width="8.5703125" style="143" customWidth="1"/>
    <col min="6650" max="6882" width="9.140625" style="143"/>
    <col min="6883" max="6883" width="29.42578125" style="143" customWidth="1"/>
    <col min="6884" max="6892" width="0" style="143" hidden="1" customWidth="1"/>
    <col min="6893" max="6895" width="8.85546875" style="143" customWidth="1"/>
    <col min="6896" max="6896" width="1.28515625" style="143" customWidth="1"/>
    <col min="6897" max="6897" width="16.42578125" style="143" customWidth="1"/>
    <col min="6898" max="6898" width="13.42578125" style="143" customWidth="1"/>
    <col min="6899" max="6899" width="10.28515625" style="143" customWidth="1"/>
    <col min="6900" max="6901" width="11.7109375" style="143" customWidth="1"/>
    <col min="6902" max="6902" width="28.5703125" style="143" customWidth="1"/>
    <col min="6903" max="6903" width="2.140625" style="143" customWidth="1"/>
    <col min="6904" max="6904" width="9.140625" style="143"/>
    <col min="6905" max="6905" width="8.5703125" style="143" customWidth="1"/>
    <col min="6906" max="7138" width="9.140625" style="143"/>
    <col min="7139" max="7139" width="29.42578125" style="143" customWidth="1"/>
    <col min="7140" max="7148" width="0" style="143" hidden="1" customWidth="1"/>
    <col min="7149" max="7151" width="8.85546875" style="143" customWidth="1"/>
    <col min="7152" max="7152" width="1.28515625" style="143" customWidth="1"/>
    <col min="7153" max="7153" width="16.42578125" style="143" customWidth="1"/>
    <col min="7154" max="7154" width="13.42578125" style="143" customWidth="1"/>
    <col min="7155" max="7155" width="10.28515625" style="143" customWidth="1"/>
    <col min="7156" max="7157" width="11.7109375" style="143" customWidth="1"/>
    <col min="7158" max="7158" width="28.5703125" style="143" customWidth="1"/>
    <col min="7159" max="7159" width="2.140625" style="143" customWidth="1"/>
    <col min="7160" max="7160" width="9.140625" style="143"/>
    <col min="7161" max="7161" width="8.5703125" style="143" customWidth="1"/>
    <col min="7162" max="7394" width="9.140625" style="143"/>
    <col min="7395" max="7395" width="29.42578125" style="143" customWidth="1"/>
    <col min="7396" max="7404" width="0" style="143" hidden="1" customWidth="1"/>
    <col min="7405" max="7407" width="8.85546875" style="143" customWidth="1"/>
    <col min="7408" max="7408" width="1.28515625" style="143" customWidth="1"/>
    <col min="7409" max="7409" width="16.42578125" style="143" customWidth="1"/>
    <col min="7410" max="7410" width="13.42578125" style="143" customWidth="1"/>
    <col min="7411" max="7411" width="10.28515625" style="143" customWidth="1"/>
    <col min="7412" max="7413" width="11.7109375" style="143" customWidth="1"/>
    <col min="7414" max="7414" width="28.5703125" style="143" customWidth="1"/>
    <col min="7415" max="7415" width="2.140625" style="143" customWidth="1"/>
    <col min="7416" max="7416" width="9.140625" style="143"/>
    <col min="7417" max="7417" width="8.5703125" style="143" customWidth="1"/>
    <col min="7418" max="7650" width="9.140625" style="143"/>
    <col min="7651" max="7651" width="29.42578125" style="143" customWidth="1"/>
    <col min="7652" max="7660" width="0" style="143" hidden="1" customWidth="1"/>
    <col min="7661" max="7663" width="8.85546875" style="143" customWidth="1"/>
    <col min="7664" max="7664" width="1.28515625" style="143" customWidth="1"/>
    <col min="7665" max="7665" width="16.42578125" style="143" customWidth="1"/>
    <col min="7666" max="7666" width="13.42578125" style="143" customWidth="1"/>
    <col min="7667" max="7667" width="10.28515625" style="143" customWidth="1"/>
    <col min="7668" max="7669" width="11.7109375" style="143" customWidth="1"/>
    <col min="7670" max="7670" width="28.5703125" style="143" customWidth="1"/>
    <col min="7671" max="7671" width="2.140625" style="143" customWidth="1"/>
    <col min="7672" max="7672" width="9.140625" style="143"/>
    <col min="7673" max="7673" width="8.5703125" style="143" customWidth="1"/>
    <col min="7674" max="7906" width="9.140625" style="143"/>
    <col min="7907" max="7907" width="29.42578125" style="143" customWidth="1"/>
    <col min="7908" max="7916" width="0" style="143" hidden="1" customWidth="1"/>
    <col min="7917" max="7919" width="8.85546875" style="143" customWidth="1"/>
    <col min="7920" max="7920" width="1.28515625" style="143" customWidth="1"/>
    <col min="7921" max="7921" width="16.42578125" style="143" customWidth="1"/>
    <col min="7922" max="7922" width="13.42578125" style="143" customWidth="1"/>
    <col min="7923" max="7923" width="10.28515625" style="143" customWidth="1"/>
    <col min="7924" max="7925" width="11.7109375" style="143" customWidth="1"/>
    <col min="7926" max="7926" width="28.5703125" style="143" customWidth="1"/>
    <col min="7927" max="7927" width="2.140625" style="143" customWidth="1"/>
    <col min="7928" max="7928" width="9.140625" style="143"/>
    <col min="7929" max="7929" width="8.5703125" style="143" customWidth="1"/>
    <col min="7930" max="8162" width="9.140625" style="143"/>
    <col min="8163" max="8163" width="29.42578125" style="143" customWidth="1"/>
    <col min="8164" max="8172" width="0" style="143" hidden="1" customWidth="1"/>
    <col min="8173" max="8175" width="8.85546875" style="143" customWidth="1"/>
    <col min="8176" max="8176" width="1.28515625" style="143" customWidth="1"/>
    <col min="8177" max="8177" width="16.42578125" style="143" customWidth="1"/>
    <col min="8178" max="8178" width="13.42578125" style="143" customWidth="1"/>
    <col min="8179" max="8179" width="10.28515625" style="143" customWidth="1"/>
    <col min="8180" max="8181" width="11.7109375" style="143" customWidth="1"/>
    <col min="8182" max="8182" width="28.5703125" style="143" customWidth="1"/>
    <col min="8183" max="8183" width="2.140625" style="143" customWidth="1"/>
    <col min="8184" max="8184" width="9.140625" style="143"/>
    <col min="8185" max="8185" width="8.5703125" style="143" customWidth="1"/>
    <col min="8186" max="8418" width="9.140625" style="143"/>
    <col min="8419" max="8419" width="29.42578125" style="143" customWidth="1"/>
    <col min="8420" max="8428" width="0" style="143" hidden="1" customWidth="1"/>
    <col min="8429" max="8431" width="8.85546875" style="143" customWidth="1"/>
    <col min="8432" max="8432" width="1.28515625" style="143" customWidth="1"/>
    <col min="8433" max="8433" width="16.42578125" style="143" customWidth="1"/>
    <col min="8434" max="8434" width="13.42578125" style="143" customWidth="1"/>
    <col min="8435" max="8435" width="10.28515625" style="143" customWidth="1"/>
    <col min="8436" max="8437" width="11.7109375" style="143" customWidth="1"/>
    <col min="8438" max="8438" width="28.5703125" style="143" customWidth="1"/>
    <col min="8439" max="8439" width="2.140625" style="143" customWidth="1"/>
    <col min="8440" max="8440" width="9.140625" style="143"/>
    <col min="8441" max="8441" width="8.5703125" style="143" customWidth="1"/>
    <col min="8442" max="8674" width="9.140625" style="143"/>
    <col min="8675" max="8675" width="29.42578125" style="143" customWidth="1"/>
    <col min="8676" max="8684" width="0" style="143" hidden="1" customWidth="1"/>
    <col min="8685" max="8687" width="8.85546875" style="143" customWidth="1"/>
    <col min="8688" max="8688" width="1.28515625" style="143" customWidth="1"/>
    <col min="8689" max="8689" width="16.42578125" style="143" customWidth="1"/>
    <col min="8690" max="8690" width="13.42578125" style="143" customWidth="1"/>
    <col min="8691" max="8691" width="10.28515625" style="143" customWidth="1"/>
    <col min="8692" max="8693" width="11.7109375" style="143" customWidth="1"/>
    <col min="8694" max="8694" width="28.5703125" style="143" customWidth="1"/>
    <col min="8695" max="8695" width="2.140625" style="143" customWidth="1"/>
    <col min="8696" max="8696" width="9.140625" style="143"/>
    <col min="8697" max="8697" width="8.5703125" style="143" customWidth="1"/>
    <col min="8698" max="8930" width="9.140625" style="143"/>
    <col min="8931" max="8931" width="29.42578125" style="143" customWidth="1"/>
    <col min="8932" max="8940" width="0" style="143" hidden="1" customWidth="1"/>
    <col min="8941" max="8943" width="8.85546875" style="143" customWidth="1"/>
    <col min="8944" max="8944" width="1.28515625" style="143" customWidth="1"/>
    <col min="8945" max="8945" width="16.42578125" style="143" customWidth="1"/>
    <col min="8946" max="8946" width="13.42578125" style="143" customWidth="1"/>
    <col min="8947" max="8947" width="10.28515625" style="143" customWidth="1"/>
    <col min="8948" max="8949" width="11.7109375" style="143" customWidth="1"/>
    <col min="8950" max="8950" width="28.5703125" style="143" customWidth="1"/>
    <col min="8951" max="8951" width="2.140625" style="143" customWidth="1"/>
    <col min="8952" max="8952" width="9.140625" style="143"/>
    <col min="8953" max="8953" width="8.5703125" style="143" customWidth="1"/>
    <col min="8954" max="9186" width="9.140625" style="143"/>
    <col min="9187" max="9187" width="29.42578125" style="143" customWidth="1"/>
    <col min="9188" max="9196" width="0" style="143" hidden="1" customWidth="1"/>
    <col min="9197" max="9199" width="8.85546875" style="143" customWidth="1"/>
    <col min="9200" max="9200" width="1.28515625" style="143" customWidth="1"/>
    <col min="9201" max="9201" width="16.42578125" style="143" customWidth="1"/>
    <col min="9202" max="9202" width="13.42578125" style="143" customWidth="1"/>
    <col min="9203" max="9203" width="10.28515625" style="143" customWidth="1"/>
    <col min="9204" max="9205" width="11.7109375" style="143" customWidth="1"/>
    <col min="9206" max="9206" width="28.5703125" style="143" customWidth="1"/>
    <col min="9207" max="9207" width="2.140625" style="143" customWidth="1"/>
    <col min="9208" max="9208" width="9.140625" style="143"/>
    <col min="9209" max="9209" width="8.5703125" style="143" customWidth="1"/>
    <col min="9210" max="9442" width="9.140625" style="143"/>
    <col min="9443" max="9443" width="29.42578125" style="143" customWidth="1"/>
    <col min="9444" max="9452" width="0" style="143" hidden="1" customWidth="1"/>
    <col min="9453" max="9455" width="8.85546875" style="143" customWidth="1"/>
    <col min="9456" max="9456" width="1.28515625" style="143" customWidth="1"/>
    <col min="9457" max="9457" width="16.42578125" style="143" customWidth="1"/>
    <col min="9458" max="9458" width="13.42578125" style="143" customWidth="1"/>
    <col min="9459" max="9459" width="10.28515625" style="143" customWidth="1"/>
    <col min="9460" max="9461" width="11.7109375" style="143" customWidth="1"/>
    <col min="9462" max="9462" width="28.5703125" style="143" customWidth="1"/>
    <col min="9463" max="9463" width="2.140625" style="143" customWidth="1"/>
    <col min="9464" max="9464" width="9.140625" style="143"/>
    <col min="9465" max="9465" width="8.5703125" style="143" customWidth="1"/>
    <col min="9466" max="9698" width="9.140625" style="143"/>
    <col min="9699" max="9699" width="29.42578125" style="143" customWidth="1"/>
    <col min="9700" max="9708" width="0" style="143" hidden="1" customWidth="1"/>
    <col min="9709" max="9711" width="8.85546875" style="143" customWidth="1"/>
    <col min="9712" max="9712" width="1.28515625" style="143" customWidth="1"/>
    <col min="9713" max="9713" width="16.42578125" style="143" customWidth="1"/>
    <col min="9714" max="9714" width="13.42578125" style="143" customWidth="1"/>
    <col min="9715" max="9715" width="10.28515625" style="143" customWidth="1"/>
    <col min="9716" max="9717" width="11.7109375" style="143" customWidth="1"/>
    <col min="9718" max="9718" width="28.5703125" style="143" customWidth="1"/>
    <col min="9719" max="9719" width="2.140625" style="143" customWidth="1"/>
    <col min="9720" max="9720" width="9.140625" style="143"/>
    <col min="9721" max="9721" width="8.5703125" style="143" customWidth="1"/>
    <col min="9722" max="9954" width="9.140625" style="143"/>
    <col min="9955" max="9955" width="29.42578125" style="143" customWidth="1"/>
    <col min="9956" max="9964" width="0" style="143" hidden="1" customWidth="1"/>
    <col min="9965" max="9967" width="8.85546875" style="143" customWidth="1"/>
    <col min="9968" max="9968" width="1.28515625" style="143" customWidth="1"/>
    <col min="9969" max="9969" width="16.42578125" style="143" customWidth="1"/>
    <col min="9970" max="9970" width="13.42578125" style="143" customWidth="1"/>
    <col min="9971" max="9971" width="10.28515625" style="143" customWidth="1"/>
    <col min="9972" max="9973" width="11.7109375" style="143" customWidth="1"/>
    <col min="9974" max="9974" width="28.5703125" style="143" customWidth="1"/>
    <col min="9975" max="9975" width="2.140625" style="143" customWidth="1"/>
    <col min="9976" max="9976" width="9.140625" style="143"/>
    <col min="9977" max="9977" width="8.5703125" style="143" customWidth="1"/>
    <col min="9978" max="10210" width="9.140625" style="143"/>
    <col min="10211" max="10211" width="29.42578125" style="143" customWidth="1"/>
    <col min="10212" max="10220" width="0" style="143" hidden="1" customWidth="1"/>
    <col min="10221" max="10223" width="8.85546875" style="143" customWidth="1"/>
    <col min="10224" max="10224" width="1.28515625" style="143" customWidth="1"/>
    <col min="10225" max="10225" width="16.42578125" style="143" customWidth="1"/>
    <col min="10226" max="10226" width="13.42578125" style="143" customWidth="1"/>
    <col min="10227" max="10227" width="10.28515625" style="143" customWidth="1"/>
    <col min="10228" max="10229" width="11.7109375" style="143" customWidth="1"/>
    <col min="10230" max="10230" width="28.5703125" style="143" customWidth="1"/>
    <col min="10231" max="10231" width="2.140625" style="143" customWidth="1"/>
    <col min="10232" max="10232" width="9.140625" style="143"/>
    <col min="10233" max="10233" width="8.5703125" style="143" customWidth="1"/>
    <col min="10234" max="10466" width="9.140625" style="143"/>
    <col min="10467" max="10467" width="29.42578125" style="143" customWidth="1"/>
    <col min="10468" max="10476" width="0" style="143" hidden="1" customWidth="1"/>
    <col min="10477" max="10479" width="8.85546875" style="143" customWidth="1"/>
    <col min="10480" max="10480" width="1.28515625" style="143" customWidth="1"/>
    <col min="10481" max="10481" width="16.42578125" style="143" customWidth="1"/>
    <col min="10482" max="10482" width="13.42578125" style="143" customWidth="1"/>
    <col min="10483" max="10483" width="10.28515625" style="143" customWidth="1"/>
    <col min="10484" max="10485" width="11.7109375" style="143" customWidth="1"/>
    <col min="10486" max="10486" width="28.5703125" style="143" customWidth="1"/>
    <col min="10487" max="10487" width="2.140625" style="143" customWidth="1"/>
    <col min="10488" max="10488" width="9.140625" style="143"/>
    <col min="10489" max="10489" width="8.5703125" style="143" customWidth="1"/>
    <col min="10490" max="10722" width="9.140625" style="143"/>
    <col min="10723" max="10723" width="29.42578125" style="143" customWidth="1"/>
    <col min="10724" max="10732" width="0" style="143" hidden="1" customWidth="1"/>
    <col min="10733" max="10735" width="8.85546875" style="143" customWidth="1"/>
    <col min="10736" max="10736" width="1.28515625" style="143" customWidth="1"/>
    <col min="10737" max="10737" width="16.42578125" style="143" customWidth="1"/>
    <col min="10738" max="10738" width="13.42578125" style="143" customWidth="1"/>
    <col min="10739" max="10739" width="10.28515625" style="143" customWidth="1"/>
    <col min="10740" max="10741" width="11.7109375" style="143" customWidth="1"/>
    <col min="10742" max="10742" width="28.5703125" style="143" customWidth="1"/>
    <col min="10743" max="10743" width="2.140625" style="143" customWidth="1"/>
    <col min="10744" max="10744" width="9.140625" style="143"/>
    <col min="10745" max="10745" width="8.5703125" style="143" customWidth="1"/>
    <col min="10746" max="10978" width="9.140625" style="143"/>
    <col min="10979" max="10979" width="29.42578125" style="143" customWidth="1"/>
    <col min="10980" max="10988" width="0" style="143" hidden="1" customWidth="1"/>
    <col min="10989" max="10991" width="8.85546875" style="143" customWidth="1"/>
    <col min="10992" max="10992" width="1.28515625" style="143" customWidth="1"/>
    <col min="10993" max="10993" width="16.42578125" style="143" customWidth="1"/>
    <col min="10994" max="10994" width="13.42578125" style="143" customWidth="1"/>
    <col min="10995" max="10995" width="10.28515625" style="143" customWidth="1"/>
    <col min="10996" max="10997" width="11.7109375" style="143" customWidth="1"/>
    <col min="10998" max="10998" width="28.5703125" style="143" customWidth="1"/>
    <col min="10999" max="10999" width="2.140625" style="143" customWidth="1"/>
    <col min="11000" max="11000" width="9.140625" style="143"/>
    <col min="11001" max="11001" width="8.5703125" style="143" customWidth="1"/>
    <col min="11002" max="11234" width="9.140625" style="143"/>
    <col min="11235" max="11235" width="29.42578125" style="143" customWidth="1"/>
    <col min="11236" max="11244" width="0" style="143" hidden="1" customWidth="1"/>
    <col min="11245" max="11247" width="8.85546875" style="143" customWidth="1"/>
    <col min="11248" max="11248" width="1.28515625" style="143" customWidth="1"/>
    <col min="11249" max="11249" width="16.42578125" style="143" customWidth="1"/>
    <col min="11250" max="11250" width="13.42578125" style="143" customWidth="1"/>
    <col min="11251" max="11251" width="10.28515625" style="143" customWidth="1"/>
    <col min="11252" max="11253" width="11.7109375" style="143" customWidth="1"/>
    <col min="11254" max="11254" width="28.5703125" style="143" customWidth="1"/>
    <col min="11255" max="11255" width="2.140625" style="143" customWidth="1"/>
    <col min="11256" max="11256" width="9.140625" style="143"/>
    <col min="11257" max="11257" width="8.5703125" style="143" customWidth="1"/>
    <col min="11258" max="11490" width="9.140625" style="143"/>
    <col min="11491" max="11491" width="29.42578125" style="143" customWidth="1"/>
    <col min="11492" max="11500" width="0" style="143" hidden="1" customWidth="1"/>
    <col min="11501" max="11503" width="8.85546875" style="143" customWidth="1"/>
    <col min="11504" max="11504" width="1.28515625" style="143" customWidth="1"/>
    <col min="11505" max="11505" width="16.42578125" style="143" customWidth="1"/>
    <col min="11506" max="11506" width="13.42578125" style="143" customWidth="1"/>
    <col min="11507" max="11507" width="10.28515625" style="143" customWidth="1"/>
    <col min="11508" max="11509" width="11.7109375" style="143" customWidth="1"/>
    <col min="11510" max="11510" width="28.5703125" style="143" customWidth="1"/>
    <col min="11511" max="11511" width="2.140625" style="143" customWidth="1"/>
    <col min="11512" max="11512" width="9.140625" style="143"/>
    <col min="11513" max="11513" width="8.5703125" style="143" customWidth="1"/>
    <col min="11514" max="11746" width="9.140625" style="143"/>
    <col min="11747" max="11747" width="29.42578125" style="143" customWidth="1"/>
    <col min="11748" max="11756" width="0" style="143" hidden="1" customWidth="1"/>
    <col min="11757" max="11759" width="8.85546875" style="143" customWidth="1"/>
    <col min="11760" max="11760" width="1.28515625" style="143" customWidth="1"/>
    <col min="11761" max="11761" width="16.42578125" style="143" customWidth="1"/>
    <col min="11762" max="11762" width="13.42578125" style="143" customWidth="1"/>
    <col min="11763" max="11763" width="10.28515625" style="143" customWidth="1"/>
    <col min="11764" max="11765" width="11.7109375" style="143" customWidth="1"/>
    <col min="11766" max="11766" width="28.5703125" style="143" customWidth="1"/>
    <col min="11767" max="11767" width="2.140625" style="143" customWidth="1"/>
    <col min="11768" max="11768" width="9.140625" style="143"/>
    <col min="11769" max="11769" width="8.5703125" style="143" customWidth="1"/>
    <col min="11770" max="12002" width="9.140625" style="143"/>
    <col min="12003" max="12003" width="29.42578125" style="143" customWidth="1"/>
    <col min="12004" max="12012" width="0" style="143" hidden="1" customWidth="1"/>
    <col min="12013" max="12015" width="8.85546875" style="143" customWidth="1"/>
    <col min="12016" max="12016" width="1.28515625" style="143" customWidth="1"/>
    <col min="12017" max="12017" width="16.42578125" style="143" customWidth="1"/>
    <col min="12018" max="12018" width="13.42578125" style="143" customWidth="1"/>
    <col min="12019" max="12019" width="10.28515625" style="143" customWidth="1"/>
    <col min="12020" max="12021" width="11.7109375" style="143" customWidth="1"/>
    <col min="12022" max="12022" width="28.5703125" style="143" customWidth="1"/>
    <col min="12023" max="12023" width="2.140625" style="143" customWidth="1"/>
    <col min="12024" max="12024" width="9.140625" style="143"/>
    <col min="12025" max="12025" width="8.5703125" style="143" customWidth="1"/>
    <col min="12026" max="12258" width="9.140625" style="143"/>
    <col min="12259" max="12259" width="29.42578125" style="143" customWidth="1"/>
    <col min="12260" max="12268" width="0" style="143" hidden="1" customWidth="1"/>
    <col min="12269" max="12271" width="8.85546875" style="143" customWidth="1"/>
    <col min="12272" max="12272" width="1.28515625" style="143" customWidth="1"/>
    <col min="12273" max="12273" width="16.42578125" style="143" customWidth="1"/>
    <col min="12274" max="12274" width="13.42578125" style="143" customWidth="1"/>
    <col min="12275" max="12275" width="10.28515625" style="143" customWidth="1"/>
    <col min="12276" max="12277" width="11.7109375" style="143" customWidth="1"/>
    <col min="12278" max="12278" width="28.5703125" style="143" customWidth="1"/>
    <col min="12279" max="12279" width="2.140625" style="143" customWidth="1"/>
    <col min="12280" max="12280" width="9.140625" style="143"/>
    <col min="12281" max="12281" width="8.5703125" style="143" customWidth="1"/>
    <col min="12282" max="12514" width="9.140625" style="143"/>
    <col min="12515" max="12515" width="29.42578125" style="143" customWidth="1"/>
    <col min="12516" max="12524" width="0" style="143" hidden="1" customWidth="1"/>
    <col min="12525" max="12527" width="8.85546875" style="143" customWidth="1"/>
    <col min="12528" max="12528" width="1.28515625" style="143" customWidth="1"/>
    <col min="12529" max="12529" width="16.42578125" style="143" customWidth="1"/>
    <col min="12530" max="12530" width="13.42578125" style="143" customWidth="1"/>
    <col min="12531" max="12531" width="10.28515625" style="143" customWidth="1"/>
    <col min="12532" max="12533" width="11.7109375" style="143" customWidth="1"/>
    <col min="12534" max="12534" width="28.5703125" style="143" customWidth="1"/>
    <col min="12535" max="12535" width="2.140625" style="143" customWidth="1"/>
    <col min="12536" max="12536" width="9.140625" style="143"/>
    <col min="12537" max="12537" width="8.5703125" style="143" customWidth="1"/>
    <col min="12538" max="12770" width="9.140625" style="143"/>
    <col min="12771" max="12771" width="29.42578125" style="143" customWidth="1"/>
    <col min="12772" max="12780" width="0" style="143" hidden="1" customWidth="1"/>
    <col min="12781" max="12783" width="8.85546875" style="143" customWidth="1"/>
    <col min="12784" max="12784" width="1.28515625" style="143" customWidth="1"/>
    <col min="12785" max="12785" width="16.42578125" style="143" customWidth="1"/>
    <col min="12786" max="12786" width="13.42578125" style="143" customWidth="1"/>
    <col min="12787" max="12787" width="10.28515625" style="143" customWidth="1"/>
    <col min="12788" max="12789" width="11.7109375" style="143" customWidth="1"/>
    <col min="12790" max="12790" width="28.5703125" style="143" customWidth="1"/>
    <col min="12791" max="12791" width="2.140625" style="143" customWidth="1"/>
    <col min="12792" max="12792" width="9.140625" style="143"/>
    <col min="12793" max="12793" width="8.5703125" style="143" customWidth="1"/>
    <col min="12794" max="13026" width="9.140625" style="143"/>
    <col min="13027" max="13027" width="29.42578125" style="143" customWidth="1"/>
    <col min="13028" max="13036" width="0" style="143" hidden="1" customWidth="1"/>
    <col min="13037" max="13039" width="8.85546875" style="143" customWidth="1"/>
    <col min="13040" max="13040" width="1.28515625" style="143" customWidth="1"/>
    <col min="13041" max="13041" width="16.42578125" style="143" customWidth="1"/>
    <col min="13042" max="13042" width="13.42578125" style="143" customWidth="1"/>
    <col min="13043" max="13043" width="10.28515625" style="143" customWidth="1"/>
    <col min="13044" max="13045" width="11.7109375" style="143" customWidth="1"/>
    <col min="13046" max="13046" width="28.5703125" style="143" customWidth="1"/>
    <col min="13047" max="13047" width="2.140625" style="143" customWidth="1"/>
    <col min="13048" max="13048" width="9.140625" style="143"/>
    <col min="13049" max="13049" width="8.5703125" style="143" customWidth="1"/>
    <col min="13050" max="13282" width="9.140625" style="143"/>
    <col min="13283" max="13283" width="29.42578125" style="143" customWidth="1"/>
    <col min="13284" max="13292" width="0" style="143" hidden="1" customWidth="1"/>
    <col min="13293" max="13295" width="8.85546875" style="143" customWidth="1"/>
    <col min="13296" max="13296" width="1.28515625" style="143" customWidth="1"/>
    <col min="13297" max="13297" width="16.42578125" style="143" customWidth="1"/>
    <col min="13298" max="13298" width="13.42578125" style="143" customWidth="1"/>
    <col min="13299" max="13299" width="10.28515625" style="143" customWidth="1"/>
    <col min="13300" max="13301" width="11.7109375" style="143" customWidth="1"/>
    <col min="13302" max="13302" width="28.5703125" style="143" customWidth="1"/>
    <col min="13303" max="13303" width="2.140625" style="143" customWidth="1"/>
    <col min="13304" max="13304" width="9.140625" style="143"/>
    <col min="13305" max="13305" width="8.5703125" style="143" customWidth="1"/>
    <col min="13306" max="13538" width="9.140625" style="143"/>
    <col min="13539" max="13539" width="29.42578125" style="143" customWidth="1"/>
    <col min="13540" max="13548" width="0" style="143" hidden="1" customWidth="1"/>
    <col min="13549" max="13551" width="8.85546875" style="143" customWidth="1"/>
    <col min="13552" max="13552" width="1.28515625" style="143" customWidth="1"/>
    <col min="13553" max="13553" width="16.42578125" style="143" customWidth="1"/>
    <col min="13554" max="13554" width="13.42578125" style="143" customWidth="1"/>
    <col min="13555" max="13555" width="10.28515625" style="143" customWidth="1"/>
    <col min="13556" max="13557" width="11.7109375" style="143" customWidth="1"/>
    <col min="13558" max="13558" width="28.5703125" style="143" customWidth="1"/>
    <col min="13559" max="13559" width="2.140625" style="143" customWidth="1"/>
    <col min="13560" max="13560" width="9.140625" style="143"/>
    <col min="13561" max="13561" width="8.5703125" style="143" customWidth="1"/>
    <col min="13562" max="13794" width="9.140625" style="143"/>
    <col min="13795" max="13795" width="29.42578125" style="143" customWidth="1"/>
    <col min="13796" max="13804" width="0" style="143" hidden="1" customWidth="1"/>
    <col min="13805" max="13807" width="8.85546875" style="143" customWidth="1"/>
    <col min="13808" max="13808" width="1.28515625" style="143" customWidth="1"/>
    <col min="13809" max="13809" width="16.42578125" style="143" customWidth="1"/>
    <col min="13810" max="13810" width="13.42578125" style="143" customWidth="1"/>
    <col min="13811" max="13811" width="10.28515625" style="143" customWidth="1"/>
    <col min="13812" max="13813" width="11.7109375" style="143" customWidth="1"/>
    <col min="13814" max="13814" width="28.5703125" style="143" customWidth="1"/>
    <col min="13815" max="13815" width="2.140625" style="143" customWidth="1"/>
    <col min="13816" max="13816" width="9.140625" style="143"/>
    <col min="13817" max="13817" width="8.5703125" style="143" customWidth="1"/>
    <col min="13818" max="14050" width="9.140625" style="143"/>
    <col min="14051" max="14051" width="29.42578125" style="143" customWidth="1"/>
    <col min="14052" max="14060" width="0" style="143" hidden="1" customWidth="1"/>
    <col min="14061" max="14063" width="8.85546875" style="143" customWidth="1"/>
    <col min="14064" max="14064" width="1.28515625" style="143" customWidth="1"/>
    <col min="14065" max="14065" width="16.42578125" style="143" customWidth="1"/>
    <col min="14066" max="14066" width="13.42578125" style="143" customWidth="1"/>
    <col min="14067" max="14067" width="10.28515625" style="143" customWidth="1"/>
    <col min="14068" max="14069" width="11.7109375" style="143" customWidth="1"/>
    <col min="14070" max="14070" width="28.5703125" style="143" customWidth="1"/>
    <col min="14071" max="14071" width="2.140625" style="143" customWidth="1"/>
    <col min="14072" max="14072" width="9.140625" style="143"/>
    <col min="14073" max="14073" width="8.5703125" style="143" customWidth="1"/>
    <col min="14074" max="14306" width="9.140625" style="143"/>
    <col min="14307" max="14307" width="29.42578125" style="143" customWidth="1"/>
    <col min="14308" max="14316" width="0" style="143" hidden="1" customWidth="1"/>
    <col min="14317" max="14319" width="8.85546875" style="143" customWidth="1"/>
    <col min="14320" max="14320" width="1.28515625" style="143" customWidth="1"/>
    <col min="14321" max="14321" width="16.42578125" style="143" customWidth="1"/>
    <col min="14322" max="14322" width="13.42578125" style="143" customWidth="1"/>
    <col min="14323" max="14323" width="10.28515625" style="143" customWidth="1"/>
    <col min="14324" max="14325" width="11.7109375" style="143" customWidth="1"/>
    <col min="14326" max="14326" width="28.5703125" style="143" customWidth="1"/>
    <col min="14327" max="14327" width="2.140625" style="143" customWidth="1"/>
    <col min="14328" max="14328" width="9.140625" style="143"/>
    <col min="14329" max="14329" width="8.5703125" style="143" customWidth="1"/>
    <col min="14330" max="14562" width="9.140625" style="143"/>
    <col min="14563" max="14563" width="29.42578125" style="143" customWidth="1"/>
    <col min="14564" max="14572" width="0" style="143" hidden="1" customWidth="1"/>
    <col min="14573" max="14575" width="8.85546875" style="143" customWidth="1"/>
    <col min="14576" max="14576" width="1.28515625" style="143" customWidth="1"/>
    <col min="14577" max="14577" width="16.42578125" style="143" customWidth="1"/>
    <col min="14578" max="14578" width="13.42578125" style="143" customWidth="1"/>
    <col min="14579" max="14579" width="10.28515625" style="143" customWidth="1"/>
    <col min="14580" max="14581" width="11.7109375" style="143" customWidth="1"/>
    <col min="14582" max="14582" width="28.5703125" style="143" customWidth="1"/>
    <col min="14583" max="14583" width="2.140625" style="143" customWidth="1"/>
    <col min="14584" max="14584" width="9.140625" style="143"/>
    <col min="14585" max="14585" width="8.5703125" style="143" customWidth="1"/>
    <col min="14586" max="14818" width="9.140625" style="143"/>
    <col min="14819" max="14819" width="29.42578125" style="143" customWidth="1"/>
    <col min="14820" max="14828" width="0" style="143" hidden="1" customWidth="1"/>
    <col min="14829" max="14831" width="8.85546875" style="143" customWidth="1"/>
    <col min="14832" max="14832" width="1.28515625" style="143" customWidth="1"/>
    <col min="14833" max="14833" width="16.42578125" style="143" customWidth="1"/>
    <col min="14834" max="14834" width="13.42578125" style="143" customWidth="1"/>
    <col min="14835" max="14835" width="10.28515625" style="143" customWidth="1"/>
    <col min="14836" max="14837" width="11.7109375" style="143" customWidth="1"/>
    <col min="14838" max="14838" width="28.5703125" style="143" customWidth="1"/>
    <col min="14839" max="14839" width="2.140625" style="143" customWidth="1"/>
    <col min="14840" max="14840" width="9.140625" style="143"/>
    <col min="14841" max="14841" width="8.5703125" style="143" customWidth="1"/>
    <col min="14842" max="15074" width="9.140625" style="143"/>
    <col min="15075" max="15075" width="29.42578125" style="143" customWidth="1"/>
    <col min="15076" max="15084" width="0" style="143" hidden="1" customWidth="1"/>
    <col min="15085" max="15087" width="8.85546875" style="143" customWidth="1"/>
    <col min="15088" max="15088" width="1.28515625" style="143" customWidth="1"/>
    <col min="15089" max="15089" width="16.42578125" style="143" customWidth="1"/>
    <col min="15090" max="15090" width="13.42578125" style="143" customWidth="1"/>
    <col min="15091" max="15091" width="10.28515625" style="143" customWidth="1"/>
    <col min="15092" max="15093" width="11.7109375" style="143" customWidth="1"/>
    <col min="15094" max="15094" width="28.5703125" style="143" customWidth="1"/>
    <col min="15095" max="15095" width="2.140625" style="143" customWidth="1"/>
    <col min="15096" max="15096" width="9.140625" style="143"/>
    <col min="15097" max="15097" width="8.5703125" style="143" customWidth="1"/>
    <col min="15098" max="15330" width="9.140625" style="143"/>
    <col min="15331" max="15331" width="29.42578125" style="143" customWidth="1"/>
    <col min="15332" max="15340" width="0" style="143" hidden="1" customWidth="1"/>
    <col min="15341" max="15343" width="8.85546875" style="143" customWidth="1"/>
    <col min="15344" max="15344" width="1.28515625" style="143" customWidth="1"/>
    <col min="15345" max="15345" width="16.42578125" style="143" customWidth="1"/>
    <col min="15346" max="15346" width="13.42578125" style="143" customWidth="1"/>
    <col min="15347" max="15347" width="10.28515625" style="143" customWidth="1"/>
    <col min="15348" max="15349" width="11.7109375" style="143" customWidth="1"/>
    <col min="15350" max="15350" width="28.5703125" style="143" customWidth="1"/>
    <col min="15351" max="15351" width="2.140625" style="143" customWidth="1"/>
    <col min="15352" max="15352" width="9.140625" style="143"/>
    <col min="15353" max="15353" width="8.5703125" style="143" customWidth="1"/>
    <col min="15354" max="15586" width="9.140625" style="143"/>
    <col min="15587" max="15587" width="29.42578125" style="143" customWidth="1"/>
    <col min="15588" max="15596" width="0" style="143" hidden="1" customWidth="1"/>
    <col min="15597" max="15599" width="8.85546875" style="143" customWidth="1"/>
    <col min="15600" max="15600" width="1.28515625" style="143" customWidth="1"/>
    <col min="15601" max="15601" width="16.42578125" style="143" customWidth="1"/>
    <col min="15602" max="15602" width="13.42578125" style="143" customWidth="1"/>
    <col min="15603" max="15603" width="10.28515625" style="143" customWidth="1"/>
    <col min="15604" max="15605" width="11.7109375" style="143" customWidth="1"/>
    <col min="15606" max="15606" width="28.5703125" style="143" customWidth="1"/>
    <col min="15607" max="15607" width="2.140625" style="143" customWidth="1"/>
    <col min="15608" max="15608" width="9.140625" style="143"/>
    <col min="15609" max="15609" width="8.5703125" style="143" customWidth="1"/>
    <col min="15610" max="15842" width="9.140625" style="143"/>
    <col min="15843" max="15843" width="29.42578125" style="143" customWidth="1"/>
    <col min="15844" max="15852" width="0" style="143" hidden="1" customWidth="1"/>
    <col min="15853" max="15855" width="8.85546875" style="143" customWidth="1"/>
    <col min="15856" max="15856" width="1.28515625" style="143" customWidth="1"/>
    <col min="15857" max="15857" width="16.42578125" style="143" customWidth="1"/>
    <col min="15858" max="15858" width="13.42578125" style="143" customWidth="1"/>
    <col min="15859" max="15859" width="10.28515625" style="143" customWidth="1"/>
    <col min="15860" max="15861" width="11.7109375" style="143" customWidth="1"/>
    <col min="15862" max="15862" width="28.5703125" style="143" customWidth="1"/>
    <col min="15863" max="15863" width="2.140625" style="143" customWidth="1"/>
    <col min="15864" max="15864" width="9.140625" style="143"/>
    <col min="15865" max="15865" width="8.5703125" style="143" customWidth="1"/>
    <col min="15866" max="16098" width="9.140625" style="143"/>
    <col min="16099" max="16099" width="29.42578125" style="143" customWidth="1"/>
    <col min="16100" max="16108" width="0" style="143" hidden="1" customWidth="1"/>
    <col min="16109" max="16111" width="8.85546875" style="143" customWidth="1"/>
    <col min="16112" max="16112" width="1.28515625" style="143" customWidth="1"/>
    <col min="16113" max="16113" width="16.42578125" style="143" customWidth="1"/>
    <col min="16114" max="16114" width="13.42578125" style="143" customWidth="1"/>
    <col min="16115" max="16115" width="10.28515625" style="143" customWidth="1"/>
    <col min="16116" max="16117" width="11.7109375" style="143" customWidth="1"/>
    <col min="16118" max="16118" width="28.5703125" style="143" customWidth="1"/>
    <col min="16119" max="16119" width="2.140625" style="143" customWidth="1"/>
    <col min="16120" max="16120" width="9.140625" style="143"/>
    <col min="16121" max="16121" width="8.5703125" style="143" customWidth="1"/>
    <col min="16122" max="16384" width="9.140625" style="143"/>
  </cols>
  <sheetData>
    <row r="2" spans="1:37" ht="17.45" customHeight="1">
      <c r="A2" s="1304" t="s">
        <v>1028</v>
      </c>
      <c r="B2" s="1304"/>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c r="AD2" s="1304"/>
      <c r="AE2" s="1304"/>
      <c r="AF2" s="1304"/>
      <c r="AG2" s="1304"/>
      <c r="AH2" s="1304"/>
      <c r="AI2" s="1304"/>
      <c r="AJ2" s="141"/>
      <c r="AK2" s="142"/>
    </row>
    <row r="3" spans="1:37" s="145" customFormat="1" ht="11.45" customHeight="1">
      <c r="A3" s="1305" t="s">
        <v>1022</v>
      </c>
      <c r="B3" s="1305"/>
      <c r="C3" s="1305"/>
      <c r="D3" s="1305"/>
      <c r="E3" s="1305"/>
      <c r="F3" s="1305"/>
      <c r="G3" s="1305"/>
      <c r="H3" s="1305"/>
      <c r="I3" s="1305"/>
      <c r="J3" s="1305"/>
      <c r="K3" s="1305"/>
      <c r="L3" s="1305"/>
      <c r="M3" s="1305"/>
      <c r="N3" s="1305"/>
      <c r="O3" s="1305"/>
      <c r="P3" s="1305"/>
      <c r="Q3" s="1305"/>
      <c r="R3" s="1305"/>
      <c r="S3" s="1305"/>
      <c r="T3" s="1305"/>
      <c r="U3" s="1305"/>
      <c r="V3" s="1305"/>
      <c r="W3" s="1305"/>
      <c r="X3" s="1305"/>
      <c r="Y3" s="1305"/>
      <c r="Z3" s="1305"/>
      <c r="AA3" s="1305"/>
      <c r="AB3" s="1305"/>
      <c r="AC3" s="1305"/>
      <c r="AD3" s="1305"/>
      <c r="AE3" s="1305"/>
      <c r="AF3" s="1305"/>
      <c r="AG3" s="1305"/>
      <c r="AH3" s="1305"/>
      <c r="AI3" s="1305"/>
      <c r="AJ3" s="144"/>
      <c r="AK3" s="144"/>
    </row>
    <row r="4" spans="1:37" ht="14.45" customHeight="1">
      <c r="A4" s="146"/>
      <c r="B4" s="146"/>
      <c r="C4" s="146"/>
      <c r="D4" s="146"/>
      <c r="E4" s="146"/>
      <c r="F4" s="146"/>
      <c r="G4" s="146"/>
      <c r="H4" s="146"/>
      <c r="I4" s="146"/>
      <c r="J4" s="146"/>
      <c r="K4" s="147"/>
      <c r="L4" s="787"/>
      <c r="M4" s="787"/>
      <c r="N4" s="787"/>
      <c r="O4" s="787"/>
      <c r="P4" s="787"/>
      <c r="Q4" s="787"/>
      <c r="R4" s="787"/>
      <c r="S4" s="787"/>
      <c r="T4" s="787"/>
      <c r="U4" s="787"/>
      <c r="V4" s="787"/>
      <c r="W4" s="787"/>
      <c r="X4" s="787"/>
      <c r="Y4" s="146"/>
      <c r="Z4" s="148"/>
      <c r="AA4" s="148"/>
      <c r="AB4" s="791"/>
      <c r="AC4" s="791"/>
      <c r="AD4" s="148"/>
      <c r="AE4" s="148"/>
      <c r="AF4" s="148"/>
      <c r="AG4" s="148"/>
      <c r="AH4" s="148"/>
      <c r="AI4" s="800"/>
      <c r="AJ4" s="144"/>
      <c r="AK4" s="144"/>
    </row>
    <row r="5" spans="1:37" ht="14.45" customHeight="1">
      <c r="A5" s="1337" t="s">
        <v>166</v>
      </c>
      <c r="B5" s="787"/>
      <c r="C5" s="787"/>
      <c r="D5" s="787"/>
      <c r="E5" s="787"/>
      <c r="F5" s="787"/>
      <c r="G5" s="1330" t="s">
        <v>999</v>
      </c>
      <c r="H5" s="1330"/>
      <c r="I5" s="1330"/>
      <c r="J5" s="1331"/>
      <c r="K5" s="1361" t="s">
        <v>991</v>
      </c>
      <c r="L5" s="1362"/>
      <c r="M5" s="1362"/>
      <c r="N5" s="1362"/>
      <c r="O5" s="1362"/>
      <c r="P5" s="1362"/>
      <c r="Q5" s="1362"/>
      <c r="R5" s="1362"/>
      <c r="S5" s="1362"/>
      <c r="T5" s="1362"/>
      <c r="U5" s="1362"/>
      <c r="V5" s="1362"/>
      <c r="W5" s="1362"/>
      <c r="X5" s="1362"/>
      <c r="Y5" s="1362"/>
      <c r="Z5" s="1362"/>
      <c r="AA5" s="1362"/>
      <c r="AB5" s="1362"/>
      <c r="AC5" s="1362"/>
      <c r="AD5" s="1362"/>
      <c r="AE5" s="1363"/>
      <c r="AF5" s="1356" t="s">
        <v>1181</v>
      </c>
      <c r="AG5" s="1356"/>
      <c r="AH5" s="1356"/>
      <c r="AI5" s="1348" t="s">
        <v>164</v>
      </c>
      <c r="AJ5" s="144"/>
      <c r="AK5" s="144"/>
    </row>
    <row r="6" spans="1:37" s="150" customFormat="1" ht="13.5" customHeight="1">
      <c r="A6" s="1338"/>
      <c r="B6" s="1306" t="s">
        <v>160</v>
      </c>
      <c r="C6" s="1306"/>
      <c r="D6" s="1306"/>
      <c r="E6" s="1307" t="s">
        <v>161</v>
      </c>
      <c r="F6" s="1310" t="s">
        <v>162</v>
      </c>
      <c r="G6" s="1340" t="s">
        <v>990</v>
      </c>
      <c r="H6" s="1340"/>
      <c r="I6" s="1340"/>
      <c r="J6" s="1341"/>
      <c r="K6" s="1313" t="s">
        <v>1003</v>
      </c>
      <c r="L6" s="1314"/>
      <c r="M6" s="1314"/>
      <c r="N6" s="1366" t="s">
        <v>1021</v>
      </c>
      <c r="O6" s="1351" t="s">
        <v>1015</v>
      </c>
      <c r="P6" s="1330" t="s">
        <v>998</v>
      </c>
      <c r="Q6" s="1330"/>
      <c r="R6" s="1330"/>
      <c r="S6" s="1330"/>
      <c r="T6" s="1330"/>
      <c r="U6" s="1330"/>
      <c r="V6" s="1330"/>
      <c r="W6" s="1330"/>
      <c r="X6" s="1331"/>
      <c r="Y6" s="760"/>
      <c r="Z6" s="1322" t="s">
        <v>988</v>
      </c>
      <c r="AA6" s="1322" t="s">
        <v>997</v>
      </c>
      <c r="AB6" s="1333" t="s">
        <v>996</v>
      </c>
      <c r="AC6" s="1333"/>
      <c r="AD6" s="1322" t="s">
        <v>983</v>
      </c>
      <c r="AE6" s="1351" t="s">
        <v>989</v>
      </c>
      <c r="AF6" s="1316"/>
      <c r="AG6" s="1316"/>
      <c r="AH6" s="1316"/>
      <c r="AI6" s="1349"/>
      <c r="AJ6" s="149"/>
      <c r="AK6" s="752"/>
    </row>
    <row r="7" spans="1:37" s="150" customFormat="1" ht="15.75" customHeight="1">
      <c r="A7" s="1338"/>
      <c r="B7" s="753"/>
      <c r="C7" s="753"/>
      <c r="D7" s="753"/>
      <c r="E7" s="1308"/>
      <c r="F7" s="1311"/>
      <c r="G7" s="1314" t="s">
        <v>1003</v>
      </c>
      <c r="H7" s="1314"/>
      <c r="I7" s="1314"/>
      <c r="J7" s="1320" t="s">
        <v>967</v>
      </c>
      <c r="K7" s="1318" t="s">
        <v>992</v>
      </c>
      <c r="L7" s="1319"/>
      <c r="M7" s="1319"/>
      <c r="N7" s="1367"/>
      <c r="O7" s="1352"/>
      <c r="P7" s="1319"/>
      <c r="Q7" s="1319"/>
      <c r="R7" s="1319"/>
      <c r="S7" s="1319"/>
      <c r="T7" s="1319"/>
      <c r="U7" s="1319"/>
      <c r="V7" s="1319"/>
      <c r="W7" s="1319"/>
      <c r="X7" s="1332"/>
      <c r="Y7" s="820"/>
      <c r="Z7" s="1323"/>
      <c r="AA7" s="1321"/>
      <c r="AB7" s="1334"/>
      <c r="AC7" s="1334"/>
      <c r="AD7" s="1321"/>
      <c r="AE7" s="1352"/>
      <c r="AF7" s="1315" t="s">
        <v>165</v>
      </c>
      <c r="AG7" s="1316"/>
      <c r="AH7" s="1316"/>
      <c r="AI7" s="1349"/>
      <c r="AJ7" s="149"/>
      <c r="AK7" s="752"/>
    </row>
    <row r="8" spans="1:37" s="150" customFormat="1" ht="34.5" customHeight="1">
      <c r="A8" s="1338"/>
      <c r="B8" s="1317" t="s">
        <v>966</v>
      </c>
      <c r="C8" s="1317"/>
      <c r="D8" s="1317"/>
      <c r="E8" s="1309"/>
      <c r="F8" s="1312"/>
      <c r="G8" s="1344" t="s">
        <v>992</v>
      </c>
      <c r="H8" s="1345"/>
      <c r="I8" s="1345"/>
      <c r="J8" s="1321"/>
      <c r="K8" s="1324" t="s">
        <v>993</v>
      </c>
      <c r="L8" s="1325"/>
      <c r="M8" s="1325"/>
      <c r="N8" s="1368"/>
      <c r="O8" s="1353"/>
      <c r="P8" s="1325" t="s">
        <v>985</v>
      </c>
      <c r="Q8" s="1325"/>
      <c r="R8" s="1325"/>
      <c r="S8" s="1326" t="s">
        <v>986</v>
      </c>
      <c r="T8" s="1327"/>
      <c r="U8" s="1328"/>
      <c r="V8" s="1325" t="s">
        <v>987</v>
      </c>
      <c r="W8" s="1325"/>
      <c r="X8" s="1329"/>
      <c r="Z8" s="761" t="s">
        <v>984</v>
      </c>
      <c r="AA8" s="1321"/>
      <c r="AB8" s="799" t="s">
        <v>995</v>
      </c>
      <c r="AC8" s="799" t="s">
        <v>994</v>
      </c>
      <c r="AD8" s="1323"/>
      <c r="AE8" s="1353"/>
      <c r="AF8" s="1346" t="s">
        <v>964</v>
      </c>
      <c r="AG8" s="1347"/>
      <c r="AH8" s="1347"/>
      <c r="AI8" s="1349"/>
      <c r="AJ8" s="752"/>
      <c r="AK8" s="149"/>
    </row>
    <row r="9" spans="1:37" s="150" customFormat="1" ht="35.25" customHeight="1">
      <c r="A9" s="1338"/>
      <c r="B9" s="754" t="s">
        <v>13</v>
      </c>
      <c r="C9" s="754" t="s">
        <v>14</v>
      </c>
      <c r="D9" s="754" t="s">
        <v>15</v>
      </c>
      <c r="E9" s="1335" t="s">
        <v>167</v>
      </c>
      <c r="F9" s="1335" t="s">
        <v>168</v>
      </c>
      <c r="G9" s="786" t="s">
        <v>13</v>
      </c>
      <c r="H9" s="786" t="s">
        <v>14</v>
      </c>
      <c r="I9" s="786" t="s">
        <v>15</v>
      </c>
      <c r="J9" s="1342" t="s">
        <v>163</v>
      </c>
      <c r="K9" s="763" t="s">
        <v>13</v>
      </c>
      <c r="L9" s="762" t="s">
        <v>14</v>
      </c>
      <c r="M9" s="762" t="s">
        <v>15</v>
      </c>
      <c r="N9" s="1369" t="s">
        <v>1020</v>
      </c>
      <c r="O9" s="1342" t="s">
        <v>1016</v>
      </c>
      <c r="P9" s="762" t="s">
        <v>13</v>
      </c>
      <c r="Q9" s="762" t="s">
        <v>14</v>
      </c>
      <c r="R9" s="762" t="s">
        <v>15</v>
      </c>
      <c r="S9" s="763" t="s">
        <v>13</v>
      </c>
      <c r="T9" s="762" t="s">
        <v>14</v>
      </c>
      <c r="U9" s="764" t="s">
        <v>15</v>
      </c>
      <c r="V9" s="762" t="s">
        <v>13</v>
      </c>
      <c r="W9" s="762" t="s">
        <v>14</v>
      </c>
      <c r="X9" s="764" t="s">
        <v>15</v>
      </c>
      <c r="Z9" s="761"/>
      <c r="AA9" s="1354" t="s">
        <v>1002</v>
      </c>
      <c r="AB9" s="1364" t="s">
        <v>1000</v>
      </c>
      <c r="AC9" s="1364" t="s">
        <v>1001</v>
      </c>
      <c r="AD9" s="1357" t="s">
        <v>1004</v>
      </c>
      <c r="AE9" s="1359" t="s">
        <v>1005</v>
      </c>
      <c r="AF9" s="763" t="s">
        <v>13</v>
      </c>
      <c r="AG9" s="762" t="s">
        <v>14</v>
      </c>
      <c r="AH9" s="762" t="s">
        <v>15</v>
      </c>
      <c r="AI9" s="1349"/>
      <c r="AJ9" s="149"/>
      <c r="AK9" s="752"/>
    </row>
    <row r="10" spans="1:37" s="150" customFormat="1" ht="27" customHeight="1">
      <c r="A10" s="1339"/>
      <c r="B10" s="154" t="s">
        <v>21</v>
      </c>
      <c r="C10" s="154" t="s">
        <v>22</v>
      </c>
      <c r="D10" s="154" t="s">
        <v>23</v>
      </c>
      <c r="E10" s="1336"/>
      <c r="F10" s="1336"/>
      <c r="G10" s="154" t="s">
        <v>21</v>
      </c>
      <c r="H10" s="154" t="s">
        <v>22</v>
      </c>
      <c r="I10" s="154" t="s">
        <v>23</v>
      </c>
      <c r="J10" s="1343"/>
      <c r="K10" s="765" t="s">
        <v>21</v>
      </c>
      <c r="L10" s="155" t="s">
        <v>22</v>
      </c>
      <c r="M10" s="155" t="s">
        <v>23</v>
      </c>
      <c r="N10" s="1370"/>
      <c r="O10" s="1343"/>
      <c r="P10" s="155" t="s">
        <v>21</v>
      </c>
      <c r="Q10" s="155" t="s">
        <v>22</v>
      </c>
      <c r="R10" s="155" t="s">
        <v>23</v>
      </c>
      <c r="S10" s="765" t="s">
        <v>21</v>
      </c>
      <c r="T10" s="155" t="s">
        <v>22</v>
      </c>
      <c r="U10" s="766" t="s">
        <v>23</v>
      </c>
      <c r="V10" s="155" t="s">
        <v>21</v>
      </c>
      <c r="W10" s="155" t="s">
        <v>22</v>
      </c>
      <c r="X10" s="766" t="s">
        <v>23</v>
      </c>
      <c r="Y10" s="153"/>
      <c r="Z10" s="798"/>
      <c r="AA10" s="1355"/>
      <c r="AB10" s="1365"/>
      <c r="AC10" s="1365"/>
      <c r="AD10" s="1358"/>
      <c r="AE10" s="1360"/>
      <c r="AF10" s="156" t="s">
        <v>21</v>
      </c>
      <c r="AG10" s="157" t="s">
        <v>22</v>
      </c>
      <c r="AH10" s="157" t="s">
        <v>23</v>
      </c>
      <c r="AI10" s="1350"/>
      <c r="AJ10" s="149"/>
      <c r="AK10" s="752"/>
    </row>
    <row r="11" spans="1:37" s="150" customFormat="1" ht="15">
      <c r="B11" s="158"/>
      <c r="C11" s="158"/>
      <c r="D11" s="158"/>
      <c r="E11" s="158"/>
      <c r="F11" s="159"/>
      <c r="G11" s="158"/>
      <c r="H11" s="158"/>
      <c r="I11" s="158"/>
      <c r="J11" s="160"/>
      <c r="K11" s="767"/>
      <c r="L11" s="158"/>
      <c r="M11" s="158"/>
      <c r="N11" s="158"/>
      <c r="O11" s="813"/>
      <c r="P11" s="158"/>
      <c r="Q11" s="158"/>
      <c r="R11" s="158"/>
      <c r="S11" s="797"/>
      <c r="T11" s="158"/>
      <c r="U11" s="768"/>
      <c r="V11" s="158"/>
      <c r="W11" s="158"/>
      <c r="X11" s="768"/>
      <c r="Y11" s="158"/>
      <c r="Z11" s="162"/>
      <c r="AA11" s="162"/>
      <c r="AB11" s="792"/>
      <c r="AC11" s="792"/>
      <c r="AD11" s="162"/>
      <c r="AE11" s="162"/>
      <c r="AF11" s="161"/>
      <c r="AG11" s="162"/>
      <c r="AH11" s="162"/>
      <c r="AI11" s="801"/>
      <c r="AJ11" s="149"/>
      <c r="AK11" s="752"/>
    </row>
    <row r="12" spans="1:37" s="167" customFormat="1" ht="15" customHeight="1">
      <c r="A12" s="151" t="s">
        <v>169</v>
      </c>
      <c r="B12" s="163">
        <f>SUM(C12:D12)</f>
        <v>270101</v>
      </c>
      <c r="C12" s="163">
        <f>SUM(C14,C24)</f>
        <v>137200</v>
      </c>
      <c r="D12" s="163">
        <f>SUM(D14,D24)</f>
        <v>132901</v>
      </c>
      <c r="E12" s="163">
        <f>SUM(E14,E24)</f>
        <v>41051</v>
      </c>
      <c r="F12" s="164">
        <v>6.601999413375049</v>
      </c>
      <c r="G12" s="163">
        <f>SUM(H12:I12)</f>
        <v>298968</v>
      </c>
      <c r="H12" s="163">
        <f>SUM(H14,H24)</f>
        <v>151459</v>
      </c>
      <c r="I12" s="163">
        <f>SUM(I14,I24)</f>
        <v>147509</v>
      </c>
      <c r="J12" s="165">
        <f>LN(G12/B12)/6.02*100</f>
        <v>1.6867206167394615</v>
      </c>
      <c r="K12" s="166">
        <f>SUM(L12:M12)</f>
        <v>344023</v>
      </c>
      <c r="L12" s="163">
        <f>SUM(L14,L24)</f>
        <v>174666</v>
      </c>
      <c r="M12" s="163">
        <f>SUM(M14,M24)</f>
        <v>169357</v>
      </c>
      <c r="N12" s="827">
        <f>L12/M12*100</f>
        <v>103.13479808924345</v>
      </c>
      <c r="O12" s="814">
        <f>LN(K12/G12)/8.5*100</f>
        <v>1.6514349570770839</v>
      </c>
      <c r="P12" s="163">
        <f>SUM(Q12:R12)</f>
        <v>402071</v>
      </c>
      <c r="Q12" s="163">
        <f>SUM(Q14,Q24)</f>
        <v>227749</v>
      </c>
      <c r="R12" s="163">
        <f>SUM(R14,R24)</f>
        <v>174322</v>
      </c>
      <c r="S12" s="166">
        <f>SUM(T12:U12)</f>
        <v>338434</v>
      </c>
      <c r="T12" s="163">
        <f>SUM(T14,T24)</f>
        <v>171962</v>
      </c>
      <c r="U12" s="769">
        <f>SUM(U14,U24)</f>
        <v>166472</v>
      </c>
      <c r="V12" s="163">
        <f>SUM(W12:X12)</f>
        <v>63637</v>
      </c>
      <c r="W12" s="163">
        <f>SUM(W14,W24)</f>
        <v>55787</v>
      </c>
      <c r="X12" s="769">
        <f>SUM(X14,X24)</f>
        <v>7850</v>
      </c>
      <c r="Y12" s="163"/>
      <c r="Z12" s="770" t="s">
        <v>187</v>
      </c>
      <c r="AA12" s="770" t="s">
        <v>187</v>
      </c>
      <c r="AB12" s="788" t="s">
        <v>187</v>
      </c>
      <c r="AC12" s="788" t="s">
        <v>187</v>
      </c>
      <c r="AD12" s="163">
        <f>AD14+AD24</f>
        <v>68249</v>
      </c>
      <c r="AE12" s="771">
        <f>P12/AD12</f>
        <v>5.8912365016337231</v>
      </c>
      <c r="AF12" s="166">
        <f>SUM(AG12:AH12)</f>
        <v>397372</v>
      </c>
      <c r="AG12" s="163">
        <f>AG14+AG24</f>
        <v>203741</v>
      </c>
      <c r="AH12" s="163">
        <f>AH14+AH24</f>
        <v>193631</v>
      </c>
      <c r="AI12" s="762" t="s">
        <v>170</v>
      </c>
      <c r="AJ12" s="149"/>
      <c r="AK12" s="759"/>
    </row>
    <row r="13" spans="1:37" s="150" customFormat="1" ht="5.25" customHeight="1">
      <c r="A13" s="151"/>
      <c r="B13" s="163"/>
      <c r="C13" s="163"/>
      <c r="D13" s="163"/>
      <c r="E13" s="163"/>
      <c r="F13" s="164"/>
      <c r="G13" s="163"/>
      <c r="H13" s="163"/>
      <c r="I13" s="163"/>
      <c r="J13" s="168"/>
      <c r="K13" s="166"/>
      <c r="L13" s="163"/>
      <c r="M13" s="163"/>
      <c r="N13" s="827"/>
      <c r="O13" s="814"/>
      <c r="P13" s="163"/>
      <c r="Q13" s="163"/>
      <c r="R13" s="163"/>
      <c r="S13" s="166"/>
      <c r="T13" s="163"/>
      <c r="U13" s="769"/>
      <c r="V13" s="163"/>
      <c r="W13" s="163"/>
      <c r="X13" s="769"/>
      <c r="Y13" s="163"/>
      <c r="Z13" s="770"/>
      <c r="AA13" s="770"/>
      <c r="AB13" s="788"/>
      <c r="AC13" s="788"/>
      <c r="AD13" s="163"/>
      <c r="AE13" s="771"/>
      <c r="AF13" s="166"/>
      <c r="AG13" s="165"/>
      <c r="AH13" s="165"/>
      <c r="AI13" s="762"/>
      <c r="AJ13" s="149"/>
      <c r="AK13" s="752"/>
    </row>
    <row r="14" spans="1:37" s="167" customFormat="1" ht="15">
      <c r="A14" s="169" t="s">
        <v>171</v>
      </c>
      <c r="B14" s="163">
        <v>74069</v>
      </c>
      <c r="C14" s="163">
        <v>38559</v>
      </c>
      <c r="D14" s="163">
        <v>35510</v>
      </c>
      <c r="E14" s="163">
        <v>9700</v>
      </c>
      <c r="F14" s="164">
        <v>7.635979381443299</v>
      </c>
      <c r="G14" s="163">
        <f t="shared" ref="G14:G20" si="0">SUM(H14:I14)</f>
        <v>103693</v>
      </c>
      <c r="H14" s="163">
        <f>SUM(H15:H22)</f>
        <v>51992</v>
      </c>
      <c r="I14" s="163">
        <f>SUM(I15:I22)</f>
        <v>51701</v>
      </c>
      <c r="J14" s="168">
        <f>LN(G14/B14)/6.02*100</f>
        <v>5.58866311220548</v>
      </c>
      <c r="K14" s="166">
        <v>133412</v>
      </c>
      <c r="L14" s="163">
        <f>SUM(L15:L22)</f>
        <v>66328</v>
      </c>
      <c r="M14" s="163">
        <f>SUM(M15:M22)</f>
        <v>67084</v>
      </c>
      <c r="N14" s="827">
        <f t="shared" ref="N14:N76" si="1">L14/M14*100</f>
        <v>98.873054677717491</v>
      </c>
      <c r="O14" s="814">
        <f t="shared" ref="O14:O20" si="2">LN(K14/G14)/8.5*100</f>
        <v>2.9647938107295366</v>
      </c>
      <c r="P14" s="163">
        <f>SUM(Q14:R14)</f>
        <v>153904</v>
      </c>
      <c r="Q14" s="163">
        <f>SUM(Q15:Q22)</f>
        <v>85438</v>
      </c>
      <c r="R14" s="163">
        <f>SUM(R15:R22)</f>
        <v>68466</v>
      </c>
      <c r="S14" s="166">
        <v>133412</v>
      </c>
      <c r="T14" s="163">
        <f>SUM(T15:T22)</f>
        <v>64443</v>
      </c>
      <c r="U14" s="769">
        <f>SUM(U15:U22)</f>
        <v>64938</v>
      </c>
      <c r="V14" s="163">
        <f>SUM(W14:X14)</f>
        <v>24523</v>
      </c>
      <c r="W14" s="163">
        <f>SUM(W15:W22)</f>
        <v>20995</v>
      </c>
      <c r="X14" s="769">
        <f>SUM(X15:X22)</f>
        <v>3528</v>
      </c>
      <c r="Y14" s="163"/>
      <c r="Z14" s="770" t="s">
        <v>187</v>
      </c>
      <c r="AA14" s="770" t="s">
        <v>187</v>
      </c>
      <c r="AB14" s="788" t="s">
        <v>187</v>
      </c>
      <c r="AC14" s="788" t="s">
        <v>187</v>
      </c>
      <c r="AD14" s="163">
        <f>SUM(AD15:AD22)</f>
        <v>26739</v>
      </c>
      <c r="AE14" s="771">
        <f t="shared" ref="AE14:AE20" si="3">P14/AD14</f>
        <v>5.755787426605333</v>
      </c>
      <c r="AF14" s="166">
        <f>SUM(AG14:AH14)</f>
        <v>75875</v>
      </c>
      <c r="AG14" s="170">
        <f>SUM(AG15:AG22)</f>
        <v>38912</v>
      </c>
      <c r="AH14" s="170">
        <f>SUM(AH15:AH22)</f>
        <v>36963</v>
      </c>
      <c r="AI14" s="762" t="s">
        <v>172</v>
      </c>
      <c r="AJ14" s="149"/>
      <c r="AK14" s="752"/>
    </row>
    <row r="15" spans="1:37" s="177" customFormat="1" ht="14.25" customHeight="1">
      <c r="A15" s="171" t="s">
        <v>173</v>
      </c>
      <c r="B15" s="163"/>
      <c r="C15" s="163"/>
      <c r="D15" s="163"/>
      <c r="E15" s="163"/>
      <c r="F15" s="164"/>
      <c r="G15" s="163">
        <f t="shared" si="0"/>
        <v>23597</v>
      </c>
      <c r="H15" s="172">
        <v>11648</v>
      </c>
      <c r="I15" s="172">
        <v>11949</v>
      </c>
      <c r="J15" s="884">
        <v>4.4054426417850001</v>
      </c>
      <c r="K15" s="173">
        <f t="shared" ref="K15:K20" si="4">SUM(L15:M15)</f>
        <v>27254</v>
      </c>
      <c r="L15" s="173">
        <v>13447</v>
      </c>
      <c r="M15" s="173">
        <v>13807</v>
      </c>
      <c r="N15" s="828">
        <f t="shared" si="1"/>
        <v>97.392626928369666</v>
      </c>
      <c r="O15" s="205">
        <f t="shared" si="2"/>
        <v>1.6950672237693192</v>
      </c>
      <c r="P15" s="173">
        <f t="shared" ref="P15:P22" si="5">SUM(Q15:R15)</f>
        <v>31391</v>
      </c>
      <c r="Q15" s="173">
        <f t="shared" ref="Q15:R20" si="6">T15+W15</f>
        <v>17133</v>
      </c>
      <c r="R15" s="173">
        <f t="shared" si="6"/>
        <v>14258</v>
      </c>
      <c r="S15" s="174">
        <f t="shared" ref="S15:S20" si="7">T15+U15</f>
        <v>26357</v>
      </c>
      <c r="T15" s="173">
        <v>13032</v>
      </c>
      <c r="U15" s="772">
        <v>13325</v>
      </c>
      <c r="V15" s="173">
        <f>SUM(W15:X15)</f>
        <v>5034</v>
      </c>
      <c r="W15" s="173">
        <v>4101</v>
      </c>
      <c r="X15" s="772">
        <v>933</v>
      </c>
      <c r="Y15" s="173"/>
      <c r="Z15" s="770" t="s">
        <v>187</v>
      </c>
      <c r="AA15" s="770" t="s">
        <v>187</v>
      </c>
      <c r="AB15" s="788" t="s">
        <v>187</v>
      </c>
      <c r="AC15" s="788" t="s">
        <v>187</v>
      </c>
      <c r="AD15" s="173">
        <v>5697</v>
      </c>
      <c r="AE15" s="773">
        <f t="shared" si="3"/>
        <v>5.5100930314200456</v>
      </c>
      <c r="AF15" s="174">
        <f t="shared" ref="AF15:AF19" si="8">SUM(AG15:AH15)</f>
        <v>15392</v>
      </c>
      <c r="AG15" s="1200">
        <v>7720</v>
      </c>
      <c r="AH15" s="1200">
        <v>7672</v>
      </c>
      <c r="AI15" s="802" t="s">
        <v>174</v>
      </c>
      <c r="AJ15" s="149"/>
      <c r="AK15" s="752"/>
    </row>
    <row r="16" spans="1:37" s="177" customFormat="1" ht="14.25" customHeight="1">
      <c r="A16" s="171" t="s">
        <v>175</v>
      </c>
      <c r="B16" s="163"/>
      <c r="C16" s="163"/>
      <c r="D16" s="163"/>
      <c r="E16" s="163"/>
      <c r="F16" s="164"/>
      <c r="G16" s="163">
        <f t="shared" si="0"/>
        <v>19414</v>
      </c>
      <c r="H16" s="172">
        <v>9578</v>
      </c>
      <c r="I16" s="172">
        <v>9836</v>
      </c>
      <c r="J16" s="884">
        <v>5.5762392493800235</v>
      </c>
      <c r="K16" s="173">
        <f t="shared" si="4"/>
        <v>23062</v>
      </c>
      <c r="L16" s="173">
        <v>11307</v>
      </c>
      <c r="M16" s="173">
        <v>11755</v>
      </c>
      <c r="N16" s="828">
        <f t="shared" si="1"/>
        <v>96.188855806039982</v>
      </c>
      <c r="O16" s="205">
        <f t="shared" si="2"/>
        <v>2.0257857183398822</v>
      </c>
      <c r="P16" s="173">
        <f t="shared" si="5"/>
        <v>25788</v>
      </c>
      <c r="Q16" s="173">
        <f t="shared" si="6"/>
        <v>13925</v>
      </c>
      <c r="R16" s="173">
        <f t="shared" si="6"/>
        <v>11863</v>
      </c>
      <c r="S16" s="174">
        <f t="shared" si="7"/>
        <v>22165</v>
      </c>
      <c r="T16" s="173">
        <v>10889</v>
      </c>
      <c r="U16" s="772">
        <v>11276</v>
      </c>
      <c r="V16" s="173">
        <f t="shared" ref="V16:V20" si="9">SUM(W16:X16)</f>
        <v>3623</v>
      </c>
      <c r="W16" s="173">
        <v>3036</v>
      </c>
      <c r="X16" s="772">
        <v>587</v>
      </c>
      <c r="Y16" s="173"/>
      <c r="Z16" s="770" t="s">
        <v>187</v>
      </c>
      <c r="AA16" s="770" t="s">
        <v>187</v>
      </c>
      <c r="AB16" s="788" t="s">
        <v>187</v>
      </c>
      <c r="AC16" s="788" t="s">
        <v>187</v>
      </c>
      <c r="AD16" s="173">
        <v>4505</v>
      </c>
      <c r="AE16" s="773">
        <f t="shared" si="3"/>
        <v>5.7243063263041067</v>
      </c>
      <c r="AF16" s="174">
        <f t="shared" si="8"/>
        <v>11194</v>
      </c>
      <c r="AG16" s="1200">
        <v>5710</v>
      </c>
      <c r="AH16" s="1200">
        <v>5484</v>
      </c>
      <c r="AI16" s="802" t="s">
        <v>176</v>
      </c>
      <c r="AJ16" s="149"/>
      <c r="AK16" s="752"/>
    </row>
    <row r="17" spans="1:37" s="177" customFormat="1" ht="14.25" customHeight="1">
      <c r="A17" s="171" t="s">
        <v>177</v>
      </c>
      <c r="B17" s="163"/>
      <c r="C17" s="163"/>
      <c r="D17" s="163"/>
      <c r="E17" s="163"/>
      <c r="F17" s="164"/>
      <c r="G17" s="163">
        <f t="shared" si="0"/>
        <v>19580</v>
      </c>
      <c r="H17" s="172">
        <v>9544</v>
      </c>
      <c r="I17" s="172">
        <v>10036</v>
      </c>
      <c r="J17" s="884">
        <v>6.0672424445847835</v>
      </c>
      <c r="K17" s="173">
        <f t="shared" si="4"/>
        <v>22745</v>
      </c>
      <c r="L17" s="173">
        <v>11099</v>
      </c>
      <c r="M17" s="173">
        <v>11646</v>
      </c>
      <c r="N17" s="828">
        <f t="shared" si="1"/>
        <v>95.303108363386571</v>
      </c>
      <c r="O17" s="205">
        <f t="shared" si="2"/>
        <v>1.7627847519953304</v>
      </c>
      <c r="P17" s="173">
        <f t="shared" si="5"/>
        <v>26002</v>
      </c>
      <c r="Q17" s="173">
        <f t="shared" si="6"/>
        <v>14240</v>
      </c>
      <c r="R17" s="173">
        <f t="shared" si="6"/>
        <v>11762</v>
      </c>
      <c r="S17" s="174">
        <f t="shared" si="7"/>
        <v>22022</v>
      </c>
      <c r="T17" s="173">
        <v>10760</v>
      </c>
      <c r="U17" s="772">
        <v>11262</v>
      </c>
      <c r="V17" s="173">
        <f t="shared" si="9"/>
        <v>3980</v>
      </c>
      <c r="W17" s="173">
        <v>3480</v>
      </c>
      <c r="X17" s="772">
        <v>500</v>
      </c>
      <c r="Y17" s="173"/>
      <c r="Z17" s="770" t="s">
        <v>187</v>
      </c>
      <c r="AA17" s="770" t="s">
        <v>187</v>
      </c>
      <c r="AB17" s="788" t="s">
        <v>187</v>
      </c>
      <c r="AC17" s="788" t="s">
        <v>187</v>
      </c>
      <c r="AD17" s="173">
        <v>4423</v>
      </c>
      <c r="AE17" s="773">
        <f t="shared" si="3"/>
        <v>5.878815283744065</v>
      </c>
      <c r="AF17" s="174">
        <f t="shared" si="8"/>
        <v>11786</v>
      </c>
      <c r="AG17" s="1200">
        <v>5895</v>
      </c>
      <c r="AH17" s="1200">
        <v>5891</v>
      </c>
      <c r="AI17" s="802" t="s">
        <v>178</v>
      </c>
      <c r="AJ17" s="178"/>
      <c r="AK17" s="752"/>
    </row>
    <row r="18" spans="1:37" s="177" customFormat="1" ht="14.25" customHeight="1">
      <c r="A18" s="171" t="s">
        <v>179</v>
      </c>
      <c r="B18" s="163"/>
      <c r="C18" s="163"/>
      <c r="D18" s="163"/>
      <c r="E18" s="163"/>
      <c r="F18" s="164"/>
      <c r="G18" s="163">
        <f t="shared" si="0"/>
        <v>29964</v>
      </c>
      <c r="H18" s="172">
        <v>14833</v>
      </c>
      <c r="I18" s="172">
        <v>15131</v>
      </c>
      <c r="J18" s="884">
        <v>4.8535960818321433</v>
      </c>
      <c r="K18" s="173">
        <f t="shared" si="4"/>
        <v>36437</v>
      </c>
      <c r="L18" s="173">
        <v>17869</v>
      </c>
      <c r="M18" s="173">
        <v>18568</v>
      </c>
      <c r="N18" s="828">
        <f t="shared" si="1"/>
        <v>96.235458853942262</v>
      </c>
      <c r="O18" s="205">
        <f t="shared" si="2"/>
        <v>2.3010362447528925</v>
      </c>
      <c r="P18" s="173">
        <f t="shared" si="5"/>
        <v>42788</v>
      </c>
      <c r="Q18" s="173">
        <f t="shared" si="6"/>
        <v>23721</v>
      </c>
      <c r="R18" s="173">
        <f t="shared" si="6"/>
        <v>19067</v>
      </c>
      <c r="S18" s="174">
        <f t="shared" si="7"/>
        <v>35292</v>
      </c>
      <c r="T18" s="173">
        <v>17328</v>
      </c>
      <c r="U18" s="772">
        <v>17964</v>
      </c>
      <c r="V18" s="173">
        <f t="shared" si="9"/>
        <v>7496</v>
      </c>
      <c r="W18" s="173">
        <v>6393</v>
      </c>
      <c r="X18" s="772">
        <v>1103</v>
      </c>
      <c r="Y18" s="173"/>
      <c r="Z18" s="770" t="s">
        <v>187</v>
      </c>
      <c r="AA18" s="770" t="s">
        <v>187</v>
      </c>
      <c r="AB18" s="788" t="s">
        <v>187</v>
      </c>
      <c r="AC18" s="788" t="s">
        <v>187</v>
      </c>
      <c r="AD18" s="173">
        <v>7307</v>
      </c>
      <c r="AE18" s="773">
        <f t="shared" si="3"/>
        <v>5.8557547557136989</v>
      </c>
      <c r="AF18" s="174">
        <f t="shared" si="8"/>
        <v>19989</v>
      </c>
      <c r="AG18" s="1200">
        <v>10209</v>
      </c>
      <c r="AH18" s="1200">
        <v>9780</v>
      </c>
      <c r="AI18" s="802" t="s">
        <v>180</v>
      </c>
      <c r="AJ18" s="149"/>
      <c r="AK18" s="752"/>
    </row>
    <row r="19" spans="1:37" s="177" customFormat="1" ht="14.25" customHeight="1">
      <c r="A19" s="171" t="s">
        <v>181</v>
      </c>
      <c r="B19" s="163"/>
      <c r="C19" s="163"/>
      <c r="D19" s="163"/>
      <c r="E19" s="163"/>
      <c r="F19" s="164"/>
      <c r="G19" s="163">
        <f t="shared" si="0"/>
        <v>6956</v>
      </c>
      <c r="H19" s="179">
        <v>3462</v>
      </c>
      <c r="I19" s="179">
        <v>3494</v>
      </c>
      <c r="J19" s="884">
        <v>8.0246642937317105</v>
      </c>
      <c r="K19" s="173">
        <f t="shared" si="4"/>
        <v>7516</v>
      </c>
      <c r="L19" s="173">
        <v>3681</v>
      </c>
      <c r="M19" s="173">
        <v>3835</v>
      </c>
      <c r="N19" s="828">
        <f t="shared" si="1"/>
        <v>95.984354628422437</v>
      </c>
      <c r="O19" s="205">
        <f t="shared" si="2"/>
        <v>0.91093511834332008</v>
      </c>
      <c r="P19" s="173">
        <f t="shared" si="5"/>
        <v>7988</v>
      </c>
      <c r="Q19" s="173">
        <f t="shared" si="6"/>
        <v>4115</v>
      </c>
      <c r="R19" s="173">
        <f t="shared" si="6"/>
        <v>3873</v>
      </c>
      <c r="S19" s="174">
        <f t="shared" si="7"/>
        <v>7382</v>
      </c>
      <c r="T19" s="173">
        <v>3613</v>
      </c>
      <c r="U19" s="772">
        <v>3769</v>
      </c>
      <c r="V19" s="173">
        <f t="shared" si="9"/>
        <v>606</v>
      </c>
      <c r="W19" s="173">
        <v>502</v>
      </c>
      <c r="X19" s="772">
        <v>104</v>
      </c>
      <c r="Y19" s="173"/>
      <c r="Z19" s="770" t="s">
        <v>187</v>
      </c>
      <c r="AA19" s="770" t="s">
        <v>187</v>
      </c>
      <c r="AB19" s="788" t="s">
        <v>187</v>
      </c>
      <c r="AC19" s="788" t="s">
        <v>187</v>
      </c>
      <c r="AD19" s="173">
        <v>1352</v>
      </c>
      <c r="AE19" s="773">
        <f t="shared" si="3"/>
        <v>5.9082840236686387</v>
      </c>
      <c r="AF19" s="174">
        <f t="shared" si="8"/>
        <v>3107</v>
      </c>
      <c r="AG19" s="1200">
        <v>1602</v>
      </c>
      <c r="AH19" s="1200">
        <v>1505</v>
      </c>
      <c r="AI19" s="802" t="s">
        <v>182</v>
      </c>
      <c r="AJ19" s="149"/>
      <c r="AK19" s="752"/>
    </row>
    <row r="20" spans="1:37" s="177" customFormat="1" ht="14.25" customHeight="1">
      <c r="A20" s="171" t="s">
        <v>183</v>
      </c>
      <c r="B20" s="163"/>
      <c r="C20" s="163"/>
      <c r="D20" s="163"/>
      <c r="E20" s="163"/>
      <c r="F20" s="164"/>
      <c r="G20" s="163">
        <f t="shared" si="0"/>
        <v>2866</v>
      </c>
      <c r="H20" s="172">
        <v>1620</v>
      </c>
      <c r="I20" s="172">
        <v>1246</v>
      </c>
      <c r="J20" s="885" t="s">
        <v>184</v>
      </c>
      <c r="K20" s="173">
        <f t="shared" si="4"/>
        <v>14843</v>
      </c>
      <c r="L20" s="173">
        <v>7372</v>
      </c>
      <c r="M20" s="173">
        <v>7471</v>
      </c>
      <c r="N20" s="828">
        <f t="shared" si="1"/>
        <v>98.674876187926657</v>
      </c>
      <c r="O20" s="205">
        <f t="shared" si="2"/>
        <v>19.348365226313501</v>
      </c>
      <c r="P20" s="173">
        <f t="shared" si="5"/>
        <v>17149</v>
      </c>
      <c r="Q20" s="173">
        <f t="shared" si="6"/>
        <v>9546</v>
      </c>
      <c r="R20" s="173">
        <f t="shared" si="6"/>
        <v>7603</v>
      </c>
      <c r="S20" s="174">
        <f t="shared" si="7"/>
        <v>14608</v>
      </c>
      <c r="T20" s="173">
        <v>7268</v>
      </c>
      <c r="U20" s="772">
        <v>7340</v>
      </c>
      <c r="V20" s="173">
        <f t="shared" si="9"/>
        <v>2541</v>
      </c>
      <c r="W20" s="173">
        <v>2278</v>
      </c>
      <c r="X20" s="772">
        <v>263</v>
      </c>
      <c r="Y20" s="173"/>
      <c r="Z20" s="770" t="s">
        <v>187</v>
      </c>
      <c r="AA20" s="770" t="s">
        <v>187</v>
      </c>
      <c r="AB20" s="788" t="s">
        <v>187</v>
      </c>
      <c r="AC20" s="788" t="s">
        <v>187</v>
      </c>
      <c r="AD20" s="173">
        <v>2869</v>
      </c>
      <c r="AE20" s="773">
        <f t="shared" si="3"/>
        <v>5.9773440223074239</v>
      </c>
      <c r="AF20" s="174">
        <f>SUM(AG20:AH20)</f>
        <v>5351</v>
      </c>
      <c r="AG20" s="1199">
        <v>2804</v>
      </c>
      <c r="AH20" s="1199">
        <v>2547</v>
      </c>
      <c r="AI20" s="802" t="s">
        <v>185</v>
      </c>
      <c r="AJ20" s="149"/>
      <c r="AK20" s="752"/>
    </row>
    <row r="21" spans="1:37" s="177" customFormat="1" ht="14.25" customHeight="1">
      <c r="A21" s="171" t="s">
        <v>186</v>
      </c>
      <c r="B21" s="163"/>
      <c r="C21" s="163"/>
      <c r="D21" s="163"/>
      <c r="E21" s="163"/>
      <c r="F21" s="164"/>
      <c r="G21" s="163" t="s">
        <v>187</v>
      </c>
      <c r="H21" s="163" t="s">
        <v>187</v>
      </c>
      <c r="I21" s="163" t="s">
        <v>187</v>
      </c>
      <c r="J21" s="886" t="s">
        <v>187</v>
      </c>
      <c r="K21" s="173" t="s">
        <v>187</v>
      </c>
      <c r="L21" s="173" t="s">
        <v>187</v>
      </c>
      <c r="M21" s="173" t="s">
        <v>187</v>
      </c>
      <c r="N21" s="828" t="s">
        <v>187</v>
      </c>
      <c r="O21" s="815" t="s">
        <v>187</v>
      </c>
      <c r="P21" s="173" t="s">
        <v>187</v>
      </c>
      <c r="Q21" s="173" t="s">
        <v>187</v>
      </c>
      <c r="R21" s="173" t="s">
        <v>187</v>
      </c>
      <c r="S21" s="174" t="s">
        <v>187</v>
      </c>
      <c r="T21" s="173" t="s">
        <v>187</v>
      </c>
      <c r="U21" s="772" t="s">
        <v>187</v>
      </c>
      <c r="V21" s="173" t="s">
        <v>187</v>
      </c>
      <c r="W21" s="173" t="s">
        <v>187</v>
      </c>
      <c r="X21" s="772" t="s">
        <v>187</v>
      </c>
      <c r="Y21" s="173"/>
      <c r="Z21" s="774" t="s">
        <v>187</v>
      </c>
      <c r="AA21" s="774" t="s">
        <v>187</v>
      </c>
      <c r="AB21" s="789" t="s">
        <v>187</v>
      </c>
      <c r="AC21" s="789" t="s">
        <v>187</v>
      </c>
      <c r="AD21" s="173" t="s">
        <v>187</v>
      </c>
      <c r="AE21" s="173" t="s">
        <v>187</v>
      </c>
      <c r="AF21" s="174">
        <f>SUM(AG21:AH21)</f>
        <v>9056</v>
      </c>
      <c r="AG21" s="1200">
        <v>4972</v>
      </c>
      <c r="AH21" s="1200">
        <v>4084</v>
      </c>
      <c r="AI21" s="802" t="s">
        <v>188</v>
      </c>
      <c r="AJ21" s="149"/>
      <c r="AK21" s="752"/>
    </row>
    <row r="22" spans="1:37" s="167" customFormat="1" ht="19.5" customHeight="1">
      <c r="A22" s="180" t="s">
        <v>189</v>
      </c>
      <c r="B22" s="163"/>
      <c r="C22" s="163"/>
      <c r="D22" s="163"/>
      <c r="E22" s="163"/>
      <c r="F22" s="164"/>
      <c r="G22" s="163">
        <f>SUM(H22:I22)</f>
        <v>1316</v>
      </c>
      <c r="H22" s="163">
        <v>1307</v>
      </c>
      <c r="I22" s="170">
        <v>9</v>
      </c>
      <c r="J22" s="775" t="s">
        <v>184</v>
      </c>
      <c r="K22" s="166">
        <v>1555</v>
      </c>
      <c r="L22" s="163">
        <v>1553</v>
      </c>
      <c r="M22" s="163">
        <v>2</v>
      </c>
      <c r="N22" s="828" t="s">
        <v>187</v>
      </c>
      <c r="O22" s="815" t="s">
        <v>187</v>
      </c>
      <c r="P22" s="163">
        <f t="shared" si="5"/>
        <v>2798</v>
      </c>
      <c r="Q22" s="163">
        <v>2758</v>
      </c>
      <c r="R22" s="163">
        <v>40</v>
      </c>
      <c r="S22" s="166">
        <f>SUM(T22:U22)</f>
        <v>1555</v>
      </c>
      <c r="T22" s="163">
        <v>1553</v>
      </c>
      <c r="U22" s="769">
        <v>2</v>
      </c>
      <c r="V22" s="166">
        <f>SUM(W22:X22)</f>
        <v>1243</v>
      </c>
      <c r="W22" s="163">
        <v>1205</v>
      </c>
      <c r="X22" s="769">
        <v>38</v>
      </c>
      <c r="Y22" s="163"/>
      <c r="Z22" s="770" t="s">
        <v>187</v>
      </c>
      <c r="AA22" s="770" t="s">
        <v>187</v>
      </c>
      <c r="AB22" s="788" t="s">
        <v>187</v>
      </c>
      <c r="AC22" s="788" t="s">
        <v>187</v>
      </c>
      <c r="AD22" s="163">
        <v>586</v>
      </c>
      <c r="AE22" s="771">
        <f>P22/AD22</f>
        <v>4.774744027303754</v>
      </c>
      <c r="AF22" s="166" t="s">
        <v>187</v>
      </c>
      <c r="AG22" s="163" t="s">
        <v>187</v>
      </c>
      <c r="AH22" s="163" t="s">
        <v>187</v>
      </c>
      <c r="AI22" s="776" t="s">
        <v>190</v>
      </c>
      <c r="AJ22" s="149"/>
      <c r="AK22" s="752"/>
    </row>
    <row r="23" spans="1:37" s="167" customFormat="1" ht="14.25" customHeight="1">
      <c r="A23" s="169"/>
      <c r="B23" s="163"/>
      <c r="C23" s="163"/>
      <c r="D23" s="163"/>
      <c r="E23" s="163"/>
      <c r="F23" s="164"/>
      <c r="G23" s="163"/>
      <c r="H23" s="163"/>
      <c r="I23" s="163"/>
      <c r="J23" s="168"/>
      <c r="K23" s="166"/>
      <c r="L23" s="163"/>
      <c r="M23" s="163"/>
      <c r="N23" s="827"/>
      <c r="O23" s="814"/>
      <c r="P23" s="163"/>
      <c r="Q23" s="163"/>
      <c r="R23" s="163"/>
      <c r="S23" s="166"/>
      <c r="T23" s="163"/>
      <c r="U23" s="769"/>
      <c r="V23" s="163"/>
      <c r="W23" s="163"/>
      <c r="X23" s="769"/>
      <c r="Y23" s="163"/>
      <c r="Z23" s="770"/>
      <c r="AA23" s="770"/>
      <c r="AB23" s="788"/>
      <c r="AC23" s="788"/>
      <c r="AD23" s="163"/>
      <c r="AE23" s="771"/>
      <c r="AF23" s="174"/>
      <c r="AG23" s="175"/>
      <c r="AH23" s="175"/>
      <c r="AI23" s="762"/>
      <c r="AJ23" s="149"/>
      <c r="AK23" s="752"/>
    </row>
    <row r="24" spans="1:37" s="150" customFormat="1" ht="36.75" customHeight="1">
      <c r="A24" s="181" t="s">
        <v>191</v>
      </c>
      <c r="B24" s="163">
        <f>C24+D24</f>
        <v>196032</v>
      </c>
      <c r="C24" s="163">
        <f>SUM(C26:C27)</f>
        <v>98641</v>
      </c>
      <c r="D24" s="163">
        <f>SUM(D26:D27)</f>
        <v>97391</v>
      </c>
      <c r="E24" s="163">
        <f>SUM(E26:E27)</f>
        <v>31351</v>
      </c>
      <c r="F24" s="182"/>
      <c r="G24" s="163">
        <f>SUM(G26:G27)</f>
        <v>195275</v>
      </c>
      <c r="H24" s="163">
        <f>SUM(H26:H27)</f>
        <v>99467</v>
      </c>
      <c r="I24" s="163">
        <f>SUM(I26:I27)</f>
        <v>95808</v>
      </c>
      <c r="J24" s="168">
        <f>LN(G24/B24)/6.02*100</f>
        <v>-6.4270593254967548E-2</v>
      </c>
      <c r="K24" s="166">
        <f t="shared" ref="K24:X24" si="10">SUM(K26:K27)</f>
        <v>210611</v>
      </c>
      <c r="L24" s="163">
        <f>SUM(L26:L27)</f>
        <v>108338</v>
      </c>
      <c r="M24" s="163">
        <f t="shared" si="10"/>
        <v>102273</v>
      </c>
      <c r="N24" s="827">
        <f t="shared" si="1"/>
        <v>105.93020640833845</v>
      </c>
      <c r="O24" s="814">
        <f>LN(K24/G24)/8.5*100</f>
        <v>0.88945892421627926</v>
      </c>
      <c r="P24" s="163">
        <f t="shared" si="10"/>
        <v>248167</v>
      </c>
      <c r="Q24" s="163">
        <f t="shared" si="10"/>
        <v>142311</v>
      </c>
      <c r="R24" s="163">
        <f t="shared" si="10"/>
        <v>105856</v>
      </c>
      <c r="S24" s="166">
        <f t="shared" si="10"/>
        <v>209053</v>
      </c>
      <c r="T24" s="163">
        <f t="shared" si="10"/>
        <v>107519</v>
      </c>
      <c r="U24" s="769">
        <f t="shared" si="10"/>
        <v>101534</v>
      </c>
      <c r="V24" s="163">
        <f t="shared" si="10"/>
        <v>39114</v>
      </c>
      <c r="W24" s="163">
        <f t="shared" si="10"/>
        <v>34792</v>
      </c>
      <c r="X24" s="769">
        <f t="shared" si="10"/>
        <v>4322</v>
      </c>
      <c r="Y24" s="173"/>
      <c r="Z24" s="770" t="s">
        <v>187</v>
      </c>
      <c r="AA24" s="770" t="s">
        <v>187</v>
      </c>
      <c r="AB24" s="788" t="s">
        <v>187</v>
      </c>
      <c r="AC24" s="788" t="s">
        <v>187</v>
      </c>
      <c r="AD24" s="163">
        <f>SUM(AD26:AD27)</f>
        <v>41510</v>
      </c>
      <c r="AE24" s="771">
        <f>P24/AD24</f>
        <v>5.9784871115393878</v>
      </c>
      <c r="AF24" s="166">
        <f>SUM(AG24:AH24)</f>
        <v>321497</v>
      </c>
      <c r="AG24" s="170">
        <f>AG29+AG47+AG65+AG83+AG98+AG116+AG131+AG138+AG149+AG159+AG171+AG178+AG189+AG196+AG206+AG221+AG236+AG248+AG261+AG264</f>
        <v>164829</v>
      </c>
      <c r="AH24" s="170">
        <f>AH29+AH47+AH65+AH83+AH98+AH116+AH131+AH138+AH149+AH159+AH171+AH178+AH189+AH196+AH206+AH221+AH236+AH248+AH261+AH264</f>
        <v>156668</v>
      </c>
      <c r="AI24" s="183" t="s">
        <v>192</v>
      </c>
      <c r="AJ24" s="149"/>
      <c r="AK24" s="752"/>
    </row>
    <row r="25" spans="1:37" s="150" customFormat="1" ht="14.25" customHeight="1">
      <c r="A25" s="181"/>
      <c r="B25" s="163"/>
      <c r="C25" s="163"/>
      <c r="D25" s="163"/>
      <c r="E25" s="163"/>
      <c r="F25" s="182"/>
      <c r="G25" s="163"/>
      <c r="H25" s="163"/>
      <c r="I25" s="163"/>
      <c r="J25" s="168"/>
      <c r="K25" s="166"/>
      <c r="L25" s="163"/>
      <c r="M25" s="163"/>
      <c r="N25" s="827"/>
      <c r="O25" s="814"/>
      <c r="P25" s="163"/>
      <c r="Q25" s="163"/>
      <c r="R25" s="163"/>
      <c r="S25" s="166"/>
      <c r="T25" s="163"/>
      <c r="U25" s="769"/>
      <c r="V25" s="163"/>
      <c r="W25" s="163"/>
      <c r="X25" s="769"/>
      <c r="Y25" s="173"/>
      <c r="Z25" s="770"/>
      <c r="AA25" s="770"/>
      <c r="AB25" s="788"/>
      <c r="AC25" s="788"/>
      <c r="AD25" s="163"/>
      <c r="AE25" s="771"/>
      <c r="AF25" s="174"/>
      <c r="AG25" s="184"/>
      <c r="AH25" s="175"/>
      <c r="AI25" s="812"/>
      <c r="AJ25" s="149"/>
      <c r="AK25" s="752"/>
    </row>
    <row r="26" spans="1:37" s="176" customFormat="1" ht="14.45" customHeight="1">
      <c r="A26" s="186" t="s">
        <v>193</v>
      </c>
      <c r="B26" s="163">
        <f>SUM(C26:D26)</f>
        <v>188117</v>
      </c>
      <c r="C26" s="163">
        <f>SUM(C29,C47,C65,C83,C98,C116,C131,C138,C149,C159,C171,C178,C189,C196,C206,C221,C236,C248,C261,C264)</f>
        <v>90848</v>
      </c>
      <c r="D26" s="163">
        <f>SUM(D29,D47,D65,D83,D98,D116,D131,D138,D149,D159,D171,D178,D189,D196,D206,D221,D236,D248,D261,D264)</f>
        <v>97269</v>
      </c>
      <c r="E26" s="163">
        <v>31212</v>
      </c>
      <c r="F26" s="164">
        <v>6.2806612841214919</v>
      </c>
      <c r="G26" s="163">
        <f>SUM(H26:I26)</f>
        <v>184408</v>
      </c>
      <c r="H26" s="163">
        <f>SUM(H29,H47,H65,H83,H98,H116,H131,H138,H149,H159,H171,H178,H189,H196,H206,H221,H236,H248,H261,H264)</f>
        <v>88922</v>
      </c>
      <c r="I26" s="163">
        <f>SUM(I29,I47,I65,I83,I98,I116,I131,I138,I149,I159,I171,I178,I189,I196,I206,I221,I236,I248,I261,I264)</f>
        <v>95486</v>
      </c>
      <c r="J26" s="168">
        <f>LN(G26/B26)/6.02*100</f>
        <v>-0.33078763376429005</v>
      </c>
      <c r="K26" s="166">
        <f>SUM(L26:M26)</f>
        <v>197056</v>
      </c>
      <c r="L26" s="163">
        <f>SUM(L29,L47,L65,L83,L98,L116,L131,L138,L149,L159,L171,L178,L189,L196,L206,L221,L236,L248,L261,L264)</f>
        <v>95190</v>
      </c>
      <c r="M26" s="163">
        <f>SUM(M29,M47,M65,M83,M98,M116,M131,M138,M149,M159,M171,M178,M189,M196,M206,M221,M236,M248,M261,M264)</f>
        <v>101866</v>
      </c>
      <c r="N26" s="827">
        <f t="shared" si="1"/>
        <v>93.446292187776109</v>
      </c>
      <c r="O26" s="814">
        <f>LN(K26/G26)/8.5*100</f>
        <v>0.78043833144304486</v>
      </c>
      <c r="P26" s="163">
        <f>SUM(Q26:R26)</f>
        <v>211543</v>
      </c>
      <c r="Q26" s="163">
        <f>SUM(Q29,Q47,Q65,Q83,Q98,Q116,Q131,Q138,Q149,Q159,Q171,Q178,Q189,Q196,Q206,Q221,Q236,Q248,Q261,Q264)</f>
        <v>108274</v>
      </c>
      <c r="R26" s="163">
        <f>SUM(R29,R47,R65,R83,R98,R116,R131,R138,R149,R159,R171,R178,R189,R196,R206,R221,R236,R248,R261,R264)</f>
        <v>103269</v>
      </c>
      <c r="S26" s="166">
        <f>SUM(T26:U26)</f>
        <v>195539</v>
      </c>
      <c r="T26" s="163">
        <f>SUM(T29,T47,T65,T83,T98,T116,T131,T138,T149,T159,T171,T178,T189,T196,T206,T221,T236,T248,T261,T264)</f>
        <v>94399</v>
      </c>
      <c r="U26" s="769">
        <f>SUM(U29,U47,U65,U83,U98,U116,U131,U138,U149,U159,U171,U178,U189,U196,U206,U221,U236,U248,U261,U264)</f>
        <v>101140</v>
      </c>
      <c r="V26" s="163">
        <f>SUM(W26:X26)</f>
        <v>16004</v>
      </c>
      <c r="W26" s="163">
        <f>SUM(W29,W47,W65,W83,W98,W116,W131,W138,W149,W159,W171,W178,W189,W196,W206,W221,W236,W248,W261,W264)</f>
        <v>13875</v>
      </c>
      <c r="X26" s="769">
        <f>SUM(X29,X47,X65,X83,X98,X116,X131,X138,X149,X159,X171,X178,X189,X196,X206,X221,X236,X248,X261,X264)</f>
        <v>2129</v>
      </c>
      <c r="Y26" s="163"/>
      <c r="Z26" s="770" t="s">
        <v>187</v>
      </c>
      <c r="AA26" s="770" t="s">
        <v>187</v>
      </c>
      <c r="AB26" s="788" t="s">
        <v>187</v>
      </c>
      <c r="AC26" s="788" t="s">
        <v>187</v>
      </c>
      <c r="AD26" s="163">
        <v>40887</v>
      </c>
      <c r="AE26" s="771">
        <f>P26/AD26</f>
        <v>5.1738449874043093</v>
      </c>
      <c r="AF26" s="174" t="s">
        <v>187</v>
      </c>
      <c r="AG26" s="173" t="s">
        <v>187</v>
      </c>
      <c r="AH26" s="173" t="s">
        <v>187</v>
      </c>
      <c r="AI26" s="187" t="s">
        <v>194</v>
      </c>
      <c r="AJ26" s="149"/>
      <c r="AK26" s="752"/>
    </row>
    <row r="27" spans="1:37" s="176" customFormat="1" ht="14.45" customHeight="1">
      <c r="A27" s="186" t="s">
        <v>195</v>
      </c>
      <c r="B27" s="163">
        <v>7915</v>
      </c>
      <c r="C27" s="163">
        <v>7793</v>
      </c>
      <c r="D27" s="163">
        <v>122</v>
      </c>
      <c r="E27" s="163">
        <v>139</v>
      </c>
      <c r="F27" s="164"/>
      <c r="G27" s="163">
        <v>10867</v>
      </c>
      <c r="H27" s="163">
        <v>10545</v>
      </c>
      <c r="I27" s="163">
        <v>322</v>
      </c>
      <c r="J27" s="168">
        <v>5.2652986835172593</v>
      </c>
      <c r="K27" s="166">
        <v>13555</v>
      </c>
      <c r="L27" s="163">
        <v>13148</v>
      </c>
      <c r="M27" s="163">
        <v>407</v>
      </c>
      <c r="N27" s="828" t="s">
        <v>187</v>
      </c>
      <c r="O27" s="814">
        <f>LN(K27/G27)/8.5*100</f>
        <v>2.600291869057815</v>
      </c>
      <c r="P27" s="163">
        <f>S27+V27</f>
        <v>36624</v>
      </c>
      <c r="Q27" s="163">
        <f>T27+W27</f>
        <v>34037</v>
      </c>
      <c r="R27" s="163">
        <f>U27+X27</f>
        <v>2587</v>
      </c>
      <c r="S27" s="166">
        <v>13514</v>
      </c>
      <c r="T27" s="163">
        <v>13120</v>
      </c>
      <c r="U27" s="769">
        <v>394</v>
      </c>
      <c r="V27" s="163">
        <v>23110</v>
      </c>
      <c r="W27" s="163">
        <v>20917</v>
      </c>
      <c r="X27" s="769">
        <v>2193</v>
      </c>
      <c r="Y27" s="163"/>
      <c r="Z27" s="770" t="s">
        <v>187</v>
      </c>
      <c r="AA27" s="770" t="s">
        <v>187</v>
      </c>
      <c r="AB27" s="788" t="s">
        <v>187</v>
      </c>
      <c r="AC27" s="788" t="s">
        <v>187</v>
      </c>
      <c r="AD27" s="163">
        <v>623</v>
      </c>
      <c r="AE27" s="771">
        <f>P27/AD27</f>
        <v>58.786516853932582</v>
      </c>
      <c r="AF27" s="174" t="s">
        <v>187</v>
      </c>
      <c r="AG27" s="173" t="s">
        <v>187</v>
      </c>
      <c r="AH27" s="173" t="s">
        <v>187</v>
      </c>
      <c r="AI27" s="187" t="s">
        <v>196</v>
      </c>
      <c r="AJ27" s="149"/>
      <c r="AK27" s="752"/>
    </row>
    <row r="28" spans="1:37" s="150" customFormat="1" ht="14.45" customHeight="1">
      <c r="A28" s="188"/>
      <c r="B28" s="173"/>
      <c r="C28" s="173"/>
      <c r="D28" s="173"/>
      <c r="E28" s="173"/>
      <c r="F28" s="182"/>
      <c r="G28" s="173"/>
      <c r="H28" s="173"/>
      <c r="I28" s="173"/>
      <c r="J28" s="189"/>
      <c r="K28" s="174"/>
      <c r="L28" s="173"/>
      <c r="M28" s="173"/>
      <c r="N28" s="828"/>
      <c r="O28" s="814"/>
      <c r="P28" s="173"/>
      <c r="Q28" s="173"/>
      <c r="R28" s="173"/>
      <c r="S28" s="174"/>
      <c r="T28" s="173"/>
      <c r="U28" s="772"/>
      <c r="V28" s="173"/>
      <c r="W28" s="173"/>
      <c r="X28" s="772"/>
      <c r="Y28" s="173"/>
      <c r="Z28" s="770"/>
      <c r="AA28" s="770"/>
      <c r="AB28" s="788"/>
      <c r="AC28" s="788"/>
      <c r="AD28" s="173"/>
      <c r="AE28" s="773"/>
      <c r="AF28" s="174"/>
      <c r="AI28" s="803"/>
      <c r="AJ28" s="149"/>
      <c r="AK28" s="752"/>
    </row>
    <row r="29" spans="1:37" s="167" customFormat="1" ht="14.25">
      <c r="A29" s="190" t="s">
        <v>197</v>
      </c>
      <c r="B29" s="163">
        <f>SUM(C29:D29)</f>
        <v>14141</v>
      </c>
      <c r="C29" s="163">
        <f>SUM(C30:C45)</f>
        <v>6618</v>
      </c>
      <c r="D29" s="163">
        <f>SUM(D30:D45)</f>
        <v>7523</v>
      </c>
      <c r="E29" s="163">
        <f>SUM(E30:E45)</f>
        <v>2350</v>
      </c>
      <c r="F29" s="164">
        <v>6.0233943002977455</v>
      </c>
      <c r="G29" s="163">
        <f>SUM(G30:G45)</f>
        <v>13314</v>
      </c>
      <c r="H29" s="163">
        <f>SUM(H30:H45)</f>
        <v>6132</v>
      </c>
      <c r="I29" s="163">
        <f>SUM(I30:I45)</f>
        <v>7182</v>
      </c>
      <c r="J29" s="168">
        <f>LN(G29/B29)/6.02*100</f>
        <v>-1.0010343213808577</v>
      </c>
      <c r="K29" s="166">
        <f>SUM(L29:M29)</f>
        <v>13004</v>
      </c>
      <c r="L29" s="163">
        <f>SUM(L30:L45)</f>
        <v>5913</v>
      </c>
      <c r="M29" s="163">
        <f>SUM(M30:M45)</f>
        <v>7091</v>
      </c>
      <c r="N29" s="827">
        <f t="shared" si="1"/>
        <v>83.38739246932731</v>
      </c>
      <c r="O29" s="814">
        <f>LN(K29/G29)/8.5*100</f>
        <v>-0.27716600866885871</v>
      </c>
      <c r="P29" s="163">
        <f>SUM(Q29:R29)</f>
        <v>13672</v>
      </c>
      <c r="Q29" s="163">
        <f>SUM(Q30:Q45)</f>
        <v>6464</v>
      </c>
      <c r="R29" s="163">
        <f>SUM(R30:R45)</f>
        <v>7208</v>
      </c>
      <c r="S29" s="166">
        <f>SUM(T29:U29)</f>
        <v>12939</v>
      </c>
      <c r="T29" s="163">
        <f>SUM(T30:T45)</f>
        <v>5876</v>
      </c>
      <c r="U29" s="769">
        <f>SUM(U30:U45)</f>
        <v>7063</v>
      </c>
      <c r="V29" s="163">
        <f>SUM(W29:X29)</f>
        <v>733</v>
      </c>
      <c r="W29" s="163">
        <f>SUM(W30:W45)</f>
        <v>588</v>
      </c>
      <c r="X29" s="769">
        <f>SUM(X30:X45)</f>
        <v>145</v>
      </c>
      <c r="Y29" s="163"/>
      <c r="Z29" s="770" t="s">
        <v>187</v>
      </c>
      <c r="AA29" s="770" t="s">
        <v>187</v>
      </c>
      <c r="AB29" s="788" t="s">
        <v>187</v>
      </c>
      <c r="AC29" s="788" t="s">
        <v>187</v>
      </c>
      <c r="AD29" s="163">
        <f>SUM(AD30:AD45)</f>
        <v>2778</v>
      </c>
      <c r="AE29" s="771">
        <f>P29/AD29</f>
        <v>4.921526277897768</v>
      </c>
      <c r="AF29" s="166">
        <f>SUM(AG29:AH29)</f>
        <v>23151</v>
      </c>
      <c r="AG29" s="170">
        <f>SUM(AG30:AG45)</f>
        <v>11957</v>
      </c>
      <c r="AH29" s="170">
        <f>SUM(AH30:AH45)</f>
        <v>11194</v>
      </c>
      <c r="AI29" s="762" t="s">
        <v>198</v>
      </c>
      <c r="AJ29" s="151"/>
    </row>
    <row r="30" spans="1:37" s="150" customFormat="1" ht="14.25">
      <c r="A30" s="188" t="s">
        <v>199</v>
      </c>
      <c r="B30" s="173">
        <v>412</v>
      </c>
      <c r="C30" s="173">
        <v>190</v>
      </c>
      <c r="D30" s="173">
        <v>222</v>
      </c>
      <c r="E30" s="191">
        <v>61</v>
      </c>
      <c r="F30" s="182">
        <v>6.7540983606557381</v>
      </c>
      <c r="G30" s="173">
        <f>SUM(H30:I30)</f>
        <v>347</v>
      </c>
      <c r="H30" s="173">
        <v>150</v>
      </c>
      <c r="I30" s="173">
        <v>197</v>
      </c>
      <c r="J30" s="192">
        <f>LN(G30/B30)/6.02*100</f>
        <v>-2.8521357043632434</v>
      </c>
      <c r="K30" s="174">
        <f>SUM(L30:M30)</f>
        <v>393</v>
      </c>
      <c r="L30" s="173">
        <v>181</v>
      </c>
      <c r="M30" s="173">
        <v>212</v>
      </c>
      <c r="N30" s="828">
        <f t="shared" si="1"/>
        <v>85.377358490566039</v>
      </c>
      <c r="O30" s="205">
        <f>LN(K30/G30)/8.5*100</f>
        <v>1.4645274343812016</v>
      </c>
      <c r="P30" s="173">
        <v>421</v>
      </c>
      <c r="Q30" s="173">
        <v>200</v>
      </c>
      <c r="R30" s="173">
        <v>221</v>
      </c>
      <c r="S30" s="174">
        <v>393</v>
      </c>
      <c r="T30" s="173">
        <v>181</v>
      </c>
      <c r="U30" s="772">
        <v>212</v>
      </c>
      <c r="V30" s="173">
        <v>28</v>
      </c>
      <c r="W30" s="173">
        <v>19</v>
      </c>
      <c r="X30" s="772">
        <v>9</v>
      </c>
      <c r="Y30" s="173"/>
      <c r="Z30" s="777">
        <v>24.63</v>
      </c>
      <c r="AA30" s="777">
        <f>Z30/100</f>
        <v>0.24629999999999999</v>
      </c>
      <c r="AB30" s="789">
        <f>K30/AA30</f>
        <v>1595.6151035322778</v>
      </c>
      <c r="AC30" s="789">
        <f>P30/AA30</f>
        <v>1709.2976045473001</v>
      </c>
      <c r="AD30" s="173">
        <v>94</v>
      </c>
      <c r="AE30" s="773">
        <f>P30/AD30</f>
        <v>4.4787234042553195</v>
      </c>
      <c r="AF30" s="174">
        <f>SUM(AG30:AH30)</f>
        <v>708</v>
      </c>
      <c r="AG30" s="1200">
        <v>374</v>
      </c>
      <c r="AH30" s="1200">
        <v>334</v>
      </c>
      <c r="AI30" s="802" t="s">
        <v>200</v>
      </c>
      <c r="AJ30" s="188"/>
    </row>
    <row r="31" spans="1:37" s="150" customFormat="1" ht="14.25">
      <c r="A31" s="188" t="s">
        <v>201</v>
      </c>
      <c r="B31" s="173">
        <v>326</v>
      </c>
      <c r="C31" s="173">
        <v>156</v>
      </c>
      <c r="D31" s="173">
        <v>170</v>
      </c>
      <c r="E31" s="191">
        <v>57</v>
      </c>
      <c r="F31" s="182">
        <v>5.7192982456140351</v>
      </c>
      <c r="G31" s="173">
        <f t="shared" ref="G31:G45" si="11">SUM(H31:I31)</f>
        <v>267</v>
      </c>
      <c r="H31" s="173">
        <v>119</v>
      </c>
      <c r="I31" s="173">
        <v>148</v>
      </c>
      <c r="J31" s="192">
        <f>LN(G31/B31)/6.02*100</f>
        <v>-3.3164239695424933</v>
      </c>
      <c r="K31" s="174">
        <f>SUM(L31:M31)</f>
        <v>368</v>
      </c>
      <c r="L31" s="173">
        <v>171</v>
      </c>
      <c r="M31" s="173">
        <v>197</v>
      </c>
      <c r="N31" s="828">
        <f t="shared" si="1"/>
        <v>86.802030456852791</v>
      </c>
      <c r="O31" s="205">
        <f>LN(K31/G31)/8.5*100</f>
        <v>3.7745209384550762</v>
      </c>
      <c r="P31" s="173">
        <v>383</v>
      </c>
      <c r="Q31" s="173">
        <v>181</v>
      </c>
      <c r="R31" s="173">
        <v>202</v>
      </c>
      <c r="S31" s="174">
        <v>367</v>
      </c>
      <c r="T31" s="173">
        <v>170</v>
      </c>
      <c r="U31" s="772">
        <v>197</v>
      </c>
      <c r="V31" s="173">
        <v>16</v>
      </c>
      <c r="W31" s="173">
        <v>11</v>
      </c>
      <c r="X31" s="772">
        <v>5</v>
      </c>
      <c r="Y31" s="173"/>
      <c r="Z31" s="777">
        <v>106.7</v>
      </c>
      <c r="AA31" s="777">
        <f>Z31/100</f>
        <v>1.0669999999999999</v>
      </c>
      <c r="AB31" s="789">
        <f>K31/AA31</f>
        <v>344.89222118088099</v>
      </c>
      <c r="AC31" s="789">
        <f>P31/AA31</f>
        <v>358.95032802249301</v>
      </c>
      <c r="AD31" s="173">
        <v>72</v>
      </c>
      <c r="AE31" s="773">
        <f>P31/AD31</f>
        <v>5.3194444444444446</v>
      </c>
      <c r="AF31" s="174">
        <f>SUM(AG31:AH31)</f>
        <v>546</v>
      </c>
      <c r="AG31" s="1200">
        <v>275</v>
      </c>
      <c r="AH31" s="1200">
        <v>271</v>
      </c>
      <c r="AI31" s="802" t="s">
        <v>202</v>
      </c>
      <c r="AJ31" s="188"/>
    </row>
    <row r="32" spans="1:37" s="150" customFormat="1">
      <c r="A32" s="188" t="s">
        <v>968</v>
      </c>
      <c r="B32" s="173">
        <v>124</v>
      </c>
      <c r="C32" s="173">
        <v>55</v>
      </c>
      <c r="D32" s="173">
        <v>69</v>
      </c>
      <c r="E32" s="191">
        <v>21</v>
      </c>
      <c r="F32" s="182">
        <v>5.9047619047619051</v>
      </c>
      <c r="G32" s="173">
        <f t="shared" si="11"/>
        <v>0</v>
      </c>
      <c r="H32" s="173">
        <v>0</v>
      </c>
      <c r="I32" s="173">
        <v>0</v>
      </c>
      <c r="J32" s="193" t="s">
        <v>184</v>
      </c>
      <c r="K32" s="174" t="s">
        <v>187</v>
      </c>
      <c r="L32" s="173" t="s">
        <v>187</v>
      </c>
      <c r="M32" s="173" t="s">
        <v>187</v>
      </c>
      <c r="N32" s="828" t="s">
        <v>187</v>
      </c>
      <c r="O32" s="815" t="s">
        <v>187</v>
      </c>
      <c r="P32" s="173" t="s">
        <v>187</v>
      </c>
      <c r="Q32" s="173" t="s">
        <v>187</v>
      </c>
      <c r="R32" s="173" t="s">
        <v>187</v>
      </c>
      <c r="S32" s="174" t="s">
        <v>187</v>
      </c>
      <c r="T32" s="173" t="s">
        <v>187</v>
      </c>
      <c r="U32" s="772" t="s">
        <v>187</v>
      </c>
      <c r="V32" s="173" t="s">
        <v>187</v>
      </c>
      <c r="W32" s="173" t="s">
        <v>187</v>
      </c>
      <c r="X32" s="772" t="s">
        <v>187</v>
      </c>
      <c r="Y32" s="173"/>
      <c r="Z32" s="770" t="s">
        <v>187</v>
      </c>
      <c r="AA32" s="770" t="s">
        <v>187</v>
      </c>
      <c r="AB32" s="788" t="s">
        <v>187</v>
      </c>
      <c r="AC32" s="788" t="s">
        <v>187</v>
      </c>
      <c r="AD32" s="173" t="s">
        <v>187</v>
      </c>
      <c r="AE32" s="173" t="s">
        <v>187</v>
      </c>
      <c r="AF32" s="174" t="s">
        <v>187</v>
      </c>
      <c r="AG32" s="1199" t="s">
        <v>187</v>
      </c>
      <c r="AH32" s="1199" t="s">
        <v>187</v>
      </c>
      <c r="AI32" s="804" t="s">
        <v>1006</v>
      </c>
      <c r="AJ32" s="188"/>
    </row>
    <row r="33" spans="1:37" s="150" customFormat="1" ht="15">
      <c r="A33" s="188" t="s">
        <v>969</v>
      </c>
      <c r="B33" s="173">
        <v>150</v>
      </c>
      <c r="C33" s="173">
        <v>74</v>
      </c>
      <c r="D33" s="173">
        <v>76</v>
      </c>
      <c r="E33" s="191">
        <v>32</v>
      </c>
      <c r="F33" s="182">
        <v>4.6875</v>
      </c>
      <c r="G33" s="173">
        <f t="shared" si="11"/>
        <v>101</v>
      </c>
      <c r="H33" s="173">
        <v>53</v>
      </c>
      <c r="I33" s="173">
        <v>48</v>
      </c>
      <c r="J33" s="192">
        <f t="shared" ref="J33:J45" si="12">LN(G33/B33)/6.02*100</f>
        <v>-6.5700129112125634</v>
      </c>
      <c r="K33" s="174" t="s">
        <v>187</v>
      </c>
      <c r="L33" s="173" t="s">
        <v>187</v>
      </c>
      <c r="M33" s="173" t="s">
        <v>187</v>
      </c>
      <c r="N33" s="828" t="s">
        <v>187</v>
      </c>
      <c r="O33" s="815" t="s">
        <v>187</v>
      </c>
      <c r="P33" s="173" t="s">
        <v>187</v>
      </c>
      <c r="Q33" s="173" t="s">
        <v>187</v>
      </c>
      <c r="R33" s="173" t="s">
        <v>187</v>
      </c>
      <c r="S33" s="174" t="s">
        <v>187</v>
      </c>
      <c r="T33" s="173" t="s">
        <v>187</v>
      </c>
      <c r="U33" s="772" t="s">
        <v>187</v>
      </c>
      <c r="V33" s="173" t="s">
        <v>187</v>
      </c>
      <c r="W33" s="173" t="s">
        <v>187</v>
      </c>
      <c r="X33" s="772" t="s">
        <v>187</v>
      </c>
      <c r="Y33" s="173"/>
      <c r="Z33" s="770" t="s">
        <v>187</v>
      </c>
      <c r="AA33" s="770" t="s">
        <v>187</v>
      </c>
      <c r="AB33" s="788" t="s">
        <v>187</v>
      </c>
      <c r="AC33" s="788" t="s">
        <v>187</v>
      </c>
      <c r="AD33" s="173" t="s">
        <v>187</v>
      </c>
      <c r="AE33" s="173" t="s">
        <v>187</v>
      </c>
      <c r="AF33" s="174" t="s">
        <v>187</v>
      </c>
      <c r="AG33" s="1199" t="s">
        <v>187</v>
      </c>
      <c r="AH33" s="1199" t="s">
        <v>187</v>
      </c>
      <c r="AI33" s="802" t="s">
        <v>203</v>
      </c>
      <c r="AJ33" s="194"/>
      <c r="AK33" s="195"/>
    </row>
    <row r="34" spans="1:37" s="150" customFormat="1" ht="14.25">
      <c r="A34" s="188" t="s">
        <v>204</v>
      </c>
      <c r="B34" s="173">
        <v>264</v>
      </c>
      <c r="C34" s="173">
        <v>112</v>
      </c>
      <c r="D34" s="173">
        <v>152</v>
      </c>
      <c r="E34" s="191">
        <v>63</v>
      </c>
      <c r="F34" s="182">
        <v>4.1904761904761907</v>
      </c>
      <c r="G34" s="173">
        <f t="shared" si="11"/>
        <v>172</v>
      </c>
      <c r="H34" s="173">
        <v>84</v>
      </c>
      <c r="I34" s="173">
        <v>88</v>
      </c>
      <c r="J34" s="192">
        <f t="shared" si="12"/>
        <v>-7.1171864839346037</v>
      </c>
      <c r="K34" s="174">
        <f t="shared" ref="K34:K45" si="13">SUM(L34:M34)</f>
        <v>221</v>
      </c>
      <c r="L34" s="173">
        <v>103</v>
      </c>
      <c r="M34" s="173">
        <v>118</v>
      </c>
      <c r="N34" s="828">
        <f t="shared" si="1"/>
        <v>87.288135593220346</v>
      </c>
      <c r="O34" s="205">
        <f t="shared" ref="O34:O45" si="14">LN(K34/G34)/8.5*100</f>
        <v>2.949037937697645</v>
      </c>
      <c r="P34" s="173">
        <v>230</v>
      </c>
      <c r="Q34" s="173">
        <v>108</v>
      </c>
      <c r="R34" s="173">
        <v>122</v>
      </c>
      <c r="S34" s="174">
        <v>220</v>
      </c>
      <c r="T34" s="173">
        <v>102</v>
      </c>
      <c r="U34" s="772">
        <v>118</v>
      </c>
      <c r="V34" s="173">
        <v>10</v>
      </c>
      <c r="W34" s="173">
        <v>6</v>
      </c>
      <c r="X34" s="772">
        <v>4</v>
      </c>
      <c r="Y34" s="173"/>
      <c r="Z34" s="777">
        <v>118.09</v>
      </c>
      <c r="AA34" s="777">
        <f t="shared" ref="AA34:AA45" si="15">Z34/100</f>
        <v>1.1809000000000001</v>
      </c>
      <c r="AB34" s="789">
        <f t="shared" ref="AB34:AB45" si="16">K34/AA34</f>
        <v>187.14539757811838</v>
      </c>
      <c r="AC34" s="789">
        <f t="shared" ref="AC34:AC45" si="17">P34/AA34</f>
        <v>194.76670336184264</v>
      </c>
      <c r="AD34" s="173">
        <v>62</v>
      </c>
      <c r="AE34" s="773">
        <f t="shared" ref="AE34:AE45" si="18">P34/AD34</f>
        <v>3.7096774193548385</v>
      </c>
      <c r="AF34" s="174">
        <f t="shared" ref="AF34:AF45" si="19">SUM(AG34:AH34)</f>
        <v>405</v>
      </c>
      <c r="AG34" s="1200">
        <v>217</v>
      </c>
      <c r="AH34" s="1200">
        <v>188</v>
      </c>
      <c r="AI34" s="802" t="s">
        <v>205</v>
      </c>
      <c r="AJ34" s="188"/>
    </row>
    <row r="35" spans="1:37" s="150" customFormat="1" ht="14.25">
      <c r="A35" s="188" t="s">
        <v>206</v>
      </c>
      <c r="B35" s="173">
        <v>2221</v>
      </c>
      <c r="C35" s="173">
        <v>1044</v>
      </c>
      <c r="D35" s="173">
        <v>1177</v>
      </c>
      <c r="E35" s="191">
        <v>341</v>
      </c>
      <c r="F35" s="182">
        <v>6.5131964809384169</v>
      </c>
      <c r="G35" s="173">
        <f t="shared" si="11"/>
        <v>2204</v>
      </c>
      <c r="H35" s="173">
        <v>1051</v>
      </c>
      <c r="I35" s="173">
        <v>1153</v>
      </c>
      <c r="J35" s="192">
        <f t="shared" si="12"/>
        <v>-0.12763544221963966</v>
      </c>
      <c r="K35" s="174">
        <f t="shared" si="13"/>
        <v>1728</v>
      </c>
      <c r="L35" s="173">
        <v>816</v>
      </c>
      <c r="M35" s="173">
        <v>912</v>
      </c>
      <c r="N35" s="828">
        <f t="shared" si="1"/>
        <v>89.473684210526315</v>
      </c>
      <c r="O35" s="205">
        <f t="shared" si="14"/>
        <v>-2.8624614224565201</v>
      </c>
      <c r="P35" s="173">
        <v>1826</v>
      </c>
      <c r="Q35" s="173">
        <v>892</v>
      </c>
      <c r="R35" s="173">
        <v>934</v>
      </c>
      <c r="S35" s="174">
        <v>1726</v>
      </c>
      <c r="T35" s="173">
        <v>814</v>
      </c>
      <c r="U35" s="772">
        <v>912</v>
      </c>
      <c r="V35" s="173">
        <v>100</v>
      </c>
      <c r="W35" s="173">
        <v>78</v>
      </c>
      <c r="X35" s="772">
        <v>22</v>
      </c>
      <c r="Y35" s="173"/>
      <c r="Z35" s="777">
        <v>64.25</v>
      </c>
      <c r="AA35" s="777">
        <f t="shared" si="15"/>
        <v>0.64249999999999996</v>
      </c>
      <c r="AB35" s="789">
        <f t="shared" si="16"/>
        <v>2689.4941634241245</v>
      </c>
      <c r="AC35" s="789">
        <f t="shared" si="17"/>
        <v>2842.023346303502</v>
      </c>
      <c r="AD35" s="173">
        <v>399</v>
      </c>
      <c r="AE35" s="773">
        <f t="shared" si="18"/>
        <v>4.5764411027568919</v>
      </c>
      <c r="AF35" s="174">
        <f t="shared" si="19"/>
        <v>3485</v>
      </c>
      <c r="AG35" s="1200">
        <v>1773</v>
      </c>
      <c r="AH35" s="1200">
        <v>1712</v>
      </c>
      <c r="AI35" s="802" t="s">
        <v>207</v>
      </c>
      <c r="AJ35" s="188"/>
    </row>
    <row r="36" spans="1:37" s="150" customFormat="1" ht="14.25">
      <c r="A36" s="188" t="s">
        <v>208</v>
      </c>
      <c r="B36" s="173">
        <v>2062</v>
      </c>
      <c r="C36" s="173">
        <v>965</v>
      </c>
      <c r="D36" s="173">
        <v>1097</v>
      </c>
      <c r="E36" s="191">
        <v>253</v>
      </c>
      <c r="F36" s="182">
        <v>8.150197628458498</v>
      </c>
      <c r="G36" s="173">
        <f t="shared" si="11"/>
        <v>2447</v>
      </c>
      <c r="H36" s="173">
        <v>1209</v>
      </c>
      <c r="I36" s="173">
        <v>1238</v>
      </c>
      <c r="J36" s="192">
        <f t="shared" si="12"/>
        <v>2.8436278881356558</v>
      </c>
      <c r="K36" s="174">
        <f t="shared" si="13"/>
        <v>2468</v>
      </c>
      <c r="L36" s="173">
        <v>1187</v>
      </c>
      <c r="M36" s="173">
        <v>1281</v>
      </c>
      <c r="N36" s="828">
        <f t="shared" si="1"/>
        <v>92.661982825917249</v>
      </c>
      <c r="O36" s="205">
        <f t="shared" si="14"/>
        <v>0.10053319508949209</v>
      </c>
      <c r="P36" s="173">
        <v>2575</v>
      </c>
      <c r="Q36" s="173">
        <v>1284</v>
      </c>
      <c r="R36" s="173">
        <v>1291</v>
      </c>
      <c r="S36" s="174">
        <v>2461</v>
      </c>
      <c r="T36" s="173">
        <v>1181</v>
      </c>
      <c r="U36" s="772">
        <v>1280</v>
      </c>
      <c r="V36" s="173">
        <v>114</v>
      </c>
      <c r="W36" s="173">
        <v>103</v>
      </c>
      <c r="X36" s="772">
        <v>11</v>
      </c>
      <c r="Y36" s="173"/>
      <c r="Z36" s="777">
        <v>60.27</v>
      </c>
      <c r="AA36" s="777">
        <f t="shared" si="15"/>
        <v>0.60270000000000001</v>
      </c>
      <c r="AB36" s="789">
        <f t="shared" si="16"/>
        <v>4094.9062551850006</v>
      </c>
      <c r="AC36" s="789">
        <f t="shared" si="17"/>
        <v>4272.4406835905093</v>
      </c>
      <c r="AD36" s="173">
        <v>388</v>
      </c>
      <c r="AE36" s="773">
        <f t="shared" si="18"/>
        <v>6.6365979381443303</v>
      </c>
      <c r="AF36" s="174">
        <f t="shared" si="19"/>
        <v>3579</v>
      </c>
      <c r="AG36" s="1200">
        <v>1844</v>
      </c>
      <c r="AH36" s="1200">
        <v>1735</v>
      </c>
      <c r="AI36" s="802" t="s">
        <v>209</v>
      </c>
      <c r="AJ36" s="188"/>
    </row>
    <row r="37" spans="1:37" s="150" customFormat="1" ht="14.25">
      <c r="A37" s="188" t="s">
        <v>210</v>
      </c>
      <c r="B37" s="173">
        <v>1196</v>
      </c>
      <c r="C37" s="173">
        <v>583</v>
      </c>
      <c r="D37" s="173">
        <v>613</v>
      </c>
      <c r="E37" s="191">
        <v>245</v>
      </c>
      <c r="F37" s="182">
        <v>4.8816326530612244</v>
      </c>
      <c r="G37" s="173">
        <f t="shared" si="11"/>
        <v>1200</v>
      </c>
      <c r="H37" s="173">
        <v>527</v>
      </c>
      <c r="I37" s="173">
        <v>673</v>
      </c>
      <c r="J37" s="192">
        <f t="shared" si="12"/>
        <v>5.5463476171339378E-2</v>
      </c>
      <c r="K37" s="174">
        <f t="shared" si="13"/>
        <v>1041</v>
      </c>
      <c r="L37" s="173">
        <v>457</v>
      </c>
      <c r="M37" s="173">
        <v>584</v>
      </c>
      <c r="N37" s="828">
        <f t="shared" si="1"/>
        <v>78.253424657534239</v>
      </c>
      <c r="O37" s="205">
        <f t="shared" si="14"/>
        <v>-1.6722325548367378</v>
      </c>
      <c r="P37" s="173">
        <v>1074</v>
      </c>
      <c r="Q37" s="173">
        <v>485</v>
      </c>
      <c r="R37" s="173">
        <v>589</v>
      </c>
      <c r="S37" s="174">
        <v>1037</v>
      </c>
      <c r="T37" s="173">
        <v>454</v>
      </c>
      <c r="U37" s="772">
        <v>583</v>
      </c>
      <c r="V37" s="173">
        <v>37</v>
      </c>
      <c r="W37" s="173">
        <v>31</v>
      </c>
      <c r="X37" s="772">
        <v>6</v>
      </c>
      <c r="Y37" s="173"/>
      <c r="Z37" s="777">
        <v>202.54</v>
      </c>
      <c r="AA37" s="777">
        <f t="shared" si="15"/>
        <v>2.0253999999999999</v>
      </c>
      <c r="AB37" s="789">
        <f t="shared" si="16"/>
        <v>513.9725486323689</v>
      </c>
      <c r="AC37" s="789">
        <f t="shared" si="17"/>
        <v>530.26562654290512</v>
      </c>
      <c r="AD37" s="173">
        <v>275</v>
      </c>
      <c r="AE37" s="773">
        <f t="shared" si="18"/>
        <v>3.9054545454545453</v>
      </c>
      <c r="AF37" s="174">
        <f t="shared" si="19"/>
        <v>2295</v>
      </c>
      <c r="AG37" s="1200">
        <v>1206</v>
      </c>
      <c r="AH37" s="1200">
        <v>1089</v>
      </c>
      <c r="AI37" s="802" t="s">
        <v>211</v>
      </c>
      <c r="AJ37" s="188"/>
    </row>
    <row r="38" spans="1:37" s="150" customFormat="1" ht="14.25">
      <c r="A38" s="188" t="s">
        <v>212</v>
      </c>
      <c r="B38" s="173">
        <v>597</v>
      </c>
      <c r="C38" s="173">
        <v>284</v>
      </c>
      <c r="D38" s="173">
        <v>313</v>
      </c>
      <c r="E38" s="191">
        <v>86</v>
      </c>
      <c r="F38" s="182">
        <v>6.941860465116279</v>
      </c>
      <c r="G38" s="173">
        <f t="shared" si="11"/>
        <v>471</v>
      </c>
      <c r="H38" s="173">
        <v>210</v>
      </c>
      <c r="I38" s="173">
        <v>261</v>
      </c>
      <c r="J38" s="192">
        <f t="shared" si="12"/>
        <v>-3.937857464720671</v>
      </c>
      <c r="K38" s="174">
        <f t="shared" si="13"/>
        <v>426</v>
      </c>
      <c r="L38" s="173">
        <v>196</v>
      </c>
      <c r="M38" s="173">
        <v>230</v>
      </c>
      <c r="N38" s="828">
        <f t="shared" si="1"/>
        <v>85.217391304347828</v>
      </c>
      <c r="O38" s="205">
        <f t="shared" si="14"/>
        <v>-1.1813970323182035</v>
      </c>
      <c r="P38" s="173">
        <v>449</v>
      </c>
      <c r="Q38" s="173">
        <v>212</v>
      </c>
      <c r="R38" s="173">
        <v>237</v>
      </c>
      <c r="S38" s="174">
        <v>423</v>
      </c>
      <c r="T38" s="173">
        <v>196</v>
      </c>
      <c r="U38" s="772">
        <v>227</v>
      </c>
      <c r="V38" s="173">
        <v>26</v>
      </c>
      <c r="W38" s="173">
        <v>16</v>
      </c>
      <c r="X38" s="772">
        <v>10</v>
      </c>
      <c r="Y38" s="173"/>
      <c r="Z38" s="777">
        <v>32.85</v>
      </c>
      <c r="AA38" s="777">
        <f t="shared" si="15"/>
        <v>0.32850000000000001</v>
      </c>
      <c r="AB38" s="789">
        <f t="shared" si="16"/>
        <v>1296.8036529680364</v>
      </c>
      <c r="AC38" s="789">
        <f t="shared" si="17"/>
        <v>1366.8188736681886</v>
      </c>
      <c r="AD38" s="173">
        <v>94</v>
      </c>
      <c r="AE38" s="773">
        <f t="shared" si="18"/>
        <v>4.7765957446808507</v>
      </c>
      <c r="AF38" s="174">
        <f t="shared" si="19"/>
        <v>906</v>
      </c>
      <c r="AG38" s="1200">
        <v>461</v>
      </c>
      <c r="AH38" s="1200">
        <v>445</v>
      </c>
      <c r="AI38" s="802" t="s">
        <v>213</v>
      </c>
      <c r="AJ38" s="188"/>
    </row>
    <row r="39" spans="1:37" s="150" customFormat="1" ht="14.25">
      <c r="A39" s="188" t="s">
        <v>214</v>
      </c>
      <c r="B39" s="173">
        <v>2766</v>
      </c>
      <c r="C39" s="173">
        <v>1293</v>
      </c>
      <c r="D39" s="173">
        <v>1473</v>
      </c>
      <c r="E39" s="191">
        <v>438</v>
      </c>
      <c r="F39" s="182">
        <v>6.3150684931506849</v>
      </c>
      <c r="G39" s="173">
        <f t="shared" si="11"/>
        <v>2512</v>
      </c>
      <c r="H39" s="173">
        <v>1130</v>
      </c>
      <c r="I39" s="173">
        <v>1382</v>
      </c>
      <c r="J39" s="192">
        <f t="shared" si="12"/>
        <v>-1.6000495786812987</v>
      </c>
      <c r="K39" s="174">
        <f t="shared" si="13"/>
        <v>2651</v>
      </c>
      <c r="L39" s="173">
        <v>1126</v>
      </c>
      <c r="M39" s="173">
        <v>1525</v>
      </c>
      <c r="N39" s="828">
        <f t="shared" si="1"/>
        <v>73.836065573770497</v>
      </c>
      <c r="O39" s="205">
        <f t="shared" si="14"/>
        <v>0.63361974942278032</v>
      </c>
      <c r="P39" s="173">
        <v>2854</v>
      </c>
      <c r="Q39" s="173">
        <v>1314</v>
      </c>
      <c r="R39" s="173">
        <v>1540</v>
      </c>
      <c r="S39" s="174">
        <v>2613</v>
      </c>
      <c r="T39" s="173">
        <v>1106</v>
      </c>
      <c r="U39" s="772">
        <v>1507</v>
      </c>
      <c r="V39" s="173">
        <v>241</v>
      </c>
      <c r="W39" s="173">
        <v>208</v>
      </c>
      <c r="X39" s="772">
        <v>33</v>
      </c>
      <c r="Y39" s="173"/>
      <c r="Z39" s="777">
        <v>57.09</v>
      </c>
      <c r="AA39" s="777">
        <f t="shared" si="15"/>
        <v>0.57090000000000007</v>
      </c>
      <c r="AB39" s="789">
        <f t="shared" si="16"/>
        <v>4643.5452793834293</v>
      </c>
      <c r="AC39" s="789">
        <f t="shared" si="17"/>
        <v>4999.1241898756343</v>
      </c>
      <c r="AD39" s="173">
        <v>526</v>
      </c>
      <c r="AE39" s="773">
        <f t="shared" si="18"/>
        <v>5.4258555133079849</v>
      </c>
      <c r="AF39" s="174">
        <f t="shared" si="19"/>
        <v>4400</v>
      </c>
      <c r="AG39" s="1200">
        <v>2231</v>
      </c>
      <c r="AH39" s="1200">
        <v>2169</v>
      </c>
      <c r="AI39" s="802" t="s">
        <v>215</v>
      </c>
      <c r="AJ39" s="188"/>
    </row>
    <row r="40" spans="1:37" s="150" customFormat="1" ht="14.25">
      <c r="A40" s="188" t="s">
        <v>216</v>
      </c>
      <c r="B40" s="173">
        <v>659</v>
      </c>
      <c r="C40" s="173">
        <v>316</v>
      </c>
      <c r="D40" s="173">
        <v>343</v>
      </c>
      <c r="E40" s="191">
        <v>120</v>
      </c>
      <c r="F40" s="182">
        <v>5.4916666666666663</v>
      </c>
      <c r="G40" s="173">
        <f t="shared" si="11"/>
        <v>548</v>
      </c>
      <c r="H40" s="173">
        <v>253</v>
      </c>
      <c r="I40" s="173">
        <v>295</v>
      </c>
      <c r="J40" s="192">
        <f t="shared" si="12"/>
        <v>-3.0639243779815906</v>
      </c>
      <c r="K40" s="174">
        <f t="shared" si="13"/>
        <v>562</v>
      </c>
      <c r="L40" s="173">
        <v>260</v>
      </c>
      <c r="M40" s="173">
        <v>302</v>
      </c>
      <c r="N40" s="828">
        <f t="shared" si="1"/>
        <v>86.092715231788077</v>
      </c>
      <c r="O40" s="205">
        <f t="shared" si="14"/>
        <v>0.29678309347853604</v>
      </c>
      <c r="P40" s="173">
        <v>584</v>
      </c>
      <c r="Q40" s="173">
        <v>276</v>
      </c>
      <c r="R40" s="173">
        <v>308</v>
      </c>
      <c r="S40" s="174">
        <v>562</v>
      </c>
      <c r="T40" s="173">
        <v>260</v>
      </c>
      <c r="U40" s="772">
        <v>302</v>
      </c>
      <c r="V40" s="173">
        <v>22</v>
      </c>
      <c r="W40" s="173">
        <v>16</v>
      </c>
      <c r="X40" s="772">
        <v>6</v>
      </c>
      <c r="Y40" s="173"/>
      <c r="Z40" s="777">
        <v>263</v>
      </c>
      <c r="AA40" s="777">
        <f t="shared" si="15"/>
        <v>2.63</v>
      </c>
      <c r="AB40" s="789">
        <f t="shared" si="16"/>
        <v>213.68821292775667</v>
      </c>
      <c r="AC40" s="789">
        <f t="shared" si="17"/>
        <v>222.05323193916351</v>
      </c>
      <c r="AD40" s="173">
        <v>128</v>
      </c>
      <c r="AE40" s="773">
        <f t="shared" si="18"/>
        <v>4.5625</v>
      </c>
      <c r="AF40" s="174">
        <f t="shared" si="19"/>
        <v>1146</v>
      </c>
      <c r="AG40" s="1200">
        <v>576</v>
      </c>
      <c r="AH40" s="1200">
        <v>570</v>
      </c>
      <c r="AI40" s="802" t="s">
        <v>217</v>
      </c>
      <c r="AJ40" s="188"/>
    </row>
    <row r="41" spans="1:37" s="150" customFormat="1" ht="14.25">
      <c r="A41" s="188" t="s">
        <v>218</v>
      </c>
      <c r="B41" s="173">
        <v>520</v>
      </c>
      <c r="C41" s="173">
        <v>242</v>
      </c>
      <c r="D41" s="173">
        <v>278</v>
      </c>
      <c r="E41" s="191">
        <v>94</v>
      </c>
      <c r="F41" s="182">
        <v>5.5319148936170217</v>
      </c>
      <c r="G41" s="173">
        <f t="shared" si="11"/>
        <v>530</v>
      </c>
      <c r="H41" s="173">
        <v>264</v>
      </c>
      <c r="I41" s="173">
        <v>266</v>
      </c>
      <c r="J41" s="192">
        <f t="shared" si="12"/>
        <v>0.31641519884874436</v>
      </c>
      <c r="K41" s="174">
        <f t="shared" si="13"/>
        <v>647</v>
      </c>
      <c r="L41" s="173">
        <v>307</v>
      </c>
      <c r="M41" s="173">
        <v>340</v>
      </c>
      <c r="N41" s="828">
        <f t="shared" si="1"/>
        <v>90.294117647058826</v>
      </c>
      <c r="O41" s="205">
        <f t="shared" si="14"/>
        <v>2.3466975053498014</v>
      </c>
      <c r="P41" s="173">
        <v>671</v>
      </c>
      <c r="Q41" s="173">
        <v>325</v>
      </c>
      <c r="R41" s="173">
        <v>346</v>
      </c>
      <c r="S41" s="174">
        <v>647</v>
      </c>
      <c r="T41" s="173">
        <v>307</v>
      </c>
      <c r="U41" s="772">
        <v>340</v>
      </c>
      <c r="V41" s="173">
        <v>24</v>
      </c>
      <c r="W41" s="173">
        <v>18</v>
      </c>
      <c r="X41" s="772">
        <v>6</v>
      </c>
      <c r="Y41" s="173"/>
      <c r="Z41" s="777">
        <v>42.62</v>
      </c>
      <c r="AA41" s="777">
        <f t="shared" si="15"/>
        <v>0.42619999999999997</v>
      </c>
      <c r="AB41" s="789">
        <f t="shared" si="16"/>
        <v>1518.0666353824497</v>
      </c>
      <c r="AC41" s="789">
        <f t="shared" si="17"/>
        <v>1574.3782261848899</v>
      </c>
      <c r="AD41" s="173">
        <v>142</v>
      </c>
      <c r="AE41" s="773">
        <f t="shared" si="18"/>
        <v>4.725352112676056</v>
      </c>
      <c r="AF41" s="174">
        <f t="shared" si="19"/>
        <v>1082</v>
      </c>
      <c r="AG41" s="1200">
        <v>559</v>
      </c>
      <c r="AH41" s="1200">
        <v>523</v>
      </c>
      <c r="AI41" s="802" t="s">
        <v>219</v>
      </c>
      <c r="AJ41" s="188"/>
    </row>
    <row r="42" spans="1:37" s="150" customFormat="1" ht="14.25">
      <c r="A42" s="188" t="s">
        <v>220</v>
      </c>
      <c r="B42" s="173">
        <v>507</v>
      </c>
      <c r="C42" s="173">
        <v>224</v>
      </c>
      <c r="D42" s="173">
        <v>283</v>
      </c>
      <c r="E42" s="191">
        <v>114</v>
      </c>
      <c r="F42" s="182">
        <v>4.4473684210526319</v>
      </c>
      <c r="G42" s="173">
        <f t="shared" si="11"/>
        <v>340</v>
      </c>
      <c r="H42" s="173">
        <v>127</v>
      </c>
      <c r="I42" s="173">
        <v>213</v>
      </c>
      <c r="J42" s="192">
        <f t="shared" si="12"/>
        <v>-6.6372987704481092</v>
      </c>
      <c r="K42" s="174">
        <f t="shared" si="13"/>
        <v>336</v>
      </c>
      <c r="L42" s="173">
        <v>144</v>
      </c>
      <c r="M42" s="173">
        <v>192</v>
      </c>
      <c r="N42" s="828">
        <f t="shared" si="1"/>
        <v>75</v>
      </c>
      <c r="O42" s="205">
        <f t="shared" si="14"/>
        <v>-0.13922891349415056</v>
      </c>
      <c r="P42" s="173">
        <v>354</v>
      </c>
      <c r="Q42" s="173">
        <v>155</v>
      </c>
      <c r="R42" s="173">
        <v>199</v>
      </c>
      <c r="S42" s="174">
        <v>336</v>
      </c>
      <c r="T42" s="173">
        <v>144</v>
      </c>
      <c r="U42" s="772">
        <v>192</v>
      </c>
      <c r="V42" s="173">
        <v>18</v>
      </c>
      <c r="W42" s="173">
        <v>11</v>
      </c>
      <c r="X42" s="772">
        <v>7</v>
      </c>
      <c r="Y42" s="173"/>
      <c r="Z42" s="777">
        <v>41.46</v>
      </c>
      <c r="AA42" s="777">
        <f t="shared" si="15"/>
        <v>0.41460000000000002</v>
      </c>
      <c r="AB42" s="789">
        <f t="shared" si="16"/>
        <v>810.41968162083936</v>
      </c>
      <c r="AC42" s="789">
        <f t="shared" si="17"/>
        <v>853.83502170766997</v>
      </c>
      <c r="AD42" s="173">
        <v>102</v>
      </c>
      <c r="AE42" s="773">
        <f t="shared" si="18"/>
        <v>3.4705882352941178</v>
      </c>
      <c r="AF42" s="174">
        <f t="shared" si="19"/>
        <v>949</v>
      </c>
      <c r="AG42" s="1200">
        <v>457</v>
      </c>
      <c r="AH42" s="1200">
        <v>492</v>
      </c>
      <c r="AI42" s="802" t="s">
        <v>221</v>
      </c>
      <c r="AJ42" s="188"/>
    </row>
    <row r="43" spans="1:37" s="150" customFormat="1" ht="14.25">
      <c r="A43" s="188" t="s">
        <v>222</v>
      </c>
      <c r="B43" s="173">
        <v>584</v>
      </c>
      <c r="C43" s="173">
        <v>265</v>
      </c>
      <c r="D43" s="173">
        <v>319</v>
      </c>
      <c r="E43" s="191">
        <v>99</v>
      </c>
      <c r="F43" s="182">
        <v>5.8989898989898988</v>
      </c>
      <c r="G43" s="173">
        <f t="shared" si="11"/>
        <v>521</v>
      </c>
      <c r="H43" s="173">
        <v>205</v>
      </c>
      <c r="I43" s="173">
        <v>316</v>
      </c>
      <c r="J43" s="192">
        <f t="shared" si="12"/>
        <v>-1.8961950344661163</v>
      </c>
      <c r="K43" s="174">
        <f t="shared" si="13"/>
        <v>538</v>
      </c>
      <c r="L43" s="173">
        <v>218</v>
      </c>
      <c r="M43" s="173">
        <v>320</v>
      </c>
      <c r="N43" s="828">
        <f t="shared" si="1"/>
        <v>68.125</v>
      </c>
      <c r="O43" s="205">
        <f t="shared" si="14"/>
        <v>0.37774727539314729</v>
      </c>
      <c r="P43" s="173">
        <v>569</v>
      </c>
      <c r="Q43" s="173">
        <v>241</v>
      </c>
      <c r="R43" s="173">
        <v>328</v>
      </c>
      <c r="S43" s="174">
        <v>538</v>
      </c>
      <c r="T43" s="173">
        <v>218</v>
      </c>
      <c r="U43" s="772">
        <v>320</v>
      </c>
      <c r="V43" s="173">
        <v>31</v>
      </c>
      <c r="W43" s="173">
        <v>23</v>
      </c>
      <c r="X43" s="772">
        <v>8</v>
      </c>
      <c r="Y43" s="173"/>
      <c r="Z43" s="777">
        <v>48.07</v>
      </c>
      <c r="AA43" s="777">
        <f t="shared" si="15"/>
        <v>0.48070000000000002</v>
      </c>
      <c r="AB43" s="789">
        <f t="shared" si="16"/>
        <v>1119.2011649677554</v>
      </c>
      <c r="AC43" s="789">
        <f t="shared" si="17"/>
        <v>1183.6904514250052</v>
      </c>
      <c r="AD43" s="173">
        <v>123</v>
      </c>
      <c r="AE43" s="773">
        <f t="shared" si="18"/>
        <v>4.6260162601626016</v>
      </c>
      <c r="AF43" s="174">
        <f t="shared" si="19"/>
        <v>687</v>
      </c>
      <c r="AG43" s="1200">
        <v>486</v>
      </c>
      <c r="AH43" s="1200">
        <v>201</v>
      </c>
      <c r="AI43" s="802" t="s">
        <v>223</v>
      </c>
      <c r="AJ43" s="188"/>
    </row>
    <row r="44" spans="1:37" s="150" customFormat="1" ht="14.25">
      <c r="A44" s="188" t="s">
        <v>224</v>
      </c>
      <c r="B44" s="173">
        <v>483</v>
      </c>
      <c r="C44" s="173">
        <v>195</v>
      </c>
      <c r="D44" s="173">
        <v>288</v>
      </c>
      <c r="E44" s="191">
        <v>98</v>
      </c>
      <c r="F44" s="182">
        <v>4.9285714285714288</v>
      </c>
      <c r="G44" s="173">
        <f t="shared" si="11"/>
        <v>451</v>
      </c>
      <c r="H44" s="173">
        <v>193</v>
      </c>
      <c r="I44" s="173">
        <v>258</v>
      </c>
      <c r="J44" s="192">
        <f t="shared" si="12"/>
        <v>-1.1386929260779788</v>
      </c>
      <c r="K44" s="174">
        <f t="shared" si="13"/>
        <v>444</v>
      </c>
      <c r="L44" s="173">
        <v>190</v>
      </c>
      <c r="M44" s="173">
        <v>254</v>
      </c>
      <c r="N44" s="828">
        <f t="shared" si="1"/>
        <v>74.803149606299215</v>
      </c>
      <c r="O44" s="205">
        <f t="shared" si="14"/>
        <v>-0.18403267141710089</v>
      </c>
      <c r="P44" s="173">
        <v>467</v>
      </c>
      <c r="Q44" s="173">
        <v>205</v>
      </c>
      <c r="R44" s="173">
        <v>262</v>
      </c>
      <c r="S44" s="174">
        <v>443</v>
      </c>
      <c r="T44" s="173">
        <v>189</v>
      </c>
      <c r="U44" s="772">
        <v>254</v>
      </c>
      <c r="V44" s="173">
        <v>24</v>
      </c>
      <c r="W44" s="173">
        <v>16</v>
      </c>
      <c r="X44" s="772">
        <v>8</v>
      </c>
      <c r="Y44" s="173"/>
      <c r="Z44" s="777">
        <v>47.21</v>
      </c>
      <c r="AA44" s="777">
        <f t="shared" si="15"/>
        <v>0.47210000000000002</v>
      </c>
      <c r="AB44" s="789">
        <f t="shared" si="16"/>
        <v>940.47871213725898</v>
      </c>
      <c r="AC44" s="789">
        <f t="shared" si="17"/>
        <v>989.19720398220716</v>
      </c>
      <c r="AD44" s="173">
        <v>106</v>
      </c>
      <c r="AE44" s="773">
        <f t="shared" si="18"/>
        <v>4.4056603773584904</v>
      </c>
      <c r="AF44" s="174">
        <f t="shared" si="19"/>
        <v>908</v>
      </c>
      <c r="AG44" s="1200">
        <v>452</v>
      </c>
      <c r="AH44" s="1200">
        <v>456</v>
      </c>
      <c r="AI44" s="802" t="s">
        <v>225</v>
      </c>
      <c r="AJ44" s="188"/>
    </row>
    <row r="45" spans="1:37" s="150" customFormat="1" ht="14.25">
      <c r="A45" s="188" t="s">
        <v>226</v>
      </c>
      <c r="B45" s="173">
        <v>1270</v>
      </c>
      <c r="C45" s="173">
        <v>620</v>
      </c>
      <c r="D45" s="173">
        <v>650</v>
      </c>
      <c r="E45" s="191">
        <v>228</v>
      </c>
      <c r="F45" s="182">
        <v>5.5701754385964914</v>
      </c>
      <c r="G45" s="173">
        <f t="shared" si="11"/>
        <v>1203</v>
      </c>
      <c r="H45" s="173">
        <v>557</v>
      </c>
      <c r="I45" s="173">
        <v>646</v>
      </c>
      <c r="J45" s="192">
        <f t="shared" si="12"/>
        <v>-0.90030670229166165</v>
      </c>
      <c r="K45" s="174">
        <f t="shared" si="13"/>
        <v>1181</v>
      </c>
      <c r="L45" s="173">
        <v>557</v>
      </c>
      <c r="M45" s="173">
        <v>624</v>
      </c>
      <c r="N45" s="828">
        <f t="shared" si="1"/>
        <v>89.262820512820511</v>
      </c>
      <c r="O45" s="205">
        <f t="shared" si="14"/>
        <v>-0.21713999738019554</v>
      </c>
      <c r="P45" s="173">
        <v>1215</v>
      </c>
      <c r="Q45" s="173">
        <v>586</v>
      </c>
      <c r="R45" s="173">
        <v>629</v>
      </c>
      <c r="S45" s="174">
        <v>1173</v>
      </c>
      <c r="T45" s="173">
        <v>554</v>
      </c>
      <c r="U45" s="772">
        <v>619</v>
      </c>
      <c r="V45" s="173">
        <v>42</v>
      </c>
      <c r="W45" s="173">
        <v>32</v>
      </c>
      <c r="X45" s="772">
        <v>10</v>
      </c>
      <c r="Y45" s="173"/>
      <c r="Z45" s="777">
        <v>245.37</v>
      </c>
      <c r="AA45" s="777">
        <f t="shared" si="15"/>
        <v>2.4537</v>
      </c>
      <c r="AB45" s="789">
        <f t="shared" si="16"/>
        <v>481.31393405876838</v>
      </c>
      <c r="AC45" s="789">
        <f t="shared" si="17"/>
        <v>495.17055874801321</v>
      </c>
      <c r="AD45" s="173">
        <v>267</v>
      </c>
      <c r="AE45" s="773">
        <f t="shared" si="18"/>
        <v>4.5505617977528088</v>
      </c>
      <c r="AF45" s="174">
        <f t="shared" si="19"/>
        <v>2055</v>
      </c>
      <c r="AG45" s="1200">
        <v>1046</v>
      </c>
      <c r="AH45" s="1200">
        <v>1009</v>
      </c>
      <c r="AI45" s="802" t="s">
        <v>227</v>
      </c>
      <c r="AJ45" s="188"/>
    </row>
    <row r="46" spans="1:37" s="150" customFormat="1" ht="14.25">
      <c r="B46" s="173"/>
      <c r="C46" s="173"/>
      <c r="D46" s="173"/>
      <c r="E46" s="191"/>
      <c r="F46" s="182"/>
      <c r="G46" s="173"/>
      <c r="H46" s="173"/>
      <c r="I46" s="173"/>
      <c r="J46" s="192"/>
      <c r="K46" s="174"/>
      <c r="L46" s="173"/>
      <c r="M46" s="173"/>
      <c r="N46" s="828"/>
      <c r="O46" s="205"/>
      <c r="P46" s="173"/>
      <c r="Q46" s="173"/>
      <c r="R46" s="173"/>
      <c r="S46" s="174"/>
      <c r="T46" s="173"/>
      <c r="U46" s="772"/>
      <c r="V46" s="173"/>
      <c r="W46" s="173"/>
      <c r="X46" s="772"/>
      <c r="Y46" s="173"/>
      <c r="Z46" s="777"/>
      <c r="AA46" s="777"/>
      <c r="AB46" s="789"/>
      <c r="AC46" s="789"/>
      <c r="AD46" s="173"/>
      <c r="AE46" s="773"/>
      <c r="AF46" s="174"/>
      <c r="AG46" s="175"/>
      <c r="AH46" s="175"/>
      <c r="AI46" s="805"/>
      <c r="AJ46" s="188"/>
    </row>
    <row r="47" spans="1:37" s="167" customFormat="1" ht="17.45" customHeight="1">
      <c r="A47" s="190" t="s">
        <v>228</v>
      </c>
      <c r="B47" s="163">
        <f t="shared" ref="B47:B63" si="20">SUM(C47:D47)</f>
        <v>16863</v>
      </c>
      <c r="C47" s="163">
        <f>SUM(C48:C63)</f>
        <v>7881</v>
      </c>
      <c r="D47" s="163">
        <f>SUM(D48:D63)</f>
        <v>8982</v>
      </c>
      <c r="E47" s="163">
        <f>SUM(E48:E63)</f>
        <v>2934</v>
      </c>
      <c r="F47" s="164">
        <v>5.7732379979570991</v>
      </c>
      <c r="G47" s="163">
        <f>SUM(H47:I47)</f>
        <v>16214</v>
      </c>
      <c r="H47" s="163">
        <f>SUM(H48:H63)</f>
        <v>7486</v>
      </c>
      <c r="I47" s="163">
        <f>SUM(I48:I63)</f>
        <v>8728</v>
      </c>
      <c r="J47" s="168">
        <f t="shared" ref="J47:J63" si="21">LN(G47/B47)/6.02*100</f>
        <v>-0.65194030103874212</v>
      </c>
      <c r="K47" s="166">
        <f>SUM(L47:M47)</f>
        <v>18570</v>
      </c>
      <c r="L47" s="163">
        <f>SUM(L48:L63)</f>
        <v>8486</v>
      </c>
      <c r="M47" s="163">
        <f>SUM(M48:M63)</f>
        <v>10084</v>
      </c>
      <c r="N47" s="827">
        <f t="shared" si="1"/>
        <v>84.153113843712816</v>
      </c>
      <c r="O47" s="814">
        <f>LN(K47/G47)/8.5*100</f>
        <v>1.5961448094011641</v>
      </c>
      <c r="P47" s="163">
        <f>SUM(Q47:R47)</f>
        <v>19541</v>
      </c>
      <c r="Q47" s="163">
        <f>SUM(Q49:Q63)</f>
        <v>9310</v>
      </c>
      <c r="R47" s="163">
        <f>SUM(R49:R63)</f>
        <v>10231</v>
      </c>
      <c r="S47" s="166">
        <f>SUM(T47:U47)</f>
        <v>18515</v>
      </c>
      <c r="T47" s="163">
        <f>SUM(T49:T63)</f>
        <v>8449</v>
      </c>
      <c r="U47" s="769">
        <f>SUM(U49:U63)</f>
        <v>10066</v>
      </c>
      <c r="V47" s="163">
        <f>SUM(W47:X47)</f>
        <v>1026</v>
      </c>
      <c r="W47" s="163">
        <f>SUM(W49:W63)</f>
        <v>861</v>
      </c>
      <c r="X47" s="769">
        <f>SUM(X49:X63)</f>
        <v>165</v>
      </c>
      <c r="Y47" s="163"/>
      <c r="Z47" s="770" t="s">
        <v>187</v>
      </c>
      <c r="AA47" s="770" t="s">
        <v>187</v>
      </c>
      <c r="AB47" s="788" t="s">
        <v>187</v>
      </c>
      <c r="AC47" s="788" t="s">
        <v>187</v>
      </c>
      <c r="AD47" s="163">
        <f>SUM(AD48:AD63)</f>
        <v>3529.5383844504022</v>
      </c>
      <c r="AE47" s="771">
        <f>P47/AD47</f>
        <v>5.5364180443791389</v>
      </c>
      <c r="AF47" s="166">
        <f>SUM(AG47:AH47)</f>
        <v>28207</v>
      </c>
      <c r="AG47" s="170">
        <f>SUM(AG48:AG63)</f>
        <v>14391</v>
      </c>
      <c r="AH47" s="170">
        <f>SUM(AH48:AH63)</f>
        <v>13816</v>
      </c>
      <c r="AI47" s="762" t="s">
        <v>229</v>
      </c>
      <c r="AJ47" s="196"/>
      <c r="AK47" s="152"/>
    </row>
    <row r="48" spans="1:37" s="176" customFormat="1" ht="14.45" customHeight="1">
      <c r="A48" s="197" t="s">
        <v>230</v>
      </c>
      <c r="B48" s="173">
        <f t="shared" si="20"/>
        <v>159</v>
      </c>
      <c r="C48" s="173">
        <v>62</v>
      </c>
      <c r="D48" s="173">
        <v>97</v>
      </c>
      <c r="E48" s="191">
        <v>36</v>
      </c>
      <c r="F48" s="182">
        <v>4.416666666666667</v>
      </c>
      <c r="G48" s="173">
        <f>SUM(H48:I48)</f>
        <v>87</v>
      </c>
      <c r="H48" s="173">
        <v>38</v>
      </c>
      <c r="I48" s="173">
        <v>49</v>
      </c>
      <c r="J48" s="192">
        <f t="shared" si="21"/>
        <v>-10.016546238632024</v>
      </c>
      <c r="K48" s="174" t="s">
        <v>187</v>
      </c>
      <c r="L48" s="173" t="s">
        <v>187</v>
      </c>
      <c r="M48" s="173" t="s">
        <v>187</v>
      </c>
      <c r="N48" s="828" t="s">
        <v>187</v>
      </c>
      <c r="O48" s="815" t="s">
        <v>187</v>
      </c>
      <c r="P48" s="173" t="s">
        <v>187</v>
      </c>
      <c r="Q48" s="173" t="s">
        <v>187</v>
      </c>
      <c r="R48" s="173" t="s">
        <v>187</v>
      </c>
      <c r="S48" s="174" t="s">
        <v>187</v>
      </c>
      <c r="T48" s="173" t="s">
        <v>187</v>
      </c>
      <c r="U48" s="772" t="s">
        <v>187</v>
      </c>
      <c r="V48" s="173" t="s">
        <v>187</v>
      </c>
      <c r="W48" s="173" t="s">
        <v>187</v>
      </c>
      <c r="X48" s="772" t="s">
        <v>187</v>
      </c>
      <c r="Y48" s="173"/>
      <c r="Z48" s="774" t="s">
        <v>187</v>
      </c>
      <c r="AA48" s="774" t="s">
        <v>187</v>
      </c>
      <c r="AB48" s="789" t="s">
        <v>187</v>
      </c>
      <c r="AC48" s="789" t="s">
        <v>187</v>
      </c>
      <c r="AD48" s="173" t="s">
        <v>187</v>
      </c>
      <c r="AE48" s="173" t="s">
        <v>187</v>
      </c>
      <c r="AF48" s="174" t="s">
        <v>187</v>
      </c>
      <c r="AG48" s="1199">
        <v>0</v>
      </c>
      <c r="AH48" s="1199">
        <v>0</v>
      </c>
      <c r="AI48" s="802" t="s">
        <v>231</v>
      </c>
      <c r="AJ48" s="198"/>
      <c r="AK48" s="185"/>
    </row>
    <row r="49" spans="1:37" s="176" customFormat="1" ht="14.45" customHeight="1">
      <c r="A49" s="197" t="s">
        <v>232</v>
      </c>
      <c r="B49" s="173">
        <f t="shared" si="20"/>
        <v>1009</v>
      </c>
      <c r="C49" s="173">
        <v>466</v>
      </c>
      <c r="D49" s="173">
        <v>543</v>
      </c>
      <c r="E49" s="191">
        <v>198</v>
      </c>
      <c r="F49" s="182">
        <v>5.095959595959596</v>
      </c>
      <c r="G49" s="173">
        <f t="shared" ref="G49:G63" si="22">SUM(H49:I49)</f>
        <v>1184</v>
      </c>
      <c r="H49" s="173">
        <v>583</v>
      </c>
      <c r="I49" s="173">
        <v>601</v>
      </c>
      <c r="J49" s="192">
        <f t="shared" si="21"/>
        <v>2.6567906161186383</v>
      </c>
      <c r="K49" s="174">
        <f t="shared" ref="K49:K56" si="23">SUM(L49:M49)</f>
        <v>1618</v>
      </c>
      <c r="L49" s="173">
        <v>790</v>
      </c>
      <c r="M49" s="173">
        <v>828</v>
      </c>
      <c r="N49" s="828">
        <f t="shared" si="1"/>
        <v>95.410628019323667</v>
      </c>
      <c r="O49" s="205">
        <f t="shared" ref="O49:O56" si="24">LN(K49/G49)/8.5*100</f>
        <v>3.6740268491115988</v>
      </c>
      <c r="P49" s="173">
        <v>1951</v>
      </c>
      <c r="Q49" s="173">
        <v>1110</v>
      </c>
      <c r="R49" s="173">
        <v>841</v>
      </c>
      <c r="S49" s="174">
        <v>1616</v>
      </c>
      <c r="T49" s="173">
        <v>790</v>
      </c>
      <c r="U49" s="772">
        <v>826</v>
      </c>
      <c r="V49" s="173">
        <v>335</v>
      </c>
      <c r="W49" s="173">
        <v>320</v>
      </c>
      <c r="X49" s="772">
        <v>15</v>
      </c>
      <c r="Y49" s="173"/>
      <c r="Z49" s="777">
        <v>299.24</v>
      </c>
      <c r="AA49" s="777">
        <f t="shared" ref="AA49:AA56" si="25">Z49/100</f>
        <v>2.9923999999999999</v>
      </c>
      <c r="AB49" s="789">
        <f t="shared" ref="AB49:AB56" si="26">K49/AA49</f>
        <v>540.70311455687738</v>
      </c>
      <c r="AC49" s="789">
        <f t="shared" ref="AC49:AC56" si="27">P49/AA49</f>
        <v>651.98502873947336</v>
      </c>
      <c r="AD49" s="173">
        <v>359</v>
      </c>
      <c r="AE49" s="773">
        <f t="shared" ref="AE49:AE56" si="28">P49/AD49</f>
        <v>5.4345403899721445</v>
      </c>
      <c r="AF49" s="166">
        <f t="shared" ref="AF49:AF63" si="29">SUM(AG49:AH49)</f>
        <v>2336</v>
      </c>
      <c r="AG49" s="1200">
        <v>1174</v>
      </c>
      <c r="AH49" s="1200">
        <v>1162</v>
      </c>
      <c r="AI49" s="802" t="s">
        <v>233</v>
      </c>
      <c r="AJ49" s="198"/>
      <c r="AK49" s="185"/>
    </row>
    <row r="50" spans="1:37" s="176" customFormat="1" ht="14.45" customHeight="1">
      <c r="A50" s="197" t="s">
        <v>234</v>
      </c>
      <c r="B50" s="173">
        <f t="shared" si="20"/>
        <v>327</v>
      </c>
      <c r="C50" s="173">
        <v>138</v>
      </c>
      <c r="D50" s="173">
        <v>189</v>
      </c>
      <c r="E50" s="191">
        <v>71</v>
      </c>
      <c r="F50" s="182">
        <v>4.605633802816901</v>
      </c>
      <c r="G50" s="173">
        <f t="shared" si="22"/>
        <v>291</v>
      </c>
      <c r="H50" s="173">
        <v>116</v>
      </c>
      <c r="I50" s="173">
        <v>175</v>
      </c>
      <c r="J50" s="192">
        <f t="shared" si="21"/>
        <v>-1.9374900951123073</v>
      </c>
      <c r="K50" s="174">
        <f t="shared" si="23"/>
        <v>389</v>
      </c>
      <c r="L50" s="173">
        <v>175</v>
      </c>
      <c r="M50" s="173">
        <v>214</v>
      </c>
      <c r="N50" s="828">
        <f t="shared" si="1"/>
        <v>81.775700934579447</v>
      </c>
      <c r="O50" s="205">
        <f t="shared" si="24"/>
        <v>3.4147773699641615</v>
      </c>
      <c r="P50" s="173">
        <v>409</v>
      </c>
      <c r="Q50" s="173">
        <v>188</v>
      </c>
      <c r="R50" s="173">
        <v>221</v>
      </c>
      <c r="S50" s="174">
        <v>388</v>
      </c>
      <c r="T50" s="173">
        <v>174</v>
      </c>
      <c r="U50" s="772">
        <v>214</v>
      </c>
      <c r="V50" s="173">
        <v>21</v>
      </c>
      <c r="W50" s="173">
        <v>14</v>
      </c>
      <c r="X50" s="772">
        <v>7</v>
      </c>
      <c r="Y50" s="173"/>
      <c r="Z50" s="777">
        <v>113.49</v>
      </c>
      <c r="AA50" s="777">
        <f t="shared" si="25"/>
        <v>1.1349</v>
      </c>
      <c r="AB50" s="789">
        <f t="shared" si="26"/>
        <v>342.76147678209531</v>
      </c>
      <c r="AC50" s="789">
        <f t="shared" si="27"/>
        <v>360.38417481716448</v>
      </c>
      <c r="AD50" s="173">
        <v>99</v>
      </c>
      <c r="AE50" s="773">
        <f t="shared" si="28"/>
        <v>4.1313131313131315</v>
      </c>
      <c r="AF50" s="166">
        <f t="shared" si="29"/>
        <v>599</v>
      </c>
      <c r="AG50" s="1200">
        <v>283</v>
      </c>
      <c r="AH50" s="1200">
        <v>316</v>
      </c>
      <c r="AI50" s="802" t="s">
        <v>235</v>
      </c>
      <c r="AJ50" s="198"/>
      <c r="AK50" s="185"/>
    </row>
    <row r="51" spans="1:37" s="176" customFormat="1" ht="14.45" customHeight="1">
      <c r="A51" s="197" t="s">
        <v>236</v>
      </c>
      <c r="B51" s="173">
        <f t="shared" si="20"/>
        <v>469</v>
      </c>
      <c r="C51" s="173">
        <v>191</v>
      </c>
      <c r="D51" s="173">
        <v>278</v>
      </c>
      <c r="E51" s="191">
        <v>108</v>
      </c>
      <c r="F51" s="182">
        <v>4.3425925925925926</v>
      </c>
      <c r="G51" s="173">
        <f t="shared" si="22"/>
        <v>375</v>
      </c>
      <c r="H51" s="173">
        <v>160</v>
      </c>
      <c r="I51" s="173">
        <v>215</v>
      </c>
      <c r="J51" s="192">
        <f t="shared" si="21"/>
        <v>-3.7155605062436647</v>
      </c>
      <c r="K51" s="174">
        <f t="shared" si="23"/>
        <v>397</v>
      </c>
      <c r="L51" s="173">
        <v>176</v>
      </c>
      <c r="M51" s="173">
        <v>221</v>
      </c>
      <c r="N51" s="828">
        <f t="shared" si="1"/>
        <v>79.638009049773757</v>
      </c>
      <c r="O51" s="205">
        <f t="shared" si="24"/>
        <v>0.67070887902093623</v>
      </c>
      <c r="P51" s="173">
        <v>417</v>
      </c>
      <c r="Q51" s="173">
        <v>189</v>
      </c>
      <c r="R51" s="173">
        <v>228</v>
      </c>
      <c r="S51" s="174">
        <v>397</v>
      </c>
      <c r="T51" s="173">
        <v>176</v>
      </c>
      <c r="U51" s="772">
        <v>221</v>
      </c>
      <c r="V51" s="173">
        <v>20</v>
      </c>
      <c r="W51" s="173">
        <v>13</v>
      </c>
      <c r="X51" s="772">
        <v>7</v>
      </c>
      <c r="Y51" s="173"/>
      <c r="Z51" s="777">
        <v>29.38</v>
      </c>
      <c r="AA51" s="777">
        <f t="shared" si="25"/>
        <v>0.29380000000000001</v>
      </c>
      <c r="AB51" s="789">
        <f t="shared" si="26"/>
        <v>1351.2593601089177</v>
      </c>
      <c r="AC51" s="789">
        <f t="shared" si="27"/>
        <v>1419.3328795098707</v>
      </c>
      <c r="AD51" s="173">
        <v>104</v>
      </c>
      <c r="AE51" s="773">
        <f t="shared" si="28"/>
        <v>4.009615384615385</v>
      </c>
      <c r="AF51" s="166">
        <f t="shared" si="29"/>
        <v>854</v>
      </c>
      <c r="AG51" s="1200">
        <v>437</v>
      </c>
      <c r="AH51" s="1200">
        <v>417</v>
      </c>
      <c r="AI51" s="802" t="s">
        <v>237</v>
      </c>
      <c r="AJ51" s="198"/>
      <c r="AK51" s="185"/>
    </row>
    <row r="52" spans="1:37" s="176" customFormat="1" ht="14.45" customHeight="1">
      <c r="A52" s="197" t="s">
        <v>238</v>
      </c>
      <c r="B52" s="173">
        <f t="shared" si="20"/>
        <v>375</v>
      </c>
      <c r="C52" s="173">
        <v>159</v>
      </c>
      <c r="D52" s="173">
        <v>216</v>
      </c>
      <c r="E52" s="191">
        <v>59</v>
      </c>
      <c r="F52" s="182">
        <v>6.3559322033898304</v>
      </c>
      <c r="G52" s="173">
        <f t="shared" si="22"/>
        <v>351</v>
      </c>
      <c r="H52" s="173">
        <v>156</v>
      </c>
      <c r="I52" s="173">
        <v>195</v>
      </c>
      <c r="J52" s="192">
        <f t="shared" si="21"/>
        <v>-1.0986678156901155</v>
      </c>
      <c r="K52" s="174">
        <f t="shared" si="23"/>
        <v>315</v>
      </c>
      <c r="L52" s="173">
        <v>147</v>
      </c>
      <c r="M52" s="173">
        <v>168</v>
      </c>
      <c r="N52" s="828">
        <f t="shared" si="1"/>
        <v>87.5</v>
      </c>
      <c r="O52" s="205">
        <f t="shared" si="24"/>
        <v>-1.2731009957674437</v>
      </c>
      <c r="P52" s="173">
        <v>335</v>
      </c>
      <c r="Q52" s="173">
        <v>165</v>
      </c>
      <c r="R52" s="173">
        <v>170</v>
      </c>
      <c r="S52" s="174">
        <v>314</v>
      </c>
      <c r="T52" s="173">
        <v>147</v>
      </c>
      <c r="U52" s="772">
        <v>167</v>
      </c>
      <c r="V52" s="173">
        <v>21</v>
      </c>
      <c r="W52" s="173">
        <v>18</v>
      </c>
      <c r="X52" s="772">
        <v>3</v>
      </c>
      <c r="Y52" s="173"/>
      <c r="Z52" s="777">
        <v>45.36</v>
      </c>
      <c r="AA52" s="777">
        <f t="shared" si="25"/>
        <v>0.4536</v>
      </c>
      <c r="AB52" s="789">
        <f t="shared" si="26"/>
        <v>694.44444444444446</v>
      </c>
      <c r="AC52" s="789">
        <f t="shared" si="27"/>
        <v>738.53615520282187</v>
      </c>
      <c r="AD52" s="173">
        <v>76</v>
      </c>
      <c r="AE52" s="773">
        <f t="shared" si="28"/>
        <v>4.4078947368421053</v>
      </c>
      <c r="AF52" s="166">
        <f t="shared" si="29"/>
        <v>573</v>
      </c>
      <c r="AG52" s="1200">
        <v>298</v>
      </c>
      <c r="AH52" s="1200">
        <v>275</v>
      </c>
      <c r="AI52" s="802" t="s">
        <v>239</v>
      </c>
      <c r="AJ52" s="197"/>
    </row>
    <row r="53" spans="1:37" s="176" customFormat="1" ht="14.45" customHeight="1">
      <c r="A53" s="197" t="s">
        <v>240</v>
      </c>
      <c r="B53" s="173">
        <f t="shared" si="20"/>
        <v>418</v>
      </c>
      <c r="C53" s="173">
        <v>182</v>
      </c>
      <c r="D53" s="173">
        <v>236</v>
      </c>
      <c r="E53" s="191">
        <v>72</v>
      </c>
      <c r="F53" s="182">
        <v>5.8055555555555554</v>
      </c>
      <c r="G53" s="173">
        <f t="shared" si="22"/>
        <v>260</v>
      </c>
      <c r="H53" s="173">
        <v>118</v>
      </c>
      <c r="I53" s="173">
        <v>142</v>
      </c>
      <c r="J53" s="192">
        <f t="shared" si="21"/>
        <v>-7.8870398921798772</v>
      </c>
      <c r="K53" s="174">
        <f t="shared" si="23"/>
        <v>991</v>
      </c>
      <c r="L53" s="173">
        <v>428</v>
      </c>
      <c r="M53" s="173">
        <v>563</v>
      </c>
      <c r="N53" s="828">
        <f t="shared" si="1"/>
        <v>76.021314387211376</v>
      </c>
      <c r="O53" s="205">
        <f t="shared" si="24"/>
        <v>15.741563568405414</v>
      </c>
      <c r="P53" s="173">
        <v>1081</v>
      </c>
      <c r="Q53" s="173">
        <v>504</v>
      </c>
      <c r="R53" s="173">
        <v>577</v>
      </c>
      <c r="S53" s="174">
        <v>990</v>
      </c>
      <c r="T53" s="173">
        <v>427</v>
      </c>
      <c r="U53" s="772">
        <v>563</v>
      </c>
      <c r="V53" s="173">
        <v>91</v>
      </c>
      <c r="W53" s="173">
        <v>77</v>
      </c>
      <c r="X53" s="772">
        <v>14</v>
      </c>
      <c r="Y53" s="173"/>
      <c r="Z53" s="777">
        <v>166.57</v>
      </c>
      <c r="AA53" s="777">
        <f t="shared" si="25"/>
        <v>1.6657</v>
      </c>
      <c r="AB53" s="789">
        <f t="shared" si="26"/>
        <v>594.94506813952091</v>
      </c>
      <c r="AC53" s="789">
        <f t="shared" si="27"/>
        <v>648.9764063156631</v>
      </c>
      <c r="AD53" s="173">
        <v>240</v>
      </c>
      <c r="AE53" s="773">
        <f t="shared" si="28"/>
        <v>4.5041666666666664</v>
      </c>
      <c r="AF53" s="166">
        <f t="shared" si="29"/>
        <v>1968</v>
      </c>
      <c r="AG53" s="1200">
        <v>969</v>
      </c>
      <c r="AH53" s="1200">
        <v>999</v>
      </c>
      <c r="AI53" s="802" t="s">
        <v>241</v>
      </c>
      <c r="AJ53" s="197"/>
    </row>
    <row r="54" spans="1:37" s="176" customFormat="1" ht="14.45" customHeight="1">
      <c r="A54" s="197" t="s">
        <v>242</v>
      </c>
      <c r="B54" s="173">
        <f t="shared" si="20"/>
        <v>749</v>
      </c>
      <c r="C54" s="173">
        <v>334</v>
      </c>
      <c r="D54" s="173">
        <v>415</v>
      </c>
      <c r="E54" s="191">
        <v>136</v>
      </c>
      <c r="F54" s="182">
        <v>5.507352941176471</v>
      </c>
      <c r="G54" s="173">
        <f t="shared" si="22"/>
        <v>717</v>
      </c>
      <c r="H54" s="173">
        <v>319</v>
      </c>
      <c r="I54" s="173">
        <v>398</v>
      </c>
      <c r="J54" s="192">
        <f t="shared" si="21"/>
        <v>-0.72530137736875544</v>
      </c>
      <c r="K54" s="174">
        <f t="shared" si="23"/>
        <v>827</v>
      </c>
      <c r="L54" s="173">
        <v>358</v>
      </c>
      <c r="M54" s="173">
        <v>469</v>
      </c>
      <c r="N54" s="828">
        <f t="shared" si="1"/>
        <v>76.332622601279326</v>
      </c>
      <c r="O54" s="205">
        <f t="shared" si="24"/>
        <v>1.679162993224365</v>
      </c>
      <c r="P54" s="173">
        <v>859</v>
      </c>
      <c r="Q54" s="173">
        <v>382</v>
      </c>
      <c r="R54" s="173">
        <v>477</v>
      </c>
      <c r="S54" s="174">
        <v>827</v>
      </c>
      <c r="T54" s="173">
        <v>358</v>
      </c>
      <c r="U54" s="772">
        <v>469</v>
      </c>
      <c r="V54" s="173">
        <v>32</v>
      </c>
      <c r="W54" s="173">
        <v>24</v>
      </c>
      <c r="X54" s="772">
        <v>8</v>
      </c>
      <c r="Y54" s="173"/>
      <c r="Z54" s="777">
        <v>31.52</v>
      </c>
      <c r="AA54" s="777">
        <f t="shared" si="25"/>
        <v>0.31519999999999998</v>
      </c>
      <c r="AB54" s="789">
        <f t="shared" si="26"/>
        <v>2623.7309644670054</v>
      </c>
      <c r="AC54" s="789">
        <f t="shared" si="27"/>
        <v>2725.2538071065992</v>
      </c>
      <c r="AD54" s="173">
        <v>181</v>
      </c>
      <c r="AE54" s="773">
        <f t="shared" si="28"/>
        <v>4.7458563535911606</v>
      </c>
      <c r="AF54" s="166">
        <f t="shared" si="29"/>
        <v>1348</v>
      </c>
      <c r="AG54" s="1200">
        <v>696</v>
      </c>
      <c r="AH54" s="1200">
        <v>652</v>
      </c>
      <c r="AI54" s="802" t="s">
        <v>243</v>
      </c>
      <c r="AJ54" s="197"/>
    </row>
    <row r="55" spans="1:37" s="176" customFormat="1" ht="14.45" customHeight="1">
      <c r="A55" s="197" t="s">
        <v>244</v>
      </c>
      <c r="B55" s="173">
        <f t="shared" si="20"/>
        <v>1556</v>
      </c>
      <c r="C55" s="173">
        <v>775</v>
      </c>
      <c r="D55" s="173">
        <v>781</v>
      </c>
      <c r="E55" s="191">
        <v>271</v>
      </c>
      <c r="F55" s="182">
        <v>5.7416974169741701</v>
      </c>
      <c r="G55" s="173">
        <f t="shared" si="22"/>
        <v>1554</v>
      </c>
      <c r="H55" s="173">
        <v>707</v>
      </c>
      <c r="I55" s="173">
        <v>847</v>
      </c>
      <c r="J55" s="192">
        <f t="shared" si="21"/>
        <v>-2.1365013467510276E-2</v>
      </c>
      <c r="K55" s="174">
        <f t="shared" si="23"/>
        <v>1830</v>
      </c>
      <c r="L55" s="173">
        <v>811</v>
      </c>
      <c r="M55" s="173">
        <v>1019</v>
      </c>
      <c r="N55" s="828">
        <f t="shared" si="1"/>
        <v>79.587831207065747</v>
      </c>
      <c r="O55" s="205">
        <f t="shared" si="24"/>
        <v>1.9233378224455759</v>
      </c>
      <c r="P55" s="173">
        <v>1892</v>
      </c>
      <c r="Q55" s="173">
        <v>856</v>
      </c>
      <c r="R55" s="173">
        <v>1036</v>
      </c>
      <c r="S55" s="174">
        <v>1830</v>
      </c>
      <c r="T55" s="173">
        <v>811</v>
      </c>
      <c r="U55" s="772">
        <v>1019</v>
      </c>
      <c r="V55" s="173">
        <v>62</v>
      </c>
      <c r="W55" s="173">
        <v>45</v>
      </c>
      <c r="X55" s="772">
        <v>17</v>
      </c>
      <c r="Y55" s="173"/>
      <c r="Z55" s="777">
        <v>202.49</v>
      </c>
      <c r="AA55" s="777">
        <f t="shared" si="25"/>
        <v>2.0249000000000001</v>
      </c>
      <c r="AB55" s="789">
        <f t="shared" si="26"/>
        <v>903.74833325102463</v>
      </c>
      <c r="AC55" s="789">
        <f t="shared" si="27"/>
        <v>934.36712924095013</v>
      </c>
      <c r="AD55" s="173">
        <v>347</v>
      </c>
      <c r="AE55" s="773">
        <f t="shared" si="28"/>
        <v>5.4524495677233427</v>
      </c>
      <c r="AF55" s="166">
        <f t="shared" si="29"/>
        <v>2774</v>
      </c>
      <c r="AG55" s="1200">
        <v>1410</v>
      </c>
      <c r="AH55" s="1200">
        <v>1364</v>
      </c>
      <c r="AI55" s="802" t="s">
        <v>245</v>
      </c>
      <c r="AJ55" s="197"/>
    </row>
    <row r="56" spans="1:37" s="176" customFormat="1" ht="14.45" customHeight="1">
      <c r="A56" s="197" t="s">
        <v>246</v>
      </c>
      <c r="B56" s="173">
        <f t="shared" si="20"/>
        <v>463</v>
      </c>
      <c r="C56" s="173">
        <v>212</v>
      </c>
      <c r="D56" s="173">
        <v>251</v>
      </c>
      <c r="E56" s="191">
        <v>82</v>
      </c>
      <c r="F56" s="182">
        <v>5.6463414634146343</v>
      </c>
      <c r="G56" s="173">
        <f t="shared" si="22"/>
        <v>430</v>
      </c>
      <c r="H56" s="173">
        <v>207</v>
      </c>
      <c r="I56" s="173">
        <v>223</v>
      </c>
      <c r="J56" s="192">
        <f t="shared" si="21"/>
        <v>-1.2282698571200323</v>
      </c>
      <c r="K56" s="174">
        <f t="shared" si="23"/>
        <v>448</v>
      </c>
      <c r="L56" s="173">
        <v>214</v>
      </c>
      <c r="M56" s="173">
        <v>234</v>
      </c>
      <c r="N56" s="828">
        <f t="shared" si="1"/>
        <v>91.452991452991455</v>
      </c>
      <c r="O56" s="205">
        <f t="shared" si="24"/>
        <v>0.48244733796914163</v>
      </c>
      <c r="P56" s="173">
        <v>463</v>
      </c>
      <c r="Q56" s="173">
        <v>225</v>
      </c>
      <c r="R56" s="173">
        <v>238</v>
      </c>
      <c r="S56" s="174">
        <v>444</v>
      </c>
      <c r="T56" s="173">
        <v>211</v>
      </c>
      <c r="U56" s="772">
        <v>233</v>
      </c>
      <c r="V56" s="173">
        <v>19</v>
      </c>
      <c r="W56" s="173">
        <v>14</v>
      </c>
      <c r="X56" s="772">
        <v>5</v>
      </c>
      <c r="Y56" s="173"/>
      <c r="Z56" s="777">
        <v>40.049999999999997</v>
      </c>
      <c r="AA56" s="777">
        <f t="shared" si="25"/>
        <v>0.40049999999999997</v>
      </c>
      <c r="AB56" s="789">
        <f t="shared" si="26"/>
        <v>1118.601747815231</v>
      </c>
      <c r="AC56" s="789">
        <f t="shared" si="27"/>
        <v>1156.0549313358304</v>
      </c>
      <c r="AD56" s="173">
        <v>95</v>
      </c>
      <c r="AE56" s="773">
        <f t="shared" si="28"/>
        <v>4.8736842105263154</v>
      </c>
      <c r="AF56" s="166">
        <f t="shared" si="29"/>
        <v>754</v>
      </c>
      <c r="AG56" s="1200">
        <v>394</v>
      </c>
      <c r="AH56" s="1200">
        <v>360</v>
      </c>
      <c r="AI56" s="802" t="s">
        <v>247</v>
      </c>
      <c r="AJ56" s="197"/>
    </row>
    <row r="57" spans="1:37" s="176" customFormat="1" ht="14.45" customHeight="1">
      <c r="A57" s="197" t="s">
        <v>248</v>
      </c>
      <c r="B57" s="173">
        <f t="shared" si="20"/>
        <v>241</v>
      </c>
      <c r="C57" s="173">
        <v>118</v>
      </c>
      <c r="D57" s="173">
        <v>123</v>
      </c>
      <c r="E57" s="191">
        <v>50</v>
      </c>
      <c r="F57" s="182">
        <v>4.82</v>
      </c>
      <c r="G57" s="173">
        <f t="shared" si="22"/>
        <v>85</v>
      </c>
      <c r="H57" s="173">
        <v>35</v>
      </c>
      <c r="I57" s="173">
        <v>50</v>
      </c>
      <c r="J57" s="192">
        <f t="shared" si="21"/>
        <v>-17.311389983394328</v>
      </c>
      <c r="K57" s="174" t="s">
        <v>187</v>
      </c>
      <c r="L57" s="173" t="s">
        <v>187</v>
      </c>
      <c r="M57" s="173" t="s">
        <v>187</v>
      </c>
      <c r="N57" s="828" t="s">
        <v>187</v>
      </c>
      <c r="O57" s="815" t="s">
        <v>187</v>
      </c>
      <c r="P57" s="173" t="s">
        <v>187</v>
      </c>
      <c r="Q57" s="173" t="s">
        <v>187</v>
      </c>
      <c r="R57" s="173" t="s">
        <v>187</v>
      </c>
      <c r="S57" s="174" t="s">
        <v>187</v>
      </c>
      <c r="T57" s="173" t="s">
        <v>187</v>
      </c>
      <c r="U57" s="772" t="s">
        <v>187</v>
      </c>
      <c r="V57" s="173" t="s">
        <v>187</v>
      </c>
      <c r="W57" s="173" t="s">
        <v>187</v>
      </c>
      <c r="X57" s="772" t="s">
        <v>187</v>
      </c>
      <c r="Y57" s="173"/>
      <c r="Z57" s="770" t="s">
        <v>187</v>
      </c>
      <c r="AA57" s="770" t="s">
        <v>187</v>
      </c>
      <c r="AB57" s="788" t="s">
        <v>187</v>
      </c>
      <c r="AC57" s="788" t="s">
        <v>187</v>
      </c>
      <c r="AD57" s="173" t="s">
        <v>187</v>
      </c>
      <c r="AE57" s="173" t="s">
        <v>187</v>
      </c>
      <c r="AF57" s="166">
        <f t="shared" si="29"/>
        <v>2</v>
      </c>
      <c r="AG57" s="1200">
        <v>1</v>
      </c>
      <c r="AH57" s="1200">
        <v>1</v>
      </c>
      <c r="AI57" s="802" t="s">
        <v>249</v>
      </c>
      <c r="AJ57" s="197"/>
    </row>
    <row r="58" spans="1:37" s="176" customFormat="1" ht="14.45" customHeight="1">
      <c r="A58" s="197" t="s">
        <v>250</v>
      </c>
      <c r="B58" s="173">
        <f t="shared" si="20"/>
        <v>6581</v>
      </c>
      <c r="C58" s="173">
        <v>3131</v>
      </c>
      <c r="D58" s="173">
        <v>3450</v>
      </c>
      <c r="E58" s="191">
        <v>1018</v>
      </c>
      <c r="F58" s="182">
        <v>6.4646365422396856</v>
      </c>
      <c r="G58" s="173">
        <f t="shared" si="22"/>
        <v>6998</v>
      </c>
      <c r="H58" s="173">
        <v>3299</v>
      </c>
      <c r="I58" s="173">
        <v>3699</v>
      </c>
      <c r="J58" s="192">
        <f t="shared" si="21"/>
        <v>1.0205595427161827</v>
      </c>
      <c r="K58" s="174">
        <f>SUM(L58:M58)</f>
        <v>8226</v>
      </c>
      <c r="L58" s="173">
        <v>3790</v>
      </c>
      <c r="M58" s="173">
        <v>4436</v>
      </c>
      <c r="N58" s="828">
        <f t="shared" si="1"/>
        <v>85.437330928764652</v>
      </c>
      <c r="O58" s="205">
        <f>LN(K58/G58)/8.5*100</f>
        <v>1.9020644219145413</v>
      </c>
      <c r="P58" s="173">
        <v>8440</v>
      </c>
      <c r="Q58" s="173">
        <v>3965</v>
      </c>
      <c r="R58" s="173">
        <v>4475</v>
      </c>
      <c r="S58" s="174">
        <v>8186</v>
      </c>
      <c r="T58" s="173">
        <v>3764</v>
      </c>
      <c r="U58" s="772">
        <v>4422</v>
      </c>
      <c r="V58" s="173">
        <v>254</v>
      </c>
      <c r="W58" s="173">
        <v>201</v>
      </c>
      <c r="X58" s="772">
        <v>53</v>
      </c>
      <c r="Y58" s="173"/>
      <c r="Z58" s="777">
        <v>234.88</v>
      </c>
      <c r="AA58" s="777">
        <f t="shared" ref="AA58:AA61" si="30">Z58/100</f>
        <v>2.3487999999999998</v>
      </c>
      <c r="AB58" s="789">
        <f>K58/AA58</f>
        <v>3502.2138964577662</v>
      </c>
      <c r="AC58" s="789">
        <f>P58/AA58</f>
        <v>3593.3242506811994</v>
      </c>
      <c r="AD58" s="173">
        <v>1385</v>
      </c>
      <c r="AE58" s="773">
        <f>P58/AD58</f>
        <v>6.0938628158844761</v>
      </c>
      <c r="AF58" s="166">
        <f t="shared" si="29"/>
        <v>10440</v>
      </c>
      <c r="AG58" s="1200">
        <v>5332</v>
      </c>
      <c r="AH58" s="1200">
        <v>5108</v>
      </c>
      <c r="AI58" s="802" t="s">
        <v>251</v>
      </c>
      <c r="AJ58" s="197"/>
    </row>
    <row r="59" spans="1:37" s="176" customFormat="1" ht="14.45" customHeight="1">
      <c r="A59" s="197" t="s">
        <v>252</v>
      </c>
      <c r="B59" s="173">
        <f t="shared" si="20"/>
        <v>963</v>
      </c>
      <c r="C59" s="173">
        <v>419</v>
      </c>
      <c r="D59" s="173">
        <v>544</v>
      </c>
      <c r="E59" s="191">
        <v>181</v>
      </c>
      <c r="F59" s="182">
        <v>5.3204419889502761</v>
      </c>
      <c r="G59" s="173">
        <f t="shared" si="22"/>
        <v>889</v>
      </c>
      <c r="H59" s="173">
        <v>402</v>
      </c>
      <c r="I59" s="173">
        <v>487</v>
      </c>
      <c r="J59" s="192">
        <f t="shared" si="21"/>
        <v>-1.3281756857844025</v>
      </c>
      <c r="K59" s="174">
        <f>SUM(L59:M59)</f>
        <v>859</v>
      </c>
      <c r="L59" s="173">
        <v>375</v>
      </c>
      <c r="M59" s="173">
        <v>484</v>
      </c>
      <c r="N59" s="828">
        <f t="shared" si="1"/>
        <v>77.47933884297521</v>
      </c>
      <c r="O59" s="205">
        <f>LN(K59/G59)/8.5*100</f>
        <v>-0.40386251211351987</v>
      </c>
      <c r="P59" s="173">
        <v>886</v>
      </c>
      <c r="Q59" s="173">
        <v>395</v>
      </c>
      <c r="R59" s="173">
        <v>491</v>
      </c>
      <c r="S59" s="174">
        <v>858</v>
      </c>
      <c r="T59" s="173">
        <v>374</v>
      </c>
      <c r="U59" s="772">
        <v>484</v>
      </c>
      <c r="V59" s="173">
        <v>28</v>
      </c>
      <c r="W59" s="173">
        <v>21</v>
      </c>
      <c r="X59" s="772">
        <v>7</v>
      </c>
      <c r="Y59" s="173"/>
      <c r="Z59" s="777">
        <v>188.36</v>
      </c>
      <c r="AA59" s="777">
        <f t="shared" si="30"/>
        <v>1.8836000000000002</v>
      </c>
      <c r="AB59" s="789">
        <f>K59/AA59</f>
        <v>456.04162242514332</v>
      </c>
      <c r="AC59" s="789">
        <f>P59/AA59</f>
        <v>470.3758759821618</v>
      </c>
      <c r="AD59" s="173">
        <v>202</v>
      </c>
      <c r="AE59" s="773">
        <f>P59/AD59</f>
        <v>4.3861386138613865</v>
      </c>
      <c r="AF59" s="166">
        <f t="shared" si="29"/>
        <v>1488</v>
      </c>
      <c r="AG59" s="1200">
        <v>754</v>
      </c>
      <c r="AH59" s="1200">
        <v>734</v>
      </c>
      <c r="AI59" s="802" t="s">
        <v>253</v>
      </c>
      <c r="AJ59" s="197"/>
    </row>
    <row r="60" spans="1:37" s="176" customFormat="1" ht="14.45" customHeight="1">
      <c r="A60" s="197" t="s">
        <v>254</v>
      </c>
      <c r="B60" s="173">
        <f t="shared" si="20"/>
        <v>950</v>
      </c>
      <c r="C60" s="173">
        <v>465</v>
      </c>
      <c r="D60" s="173">
        <v>485</v>
      </c>
      <c r="E60" s="191">
        <v>190</v>
      </c>
      <c r="F60" s="182">
        <v>5</v>
      </c>
      <c r="G60" s="173">
        <f t="shared" si="22"/>
        <v>835</v>
      </c>
      <c r="H60" s="173">
        <v>370</v>
      </c>
      <c r="I60" s="173">
        <v>465</v>
      </c>
      <c r="J60" s="192">
        <f t="shared" si="21"/>
        <v>-2.1433597964074935</v>
      </c>
      <c r="K60" s="174">
        <f>SUM(L60:M60)</f>
        <v>711</v>
      </c>
      <c r="L60" s="173">
        <v>303</v>
      </c>
      <c r="M60" s="173">
        <v>408</v>
      </c>
      <c r="N60" s="828">
        <f t="shared" si="1"/>
        <v>74.264705882352942</v>
      </c>
      <c r="O60" s="205">
        <f>LN(K60/G60)/8.5*100</f>
        <v>-1.8912858240895842</v>
      </c>
      <c r="P60" s="173">
        <v>743</v>
      </c>
      <c r="Q60" s="173">
        <v>328</v>
      </c>
      <c r="R60" s="173">
        <v>415</v>
      </c>
      <c r="S60" s="174">
        <v>706</v>
      </c>
      <c r="T60" s="173">
        <v>298</v>
      </c>
      <c r="U60" s="772">
        <v>408</v>
      </c>
      <c r="V60" s="173">
        <v>37</v>
      </c>
      <c r="W60" s="173">
        <v>30</v>
      </c>
      <c r="X60" s="772">
        <v>7</v>
      </c>
      <c r="Y60" s="173"/>
      <c r="Z60" s="777">
        <v>168.2</v>
      </c>
      <c r="AA60" s="777">
        <f t="shared" si="30"/>
        <v>1.6819999999999999</v>
      </c>
      <c r="AB60" s="789">
        <f>K60/AA60</f>
        <v>422.71105826397149</v>
      </c>
      <c r="AC60" s="789">
        <f>P60/AA60</f>
        <v>441.73602853745541</v>
      </c>
      <c r="AD60" s="173">
        <v>182</v>
      </c>
      <c r="AE60" s="773">
        <f>P60/AD60</f>
        <v>4.0824175824175821</v>
      </c>
      <c r="AF60" s="166">
        <f t="shared" si="29"/>
        <v>1409</v>
      </c>
      <c r="AG60" s="1200">
        <v>758</v>
      </c>
      <c r="AH60" s="1200">
        <v>651</v>
      </c>
      <c r="AI60" s="802" t="s">
        <v>255</v>
      </c>
      <c r="AJ60" s="197"/>
    </row>
    <row r="61" spans="1:37" s="176" customFormat="1" ht="14.45" customHeight="1">
      <c r="A61" s="197" t="s">
        <v>256</v>
      </c>
      <c r="B61" s="173">
        <f t="shared" si="20"/>
        <v>1210</v>
      </c>
      <c r="C61" s="173">
        <v>556</v>
      </c>
      <c r="D61" s="173">
        <v>654</v>
      </c>
      <c r="E61" s="191">
        <v>206</v>
      </c>
      <c r="F61" s="182">
        <v>5.8737864077669899</v>
      </c>
      <c r="G61" s="173">
        <f t="shared" si="22"/>
        <v>923</v>
      </c>
      <c r="H61" s="173">
        <v>395</v>
      </c>
      <c r="I61" s="173">
        <v>528</v>
      </c>
      <c r="J61" s="192">
        <f t="shared" si="21"/>
        <v>-4.4974485728892812</v>
      </c>
      <c r="K61" s="174">
        <f>SUM(L61:M61)</f>
        <v>746</v>
      </c>
      <c r="L61" s="173">
        <v>356</v>
      </c>
      <c r="M61" s="173">
        <v>390</v>
      </c>
      <c r="N61" s="828">
        <f t="shared" si="1"/>
        <v>91.282051282051285</v>
      </c>
      <c r="O61" s="205">
        <f>LN(K61/G61)/8.5*100</f>
        <v>-2.5047486388128393</v>
      </c>
      <c r="P61" s="173">
        <v>783</v>
      </c>
      <c r="Q61" s="173">
        <v>382</v>
      </c>
      <c r="R61" s="173">
        <v>401</v>
      </c>
      <c r="S61" s="174">
        <v>746</v>
      </c>
      <c r="T61" s="173">
        <v>356</v>
      </c>
      <c r="U61" s="772">
        <v>390</v>
      </c>
      <c r="V61" s="173">
        <v>37</v>
      </c>
      <c r="W61" s="173">
        <v>26</v>
      </c>
      <c r="X61" s="772">
        <v>11</v>
      </c>
      <c r="Y61" s="173"/>
      <c r="Z61" s="777">
        <v>105.14</v>
      </c>
      <c r="AA61" s="777">
        <f t="shared" si="30"/>
        <v>1.0514000000000001</v>
      </c>
      <c r="AB61" s="789">
        <f>K61/AA61</f>
        <v>709.53015027582262</v>
      </c>
      <c r="AC61" s="789">
        <f>L61/AB61</f>
        <v>0.50174048257372661</v>
      </c>
      <c r="AD61" s="777">
        <f>Q61/AB61</f>
        <v>0.53838445040214489</v>
      </c>
      <c r="AE61" s="773">
        <f>P61/AD61</f>
        <v>1454.3510671884007</v>
      </c>
      <c r="AF61" s="166">
        <f t="shared" si="29"/>
        <v>1807</v>
      </c>
      <c r="AG61" s="1200">
        <v>921</v>
      </c>
      <c r="AH61" s="1200">
        <v>886</v>
      </c>
      <c r="AI61" s="802" t="s">
        <v>257</v>
      </c>
      <c r="AJ61" s="197"/>
    </row>
    <row r="62" spans="1:37" s="176" customFormat="1" ht="14.45" customHeight="1">
      <c r="A62" s="197" t="s">
        <v>258</v>
      </c>
      <c r="B62" s="173">
        <f t="shared" si="20"/>
        <v>320</v>
      </c>
      <c r="C62" s="173">
        <v>141</v>
      </c>
      <c r="D62" s="173">
        <v>179</v>
      </c>
      <c r="E62" s="191">
        <v>71</v>
      </c>
      <c r="F62" s="182">
        <v>4.507042253521127</v>
      </c>
      <c r="G62" s="173">
        <f t="shared" si="22"/>
        <v>190</v>
      </c>
      <c r="H62" s="173">
        <v>76</v>
      </c>
      <c r="I62" s="173">
        <v>114</v>
      </c>
      <c r="J62" s="192">
        <f t="shared" si="21"/>
        <v>-8.6594173361010984</v>
      </c>
      <c r="K62" s="174" t="s">
        <v>187</v>
      </c>
      <c r="L62" s="173" t="s">
        <v>187</v>
      </c>
      <c r="M62" s="173" t="s">
        <v>187</v>
      </c>
      <c r="N62" s="828" t="s">
        <v>187</v>
      </c>
      <c r="O62" s="815" t="s">
        <v>187</v>
      </c>
      <c r="P62" s="173" t="s">
        <v>187</v>
      </c>
      <c r="Q62" s="173" t="s">
        <v>187</v>
      </c>
      <c r="R62" s="173" t="s">
        <v>187</v>
      </c>
      <c r="S62" s="174" t="s">
        <v>187</v>
      </c>
      <c r="T62" s="173" t="s">
        <v>187</v>
      </c>
      <c r="U62" s="772" t="s">
        <v>187</v>
      </c>
      <c r="V62" s="173" t="s">
        <v>187</v>
      </c>
      <c r="W62" s="173" t="s">
        <v>187</v>
      </c>
      <c r="X62" s="772" t="s">
        <v>187</v>
      </c>
      <c r="Y62" s="173"/>
      <c r="Z62" s="770" t="s">
        <v>187</v>
      </c>
      <c r="AA62" s="770" t="s">
        <v>187</v>
      </c>
      <c r="AB62" s="788" t="s">
        <v>187</v>
      </c>
      <c r="AC62" s="788" t="s">
        <v>187</v>
      </c>
      <c r="AD62" s="173" t="s">
        <v>187</v>
      </c>
      <c r="AE62" s="173" t="s">
        <v>187</v>
      </c>
      <c r="AF62" s="166">
        <f t="shared" si="29"/>
        <v>1</v>
      </c>
      <c r="AG62" s="1200">
        <v>1</v>
      </c>
      <c r="AH62" s="1200">
        <v>0</v>
      </c>
      <c r="AI62" s="802" t="s">
        <v>259</v>
      </c>
      <c r="AJ62" s="197"/>
    </row>
    <row r="63" spans="1:37" s="176" customFormat="1" ht="14.45" customHeight="1">
      <c r="A63" s="197" t="s">
        <v>260</v>
      </c>
      <c r="B63" s="173">
        <f t="shared" si="20"/>
        <v>1073</v>
      </c>
      <c r="C63" s="173">
        <v>532</v>
      </c>
      <c r="D63" s="173">
        <v>541</v>
      </c>
      <c r="E63" s="191">
        <v>185</v>
      </c>
      <c r="F63" s="182">
        <v>5.8</v>
      </c>
      <c r="G63" s="173">
        <f t="shared" si="22"/>
        <v>1045</v>
      </c>
      <c r="H63" s="173">
        <v>505</v>
      </c>
      <c r="I63" s="173">
        <v>540</v>
      </c>
      <c r="J63" s="192">
        <f t="shared" si="21"/>
        <v>-0.43922887428217738</v>
      </c>
      <c r="K63" s="174">
        <f>SUM(L63:M63)</f>
        <v>1213</v>
      </c>
      <c r="L63" s="173">
        <v>563</v>
      </c>
      <c r="M63" s="173">
        <v>650</v>
      </c>
      <c r="N63" s="828">
        <f t="shared" si="1"/>
        <v>86.615384615384613</v>
      </c>
      <c r="O63" s="205">
        <f>LN(K63/G63)/8.5*100</f>
        <v>1.753879347589868</v>
      </c>
      <c r="P63" s="173">
        <v>1282</v>
      </c>
      <c r="Q63" s="173">
        <v>621</v>
      </c>
      <c r="R63" s="173">
        <v>661</v>
      </c>
      <c r="S63" s="174">
        <v>1213</v>
      </c>
      <c r="T63" s="173">
        <v>563</v>
      </c>
      <c r="U63" s="772">
        <v>650</v>
      </c>
      <c r="V63" s="173">
        <v>69</v>
      </c>
      <c r="W63" s="173">
        <v>58</v>
      </c>
      <c r="X63" s="772">
        <v>11</v>
      </c>
      <c r="Y63" s="173"/>
      <c r="Z63" s="777">
        <v>73.989999999999995</v>
      </c>
      <c r="AA63" s="777">
        <f>Z63/100</f>
        <v>0.7399</v>
      </c>
      <c r="AB63" s="789">
        <f>K63/AA63</f>
        <v>1639.4107311798891</v>
      </c>
      <c r="AC63" s="789">
        <f>P63/AA63</f>
        <v>1732.6665765644007</v>
      </c>
      <c r="AD63" s="173">
        <v>259</v>
      </c>
      <c r="AE63" s="773">
        <f>P63/AD63</f>
        <v>4.9498069498069501</v>
      </c>
      <c r="AF63" s="166">
        <f t="shared" si="29"/>
        <v>1854</v>
      </c>
      <c r="AG63" s="1200">
        <v>963</v>
      </c>
      <c r="AH63" s="1200">
        <v>891</v>
      </c>
      <c r="AI63" s="802" t="s">
        <v>261</v>
      </c>
      <c r="AJ63" s="197"/>
    </row>
    <row r="64" spans="1:37" s="176" customFormat="1" ht="14.45" customHeight="1">
      <c r="A64" s="197"/>
      <c r="B64" s="173"/>
      <c r="C64" s="173"/>
      <c r="D64" s="173"/>
      <c r="E64" s="191"/>
      <c r="F64" s="182"/>
      <c r="G64" s="173"/>
      <c r="H64" s="173"/>
      <c r="I64" s="173"/>
      <c r="J64" s="192"/>
      <c r="K64" s="174"/>
      <c r="L64" s="173"/>
      <c r="M64" s="173"/>
      <c r="N64" s="828"/>
      <c r="O64" s="205"/>
      <c r="P64" s="173"/>
      <c r="Q64" s="173"/>
      <c r="R64" s="173"/>
      <c r="S64" s="174"/>
      <c r="T64" s="173"/>
      <c r="U64" s="772"/>
      <c r="V64" s="173"/>
      <c r="W64" s="173"/>
      <c r="X64" s="772"/>
      <c r="Y64" s="173"/>
      <c r="Z64" s="777"/>
      <c r="AA64" s="777"/>
      <c r="AB64" s="789"/>
      <c r="AC64" s="789"/>
      <c r="AD64" s="173"/>
      <c r="AE64" s="773"/>
      <c r="AF64" s="174"/>
      <c r="AG64" s="175"/>
      <c r="AH64" s="175"/>
      <c r="AI64" s="802"/>
      <c r="AJ64" s="197"/>
    </row>
    <row r="65" spans="1:37" s="167" customFormat="1" ht="14.25">
      <c r="A65" s="190" t="s">
        <v>262</v>
      </c>
      <c r="B65" s="163">
        <f t="shared" ref="B65:B80" si="31">SUM(C65:D65)</f>
        <v>11391</v>
      </c>
      <c r="C65" s="163">
        <f>SUM(C66:C81)</f>
        <v>5409</v>
      </c>
      <c r="D65" s="163">
        <f>SUM(D66:D81)</f>
        <v>5982</v>
      </c>
      <c r="E65" s="163">
        <f>SUM(E66:E81)</f>
        <v>1992</v>
      </c>
      <c r="F65" s="164">
        <v>5.697302697302697</v>
      </c>
      <c r="G65" s="163">
        <f>SUM(H65:I65)</f>
        <v>11830</v>
      </c>
      <c r="H65" s="163">
        <f>SUM(H66:H81)</f>
        <v>5535</v>
      </c>
      <c r="I65" s="163">
        <f>SUM(I66:I81)</f>
        <v>6295</v>
      </c>
      <c r="J65" s="168">
        <f t="shared" ref="J65:J73" si="32">LN(G65/B65)/6.02*100</f>
        <v>0.62815794140399273</v>
      </c>
      <c r="K65" s="166">
        <f t="shared" ref="K65:K73" si="33">SUM(L65:M65)</f>
        <v>12127</v>
      </c>
      <c r="L65" s="163">
        <f>SUM(L66:L81)</f>
        <v>5517</v>
      </c>
      <c r="M65" s="163">
        <f>SUM(M66:M81)</f>
        <v>6610</v>
      </c>
      <c r="N65" s="827">
        <f t="shared" si="1"/>
        <v>83.464447806354016</v>
      </c>
      <c r="O65" s="814">
        <f t="shared" ref="O65:O73" si="34">LN(K65/G65)/8.5*100</f>
        <v>0.2917140433454038</v>
      </c>
      <c r="P65" s="163">
        <f t="shared" ref="P65" si="35">SUM(Q65:R65)</f>
        <v>12636</v>
      </c>
      <c r="Q65" s="163">
        <f>SUM(Q66:Q81)</f>
        <v>5909</v>
      </c>
      <c r="R65" s="163">
        <f>SUM(R66:R81)</f>
        <v>6727</v>
      </c>
      <c r="S65" s="166">
        <f t="shared" ref="S65" si="36">SUM(T65:U65)</f>
        <v>12091</v>
      </c>
      <c r="T65" s="163">
        <f>SUM(T66:T81)</f>
        <v>5497</v>
      </c>
      <c r="U65" s="769">
        <f>SUM(U66:U81)</f>
        <v>6594</v>
      </c>
      <c r="V65" s="163">
        <f t="shared" ref="V65" si="37">SUM(W65:X65)</f>
        <v>545</v>
      </c>
      <c r="W65" s="163">
        <f>SUM(W66:W81)</f>
        <v>412</v>
      </c>
      <c r="X65" s="769">
        <f>SUM(X66:X81)</f>
        <v>133</v>
      </c>
      <c r="Y65" s="163"/>
      <c r="Z65" s="770" t="s">
        <v>187</v>
      </c>
      <c r="AA65" s="770" t="s">
        <v>187</v>
      </c>
      <c r="AB65" s="788" t="s">
        <v>187</v>
      </c>
      <c r="AC65" s="788" t="s">
        <v>187</v>
      </c>
      <c r="AD65" s="163">
        <f>SUM(AD66:AD81)</f>
        <v>2624</v>
      </c>
      <c r="AE65" s="771">
        <f t="shared" ref="AE65:AE73" si="38">P65/AD65</f>
        <v>4.8155487804878048</v>
      </c>
      <c r="AF65" s="166">
        <f t="shared" ref="AF65:AF73" si="39">SUM(AG65:AH65)</f>
        <v>18981</v>
      </c>
      <c r="AG65" s="170">
        <f>SUM(AG66:AG81)</f>
        <v>9681</v>
      </c>
      <c r="AH65" s="170">
        <f>SUM(AH66:AH81)</f>
        <v>9300</v>
      </c>
      <c r="AI65" s="762" t="s">
        <v>263</v>
      </c>
      <c r="AJ65" s="151"/>
    </row>
    <row r="66" spans="1:37" s="150" customFormat="1" ht="14.25">
      <c r="A66" s="188" t="s">
        <v>264</v>
      </c>
      <c r="B66" s="173">
        <f t="shared" si="31"/>
        <v>1082</v>
      </c>
      <c r="C66" s="173">
        <v>524</v>
      </c>
      <c r="D66" s="173">
        <v>558</v>
      </c>
      <c r="E66" s="173">
        <v>157</v>
      </c>
      <c r="F66" s="182">
        <v>6.8917197452229297</v>
      </c>
      <c r="G66" s="173">
        <f>SUM(H66:I66)</f>
        <v>1148</v>
      </c>
      <c r="H66" s="173">
        <v>531</v>
      </c>
      <c r="I66" s="173">
        <v>617</v>
      </c>
      <c r="J66" s="192">
        <f t="shared" si="32"/>
        <v>0.98355676865589692</v>
      </c>
      <c r="K66" s="174">
        <f t="shared" si="33"/>
        <v>1071</v>
      </c>
      <c r="L66" s="173">
        <v>454</v>
      </c>
      <c r="M66" s="173">
        <v>617</v>
      </c>
      <c r="N66" s="828">
        <f t="shared" si="1"/>
        <v>73.58184764991897</v>
      </c>
      <c r="O66" s="205">
        <f t="shared" si="34"/>
        <v>-0.81680595802074007</v>
      </c>
      <c r="P66" s="173">
        <v>1094</v>
      </c>
      <c r="Q66" s="173">
        <v>480</v>
      </c>
      <c r="R66" s="173">
        <v>614</v>
      </c>
      <c r="S66" s="174">
        <v>1057</v>
      </c>
      <c r="T66" s="173">
        <v>449</v>
      </c>
      <c r="U66" s="772">
        <v>608</v>
      </c>
      <c r="V66" s="173">
        <v>37</v>
      </c>
      <c r="W66" s="173">
        <v>31</v>
      </c>
      <c r="X66" s="772">
        <v>6</v>
      </c>
      <c r="Y66" s="173"/>
      <c r="Z66" s="777">
        <v>86.92</v>
      </c>
      <c r="AA66" s="777">
        <f t="shared" ref="AA66:AA73" si="40">Z66/100</f>
        <v>0.86919999999999997</v>
      </c>
      <c r="AB66" s="789">
        <f t="shared" ref="AB66:AB73" si="41">K66/AA66</f>
        <v>1232.1675103543489</v>
      </c>
      <c r="AC66" s="789">
        <f t="shared" ref="AC66:AC73" si="42">P66/AA66</f>
        <v>1258.6286240220893</v>
      </c>
      <c r="AD66" s="173">
        <v>232</v>
      </c>
      <c r="AE66" s="773">
        <f t="shared" si="38"/>
        <v>4.7155172413793105</v>
      </c>
      <c r="AF66" s="174">
        <f t="shared" si="39"/>
        <v>1637</v>
      </c>
      <c r="AG66" s="1200">
        <v>801</v>
      </c>
      <c r="AH66" s="1200">
        <v>836</v>
      </c>
      <c r="AI66" s="802" t="s">
        <v>265</v>
      </c>
      <c r="AJ66" s="188"/>
    </row>
    <row r="67" spans="1:37" s="150" customFormat="1" ht="14.25">
      <c r="A67" s="188" t="s">
        <v>266</v>
      </c>
      <c r="B67" s="173">
        <f t="shared" si="31"/>
        <v>465</v>
      </c>
      <c r="C67" s="173">
        <v>207</v>
      </c>
      <c r="D67" s="173">
        <v>258</v>
      </c>
      <c r="E67" s="173">
        <v>87</v>
      </c>
      <c r="F67" s="182">
        <v>5.3448275862068968</v>
      </c>
      <c r="G67" s="173">
        <f t="shared" ref="G67:G80" si="43">SUM(H67:I67)</f>
        <v>412</v>
      </c>
      <c r="H67" s="173">
        <v>174</v>
      </c>
      <c r="I67" s="173">
        <v>238</v>
      </c>
      <c r="J67" s="192">
        <f t="shared" si="32"/>
        <v>-2.0102002697313948</v>
      </c>
      <c r="K67" s="174">
        <f t="shared" si="33"/>
        <v>337</v>
      </c>
      <c r="L67" s="173">
        <v>153</v>
      </c>
      <c r="M67" s="173">
        <v>184</v>
      </c>
      <c r="N67" s="828">
        <f t="shared" si="1"/>
        <v>83.152173913043484</v>
      </c>
      <c r="O67" s="205">
        <f t="shared" si="34"/>
        <v>-2.364004929378408</v>
      </c>
      <c r="P67" s="173">
        <v>348</v>
      </c>
      <c r="Q67" s="173">
        <v>161</v>
      </c>
      <c r="R67" s="173">
        <v>187</v>
      </c>
      <c r="S67" s="174">
        <v>337</v>
      </c>
      <c r="T67" s="173">
        <v>153</v>
      </c>
      <c r="U67" s="772">
        <v>184</v>
      </c>
      <c r="V67" s="173">
        <v>11</v>
      </c>
      <c r="W67" s="173">
        <v>8</v>
      </c>
      <c r="X67" s="772">
        <v>3</v>
      </c>
      <c r="Y67" s="173"/>
      <c r="Z67" s="777">
        <v>39.96</v>
      </c>
      <c r="AA67" s="777">
        <f t="shared" si="40"/>
        <v>0.39960000000000001</v>
      </c>
      <c r="AB67" s="789">
        <f t="shared" si="41"/>
        <v>843.34334334334335</v>
      </c>
      <c r="AC67" s="789">
        <f t="shared" si="42"/>
        <v>870.87087087087082</v>
      </c>
      <c r="AD67" s="173">
        <v>76</v>
      </c>
      <c r="AE67" s="773">
        <f t="shared" si="38"/>
        <v>4.5789473684210522</v>
      </c>
      <c r="AF67" s="174">
        <f t="shared" si="39"/>
        <v>515</v>
      </c>
      <c r="AG67" s="1200">
        <v>275</v>
      </c>
      <c r="AH67" s="1200">
        <v>240</v>
      </c>
      <c r="AI67" s="802" t="s">
        <v>267</v>
      </c>
      <c r="AJ67" s="188"/>
    </row>
    <row r="68" spans="1:37" s="150" customFormat="1" ht="15">
      <c r="A68" s="188" t="s">
        <v>268</v>
      </c>
      <c r="B68" s="173">
        <f t="shared" si="31"/>
        <v>437</v>
      </c>
      <c r="C68" s="173">
        <v>199</v>
      </c>
      <c r="D68" s="173">
        <v>238</v>
      </c>
      <c r="E68" s="173">
        <v>88</v>
      </c>
      <c r="F68" s="182">
        <v>4.9659090909090908</v>
      </c>
      <c r="G68" s="173">
        <f t="shared" si="43"/>
        <v>416</v>
      </c>
      <c r="H68" s="173">
        <v>180</v>
      </c>
      <c r="I68" s="173">
        <v>236</v>
      </c>
      <c r="J68" s="192">
        <f t="shared" si="32"/>
        <v>-0.81807200721473128</v>
      </c>
      <c r="K68" s="174">
        <f t="shared" si="33"/>
        <v>497</v>
      </c>
      <c r="L68" s="173">
        <v>229</v>
      </c>
      <c r="M68" s="173">
        <v>268</v>
      </c>
      <c r="N68" s="828">
        <f t="shared" si="1"/>
        <v>85.447761194029852</v>
      </c>
      <c r="O68" s="205">
        <f t="shared" si="34"/>
        <v>2.0929972451219472</v>
      </c>
      <c r="P68" s="173">
        <v>515</v>
      </c>
      <c r="Q68" s="173">
        <v>240</v>
      </c>
      <c r="R68" s="173">
        <v>275</v>
      </c>
      <c r="S68" s="174">
        <v>496</v>
      </c>
      <c r="T68" s="173">
        <v>228</v>
      </c>
      <c r="U68" s="772">
        <v>268</v>
      </c>
      <c r="V68" s="173">
        <v>19</v>
      </c>
      <c r="W68" s="173">
        <v>12</v>
      </c>
      <c r="X68" s="772">
        <v>7</v>
      </c>
      <c r="Y68" s="173"/>
      <c r="Z68" s="777">
        <v>97.4</v>
      </c>
      <c r="AA68" s="777">
        <f t="shared" si="40"/>
        <v>0.97400000000000009</v>
      </c>
      <c r="AB68" s="789">
        <f t="shared" si="41"/>
        <v>510.26694045174531</v>
      </c>
      <c r="AC68" s="789">
        <f t="shared" si="42"/>
        <v>528.74743326488704</v>
      </c>
      <c r="AD68" s="173">
        <v>113</v>
      </c>
      <c r="AE68" s="773">
        <f t="shared" si="38"/>
        <v>4.5575221238938051</v>
      </c>
      <c r="AF68" s="174">
        <f t="shared" si="39"/>
        <v>765</v>
      </c>
      <c r="AG68" s="1200">
        <v>405</v>
      </c>
      <c r="AH68" s="1200">
        <v>360</v>
      </c>
      <c r="AI68" s="802" t="s">
        <v>269</v>
      </c>
      <c r="AJ68" s="198"/>
      <c r="AK68" s="185"/>
    </row>
    <row r="69" spans="1:37" s="150" customFormat="1" ht="14.25">
      <c r="A69" s="188" t="s">
        <v>270</v>
      </c>
      <c r="B69" s="173">
        <f t="shared" si="31"/>
        <v>657</v>
      </c>
      <c r="C69" s="173">
        <v>298</v>
      </c>
      <c r="D69" s="173">
        <v>359</v>
      </c>
      <c r="E69" s="173">
        <v>142</v>
      </c>
      <c r="F69" s="182">
        <v>4.626760563380282</v>
      </c>
      <c r="G69" s="173">
        <f t="shared" si="43"/>
        <v>695</v>
      </c>
      <c r="H69" s="173">
        <v>324</v>
      </c>
      <c r="I69" s="173">
        <v>371</v>
      </c>
      <c r="J69" s="192">
        <f t="shared" si="32"/>
        <v>0.93401706113258687</v>
      </c>
      <c r="K69" s="174">
        <f t="shared" si="33"/>
        <v>723</v>
      </c>
      <c r="L69" s="173">
        <v>325</v>
      </c>
      <c r="M69" s="173">
        <v>398</v>
      </c>
      <c r="N69" s="828">
        <f t="shared" si="1"/>
        <v>81.658291457286438</v>
      </c>
      <c r="O69" s="205">
        <f t="shared" si="34"/>
        <v>0.46467501875261741</v>
      </c>
      <c r="P69" s="173">
        <v>741</v>
      </c>
      <c r="Q69" s="173">
        <v>335</v>
      </c>
      <c r="R69" s="173">
        <v>406</v>
      </c>
      <c r="S69" s="174">
        <v>721</v>
      </c>
      <c r="T69" s="173">
        <v>323</v>
      </c>
      <c r="U69" s="772">
        <v>398</v>
      </c>
      <c r="V69" s="173">
        <v>20</v>
      </c>
      <c r="W69" s="173">
        <v>12</v>
      </c>
      <c r="X69" s="772">
        <v>8</v>
      </c>
      <c r="Y69" s="173"/>
      <c r="Z69" s="777">
        <v>89.45</v>
      </c>
      <c r="AA69" s="777">
        <f t="shared" si="40"/>
        <v>0.89450000000000007</v>
      </c>
      <c r="AB69" s="789">
        <f t="shared" si="41"/>
        <v>808.27277808831741</v>
      </c>
      <c r="AC69" s="789">
        <f t="shared" si="42"/>
        <v>828.39575181665725</v>
      </c>
      <c r="AD69" s="173">
        <v>181</v>
      </c>
      <c r="AE69" s="773">
        <f t="shared" si="38"/>
        <v>4.0939226519337018</v>
      </c>
      <c r="AF69" s="174">
        <f t="shared" si="39"/>
        <v>1282</v>
      </c>
      <c r="AG69" s="1200">
        <v>655</v>
      </c>
      <c r="AH69" s="1200">
        <v>627</v>
      </c>
      <c r="AI69" s="802" t="s">
        <v>271</v>
      </c>
      <c r="AJ69" s="188"/>
    </row>
    <row r="70" spans="1:37" s="150" customFormat="1" ht="14.25">
      <c r="A70" s="188" t="s">
        <v>272</v>
      </c>
      <c r="B70" s="173">
        <f t="shared" si="31"/>
        <v>696</v>
      </c>
      <c r="C70" s="173">
        <v>328</v>
      </c>
      <c r="D70" s="173">
        <v>368</v>
      </c>
      <c r="E70" s="173">
        <v>131</v>
      </c>
      <c r="F70" s="182">
        <v>5.3129770992366412</v>
      </c>
      <c r="G70" s="173">
        <f t="shared" si="43"/>
        <v>746</v>
      </c>
      <c r="H70" s="173">
        <v>350</v>
      </c>
      <c r="I70" s="173">
        <v>396</v>
      </c>
      <c r="J70" s="192">
        <f t="shared" si="32"/>
        <v>1.1524242503212834</v>
      </c>
      <c r="K70" s="174">
        <f t="shared" si="33"/>
        <v>613</v>
      </c>
      <c r="L70" s="173">
        <v>270</v>
      </c>
      <c r="M70" s="173">
        <v>343</v>
      </c>
      <c r="N70" s="828">
        <f t="shared" si="1"/>
        <v>78.717201166180757</v>
      </c>
      <c r="O70" s="205">
        <f t="shared" si="34"/>
        <v>-2.3101254619711704</v>
      </c>
      <c r="P70" s="173">
        <v>660</v>
      </c>
      <c r="Q70" s="173">
        <v>313</v>
      </c>
      <c r="R70" s="173">
        <v>347</v>
      </c>
      <c r="S70" s="174">
        <v>613</v>
      </c>
      <c r="T70" s="173">
        <v>270</v>
      </c>
      <c r="U70" s="772">
        <v>343</v>
      </c>
      <c r="V70" s="173">
        <v>47</v>
      </c>
      <c r="W70" s="173">
        <v>43</v>
      </c>
      <c r="X70" s="772">
        <v>4</v>
      </c>
      <c r="Y70" s="173"/>
      <c r="Z70" s="777">
        <v>87.03</v>
      </c>
      <c r="AA70" s="777">
        <f t="shared" si="40"/>
        <v>0.87029999999999996</v>
      </c>
      <c r="AB70" s="789">
        <f t="shared" si="41"/>
        <v>704.35482017695051</v>
      </c>
      <c r="AC70" s="789">
        <f t="shared" si="42"/>
        <v>758.35918648741813</v>
      </c>
      <c r="AD70" s="173">
        <v>159</v>
      </c>
      <c r="AE70" s="773">
        <f t="shared" si="38"/>
        <v>4.1509433962264151</v>
      </c>
      <c r="AF70" s="174">
        <f t="shared" si="39"/>
        <v>1172</v>
      </c>
      <c r="AG70" s="1200">
        <v>581</v>
      </c>
      <c r="AH70" s="1200">
        <v>591</v>
      </c>
      <c r="AI70" s="802" t="s">
        <v>273</v>
      </c>
      <c r="AJ70" s="188"/>
    </row>
    <row r="71" spans="1:37" s="150" customFormat="1" ht="14.25">
      <c r="A71" s="188" t="s">
        <v>274</v>
      </c>
      <c r="B71" s="173">
        <f t="shared" si="31"/>
        <v>451</v>
      </c>
      <c r="C71" s="173">
        <v>237</v>
      </c>
      <c r="D71" s="173">
        <v>214</v>
      </c>
      <c r="E71" s="173">
        <v>93</v>
      </c>
      <c r="F71" s="182">
        <v>4.849462365591398</v>
      </c>
      <c r="G71" s="173">
        <f t="shared" si="43"/>
        <v>398</v>
      </c>
      <c r="H71" s="173">
        <v>175</v>
      </c>
      <c r="I71" s="173">
        <v>223</v>
      </c>
      <c r="J71" s="192">
        <f t="shared" si="32"/>
        <v>-2.0766666813661248</v>
      </c>
      <c r="K71" s="174">
        <f t="shared" si="33"/>
        <v>465</v>
      </c>
      <c r="L71" s="173">
        <v>223</v>
      </c>
      <c r="M71" s="173">
        <v>242</v>
      </c>
      <c r="N71" s="828">
        <f t="shared" si="1"/>
        <v>92.148760330578511</v>
      </c>
      <c r="O71" s="205">
        <f t="shared" si="34"/>
        <v>1.8304164741519826</v>
      </c>
      <c r="P71" s="173">
        <v>484</v>
      </c>
      <c r="Q71" s="173">
        <v>236</v>
      </c>
      <c r="R71" s="173">
        <v>248</v>
      </c>
      <c r="S71" s="174">
        <v>465</v>
      </c>
      <c r="T71" s="173">
        <v>223</v>
      </c>
      <c r="U71" s="772">
        <v>242</v>
      </c>
      <c r="V71" s="173">
        <v>19</v>
      </c>
      <c r="W71" s="173">
        <v>13</v>
      </c>
      <c r="X71" s="772">
        <v>6</v>
      </c>
      <c r="Y71" s="173"/>
      <c r="Z71" s="777">
        <v>62.44</v>
      </c>
      <c r="AA71" s="777">
        <f t="shared" si="40"/>
        <v>0.62439999999999996</v>
      </c>
      <c r="AB71" s="789">
        <f t="shared" si="41"/>
        <v>744.71492632927618</v>
      </c>
      <c r="AC71" s="789">
        <f t="shared" si="42"/>
        <v>775.14413837283803</v>
      </c>
      <c r="AD71" s="173">
        <v>103</v>
      </c>
      <c r="AE71" s="773">
        <f t="shared" si="38"/>
        <v>4.6990291262135919</v>
      </c>
      <c r="AF71" s="174">
        <f t="shared" si="39"/>
        <v>748</v>
      </c>
      <c r="AG71" s="1200">
        <v>389</v>
      </c>
      <c r="AH71" s="1200">
        <v>359</v>
      </c>
      <c r="AI71" s="802" t="s">
        <v>275</v>
      </c>
      <c r="AJ71" s="188"/>
    </row>
    <row r="72" spans="1:37" s="150" customFormat="1" ht="14.25">
      <c r="A72" s="188" t="s">
        <v>276</v>
      </c>
      <c r="B72" s="173">
        <f t="shared" si="31"/>
        <v>1061</v>
      </c>
      <c r="C72" s="173">
        <v>487</v>
      </c>
      <c r="D72" s="173">
        <v>574</v>
      </c>
      <c r="E72" s="173">
        <v>172</v>
      </c>
      <c r="F72" s="182">
        <v>6.1686046511627906</v>
      </c>
      <c r="G72" s="173">
        <f t="shared" si="43"/>
        <v>1201</v>
      </c>
      <c r="H72" s="173">
        <v>566</v>
      </c>
      <c r="I72" s="173">
        <v>635</v>
      </c>
      <c r="J72" s="192">
        <f t="shared" si="32"/>
        <v>2.0588485625581465</v>
      </c>
      <c r="K72" s="174">
        <f t="shared" si="33"/>
        <v>1320</v>
      </c>
      <c r="L72" s="173">
        <v>607</v>
      </c>
      <c r="M72" s="173">
        <v>713</v>
      </c>
      <c r="N72" s="828">
        <f t="shared" si="1"/>
        <v>85.133239831697054</v>
      </c>
      <c r="O72" s="205">
        <f t="shared" si="34"/>
        <v>1.1114963941227403</v>
      </c>
      <c r="P72" s="173">
        <v>1366</v>
      </c>
      <c r="Q72" s="173">
        <v>641</v>
      </c>
      <c r="R72" s="173">
        <v>725</v>
      </c>
      <c r="S72" s="174">
        <v>1319</v>
      </c>
      <c r="T72" s="173">
        <v>606</v>
      </c>
      <c r="U72" s="772">
        <v>713</v>
      </c>
      <c r="V72" s="173">
        <v>47</v>
      </c>
      <c r="W72" s="173">
        <v>35</v>
      </c>
      <c r="X72" s="772">
        <v>12</v>
      </c>
      <c r="Y72" s="173"/>
      <c r="Z72" s="777">
        <v>67.540000000000006</v>
      </c>
      <c r="AA72" s="777">
        <f t="shared" si="40"/>
        <v>0.67540000000000011</v>
      </c>
      <c r="AB72" s="789">
        <f t="shared" si="41"/>
        <v>1954.3973941368074</v>
      </c>
      <c r="AC72" s="789">
        <f t="shared" si="42"/>
        <v>2022.5051821143022</v>
      </c>
      <c r="AD72" s="173">
        <v>232</v>
      </c>
      <c r="AE72" s="773">
        <f t="shared" si="38"/>
        <v>5.8879310344827589</v>
      </c>
      <c r="AF72" s="174">
        <f t="shared" si="39"/>
        <v>1919</v>
      </c>
      <c r="AG72" s="1200">
        <v>955</v>
      </c>
      <c r="AH72" s="1200">
        <v>964</v>
      </c>
      <c r="AI72" s="802" t="s">
        <v>277</v>
      </c>
      <c r="AJ72" s="188"/>
    </row>
    <row r="73" spans="1:37" s="150" customFormat="1" ht="14.25">
      <c r="A73" s="188" t="s">
        <v>278</v>
      </c>
      <c r="B73" s="173">
        <f t="shared" si="31"/>
        <v>406</v>
      </c>
      <c r="C73" s="173">
        <v>197</v>
      </c>
      <c r="D73" s="173">
        <v>209</v>
      </c>
      <c r="E73" s="173">
        <v>65</v>
      </c>
      <c r="F73" s="182">
        <v>6.2461538461538462</v>
      </c>
      <c r="G73" s="173">
        <f t="shared" si="43"/>
        <v>426</v>
      </c>
      <c r="H73" s="173">
        <v>202</v>
      </c>
      <c r="I73" s="173">
        <v>224</v>
      </c>
      <c r="J73" s="192">
        <f t="shared" si="32"/>
        <v>0.79877386491092572</v>
      </c>
      <c r="K73" s="174">
        <f t="shared" si="33"/>
        <v>472</v>
      </c>
      <c r="L73" s="173">
        <v>218</v>
      </c>
      <c r="M73" s="173">
        <v>254</v>
      </c>
      <c r="N73" s="828">
        <f t="shared" si="1"/>
        <v>85.826771653543304</v>
      </c>
      <c r="O73" s="205">
        <f t="shared" si="34"/>
        <v>1.20634869783747</v>
      </c>
      <c r="P73" s="173">
        <v>491</v>
      </c>
      <c r="Q73" s="173">
        <v>230</v>
      </c>
      <c r="R73" s="173">
        <v>261</v>
      </c>
      <c r="S73" s="174">
        <v>471</v>
      </c>
      <c r="T73" s="173">
        <v>217</v>
      </c>
      <c r="U73" s="772">
        <v>254</v>
      </c>
      <c r="V73" s="173">
        <v>20</v>
      </c>
      <c r="W73" s="173">
        <v>13</v>
      </c>
      <c r="X73" s="772">
        <v>7</v>
      </c>
      <c r="Y73" s="173"/>
      <c r="Z73" s="777">
        <v>42.88</v>
      </c>
      <c r="AA73" s="777">
        <f t="shared" si="40"/>
        <v>0.42880000000000001</v>
      </c>
      <c r="AB73" s="789">
        <f t="shared" si="41"/>
        <v>1100.7462686567164</v>
      </c>
      <c r="AC73" s="789">
        <f t="shared" si="42"/>
        <v>1145.0559701492537</v>
      </c>
      <c r="AD73" s="173">
        <v>90</v>
      </c>
      <c r="AE73" s="773">
        <f t="shared" si="38"/>
        <v>5.4555555555555557</v>
      </c>
      <c r="AF73" s="174">
        <f t="shared" si="39"/>
        <v>658</v>
      </c>
      <c r="AG73" s="1200">
        <v>347</v>
      </c>
      <c r="AH73" s="1200">
        <v>311</v>
      </c>
      <c r="AI73" s="802" t="s">
        <v>279</v>
      </c>
      <c r="AJ73" s="188"/>
    </row>
    <row r="74" spans="1:37" s="150" customFormat="1">
      <c r="A74" s="188" t="s">
        <v>970</v>
      </c>
      <c r="B74" s="173">
        <f t="shared" si="31"/>
        <v>1606</v>
      </c>
      <c r="C74" s="173">
        <v>766</v>
      </c>
      <c r="D74" s="173">
        <v>840</v>
      </c>
      <c r="E74" s="173">
        <v>239</v>
      </c>
      <c r="F74" s="182">
        <v>6.7196652719665275</v>
      </c>
      <c r="G74" s="173" t="s">
        <v>187</v>
      </c>
      <c r="H74" s="173" t="s">
        <v>187</v>
      </c>
      <c r="I74" s="173" t="s">
        <v>187</v>
      </c>
      <c r="J74" s="193" t="s">
        <v>184</v>
      </c>
      <c r="K74" s="174" t="s">
        <v>187</v>
      </c>
      <c r="L74" s="173" t="s">
        <v>187</v>
      </c>
      <c r="M74" s="173" t="s">
        <v>187</v>
      </c>
      <c r="N74" s="828" t="s">
        <v>187</v>
      </c>
      <c r="O74" s="815" t="s">
        <v>187</v>
      </c>
      <c r="P74" s="173" t="s">
        <v>187</v>
      </c>
      <c r="Q74" s="173" t="s">
        <v>187</v>
      </c>
      <c r="R74" s="173" t="s">
        <v>187</v>
      </c>
      <c r="S74" s="174" t="s">
        <v>187</v>
      </c>
      <c r="T74" s="173" t="s">
        <v>187</v>
      </c>
      <c r="U74" s="772" t="s">
        <v>187</v>
      </c>
      <c r="V74" s="173" t="s">
        <v>187</v>
      </c>
      <c r="W74" s="173" t="s">
        <v>187</v>
      </c>
      <c r="X74" s="772" t="s">
        <v>187</v>
      </c>
      <c r="Y74" s="173"/>
      <c r="Z74" s="770" t="s">
        <v>187</v>
      </c>
      <c r="AA74" s="770" t="s">
        <v>187</v>
      </c>
      <c r="AB74" s="788" t="s">
        <v>187</v>
      </c>
      <c r="AC74" s="788" t="s">
        <v>187</v>
      </c>
      <c r="AD74" s="173" t="s">
        <v>187</v>
      </c>
      <c r="AE74" s="173" t="s">
        <v>187</v>
      </c>
      <c r="AF74" s="174" t="s">
        <v>187</v>
      </c>
      <c r="AG74" s="1199" t="s">
        <v>187</v>
      </c>
      <c r="AH74" s="1199" t="s">
        <v>187</v>
      </c>
      <c r="AI74" s="802" t="s">
        <v>1007</v>
      </c>
      <c r="AJ74" s="188"/>
    </row>
    <row r="75" spans="1:37" s="150" customFormat="1" ht="14.25">
      <c r="A75" s="188" t="s">
        <v>280</v>
      </c>
      <c r="B75" s="173">
        <f>SUM(C75:D75)</f>
        <v>608</v>
      </c>
      <c r="C75" s="173">
        <v>277</v>
      </c>
      <c r="D75" s="173">
        <v>331</v>
      </c>
      <c r="E75" s="173">
        <v>118</v>
      </c>
      <c r="F75" s="182">
        <v>5.1525423728813555</v>
      </c>
      <c r="G75" s="173">
        <f t="shared" si="43"/>
        <v>495</v>
      </c>
      <c r="H75" s="173">
        <v>231</v>
      </c>
      <c r="I75" s="173">
        <v>264</v>
      </c>
      <c r="J75" s="192">
        <f>LN(G75/B75)/6.02*100</f>
        <v>-3.4155667673999446</v>
      </c>
      <c r="K75" s="174">
        <f>SUM(L75:M75)</f>
        <v>426</v>
      </c>
      <c r="L75" s="173">
        <v>186</v>
      </c>
      <c r="M75" s="173">
        <v>240</v>
      </c>
      <c r="N75" s="828">
        <f t="shared" si="1"/>
        <v>77.5</v>
      </c>
      <c r="O75" s="205">
        <f>LN(K75/G75)/8.5*100</f>
        <v>-1.7660990152861162</v>
      </c>
      <c r="P75" s="173">
        <v>439</v>
      </c>
      <c r="Q75" s="173">
        <v>195</v>
      </c>
      <c r="R75" s="173">
        <v>244</v>
      </c>
      <c r="S75" s="174">
        <v>425</v>
      </c>
      <c r="T75" s="173">
        <v>186</v>
      </c>
      <c r="U75" s="772">
        <v>239</v>
      </c>
      <c r="V75" s="173">
        <v>14</v>
      </c>
      <c r="W75" s="173">
        <v>9</v>
      </c>
      <c r="X75" s="772">
        <v>5</v>
      </c>
      <c r="Y75" s="173"/>
      <c r="Z75" s="777">
        <v>29.21</v>
      </c>
      <c r="AA75" s="777">
        <f t="shared" ref="AA75:AA76" si="44">Z75/100</f>
        <v>0.29210000000000003</v>
      </c>
      <c r="AB75" s="789">
        <f>K75/AA75</f>
        <v>1458.4046559397466</v>
      </c>
      <c r="AC75" s="789">
        <f>P75/AA75</f>
        <v>1502.9099623416637</v>
      </c>
      <c r="AD75" s="173">
        <v>114</v>
      </c>
      <c r="AE75" s="773">
        <f>P75/AD75</f>
        <v>3.8508771929824563</v>
      </c>
      <c r="AF75" s="174">
        <f>SUM(AG75:AH75)</f>
        <v>996</v>
      </c>
      <c r="AG75" s="1200">
        <v>490</v>
      </c>
      <c r="AH75" s="1200">
        <v>506</v>
      </c>
      <c r="AI75" s="802" t="s">
        <v>281</v>
      </c>
      <c r="AJ75" s="188"/>
    </row>
    <row r="76" spans="1:37" s="150" customFormat="1" ht="14.25">
      <c r="A76" s="188" t="s">
        <v>282</v>
      </c>
      <c r="B76" s="173">
        <f t="shared" si="31"/>
        <v>493</v>
      </c>
      <c r="C76" s="173">
        <v>215</v>
      </c>
      <c r="D76" s="173">
        <v>278</v>
      </c>
      <c r="E76" s="173">
        <v>88</v>
      </c>
      <c r="F76" s="182">
        <v>5.6022727272727275</v>
      </c>
      <c r="G76" s="173">
        <f t="shared" si="43"/>
        <v>529</v>
      </c>
      <c r="H76" s="173">
        <v>245</v>
      </c>
      <c r="I76" s="173">
        <v>284</v>
      </c>
      <c r="J76" s="192">
        <f>LN(G76/B76)/6.02*100</f>
        <v>1.1707517909569654</v>
      </c>
      <c r="K76" s="174">
        <f>SUM(L76:M76)</f>
        <v>562</v>
      </c>
      <c r="L76" s="173">
        <v>269</v>
      </c>
      <c r="M76" s="173">
        <v>293</v>
      </c>
      <c r="N76" s="828">
        <f t="shared" si="1"/>
        <v>91.808873720136518</v>
      </c>
      <c r="O76" s="205">
        <f>LN(K76/G76)/8.5*100</f>
        <v>0.71192256512225449</v>
      </c>
      <c r="P76" s="173">
        <v>597</v>
      </c>
      <c r="Q76" s="173">
        <v>298</v>
      </c>
      <c r="R76" s="173">
        <v>299</v>
      </c>
      <c r="S76" s="174">
        <v>562</v>
      </c>
      <c r="T76" s="173">
        <v>269</v>
      </c>
      <c r="U76" s="772">
        <v>293</v>
      </c>
      <c r="V76" s="173">
        <v>35</v>
      </c>
      <c r="W76" s="173">
        <v>29</v>
      </c>
      <c r="X76" s="772">
        <v>6</v>
      </c>
      <c r="Y76" s="173"/>
      <c r="Z76" s="777">
        <v>44.67</v>
      </c>
      <c r="AA76" s="777">
        <f t="shared" si="44"/>
        <v>0.44670000000000004</v>
      </c>
      <c r="AB76" s="789">
        <f>K76/AA76</f>
        <v>1258.1150660398478</v>
      </c>
      <c r="AC76" s="789">
        <f>P76/AA76</f>
        <v>1336.4674278038951</v>
      </c>
      <c r="AD76" s="173">
        <v>123</v>
      </c>
      <c r="AE76" s="773">
        <f>P76/AD76</f>
        <v>4.8536585365853657</v>
      </c>
      <c r="AF76" s="174">
        <f>SUM(AG76:AH76)</f>
        <v>841</v>
      </c>
      <c r="AG76" s="1200">
        <v>440</v>
      </c>
      <c r="AH76" s="1200">
        <v>401</v>
      </c>
      <c r="AI76" s="802" t="s">
        <v>283</v>
      </c>
      <c r="AJ76" s="188"/>
    </row>
    <row r="77" spans="1:37" s="150" customFormat="1">
      <c r="A77" s="188" t="s">
        <v>971</v>
      </c>
      <c r="B77" s="173">
        <f t="shared" si="31"/>
        <v>413</v>
      </c>
      <c r="C77" s="173">
        <v>192</v>
      </c>
      <c r="D77" s="173">
        <v>221</v>
      </c>
      <c r="E77" s="173">
        <v>67</v>
      </c>
      <c r="F77" s="182">
        <v>6.1641791044776122</v>
      </c>
      <c r="G77" s="173">
        <f t="shared" si="43"/>
        <v>0</v>
      </c>
      <c r="H77" s="200">
        <v>0</v>
      </c>
      <c r="I77" s="201">
        <v>0</v>
      </c>
      <c r="J77" s="193" t="s">
        <v>184</v>
      </c>
      <c r="K77" s="174" t="s">
        <v>187</v>
      </c>
      <c r="L77" s="173" t="s">
        <v>187</v>
      </c>
      <c r="M77" s="173" t="s">
        <v>187</v>
      </c>
      <c r="N77" s="828" t="s">
        <v>187</v>
      </c>
      <c r="O77" s="815" t="s">
        <v>187</v>
      </c>
      <c r="P77" s="173" t="s">
        <v>187</v>
      </c>
      <c r="Q77" s="173" t="s">
        <v>187</v>
      </c>
      <c r="R77" s="173" t="s">
        <v>187</v>
      </c>
      <c r="S77" s="174" t="s">
        <v>187</v>
      </c>
      <c r="T77" s="173" t="s">
        <v>187</v>
      </c>
      <c r="U77" s="772" t="s">
        <v>187</v>
      </c>
      <c r="V77" s="173" t="s">
        <v>187</v>
      </c>
      <c r="W77" s="173" t="s">
        <v>187</v>
      </c>
      <c r="X77" s="772" t="s">
        <v>187</v>
      </c>
      <c r="Y77" s="173"/>
      <c r="Z77" s="770" t="s">
        <v>187</v>
      </c>
      <c r="AA77" s="770" t="s">
        <v>187</v>
      </c>
      <c r="AB77" s="788" t="s">
        <v>187</v>
      </c>
      <c r="AC77" s="788" t="s">
        <v>187</v>
      </c>
      <c r="AD77" s="173" t="s">
        <v>187</v>
      </c>
      <c r="AE77" s="173" t="s">
        <v>187</v>
      </c>
      <c r="AF77" s="174" t="s">
        <v>187</v>
      </c>
      <c r="AG77" s="1199" t="s">
        <v>187</v>
      </c>
      <c r="AH77" s="1199" t="s">
        <v>187</v>
      </c>
      <c r="AI77" s="802" t="s">
        <v>1008</v>
      </c>
      <c r="AJ77" s="188"/>
    </row>
    <row r="78" spans="1:37" s="150" customFormat="1" ht="14.25">
      <c r="A78" s="188" t="s">
        <v>284</v>
      </c>
      <c r="B78" s="173">
        <f t="shared" si="31"/>
        <v>1525</v>
      </c>
      <c r="C78" s="173">
        <v>758</v>
      </c>
      <c r="D78" s="173">
        <v>767</v>
      </c>
      <c r="E78" s="173">
        <v>261</v>
      </c>
      <c r="F78" s="182">
        <v>5.842911877394636</v>
      </c>
      <c r="G78" s="173">
        <f t="shared" si="43"/>
        <v>1333</v>
      </c>
      <c r="H78" s="173">
        <v>644</v>
      </c>
      <c r="I78" s="173">
        <v>689</v>
      </c>
      <c r="J78" s="192">
        <f>LN(G78/B78)/6.02*100</f>
        <v>-2.2352552967243091</v>
      </c>
      <c r="K78" s="174">
        <f>SUM(L78:M78)</f>
        <v>1063</v>
      </c>
      <c r="L78" s="173">
        <v>507</v>
      </c>
      <c r="M78" s="173">
        <v>556</v>
      </c>
      <c r="N78" s="828">
        <f t="shared" ref="N78:N140" si="45">L78/M78*100</f>
        <v>91.187050359712231</v>
      </c>
      <c r="O78" s="205">
        <f>LN(K78/G78)/8.5*100</f>
        <v>-2.6627875510207146</v>
      </c>
      <c r="P78" s="173">
        <v>1111</v>
      </c>
      <c r="Q78" s="173">
        <v>541</v>
      </c>
      <c r="R78" s="173">
        <v>570</v>
      </c>
      <c r="S78" s="174">
        <v>1054</v>
      </c>
      <c r="T78" s="173">
        <v>501</v>
      </c>
      <c r="U78" s="772">
        <v>553</v>
      </c>
      <c r="V78" s="173">
        <v>57</v>
      </c>
      <c r="W78" s="173">
        <v>40</v>
      </c>
      <c r="X78" s="772">
        <v>17</v>
      </c>
      <c r="Y78" s="173"/>
      <c r="Z78" s="777">
        <v>10.36</v>
      </c>
      <c r="AA78" s="777">
        <f t="shared" ref="AA78:AA81" si="46">Z78/100</f>
        <v>0.1036</v>
      </c>
      <c r="AB78" s="789">
        <f>K78/AA78</f>
        <v>10260.617760617761</v>
      </c>
      <c r="AC78" s="789">
        <f>P78/AA78</f>
        <v>10723.938223938225</v>
      </c>
      <c r="AD78" s="173">
        <v>263</v>
      </c>
      <c r="AE78" s="773">
        <f>P78/AD78</f>
        <v>4.2243346007604563</v>
      </c>
      <c r="AF78" s="174">
        <f>SUM(AG78:AH78)</f>
        <v>1902</v>
      </c>
      <c r="AG78" s="1200">
        <v>967</v>
      </c>
      <c r="AH78" s="1200">
        <v>935</v>
      </c>
      <c r="AI78" s="802" t="s">
        <v>285</v>
      </c>
      <c r="AJ78" s="188"/>
    </row>
    <row r="79" spans="1:37" s="150" customFormat="1" ht="14.25">
      <c r="A79" s="188" t="s">
        <v>286</v>
      </c>
      <c r="B79" s="173">
        <f t="shared" si="31"/>
        <v>692</v>
      </c>
      <c r="C79" s="173">
        <v>329</v>
      </c>
      <c r="D79" s="173">
        <v>363</v>
      </c>
      <c r="E79" s="173">
        <v>143</v>
      </c>
      <c r="F79" s="182">
        <v>4.8391608391608392</v>
      </c>
      <c r="G79" s="173">
        <f t="shared" si="43"/>
        <v>795</v>
      </c>
      <c r="H79" s="173">
        <v>381</v>
      </c>
      <c r="I79" s="173">
        <v>414</v>
      </c>
      <c r="J79" s="192">
        <f>LN(G79/B79)/6.02*100</f>
        <v>2.3049195853266187</v>
      </c>
      <c r="K79" s="174">
        <f>SUM(L79:M79)</f>
        <v>774</v>
      </c>
      <c r="L79" s="173">
        <v>351</v>
      </c>
      <c r="M79" s="173">
        <v>423</v>
      </c>
      <c r="N79" s="828">
        <f t="shared" si="45"/>
        <v>82.978723404255319</v>
      </c>
      <c r="O79" s="205">
        <f>LN(K79/G79)/8.5*100</f>
        <v>-0.31494401252476212</v>
      </c>
      <c r="P79" s="173">
        <v>802</v>
      </c>
      <c r="Q79" s="173">
        <v>372</v>
      </c>
      <c r="R79" s="173">
        <v>430</v>
      </c>
      <c r="S79" s="174">
        <v>774</v>
      </c>
      <c r="T79" s="173">
        <v>351</v>
      </c>
      <c r="U79" s="772">
        <v>423</v>
      </c>
      <c r="V79" s="173">
        <v>28</v>
      </c>
      <c r="W79" s="173">
        <v>21</v>
      </c>
      <c r="X79" s="772">
        <v>7</v>
      </c>
      <c r="Y79" s="173"/>
      <c r="Z79" s="777">
        <v>29.27</v>
      </c>
      <c r="AA79" s="777">
        <f t="shared" si="46"/>
        <v>0.29270000000000002</v>
      </c>
      <c r="AB79" s="789">
        <f>K79/AA79</f>
        <v>2644.3457464981207</v>
      </c>
      <c r="AC79" s="789">
        <f>P79/AA79</f>
        <v>2740.0068329347455</v>
      </c>
      <c r="AD79" s="173">
        <v>194</v>
      </c>
      <c r="AE79" s="773">
        <f>P79/AD79</f>
        <v>4.1340206185567014</v>
      </c>
      <c r="AF79" s="174">
        <f>SUM(AG79:AH79)</f>
        <v>1215</v>
      </c>
      <c r="AG79" s="1200">
        <v>639</v>
      </c>
      <c r="AH79" s="1200">
        <v>576</v>
      </c>
      <c r="AI79" s="802" t="s">
        <v>287</v>
      </c>
      <c r="AJ79" s="188"/>
    </row>
    <row r="80" spans="1:37" s="150" customFormat="1" ht="14.25">
      <c r="A80" s="188" t="s">
        <v>288</v>
      </c>
      <c r="B80" s="173">
        <f t="shared" si="31"/>
        <v>799</v>
      </c>
      <c r="C80" s="173">
        <v>395</v>
      </c>
      <c r="D80" s="173">
        <v>404</v>
      </c>
      <c r="E80" s="173">
        <v>141</v>
      </c>
      <c r="F80" s="182">
        <v>5.666666666666667</v>
      </c>
      <c r="G80" s="173">
        <f t="shared" si="43"/>
        <v>1599</v>
      </c>
      <c r="H80" s="173">
        <v>767</v>
      </c>
      <c r="I80" s="173">
        <v>832</v>
      </c>
      <c r="J80" s="192">
        <f>LN(G80/B80)/6.02*100</f>
        <v>11.524464569230556</v>
      </c>
      <c r="K80" s="174">
        <f>SUM(L80:M80)</f>
        <v>2019</v>
      </c>
      <c r="L80" s="173">
        <v>940</v>
      </c>
      <c r="M80" s="173">
        <v>1079</v>
      </c>
      <c r="N80" s="828">
        <f t="shared" si="45"/>
        <v>87.117701575532905</v>
      </c>
      <c r="O80" s="205">
        <f>LN(K80/G80)/8.5*100</f>
        <v>2.743810652692745</v>
      </c>
      <c r="P80" s="173">
        <v>2104</v>
      </c>
      <c r="Q80" s="173">
        <v>999</v>
      </c>
      <c r="R80" s="173">
        <v>1105</v>
      </c>
      <c r="S80" s="174">
        <v>2015</v>
      </c>
      <c r="T80" s="173">
        <v>937</v>
      </c>
      <c r="U80" s="772">
        <v>1078</v>
      </c>
      <c r="V80" s="173">
        <v>89</v>
      </c>
      <c r="W80" s="173">
        <v>62</v>
      </c>
      <c r="X80" s="772">
        <v>27</v>
      </c>
      <c r="Y80" s="173"/>
      <c r="Z80" s="777">
        <v>88.85</v>
      </c>
      <c r="AA80" s="777">
        <f t="shared" si="46"/>
        <v>0.88849999999999996</v>
      </c>
      <c r="AB80" s="789">
        <f>K80/AA80</f>
        <v>2272.3691615081598</v>
      </c>
      <c r="AC80" s="789">
        <f>P80/AA80</f>
        <v>2368.0360157568939</v>
      </c>
      <c r="AD80" s="173">
        <v>401</v>
      </c>
      <c r="AE80" s="773">
        <f>P80/AD80</f>
        <v>5.2468827930174564</v>
      </c>
      <c r="AF80" s="174">
        <f>SUM(AG80:AH80)</f>
        <v>2717</v>
      </c>
      <c r="AG80" s="1200">
        <v>1327</v>
      </c>
      <c r="AH80" s="1200">
        <v>1390</v>
      </c>
      <c r="AI80" s="802" t="s">
        <v>289</v>
      </c>
      <c r="AJ80" s="188"/>
    </row>
    <row r="81" spans="1:37" s="150" customFormat="1">
      <c r="A81" s="188" t="s">
        <v>972</v>
      </c>
      <c r="B81" s="173" t="s">
        <v>187</v>
      </c>
      <c r="C81" s="173" t="s">
        <v>187</v>
      </c>
      <c r="D81" s="173" t="s">
        <v>187</v>
      </c>
      <c r="E81" s="173" t="s">
        <v>187</v>
      </c>
      <c r="F81" s="182" t="s">
        <v>187</v>
      </c>
      <c r="G81" s="173">
        <v>1637</v>
      </c>
      <c r="H81" s="173">
        <v>765</v>
      </c>
      <c r="I81" s="173">
        <v>872</v>
      </c>
      <c r="J81" s="193" t="s">
        <v>184</v>
      </c>
      <c r="K81" s="174">
        <f>SUM(L81:M81)</f>
        <v>1785</v>
      </c>
      <c r="L81" s="173">
        <v>785</v>
      </c>
      <c r="M81" s="173">
        <v>1000</v>
      </c>
      <c r="N81" s="828">
        <f t="shared" si="45"/>
        <v>78.5</v>
      </c>
      <c r="O81" s="205">
        <f>LN(K81/G81)/8.5*100</f>
        <v>1.018271962854171</v>
      </c>
      <c r="P81" s="173">
        <v>1884</v>
      </c>
      <c r="Q81" s="173">
        <v>868</v>
      </c>
      <c r="R81" s="173">
        <v>1016</v>
      </c>
      <c r="S81" s="174">
        <v>1782</v>
      </c>
      <c r="T81" s="173">
        <v>784</v>
      </c>
      <c r="U81" s="772">
        <v>998</v>
      </c>
      <c r="V81" s="173">
        <v>102</v>
      </c>
      <c r="W81" s="173">
        <v>84</v>
      </c>
      <c r="X81" s="772">
        <v>18</v>
      </c>
      <c r="Y81" s="173"/>
      <c r="Z81" s="777">
        <v>135.02000000000001</v>
      </c>
      <c r="AA81" s="777">
        <f t="shared" si="46"/>
        <v>1.3502000000000001</v>
      </c>
      <c r="AB81" s="789">
        <f>K81/AA81</f>
        <v>1322.0263664642275</v>
      </c>
      <c r="AC81" s="789">
        <f>P81/AA81</f>
        <v>1395.3488372093022</v>
      </c>
      <c r="AD81" s="173">
        <v>343</v>
      </c>
      <c r="AE81" s="773">
        <f>P81/AD81</f>
        <v>5.4927113702623904</v>
      </c>
      <c r="AF81" s="174">
        <f>SUM(AG81:AH81)</f>
        <v>2614</v>
      </c>
      <c r="AG81" s="1200">
        <v>1410</v>
      </c>
      <c r="AH81" s="1200">
        <v>1204</v>
      </c>
      <c r="AI81" s="804" t="s">
        <v>1009</v>
      </c>
      <c r="AJ81" s="188"/>
    </row>
    <row r="82" spans="1:37" s="150" customFormat="1" ht="17.25">
      <c r="K82" s="778"/>
      <c r="N82" s="829"/>
      <c r="O82" s="779"/>
      <c r="S82" s="778"/>
      <c r="U82" s="779"/>
      <c r="X82" s="779"/>
      <c r="Z82" s="780"/>
      <c r="AA82" s="780"/>
      <c r="AB82" s="790" t="s">
        <v>187</v>
      </c>
      <c r="AC82" s="790" t="s">
        <v>187</v>
      </c>
      <c r="AE82" s="781"/>
      <c r="AF82" s="174"/>
      <c r="AI82" s="805"/>
      <c r="AJ82" s="196"/>
      <c r="AK82" s="187"/>
    </row>
    <row r="83" spans="1:37" s="167" customFormat="1" ht="14.25">
      <c r="A83" s="190" t="s">
        <v>290</v>
      </c>
      <c r="B83" s="163">
        <f t="shared" ref="B83:B96" si="47">SUM(C83:D83)</f>
        <v>10429</v>
      </c>
      <c r="C83" s="163">
        <f>SUM(C84:C96)</f>
        <v>4806</v>
      </c>
      <c r="D83" s="163">
        <f>SUM(D84:D96)</f>
        <v>5623</v>
      </c>
      <c r="E83" s="163">
        <v>1764</v>
      </c>
      <c r="F83" s="164">
        <v>5.9121315192743769</v>
      </c>
      <c r="G83" s="163">
        <f>SUM(H83:I83)</f>
        <v>10015</v>
      </c>
      <c r="H83" s="163">
        <f>SUM(H84:H96)</f>
        <v>4589</v>
      </c>
      <c r="I83" s="163">
        <f>SUM(I84:I96)</f>
        <v>5426</v>
      </c>
      <c r="J83" s="168">
        <f t="shared" ref="J83:J96" si="48">LN(G83/B83)/6.02*100</f>
        <v>-0.67286408673246223</v>
      </c>
      <c r="K83" s="166">
        <f t="shared" ref="K83:K96" si="49">SUM(L83:M83)</f>
        <v>10556</v>
      </c>
      <c r="L83" s="163">
        <f>SUM(L84:L96)</f>
        <v>4825</v>
      </c>
      <c r="M83" s="163">
        <f>SUM(M84:M96)</f>
        <v>5731</v>
      </c>
      <c r="N83" s="827">
        <f t="shared" si="45"/>
        <v>84.191240621183042</v>
      </c>
      <c r="O83" s="814">
        <f t="shared" ref="O83:O96" si="50">LN(K83/G83)/8.5*100</f>
        <v>0.61894646497995365</v>
      </c>
      <c r="P83" s="163">
        <f t="shared" ref="P83" si="51">SUM(Q83:R83)</f>
        <v>11229</v>
      </c>
      <c r="Q83" s="163">
        <f>SUM(Q84:Q96)</f>
        <v>5403</v>
      </c>
      <c r="R83" s="163">
        <f>SUM(R84:R96)</f>
        <v>5826</v>
      </c>
      <c r="S83" s="166">
        <f t="shared" ref="S83" si="52">SUM(T83:U83)</f>
        <v>10483</v>
      </c>
      <c r="T83" s="163">
        <f>SUM(T84:T96)</f>
        <v>4782</v>
      </c>
      <c r="U83" s="769">
        <f>SUM(U84:U96)</f>
        <v>5701</v>
      </c>
      <c r="V83" s="163">
        <f t="shared" ref="V83" si="53">SUM(W83:X83)</f>
        <v>746</v>
      </c>
      <c r="W83" s="163">
        <f>SUM(W84:W96)</f>
        <v>621</v>
      </c>
      <c r="X83" s="769">
        <f>SUM(X84:X96)</f>
        <v>125</v>
      </c>
      <c r="Y83" s="163"/>
      <c r="Z83" s="770" t="s">
        <v>187</v>
      </c>
      <c r="AA83" s="770" t="s">
        <v>187</v>
      </c>
      <c r="AB83" s="788" t="s">
        <v>187</v>
      </c>
      <c r="AC83" s="788" t="s">
        <v>187</v>
      </c>
      <c r="AD83" s="163">
        <f>SUM(AD84:AD96)</f>
        <v>2259</v>
      </c>
      <c r="AE83" s="771">
        <f t="shared" ref="AE83:AE96" si="54">P83/AD83</f>
        <v>4.9707835325365206</v>
      </c>
      <c r="AF83" s="166">
        <f t="shared" ref="AF83:AF96" si="55">SUM(AG83:AH83)</f>
        <v>17341</v>
      </c>
      <c r="AG83" s="170">
        <f>SUM(AG84:AG96)</f>
        <v>8816</v>
      </c>
      <c r="AH83" s="170">
        <f>SUM(AH84:AH96)</f>
        <v>8525</v>
      </c>
      <c r="AI83" s="762" t="s">
        <v>291</v>
      </c>
      <c r="AJ83" s="149"/>
    </row>
    <row r="84" spans="1:37" s="150" customFormat="1" ht="14.25">
      <c r="A84" s="188" t="s">
        <v>292</v>
      </c>
      <c r="B84" s="173">
        <f t="shared" si="47"/>
        <v>417</v>
      </c>
      <c r="C84" s="173">
        <v>171</v>
      </c>
      <c r="D84" s="173">
        <v>246</v>
      </c>
      <c r="E84" s="173">
        <v>81</v>
      </c>
      <c r="F84" s="182">
        <v>5.1481481481481479</v>
      </c>
      <c r="G84" s="173">
        <f>SUM(H84:I84)</f>
        <v>396</v>
      </c>
      <c r="H84" s="173">
        <v>160</v>
      </c>
      <c r="I84" s="173">
        <v>236</v>
      </c>
      <c r="J84" s="192">
        <f t="shared" si="48"/>
        <v>-0.85833904558672636</v>
      </c>
      <c r="K84" s="174">
        <f t="shared" si="49"/>
        <v>478</v>
      </c>
      <c r="L84" s="173">
        <v>182</v>
      </c>
      <c r="M84" s="173">
        <v>296</v>
      </c>
      <c r="N84" s="828">
        <f t="shared" si="45"/>
        <v>61.486486486486491</v>
      </c>
      <c r="O84" s="205">
        <f t="shared" si="50"/>
        <v>2.214076720435004</v>
      </c>
      <c r="P84" s="173">
        <v>491</v>
      </c>
      <c r="Q84" s="173">
        <v>187</v>
      </c>
      <c r="R84" s="173">
        <v>304</v>
      </c>
      <c r="S84" s="174">
        <v>475</v>
      </c>
      <c r="T84" s="173">
        <v>181</v>
      </c>
      <c r="U84" s="772">
        <v>294</v>
      </c>
      <c r="V84" s="173">
        <v>16</v>
      </c>
      <c r="W84" s="173">
        <v>6</v>
      </c>
      <c r="X84" s="772">
        <v>10</v>
      </c>
      <c r="Y84" s="173"/>
      <c r="Z84" s="777">
        <v>13.71</v>
      </c>
      <c r="AA84" s="777">
        <f t="shared" ref="AA84:AA96" si="56">Z84/100</f>
        <v>0.1371</v>
      </c>
      <c r="AB84" s="789">
        <f t="shared" ref="AB84:AB96" si="57">K84/AA84</f>
        <v>3486.506199854121</v>
      </c>
      <c r="AC84" s="789">
        <f t="shared" ref="AC84:AC96" si="58">P84/AA84</f>
        <v>3581.3274981765135</v>
      </c>
      <c r="AD84" s="173">
        <v>112</v>
      </c>
      <c r="AE84" s="773">
        <f t="shared" si="54"/>
        <v>4.3839285714285712</v>
      </c>
      <c r="AF84" s="174">
        <f t="shared" si="55"/>
        <v>787</v>
      </c>
      <c r="AG84" s="1200">
        <v>390</v>
      </c>
      <c r="AH84" s="1200">
        <v>397</v>
      </c>
      <c r="AI84" s="802" t="s">
        <v>293</v>
      </c>
    </row>
    <row r="85" spans="1:37" s="150" customFormat="1" ht="14.25">
      <c r="A85" s="188" t="s">
        <v>294</v>
      </c>
      <c r="B85" s="173">
        <f t="shared" si="47"/>
        <v>1114</v>
      </c>
      <c r="C85" s="173">
        <v>507</v>
      </c>
      <c r="D85" s="173">
        <v>607</v>
      </c>
      <c r="E85" s="173">
        <v>191</v>
      </c>
      <c r="F85" s="182">
        <v>5.832460732984293</v>
      </c>
      <c r="G85" s="173">
        <f t="shared" ref="G85:G96" si="59">SUM(H85:I85)</f>
        <v>1204</v>
      </c>
      <c r="H85" s="173">
        <v>565</v>
      </c>
      <c r="I85" s="173">
        <v>639</v>
      </c>
      <c r="J85" s="192">
        <f t="shared" si="48"/>
        <v>1.2905681957065944</v>
      </c>
      <c r="K85" s="174">
        <f t="shared" si="49"/>
        <v>1288</v>
      </c>
      <c r="L85" s="173">
        <v>564</v>
      </c>
      <c r="M85" s="173">
        <v>724</v>
      </c>
      <c r="N85" s="828">
        <f t="shared" si="45"/>
        <v>77.900552486187848</v>
      </c>
      <c r="O85" s="205">
        <f t="shared" si="50"/>
        <v>0.79342683288861748</v>
      </c>
      <c r="P85" s="173">
        <v>1326</v>
      </c>
      <c r="Q85" s="173">
        <v>592</v>
      </c>
      <c r="R85" s="173">
        <v>734</v>
      </c>
      <c r="S85" s="174">
        <v>1285</v>
      </c>
      <c r="T85" s="173">
        <v>561</v>
      </c>
      <c r="U85" s="772">
        <v>724</v>
      </c>
      <c r="V85" s="173">
        <v>41</v>
      </c>
      <c r="W85" s="173">
        <v>31</v>
      </c>
      <c r="X85" s="772">
        <v>10</v>
      </c>
      <c r="Y85" s="173"/>
      <c r="Z85" s="777">
        <v>204.6</v>
      </c>
      <c r="AA85" s="777">
        <f t="shared" si="56"/>
        <v>2.0459999999999998</v>
      </c>
      <c r="AB85" s="789">
        <f t="shared" si="57"/>
        <v>629.52101661779091</v>
      </c>
      <c r="AC85" s="789">
        <f t="shared" si="58"/>
        <v>648.09384164222877</v>
      </c>
      <c r="AD85" s="173">
        <v>244</v>
      </c>
      <c r="AE85" s="773">
        <f t="shared" si="54"/>
        <v>5.4344262295081966</v>
      </c>
      <c r="AF85" s="174">
        <f t="shared" si="55"/>
        <v>1987</v>
      </c>
      <c r="AG85" s="1200">
        <v>1006</v>
      </c>
      <c r="AH85" s="1200">
        <v>981</v>
      </c>
      <c r="AI85" s="802" t="s">
        <v>295</v>
      </c>
    </row>
    <row r="86" spans="1:37" s="150" customFormat="1" ht="14.25">
      <c r="A86" s="188" t="s">
        <v>296</v>
      </c>
      <c r="B86" s="173">
        <f t="shared" si="47"/>
        <v>569</v>
      </c>
      <c r="C86" s="173">
        <v>276</v>
      </c>
      <c r="D86" s="173">
        <v>293</v>
      </c>
      <c r="E86" s="173">
        <v>100</v>
      </c>
      <c r="F86" s="182">
        <v>5.69</v>
      </c>
      <c r="G86" s="173">
        <f t="shared" si="59"/>
        <v>561</v>
      </c>
      <c r="H86" s="173">
        <v>278</v>
      </c>
      <c r="I86" s="173">
        <v>283</v>
      </c>
      <c r="J86" s="192">
        <f t="shared" si="48"/>
        <v>-0.23520811633944544</v>
      </c>
      <c r="K86" s="174">
        <f t="shared" si="49"/>
        <v>633</v>
      </c>
      <c r="L86" s="173">
        <v>305</v>
      </c>
      <c r="M86" s="173">
        <v>328</v>
      </c>
      <c r="N86" s="828">
        <f t="shared" si="45"/>
        <v>92.987804878048792</v>
      </c>
      <c r="O86" s="205">
        <f t="shared" si="50"/>
        <v>1.4205825484879993</v>
      </c>
      <c r="P86" s="173">
        <v>666</v>
      </c>
      <c r="Q86" s="173">
        <v>324</v>
      </c>
      <c r="R86" s="173">
        <v>342</v>
      </c>
      <c r="S86" s="174">
        <v>633</v>
      </c>
      <c r="T86" s="173">
        <v>305</v>
      </c>
      <c r="U86" s="772">
        <v>328</v>
      </c>
      <c r="V86" s="173">
        <v>33</v>
      </c>
      <c r="W86" s="173">
        <v>19</v>
      </c>
      <c r="X86" s="772">
        <v>14</v>
      </c>
      <c r="Y86" s="173"/>
      <c r="Z86" s="777">
        <v>38.799999999999997</v>
      </c>
      <c r="AA86" s="777">
        <f t="shared" si="56"/>
        <v>0.38799999999999996</v>
      </c>
      <c r="AB86" s="789">
        <f t="shared" si="57"/>
        <v>1631.4432989690724</v>
      </c>
      <c r="AC86" s="789">
        <f t="shared" si="58"/>
        <v>1716.4948453608249</v>
      </c>
      <c r="AD86" s="173">
        <v>151</v>
      </c>
      <c r="AE86" s="773">
        <f t="shared" si="54"/>
        <v>4.4105960264900661</v>
      </c>
      <c r="AF86" s="174">
        <f t="shared" si="55"/>
        <v>944</v>
      </c>
      <c r="AG86" s="1200">
        <v>474</v>
      </c>
      <c r="AH86" s="1200">
        <v>470</v>
      </c>
      <c r="AI86" s="802" t="s">
        <v>297</v>
      </c>
    </row>
    <row r="87" spans="1:37" s="150" customFormat="1" ht="14.25">
      <c r="A87" s="188" t="s">
        <v>298</v>
      </c>
      <c r="B87" s="173">
        <f t="shared" si="47"/>
        <v>396</v>
      </c>
      <c r="C87" s="173">
        <v>191</v>
      </c>
      <c r="D87" s="173">
        <v>205</v>
      </c>
      <c r="E87" s="173">
        <v>78</v>
      </c>
      <c r="F87" s="182">
        <v>5.0769230769230766</v>
      </c>
      <c r="G87" s="173">
        <f t="shared" si="59"/>
        <v>373</v>
      </c>
      <c r="H87" s="173">
        <v>166</v>
      </c>
      <c r="I87" s="173">
        <v>207</v>
      </c>
      <c r="J87" s="192">
        <f t="shared" si="48"/>
        <v>-0.99395002675523247</v>
      </c>
      <c r="K87" s="174">
        <f t="shared" si="49"/>
        <v>415</v>
      </c>
      <c r="L87" s="173">
        <v>195</v>
      </c>
      <c r="M87" s="173">
        <v>220</v>
      </c>
      <c r="N87" s="828">
        <f t="shared" si="45"/>
        <v>88.63636363636364</v>
      </c>
      <c r="O87" s="205">
        <f t="shared" si="50"/>
        <v>1.255295301022151</v>
      </c>
      <c r="P87" s="173">
        <v>453</v>
      </c>
      <c r="Q87" s="173">
        <v>226</v>
      </c>
      <c r="R87" s="173">
        <v>227</v>
      </c>
      <c r="S87" s="174">
        <v>414</v>
      </c>
      <c r="T87" s="173">
        <v>195</v>
      </c>
      <c r="U87" s="772">
        <v>219</v>
      </c>
      <c r="V87" s="173">
        <v>39</v>
      </c>
      <c r="W87" s="173">
        <v>31</v>
      </c>
      <c r="X87" s="772">
        <v>8</v>
      </c>
      <c r="Y87" s="173"/>
      <c r="Z87" s="777">
        <v>27.66</v>
      </c>
      <c r="AA87" s="777">
        <f t="shared" si="56"/>
        <v>0.27660000000000001</v>
      </c>
      <c r="AB87" s="789">
        <f t="shared" si="57"/>
        <v>1500.3615328994938</v>
      </c>
      <c r="AC87" s="789">
        <f t="shared" si="58"/>
        <v>1637.7440347071583</v>
      </c>
      <c r="AD87" s="173">
        <v>103</v>
      </c>
      <c r="AE87" s="773">
        <f t="shared" si="54"/>
        <v>4.3980582524271847</v>
      </c>
      <c r="AF87" s="174">
        <f t="shared" si="55"/>
        <v>886</v>
      </c>
      <c r="AG87" s="1200">
        <v>480</v>
      </c>
      <c r="AH87" s="1200">
        <v>406</v>
      </c>
      <c r="AI87" s="802" t="s">
        <v>299</v>
      </c>
    </row>
    <row r="88" spans="1:37" s="150" customFormat="1" ht="14.25">
      <c r="A88" s="188" t="s">
        <v>300</v>
      </c>
      <c r="B88" s="173">
        <f t="shared" si="47"/>
        <v>653</v>
      </c>
      <c r="C88" s="173">
        <v>280</v>
      </c>
      <c r="D88" s="173">
        <v>373</v>
      </c>
      <c r="E88" s="173">
        <v>126</v>
      </c>
      <c r="F88" s="182">
        <v>5.1825396825396828</v>
      </c>
      <c r="G88" s="173">
        <f t="shared" si="59"/>
        <v>582</v>
      </c>
      <c r="H88" s="173">
        <v>258</v>
      </c>
      <c r="I88" s="173">
        <v>324</v>
      </c>
      <c r="J88" s="192">
        <f t="shared" si="48"/>
        <v>-1.9120711220098543</v>
      </c>
      <c r="K88" s="174">
        <f t="shared" si="49"/>
        <v>652</v>
      </c>
      <c r="L88" s="173">
        <v>284</v>
      </c>
      <c r="M88" s="173">
        <v>368</v>
      </c>
      <c r="N88" s="828">
        <f t="shared" si="45"/>
        <v>77.173913043478265</v>
      </c>
      <c r="O88" s="205">
        <f t="shared" si="50"/>
        <v>1.3361660493554721</v>
      </c>
      <c r="P88" s="173">
        <v>665</v>
      </c>
      <c r="Q88" s="173">
        <v>292</v>
      </c>
      <c r="R88" s="173">
        <v>373</v>
      </c>
      <c r="S88" s="174">
        <v>652</v>
      </c>
      <c r="T88" s="173">
        <v>284</v>
      </c>
      <c r="U88" s="772">
        <v>368</v>
      </c>
      <c r="V88" s="173">
        <v>13</v>
      </c>
      <c r="W88" s="173">
        <v>8</v>
      </c>
      <c r="X88" s="772">
        <v>5</v>
      </c>
      <c r="Y88" s="173"/>
      <c r="Z88" s="777">
        <v>86.3</v>
      </c>
      <c r="AA88" s="777">
        <f t="shared" si="56"/>
        <v>0.86299999999999999</v>
      </c>
      <c r="AB88" s="789">
        <f t="shared" si="57"/>
        <v>755.50405561993045</v>
      </c>
      <c r="AC88" s="789">
        <f t="shared" si="58"/>
        <v>770.5677867902665</v>
      </c>
      <c r="AD88" s="173">
        <v>152</v>
      </c>
      <c r="AE88" s="773">
        <f t="shared" si="54"/>
        <v>4.375</v>
      </c>
      <c r="AF88" s="174">
        <f t="shared" si="55"/>
        <v>1118</v>
      </c>
      <c r="AG88" s="1200">
        <v>546</v>
      </c>
      <c r="AH88" s="1200">
        <v>572</v>
      </c>
      <c r="AI88" s="802" t="s">
        <v>301</v>
      </c>
    </row>
    <row r="89" spans="1:37" s="150" customFormat="1" ht="14.25">
      <c r="A89" s="188" t="s">
        <v>302</v>
      </c>
      <c r="B89" s="173">
        <f t="shared" si="47"/>
        <v>758</v>
      </c>
      <c r="C89" s="173">
        <v>323</v>
      </c>
      <c r="D89" s="173">
        <v>435</v>
      </c>
      <c r="E89" s="173">
        <v>120</v>
      </c>
      <c r="F89" s="182">
        <v>6.3166666666666664</v>
      </c>
      <c r="G89" s="173">
        <f t="shared" si="59"/>
        <v>710</v>
      </c>
      <c r="H89" s="173">
        <v>305</v>
      </c>
      <c r="I89" s="173">
        <v>405</v>
      </c>
      <c r="J89" s="192">
        <f t="shared" si="48"/>
        <v>-1.0866846446347269</v>
      </c>
      <c r="K89" s="174">
        <f t="shared" si="49"/>
        <v>697</v>
      </c>
      <c r="L89" s="173">
        <v>319</v>
      </c>
      <c r="M89" s="173">
        <v>378</v>
      </c>
      <c r="N89" s="828">
        <f t="shared" si="45"/>
        <v>84.391534391534393</v>
      </c>
      <c r="O89" s="205">
        <f t="shared" si="50"/>
        <v>-0.21740657970396701</v>
      </c>
      <c r="P89" s="173">
        <v>715</v>
      </c>
      <c r="Q89" s="173">
        <v>331</v>
      </c>
      <c r="R89" s="173">
        <v>384</v>
      </c>
      <c r="S89" s="174">
        <v>697</v>
      </c>
      <c r="T89" s="173">
        <v>319</v>
      </c>
      <c r="U89" s="772">
        <v>378</v>
      </c>
      <c r="V89" s="173">
        <v>18</v>
      </c>
      <c r="W89" s="173">
        <v>12</v>
      </c>
      <c r="X89" s="772">
        <v>6</v>
      </c>
      <c r="Y89" s="173"/>
      <c r="Z89" s="777">
        <v>123.26</v>
      </c>
      <c r="AA89" s="777">
        <f t="shared" si="56"/>
        <v>1.2326000000000001</v>
      </c>
      <c r="AB89" s="789">
        <f t="shared" si="57"/>
        <v>565.47136134999187</v>
      </c>
      <c r="AC89" s="789">
        <f t="shared" si="58"/>
        <v>580.07463897452533</v>
      </c>
      <c r="AD89" s="173">
        <v>157</v>
      </c>
      <c r="AE89" s="773">
        <f t="shared" si="54"/>
        <v>4.5541401273885347</v>
      </c>
      <c r="AF89" s="174">
        <f t="shared" si="55"/>
        <v>1241</v>
      </c>
      <c r="AG89" s="1200">
        <v>600</v>
      </c>
      <c r="AH89" s="1200">
        <v>641</v>
      </c>
      <c r="AI89" s="802" t="s">
        <v>303</v>
      </c>
    </row>
    <row r="90" spans="1:37" s="150" customFormat="1" ht="14.25">
      <c r="A90" s="188" t="s">
        <v>304</v>
      </c>
      <c r="B90" s="173">
        <f t="shared" si="47"/>
        <v>526</v>
      </c>
      <c r="C90" s="173">
        <v>242</v>
      </c>
      <c r="D90" s="173">
        <v>284</v>
      </c>
      <c r="E90" s="173">
        <v>88</v>
      </c>
      <c r="F90" s="182">
        <v>5.9772727272727275</v>
      </c>
      <c r="G90" s="173">
        <f t="shared" si="59"/>
        <v>552</v>
      </c>
      <c r="H90" s="173">
        <v>272</v>
      </c>
      <c r="I90" s="173">
        <v>280</v>
      </c>
      <c r="J90" s="192">
        <f t="shared" si="48"/>
        <v>0.80144241759776635</v>
      </c>
      <c r="K90" s="174">
        <f t="shared" si="49"/>
        <v>576</v>
      </c>
      <c r="L90" s="173">
        <v>278</v>
      </c>
      <c r="M90" s="173">
        <v>298</v>
      </c>
      <c r="N90" s="828">
        <f t="shared" si="45"/>
        <v>93.288590604026851</v>
      </c>
      <c r="O90" s="205">
        <f t="shared" si="50"/>
        <v>0.50070134610348127</v>
      </c>
      <c r="P90" s="173">
        <v>615</v>
      </c>
      <c r="Q90" s="173">
        <v>313</v>
      </c>
      <c r="R90" s="173">
        <v>302</v>
      </c>
      <c r="S90" s="174">
        <v>571</v>
      </c>
      <c r="T90" s="173">
        <v>275</v>
      </c>
      <c r="U90" s="772">
        <v>296</v>
      </c>
      <c r="V90" s="173">
        <v>44</v>
      </c>
      <c r="W90" s="173">
        <v>38</v>
      </c>
      <c r="X90" s="772">
        <v>6</v>
      </c>
      <c r="Y90" s="173"/>
      <c r="Z90" s="777">
        <v>41.47</v>
      </c>
      <c r="AA90" s="777">
        <f t="shared" si="56"/>
        <v>0.41470000000000001</v>
      </c>
      <c r="AB90" s="789">
        <f t="shared" si="57"/>
        <v>1388.9558717144923</v>
      </c>
      <c r="AC90" s="789">
        <f t="shared" si="58"/>
        <v>1482.9997588618278</v>
      </c>
      <c r="AD90" s="173">
        <v>114</v>
      </c>
      <c r="AE90" s="773">
        <f t="shared" si="54"/>
        <v>5.3947368421052628</v>
      </c>
      <c r="AF90" s="174">
        <f t="shared" si="55"/>
        <v>968</v>
      </c>
      <c r="AG90" s="1200">
        <v>499</v>
      </c>
      <c r="AH90" s="1200">
        <v>469</v>
      </c>
      <c r="AI90" s="802" t="s">
        <v>305</v>
      </c>
    </row>
    <row r="91" spans="1:37" s="150" customFormat="1" ht="14.25">
      <c r="A91" s="188" t="s">
        <v>306</v>
      </c>
      <c r="B91" s="173">
        <f t="shared" si="47"/>
        <v>811</v>
      </c>
      <c r="C91" s="173">
        <v>375</v>
      </c>
      <c r="D91" s="173">
        <v>436</v>
      </c>
      <c r="E91" s="173">
        <v>138</v>
      </c>
      <c r="F91" s="182">
        <v>5.8768115942028984</v>
      </c>
      <c r="G91" s="173">
        <f t="shared" si="59"/>
        <v>784</v>
      </c>
      <c r="H91" s="173">
        <v>336</v>
      </c>
      <c r="I91" s="173">
        <v>448</v>
      </c>
      <c r="J91" s="192">
        <f t="shared" si="48"/>
        <v>-0.5624424213455983</v>
      </c>
      <c r="K91" s="174">
        <f t="shared" si="49"/>
        <v>799</v>
      </c>
      <c r="L91" s="173">
        <v>338</v>
      </c>
      <c r="M91" s="173">
        <v>461</v>
      </c>
      <c r="N91" s="828">
        <f t="shared" si="45"/>
        <v>73.31887201735357</v>
      </c>
      <c r="O91" s="205">
        <f t="shared" si="50"/>
        <v>0.22296382842196366</v>
      </c>
      <c r="P91" s="173">
        <v>819</v>
      </c>
      <c r="Q91" s="173">
        <v>354</v>
      </c>
      <c r="R91" s="173">
        <v>465</v>
      </c>
      <c r="S91" s="174">
        <v>799</v>
      </c>
      <c r="T91" s="173">
        <v>338</v>
      </c>
      <c r="U91" s="772">
        <v>461</v>
      </c>
      <c r="V91" s="173">
        <v>20</v>
      </c>
      <c r="W91" s="173">
        <v>16</v>
      </c>
      <c r="X91" s="772">
        <v>4</v>
      </c>
      <c r="Y91" s="173"/>
      <c r="Z91" s="777">
        <v>22.84</v>
      </c>
      <c r="AA91" s="777">
        <f t="shared" si="56"/>
        <v>0.22839999999999999</v>
      </c>
      <c r="AB91" s="789">
        <f t="shared" si="57"/>
        <v>3498.2486865148862</v>
      </c>
      <c r="AC91" s="789">
        <f t="shared" si="58"/>
        <v>3585.8143607705779</v>
      </c>
      <c r="AD91" s="173">
        <v>159</v>
      </c>
      <c r="AE91" s="773">
        <f t="shared" si="54"/>
        <v>5.1509433962264151</v>
      </c>
      <c r="AF91" s="174">
        <f t="shared" si="55"/>
        <v>1506</v>
      </c>
      <c r="AG91" s="1200">
        <v>750</v>
      </c>
      <c r="AH91" s="1200">
        <v>756</v>
      </c>
      <c r="AI91" s="802" t="s">
        <v>307</v>
      </c>
    </row>
    <row r="92" spans="1:37" s="150" customFormat="1" ht="14.25">
      <c r="A92" s="188" t="s">
        <v>308</v>
      </c>
      <c r="B92" s="173">
        <f t="shared" si="47"/>
        <v>242</v>
      </c>
      <c r="C92" s="173">
        <v>123</v>
      </c>
      <c r="D92" s="173">
        <v>119</v>
      </c>
      <c r="E92" s="173">
        <v>36</v>
      </c>
      <c r="F92" s="182">
        <v>6.7222222222222223</v>
      </c>
      <c r="G92" s="173">
        <f t="shared" si="59"/>
        <v>209</v>
      </c>
      <c r="H92" s="173">
        <v>92</v>
      </c>
      <c r="I92" s="173">
        <v>117</v>
      </c>
      <c r="J92" s="192">
        <f t="shared" si="48"/>
        <v>-2.435273657672349</v>
      </c>
      <c r="K92" s="174">
        <f t="shared" si="49"/>
        <v>255</v>
      </c>
      <c r="L92" s="173">
        <v>125</v>
      </c>
      <c r="M92" s="173">
        <v>130</v>
      </c>
      <c r="N92" s="828">
        <f t="shared" si="45"/>
        <v>96.15384615384616</v>
      </c>
      <c r="O92" s="205">
        <f t="shared" si="50"/>
        <v>2.3403446258072376</v>
      </c>
      <c r="P92" s="173">
        <v>255</v>
      </c>
      <c r="Q92" s="173">
        <v>125</v>
      </c>
      <c r="R92" s="173">
        <v>130</v>
      </c>
      <c r="S92" s="174">
        <v>252</v>
      </c>
      <c r="T92" s="173">
        <v>123</v>
      </c>
      <c r="U92" s="772">
        <v>129</v>
      </c>
      <c r="V92" s="173">
        <v>3</v>
      </c>
      <c r="W92" s="173">
        <v>2</v>
      </c>
      <c r="X92" s="772">
        <v>1</v>
      </c>
      <c r="Y92" s="173"/>
      <c r="Z92" s="777">
        <v>37.15</v>
      </c>
      <c r="AA92" s="777">
        <f t="shared" si="56"/>
        <v>0.3715</v>
      </c>
      <c r="AB92" s="789">
        <f t="shared" si="57"/>
        <v>686.40646029609695</v>
      </c>
      <c r="AC92" s="789">
        <f t="shared" si="58"/>
        <v>686.40646029609695</v>
      </c>
      <c r="AD92" s="173">
        <v>49</v>
      </c>
      <c r="AE92" s="773">
        <f t="shared" si="54"/>
        <v>5.204081632653061</v>
      </c>
      <c r="AF92" s="174">
        <f t="shared" si="55"/>
        <v>436</v>
      </c>
      <c r="AG92" s="1200">
        <v>230</v>
      </c>
      <c r="AH92" s="1200">
        <v>206</v>
      </c>
      <c r="AI92" s="802" t="s">
        <v>309</v>
      </c>
    </row>
    <row r="93" spans="1:37" s="150" customFormat="1" ht="14.25">
      <c r="A93" s="188" t="s">
        <v>310</v>
      </c>
      <c r="B93" s="173">
        <f t="shared" si="47"/>
        <v>1239</v>
      </c>
      <c r="C93" s="173">
        <v>613</v>
      </c>
      <c r="D93" s="173">
        <v>626</v>
      </c>
      <c r="E93" s="173">
        <v>191</v>
      </c>
      <c r="F93" s="182">
        <v>6.4869109947643979</v>
      </c>
      <c r="G93" s="173">
        <f t="shared" si="59"/>
        <v>1201</v>
      </c>
      <c r="H93" s="173">
        <v>565</v>
      </c>
      <c r="I93" s="173">
        <v>636</v>
      </c>
      <c r="J93" s="192">
        <f t="shared" si="48"/>
        <v>-0.51744284965380227</v>
      </c>
      <c r="K93" s="174">
        <f t="shared" si="49"/>
        <v>1311</v>
      </c>
      <c r="L93" s="173">
        <v>629</v>
      </c>
      <c r="M93" s="173">
        <v>682</v>
      </c>
      <c r="N93" s="828">
        <f t="shared" si="45"/>
        <v>92.228739002932542</v>
      </c>
      <c r="O93" s="205">
        <f t="shared" si="50"/>
        <v>1.0310077845143091</v>
      </c>
      <c r="P93" s="173">
        <v>1397</v>
      </c>
      <c r="Q93" s="173">
        <v>697</v>
      </c>
      <c r="R93" s="173">
        <v>700</v>
      </c>
      <c r="S93" s="174">
        <v>1295</v>
      </c>
      <c r="T93" s="173">
        <v>618</v>
      </c>
      <c r="U93" s="772">
        <v>677</v>
      </c>
      <c r="V93" s="173">
        <v>102</v>
      </c>
      <c r="W93" s="173">
        <v>79</v>
      </c>
      <c r="X93" s="772">
        <v>23</v>
      </c>
      <c r="Y93" s="173"/>
      <c r="Z93" s="777">
        <v>106.53</v>
      </c>
      <c r="AA93" s="777">
        <f t="shared" si="56"/>
        <v>1.0652999999999999</v>
      </c>
      <c r="AB93" s="789">
        <f t="shared" si="57"/>
        <v>1230.6392565474516</v>
      </c>
      <c r="AC93" s="789">
        <f t="shared" si="58"/>
        <v>1311.3676898526237</v>
      </c>
      <c r="AD93" s="173">
        <v>250</v>
      </c>
      <c r="AE93" s="773">
        <f t="shared" si="54"/>
        <v>5.5880000000000001</v>
      </c>
      <c r="AF93" s="174">
        <f t="shared" si="55"/>
        <v>2033</v>
      </c>
      <c r="AG93" s="1200">
        <v>1053</v>
      </c>
      <c r="AH93" s="1200">
        <v>980</v>
      </c>
      <c r="AI93" s="802" t="s">
        <v>311</v>
      </c>
    </row>
    <row r="94" spans="1:37" s="150" customFormat="1" ht="14.25">
      <c r="A94" s="188" t="s">
        <v>312</v>
      </c>
      <c r="B94" s="173">
        <f t="shared" si="47"/>
        <v>1562</v>
      </c>
      <c r="C94" s="173">
        <v>713</v>
      </c>
      <c r="D94" s="173">
        <v>849</v>
      </c>
      <c r="E94" s="173">
        <v>257</v>
      </c>
      <c r="F94" s="182">
        <v>6.0778210116731515</v>
      </c>
      <c r="G94" s="173">
        <f t="shared" si="59"/>
        <v>1527</v>
      </c>
      <c r="H94" s="173">
        <v>680</v>
      </c>
      <c r="I94" s="173">
        <v>847</v>
      </c>
      <c r="J94" s="192">
        <f t="shared" si="48"/>
        <v>-0.37644560101326979</v>
      </c>
      <c r="K94" s="174">
        <f t="shared" si="49"/>
        <v>1515</v>
      </c>
      <c r="L94" s="173">
        <v>658</v>
      </c>
      <c r="M94" s="173">
        <v>857</v>
      </c>
      <c r="N94" s="828">
        <f t="shared" si="45"/>
        <v>76.779463243873977</v>
      </c>
      <c r="O94" s="205">
        <f t="shared" si="50"/>
        <v>-9.2818673825446271E-2</v>
      </c>
      <c r="P94" s="173">
        <v>1638</v>
      </c>
      <c r="Q94" s="173">
        <v>764</v>
      </c>
      <c r="R94" s="173">
        <v>874</v>
      </c>
      <c r="S94" s="174">
        <v>1508</v>
      </c>
      <c r="T94" s="173">
        <v>651</v>
      </c>
      <c r="U94" s="772">
        <v>857</v>
      </c>
      <c r="V94" s="173">
        <v>130</v>
      </c>
      <c r="W94" s="173">
        <v>113</v>
      </c>
      <c r="X94" s="772">
        <v>17</v>
      </c>
      <c r="Y94" s="173"/>
      <c r="Z94" s="777">
        <v>20.100000000000001</v>
      </c>
      <c r="AA94" s="777">
        <f t="shared" si="56"/>
        <v>0.20100000000000001</v>
      </c>
      <c r="AB94" s="789">
        <f t="shared" si="57"/>
        <v>7537.3134328358201</v>
      </c>
      <c r="AC94" s="789">
        <f t="shared" si="58"/>
        <v>8149.2537313432831</v>
      </c>
      <c r="AD94" s="173">
        <v>329</v>
      </c>
      <c r="AE94" s="773">
        <f t="shared" si="54"/>
        <v>4.9787234042553195</v>
      </c>
      <c r="AF94" s="174">
        <f t="shared" si="55"/>
        <v>2226</v>
      </c>
      <c r="AG94" s="1200">
        <v>1136</v>
      </c>
      <c r="AH94" s="1200">
        <v>1090</v>
      </c>
      <c r="AI94" s="802" t="s">
        <v>313</v>
      </c>
    </row>
    <row r="95" spans="1:37" s="150" customFormat="1" ht="14.25">
      <c r="A95" s="188" t="s">
        <v>314</v>
      </c>
      <c r="B95" s="173">
        <f t="shared" si="47"/>
        <v>276</v>
      </c>
      <c r="C95" s="173">
        <v>132</v>
      </c>
      <c r="D95" s="173">
        <v>144</v>
      </c>
      <c r="E95" s="173">
        <v>54</v>
      </c>
      <c r="F95" s="182">
        <v>5.1111111111111107</v>
      </c>
      <c r="G95" s="173">
        <f t="shared" si="59"/>
        <v>200</v>
      </c>
      <c r="H95" s="173">
        <v>90</v>
      </c>
      <c r="I95" s="173">
        <v>110</v>
      </c>
      <c r="J95" s="192">
        <f t="shared" si="48"/>
        <v>-5.3502242386895906</v>
      </c>
      <c r="K95" s="174">
        <f t="shared" si="49"/>
        <v>215</v>
      </c>
      <c r="L95" s="173">
        <v>100</v>
      </c>
      <c r="M95" s="173">
        <v>115</v>
      </c>
      <c r="N95" s="828">
        <f t="shared" si="45"/>
        <v>86.956521739130437</v>
      </c>
      <c r="O95" s="205">
        <f t="shared" si="50"/>
        <v>0.85083131270148327</v>
      </c>
      <c r="P95" s="173">
        <v>228</v>
      </c>
      <c r="Q95" s="173">
        <v>110</v>
      </c>
      <c r="R95" s="173">
        <v>118</v>
      </c>
      <c r="S95" s="174">
        <v>215</v>
      </c>
      <c r="T95" s="173">
        <v>100</v>
      </c>
      <c r="U95" s="772">
        <v>115</v>
      </c>
      <c r="V95" s="173">
        <v>13</v>
      </c>
      <c r="W95" s="173">
        <v>10</v>
      </c>
      <c r="X95" s="772">
        <v>3</v>
      </c>
      <c r="Y95" s="173"/>
      <c r="Z95" s="777">
        <v>26.35</v>
      </c>
      <c r="AA95" s="777">
        <f t="shared" si="56"/>
        <v>0.26350000000000001</v>
      </c>
      <c r="AB95" s="789">
        <f t="shared" si="57"/>
        <v>815.93927893738135</v>
      </c>
      <c r="AC95" s="789">
        <f t="shared" si="58"/>
        <v>865.27514231499049</v>
      </c>
      <c r="AD95" s="173">
        <v>49</v>
      </c>
      <c r="AE95" s="773">
        <f t="shared" si="54"/>
        <v>4.6530612244897958</v>
      </c>
      <c r="AF95" s="174">
        <f t="shared" si="55"/>
        <v>486</v>
      </c>
      <c r="AG95" s="1200">
        <v>251</v>
      </c>
      <c r="AH95" s="1200">
        <v>235</v>
      </c>
      <c r="AI95" s="802" t="s">
        <v>315</v>
      </c>
    </row>
    <row r="96" spans="1:37" s="150" customFormat="1" ht="14.25">
      <c r="A96" s="188" t="s">
        <v>316</v>
      </c>
      <c r="B96" s="173">
        <f t="shared" si="47"/>
        <v>1866</v>
      </c>
      <c r="C96" s="173">
        <v>860</v>
      </c>
      <c r="D96" s="173">
        <v>1006</v>
      </c>
      <c r="E96" s="173">
        <v>304</v>
      </c>
      <c r="F96" s="182">
        <v>6.1381578947368425</v>
      </c>
      <c r="G96" s="173">
        <f t="shared" si="59"/>
        <v>1716</v>
      </c>
      <c r="H96" s="173">
        <v>822</v>
      </c>
      <c r="I96" s="173">
        <v>894</v>
      </c>
      <c r="J96" s="192">
        <f t="shared" si="48"/>
        <v>-1.3920448730794273</v>
      </c>
      <c r="K96" s="174">
        <f t="shared" si="49"/>
        <v>1722</v>
      </c>
      <c r="L96" s="173">
        <v>848</v>
      </c>
      <c r="M96" s="173">
        <v>874</v>
      </c>
      <c r="N96" s="828">
        <f t="shared" si="45"/>
        <v>97.025171624713963</v>
      </c>
      <c r="O96" s="205">
        <f t="shared" si="50"/>
        <v>4.1063587526689031E-2</v>
      </c>
      <c r="P96" s="173">
        <v>1961</v>
      </c>
      <c r="Q96" s="173">
        <v>1088</v>
      </c>
      <c r="R96" s="173">
        <v>873</v>
      </c>
      <c r="S96" s="174">
        <v>1687</v>
      </c>
      <c r="T96" s="173">
        <v>832</v>
      </c>
      <c r="U96" s="772">
        <v>855</v>
      </c>
      <c r="V96" s="173">
        <v>274</v>
      </c>
      <c r="W96" s="173">
        <v>256</v>
      </c>
      <c r="X96" s="772">
        <v>18</v>
      </c>
      <c r="Y96" s="173"/>
      <c r="Z96" s="777">
        <v>43.76</v>
      </c>
      <c r="AA96" s="777">
        <f t="shared" si="56"/>
        <v>0.43759999999999999</v>
      </c>
      <c r="AB96" s="789">
        <f t="shared" si="57"/>
        <v>3935.1005484460698</v>
      </c>
      <c r="AC96" s="789">
        <f t="shared" si="58"/>
        <v>4481.2614259597804</v>
      </c>
      <c r="AD96" s="173">
        <v>390</v>
      </c>
      <c r="AE96" s="773">
        <f t="shared" si="54"/>
        <v>5.0282051282051281</v>
      </c>
      <c r="AF96" s="174">
        <f t="shared" si="55"/>
        <v>2723</v>
      </c>
      <c r="AG96" s="1200">
        <v>1401</v>
      </c>
      <c r="AH96" s="1200">
        <v>1322</v>
      </c>
      <c r="AI96" s="802" t="s">
        <v>317</v>
      </c>
    </row>
    <row r="97" spans="1:37" s="150" customFormat="1" ht="14.25">
      <c r="A97" s="188"/>
      <c r="B97" s="173"/>
      <c r="C97" s="173"/>
      <c r="D97" s="173"/>
      <c r="E97" s="173"/>
      <c r="F97" s="182"/>
      <c r="G97" s="173"/>
      <c r="H97" s="173"/>
      <c r="I97" s="173"/>
      <c r="J97" s="182"/>
      <c r="K97" s="174"/>
      <c r="L97" s="173"/>
      <c r="M97" s="173"/>
      <c r="N97" s="828"/>
      <c r="O97" s="205"/>
      <c r="P97" s="173"/>
      <c r="Q97" s="173"/>
      <c r="R97" s="173"/>
      <c r="S97" s="174"/>
      <c r="T97" s="173"/>
      <c r="U97" s="772"/>
      <c r="V97" s="173"/>
      <c r="W97" s="173"/>
      <c r="X97" s="772"/>
      <c r="Y97" s="173"/>
      <c r="Z97" s="777"/>
      <c r="AA97" s="777"/>
      <c r="AB97" s="789"/>
      <c r="AC97" s="789"/>
      <c r="AD97" s="173"/>
      <c r="AE97" s="773"/>
      <c r="AF97" s="174"/>
      <c r="AG97" s="202"/>
      <c r="AH97" s="202"/>
      <c r="AI97" s="803"/>
      <c r="AJ97" s="198"/>
      <c r="AK97" s="198"/>
    </row>
    <row r="98" spans="1:37" s="167" customFormat="1" ht="14.25">
      <c r="A98" s="190" t="s">
        <v>318</v>
      </c>
      <c r="B98" s="163">
        <f>SUM(C98:D98)</f>
        <v>14424</v>
      </c>
      <c r="C98" s="163">
        <f>SUM(C99:C114)</f>
        <v>7045</v>
      </c>
      <c r="D98" s="163">
        <f>SUM(D99:D114)</f>
        <v>7379</v>
      </c>
      <c r="E98" s="163">
        <f>SUM(E99:E114)</f>
        <v>2389</v>
      </c>
      <c r="F98" s="164">
        <v>6.061087866108787</v>
      </c>
      <c r="G98" s="163">
        <f>SUM(H98:I98)</f>
        <v>14643</v>
      </c>
      <c r="H98" s="163">
        <f>SUM(H99:H114)</f>
        <v>7024</v>
      </c>
      <c r="I98" s="163">
        <f>SUM(I99:I114)</f>
        <v>7619</v>
      </c>
      <c r="J98" s="168">
        <f t="shared" ref="J98:J103" si="60">LN(G98/B98)/6.02*100</f>
        <v>0.25031428026750963</v>
      </c>
      <c r="K98" s="166">
        <f t="shared" ref="K98:K103" si="61">SUM(L98:M98)</f>
        <v>14934</v>
      </c>
      <c r="L98" s="163">
        <f>SUM(L99:L114)</f>
        <v>7119</v>
      </c>
      <c r="M98" s="163">
        <f>SUM(M99:M114)</f>
        <v>7815</v>
      </c>
      <c r="N98" s="827">
        <f t="shared" si="45"/>
        <v>91.094049904030712</v>
      </c>
      <c r="O98" s="814">
        <f t="shared" ref="O98:O103" si="62">LN(K98/G98)/8.5*100</f>
        <v>0.23150690635752608</v>
      </c>
      <c r="P98" s="163">
        <f t="shared" ref="P98" si="63">SUM(Q98:R98)</f>
        <v>15819</v>
      </c>
      <c r="Q98" s="163">
        <f>SUM(Q99:Q114)</f>
        <v>7823</v>
      </c>
      <c r="R98" s="163">
        <f>SUM(R99:R114)</f>
        <v>7996</v>
      </c>
      <c r="S98" s="166">
        <f t="shared" ref="S98" si="64">SUM(T98:U98)</f>
        <v>14862</v>
      </c>
      <c r="T98" s="163">
        <f>SUM(T99:T114)</f>
        <v>7069</v>
      </c>
      <c r="U98" s="769">
        <f>SUM(U99:U114)</f>
        <v>7793</v>
      </c>
      <c r="V98" s="163">
        <f t="shared" ref="V98" si="65">SUM(W98:X98)</f>
        <v>957</v>
      </c>
      <c r="W98" s="163">
        <f>SUM(W99:W114)</f>
        <v>754</v>
      </c>
      <c r="X98" s="769">
        <f>SUM(X99:X114)</f>
        <v>203</v>
      </c>
      <c r="Y98" s="163"/>
      <c r="Z98" s="770" t="s">
        <v>187</v>
      </c>
      <c r="AA98" s="770" t="s">
        <v>187</v>
      </c>
      <c r="AB98" s="788" t="s">
        <v>187</v>
      </c>
      <c r="AC98" s="788" t="s">
        <v>187</v>
      </c>
      <c r="AD98" s="163">
        <f>SUM(AD99:AD114)</f>
        <v>3256</v>
      </c>
      <c r="AE98" s="771">
        <f t="shared" ref="AE98:AE103" si="66">P98/AD98</f>
        <v>4.8584152334152337</v>
      </c>
      <c r="AF98" s="166">
        <f t="shared" ref="AF98:AF105" si="67">SUM(AG98:AH98)</f>
        <v>24594</v>
      </c>
      <c r="AG98" s="170">
        <f>SUM(AG99:AG114)</f>
        <v>12675</v>
      </c>
      <c r="AH98" s="170">
        <f>SUM(AH99:AH114)</f>
        <v>11919</v>
      </c>
      <c r="AI98" s="762" t="s">
        <v>319</v>
      </c>
      <c r="AJ98" s="198"/>
      <c r="AK98" s="198"/>
    </row>
    <row r="99" spans="1:37" s="150" customFormat="1" ht="14.25">
      <c r="A99" s="188" t="s">
        <v>320</v>
      </c>
      <c r="B99" s="173">
        <f t="shared" ref="B99:B114" si="68">SUM(C99:D99)</f>
        <v>1737</v>
      </c>
      <c r="C99" s="173">
        <v>825</v>
      </c>
      <c r="D99" s="173">
        <v>912</v>
      </c>
      <c r="E99" s="173">
        <v>286</v>
      </c>
      <c r="F99" s="182">
        <v>6.0734265734265733</v>
      </c>
      <c r="G99" s="173">
        <f>SUM(H99:I99)</f>
        <v>1974</v>
      </c>
      <c r="H99" s="173">
        <v>939</v>
      </c>
      <c r="I99" s="173">
        <v>1035</v>
      </c>
      <c r="J99" s="192">
        <f t="shared" si="60"/>
        <v>2.12462547761332</v>
      </c>
      <c r="K99" s="174">
        <f t="shared" si="61"/>
        <v>1578</v>
      </c>
      <c r="L99" s="173">
        <v>732</v>
      </c>
      <c r="M99" s="173">
        <v>846</v>
      </c>
      <c r="N99" s="828">
        <f t="shared" si="45"/>
        <v>86.524822695035468</v>
      </c>
      <c r="O99" s="205">
        <f t="shared" si="62"/>
        <v>-2.6341613951483209</v>
      </c>
      <c r="P99" s="173">
        <v>1804</v>
      </c>
      <c r="Q99" s="173">
        <v>939</v>
      </c>
      <c r="R99" s="173">
        <v>865</v>
      </c>
      <c r="S99" s="174">
        <v>1571</v>
      </c>
      <c r="T99" s="173">
        <v>726</v>
      </c>
      <c r="U99" s="772">
        <v>845</v>
      </c>
      <c r="V99" s="173">
        <v>233</v>
      </c>
      <c r="W99" s="173">
        <v>213</v>
      </c>
      <c r="X99" s="772">
        <v>20</v>
      </c>
      <c r="Y99" s="173"/>
      <c r="Z99" s="777">
        <v>58.24</v>
      </c>
      <c r="AA99" s="777">
        <f t="shared" ref="AA99:AA103" si="69">Z99/100</f>
        <v>0.58240000000000003</v>
      </c>
      <c r="AB99" s="789">
        <f>K99/AA99</f>
        <v>2709.4780219780218</v>
      </c>
      <c r="AC99" s="789">
        <f>P99/AA99</f>
        <v>3097.5274725274726</v>
      </c>
      <c r="AD99" s="173">
        <v>358</v>
      </c>
      <c r="AE99" s="773">
        <f t="shared" si="66"/>
        <v>5.039106145251397</v>
      </c>
      <c r="AF99" s="174">
        <f t="shared" si="67"/>
        <v>2932</v>
      </c>
      <c r="AG99" s="1200">
        <v>1490</v>
      </c>
      <c r="AH99" s="1200">
        <v>1442</v>
      </c>
      <c r="AI99" s="802" t="s">
        <v>321</v>
      </c>
      <c r="AJ99" s="188"/>
    </row>
    <row r="100" spans="1:37" s="150" customFormat="1" ht="15">
      <c r="A100" s="188" t="s">
        <v>322</v>
      </c>
      <c r="B100" s="173">
        <f t="shared" si="68"/>
        <v>319</v>
      </c>
      <c r="C100" s="173">
        <v>149</v>
      </c>
      <c r="D100" s="173">
        <v>170</v>
      </c>
      <c r="E100" s="173">
        <v>64</v>
      </c>
      <c r="F100" s="182">
        <v>4.984375</v>
      </c>
      <c r="G100" s="173">
        <f t="shared" ref="G100:G114" si="70">SUM(H100:I100)</f>
        <v>320</v>
      </c>
      <c r="H100" s="173">
        <v>141</v>
      </c>
      <c r="I100" s="173">
        <v>179</v>
      </c>
      <c r="J100" s="192">
        <f t="shared" si="60"/>
        <v>5.1991578221388134E-2</v>
      </c>
      <c r="K100" s="174">
        <f t="shared" si="61"/>
        <v>375</v>
      </c>
      <c r="L100" s="173">
        <v>177</v>
      </c>
      <c r="M100" s="173">
        <v>198</v>
      </c>
      <c r="N100" s="828">
        <f t="shared" si="45"/>
        <v>89.393939393939391</v>
      </c>
      <c r="O100" s="205">
        <f t="shared" si="62"/>
        <v>1.8659415314898655</v>
      </c>
      <c r="P100" s="173">
        <v>398</v>
      </c>
      <c r="Q100" s="173">
        <v>190</v>
      </c>
      <c r="R100" s="173">
        <v>208</v>
      </c>
      <c r="S100" s="174">
        <v>375</v>
      </c>
      <c r="T100" s="173">
        <v>177</v>
      </c>
      <c r="U100" s="772">
        <v>198</v>
      </c>
      <c r="V100" s="173">
        <v>23</v>
      </c>
      <c r="W100" s="173">
        <v>13</v>
      </c>
      <c r="X100" s="772">
        <v>10</v>
      </c>
      <c r="Y100" s="173"/>
      <c r="Z100" s="777">
        <v>37.14</v>
      </c>
      <c r="AA100" s="777">
        <f t="shared" si="69"/>
        <v>0.37140000000000001</v>
      </c>
      <c r="AB100" s="789">
        <f>K100/AA100</f>
        <v>1009.6930533117932</v>
      </c>
      <c r="AC100" s="789">
        <f>P100/AA100</f>
        <v>1071.6208939149165</v>
      </c>
      <c r="AD100" s="173">
        <v>90</v>
      </c>
      <c r="AE100" s="773">
        <f t="shared" si="66"/>
        <v>4.4222222222222225</v>
      </c>
      <c r="AF100" s="174">
        <f t="shared" si="67"/>
        <v>629</v>
      </c>
      <c r="AG100" s="1200">
        <v>315</v>
      </c>
      <c r="AH100" s="1200">
        <v>314</v>
      </c>
      <c r="AI100" s="802" t="s">
        <v>323</v>
      </c>
      <c r="AJ100" s="198"/>
      <c r="AK100" s="185"/>
    </row>
    <row r="101" spans="1:37" s="150" customFormat="1" ht="15">
      <c r="A101" s="188" t="s">
        <v>324</v>
      </c>
      <c r="B101" s="173">
        <f t="shared" si="68"/>
        <v>587</v>
      </c>
      <c r="C101" s="173">
        <v>288</v>
      </c>
      <c r="D101" s="173">
        <v>299</v>
      </c>
      <c r="E101" s="173">
        <v>124</v>
      </c>
      <c r="F101" s="182">
        <v>4.7338709677419351</v>
      </c>
      <c r="G101" s="173">
        <f t="shared" si="70"/>
        <v>504</v>
      </c>
      <c r="H101" s="173">
        <v>236</v>
      </c>
      <c r="I101" s="173">
        <v>268</v>
      </c>
      <c r="J101" s="192">
        <f t="shared" si="60"/>
        <v>-2.5323679693808612</v>
      </c>
      <c r="K101" s="174">
        <f t="shared" si="61"/>
        <v>487</v>
      </c>
      <c r="L101" s="173">
        <v>223</v>
      </c>
      <c r="M101" s="173">
        <v>264</v>
      </c>
      <c r="N101" s="828">
        <f t="shared" si="45"/>
        <v>84.469696969696969</v>
      </c>
      <c r="O101" s="205">
        <f t="shared" si="62"/>
        <v>-0.40367229398563309</v>
      </c>
      <c r="P101" s="173">
        <v>509</v>
      </c>
      <c r="Q101" s="173">
        <v>237</v>
      </c>
      <c r="R101" s="173">
        <v>272</v>
      </c>
      <c r="S101" s="174">
        <v>484</v>
      </c>
      <c r="T101" s="173">
        <v>221</v>
      </c>
      <c r="U101" s="772">
        <v>263</v>
      </c>
      <c r="V101" s="173">
        <v>25</v>
      </c>
      <c r="W101" s="173">
        <v>16</v>
      </c>
      <c r="X101" s="772">
        <v>9</v>
      </c>
      <c r="Y101" s="173"/>
      <c r="Z101" s="777">
        <v>38.340000000000003</v>
      </c>
      <c r="AA101" s="777">
        <f t="shared" si="69"/>
        <v>0.38340000000000002</v>
      </c>
      <c r="AB101" s="789">
        <f>K101/AA101</f>
        <v>1270.2138758476785</v>
      </c>
      <c r="AC101" s="789">
        <f>P101/AA101</f>
        <v>1327.5952008346374</v>
      </c>
      <c r="AD101" s="173">
        <v>132</v>
      </c>
      <c r="AE101" s="773">
        <f t="shared" si="66"/>
        <v>3.856060606060606</v>
      </c>
      <c r="AF101" s="174">
        <f t="shared" si="67"/>
        <v>972</v>
      </c>
      <c r="AG101" s="1200">
        <v>491</v>
      </c>
      <c r="AH101" s="1200">
        <v>481</v>
      </c>
      <c r="AI101" s="802" t="s">
        <v>325</v>
      </c>
      <c r="AJ101" s="198"/>
      <c r="AK101" s="185"/>
    </row>
    <row r="102" spans="1:37" s="150" customFormat="1" ht="15">
      <c r="A102" s="188" t="s">
        <v>326</v>
      </c>
      <c r="B102" s="173">
        <f t="shared" si="68"/>
        <v>345</v>
      </c>
      <c r="C102" s="173">
        <v>168</v>
      </c>
      <c r="D102" s="173">
        <v>177</v>
      </c>
      <c r="E102" s="173">
        <v>65</v>
      </c>
      <c r="F102" s="182">
        <v>5.3076923076923075</v>
      </c>
      <c r="G102" s="173">
        <f t="shared" si="70"/>
        <v>272</v>
      </c>
      <c r="H102" s="173">
        <v>111</v>
      </c>
      <c r="I102" s="173">
        <v>161</v>
      </c>
      <c r="J102" s="192">
        <f t="shared" si="60"/>
        <v>-3.9492084839761201</v>
      </c>
      <c r="K102" s="174">
        <f t="shared" si="61"/>
        <v>373</v>
      </c>
      <c r="L102" s="173">
        <v>180</v>
      </c>
      <c r="M102" s="173">
        <v>193</v>
      </c>
      <c r="N102" s="828">
        <f t="shared" si="45"/>
        <v>93.264248704663217</v>
      </c>
      <c r="O102" s="205">
        <f t="shared" si="62"/>
        <v>3.7150159217390377</v>
      </c>
      <c r="P102" s="173">
        <v>403</v>
      </c>
      <c r="Q102" s="173">
        <v>201</v>
      </c>
      <c r="R102" s="173">
        <v>202</v>
      </c>
      <c r="S102" s="174">
        <v>373</v>
      </c>
      <c r="T102" s="173">
        <v>180</v>
      </c>
      <c r="U102" s="772">
        <v>193</v>
      </c>
      <c r="V102" s="173">
        <v>30</v>
      </c>
      <c r="W102" s="173">
        <v>21</v>
      </c>
      <c r="X102" s="772">
        <v>9</v>
      </c>
      <c r="Y102" s="173"/>
      <c r="Z102" s="777">
        <v>38.97</v>
      </c>
      <c r="AA102" s="777">
        <f t="shared" si="69"/>
        <v>0.38969999999999999</v>
      </c>
      <c r="AB102" s="789">
        <f>K102/AA102</f>
        <v>957.1465229663844</v>
      </c>
      <c r="AC102" s="789">
        <f>P102/AA102</f>
        <v>1034.1288170387477</v>
      </c>
      <c r="AD102" s="173">
        <v>78</v>
      </c>
      <c r="AE102" s="773">
        <f t="shared" si="66"/>
        <v>5.166666666666667</v>
      </c>
      <c r="AF102" s="174">
        <f t="shared" si="67"/>
        <v>536</v>
      </c>
      <c r="AG102" s="1200">
        <v>262</v>
      </c>
      <c r="AH102" s="1200">
        <v>274</v>
      </c>
      <c r="AI102" s="802" t="s">
        <v>327</v>
      </c>
      <c r="AJ102" s="198"/>
      <c r="AK102" s="185"/>
    </row>
    <row r="103" spans="1:37" s="150" customFormat="1" ht="15">
      <c r="A103" s="188" t="s">
        <v>328</v>
      </c>
      <c r="B103" s="173">
        <f t="shared" si="68"/>
        <v>1089</v>
      </c>
      <c r="C103" s="173">
        <v>548</v>
      </c>
      <c r="D103" s="173">
        <v>541</v>
      </c>
      <c r="E103" s="173">
        <v>153</v>
      </c>
      <c r="F103" s="182">
        <v>7.117647058823529</v>
      </c>
      <c r="G103" s="173">
        <f t="shared" si="70"/>
        <v>2988</v>
      </c>
      <c r="H103" s="173">
        <v>1471</v>
      </c>
      <c r="I103" s="173">
        <v>1517</v>
      </c>
      <c r="J103" s="192">
        <f t="shared" si="60"/>
        <v>16.766518659796471</v>
      </c>
      <c r="K103" s="174">
        <f t="shared" si="61"/>
        <v>1388</v>
      </c>
      <c r="L103" s="173">
        <v>663</v>
      </c>
      <c r="M103" s="173">
        <v>725</v>
      </c>
      <c r="N103" s="828">
        <f t="shared" si="45"/>
        <v>91.448275862068968</v>
      </c>
      <c r="O103" s="205">
        <f t="shared" si="62"/>
        <v>-9.0204753551289194</v>
      </c>
      <c r="P103" s="173">
        <v>1501</v>
      </c>
      <c r="Q103" s="173">
        <v>729</v>
      </c>
      <c r="R103" s="173">
        <v>772</v>
      </c>
      <c r="S103" s="174">
        <v>1384</v>
      </c>
      <c r="T103" s="173">
        <v>659</v>
      </c>
      <c r="U103" s="772">
        <v>725</v>
      </c>
      <c r="V103" s="173">
        <v>117</v>
      </c>
      <c r="W103" s="173">
        <v>70</v>
      </c>
      <c r="X103" s="772">
        <v>47</v>
      </c>
      <c r="Y103" s="173"/>
      <c r="Z103" s="777">
        <v>33.049999999999997</v>
      </c>
      <c r="AA103" s="777">
        <f t="shared" si="69"/>
        <v>0.33049999999999996</v>
      </c>
      <c r="AB103" s="789">
        <f>K103/AA103</f>
        <v>4199.697428139184</v>
      </c>
      <c r="AC103" s="789">
        <f>P103/AA103</f>
        <v>4541.6036308623306</v>
      </c>
      <c r="AD103" s="173">
        <v>291</v>
      </c>
      <c r="AE103" s="773">
        <f t="shared" si="66"/>
        <v>5.1580756013745708</v>
      </c>
      <c r="AF103" s="174">
        <f t="shared" si="67"/>
        <v>1810</v>
      </c>
      <c r="AG103" s="1200">
        <v>933</v>
      </c>
      <c r="AH103" s="1200">
        <v>877</v>
      </c>
      <c r="AI103" s="802" t="s">
        <v>329</v>
      </c>
      <c r="AJ103" s="198"/>
      <c r="AK103" s="185"/>
    </row>
    <row r="104" spans="1:37" s="150" customFormat="1">
      <c r="A104" s="188" t="s">
        <v>973</v>
      </c>
      <c r="B104" s="173">
        <f>SUM(C104:D104)</f>
        <v>2717</v>
      </c>
      <c r="C104" s="173">
        <v>1289</v>
      </c>
      <c r="D104" s="173">
        <v>1428</v>
      </c>
      <c r="E104" s="173">
        <v>413</v>
      </c>
      <c r="F104" s="182">
        <v>6.5786924939467308</v>
      </c>
      <c r="G104" s="173">
        <f>SUM(H104:I104)</f>
        <v>0</v>
      </c>
      <c r="H104" s="173">
        <v>0</v>
      </c>
      <c r="I104" s="173">
        <v>0</v>
      </c>
      <c r="J104" s="193" t="s">
        <v>184</v>
      </c>
      <c r="K104" s="174" t="s">
        <v>187</v>
      </c>
      <c r="L104" s="173" t="s">
        <v>187</v>
      </c>
      <c r="M104" s="173" t="s">
        <v>187</v>
      </c>
      <c r="N104" s="828" t="s">
        <v>187</v>
      </c>
      <c r="O104" s="815" t="s">
        <v>187</v>
      </c>
      <c r="P104" s="173" t="s">
        <v>187</v>
      </c>
      <c r="Q104" s="173" t="s">
        <v>187</v>
      </c>
      <c r="R104" s="173" t="s">
        <v>187</v>
      </c>
      <c r="S104" s="174" t="s">
        <v>187</v>
      </c>
      <c r="T104" s="173" t="s">
        <v>187</v>
      </c>
      <c r="U104" s="772" t="s">
        <v>187</v>
      </c>
      <c r="V104" s="173" t="s">
        <v>187</v>
      </c>
      <c r="W104" s="173" t="s">
        <v>187</v>
      </c>
      <c r="X104" s="772" t="s">
        <v>187</v>
      </c>
      <c r="Y104" s="173"/>
      <c r="Z104" s="770" t="s">
        <v>187</v>
      </c>
      <c r="AA104" s="770" t="s">
        <v>187</v>
      </c>
      <c r="AB104" s="788" t="s">
        <v>187</v>
      </c>
      <c r="AC104" s="788" t="s">
        <v>187</v>
      </c>
      <c r="AD104" s="173" t="s">
        <v>187</v>
      </c>
      <c r="AE104" s="173" t="s">
        <v>187</v>
      </c>
      <c r="AF104" s="174">
        <f t="shared" si="67"/>
        <v>3589</v>
      </c>
      <c r="AG104" s="1200">
        <v>1864</v>
      </c>
      <c r="AH104" s="1200">
        <v>1725</v>
      </c>
      <c r="AI104" s="804" t="s">
        <v>1010</v>
      </c>
      <c r="AJ104" s="203"/>
      <c r="AK104" s="204"/>
    </row>
    <row r="105" spans="1:37">
      <c r="A105" s="188" t="s">
        <v>974</v>
      </c>
      <c r="B105" s="173" t="s">
        <v>187</v>
      </c>
      <c r="C105" s="173" t="s">
        <v>187</v>
      </c>
      <c r="D105" s="173" t="s">
        <v>187</v>
      </c>
      <c r="E105" s="173" t="s">
        <v>187</v>
      </c>
      <c r="F105" s="182" t="s">
        <v>187</v>
      </c>
      <c r="G105" s="173" t="s">
        <v>187</v>
      </c>
      <c r="H105" s="173" t="s">
        <v>187</v>
      </c>
      <c r="I105" s="173" t="s">
        <v>187</v>
      </c>
      <c r="J105" s="193" t="s">
        <v>187</v>
      </c>
      <c r="K105" s="174">
        <v>2924</v>
      </c>
      <c r="L105" s="173">
        <v>1376</v>
      </c>
      <c r="M105" s="173">
        <v>1548</v>
      </c>
      <c r="N105" s="828">
        <f t="shared" si="45"/>
        <v>88.888888888888886</v>
      </c>
      <c r="O105" s="816" t="s">
        <v>187</v>
      </c>
      <c r="P105" s="173">
        <v>3016</v>
      </c>
      <c r="Q105" s="173">
        <v>1448</v>
      </c>
      <c r="R105" s="173">
        <v>1568</v>
      </c>
      <c r="S105" s="174">
        <v>2920</v>
      </c>
      <c r="T105" s="173">
        <v>1372</v>
      </c>
      <c r="U105" s="772">
        <v>1548</v>
      </c>
      <c r="V105" s="173">
        <v>96</v>
      </c>
      <c r="W105" s="173">
        <v>76</v>
      </c>
      <c r="X105" s="772">
        <v>20</v>
      </c>
      <c r="Y105" s="173"/>
      <c r="Z105" s="774">
        <v>47.77</v>
      </c>
      <c r="AA105" s="777">
        <f t="shared" ref="AA105:AA114" si="71">Z105/100</f>
        <v>0.47770000000000001</v>
      </c>
      <c r="AB105" s="789">
        <f t="shared" ref="AB105:AB114" si="72">K105/AA105</f>
        <v>6120.9964412811387</v>
      </c>
      <c r="AC105" s="789">
        <f t="shared" ref="AC105:AC114" si="73">P105/AA105</f>
        <v>6313.5859325936781</v>
      </c>
      <c r="AD105" s="173">
        <v>614</v>
      </c>
      <c r="AE105" s="773">
        <f t="shared" ref="AE105:AE114" si="74">P105/AD105</f>
        <v>4.9120521172638441</v>
      </c>
      <c r="AF105" s="174">
        <f t="shared" si="67"/>
        <v>1364</v>
      </c>
      <c r="AG105" s="1199">
        <v>696</v>
      </c>
      <c r="AH105" s="1199">
        <v>668</v>
      </c>
      <c r="AI105" s="802" t="s">
        <v>1011</v>
      </c>
      <c r="AJ105" s="198"/>
      <c r="AK105" s="185"/>
    </row>
    <row r="106" spans="1:37" s="150" customFormat="1" ht="15">
      <c r="A106" s="188" t="s">
        <v>330</v>
      </c>
      <c r="B106" s="173">
        <f t="shared" si="68"/>
        <v>810</v>
      </c>
      <c r="C106" s="173">
        <v>388</v>
      </c>
      <c r="D106" s="173">
        <v>422</v>
      </c>
      <c r="E106" s="173">
        <v>138</v>
      </c>
      <c r="F106" s="182">
        <v>5.8695652173913047</v>
      </c>
      <c r="G106" s="173">
        <f t="shared" si="70"/>
        <v>877</v>
      </c>
      <c r="H106" s="173">
        <v>413</v>
      </c>
      <c r="I106" s="173">
        <v>464</v>
      </c>
      <c r="J106" s="192">
        <f t="shared" ref="J106:J114" si="75">LN(G106/B106)/6.02*100</f>
        <v>1.3201452608920048</v>
      </c>
      <c r="K106" s="174">
        <f t="shared" ref="K106:K114" si="76">SUM(L106:M106)</f>
        <v>769</v>
      </c>
      <c r="L106" s="173">
        <v>375</v>
      </c>
      <c r="M106" s="173">
        <v>394</v>
      </c>
      <c r="N106" s="828">
        <f t="shared" si="45"/>
        <v>95.17766497461929</v>
      </c>
      <c r="O106" s="205">
        <f t="shared" ref="O106:O114" si="77">LN(K106/G106)/8.5*100</f>
        <v>-1.546070857253401</v>
      </c>
      <c r="P106" s="173">
        <v>798</v>
      </c>
      <c r="Q106" s="173">
        <v>393</v>
      </c>
      <c r="R106" s="173">
        <v>405</v>
      </c>
      <c r="S106" s="174">
        <v>765</v>
      </c>
      <c r="T106" s="173">
        <v>372</v>
      </c>
      <c r="U106" s="772">
        <v>393</v>
      </c>
      <c r="V106" s="173">
        <v>33</v>
      </c>
      <c r="W106" s="173">
        <v>21</v>
      </c>
      <c r="X106" s="772">
        <v>12</v>
      </c>
      <c r="Y106" s="173"/>
      <c r="Z106" s="777">
        <v>49.09</v>
      </c>
      <c r="AA106" s="777">
        <f t="shared" si="71"/>
        <v>0.49090000000000006</v>
      </c>
      <c r="AB106" s="789">
        <f t="shared" si="72"/>
        <v>1566.5104909350171</v>
      </c>
      <c r="AC106" s="789">
        <f t="shared" si="73"/>
        <v>1625.5856589936848</v>
      </c>
      <c r="AD106" s="173">
        <v>170</v>
      </c>
      <c r="AE106" s="773">
        <f t="shared" si="74"/>
        <v>4.6941176470588237</v>
      </c>
      <c r="AF106" s="174">
        <f t="shared" ref="AF106:AF114" si="78">SUM(AG106:AH106)</f>
        <v>1368</v>
      </c>
      <c r="AG106" s="1200">
        <v>694</v>
      </c>
      <c r="AH106" s="1200">
        <v>674</v>
      </c>
      <c r="AI106" s="802" t="s">
        <v>331</v>
      </c>
      <c r="AJ106" s="198"/>
      <c r="AK106" s="185"/>
    </row>
    <row r="107" spans="1:37" s="150" customFormat="1" ht="15">
      <c r="A107" s="188" t="s">
        <v>332</v>
      </c>
      <c r="B107" s="173">
        <f t="shared" si="68"/>
        <v>544</v>
      </c>
      <c r="C107" s="173">
        <v>269</v>
      </c>
      <c r="D107" s="173">
        <v>275</v>
      </c>
      <c r="E107" s="173">
        <v>116</v>
      </c>
      <c r="F107" s="182">
        <v>4.6896551724137927</v>
      </c>
      <c r="G107" s="173">
        <f t="shared" si="70"/>
        <v>487</v>
      </c>
      <c r="H107" s="173">
        <v>242</v>
      </c>
      <c r="I107" s="173">
        <v>245</v>
      </c>
      <c r="J107" s="192">
        <f t="shared" si="75"/>
        <v>-1.8386233184942327</v>
      </c>
      <c r="K107" s="174">
        <f t="shared" si="76"/>
        <v>496</v>
      </c>
      <c r="L107" s="173">
        <v>249</v>
      </c>
      <c r="M107" s="173">
        <v>247</v>
      </c>
      <c r="N107" s="828">
        <f t="shared" si="45"/>
        <v>100.8097165991903</v>
      </c>
      <c r="O107" s="205">
        <f t="shared" si="77"/>
        <v>0.21543298402750222</v>
      </c>
      <c r="P107" s="173">
        <v>516</v>
      </c>
      <c r="Q107" s="173">
        <v>266</v>
      </c>
      <c r="R107" s="173">
        <v>250</v>
      </c>
      <c r="S107" s="174">
        <v>494</v>
      </c>
      <c r="T107" s="173">
        <v>248</v>
      </c>
      <c r="U107" s="772">
        <v>246</v>
      </c>
      <c r="V107" s="173">
        <v>22</v>
      </c>
      <c r="W107" s="173">
        <v>18</v>
      </c>
      <c r="X107" s="772">
        <v>4</v>
      </c>
      <c r="Y107" s="173"/>
      <c r="Z107" s="777">
        <v>26.45</v>
      </c>
      <c r="AA107" s="777">
        <f t="shared" si="71"/>
        <v>0.26450000000000001</v>
      </c>
      <c r="AB107" s="789">
        <f t="shared" si="72"/>
        <v>1875.2362948960301</v>
      </c>
      <c r="AC107" s="789">
        <f t="shared" si="73"/>
        <v>1950.8506616257089</v>
      </c>
      <c r="AD107" s="173">
        <v>123</v>
      </c>
      <c r="AE107" s="773">
        <f t="shared" si="74"/>
        <v>4.1951219512195124</v>
      </c>
      <c r="AF107" s="174">
        <f t="shared" si="78"/>
        <v>890</v>
      </c>
      <c r="AG107" s="1200">
        <v>483</v>
      </c>
      <c r="AH107" s="1200">
        <v>407</v>
      </c>
      <c r="AI107" s="802" t="s">
        <v>333</v>
      </c>
      <c r="AJ107" s="198"/>
      <c r="AK107" s="185"/>
    </row>
    <row r="108" spans="1:37" s="150" customFormat="1" ht="15">
      <c r="A108" s="188" t="s">
        <v>334</v>
      </c>
      <c r="B108" s="173">
        <f t="shared" si="68"/>
        <v>492</v>
      </c>
      <c r="C108" s="173">
        <v>230</v>
      </c>
      <c r="D108" s="173">
        <v>262</v>
      </c>
      <c r="E108" s="173">
        <v>101</v>
      </c>
      <c r="F108" s="182">
        <v>4.8712871287128712</v>
      </c>
      <c r="G108" s="173">
        <f t="shared" si="70"/>
        <v>537</v>
      </c>
      <c r="H108" s="173">
        <v>266</v>
      </c>
      <c r="I108" s="173">
        <v>271</v>
      </c>
      <c r="J108" s="192">
        <f t="shared" si="75"/>
        <v>1.4538102660557586</v>
      </c>
      <c r="K108" s="174">
        <f t="shared" si="76"/>
        <v>504</v>
      </c>
      <c r="L108" s="173">
        <v>257</v>
      </c>
      <c r="M108" s="173">
        <v>247</v>
      </c>
      <c r="N108" s="828">
        <f t="shared" si="45"/>
        <v>104.04858299595141</v>
      </c>
      <c r="O108" s="205">
        <f t="shared" si="77"/>
        <v>-0.74613913455877723</v>
      </c>
      <c r="P108" s="173">
        <v>577</v>
      </c>
      <c r="Q108" s="173">
        <v>324</v>
      </c>
      <c r="R108" s="173">
        <v>253</v>
      </c>
      <c r="S108" s="174">
        <v>504</v>
      </c>
      <c r="T108" s="173">
        <v>257</v>
      </c>
      <c r="U108" s="772">
        <v>247</v>
      </c>
      <c r="V108" s="173">
        <v>73</v>
      </c>
      <c r="W108" s="173">
        <v>67</v>
      </c>
      <c r="X108" s="772">
        <v>6</v>
      </c>
      <c r="Y108" s="173"/>
      <c r="Z108" s="777">
        <v>34.159999999999997</v>
      </c>
      <c r="AA108" s="777">
        <f t="shared" si="71"/>
        <v>0.34159999999999996</v>
      </c>
      <c r="AB108" s="789">
        <f t="shared" si="72"/>
        <v>1475.4098360655739</v>
      </c>
      <c r="AC108" s="789">
        <f t="shared" si="73"/>
        <v>1689.1100702576114</v>
      </c>
      <c r="AD108" s="173">
        <v>138</v>
      </c>
      <c r="AE108" s="773">
        <f t="shared" si="74"/>
        <v>4.1811594202898554</v>
      </c>
      <c r="AF108" s="174">
        <f t="shared" si="78"/>
        <v>910</v>
      </c>
      <c r="AG108" s="1200">
        <v>480</v>
      </c>
      <c r="AH108" s="1200">
        <v>430</v>
      </c>
      <c r="AI108" s="802" t="s">
        <v>335</v>
      </c>
      <c r="AJ108" s="198"/>
      <c r="AK108" s="185"/>
    </row>
    <row r="109" spans="1:37" s="150" customFormat="1" ht="15">
      <c r="A109" s="188" t="s">
        <v>336</v>
      </c>
      <c r="B109" s="173">
        <f t="shared" si="68"/>
        <v>1530</v>
      </c>
      <c r="C109" s="173">
        <v>774</v>
      </c>
      <c r="D109" s="173">
        <v>756</v>
      </c>
      <c r="E109" s="173">
        <v>233</v>
      </c>
      <c r="F109" s="182">
        <v>6.5665236051502145</v>
      </c>
      <c r="G109" s="173">
        <f t="shared" si="70"/>
        <v>1558</v>
      </c>
      <c r="H109" s="173">
        <v>745</v>
      </c>
      <c r="I109" s="173">
        <v>813</v>
      </c>
      <c r="J109" s="192">
        <f t="shared" si="75"/>
        <v>0.30124936950518871</v>
      </c>
      <c r="K109" s="174">
        <f t="shared" si="76"/>
        <v>1398</v>
      </c>
      <c r="L109" s="173">
        <v>701</v>
      </c>
      <c r="M109" s="173">
        <v>697</v>
      </c>
      <c r="N109" s="828">
        <f t="shared" si="45"/>
        <v>100.57388809182211</v>
      </c>
      <c r="O109" s="205">
        <f t="shared" si="77"/>
        <v>-1.2748271016110349</v>
      </c>
      <c r="P109" s="173">
        <v>1449</v>
      </c>
      <c r="Q109" s="173">
        <v>744</v>
      </c>
      <c r="R109" s="173">
        <v>705</v>
      </c>
      <c r="S109" s="174">
        <v>1390</v>
      </c>
      <c r="T109" s="173">
        <v>696</v>
      </c>
      <c r="U109" s="772">
        <v>694</v>
      </c>
      <c r="V109" s="173">
        <v>59</v>
      </c>
      <c r="W109" s="173">
        <v>48</v>
      </c>
      <c r="X109" s="772">
        <v>11</v>
      </c>
      <c r="Y109" s="173"/>
      <c r="Z109" s="777">
        <v>21.1</v>
      </c>
      <c r="AA109" s="777">
        <f t="shared" si="71"/>
        <v>0.21100000000000002</v>
      </c>
      <c r="AB109" s="789">
        <f t="shared" si="72"/>
        <v>6625.5924170616108</v>
      </c>
      <c r="AC109" s="789">
        <f t="shared" si="73"/>
        <v>6867.298578199051</v>
      </c>
      <c r="AD109" s="173">
        <v>298</v>
      </c>
      <c r="AE109" s="773">
        <f t="shared" si="74"/>
        <v>4.8624161073825505</v>
      </c>
      <c r="AF109" s="174">
        <f t="shared" si="78"/>
        <v>2557</v>
      </c>
      <c r="AG109" s="1200">
        <v>1343</v>
      </c>
      <c r="AH109" s="1200">
        <v>1214</v>
      </c>
      <c r="AI109" s="802" t="s">
        <v>337</v>
      </c>
      <c r="AJ109" s="198"/>
      <c r="AK109" s="185"/>
    </row>
    <row r="110" spans="1:37" s="150" customFormat="1" ht="15">
      <c r="A110" s="188" t="s">
        <v>338</v>
      </c>
      <c r="B110" s="173">
        <f t="shared" si="68"/>
        <v>1274</v>
      </c>
      <c r="C110" s="173">
        <v>614</v>
      </c>
      <c r="D110" s="173">
        <v>660</v>
      </c>
      <c r="E110" s="173">
        <v>198</v>
      </c>
      <c r="F110" s="182">
        <v>6.4343434343434343</v>
      </c>
      <c r="G110" s="173">
        <f t="shared" si="70"/>
        <v>1278</v>
      </c>
      <c r="H110" s="173">
        <v>614</v>
      </c>
      <c r="I110" s="173">
        <v>664</v>
      </c>
      <c r="J110" s="192">
        <f t="shared" si="75"/>
        <v>5.2073069856669076E-2</v>
      </c>
      <c r="K110" s="174">
        <f t="shared" si="76"/>
        <v>1134</v>
      </c>
      <c r="L110" s="173">
        <v>513</v>
      </c>
      <c r="M110" s="173">
        <v>621</v>
      </c>
      <c r="N110" s="828">
        <f t="shared" si="45"/>
        <v>82.608695652173907</v>
      </c>
      <c r="O110" s="205">
        <f t="shared" si="77"/>
        <v>-1.4064135370562669</v>
      </c>
      <c r="P110" s="173">
        <v>1209</v>
      </c>
      <c r="Q110" s="173">
        <v>586</v>
      </c>
      <c r="R110" s="173">
        <v>623</v>
      </c>
      <c r="S110" s="174">
        <v>1123</v>
      </c>
      <c r="T110" s="173">
        <v>508</v>
      </c>
      <c r="U110" s="772">
        <v>615</v>
      </c>
      <c r="V110" s="173">
        <v>86</v>
      </c>
      <c r="W110" s="173">
        <v>78</v>
      </c>
      <c r="X110" s="772">
        <v>8</v>
      </c>
      <c r="Y110" s="173"/>
      <c r="Z110" s="777">
        <v>44.64</v>
      </c>
      <c r="AA110" s="777">
        <f t="shared" si="71"/>
        <v>0.44640000000000002</v>
      </c>
      <c r="AB110" s="789">
        <f t="shared" si="72"/>
        <v>2540.322580645161</v>
      </c>
      <c r="AC110" s="789">
        <f t="shared" si="73"/>
        <v>2708.333333333333</v>
      </c>
      <c r="AD110" s="173">
        <v>265</v>
      </c>
      <c r="AE110" s="773">
        <f t="shared" si="74"/>
        <v>4.5622641509433963</v>
      </c>
      <c r="AF110" s="174">
        <f t="shared" si="78"/>
        <v>2077</v>
      </c>
      <c r="AG110" s="1200">
        <v>1048</v>
      </c>
      <c r="AH110" s="1200">
        <v>1029</v>
      </c>
      <c r="AI110" s="802" t="s">
        <v>339</v>
      </c>
      <c r="AJ110" s="198"/>
      <c r="AK110" s="185"/>
    </row>
    <row r="111" spans="1:37" s="150" customFormat="1" ht="15">
      <c r="A111" s="188" t="s">
        <v>340</v>
      </c>
      <c r="B111" s="173">
        <f t="shared" si="68"/>
        <v>249</v>
      </c>
      <c r="C111" s="173">
        <v>108</v>
      </c>
      <c r="D111" s="173">
        <v>141</v>
      </c>
      <c r="E111" s="173">
        <v>42</v>
      </c>
      <c r="F111" s="182">
        <v>5.9285714285714288</v>
      </c>
      <c r="G111" s="173">
        <f t="shared" si="70"/>
        <v>251</v>
      </c>
      <c r="H111" s="173">
        <v>120</v>
      </c>
      <c r="I111" s="173">
        <v>131</v>
      </c>
      <c r="J111" s="192">
        <f t="shared" si="75"/>
        <v>0.13289107420392643</v>
      </c>
      <c r="K111" s="174">
        <f t="shared" si="76"/>
        <v>304</v>
      </c>
      <c r="L111" s="173">
        <v>149</v>
      </c>
      <c r="M111" s="173">
        <v>155</v>
      </c>
      <c r="N111" s="828">
        <f t="shared" si="45"/>
        <v>96.129032258064512</v>
      </c>
      <c r="O111" s="205">
        <f t="shared" si="77"/>
        <v>2.2538207326404454</v>
      </c>
      <c r="P111" s="173">
        <v>318</v>
      </c>
      <c r="Q111" s="173">
        <v>158</v>
      </c>
      <c r="R111" s="173">
        <v>160</v>
      </c>
      <c r="S111" s="174">
        <v>304</v>
      </c>
      <c r="T111" s="173">
        <v>149</v>
      </c>
      <c r="U111" s="772">
        <v>155</v>
      </c>
      <c r="V111" s="173">
        <v>14</v>
      </c>
      <c r="W111" s="173">
        <v>9</v>
      </c>
      <c r="X111" s="772">
        <v>5</v>
      </c>
      <c r="Y111" s="173"/>
      <c r="Z111" s="777">
        <v>58.76</v>
      </c>
      <c r="AA111" s="777">
        <f t="shared" si="71"/>
        <v>0.58760000000000001</v>
      </c>
      <c r="AB111" s="789">
        <f t="shared" si="72"/>
        <v>517.35874744724299</v>
      </c>
      <c r="AC111" s="789">
        <f t="shared" si="73"/>
        <v>541.18447923757662</v>
      </c>
      <c r="AD111" s="173">
        <v>62</v>
      </c>
      <c r="AE111" s="773">
        <f t="shared" si="74"/>
        <v>5.129032258064516</v>
      </c>
      <c r="AF111" s="174">
        <f t="shared" si="78"/>
        <v>497</v>
      </c>
      <c r="AG111" s="1200">
        <v>270</v>
      </c>
      <c r="AH111" s="1200">
        <v>227</v>
      </c>
      <c r="AI111" s="802" t="s">
        <v>341</v>
      </c>
      <c r="AJ111" s="198"/>
      <c r="AK111" s="185"/>
    </row>
    <row r="112" spans="1:37" s="150" customFormat="1" ht="15">
      <c r="A112" s="188" t="s">
        <v>342</v>
      </c>
      <c r="B112" s="173">
        <f t="shared" si="68"/>
        <v>1430</v>
      </c>
      <c r="C112" s="173">
        <v>778</v>
      </c>
      <c r="D112" s="173">
        <v>652</v>
      </c>
      <c r="E112" s="173">
        <v>210</v>
      </c>
      <c r="F112" s="182">
        <v>6.8095238095238093</v>
      </c>
      <c r="G112" s="173">
        <f t="shared" si="70"/>
        <v>1736</v>
      </c>
      <c r="H112" s="173">
        <v>838</v>
      </c>
      <c r="I112" s="173">
        <v>898</v>
      </c>
      <c r="J112" s="192">
        <f t="shared" si="75"/>
        <v>3.2210825908030309</v>
      </c>
      <c r="K112" s="174">
        <f t="shared" si="76"/>
        <v>1669</v>
      </c>
      <c r="L112" s="173">
        <v>807</v>
      </c>
      <c r="M112" s="173">
        <v>862</v>
      </c>
      <c r="N112" s="828">
        <f t="shared" si="45"/>
        <v>93.619489559164734</v>
      </c>
      <c r="O112" s="205">
        <f t="shared" si="77"/>
        <v>-0.4630467242171814</v>
      </c>
      <c r="P112" s="173">
        <v>1726</v>
      </c>
      <c r="Q112" s="173">
        <v>857</v>
      </c>
      <c r="R112" s="173">
        <v>869</v>
      </c>
      <c r="S112" s="174">
        <v>1664</v>
      </c>
      <c r="T112" s="173">
        <v>805</v>
      </c>
      <c r="U112" s="772">
        <v>859</v>
      </c>
      <c r="V112" s="173">
        <v>62</v>
      </c>
      <c r="W112" s="173">
        <v>52</v>
      </c>
      <c r="X112" s="772">
        <v>10</v>
      </c>
      <c r="Y112" s="173"/>
      <c r="Z112" s="777">
        <v>34.53</v>
      </c>
      <c r="AA112" s="777">
        <f t="shared" si="71"/>
        <v>0.3453</v>
      </c>
      <c r="AB112" s="789">
        <f t="shared" si="72"/>
        <v>4833.4781349551113</v>
      </c>
      <c r="AC112" s="789">
        <f t="shared" si="73"/>
        <v>4998.5519837822185</v>
      </c>
      <c r="AD112" s="173">
        <v>300</v>
      </c>
      <c r="AE112" s="773">
        <f t="shared" si="74"/>
        <v>5.753333333333333</v>
      </c>
      <c r="AF112" s="174">
        <f t="shared" si="78"/>
        <v>2213</v>
      </c>
      <c r="AG112" s="1200">
        <v>1161</v>
      </c>
      <c r="AH112" s="1200">
        <v>1052</v>
      </c>
      <c r="AI112" s="802" t="s">
        <v>343</v>
      </c>
      <c r="AJ112" s="198"/>
      <c r="AK112" s="185"/>
    </row>
    <row r="113" spans="1:37" s="150" customFormat="1" ht="15">
      <c r="A113" s="188" t="s">
        <v>344</v>
      </c>
      <c r="B113" s="173">
        <f t="shared" si="68"/>
        <v>362</v>
      </c>
      <c r="C113" s="173">
        <v>164</v>
      </c>
      <c r="D113" s="173">
        <v>198</v>
      </c>
      <c r="E113" s="173">
        <v>62</v>
      </c>
      <c r="F113" s="182">
        <v>5.838709677419355</v>
      </c>
      <c r="G113" s="173">
        <f t="shared" si="70"/>
        <v>345</v>
      </c>
      <c r="H113" s="173">
        <v>163</v>
      </c>
      <c r="I113" s="173">
        <v>182</v>
      </c>
      <c r="J113" s="192">
        <f t="shared" si="75"/>
        <v>-0.79899991352842781</v>
      </c>
      <c r="K113" s="174">
        <f t="shared" si="76"/>
        <v>432</v>
      </c>
      <c r="L113" s="173">
        <v>206</v>
      </c>
      <c r="M113" s="173">
        <v>226</v>
      </c>
      <c r="N113" s="828">
        <f t="shared" si="45"/>
        <v>91.150442477876098</v>
      </c>
      <c r="O113" s="205">
        <f t="shared" si="77"/>
        <v>2.6456608377970663</v>
      </c>
      <c r="P113" s="173">
        <v>464</v>
      </c>
      <c r="Q113" s="173">
        <v>231</v>
      </c>
      <c r="R113" s="173">
        <v>233</v>
      </c>
      <c r="S113" s="174">
        <v>432</v>
      </c>
      <c r="T113" s="173">
        <v>206</v>
      </c>
      <c r="U113" s="772">
        <v>226</v>
      </c>
      <c r="V113" s="173">
        <v>32</v>
      </c>
      <c r="W113" s="173">
        <v>25</v>
      </c>
      <c r="X113" s="772">
        <v>7</v>
      </c>
      <c r="Y113" s="173"/>
      <c r="Z113" s="777">
        <v>53.25</v>
      </c>
      <c r="AA113" s="777">
        <f t="shared" si="71"/>
        <v>0.53249999999999997</v>
      </c>
      <c r="AB113" s="789">
        <f t="shared" si="72"/>
        <v>811.26760563380287</v>
      </c>
      <c r="AC113" s="789">
        <f t="shared" si="73"/>
        <v>871.36150234741785</v>
      </c>
      <c r="AD113" s="173">
        <v>89</v>
      </c>
      <c r="AE113" s="773">
        <f t="shared" si="74"/>
        <v>5.213483146067416</v>
      </c>
      <c r="AF113" s="174">
        <f t="shared" si="78"/>
        <v>672</v>
      </c>
      <c r="AG113" s="1200">
        <v>345</v>
      </c>
      <c r="AH113" s="1200">
        <v>327</v>
      </c>
      <c r="AI113" s="802" t="s">
        <v>345</v>
      </c>
      <c r="AJ113" s="198"/>
      <c r="AK113" s="185"/>
    </row>
    <row r="114" spans="1:37" s="150" customFormat="1" ht="15">
      <c r="A114" s="188" t="s">
        <v>346</v>
      </c>
      <c r="B114" s="173">
        <f t="shared" si="68"/>
        <v>939</v>
      </c>
      <c r="C114" s="173">
        <v>453</v>
      </c>
      <c r="D114" s="173">
        <v>486</v>
      </c>
      <c r="E114" s="173">
        <v>184</v>
      </c>
      <c r="F114" s="182">
        <v>5.1032608695652177</v>
      </c>
      <c r="G114" s="173">
        <f t="shared" si="70"/>
        <v>1516</v>
      </c>
      <c r="H114" s="173">
        <v>725</v>
      </c>
      <c r="I114" s="173">
        <v>791</v>
      </c>
      <c r="J114" s="192">
        <f t="shared" si="75"/>
        <v>7.9570612457484078</v>
      </c>
      <c r="K114" s="174">
        <f t="shared" si="76"/>
        <v>1103</v>
      </c>
      <c r="L114" s="173">
        <v>511</v>
      </c>
      <c r="M114" s="173">
        <v>592</v>
      </c>
      <c r="N114" s="828">
        <f t="shared" si="45"/>
        <v>86.317567567567565</v>
      </c>
      <c r="O114" s="205">
        <f t="shared" si="77"/>
        <v>-3.7416652582213472</v>
      </c>
      <c r="P114" s="173">
        <v>1131</v>
      </c>
      <c r="Q114" s="173">
        <v>520</v>
      </c>
      <c r="R114" s="173">
        <v>611</v>
      </c>
      <c r="S114" s="174">
        <v>1079</v>
      </c>
      <c r="T114" s="173">
        <v>493</v>
      </c>
      <c r="U114" s="772">
        <v>586</v>
      </c>
      <c r="V114" s="173">
        <v>52</v>
      </c>
      <c r="W114" s="173">
        <v>27</v>
      </c>
      <c r="X114" s="772">
        <v>25</v>
      </c>
      <c r="Y114" s="173"/>
      <c r="Z114" s="777">
        <v>58.57</v>
      </c>
      <c r="AA114" s="777">
        <f t="shared" si="71"/>
        <v>0.5857</v>
      </c>
      <c r="AB114" s="789">
        <f t="shared" si="72"/>
        <v>1883.2166638210688</v>
      </c>
      <c r="AC114" s="789">
        <f t="shared" si="73"/>
        <v>1931.0227078709238</v>
      </c>
      <c r="AD114" s="173">
        <v>248</v>
      </c>
      <c r="AE114" s="773">
        <f t="shared" si="74"/>
        <v>4.560483870967742</v>
      </c>
      <c r="AF114" s="174">
        <f t="shared" si="78"/>
        <v>1578</v>
      </c>
      <c r="AG114" s="1200">
        <v>800</v>
      </c>
      <c r="AH114" s="1200">
        <v>778</v>
      </c>
      <c r="AI114" s="802" t="s">
        <v>347</v>
      </c>
      <c r="AJ114" s="198"/>
      <c r="AK114" s="185"/>
    </row>
    <row r="115" spans="1:37" s="150" customFormat="1" ht="15">
      <c r="A115" s="188"/>
      <c r="B115" s="173"/>
      <c r="C115" s="173"/>
      <c r="D115" s="173"/>
      <c r="E115" s="173"/>
      <c r="F115" s="182"/>
      <c r="G115" s="173"/>
      <c r="H115" s="173"/>
      <c r="I115" s="173"/>
      <c r="J115" s="193"/>
      <c r="K115" s="174"/>
      <c r="L115" s="173"/>
      <c r="M115" s="173"/>
      <c r="N115" s="828"/>
      <c r="O115" s="205"/>
      <c r="P115" s="173"/>
      <c r="Q115" s="173"/>
      <c r="R115" s="173"/>
      <c r="S115" s="174"/>
      <c r="T115" s="173"/>
      <c r="U115" s="772"/>
      <c r="V115" s="173"/>
      <c r="W115" s="173"/>
      <c r="X115" s="772"/>
      <c r="Y115" s="173"/>
      <c r="Z115" s="777"/>
      <c r="AA115" s="777"/>
      <c r="AB115" s="789"/>
      <c r="AC115" s="789"/>
      <c r="AD115" s="173"/>
      <c r="AE115" s="773"/>
      <c r="AF115" s="174"/>
      <c r="AG115" s="175"/>
      <c r="AH115" s="175"/>
      <c r="AI115" s="803"/>
      <c r="AJ115" s="198"/>
      <c r="AK115" s="185"/>
    </row>
    <row r="116" spans="1:37" s="167" customFormat="1" ht="15">
      <c r="A116" s="190" t="s">
        <v>348</v>
      </c>
      <c r="B116" s="163">
        <f t="shared" ref="B116:B129" si="79">SUM(C116:D116)</f>
        <v>9172</v>
      </c>
      <c r="C116" s="163">
        <f>SUM(C117:C129)</f>
        <v>4561</v>
      </c>
      <c r="D116" s="163">
        <f>SUM(D117:D129)</f>
        <v>4611</v>
      </c>
      <c r="E116" s="163">
        <f>SUM(E117:E129)</f>
        <v>1478</v>
      </c>
      <c r="F116" s="164">
        <v>6.4770889487870624</v>
      </c>
      <c r="G116" s="163">
        <f>SUM(H116:I116)</f>
        <v>8893</v>
      </c>
      <c r="H116" s="163">
        <f>SUM(H117:H129)</f>
        <v>4316</v>
      </c>
      <c r="I116" s="163">
        <f>SUM(I117:I129)</f>
        <v>4577</v>
      </c>
      <c r="J116" s="168">
        <f t="shared" ref="J116:J129" si="80">LN(G116/B116)/6.02*100</f>
        <v>-0.51313811591619674</v>
      </c>
      <c r="K116" s="166">
        <f t="shared" ref="K116:K129" si="81">SUM(L116:M116)</f>
        <v>8919</v>
      </c>
      <c r="L116" s="163">
        <f>SUM(L117:L129)</f>
        <v>4303</v>
      </c>
      <c r="M116" s="163">
        <f>SUM(M117:M129)</f>
        <v>4616</v>
      </c>
      <c r="N116" s="827">
        <f t="shared" si="45"/>
        <v>93.219237435008665</v>
      </c>
      <c r="O116" s="814">
        <f t="shared" ref="O116:O129" si="82">LN(K116/G116)/8.5*100</f>
        <v>3.4345673724320312E-2</v>
      </c>
      <c r="P116" s="163">
        <f t="shared" ref="P116" si="83">SUM(Q116:R116)</f>
        <v>9601</v>
      </c>
      <c r="Q116" s="163">
        <f>SUM(Q117:Q129)</f>
        <v>4904</v>
      </c>
      <c r="R116" s="163">
        <f>SUM(R117:R129)</f>
        <v>4697</v>
      </c>
      <c r="S116" s="166">
        <f t="shared" ref="S116" si="84">SUM(T116:U116)</f>
        <v>8878</v>
      </c>
      <c r="T116" s="163">
        <f>SUM(T117:T129)</f>
        <v>4280</v>
      </c>
      <c r="U116" s="769">
        <f>SUM(U117:U129)</f>
        <v>4598</v>
      </c>
      <c r="V116" s="163">
        <f t="shared" ref="V116" si="85">SUM(W116:X116)</f>
        <v>723</v>
      </c>
      <c r="W116" s="163">
        <f>SUM(W117:W129)</f>
        <v>624</v>
      </c>
      <c r="X116" s="769">
        <f>SUM(X117:X129)</f>
        <v>99</v>
      </c>
      <c r="Y116" s="163"/>
      <c r="Z116" s="770" t="s">
        <v>187</v>
      </c>
      <c r="AA116" s="770" t="s">
        <v>187</v>
      </c>
      <c r="AB116" s="788" t="s">
        <v>187</v>
      </c>
      <c r="AC116" s="788" t="s">
        <v>187</v>
      </c>
      <c r="AD116" s="163">
        <f>SUM(AD117:AD129)</f>
        <v>1919</v>
      </c>
      <c r="AE116" s="771">
        <f t="shared" ref="AE116:AE129" si="86">P116/AD116</f>
        <v>5.0031266284523186</v>
      </c>
      <c r="AF116" s="166">
        <f t="shared" ref="AF116:AF129" si="87">SUM(AG116:AH116)</f>
        <v>15088</v>
      </c>
      <c r="AG116" s="170">
        <f>SUM(AG117:AG129)</f>
        <v>7720</v>
      </c>
      <c r="AH116" s="170">
        <f>SUM(AH117:AH129)</f>
        <v>7368</v>
      </c>
      <c r="AI116" s="762" t="s">
        <v>349</v>
      </c>
      <c r="AJ116" s="196"/>
      <c r="AK116" s="152"/>
    </row>
    <row r="117" spans="1:37" s="150" customFormat="1" ht="15">
      <c r="A117" s="188" t="s">
        <v>350</v>
      </c>
      <c r="B117" s="173">
        <f t="shared" si="79"/>
        <v>388</v>
      </c>
      <c r="C117" s="173">
        <v>184</v>
      </c>
      <c r="D117" s="173">
        <v>204</v>
      </c>
      <c r="E117" s="173">
        <v>63</v>
      </c>
      <c r="F117" s="182">
        <v>6.1587301587301591</v>
      </c>
      <c r="G117" s="173">
        <f>SUM(H117:I117)</f>
        <v>355</v>
      </c>
      <c r="H117" s="200">
        <v>159</v>
      </c>
      <c r="I117" s="200">
        <v>196</v>
      </c>
      <c r="J117" s="192">
        <f t="shared" si="80"/>
        <v>-1.4765373778713902</v>
      </c>
      <c r="K117" s="174">
        <f t="shared" si="81"/>
        <v>410</v>
      </c>
      <c r="L117" s="173">
        <v>197</v>
      </c>
      <c r="M117" s="173">
        <v>213</v>
      </c>
      <c r="N117" s="828">
        <f t="shared" si="45"/>
        <v>92.488262910798127</v>
      </c>
      <c r="O117" s="205">
        <f t="shared" si="82"/>
        <v>1.6945808261522082</v>
      </c>
      <c r="P117" s="173">
        <v>428</v>
      </c>
      <c r="Q117" s="173">
        <v>213</v>
      </c>
      <c r="R117" s="173">
        <v>215</v>
      </c>
      <c r="S117" s="174">
        <v>410</v>
      </c>
      <c r="T117" s="173">
        <v>197</v>
      </c>
      <c r="U117" s="772">
        <v>213</v>
      </c>
      <c r="V117" s="173">
        <v>18</v>
      </c>
      <c r="W117" s="173">
        <v>16</v>
      </c>
      <c r="X117" s="772">
        <v>2</v>
      </c>
      <c r="Y117" s="173"/>
      <c r="Z117" s="777">
        <v>18.309999999999999</v>
      </c>
      <c r="AA117" s="777">
        <f t="shared" ref="AA117:AA129" si="88">Z117/100</f>
        <v>0.18309999999999998</v>
      </c>
      <c r="AB117" s="789">
        <f t="shared" ref="AB117:AB129" si="89">K117/AA117</f>
        <v>2239.2135445111962</v>
      </c>
      <c r="AC117" s="789">
        <f t="shared" ref="AC117:AC129" si="90">P117/AA117</f>
        <v>2337.5204806116876</v>
      </c>
      <c r="AD117" s="173">
        <v>85</v>
      </c>
      <c r="AE117" s="773">
        <f t="shared" si="86"/>
        <v>5.0352941176470587</v>
      </c>
      <c r="AF117" s="174">
        <f t="shared" si="87"/>
        <v>673</v>
      </c>
      <c r="AG117" s="1200">
        <v>334</v>
      </c>
      <c r="AH117" s="1200">
        <v>339</v>
      </c>
      <c r="AI117" s="802" t="s">
        <v>351</v>
      </c>
      <c r="AJ117" s="198"/>
      <c r="AK117" s="185"/>
    </row>
    <row r="118" spans="1:37" s="150" customFormat="1" ht="15">
      <c r="A118" s="188" t="s">
        <v>352</v>
      </c>
      <c r="B118" s="173">
        <f t="shared" si="79"/>
        <v>257</v>
      </c>
      <c r="C118" s="173">
        <v>140</v>
      </c>
      <c r="D118" s="173">
        <v>117</v>
      </c>
      <c r="E118" s="173">
        <v>56</v>
      </c>
      <c r="F118" s="182">
        <v>4.5892857142857144</v>
      </c>
      <c r="G118" s="173">
        <f t="shared" ref="G118:G129" si="91">SUM(H118:I118)</f>
        <v>231</v>
      </c>
      <c r="H118" s="200">
        <v>117</v>
      </c>
      <c r="I118" s="200">
        <v>114</v>
      </c>
      <c r="J118" s="192">
        <f t="shared" si="80"/>
        <v>-1.7717337935785091</v>
      </c>
      <c r="K118" s="174">
        <f t="shared" si="81"/>
        <v>354</v>
      </c>
      <c r="L118" s="173">
        <v>198</v>
      </c>
      <c r="M118" s="173">
        <v>156</v>
      </c>
      <c r="N118" s="828">
        <f t="shared" si="45"/>
        <v>126.92307692307692</v>
      </c>
      <c r="O118" s="205">
        <f t="shared" si="82"/>
        <v>5.0221082660233058</v>
      </c>
      <c r="P118" s="173">
        <v>495</v>
      </c>
      <c r="Q118" s="173">
        <v>331</v>
      </c>
      <c r="R118" s="173">
        <v>164</v>
      </c>
      <c r="S118" s="174">
        <v>353</v>
      </c>
      <c r="T118" s="173">
        <v>197</v>
      </c>
      <c r="U118" s="772">
        <v>156</v>
      </c>
      <c r="V118" s="173">
        <v>142</v>
      </c>
      <c r="W118" s="173">
        <v>134</v>
      </c>
      <c r="X118" s="772">
        <v>8</v>
      </c>
      <c r="Y118" s="173"/>
      <c r="Z118" s="777">
        <v>20.32</v>
      </c>
      <c r="AA118" s="777">
        <f t="shared" si="88"/>
        <v>0.20319999999999999</v>
      </c>
      <c r="AB118" s="789">
        <f t="shared" si="89"/>
        <v>1742.1259842519685</v>
      </c>
      <c r="AC118" s="789">
        <f t="shared" si="90"/>
        <v>2436.0236220472443</v>
      </c>
      <c r="AD118" s="173">
        <v>95</v>
      </c>
      <c r="AE118" s="773">
        <f t="shared" si="86"/>
        <v>5.2105263157894735</v>
      </c>
      <c r="AF118" s="174">
        <f t="shared" si="87"/>
        <v>557</v>
      </c>
      <c r="AG118" s="1200">
        <v>278</v>
      </c>
      <c r="AH118" s="1200">
        <v>279</v>
      </c>
      <c r="AI118" s="802" t="s">
        <v>353</v>
      </c>
      <c r="AJ118" s="198"/>
      <c r="AK118" s="185"/>
    </row>
    <row r="119" spans="1:37" s="150" customFormat="1" ht="15">
      <c r="A119" s="188" t="s">
        <v>354</v>
      </c>
      <c r="B119" s="173">
        <f t="shared" si="79"/>
        <v>758</v>
      </c>
      <c r="C119" s="173">
        <v>380</v>
      </c>
      <c r="D119" s="173">
        <v>378</v>
      </c>
      <c r="E119" s="173">
        <v>116</v>
      </c>
      <c r="F119" s="182">
        <v>6.5344827586206895</v>
      </c>
      <c r="G119" s="173">
        <f t="shared" si="91"/>
        <v>858</v>
      </c>
      <c r="H119" s="200">
        <v>435</v>
      </c>
      <c r="I119" s="200">
        <v>423</v>
      </c>
      <c r="J119" s="192">
        <f t="shared" si="80"/>
        <v>2.0584836186975202</v>
      </c>
      <c r="K119" s="174">
        <f t="shared" si="81"/>
        <v>830</v>
      </c>
      <c r="L119" s="173">
        <v>425</v>
      </c>
      <c r="M119" s="173">
        <v>405</v>
      </c>
      <c r="N119" s="828">
        <f t="shared" si="45"/>
        <v>104.93827160493827</v>
      </c>
      <c r="O119" s="205">
        <f t="shared" si="82"/>
        <v>-0.3903341023213962</v>
      </c>
      <c r="P119" s="173">
        <v>870</v>
      </c>
      <c r="Q119" s="173">
        <v>457</v>
      </c>
      <c r="R119" s="173">
        <v>413</v>
      </c>
      <c r="S119" s="174">
        <v>829</v>
      </c>
      <c r="T119" s="173">
        <v>424</v>
      </c>
      <c r="U119" s="772">
        <v>405</v>
      </c>
      <c r="V119" s="173">
        <v>41</v>
      </c>
      <c r="W119" s="173">
        <v>33</v>
      </c>
      <c r="X119" s="772">
        <v>8</v>
      </c>
      <c r="Y119" s="173"/>
      <c r="Z119" s="777">
        <v>17.36</v>
      </c>
      <c r="AA119" s="777">
        <f t="shared" si="88"/>
        <v>0.1736</v>
      </c>
      <c r="AB119" s="789">
        <f t="shared" si="89"/>
        <v>4781.1059907834097</v>
      </c>
      <c r="AC119" s="789">
        <f t="shared" si="90"/>
        <v>5011.5207373271887</v>
      </c>
      <c r="AD119" s="173">
        <v>164</v>
      </c>
      <c r="AE119" s="773">
        <f t="shared" si="86"/>
        <v>5.3048780487804876</v>
      </c>
      <c r="AF119" s="174">
        <f t="shared" si="87"/>
        <v>1366</v>
      </c>
      <c r="AG119" s="1200">
        <v>719</v>
      </c>
      <c r="AH119" s="1200">
        <v>647</v>
      </c>
      <c r="AI119" s="802" t="s">
        <v>355</v>
      </c>
      <c r="AJ119" s="198"/>
      <c r="AK119" s="185"/>
    </row>
    <row r="120" spans="1:37" s="150" customFormat="1" ht="15">
      <c r="A120" s="188" t="s">
        <v>356</v>
      </c>
      <c r="B120" s="173">
        <f t="shared" si="79"/>
        <v>268</v>
      </c>
      <c r="C120" s="173">
        <v>118</v>
      </c>
      <c r="D120" s="173">
        <v>150</v>
      </c>
      <c r="E120" s="173">
        <v>47</v>
      </c>
      <c r="F120" s="182">
        <v>5.7021276595744679</v>
      </c>
      <c r="G120" s="173">
        <f t="shared" si="91"/>
        <v>275</v>
      </c>
      <c r="H120" s="200">
        <v>127</v>
      </c>
      <c r="I120" s="200">
        <v>148</v>
      </c>
      <c r="J120" s="192">
        <f t="shared" si="80"/>
        <v>0.42830759394874807</v>
      </c>
      <c r="K120" s="174">
        <f t="shared" si="81"/>
        <v>345</v>
      </c>
      <c r="L120" s="173">
        <v>156</v>
      </c>
      <c r="M120" s="173">
        <v>189</v>
      </c>
      <c r="N120" s="828">
        <f t="shared" si="45"/>
        <v>82.539682539682531</v>
      </c>
      <c r="O120" s="205">
        <f t="shared" si="82"/>
        <v>2.6679214042916297</v>
      </c>
      <c r="P120" s="173">
        <v>360</v>
      </c>
      <c r="Q120" s="173">
        <v>165</v>
      </c>
      <c r="R120" s="173">
        <v>195</v>
      </c>
      <c r="S120" s="174">
        <v>345</v>
      </c>
      <c r="T120" s="173">
        <v>156</v>
      </c>
      <c r="U120" s="772">
        <v>189</v>
      </c>
      <c r="V120" s="173">
        <v>15</v>
      </c>
      <c r="W120" s="173">
        <v>9</v>
      </c>
      <c r="X120" s="772">
        <v>6</v>
      </c>
      <c r="Y120" s="173"/>
      <c r="Z120" s="777">
        <v>30.46</v>
      </c>
      <c r="AA120" s="777">
        <f t="shared" si="88"/>
        <v>0.30459999999999998</v>
      </c>
      <c r="AB120" s="789">
        <f t="shared" si="89"/>
        <v>1132.6329612606698</v>
      </c>
      <c r="AC120" s="789">
        <f t="shared" si="90"/>
        <v>1181.8778726198293</v>
      </c>
      <c r="AD120" s="173">
        <v>67</v>
      </c>
      <c r="AE120" s="773">
        <f t="shared" si="86"/>
        <v>5.3731343283582094</v>
      </c>
      <c r="AF120" s="174">
        <f t="shared" si="87"/>
        <v>541</v>
      </c>
      <c r="AG120" s="1200">
        <v>266</v>
      </c>
      <c r="AH120" s="1200">
        <v>275</v>
      </c>
      <c r="AI120" s="802" t="s">
        <v>357</v>
      </c>
      <c r="AJ120" s="198"/>
      <c r="AK120" s="185"/>
    </row>
    <row r="121" spans="1:37" s="150" customFormat="1" ht="15">
      <c r="A121" s="188" t="s">
        <v>358</v>
      </c>
      <c r="B121" s="173">
        <f t="shared" si="79"/>
        <v>332</v>
      </c>
      <c r="C121" s="173">
        <v>159</v>
      </c>
      <c r="D121" s="173">
        <v>173</v>
      </c>
      <c r="E121" s="173">
        <v>68</v>
      </c>
      <c r="F121" s="182">
        <v>4.882352941176471</v>
      </c>
      <c r="G121" s="173">
        <f t="shared" si="91"/>
        <v>305</v>
      </c>
      <c r="H121" s="200">
        <v>147</v>
      </c>
      <c r="I121" s="200">
        <v>158</v>
      </c>
      <c r="J121" s="192">
        <f t="shared" si="80"/>
        <v>-1.4090231280577565</v>
      </c>
      <c r="K121" s="174">
        <f t="shared" si="81"/>
        <v>359</v>
      </c>
      <c r="L121" s="173">
        <v>168</v>
      </c>
      <c r="M121" s="173">
        <v>191</v>
      </c>
      <c r="N121" s="828">
        <f t="shared" si="45"/>
        <v>87.958115183246079</v>
      </c>
      <c r="O121" s="205">
        <f t="shared" si="82"/>
        <v>1.9177719044807913</v>
      </c>
      <c r="P121" s="173">
        <v>401</v>
      </c>
      <c r="Q121" s="173">
        <v>206</v>
      </c>
      <c r="R121" s="173">
        <v>195</v>
      </c>
      <c r="S121" s="174">
        <v>359</v>
      </c>
      <c r="T121" s="173">
        <v>168</v>
      </c>
      <c r="U121" s="772">
        <v>191</v>
      </c>
      <c r="V121" s="173">
        <v>42</v>
      </c>
      <c r="W121" s="173">
        <v>38</v>
      </c>
      <c r="X121" s="772">
        <v>4</v>
      </c>
      <c r="Y121" s="173"/>
      <c r="Z121" s="777">
        <v>17.25</v>
      </c>
      <c r="AA121" s="777">
        <f t="shared" si="88"/>
        <v>0.17249999999999999</v>
      </c>
      <c r="AB121" s="789">
        <f t="shared" si="89"/>
        <v>2081.159420289855</v>
      </c>
      <c r="AC121" s="789">
        <f t="shared" si="90"/>
        <v>2324.6376811594205</v>
      </c>
      <c r="AD121" s="173">
        <v>81</v>
      </c>
      <c r="AE121" s="773">
        <f t="shared" si="86"/>
        <v>4.9506172839506171</v>
      </c>
      <c r="AF121" s="174">
        <f t="shared" si="87"/>
        <v>589</v>
      </c>
      <c r="AG121" s="1200">
        <v>283</v>
      </c>
      <c r="AH121" s="1200">
        <v>306</v>
      </c>
      <c r="AI121" s="802" t="s">
        <v>359</v>
      </c>
      <c r="AJ121" s="198"/>
      <c r="AK121" s="185"/>
    </row>
    <row r="122" spans="1:37" s="150" customFormat="1" ht="15">
      <c r="A122" s="188" t="s">
        <v>360</v>
      </c>
      <c r="B122" s="173">
        <f t="shared" si="79"/>
        <v>724</v>
      </c>
      <c r="C122" s="173">
        <v>351</v>
      </c>
      <c r="D122" s="173">
        <v>373</v>
      </c>
      <c r="E122" s="173">
        <v>128</v>
      </c>
      <c r="F122" s="182">
        <v>5.65625</v>
      </c>
      <c r="G122" s="173">
        <f t="shared" si="91"/>
        <v>740</v>
      </c>
      <c r="H122" s="200">
        <v>341</v>
      </c>
      <c r="I122" s="200">
        <v>399</v>
      </c>
      <c r="J122" s="192">
        <f t="shared" si="80"/>
        <v>0.36310288725081424</v>
      </c>
      <c r="K122" s="174">
        <f t="shared" si="81"/>
        <v>744</v>
      </c>
      <c r="L122" s="173">
        <v>383</v>
      </c>
      <c r="M122" s="173">
        <v>361</v>
      </c>
      <c r="N122" s="828">
        <f t="shared" si="45"/>
        <v>106.09418282548478</v>
      </c>
      <c r="O122" s="205">
        <f t="shared" si="82"/>
        <v>6.3421748645604389E-2</v>
      </c>
      <c r="P122" s="173">
        <v>857</v>
      </c>
      <c r="Q122" s="173">
        <v>489</v>
      </c>
      <c r="R122" s="173">
        <v>368</v>
      </c>
      <c r="S122" s="174">
        <v>739</v>
      </c>
      <c r="T122" s="173">
        <v>380</v>
      </c>
      <c r="U122" s="772">
        <v>359</v>
      </c>
      <c r="V122" s="173">
        <v>118</v>
      </c>
      <c r="W122" s="173">
        <v>109</v>
      </c>
      <c r="X122" s="772">
        <v>9</v>
      </c>
      <c r="Y122" s="173"/>
      <c r="Z122" s="777">
        <v>65.97</v>
      </c>
      <c r="AA122" s="777">
        <f t="shared" si="88"/>
        <v>0.65969999999999995</v>
      </c>
      <c r="AB122" s="789">
        <f t="shared" si="89"/>
        <v>1127.7853569804458</v>
      </c>
      <c r="AC122" s="789">
        <f t="shared" si="90"/>
        <v>1299.0753372745189</v>
      </c>
      <c r="AD122" s="173">
        <v>171</v>
      </c>
      <c r="AE122" s="773">
        <f t="shared" si="86"/>
        <v>5.0116959064327489</v>
      </c>
      <c r="AF122" s="174">
        <f t="shared" si="87"/>
        <v>1176</v>
      </c>
      <c r="AG122" s="1200">
        <v>572</v>
      </c>
      <c r="AH122" s="1200">
        <v>604</v>
      </c>
      <c r="AI122" s="802" t="s">
        <v>361</v>
      </c>
      <c r="AJ122" s="198"/>
      <c r="AK122" s="185"/>
    </row>
    <row r="123" spans="1:37" s="150" customFormat="1" ht="15">
      <c r="A123" s="188" t="s">
        <v>362</v>
      </c>
      <c r="B123" s="173">
        <f t="shared" si="79"/>
        <v>349</v>
      </c>
      <c r="C123" s="173">
        <v>175</v>
      </c>
      <c r="D123" s="173">
        <v>174</v>
      </c>
      <c r="E123" s="173">
        <v>67</v>
      </c>
      <c r="F123" s="182">
        <v>5.2089552238805972</v>
      </c>
      <c r="G123" s="173">
        <f t="shared" si="91"/>
        <v>392</v>
      </c>
      <c r="H123" s="200">
        <v>184</v>
      </c>
      <c r="I123" s="200">
        <v>208</v>
      </c>
      <c r="J123" s="192">
        <f t="shared" si="80"/>
        <v>1.9300650762132121</v>
      </c>
      <c r="K123" s="174">
        <f t="shared" si="81"/>
        <v>460</v>
      </c>
      <c r="L123" s="173">
        <v>201</v>
      </c>
      <c r="M123" s="173">
        <v>259</v>
      </c>
      <c r="N123" s="828">
        <f t="shared" si="45"/>
        <v>77.60617760617761</v>
      </c>
      <c r="O123" s="205">
        <f t="shared" si="82"/>
        <v>1.881937055207979</v>
      </c>
      <c r="P123" s="173">
        <v>484</v>
      </c>
      <c r="Q123" s="173">
        <v>220</v>
      </c>
      <c r="R123" s="173">
        <v>264</v>
      </c>
      <c r="S123" s="174">
        <v>458</v>
      </c>
      <c r="T123" s="173">
        <v>199</v>
      </c>
      <c r="U123" s="772">
        <v>259</v>
      </c>
      <c r="V123" s="173">
        <v>26</v>
      </c>
      <c r="W123" s="173">
        <v>21</v>
      </c>
      <c r="X123" s="772">
        <v>5</v>
      </c>
      <c r="Y123" s="173"/>
      <c r="Z123" s="777">
        <v>25.22</v>
      </c>
      <c r="AA123" s="777">
        <f t="shared" si="88"/>
        <v>0.25219999999999998</v>
      </c>
      <c r="AB123" s="789">
        <f t="shared" si="89"/>
        <v>1823.9492466296592</v>
      </c>
      <c r="AC123" s="789">
        <f t="shared" si="90"/>
        <v>1919.1118160190326</v>
      </c>
      <c r="AD123" s="173">
        <v>91</v>
      </c>
      <c r="AE123" s="773">
        <f t="shared" si="86"/>
        <v>5.3186813186813184</v>
      </c>
      <c r="AF123" s="174">
        <f t="shared" si="87"/>
        <v>757</v>
      </c>
      <c r="AG123" s="1200">
        <v>374</v>
      </c>
      <c r="AH123" s="1200">
        <v>383</v>
      </c>
      <c r="AI123" s="802" t="s">
        <v>363</v>
      </c>
      <c r="AJ123" s="198"/>
      <c r="AK123" s="185"/>
    </row>
    <row r="124" spans="1:37" s="150" customFormat="1" ht="15">
      <c r="A124" s="188" t="s">
        <v>364</v>
      </c>
      <c r="B124" s="173">
        <f t="shared" si="79"/>
        <v>2401</v>
      </c>
      <c r="C124" s="173">
        <v>1198</v>
      </c>
      <c r="D124" s="173">
        <v>1203</v>
      </c>
      <c r="E124" s="173">
        <v>345</v>
      </c>
      <c r="F124" s="182">
        <v>6.9594202898550721</v>
      </c>
      <c r="G124" s="173">
        <f t="shared" si="91"/>
        <v>2409</v>
      </c>
      <c r="H124" s="200">
        <v>1160</v>
      </c>
      <c r="I124" s="200">
        <v>1249</v>
      </c>
      <c r="J124" s="192">
        <f t="shared" si="80"/>
        <v>5.5255920159768025E-2</v>
      </c>
      <c r="K124" s="174">
        <f t="shared" si="81"/>
        <v>2554</v>
      </c>
      <c r="L124" s="173">
        <v>1210</v>
      </c>
      <c r="M124" s="173">
        <v>1344</v>
      </c>
      <c r="N124" s="828">
        <f t="shared" si="45"/>
        <v>90.029761904761912</v>
      </c>
      <c r="O124" s="205">
        <f t="shared" si="82"/>
        <v>0.68763569385427437</v>
      </c>
      <c r="P124" s="173">
        <v>2658</v>
      </c>
      <c r="Q124" s="173">
        <v>1302</v>
      </c>
      <c r="R124" s="173">
        <v>1356</v>
      </c>
      <c r="S124" s="174">
        <v>2530</v>
      </c>
      <c r="T124" s="173">
        <v>1198</v>
      </c>
      <c r="U124" s="772">
        <v>1332</v>
      </c>
      <c r="V124" s="173">
        <v>128</v>
      </c>
      <c r="W124" s="173">
        <v>104</v>
      </c>
      <c r="X124" s="772">
        <v>24</v>
      </c>
      <c r="Y124" s="173"/>
      <c r="Z124" s="777">
        <v>31.04</v>
      </c>
      <c r="AA124" s="777">
        <f t="shared" si="88"/>
        <v>0.31040000000000001</v>
      </c>
      <c r="AB124" s="789">
        <f t="shared" si="89"/>
        <v>8228.0927835051552</v>
      </c>
      <c r="AC124" s="789">
        <f t="shared" si="90"/>
        <v>8563.1443298969061</v>
      </c>
      <c r="AD124" s="173">
        <v>494</v>
      </c>
      <c r="AE124" s="773">
        <f t="shared" si="86"/>
        <v>5.380566801619433</v>
      </c>
      <c r="AF124" s="174">
        <f t="shared" si="87"/>
        <v>3433</v>
      </c>
      <c r="AG124" s="1200">
        <v>1796</v>
      </c>
      <c r="AH124" s="1200">
        <v>1637</v>
      </c>
      <c r="AI124" s="802" t="s">
        <v>365</v>
      </c>
      <c r="AJ124" s="198"/>
      <c r="AK124" s="185"/>
    </row>
    <row r="125" spans="1:37" s="150" customFormat="1" ht="15">
      <c r="A125" s="188" t="s">
        <v>366</v>
      </c>
      <c r="B125" s="173">
        <f t="shared" si="79"/>
        <v>1941</v>
      </c>
      <c r="C125" s="173">
        <v>986</v>
      </c>
      <c r="D125" s="173">
        <v>955</v>
      </c>
      <c r="E125" s="173">
        <v>284</v>
      </c>
      <c r="F125" s="182">
        <v>6.834507042253521</v>
      </c>
      <c r="G125" s="173">
        <f t="shared" si="91"/>
        <v>1759</v>
      </c>
      <c r="H125" s="200">
        <v>860</v>
      </c>
      <c r="I125" s="200">
        <v>899</v>
      </c>
      <c r="J125" s="192">
        <f t="shared" si="80"/>
        <v>-1.6355122663031911</v>
      </c>
      <c r="K125" s="174">
        <f t="shared" si="81"/>
        <v>1412</v>
      </c>
      <c r="L125" s="173">
        <v>693</v>
      </c>
      <c r="M125" s="173">
        <v>719</v>
      </c>
      <c r="N125" s="828">
        <f t="shared" si="45"/>
        <v>96.383866481223919</v>
      </c>
      <c r="O125" s="205">
        <f t="shared" si="82"/>
        <v>-2.5851567845220091</v>
      </c>
      <c r="P125" s="173">
        <v>1506</v>
      </c>
      <c r="Q125" s="173">
        <v>765</v>
      </c>
      <c r="R125" s="173">
        <v>741</v>
      </c>
      <c r="S125" s="174">
        <v>1412</v>
      </c>
      <c r="T125" s="173">
        <v>693</v>
      </c>
      <c r="U125" s="772">
        <v>719</v>
      </c>
      <c r="V125" s="173">
        <v>94</v>
      </c>
      <c r="W125" s="173">
        <v>72</v>
      </c>
      <c r="X125" s="772">
        <v>22</v>
      </c>
      <c r="Y125" s="173"/>
      <c r="Z125" s="777">
        <v>24.23</v>
      </c>
      <c r="AA125" s="777">
        <f t="shared" si="88"/>
        <v>0.24230000000000002</v>
      </c>
      <c r="AB125" s="789">
        <f t="shared" si="89"/>
        <v>5827.4865868757734</v>
      </c>
      <c r="AC125" s="789">
        <f t="shared" si="90"/>
        <v>6215.4354106479568</v>
      </c>
      <c r="AD125" s="173">
        <v>319</v>
      </c>
      <c r="AE125" s="773">
        <f t="shared" si="86"/>
        <v>4.7210031347962387</v>
      </c>
      <c r="AF125" s="174">
        <f t="shared" si="87"/>
        <v>3049</v>
      </c>
      <c r="AG125" s="1200">
        <v>1578</v>
      </c>
      <c r="AH125" s="1200">
        <v>1471</v>
      </c>
      <c r="AI125" s="802" t="s">
        <v>367</v>
      </c>
      <c r="AJ125" s="198"/>
      <c r="AK125" s="185"/>
    </row>
    <row r="126" spans="1:37" s="150" customFormat="1" ht="15">
      <c r="A126" s="188" t="s">
        <v>368</v>
      </c>
      <c r="B126" s="173">
        <f t="shared" si="79"/>
        <v>916</v>
      </c>
      <c r="C126" s="173">
        <v>455</v>
      </c>
      <c r="D126" s="173">
        <v>461</v>
      </c>
      <c r="E126" s="173">
        <v>161</v>
      </c>
      <c r="F126" s="182">
        <v>5.6894409937888195</v>
      </c>
      <c r="G126" s="173">
        <f t="shared" si="91"/>
        <v>758</v>
      </c>
      <c r="H126" s="200">
        <v>369</v>
      </c>
      <c r="I126" s="200">
        <v>389</v>
      </c>
      <c r="J126" s="192">
        <f t="shared" si="80"/>
        <v>-3.1450660968730668</v>
      </c>
      <c r="K126" s="174">
        <f t="shared" si="81"/>
        <v>670</v>
      </c>
      <c r="L126" s="173">
        <v>293</v>
      </c>
      <c r="M126" s="173">
        <v>377</v>
      </c>
      <c r="N126" s="828">
        <f t="shared" si="45"/>
        <v>77.718832891246677</v>
      </c>
      <c r="O126" s="205">
        <f t="shared" si="82"/>
        <v>-1.4518314500865868</v>
      </c>
      <c r="P126" s="173">
        <v>705</v>
      </c>
      <c r="Q126" s="173">
        <v>324</v>
      </c>
      <c r="R126" s="173">
        <v>381</v>
      </c>
      <c r="S126" s="174">
        <v>669</v>
      </c>
      <c r="T126" s="173">
        <v>293</v>
      </c>
      <c r="U126" s="772">
        <v>376</v>
      </c>
      <c r="V126" s="173">
        <v>36</v>
      </c>
      <c r="W126" s="173">
        <v>31</v>
      </c>
      <c r="X126" s="772">
        <v>5</v>
      </c>
      <c r="Y126" s="173"/>
      <c r="Z126" s="777">
        <v>30.65</v>
      </c>
      <c r="AA126" s="777">
        <f t="shared" si="88"/>
        <v>0.30649999999999999</v>
      </c>
      <c r="AB126" s="789">
        <f t="shared" si="89"/>
        <v>2185.9706362153343</v>
      </c>
      <c r="AC126" s="789">
        <f t="shared" si="90"/>
        <v>2300.163132137031</v>
      </c>
      <c r="AD126" s="173">
        <v>162</v>
      </c>
      <c r="AE126" s="773">
        <f t="shared" si="86"/>
        <v>4.3518518518518521</v>
      </c>
      <c r="AF126" s="174">
        <f t="shared" si="87"/>
        <v>1415</v>
      </c>
      <c r="AG126" s="1200">
        <v>728</v>
      </c>
      <c r="AH126" s="1200">
        <v>687</v>
      </c>
      <c r="AI126" s="802" t="s">
        <v>369</v>
      </c>
      <c r="AJ126" s="198"/>
      <c r="AK126" s="185"/>
    </row>
    <row r="127" spans="1:37" s="150" customFormat="1" ht="15">
      <c r="A127" s="188" t="s">
        <v>370</v>
      </c>
      <c r="B127" s="173">
        <f t="shared" si="79"/>
        <v>228</v>
      </c>
      <c r="C127" s="173">
        <v>123</v>
      </c>
      <c r="D127" s="173">
        <v>105</v>
      </c>
      <c r="E127" s="173">
        <v>44</v>
      </c>
      <c r="F127" s="182">
        <v>5.1818181818181817</v>
      </c>
      <c r="G127" s="173">
        <f t="shared" si="91"/>
        <v>194</v>
      </c>
      <c r="H127" s="200">
        <v>100</v>
      </c>
      <c r="I127" s="200">
        <v>94</v>
      </c>
      <c r="J127" s="192">
        <f t="shared" si="80"/>
        <v>-2.6825161111480509</v>
      </c>
      <c r="K127" s="174">
        <f t="shared" si="81"/>
        <v>175</v>
      </c>
      <c r="L127" s="173">
        <v>91</v>
      </c>
      <c r="M127" s="173">
        <v>84</v>
      </c>
      <c r="N127" s="828">
        <f t="shared" si="45"/>
        <v>108.33333333333333</v>
      </c>
      <c r="O127" s="205">
        <f t="shared" si="82"/>
        <v>-1.2126139428213418</v>
      </c>
      <c r="P127" s="173">
        <v>187</v>
      </c>
      <c r="Q127" s="173">
        <v>102</v>
      </c>
      <c r="R127" s="173">
        <v>85</v>
      </c>
      <c r="S127" s="174">
        <v>174</v>
      </c>
      <c r="T127" s="173">
        <v>90</v>
      </c>
      <c r="U127" s="772">
        <v>84</v>
      </c>
      <c r="V127" s="173">
        <v>13</v>
      </c>
      <c r="W127" s="173">
        <v>12</v>
      </c>
      <c r="X127" s="772">
        <v>1</v>
      </c>
      <c r="Y127" s="173"/>
      <c r="Z127" s="777">
        <v>29.04</v>
      </c>
      <c r="AA127" s="777">
        <f t="shared" si="88"/>
        <v>0.29039999999999999</v>
      </c>
      <c r="AB127" s="789">
        <f t="shared" si="89"/>
        <v>602.6170798898072</v>
      </c>
      <c r="AC127" s="789">
        <f t="shared" si="90"/>
        <v>643.93939393939399</v>
      </c>
      <c r="AD127" s="173">
        <v>49</v>
      </c>
      <c r="AE127" s="773">
        <f t="shared" si="86"/>
        <v>3.8163265306122449</v>
      </c>
      <c r="AF127" s="174">
        <f t="shared" si="87"/>
        <v>391</v>
      </c>
      <c r="AG127" s="1200">
        <v>202</v>
      </c>
      <c r="AH127" s="1200">
        <v>189</v>
      </c>
      <c r="AI127" s="802" t="s">
        <v>371</v>
      </c>
      <c r="AJ127" s="198"/>
      <c r="AK127" s="185"/>
    </row>
    <row r="128" spans="1:37" s="150" customFormat="1" ht="15">
      <c r="A128" s="188" t="s">
        <v>372</v>
      </c>
      <c r="B128" s="173">
        <f t="shared" si="79"/>
        <v>149</v>
      </c>
      <c r="C128" s="173">
        <v>79</v>
      </c>
      <c r="D128" s="173">
        <v>70</v>
      </c>
      <c r="E128" s="173">
        <v>30</v>
      </c>
      <c r="F128" s="182">
        <v>4.9666666666666668</v>
      </c>
      <c r="G128" s="173">
        <f t="shared" si="91"/>
        <v>114</v>
      </c>
      <c r="H128" s="200">
        <v>62</v>
      </c>
      <c r="I128" s="200">
        <v>52</v>
      </c>
      <c r="J128" s="192">
        <f t="shared" si="80"/>
        <v>-4.4476388297502281</v>
      </c>
      <c r="K128" s="174">
        <f t="shared" si="81"/>
        <v>99</v>
      </c>
      <c r="L128" s="173">
        <v>48</v>
      </c>
      <c r="M128" s="173">
        <v>51</v>
      </c>
      <c r="N128" s="828">
        <f t="shared" si="45"/>
        <v>94.117647058823522</v>
      </c>
      <c r="O128" s="205">
        <f t="shared" si="82"/>
        <v>-1.6597482148224176</v>
      </c>
      <c r="P128" s="173">
        <v>107</v>
      </c>
      <c r="Q128" s="173">
        <v>54</v>
      </c>
      <c r="R128" s="173">
        <v>53</v>
      </c>
      <c r="S128" s="174">
        <v>99</v>
      </c>
      <c r="T128" s="173">
        <v>48</v>
      </c>
      <c r="U128" s="772">
        <v>51</v>
      </c>
      <c r="V128" s="173">
        <v>8</v>
      </c>
      <c r="W128" s="173">
        <v>6</v>
      </c>
      <c r="X128" s="772">
        <v>2</v>
      </c>
      <c r="Y128" s="173"/>
      <c r="Z128" s="777">
        <v>25.45</v>
      </c>
      <c r="AA128" s="777">
        <f t="shared" si="88"/>
        <v>0.2545</v>
      </c>
      <c r="AB128" s="789">
        <f t="shared" si="89"/>
        <v>388.99803536345775</v>
      </c>
      <c r="AC128" s="789">
        <f t="shared" si="90"/>
        <v>420.4322200392927</v>
      </c>
      <c r="AD128" s="173">
        <v>28</v>
      </c>
      <c r="AE128" s="773">
        <f t="shared" si="86"/>
        <v>3.8214285714285716</v>
      </c>
      <c r="AF128" s="174">
        <f t="shared" si="87"/>
        <v>312</v>
      </c>
      <c r="AG128" s="1200">
        <v>162</v>
      </c>
      <c r="AH128" s="1200">
        <v>150</v>
      </c>
      <c r="AI128" s="802" t="s">
        <v>373</v>
      </c>
      <c r="AJ128" s="198"/>
      <c r="AK128" s="185"/>
    </row>
    <row r="129" spans="1:37" s="150" customFormat="1" ht="15">
      <c r="A129" s="188" t="s">
        <v>268</v>
      </c>
      <c r="B129" s="173">
        <f t="shared" si="79"/>
        <v>461</v>
      </c>
      <c r="C129" s="173">
        <v>213</v>
      </c>
      <c r="D129" s="173">
        <v>248</v>
      </c>
      <c r="E129" s="173">
        <v>69</v>
      </c>
      <c r="F129" s="182">
        <v>6.6811594202898554</v>
      </c>
      <c r="G129" s="173">
        <f t="shared" si="91"/>
        <v>503</v>
      </c>
      <c r="H129" s="200">
        <v>255</v>
      </c>
      <c r="I129" s="200">
        <v>248</v>
      </c>
      <c r="J129" s="192">
        <f t="shared" si="80"/>
        <v>1.4483742043702763</v>
      </c>
      <c r="K129" s="174">
        <f t="shared" si="81"/>
        <v>507</v>
      </c>
      <c r="L129" s="173">
        <v>240</v>
      </c>
      <c r="M129" s="173">
        <v>267</v>
      </c>
      <c r="N129" s="828">
        <f t="shared" si="45"/>
        <v>89.887640449438194</v>
      </c>
      <c r="O129" s="205">
        <f t="shared" si="82"/>
        <v>9.3186276369930099E-2</v>
      </c>
      <c r="P129" s="173">
        <v>543</v>
      </c>
      <c r="Q129" s="173">
        <v>276</v>
      </c>
      <c r="R129" s="173">
        <v>267</v>
      </c>
      <c r="S129" s="174">
        <v>501</v>
      </c>
      <c r="T129" s="173">
        <v>237</v>
      </c>
      <c r="U129" s="772">
        <v>264</v>
      </c>
      <c r="V129" s="173">
        <v>42</v>
      </c>
      <c r="W129" s="173">
        <v>39</v>
      </c>
      <c r="X129" s="772">
        <v>3</v>
      </c>
      <c r="Y129" s="173"/>
      <c r="Z129" s="777">
        <v>162.74</v>
      </c>
      <c r="AA129" s="777">
        <f t="shared" si="88"/>
        <v>1.6274000000000002</v>
      </c>
      <c r="AB129" s="789">
        <f t="shared" si="89"/>
        <v>311.53987956249227</v>
      </c>
      <c r="AC129" s="789">
        <f t="shared" si="90"/>
        <v>333.66105444266924</v>
      </c>
      <c r="AD129" s="173">
        <v>113</v>
      </c>
      <c r="AE129" s="773">
        <f t="shared" si="86"/>
        <v>4.8053097345132745</v>
      </c>
      <c r="AF129" s="174">
        <f t="shared" si="87"/>
        <v>829</v>
      </c>
      <c r="AG129" s="1200">
        <v>428</v>
      </c>
      <c r="AH129" s="1200">
        <v>401</v>
      </c>
      <c r="AI129" s="802" t="s">
        <v>269</v>
      </c>
      <c r="AJ129" s="198"/>
      <c r="AK129" s="185"/>
    </row>
    <row r="130" spans="1:37" s="150" customFormat="1" ht="15">
      <c r="A130" s="188"/>
      <c r="B130" s="173"/>
      <c r="C130" s="173"/>
      <c r="D130" s="173"/>
      <c r="E130" s="173"/>
      <c r="F130" s="182"/>
      <c r="G130" s="173"/>
      <c r="H130" s="173"/>
      <c r="I130" s="173"/>
      <c r="J130" s="199"/>
      <c r="K130" s="174"/>
      <c r="L130" s="173"/>
      <c r="M130" s="173"/>
      <c r="N130" s="828"/>
      <c r="O130" s="205"/>
      <c r="P130" s="173"/>
      <c r="Q130" s="173"/>
      <c r="R130" s="173"/>
      <c r="S130" s="174"/>
      <c r="T130" s="173"/>
      <c r="U130" s="772"/>
      <c r="V130" s="173"/>
      <c r="W130" s="173"/>
      <c r="X130" s="772"/>
      <c r="Y130" s="173"/>
      <c r="Z130" s="777"/>
      <c r="AA130" s="777"/>
      <c r="AB130" s="789"/>
      <c r="AC130" s="789"/>
      <c r="AD130" s="173"/>
      <c r="AE130" s="773"/>
      <c r="AF130" s="174"/>
      <c r="AG130" s="175"/>
      <c r="AH130" s="175"/>
      <c r="AI130" s="802"/>
      <c r="AJ130" s="198"/>
      <c r="AK130" s="185"/>
    </row>
    <row r="131" spans="1:37" s="167" customFormat="1" ht="15">
      <c r="A131" s="190" t="s">
        <v>374</v>
      </c>
      <c r="B131" s="163">
        <f t="shared" ref="B131:B136" si="92">SUM(C131:D131)</f>
        <v>8629</v>
      </c>
      <c r="C131" s="163">
        <f>SUM(C132:C136)</f>
        <v>4178</v>
      </c>
      <c r="D131" s="163">
        <f>SUM(D132:D136)</f>
        <v>4451</v>
      </c>
      <c r="E131" s="163">
        <f>SUM(E132:E136)</f>
        <v>1390</v>
      </c>
      <c r="F131" s="164">
        <v>6.7227793696275073</v>
      </c>
      <c r="G131" s="163">
        <f t="shared" ref="G131:G136" si="93">SUM(H131:I131)</f>
        <v>8346</v>
      </c>
      <c r="H131" s="163">
        <f>SUM(H132:H136)</f>
        <v>3973</v>
      </c>
      <c r="I131" s="163">
        <f>SUM(I132:I136)</f>
        <v>4373</v>
      </c>
      <c r="J131" s="168">
        <f t="shared" ref="J131:J136" si="94">LN(G131/B131)/6.02*100</f>
        <v>-0.55392427503006036</v>
      </c>
      <c r="K131" s="166">
        <f>SUM(L131:M131)</f>
        <v>7996</v>
      </c>
      <c r="L131" s="163">
        <f>SUM(L132:L136)</f>
        <v>3706</v>
      </c>
      <c r="M131" s="163">
        <f>SUM(M132:M136)</f>
        <v>4290</v>
      </c>
      <c r="N131" s="827">
        <f t="shared" si="45"/>
        <v>86.386946386946377</v>
      </c>
      <c r="O131" s="814">
        <f>LN(K131/G131)/8.5*100</f>
        <v>-0.50401135919067375</v>
      </c>
      <c r="P131" s="163">
        <f>SUM(Q131:R131)</f>
        <v>8380</v>
      </c>
      <c r="Q131" s="163">
        <f>SUM(Q132:Q136)</f>
        <v>4073</v>
      </c>
      <c r="R131" s="163">
        <f>SUM(R132:R136)</f>
        <v>4307</v>
      </c>
      <c r="S131" s="166">
        <f>SUM(T131:U131)</f>
        <v>7905</v>
      </c>
      <c r="T131" s="163">
        <f>SUM(T132:T136)</f>
        <v>3663</v>
      </c>
      <c r="U131" s="769">
        <f>SUM(U132:U136)</f>
        <v>4242</v>
      </c>
      <c r="V131" s="163">
        <f>SUM(W131:X131)</f>
        <v>475</v>
      </c>
      <c r="W131" s="163">
        <f>SUM(W132:W136)</f>
        <v>410</v>
      </c>
      <c r="X131" s="769">
        <f>SUM(X132:X136)</f>
        <v>65</v>
      </c>
      <c r="Y131" s="163"/>
      <c r="Z131" s="770" t="s">
        <v>187</v>
      </c>
      <c r="AA131" s="770" t="s">
        <v>187</v>
      </c>
      <c r="AB131" s="788" t="s">
        <v>187</v>
      </c>
      <c r="AC131" s="788" t="s">
        <v>187</v>
      </c>
      <c r="AD131" s="163">
        <f>SUM(AD132:AD136)</f>
        <v>1710</v>
      </c>
      <c r="AE131" s="771">
        <f t="shared" ref="AE131:AE136" si="95">P131/AD131</f>
        <v>4.9005847953216373</v>
      </c>
      <c r="AF131" s="166">
        <f>SUM(AG131:AH131)</f>
        <v>13561</v>
      </c>
      <c r="AG131" s="170">
        <f>SUM(AG132:AG136)</f>
        <v>6941</v>
      </c>
      <c r="AH131" s="170">
        <f>SUM(AH132:AH136)</f>
        <v>6620</v>
      </c>
      <c r="AI131" s="762" t="s">
        <v>375</v>
      </c>
      <c r="AJ131" s="196"/>
      <c r="AK131" s="152"/>
    </row>
    <row r="132" spans="1:37" s="150" customFormat="1" ht="15">
      <c r="A132" s="188" t="s">
        <v>376</v>
      </c>
      <c r="B132" s="173">
        <f t="shared" si="92"/>
        <v>3212</v>
      </c>
      <c r="C132" s="173">
        <v>1461</v>
      </c>
      <c r="D132" s="173">
        <v>1751</v>
      </c>
      <c r="E132" s="173">
        <v>456</v>
      </c>
      <c r="F132" s="182">
        <v>7.0438596491228074</v>
      </c>
      <c r="G132" s="173">
        <f t="shared" si="93"/>
        <v>3017</v>
      </c>
      <c r="H132" s="173">
        <v>1358</v>
      </c>
      <c r="I132" s="173">
        <v>1659</v>
      </c>
      <c r="J132" s="192">
        <f t="shared" si="94"/>
        <v>-1.0403793340131433</v>
      </c>
      <c r="K132" s="174">
        <f>SUM(L132:M132)</f>
        <v>2449</v>
      </c>
      <c r="L132" s="173">
        <v>1050</v>
      </c>
      <c r="M132" s="173">
        <v>1399</v>
      </c>
      <c r="N132" s="828">
        <f t="shared" si="45"/>
        <v>75.053609721229449</v>
      </c>
      <c r="O132" s="205">
        <f>LN(K132/G132)/8.5*100</f>
        <v>-2.4539197906693331</v>
      </c>
      <c r="P132" s="173">
        <v>2497</v>
      </c>
      <c r="Q132" s="173">
        <v>1100</v>
      </c>
      <c r="R132" s="173">
        <v>1397</v>
      </c>
      <c r="S132" s="174">
        <v>2422</v>
      </c>
      <c r="T132" s="173">
        <v>1037</v>
      </c>
      <c r="U132" s="772">
        <v>1385</v>
      </c>
      <c r="V132" s="173">
        <v>75</v>
      </c>
      <c r="W132" s="173">
        <v>63</v>
      </c>
      <c r="X132" s="772">
        <v>12</v>
      </c>
      <c r="Y132" s="173"/>
      <c r="Z132" s="777">
        <v>21.87</v>
      </c>
      <c r="AA132" s="777">
        <f t="shared" ref="AA132:AA135" si="96">Z132/100</f>
        <v>0.21870000000000001</v>
      </c>
      <c r="AB132" s="789">
        <f>K132/AA132</f>
        <v>11197.988111568358</v>
      </c>
      <c r="AC132" s="789">
        <f>P132/AA132</f>
        <v>11417.466849565615</v>
      </c>
      <c r="AD132" s="173">
        <v>526</v>
      </c>
      <c r="AE132" s="773">
        <f t="shared" si="95"/>
        <v>4.747148288973384</v>
      </c>
      <c r="AF132" s="174">
        <f>SUM(AG132:AH132)</f>
        <v>4989</v>
      </c>
      <c r="AG132" s="1200">
        <v>2551</v>
      </c>
      <c r="AH132" s="1200">
        <v>2438</v>
      </c>
      <c r="AI132" s="802" t="s">
        <v>377</v>
      </c>
      <c r="AJ132" s="198"/>
      <c r="AK132" s="185"/>
    </row>
    <row r="133" spans="1:37" s="150" customFormat="1" ht="15">
      <c r="A133" s="188" t="s">
        <v>378</v>
      </c>
      <c r="B133" s="173">
        <f t="shared" si="92"/>
        <v>3707</v>
      </c>
      <c r="C133" s="173">
        <v>1878</v>
      </c>
      <c r="D133" s="173">
        <v>1829</v>
      </c>
      <c r="E133" s="173">
        <v>597</v>
      </c>
      <c r="F133" s="182">
        <v>6.2093802345058631</v>
      </c>
      <c r="G133" s="173">
        <f t="shared" si="93"/>
        <v>3687</v>
      </c>
      <c r="H133" s="173">
        <v>1847</v>
      </c>
      <c r="I133" s="173">
        <v>1840</v>
      </c>
      <c r="J133" s="192">
        <f t="shared" si="94"/>
        <v>-8.9863869046307651E-2</v>
      </c>
      <c r="K133" s="174">
        <f>SUM(L133:M133)</f>
        <v>3868</v>
      </c>
      <c r="L133" s="173">
        <v>1880</v>
      </c>
      <c r="M133" s="173">
        <v>1988</v>
      </c>
      <c r="N133" s="828">
        <f t="shared" si="45"/>
        <v>94.567404426559349</v>
      </c>
      <c r="O133" s="205">
        <f>LN(K133/G133)/8.5*100</f>
        <v>0.56381715692988654</v>
      </c>
      <c r="P133" s="173">
        <v>4103</v>
      </c>
      <c r="Q133" s="173">
        <v>2116</v>
      </c>
      <c r="R133" s="173">
        <v>1987</v>
      </c>
      <c r="S133" s="174">
        <v>3806</v>
      </c>
      <c r="T133" s="173">
        <v>1850</v>
      </c>
      <c r="U133" s="772">
        <v>1956</v>
      </c>
      <c r="V133" s="173">
        <v>297</v>
      </c>
      <c r="W133" s="173">
        <v>266</v>
      </c>
      <c r="X133" s="772">
        <v>31</v>
      </c>
      <c r="Y133" s="173"/>
      <c r="Z133" s="777">
        <v>54.32</v>
      </c>
      <c r="AA133" s="777">
        <f t="shared" si="96"/>
        <v>0.54320000000000002</v>
      </c>
      <c r="AB133" s="789">
        <f>K133/AA133</f>
        <v>7120.765832106038</v>
      </c>
      <c r="AC133" s="789">
        <f>P133/AA133</f>
        <v>7553.387334315169</v>
      </c>
      <c r="AD133" s="173">
        <v>787</v>
      </c>
      <c r="AE133" s="773">
        <f t="shared" si="95"/>
        <v>5.2134688691232531</v>
      </c>
      <c r="AF133" s="174">
        <f>SUM(AG133:AH133)</f>
        <v>5722</v>
      </c>
      <c r="AG133" s="1200">
        <v>2935</v>
      </c>
      <c r="AH133" s="1200">
        <v>2787</v>
      </c>
      <c r="AI133" s="802" t="s">
        <v>379</v>
      </c>
      <c r="AJ133" s="198"/>
      <c r="AK133" s="185"/>
    </row>
    <row r="134" spans="1:37" s="150" customFormat="1" ht="15">
      <c r="A134" s="188" t="s">
        <v>380</v>
      </c>
      <c r="B134" s="173">
        <f t="shared" si="92"/>
        <v>1202</v>
      </c>
      <c r="C134" s="173">
        <v>571</v>
      </c>
      <c r="D134" s="173">
        <v>631</v>
      </c>
      <c r="E134" s="173">
        <v>229</v>
      </c>
      <c r="F134" s="182">
        <v>5.248908296943231</v>
      </c>
      <c r="G134" s="173">
        <f t="shared" si="93"/>
        <v>1218</v>
      </c>
      <c r="H134" s="173">
        <v>570</v>
      </c>
      <c r="I134" s="173">
        <v>648</v>
      </c>
      <c r="J134" s="192">
        <f t="shared" si="94"/>
        <v>0.21965669725397732</v>
      </c>
      <c r="K134" s="174">
        <f>SUM(L134:M134)</f>
        <v>1179</v>
      </c>
      <c r="L134" s="173">
        <v>563</v>
      </c>
      <c r="M134" s="173">
        <v>616</v>
      </c>
      <c r="N134" s="828">
        <f t="shared" si="45"/>
        <v>91.396103896103895</v>
      </c>
      <c r="O134" s="205">
        <f>LN(K134/G134)/8.5*100</f>
        <v>-0.38286526744084026</v>
      </c>
      <c r="P134" s="173">
        <v>1259</v>
      </c>
      <c r="Q134" s="173">
        <v>636</v>
      </c>
      <c r="R134" s="173">
        <v>623</v>
      </c>
      <c r="S134" s="174">
        <v>1177</v>
      </c>
      <c r="T134" s="173">
        <v>563</v>
      </c>
      <c r="U134" s="772">
        <v>614</v>
      </c>
      <c r="V134" s="173">
        <v>82</v>
      </c>
      <c r="W134" s="173">
        <v>73</v>
      </c>
      <c r="X134" s="772">
        <v>9</v>
      </c>
      <c r="Y134" s="173"/>
      <c r="Z134" s="777">
        <v>20.87</v>
      </c>
      <c r="AA134" s="777">
        <f t="shared" si="96"/>
        <v>0.2087</v>
      </c>
      <c r="AB134" s="789">
        <f>K134/AA134</f>
        <v>5649.2573071394345</v>
      </c>
      <c r="AC134" s="789">
        <f>P134/AA134</f>
        <v>6032.5826545280306</v>
      </c>
      <c r="AD134" s="173">
        <v>281</v>
      </c>
      <c r="AE134" s="773">
        <f t="shared" si="95"/>
        <v>4.4804270462633449</v>
      </c>
      <c r="AF134" s="174">
        <f>SUM(AG134:AH134)</f>
        <v>2063</v>
      </c>
      <c r="AG134" s="1200">
        <v>1068</v>
      </c>
      <c r="AH134" s="1200">
        <v>995</v>
      </c>
      <c r="AI134" s="802" t="s">
        <v>381</v>
      </c>
      <c r="AJ134" s="198"/>
      <c r="AK134" s="185"/>
    </row>
    <row r="135" spans="1:37" s="150" customFormat="1" ht="15">
      <c r="A135" s="188" t="s">
        <v>382</v>
      </c>
      <c r="B135" s="173">
        <f t="shared" si="92"/>
        <v>400</v>
      </c>
      <c r="C135" s="173">
        <v>206</v>
      </c>
      <c r="D135" s="173">
        <v>194</v>
      </c>
      <c r="E135" s="173">
        <v>73</v>
      </c>
      <c r="F135" s="182">
        <v>5.4794520547945202</v>
      </c>
      <c r="G135" s="173">
        <f t="shared" si="93"/>
        <v>294</v>
      </c>
      <c r="H135" s="173">
        <v>124</v>
      </c>
      <c r="I135" s="173">
        <v>170</v>
      </c>
      <c r="J135" s="192">
        <f t="shared" si="94"/>
        <v>-5.1143651124468512</v>
      </c>
      <c r="K135" s="174">
        <f>SUM(L135:M135)</f>
        <v>500</v>
      </c>
      <c r="L135" s="173">
        <v>213</v>
      </c>
      <c r="M135" s="173">
        <v>287</v>
      </c>
      <c r="N135" s="828">
        <f t="shared" si="45"/>
        <v>74.21602787456446</v>
      </c>
      <c r="O135" s="205">
        <f>LN(K135/G135)/8.5*100</f>
        <v>6.2473921303942364</v>
      </c>
      <c r="P135" s="173">
        <v>521</v>
      </c>
      <c r="Q135" s="173">
        <v>221</v>
      </c>
      <c r="R135" s="173">
        <v>300</v>
      </c>
      <c r="S135" s="174">
        <v>500</v>
      </c>
      <c r="T135" s="173">
        <v>213</v>
      </c>
      <c r="U135" s="772">
        <v>287</v>
      </c>
      <c r="V135" s="173">
        <v>21</v>
      </c>
      <c r="W135" s="173">
        <v>8</v>
      </c>
      <c r="X135" s="772">
        <v>13</v>
      </c>
      <c r="Y135" s="173"/>
      <c r="Z135" s="777">
        <v>24.87</v>
      </c>
      <c r="AA135" s="777">
        <f t="shared" si="96"/>
        <v>0.2487</v>
      </c>
      <c r="AB135" s="789">
        <f>K135/AA135</f>
        <v>2010.454362685967</v>
      </c>
      <c r="AC135" s="789">
        <f>P135/AA135</f>
        <v>2094.8934459187776</v>
      </c>
      <c r="AD135" s="173">
        <v>116</v>
      </c>
      <c r="AE135" s="773">
        <f t="shared" si="95"/>
        <v>4.4913793103448274</v>
      </c>
      <c r="AF135" s="174">
        <f>SUM(AG135:AH135)</f>
        <v>787</v>
      </c>
      <c r="AG135" s="1200">
        <v>387</v>
      </c>
      <c r="AH135" s="1200">
        <v>400</v>
      </c>
      <c r="AI135" s="802" t="s">
        <v>383</v>
      </c>
      <c r="AJ135" s="198"/>
      <c r="AK135" s="185"/>
    </row>
    <row r="136" spans="1:37" s="150" customFormat="1" ht="14.45" hidden="1" customHeight="1">
      <c r="A136" s="188" t="s">
        <v>384</v>
      </c>
      <c r="B136" s="173">
        <f t="shared" si="92"/>
        <v>108</v>
      </c>
      <c r="C136" s="173">
        <v>62</v>
      </c>
      <c r="D136" s="173">
        <v>46</v>
      </c>
      <c r="E136" s="173">
        <v>35</v>
      </c>
      <c r="F136" s="182">
        <v>3.0857142857142859</v>
      </c>
      <c r="G136" s="173">
        <f t="shared" si="93"/>
        <v>130</v>
      </c>
      <c r="H136" s="173">
        <v>74</v>
      </c>
      <c r="I136" s="173">
        <v>56</v>
      </c>
      <c r="J136" s="192">
        <f t="shared" si="94"/>
        <v>3.0797877629794477</v>
      </c>
      <c r="K136" s="174" t="s">
        <v>187</v>
      </c>
      <c r="L136" s="173" t="s">
        <v>187</v>
      </c>
      <c r="M136" s="173" t="s">
        <v>187</v>
      </c>
      <c r="N136" s="828" t="e">
        <f t="shared" si="45"/>
        <v>#VALUE!</v>
      </c>
      <c r="O136" s="815" t="s">
        <v>187</v>
      </c>
      <c r="P136" s="173" t="s">
        <v>187</v>
      </c>
      <c r="Q136" s="173" t="s">
        <v>187</v>
      </c>
      <c r="R136" s="173" t="s">
        <v>187</v>
      </c>
      <c r="S136" s="174" t="s">
        <v>187</v>
      </c>
      <c r="T136" s="173" t="s">
        <v>187</v>
      </c>
      <c r="U136" s="772" t="s">
        <v>187</v>
      </c>
      <c r="V136" s="173" t="s">
        <v>187</v>
      </c>
      <c r="W136" s="173" t="s">
        <v>187</v>
      </c>
      <c r="X136" s="772" t="s">
        <v>187</v>
      </c>
      <c r="Y136" s="173"/>
      <c r="Z136" s="777"/>
      <c r="AA136" s="777"/>
      <c r="AB136" s="789" t="e">
        <f>P136/Z136</f>
        <v>#VALUE!</v>
      </c>
      <c r="AC136" s="789" t="e">
        <f>Q136/AB136</f>
        <v>#VALUE!</v>
      </c>
      <c r="AD136" s="173"/>
      <c r="AE136" s="773" t="e">
        <f t="shared" si="95"/>
        <v>#VALUE!</v>
      </c>
      <c r="AF136" s="174" t="s">
        <v>187</v>
      </c>
      <c r="AG136" s="173" t="s">
        <v>187</v>
      </c>
      <c r="AH136" s="173" t="s">
        <v>187</v>
      </c>
      <c r="AI136" s="802" t="s">
        <v>385</v>
      </c>
      <c r="AJ136" s="198"/>
      <c r="AK136" s="185"/>
    </row>
    <row r="137" spans="1:37" s="150" customFormat="1" ht="17.25">
      <c r="A137" s="151"/>
      <c r="B137" s="173"/>
      <c r="C137" s="173"/>
      <c r="D137" s="173"/>
      <c r="E137" s="173"/>
      <c r="F137" s="182"/>
      <c r="G137" s="173"/>
      <c r="H137" s="173"/>
      <c r="I137" s="173"/>
      <c r="J137" s="199"/>
      <c r="K137" s="174"/>
      <c r="L137" s="173"/>
      <c r="M137" s="173"/>
      <c r="N137" s="828"/>
      <c r="O137" s="205"/>
      <c r="P137" s="173"/>
      <c r="Q137" s="173"/>
      <c r="R137" s="173"/>
      <c r="S137" s="174"/>
      <c r="T137" s="173"/>
      <c r="U137" s="772"/>
      <c r="V137" s="173"/>
      <c r="W137" s="173"/>
      <c r="X137" s="772"/>
      <c r="Y137" s="173"/>
      <c r="Z137" s="777"/>
      <c r="AA137" s="777"/>
      <c r="AB137" s="789"/>
      <c r="AC137" s="789"/>
      <c r="AD137" s="173"/>
      <c r="AE137" s="773"/>
      <c r="AF137" s="174"/>
      <c r="AG137" s="202"/>
      <c r="AH137" s="202"/>
      <c r="AI137" s="762"/>
      <c r="AJ137" s="196"/>
      <c r="AK137" s="187"/>
    </row>
    <row r="138" spans="1:37" s="167" customFormat="1" ht="15">
      <c r="A138" s="190" t="s">
        <v>386</v>
      </c>
      <c r="B138" s="163">
        <f t="shared" ref="B138:B147" si="97">SUM(C138:D138)</f>
        <v>9438</v>
      </c>
      <c r="C138" s="163">
        <f>SUM(C139:C147)</f>
        <v>5355</v>
      </c>
      <c r="D138" s="163">
        <f>SUM(D139:D147)</f>
        <v>4083</v>
      </c>
      <c r="E138" s="163">
        <f>SUM(E139:E147)</f>
        <v>1348</v>
      </c>
      <c r="F138" s="164">
        <v>9.5832147937411101</v>
      </c>
      <c r="G138" s="163">
        <f>SUM(H138:I138)</f>
        <v>10149</v>
      </c>
      <c r="H138" s="163">
        <f>SUM(H139:H147)</f>
        <v>5715</v>
      </c>
      <c r="I138" s="163">
        <f>SUM(I139:I147)</f>
        <v>4434</v>
      </c>
      <c r="J138" s="168">
        <f t="shared" ref="J138:J147" si="98">LN(G138/B138)/6.02*100</f>
        <v>1.2064964312705213</v>
      </c>
      <c r="K138" s="166">
        <f t="shared" ref="K138:K147" si="99">SUM(L138:M138)</f>
        <v>12232</v>
      </c>
      <c r="L138" s="163">
        <f>SUM(L139:L147)</f>
        <v>6812</v>
      </c>
      <c r="M138" s="163">
        <f>SUM(M139:M147)</f>
        <v>5420</v>
      </c>
      <c r="N138" s="827">
        <f t="shared" si="45"/>
        <v>125.68265682656828</v>
      </c>
      <c r="O138" s="814">
        <f t="shared" ref="O138:O147" si="100">LN(K138/G138)/8.5*100</f>
        <v>2.196238707765648</v>
      </c>
      <c r="P138" s="163">
        <f t="shared" ref="P138" si="101">SUM(Q138:R138)</f>
        <v>14092</v>
      </c>
      <c r="Q138" s="163">
        <f>SUM(Q139:Q147)</f>
        <v>8565</v>
      </c>
      <c r="R138" s="163">
        <f>SUM(R139:R147)</f>
        <v>5527</v>
      </c>
      <c r="S138" s="166">
        <f t="shared" ref="S138" si="102">SUM(T138:U138)</f>
        <v>12166</v>
      </c>
      <c r="T138" s="163">
        <f>SUM(T139:T147)</f>
        <v>6777</v>
      </c>
      <c r="U138" s="769">
        <f>SUM(U139:U147)</f>
        <v>5389</v>
      </c>
      <c r="V138" s="163">
        <f t="shared" ref="V138" si="103">SUM(W138:X138)</f>
        <v>1926</v>
      </c>
      <c r="W138" s="163">
        <f>SUM(W139:W147)</f>
        <v>1788</v>
      </c>
      <c r="X138" s="769">
        <f>SUM(X139:X147)</f>
        <v>138</v>
      </c>
      <c r="Y138" s="163"/>
      <c r="Z138" s="770" t="s">
        <v>187</v>
      </c>
      <c r="AA138" s="770" t="s">
        <v>187</v>
      </c>
      <c r="AB138" s="788" t="s">
        <v>187</v>
      </c>
      <c r="AC138" s="788" t="s">
        <v>187</v>
      </c>
      <c r="AD138" s="163">
        <f>SUM(AD139:AD147)</f>
        <v>2115</v>
      </c>
      <c r="AE138" s="771">
        <f t="shared" ref="AE138:AE147" si="104">P138/AD138</f>
        <v>6.6628841607565015</v>
      </c>
      <c r="AF138" s="166">
        <f>SUM(AG138:AH138)</f>
        <v>14973</v>
      </c>
      <c r="AG138" s="170">
        <f>SUM(AG139:AG147)</f>
        <v>7929</v>
      </c>
      <c r="AH138" s="170">
        <f>SUM(AH139:AH147)</f>
        <v>7044</v>
      </c>
      <c r="AI138" s="762" t="s">
        <v>387</v>
      </c>
      <c r="AJ138" s="196"/>
      <c r="AK138" s="152"/>
    </row>
    <row r="139" spans="1:37" s="150" customFormat="1" ht="15">
      <c r="A139" s="188" t="s">
        <v>388</v>
      </c>
      <c r="B139" s="173">
        <f t="shared" si="97"/>
        <v>1572</v>
      </c>
      <c r="C139" s="173">
        <v>764</v>
      </c>
      <c r="D139" s="173">
        <v>808</v>
      </c>
      <c r="E139" s="173">
        <v>261</v>
      </c>
      <c r="F139" s="182">
        <v>6.0229885057471266</v>
      </c>
      <c r="G139" s="173">
        <f>SUM(H139:I139)</f>
        <v>1696</v>
      </c>
      <c r="H139" s="173">
        <v>818</v>
      </c>
      <c r="I139" s="173">
        <v>878</v>
      </c>
      <c r="J139" s="192">
        <f t="shared" si="98"/>
        <v>1.2611934113404755</v>
      </c>
      <c r="K139" s="174">
        <f t="shared" si="99"/>
        <v>1728</v>
      </c>
      <c r="L139" s="173">
        <v>826</v>
      </c>
      <c r="M139" s="173">
        <v>902</v>
      </c>
      <c r="N139" s="828">
        <f t="shared" si="45"/>
        <v>91.574279379157431</v>
      </c>
      <c r="O139" s="205">
        <f t="shared" si="100"/>
        <v>0.21990744720179464</v>
      </c>
      <c r="P139" s="173">
        <v>1865</v>
      </c>
      <c r="Q139" s="173">
        <v>960</v>
      </c>
      <c r="R139" s="173">
        <v>905</v>
      </c>
      <c r="S139" s="174">
        <v>1715</v>
      </c>
      <c r="T139" s="173">
        <v>821</v>
      </c>
      <c r="U139" s="772">
        <v>894</v>
      </c>
      <c r="V139" s="173">
        <v>150</v>
      </c>
      <c r="W139" s="173">
        <v>139</v>
      </c>
      <c r="X139" s="772">
        <v>11</v>
      </c>
      <c r="Y139" s="173"/>
      <c r="Z139" s="777">
        <v>276.23</v>
      </c>
      <c r="AA139" s="777">
        <f t="shared" ref="AA139:AA147" si="105">Z139/100</f>
        <v>2.7623000000000002</v>
      </c>
      <c r="AB139" s="789">
        <f t="shared" ref="AB139:AB147" si="106">K139/AA139</f>
        <v>625.5656518118958</v>
      </c>
      <c r="AC139" s="789">
        <f t="shared" ref="AC139:AC147" si="107">P139/AA139</f>
        <v>675.16200267892691</v>
      </c>
      <c r="AD139" s="173">
        <v>359</v>
      </c>
      <c r="AE139" s="773">
        <f t="shared" si="104"/>
        <v>5.194986072423398</v>
      </c>
      <c r="AF139" s="174">
        <f t="shared" ref="AF139:AF147" si="108">SUM(AG139:AH139)</f>
        <v>2570</v>
      </c>
      <c r="AG139" s="1200">
        <v>1346</v>
      </c>
      <c r="AH139" s="1200">
        <v>1224</v>
      </c>
      <c r="AI139" s="802" t="s">
        <v>389</v>
      </c>
      <c r="AJ139" s="198"/>
      <c r="AK139" s="185"/>
    </row>
    <row r="140" spans="1:37" s="150" customFormat="1" ht="15">
      <c r="A140" s="188" t="s">
        <v>390</v>
      </c>
      <c r="B140" s="173">
        <f t="shared" si="97"/>
        <v>849</v>
      </c>
      <c r="C140" s="173">
        <v>455</v>
      </c>
      <c r="D140" s="173">
        <v>394</v>
      </c>
      <c r="E140" s="173">
        <v>136</v>
      </c>
      <c r="F140" s="182">
        <v>6.242647058823529</v>
      </c>
      <c r="G140" s="173">
        <f t="shared" ref="G140:G147" si="109">SUM(H140:I140)</f>
        <v>800</v>
      </c>
      <c r="H140" s="173">
        <v>401</v>
      </c>
      <c r="I140" s="173">
        <v>399</v>
      </c>
      <c r="J140" s="192">
        <f t="shared" si="98"/>
        <v>-0.98749931301362115</v>
      </c>
      <c r="K140" s="174">
        <f t="shared" si="99"/>
        <v>1013</v>
      </c>
      <c r="L140" s="173">
        <v>521</v>
      </c>
      <c r="M140" s="173">
        <v>492</v>
      </c>
      <c r="N140" s="828">
        <f t="shared" si="45"/>
        <v>105.89430894308943</v>
      </c>
      <c r="O140" s="205">
        <f t="shared" si="100"/>
        <v>2.7771738421265431</v>
      </c>
      <c r="P140" s="173">
        <v>1066</v>
      </c>
      <c r="Q140" s="173">
        <v>569</v>
      </c>
      <c r="R140" s="173">
        <v>497</v>
      </c>
      <c r="S140" s="174">
        <v>1010</v>
      </c>
      <c r="T140" s="173">
        <v>519</v>
      </c>
      <c r="U140" s="772">
        <v>491</v>
      </c>
      <c r="V140" s="173">
        <v>56</v>
      </c>
      <c r="W140" s="173">
        <v>50</v>
      </c>
      <c r="X140" s="772">
        <v>6</v>
      </c>
      <c r="Y140" s="173"/>
      <c r="Z140" s="777">
        <v>16.670000000000002</v>
      </c>
      <c r="AA140" s="777">
        <f t="shared" si="105"/>
        <v>0.16670000000000001</v>
      </c>
      <c r="AB140" s="789">
        <f t="shared" si="106"/>
        <v>6076.7846430713853</v>
      </c>
      <c r="AC140" s="789">
        <f t="shared" si="107"/>
        <v>6394.721055788842</v>
      </c>
      <c r="AD140" s="173">
        <v>183</v>
      </c>
      <c r="AE140" s="773">
        <f t="shared" si="104"/>
        <v>5.8251366120218577</v>
      </c>
      <c r="AF140" s="174">
        <f t="shared" si="108"/>
        <v>1564</v>
      </c>
      <c r="AG140" s="1200">
        <v>793</v>
      </c>
      <c r="AH140" s="1200">
        <v>771</v>
      </c>
      <c r="AI140" s="802" t="s">
        <v>391</v>
      </c>
      <c r="AJ140" s="198"/>
      <c r="AK140" s="185"/>
    </row>
    <row r="141" spans="1:37" s="150" customFormat="1" ht="15">
      <c r="A141" s="188" t="s">
        <v>392</v>
      </c>
      <c r="B141" s="173">
        <f t="shared" si="97"/>
        <v>893</v>
      </c>
      <c r="C141" s="173">
        <v>450</v>
      </c>
      <c r="D141" s="173">
        <v>443</v>
      </c>
      <c r="E141" s="173">
        <v>135</v>
      </c>
      <c r="F141" s="182">
        <v>6.6148148148148147</v>
      </c>
      <c r="G141" s="173">
        <f t="shared" si="109"/>
        <v>767</v>
      </c>
      <c r="H141" s="173">
        <v>383</v>
      </c>
      <c r="I141" s="173">
        <v>384</v>
      </c>
      <c r="J141" s="192">
        <f t="shared" si="98"/>
        <v>-2.5265744104525387</v>
      </c>
      <c r="K141" s="174">
        <f t="shared" si="99"/>
        <v>967</v>
      </c>
      <c r="L141" s="173">
        <v>467</v>
      </c>
      <c r="M141" s="173">
        <v>500</v>
      </c>
      <c r="N141" s="828">
        <f t="shared" ref="N141:N204" si="110">L141/M141*100</f>
        <v>93.4</v>
      </c>
      <c r="O141" s="205">
        <f t="shared" si="100"/>
        <v>2.7260199304239774</v>
      </c>
      <c r="P141" s="173">
        <v>1053</v>
      </c>
      <c r="Q141" s="173">
        <v>548</v>
      </c>
      <c r="R141" s="173">
        <v>505</v>
      </c>
      <c r="S141" s="174">
        <v>966</v>
      </c>
      <c r="T141" s="173">
        <v>467</v>
      </c>
      <c r="U141" s="772">
        <v>499</v>
      </c>
      <c r="V141" s="173">
        <v>87</v>
      </c>
      <c r="W141" s="173">
        <v>81</v>
      </c>
      <c r="X141" s="772">
        <v>6</v>
      </c>
      <c r="Y141" s="173"/>
      <c r="Z141" s="777">
        <v>22.39</v>
      </c>
      <c r="AA141" s="777">
        <f t="shared" si="105"/>
        <v>0.22390000000000002</v>
      </c>
      <c r="AB141" s="789">
        <f t="shared" si="106"/>
        <v>4318.8923626619026</v>
      </c>
      <c r="AC141" s="789">
        <f t="shared" si="107"/>
        <v>4702.9924073246984</v>
      </c>
      <c r="AD141" s="173">
        <v>189</v>
      </c>
      <c r="AE141" s="773">
        <f t="shared" si="104"/>
        <v>5.5714285714285712</v>
      </c>
      <c r="AF141" s="174">
        <f t="shared" si="108"/>
        <v>1378</v>
      </c>
      <c r="AG141" s="1200">
        <v>700</v>
      </c>
      <c r="AH141" s="1200">
        <v>678</v>
      </c>
      <c r="AI141" s="802" t="s">
        <v>393</v>
      </c>
      <c r="AJ141" s="198"/>
      <c r="AK141" s="185"/>
    </row>
    <row r="142" spans="1:37" s="150" customFormat="1" ht="15">
      <c r="A142" s="188" t="s">
        <v>394</v>
      </c>
      <c r="B142" s="173">
        <f t="shared" si="97"/>
        <v>837</v>
      </c>
      <c r="C142" s="173">
        <v>452</v>
      </c>
      <c r="D142" s="173">
        <v>385</v>
      </c>
      <c r="E142" s="173">
        <v>135</v>
      </c>
      <c r="F142" s="182">
        <v>6.2</v>
      </c>
      <c r="G142" s="173">
        <f t="shared" si="109"/>
        <v>1148</v>
      </c>
      <c r="H142" s="173">
        <v>594</v>
      </c>
      <c r="I142" s="173">
        <v>554</v>
      </c>
      <c r="J142" s="192">
        <f t="shared" si="98"/>
        <v>5.24838050481788</v>
      </c>
      <c r="K142" s="174">
        <f t="shared" si="99"/>
        <v>1133</v>
      </c>
      <c r="L142" s="173">
        <v>554</v>
      </c>
      <c r="M142" s="173">
        <v>579</v>
      </c>
      <c r="N142" s="828">
        <f t="shared" si="110"/>
        <v>95.682210708117438</v>
      </c>
      <c r="O142" s="205">
        <f t="shared" si="100"/>
        <v>-0.15473312766476893</v>
      </c>
      <c r="P142" s="173">
        <v>1408</v>
      </c>
      <c r="Q142" s="173">
        <v>811</v>
      </c>
      <c r="R142" s="173">
        <v>597</v>
      </c>
      <c r="S142" s="174">
        <v>1127</v>
      </c>
      <c r="T142" s="173">
        <v>552</v>
      </c>
      <c r="U142" s="772">
        <v>575</v>
      </c>
      <c r="V142" s="173">
        <v>281</v>
      </c>
      <c r="W142" s="173">
        <v>259</v>
      </c>
      <c r="X142" s="772">
        <v>22</v>
      </c>
      <c r="Y142" s="173"/>
      <c r="Z142" s="777">
        <v>36.6</v>
      </c>
      <c r="AA142" s="777">
        <f t="shared" si="105"/>
        <v>0.36599999999999999</v>
      </c>
      <c r="AB142" s="789">
        <f t="shared" si="106"/>
        <v>3095.6284153005463</v>
      </c>
      <c r="AC142" s="789">
        <f t="shared" si="107"/>
        <v>3846.9945355191257</v>
      </c>
      <c r="AD142" s="173">
        <v>242</v>
      </c>
      <c r="AE142" s="773">
        <f t="shared" si="104"/>
        <v>5.8181818181818183</v>
      </c>
      <c r="AF142" s="174">
        <f t="shared" si="108"/>
        <v>1549</v>
      </c>
      <c r="AG142" s="1200">
        <v>808</v>
      </c>
      <c r="AH142" s="1200">
        <v>741</v>
      </c>
      <c r="AI142" s="802" t="s">
        <v>395</v>
      </c>
      <c r="AJ142" s="198"/>
      <c r="AK142" s="185"/>
    </row>
    <row r="143" spans="1:37" s="150" customFormat="1" ht="15">
      <c r="A143" s="188" t="s">
        <v>396</v>
      </c>
      <c r="B143" s="173">
        <f t="shared" si="97"/>
        <v>703</v>
      </c>
      <c r="C143" s="173">
        <v>360</v>
      </c>
      <c r="D143" s="173">
        <v>343</v>
      </c>
      <c r="E143" s="173">
        <v>111</v>
      </c>
      <c r="F143" s="182">
        <v>6.333333333333333</v>
      </c>
      <c r="G143" s="173">
        <f t="shared" si="109"/>
        <v>849</v>
      </c>
      <c r="H143" s="173">
        <v>510</v>
      </c>
      <c r="I143" s="173">
        <v>339</v>
      </c>
      <c r="J143" s="192">
        <f t="shared" si="98"/>
        <v>3.134589609645889</v>
      </c>
      <c r="K143" s="174">
        <f t="shared" si="99"/>
        <v>1014</v>
      </c>
      <c r="L143" s="173">
        <v>495</v>
      </c>
      <c r="M143" s="173">
        <v>519</v>
      </c>
      <c r="N143" s="828">
        <f t="shared" si="110"/>
        <v>95.375722543352609</v>
      </c>
      <c r="O143" s="205">
        <f t="shared" si="100"/>
        <v>2.0893999745856613</v>
      </c>
      <c r="P143" s="173">
        <v>1300</v>
      </c>
      <c r="Q143" s="173">
        <v>758</v>
      </c>
      <c r="R143" s="173">
        <v>542</v>
      </c>
      <c r="S143" s="174">
        <v>1014</v>
      </c>
      <c r="T143" s="173">
        <v>495</v>
      </c>
      <c r="U143" s="772">
        <v>519</v>
      </c>
      <c r="V143" s="173">
        <v>286</v>
      </c>
      <c r="W143" s="173">
        <v>263</v>
      </c>
      <c r="X143" s="772">
        <v>23</v>
      </c>
      <c r="Y143" s="173"/>
      <c r="Z143" s="777">
        <v>26.23</v>
      </c>
      <c r="AA143" s="777">
        <f t="shared" si="105"/>
        <v>0.26229999999999998</v>
      </c>
      <c r="AB143" s="789">
        <f t="shared" si="106"/>
        <v>3865.8025162028216</v>
      </c>
      <c r="AC143" s="789">
        <f t="shared" si="107"/>
        <v>4956.1570720548998</v>
      </c>
      <c r="AD143" s="173">
        <v>194</v>
      </c>
      <c r="AE143" s="773">
        <f t="shared" si="104"/>
        <v>6.7010309278350517</v>
      </c>
      <c r="AF143" s="174">
        <f t="shared" si="108"/>
        <v>1578</v>
      </c>
      <c r="AG143" s="1200">
        <v>949</v>
      </c>
      <c r="AH143" s="1200">
        <v>629</v>
      </c>
      <c r="AI143" s="802" t="s">
        <v>397</v>
      </c>
      <c r="AJ143" s="198"/>
      <c r="AK143" s="185"/>
    </row>
    <row r="144" spans="1:37" s="150" customFormat="1" ht="15">
      <c r="A144" s="188" t="s">
        <v>398</v>
      </c>
      <c r="B144" s="173">
        <f t="shared" si="97"/>
        <v>878</v>
      </c>
      <c r="C144" s="173">
        <v>525</v>
      </c>
      <c r="D144" s="173">
        <v>353</v>
      </c>
      <c r="E144" s="173">
        <v>120</v>
      </c>
      <c r="F144" s="182">
        <v>7.3166666666666664</v>
      </c>
      <c r="G144" s="173">
        <f t="shared" si="109"/>
        <v>1007</v>
      </c>
      <c r="H144" s="173">
        <v>657</v>
      </c>
      <c r="I144" s="173">
        <v>350</v>
      </c>
      <c r="J144" s="192">
        <f t="shared" si="98"/>
        <v>2.2771478253064066</v>
      </c>
      <c r="K144" s="174">
        <f t="shared" si="99"/>
        <v>1334</v>
      </c>
      <c r="L144" s="173">
        <v>865</v>
      </c>
      <c r="M144" s="173">
        <v>469</v>
      </c>
      <c r="N144" s="828">
        <f t="shared" si="110"/>
        <v>184.43496801705757</v>
      </c>
      <c r="O144" s="205">
        <f t="shared" si="100"/>
        <v>3.3083098089059613</v>
      </c>
      <c r="P144" s="173">
        <v>1725</v>
      </c>
      <c r="Q144" s="173">
        <v>1241</v>
      </c>
      <c r="R144" s="173">
        <v>484</v>
      </c>
      <c r="S144" s="174">
        <v>1328</v>
      </c>
      <c r="T144" s="173">
        <v>861</v>
      </c>
      <c r="U144" s="772">
        <v>467</v>
      </c>
      <c r="V144" s="173">
        <v>397</v>
      </c>
      <c r="W144" s="173">
        <v>380</v>
      </c>
      <c r="X144" s="772">
        <v>17</v>
      </c>
      <c r="Y144" s="173"/>
      <c r="Z144" s="777">
        <v>42.6</v>
      </c>
      <c r="AA144" s="777">
        <f t="shared" si="105"/>
        <v>0.42599999999999999</v>
      </c>
      <c r="AB144" s="789">
        <f t="shared" si="106"/>
        <v>3131.4553990610329</v>
      </c>
      <c r="AC144" s="789">
        <f t="shared" si="107"/>
        <v>4049.2957746478874</v>
      </c>
      <c r="AD144" s="173">
        <v>216</v>
      </c>
      <c r="AE144" s="773">
        <f t="shared" si="104"/>
        <v>7.9861111111111107</v>
      </c>
      <c r="AF144" s="174">
        <f t="shared" si="108"/>
        <v>1194</v>
      </c>
      <c r="AG144" s="1200">
        <v>629</v>
      </c>
      <c r="AH144" s="1200">
        <v>565</v>
      </c>
      <c r="AI144" s="802" t="s">
        <v>399</v>
      </c>
      <c r="AJ144" s="198"/>
      <c r="AK144" s="185"/>
    </row>
    <row r="145" spans="1:37" s="150" customFormat="1" ht="15">
      <c r="A145" s="188" t="s">
        <v>400</v>
      </c>
      <c r="B145" s="173">
        <f t="shared" si="97"/>
        <v>623</v>
      </c>
      <c r="C145" s="173">
        <v>357</v>
      </c>
      <c r="D145" s="173">
        <v>266</v>
      </c>
      <c r="E145" s="173">
        <v>94</v>
      </c>
      <c r="F145" s="182">
        <v>6.6276595744680851</v>
      </c>
      <c r="G145" s="173">
        <f t="shared" si="109"/>
        <v>662</v>
      </c>
      <c r="H145" s="173">
        <v>352</v>
      </c>
      <c r="I145" s="173">
        <v>310</v>
      </c>
      <c r="J145" s="192">
        <f t="shared" si="98"/>
        <v>1.0086218795607167</v>
      </c>
      <c r="K145" s="174">
        <f t="shared" si="99"/>
        <v>832</v>
      </c>
      <c r="L145" s="173">
        <v>448</v>
      </c>
      <c r="M145" s="173">
        <v>384</v>
      </c>
      <c r="N145" s="828">
        <f t="shared" si="110"/>
        <v>116.66666666666667</v>
      </c>
      <c r="O145" s="205">
        <f t="shared" si="100"/>
        <v>2.6890221751082395</v>
      </c>
      <c r="P145" s="173">
        <v>912</v>
      </c>
      <c r="Q145" s="173">
        <v>523</v>
      </c>
      <c r="R145" s="173">
        <v>389</v>
      </c>
      <c r="S145" s="174">
        <v>831</v>
      </c>
      <c r="T145" s="173">
        <v>447</v>
      </c>
      <c r="U145" s="772">
        <v>384</v>
      </c>
      <c r="V145" s="173">
        <v>81</v>
      </c>
      <c r="W145" s="173">
        <v>76</v>
      </c>
      <c r="X145" s="772">
        <v>5</v>
      </c>
      <c r="Y145" s="173"/>
      <c r="Z145" s="777">
        <v>10.54</v>
      </c>
      <c r="AA145" s="777">
        <f t="shared" si="105"/>
        <v>0.10539999999999999</v>
      </c>
      <c r="AB145" s="789">
        <f t="shared" si="106"/>
        <v>7893.7381404174575</v>
      </c>
      <c r="AC145" s="789">
        <f t="shared" si="107"/>
        <v>8652.7514231499063</v>
      </c>
      <c r="AD145" s="173">
        <v>131</v>
      </c>
      <c r="AE145" s="773">
        <f t="shared" si="104"/>
        <v>6.9618320610687023</v>
      </c>
      <c r="AF145" s="174">
        <f t="shared" si="108"/>
        <v>983</v>
      </c>
      <c r="AG145" s="1200">
        <v>515</v>
      </c>
      <c r="AH145" s="1200">
        <v>468</v>
      </c>
      <c r="AI145" s="802" t="s">
        <v>401</v>
      </c>
      <c r="AJ145" s="198"/>
      <c r="AK145" s="185"/>
    </row>
    <row r="146" spans="1:37" s="150" customFormat="1" ht="15">
      <c r="A146" s="188" t="s">
        <v>402</v>
      </c>
      <c r="B146" s="173">
        <f t="shared" si="97"/>
        <v>1858</v>
      </c>
      <c r="C146" s="173">
        <v>1307</v>
      </c>
      <c r="D146" s="173">
        <v>551</v>
      </c>
      <c r="E146" s="173">
        <v>147</v>
      </c>
      <c r="F146" s="182">
        <v>12.639455782312925</v>
      </c>
      <c r="G146" s="173">
        <f t="shared" si="109"/>
        <v>2000</v>
      </c>
      <c r="H146" s="173">
        <v>1326</v>
      </c>
      <c r="I146" s="173">
        <v>674</v>
      </c>
      <c r="J146" s="192">
        <f t="shared" si="98"/>
        <v>1.223364454622899</v>
      </c>
      <c r="K146" s="174">
        <f t="shared" si="99"/>
        <v>2631</v>
      </c>
      <c r="L146" s="173">
        <v>1770</v>
      </c>
      <c r="M146" s="173">
        <v>861</v>
      </c>
      <c r="N146" s="828">
        <f t="shared" si="110"/>
        <v>205.57491289198606</v>
      </c>
      <c r="O146" s="205">
        <f t="shared" si="100"/>
        <v>3.2260802529201218</v>
      </c>
      <c r="P146" s="173">
        <v>3025</v>
      </c>
      <c r="Q146" s="173">
        <v>2140</v>
      </c>
      <c r="R146" s="173">
        <v>885</v>
      </c>
      <c r="S146" s="174">
        <v>2606</v>
      </c>
      <c r="T146" s="173">
        <v>1753</v>
      </c>
      <c r="U146" s="772">
        <v>853</v>
      </c>
      <c r="V146" s="173">
        <v>419</v>
      </c>
      <c r="W146" s="173">
        <v>387</v>
      </c>
      <c r="X146" s="772">
        <v>32</v>
      </c>
      <c r="Y146" s="173"/>
      <c r="Z146" s="777">
        <v>36.479999999999997</v>
      </c>
      <c r="AA146" s="777">
        <f t="shared" si="105"/>
        <v>0.36479999999999996</v>
      </c>
      <c r="AB146" s="789">
        <f t="shared" si="106"/>
        <v>7212.1710526315801</v>
      </c>
      <c r="AC146" s="789">
        <f t="shared" si="107"/>
        <v>8292.2149122807023</v>
      </c>
      <c r="AD146" s="173">
        <v>304</v>
      </c>
      <c r="AE146" s="773">
        <f t="shared" si="104"/>
        <v>9.9506578947368425</v>
      </c>
      <c r="AF146" s="174">
        <f t="shared" si="108"/>
        <v>2122</v>
      </c>
      <c r="AG146" s="1200">
        <v>1083</v>
      </c>
      <c r="AH146" s="1200">
        <v>1039</v>
      </c>
      <c r="AI146" s="802" t="s">
        <v>403</v>
      </c>
      <c r="AJ146" s="198"/>
      <c r="AK146" s="185"/>
    </row>
    <row r="147" spans="1:37" s="150" customFormat="1" ht="15">
      <c r="A147" s="188" t="s">
        <v>404</v>
      </c>
      <c r="B147" s="173">
        <f t="shared" si="97"/>
        <v>1225</v>
      </c>
      <c r="C147" s="173">
        <v>685</v>
      </c>
      <c r="D147" s="173">
        <v>540</v>
      </c>
      <c r="E147" s="173">
        <v>209</v>
      </c>
      <c r="F147" s="182">
        <v>5.8612440191387556</v>
      </c>
      <c r="G147" s="173">
        <f t="shared" si="109"/>
        <v>1220</v>
      </c>
      <c r="H147" s="173">
        <v>674</v>
      </c>
      <c r="I147" s="173">
        <v>546</v>
      </c>
      <c r="J147" s="192">
        <f t="shared" si="98"/>
        <v>-6.7939954344271872E-2</v>
      </c>
      <c r="K147" s="174">
        <f t="shared" si="99"/>
        <v>1580</v>
      </c>
      <c r="L147" s="173">
        <v>866</v>
      </c>
      <c r="M147" s="173">
        <v>714</v>
      </c>
      <c r="N147" s="828">
        <f t="shared" si="110"/>
        <v>121.28851540616246</v>
      </c>
      <c r="O147" s="205">
        <f t="shared" si="100"/>
        <v>3.0420469211024743</v>
      </c>
      <c r="P147" s="173">
        <v>1738</v>
      </c>
      <c r="Q147" s="173">
        <v>1015</v>
      </c>
      <c r="R147" s="173">
        <v>723</v>
      </c>
      <c r="S147" s="174">
        <v>1569</v>
      </c>
      <c r="T147" s="173">
        <v>862</v>
      </c>
      <c r="U147" s="772">
        <v>707</v>
      </c>
      <c r="V147" s="173">
        <v>169</v>
      </c>
      <c r="W147" s="173">
        <v>153</v>
      </c>
      <c r="X147" s="772">
        <v>16</v>
      </c>
      <c r="Y147" s="173"/>
      <c r="Z147" s="777">
        <v>22.68</v>
      </c>
      <c r="AA147" s="777">
        <f t="shared" si="105"/>
        <v>0.2268</v>
      </c>
      <c r="AB147" s="789">
        <f t="shared" si="106"/>
        <v>6966.490299823633</v>
      </c>
      <c r="AC147" s="789">
        <f t="shared" si="107"/>
        <v>7663.1393298059966</v>
      </c>
      <c r="AD147" s="173">
        <v>297</v>
      </c>
      <c r="AE147" s="773">
        <f t="shared" si="104"/>
        <v>5.8518518518518521</v>
      </c>
      <c r="AF147" s="174">
        <f t="shared" si="108"/>
        <v>2035</v>
      </c>
      <c r="AG147" s="1199">
        <v>1106</v>
      </c>
      <c r="AH147" s="1199">
        <v>929</v>
      </c>
      <c r="AI147" s="802" t="s">
        <v>405</v>
      </c>
      <c r="AJ147" s="198"/>
      <c r="AK147" s="185"/>
    </row>
    <row r="148" spans="1:37" s="150" customFormat="1" ht="15">
      <c r="A148" s="188"/>
      <c r="B148" s="173"/>
      <c r="C148" s="173"/>
      <c r="D148" s="173"/>
      <c r="E148" s="173"/>
      <c r="F148" s="182"/>
      <c r="G148" s="173"/>
      <c r="H148" s="173"/>
      <c r="I148" s="173"/>
      <c r="J148" s="192"/>
      <c r="K148" s="174"/>
      <c r="L148" s="173"/>
      <c r="M148" s="173"/>
      <c r="N148" s="828"/>
      <c r="O148" s="205"/>
      <c r="P148" s="173"/>
      <c r="Q148" s="173"/>
      <c r="R148" s="173"/>
      <c r="S148" s="174"/>
      <c r="T148" s="173"/>
      <c r="U148" s="772"/>
      <c r="V148" s="173"/>
      <c r="W148" s="173"/>
      <c r="X148" s="772"/>
      <c r="Y148" s="173"/>
      <c r="Z148" s="777"/>
      <c r="AA148" s="777"/>
      <c r="AB148" s="789"/>
      <c r="AC148" s="789"/>
      <c r="AD148" s="173"/>
      <c r="AE148" s="773"/>
      <c r="AF148" s="174"/>
      <c r="AG148" s="202"/>
      <c r="AH148" s="202"/>
      <c r="AI148" s="803"/>
      <c r="AJ148" s="198"/>
      <c r="AK148" s="185"/>
    </row>
    <row r="149" spans="1:37" s="167" customFormat="1" ht="15">
      <c r="A149" s="190" t="s">
        <v>406</v>
      </c>
      <c r="B149" s="163">
        <f t="shared" ref="B149:B157" si="111">SUM(C149:D149)</f>
        <v>4840</v>
      </c>
      <c r="C149" s="163">
        <f>SUM(C150:C157)</f>
        <v>2471</v>
      </c>
      <c r="D149" s="163">
        <f>SUM(D150:D157)</f>
        <v>2369</v>
      </c>
      <c r="E149" s="163">
        <f>SUM(E150:E157)</f>
        <v>768</v>
      </c>
      <c r="F149" s="164">
        <v>7.0834403080872912</v>
      </c>
      <c r="G149" s="163">
        <f>SUM(H149:I149)</f>
        <v>4855</v>
      </c>
      <c r="H149" s="163">
        <f>SUM(H150:H157)</f>
        <v>2412</v>
      </c>
      <c r="I149" s="163">
        <f>SUM(I150:I157)</f>
        <v>2443</v>
      </c>
      <c r="J149" s="168">
        <f t="shared" ref="J149:J157" si="112">LN(G149/B149)/6.02*100</f>
        <v>5.1401677985843885E-2</v>
      </c>
      <c r="K149" s="166">
        <f t="shared" ref="K149:K157" si="113">SUM(L149:M149)</f>
        <v>5915</v>
      </c>
      <c r="L149" s="163">
        <f>SUM(L150:L157)</f>
        <v>2999</v>
      </c>
      <c r="M149" s="163">
        <f>SUM(M150:M157)</f>
        <v>2916</v>
      </c>
      <c r="N149" s="827">
        <f t="shared" si="110"/>
        <v>102.84636488340193</v>
      </c>
      <c r="O149" s="814">
        <f t="shared" ref="O149:O157" si="114">LN(K149/G149)/8.5*100</f>
        <v>2.3233223022007286</v>
      </c>
      <c r="P149" s="163">
        <f t="shared" ref="P149" si="115">SUM(Q149:R149)</f>
        <v>6475</v>
      </c>
      <c r="Q149" s="163">
        <f>SUM(Q150:Q157)</f>
        <v>3456</v>
      </c>
      <c r="R149" s="163">
        <f>SUM(R150:R157)</f>
        <v>3019</v>
      </c>
      <c r="S149" s="166">
        <f t="shared" ref="S149" si="116">SUM(T149:U149)</f>
        <v>5905</v>
      </c>
      <c r="T149" s="163">
        <f>SUM(T150:T157)</f>
        <v>2991</v>
      </c>
      <c r="U149" s="769">
        <f>SUM(U150:U157)</f>
        <v>2914</v>
      </c>
      <c r="V149" s="163">
        <f t="shared" ref="V149" si="117">SUM(W149:X149)</f>
        <v>570</v>
      </c>
      <c r="W149" s="163">
        <f>SUM(W150:W157)</f>
        <v>465</v>
      </c>
      <c r="X149" s="769">
        <f>SUM(X150:X157)</f>
        <v>105</v>
      </c>
      <c r="Y149" s="163"/>
      <c r="Z149" s="770" t="s">
        <v>187</v>
      </c>
      <c r="AA149" s="770" t="s">
        <v>187</v>
      </c>
      <c r="AB149" s="788" t="s">
        <v>187</v>
      </c>
      <c r="AC149" s="788" t="s">
        <v>187</v>
      </c>
      <c r="AD149" s="163">
        <f>SUM(AD150:AD157)</f>
        <v>1142</v>
      </c>
      <c r="AE149" s="771">
        <f t="shared" ref="AE149:AE157" si="118">P149/AD149</f>
        <v>5.6698774080560419</v>
      </c>
      <c r="AF149" s="166">
        <f t="shared" ref="AF149:AF157" si="119">SUM(AG149:AH149)</f>
        <v>8835</v>
      </c>
      <c r="AG149" s="170">
        <f>SUM(AG150:AG157)</f>
        <v>4544</v>
      </c>
      <c r="AH149" s="170">
        <f>SUM(AH150:AH157)</f>
        <v>4291</v>
      </c>
      <c r="AI149" s="762" t="s">
        <v>407</v>
      </c>
      <c r="AJ149" s="196"/>
      <c r="AK149" s="152"/>
    </row>
    <row r="150" spans="1:37" s="150" customFormat="1" ht="15">
      <c r="A150" s="188" t="s">
        <v>408</v>
      </c>
      <c r="B150" s="173">
        <f t="shared" si="111"/>
        <v>1071</v>
      </c>
      <c r="C150" s="173">
        <v>531</v>
      </c>
      <c r="D150" s="173">
        <v>540</v>
      </c>
      <c r="E150" s="173">
        <v>179</v>
      </c>
      <c r="F150" s="182">
        <v>5.983240223463687</v>
      </c>
      <c r="G150" s="173">
        <f>SUM(H150:I150)</f>
        <v>1199</v>
      </c>
      <c r="H150" s="173">
        <v>593</v>
      </c>
      <c r="I150" s="173">
        <v>606</v>
      </c>
      <c r="J150" s="192">
        <f t="shared" si="112"/>
        <v>1.8753336308931148</v>
      </c>
      <c r="K150" s="174">
        <f t="shared" si="113"/>
        <v>1348</v>
      </c>
      <c r="L150" s="173">
        <v>670</v>
      </c>
      <c r="M150" s="173">
        <v>678</v>
      </c>
      <c r="N150" s="828">
        <f t="shared" si="110"/>
        <v>98.82005899705014</v>
      </c>
      <c r="O150" s="205">
        <f t="shared" si="114"/>
        <v>1.3780486640557426</v>
      </c>
      <c r="P150" s="173">
        <v>1534</v>
      </c>
      <c r="Q150" s="173">
        <v>834</v>
      </c>
      <c r="R150" s="173">
        <v>700</v>
      </c>
      <c r="S150" s="174">
        <v>1347</v>
      </c>
      <c r="T150" s="173">
        <v>669</v>
      </c>
      <c r="U150" s="772">
        <v>678</v>
      </c>
      <c r="V150" s="173">
        <v>187</v>
      </c>
      <c r="W150" s="173">
        <v>165</v>
      </c>
      <c r="X150" s="772">
        <v>22</v>
      </c>
      <c r="Y150" s="173"/>
      <c r="Z150" s="777">
        <v>162.74</v>
      </c>
      <c r="AA150" s="777">
        <f t="shared" ref="AA150:AA157" si="120">Z150/100</f>
        <v>1.6274000000000002</v>
      </c>
      <c r="AB150" s="789">
        <f t="shared" ref="AB150:AB157" si="121">K150/AA150</f>
        <v>828.31510384662647</v>
      </c>
      <c r="AC150" s="789">
        <f t="shared" ref="AC150:AC157" si="122">P150/AA150</f>
        <v>942.60784072754075</v>
      </c>
      <c r="AD150" s="173">
        <v>280</v>
      </c>
      <c r="AE150" s="773">
        <f t="shared" si="118"/>
        <v>5.4785714285714286</v>
      </c>
      <c r="AF150" s="174">
        <f t="shared" si="119"/>
        <v>2138</v>
      </c>
      <c r="AG150" s="1200">
        <v>1089</v>
      </c>
      <c r="AH150" s="1200">
        <v>1049</v>
      </c>
      <c r="AI150" s="802" t="s">
        <v>409</v>
      </c>
      <c r="AJ150" s="198"/>
      <c r="AK150" s="185"/>
    </row>
    <row r="151" spans="1:37" s="176" customFormat="1" ht="15">
      <c r="A151" s="188" t="s">
        <v>410</v>
      </c>
      <c r="B151" s="173">
        <f t="shared" si="111"/>
        <v>921</v>
      </c>
      <c r="C151" s="173">
        <v>508</v>
      </c>
      <c r="D151" s="173">
        <v>413</v>
      </c>
      <c r="E151" s="173">
        <v>145</v>
      </c>
      <c r="F151" s="182">
        <v>6.3517241379310345</v>
      </c>
      <c r="G151" s="173">
        <f t="shared" ref="G151:G157" si="123">SUM(H151:I151)</f>
        <v>900</v>
      </c>
      <c r="H151" s="173">
        <v>447</v>
      </c>
      <c r="I151" s="173">
        <v>453</v>
      </c>
      <c r="J151" s="192">
        <f t="shared" si="112"/>
        <v>-0.38314406862119776</v>
      </c>
      <c r="K151" s="174">
        <f t="shared" si="113"/>
        <v>949</v>
      </c>
      <c r="L151" s="173">
        <v>482</v>
      </c>
      <c r="M151" s="173">
        <v>467</v>
      </c>
      <c r="N151" s="828">
        <f t="shared" si="110"/>
        <v>103.21199143468951</v>
      </c>
      <c r="O151" s="205">
        <f t="shared" si="114"/>
        <v>0.62369453277196685</v>
      </c>
      <c r="P151" s="173">
        <v>1067</v>
      </c>
      <c r="Q151" s="173">
        <v>578</v>
      </c>
      <c r="R151" s="173">
        <v>489</v>
      </c>
      <c r="S151" s="174">
        <v>943</v>
      </c>
      <c r="T151" s="173">
        <v>478</v>
      </c>
      <c r="U151" s="772">
        <v>465</v>
      </c>
      <c r="V151" s="173">
        <v>124</v>
      </c>
      <c r="W151" s="173">
        <v>100</v>
      </c>
      <c r="X151" s="772">
        <v>24</v>
      </c>
      <c r="Y151" s="173"/>
      <c r="Z151" s="777">
        <v>20.68</v>
      </c>
      <c r="AA151" s="777">
        <f t="shared" si="120"/>
        <v>0.20679999999999998</v>
      </c>
      <c r="AB151" s="789">
        <f t="shared" si="121"/>
        <v>4588.9748549323022</v>
      </c>
      <c r="AC151" s="789">
        <f t="shared" si="122"/>
        <v>5159.5744680851067</v>
      </c>
      <c r="AD151" s="173">
        <v>201</v>
      </c>
      <c r="AE151" s="773">
        <f t="shared" si="118"/>
        <v>5.3084577114427862</v>
      </c>
      <c r="AF151" s="174">
        <f t="shared" si="119"/>
        <v>1264</v>
      </c>
      <c r="AG151" s="1200">
        <v>664</v>
      </c>
      <c r="AH151" s="1200">
        <v>600</v>
      </c>
      <c r="AI151" s="802" t="s">
        <v>411</v>
      </c>
      <c r="AJ151" s="198"/>
      <c r="AK151" s="185"/>
    </row>
    <row r="152" spans="1:37" s="150" customFormat="1" ht="15">
      <c r="A152" s="188" t="s">
        <v>412</v>
      </c>
      <c r="B152" s="173">
        <f t="shared" si="111"/>
        <v>535</v>
      </c>
      <c r="C152" s="173">
        <v>278</v>
      </c>
      <c r="D152" s="173">
        <v>257</v>
      </c>
      <c r="E152" s="173">
        <v>86</v>
      </c>
      <c r="F152" s="182">
        <v>6.2209302325581399</v>
      </c>
      <c r="G152" s="173">
        <f t="shared" si="123"/>
        <v>615</v>
      </c>
      <c r="H152" s="173">
        <v>313</v>
      </c>
      <c r="I152" s="173">
        <v>302</v>
      </c>
      <c r="J152" s="192">
        <f t="shared" si="112"/>
        <v>2.3148757626330787</v>
      </c>
      <c r="K152" s="174">
        <f t="shared" si="113"/>
        <v>921</v>
      </c>
      <c r="L152" s="173">
        <v>469</v>
      </c>
      <c r="M152" s="173">
        <v>452</v>
      </c>
      <c r="N152" s="828">
        <f t="shared" si="110"/>
        <v>103.76106194690264</v>
      </c>
      <c r="O152" s="205">
        <f t="shared" si="114"/>
        <v>4.7510325699857523</v>
      </c>
      <c r="P152" s="173">
        <v>1005</v>
      </c>
      <c r="Q152" s="173">
        <v>534</v>
      </c>
      <c r="R152" s="173">
        <v>471</v>
      </c>
      <c r="S152" s="174">
        <v>921</v>
      </c>
      <c r="T152" s="173">
        <v>469</v>
      </c>
      <c r="U152" s="772">
        <v>452</v>
      </c>
      <c r="V152" s="173">
        <v>84</v>
      </c>
      <c r="W152" s="173">
        <v>65</v>
      </c>
      <c r="X152" s="772">
        <v>19</v>
      </c>
      <c r="Y152" s="173"/>
      <c r="Z152" s="777">
        <v>22.02</v>
      </c>
      <c r="AA152" s="777">
        <f t="shared" si="120"/>
        <v>0.22020000000000001</v>
      </c>
      <c r="AB152" s="789">
        <f t="shared" si="121"/>
        <v>4182.5613079019076</v>
      </c>
      <c r="AC152" s="789">
        <f t="shared" si="122"/>
        <v>4564.0326975476837</v>
      </c>
      <c r="AD152" s="173">
        <v>173</v>
      </c>
      <c r="AE152" s="773">
        <f t="shared" si="118"/>
        <v>5.8092485549132951</v>
      </c>
      <c r="AF152" s="174">
        <f t="shared" si="119"/>
        <v>1134</v>
      </c>
      <c r="AG152" s="1200">
        <v>574</v>
      </c>
      <c r="AH152" s="1200">
        <v>560</v>
      </c>
      <c r="AI152" s="802" t="s">
        <v>413</v>
      </c>
      <c r="AJ152" s="198"/>
      <c r="AK152" s="185"/>
    </row>
    <row r="153" spans="1:37" s="150" customFormat="1" ht="15">
      <c r="A153" s="188" t="s">
        <v>414</v>
      </c>
      <c r="B153" s="173">
        <f t="shared" si="111"/>
        <v>512</v>
      </c>
      <c r="C153" s="173">
        <v>260</v>
      </c>
      <c r="D153" s="173">
        <v>252</v>
      </c>
      <c r="E153" s="173">
        <v>66</v>
      </c>
      <c r="F153" s="182">
        <v>7.7575757575757578</v>
      </c>
      <c r="G153" s="173">
        <f t="shared" si="123"/>
        <v>483</v>
      </c>
      <c r="H153" s="173">
        <v>244</v>
      </c>
      <c r="I153" s="173">
        <v>239</v>
      </c>
      <c r="J153" s="192">
        <f t="shared" si="112"/>
        <v>-0.96857095327134712</v>
      </c>
      <c r="K153" s="174">
        <f t="shared" si="113"/>
        <v>623</v>
      </c>
      <c r="L153" s="173">
        <v>308</v>
      </c>
      <c r="M153" s="173">
        <v>315</v>
      </c>
      <c r="N153" s="828">
        <f t="shared" si="110"/>
        <v>97.777777777777771</v>
      </c>
      <c r="O153" s="205">
        <f t="shared" si="114"/>
        <v>2.994469001586828</v>
      </c>
      <c r="P153" s="173">
        <v>662</v>
      </c>
      <c r="Q153" s="173">
        <v>338</v>
      </c>
      <c r="R153" s="173">
        <v>324</v>
      </c>
      <c r="S153" s="174">
        <v>623</v>
      </c>
      <c r="T153" s="173">
        <v>308</v>
      </c>
      <c r="U153" s="772">
        <v>315</v>
      </c>
      <c r="V153" s="173">
        <v>39</v>
      </c>
      <c r="W153" s="173">
        <v>30</v>
      </c>
      <c r="X153" s="772">
        <v>9</v>
      </c>
      <c r="Y153" s="173"/>
      <c r="Z153" s="777">
        <v>20.76</v>
      </c>
      <c r="AA153" s="777">
        <f t="shared" si="120"/>
        <v>0.20760000000000001</v>
      </c>
      <c r="AB153" s="789">
        <f t="shared" si="121"/>
        <v>3000.9633911368014</v>
      </c>
      <c r="AC153" s="789">
        <f t="shared" si="122"/>
        <v>3188.8246628131019</v>
      </c>
      <c r="AD153" s="173">
        <v>96</v>
      </c>
      <c r="AE153" s="773">
        <f t="shared" si="118"/>
        <v>6.895833333333333</v>
      </c>
      <c r="AF153" s="174">
        <f t="shared" si="119"/>
        <v>1018</v>
      </c>
      <c r="AG153" s="1200">
        <v>521</v>
      </c>
      <c r="AH153" s="1200">
        <v>497</v>
      </c>
      <c r="AI153" s="802" t="s">
        <v>415</v>
      </c>
      <c r="AJ153" s="198"/>
      <c r="AK153" s="185"/>
    </row>
    <row r="154" spans="1:37" s="150" customFormat="1" ht="15">
      <c r="A154" s="197" t="s">
        <v>416</v>
      </c>
      <c r="B154" s="173">
        <f t="shared" si="111"/>
        <v>458</v>
      </c>
      <c r="C154" s="173">
        <v>223</v>
      </c>
      <c r="D154" s="173">
        <v>235</v>
      </c>
      <c r="E154" s="173">
        <v>50</v>
      </c>
      <c r="F154" s="182">
        <v>9.16</v>
      </c>
      <c r="G154" s="173">
        <f t="shared" si="123"/>
        <v>456</v>
      </c>
      <c r="H154" s="173">
        <v>237</v>
      </c>
      <c r="I154" s="173">
        <v>219</v>
      </c>
      <c r="J154" s="192">
        <f t="shared" si="112"/>
        <v>-7.2697252488353625E-2</v>
      </c>
      <c r="K154" s="174">
        <f t="shared" si="113"/>
        <v>586</v>
      </c>
      <c r="L154" s="173">
        <v>294</v>
      </c>
      <c r="M154" s="173">
        <v>292</v>
      </c>
      <c r="N154" s="828">
        <f t="shared" si="110"/>
        <v>100.68493150684932</v>
      </c>
      <c r="O154" s="205">
        <f t="shared" si="114"/>
        <v>2.950905647795607</v>
      </c>
      <c r="P154" s="173">
        <v>608</v>
      </c>
      <c r="Q154" s="173">
        <v>311</v>
      </c>
      <c r="R154" s="173">
        <v>297</v>
      </c>
      <c r="S154" s="174">
        <v>584</v>
      </c>
      <c r="T154" s="173">
        <v>292</v>
      </c>
      <c r="U154" s="772">
        <v>292</v>
      </c>
      <c r="V154" s="173">
        <v>24</v>
      </c>
      <c r="W154" s="173">
        <v>19</v>
      </c>
      <c r="X154" s="772">
        <v>5</v>
      </c>
      <c r="Y154" s="173"/>
      <c r="Z154" s="777">
        <v>10.96</v>
      </c>
      <c r="AA154" s="777">
        <f t="shared" si="120"/>
        <v>0.1096</v>
      </c>
      <c r="AB154" s="789">
        <f t="shared" si="121"/>
        <v>5346.7153284671531</v>
      </c>
      <c r="AC154" s="789">
        <f t="shared" si="122"/>
        <v>5547.4452554744521</v>
      </c>
      <c r="AD154" s="173">
        <v>84</v>
      </c>
      <c r="AE154" s="773">
        <f t="shared" si="118"/>
        <v>7.2380952380952381</v>
      </c>
      <c r="AF154" s="174">
        <f t="shared" si="119"/>
        <v>828</v>
      </c>
      <c r="AG154" s="1200">
        <v>426</v>
      </c>
      <c r="AH154" s="1200">
        <v>402</v>
      </c>
      <c r="AI154" s="802" t="s">
        <v>417</v>
      </c>
      <c r="AJ154" s="198"/>
      <c r="AK154" s="185"/>
    </row>
    <row r="155" spans="1:37" s="150" customFormat="1" ht="15">
      <c r="A155" s="188" t="s">
        <v>418</v>
      </c>
      <c r="B155" s="173">
        <f t="shared" si="111"/>
        <v>483</v>
      </c>
      <c r="C155" s="173">
        <v>235</v>
      </c>
      <c r="D155" s="173">
        <v>248</v>
      </c>
      <c r="E155" s="173">
        <v>90</v>
      </c>
      <c r="F155" s="182">
        <v>5.3666666666666663</v>
      </c>
      <c r="G155" s="173">
        <f t="shared" si="123"/>
        <v>439</v>
      </c>
      <c r="H155" s="173">
        <v>208</v>
      </c>
      <c r="I155" s="173">
        <v>231</v>
      </c>
      <c r="J155" s="192">
        <f t="shared" si="112"/>
        <v>-1.5866651258704547</v>
      </c>
      <c r="K155" s="174">
        <f t="shared" si="113"/>
        <v>413</v>
      </c>
      <c r="L155" s="173">
        <v>217</v>
      </c>
      <c r="M155" s="173">
        <v>196</v>
      </c>
      <c r="N155" s="828">
        <f t="shared" si="110"/>
        <v>110.71428571428572</v>
      </c>
      <c r="O155" s="205">
        <f t="shared" si="114"/>
        <v>-0.71825670722516055</v>
      </c>
      <c r="P155" s="173">
        <v>441</v>
      </c>
      <c r="Q155" s="173">
        <v>237</v>
      </c>
      <c r="R155" s="173">
        <v>204</v>
      </c>
      <c r="S155" s="174">
        <v>413</v>
      </c>
      <c r="T155" s="173">
        <v>217</v>
      </c>
      <c r="U155" s="772">
        <v>196</v>
      </c>
      <c r="V155" s="173">
        <v>28</v>
      </c>
      <c r="W155" s="173">
        <v>20</v>
      </c>
      <c r="X155" s="772">
        <v>8</v>
      </c>
      <c r="Y155" s="173"/>
      <c r="Z155" s="777">
        <v>43.48</v>
      </c>
      <c r="AA155" s="777">
        <f t="shared" si="120"/>
        <v>0.43479999999999996</v>
      </c>
      <c r="AB155" s="789">
        <f t="shared" si="121"/>
        <v>949.86200551977925</v>
      </c>
      <c r="AC155" s="789">
        <f t="shared" si="122"/>
        <v>1014.2594296228152</v>
      </c>
      <c r="AD155" s="173">
        <v>107</v>
      </c>
      <c r="AE155" s="773">
        <f t="shared" si="118"/>
        <v>4.1214953271028039</v>
      </c>
      <c r="AF155" s="174">
        <f t="shared" si="119"/>
        <v>841</v>
      </c>
      <c r="AG155" s="1200">
        <v>455</v>
      </c>
      <c r="AH155" s="1200">
        <v>386</v>
      </c>
      <c r="AI155" s="802" t="s">
        <v>419</v>
      </c>
      <c r="AJ155" s="198"/>
      <c r="AK155" s="185"/>
    </row>
    <row r="156" spans="1:37" s="150" customFormat="1" ht="15">
      <c r="A156" s="188" t="s">
        <v>362</v>
      </c>
      <c r="B156" s="173">
        <f t="shared" si="111"/>
        <v>389</v>
      </c>
      <c r="C156" s="173">
        <v>191</v>
      </c>
      <c r="D156" s="173">
        <v>198</v>
      </c>
      <c r="E156" s="173">
        <v>75</v>
      </c>
      <c r="F156" s="182">
        <v>5.1866666666666665</v>
      </c>
      <c r="G156" s="173">
        <f t="shared" si="123"/>
        <v>248</v>
      </c>
      <c r="H156" s="173">
        <v>110</v>
      </c>
      <c r="I156" s="173">
        <v>138</v>
      </c>
      <c r="J156" s="192">
        <f t="shared" si="112"/>
        <v>-7.4775846753067139</v>
      </c>
      <c r="K156" s="174">
        <f t="shared" si="113"/>
        <v>408</v>
      </c>
      <c r="L156" s="173">
        <v>216</v>
      </c>
      <c r="M156" s="173">
        <v>192</v>
      </c>
      <c r="N156" s="828">
        <f t="shared" si="110"/>
        <v>112.5</v>
      </c>
      <c r="O156" s="205">
        <f t="shared" si="114"/>
        <v>5.8569226851668184</v>
      </c>
      <c r="P156" s="173">
        <v>434</v>
      </c>
      <c r="Q156" s="173">
        <v>235</v>
      </c>
      <c r="R156" s="173">
        <v>199</v>
      </c>
      <c r="S156" s="174">
        <v>408</v>
      </c>
      <c r="T156" s="173">
        <v>216</v>
      </c>
      <c r="U156" s="772">
        <v>192</v>
      </c>
      <c r="V156" s="173">
        <v>26</v>
      </c>
      <c r="W156" s="173">
        <v>19</v>
      </c>
      <c r="X156" s="772">
        <v>7</v>
      </c>
      <c r="Y156" s="173"/>
      <c r="Z156" s="777">
        <v>32.81</v>
      </c>
      <c r="AA156" s="777">
        <f t="shared" si="120"/>
        <v>0.3281</v>
      </c>
      <c r="AB156" s="789">
        <f t="shared" si="121"/>
        <v>1243.5233160621763</v>
      </c>
      <c r="AC156" s="789">
        <f t="shared" si="122"/>
        <v>1322.7674489484914</v>
      </c>
      <c r="AD156" s="173">
        <v>86</v>
      </c>
      <c r="AE156" s="773">
        <f t="shared" si="118"/>
        <v>5.0465116279069768</v>
      </c>
      <c r="AF156" s="174">
        <f t="shared" si="119"/>
        <v>751</v>
      </c>
      <c r="AG156" s="1200">
        <v>362</v>
      </c>
      <c r="AH156" s="1200">
        <v>389</v>
      </c>
      <c r="AI156" s="802" t="s">
        <v>363</v>
      </c>
      <c r="AJ156" s="198"/>
      <c r="AK156" s="185"/>
    </row>
    <row r="157" spans="1:37" s="150" customFormat="1" ht="15">
      <c r="A157" s="188" t="s">
        <v>420</v>
      </c>
      <c r="B157" s="173">
        <f t="shared" si="111"/>
        <v>471</v>
      </c>
      <c r="C157" s="173">
        <v>245</v>
      </c>
      <c r="D157" s="173">
        <v>226</v>
      </c>
      <c r="E157" s="173">
        <v>77</v>
      </c>
      <c r="F157" s="182">
        <v>6.116883116883117</v>
      </c>
      <c r="G157" s="173">
        <f t="shared" si="123"/>
        <v>515</v>
      </c>
      <c r="H157" s="173">
        <v>260</v>
      </c>
      <c r="I157" s="173">
        <v>255</v>
      </c>
      <c r="J157" s="192">
        <f t="shared" si="112"/>
        <v>1.4835349941415015</v>
      </c>
      <c r="K157" s="174">
        <f t="shared" si="113"/>
        <v>667</v>
      </c>
      <c r="L157" s="173">
        <v>343</v>
      </c>
      <c r="M157" s="173">
        <v>324</v>
      </c>
      <c r="N157" s="828">
        <f t="shared" si="110"/>
        <v>105.8641975308642</v>
      </c>
      <c r="O157" s="205">
        <f t="shared" si="114"/>
        <v>3.0426252382575014</v>
      </c>
      <c r="P157" s="173">
        <v>724</v>
      </c>
      <c r="Q157" s="173">
        <v>389</v>
      </c>
      <c r="R157" s="173">
        <v>335</v>
      </c>
      <c r="S157" s="174">
        <v>666</v>
      </c>
      <c r="T157" s="173">
        <v>342</v>
      </c>
      <c r="U157" s="772">
        <v>324</v>
      </c>
      <c r="V157" s="173">
        <v>58</v>
      </c>
      <c r="W157" s="173">
        <v>47</v>
      </c>
      <c r="X157" s="772">
        <v>11</v>
      </c>
      <c r="Y157" s="173"/>
      <c r="Z157" s="777">
        <v>22.16</v>
      </c>
      <c r="AA157" s="777">
        <f t="shared" si="120"/>
        <v>0.22159999999999999</v>
      </c>
      <c r="AB157" s="789">
        <f t="shared" si="121"/>
        <v>3009.9277978339351</v>
      </c>
      <c r="AC157" s="789">
        <f t="shared" si="122"/>
        <v>3267.1480144404331</v>
      </c>
      <c r="AD157" s="173">
        <v>115</v>
      </c>
      <c r="AE157" s="773">
        <f t="shared" si="118"/>
        <v>6.2956521739130435</v>
      </c>
      <c r="AF157" s="174">
        <f t="shared" si="119"/>
        <v>861</v>
      </c>
      <c r="AG157" s="1199">
        <v>453</v>
      </c>
      <c r="AH157" s="1199">
        <v>408</v>
      </c>
      <c r="AI157" s="802" t="s">
        <v>421</v>
      </c>
      <c r="AJ157" s="198"/>
      <c r="AK157" s="185"/>
    </row>
    <row r="158" spans="1:37" s="150" customFormat="1" ht="15">
      <c r="A158" s="188"/>
      <c r="B158" s="173"/>
      <c r="C158" s="173"/>
      <c r="D158" s="173"/>
      <c r="E158" s="173"/>
      <c r="F158" s="182"/>
      <c r="G158" s="173"/>
      <c r="H158" s="173"/>
      <c r="I158" s="173"/>
      <c r="J158" s="192"/>
      <c r="K158" s="174"/>
      <c r="L158" s="173"/>
      <c r="M158" s="173"/>
      <c r="N158" s="828"/>
      <c r="O158" s="205"/>
      <c r="P158" s="173"/>
      <c r="Q158" s="173"/>
      <c r="R158" s="173"/>
      <c r="S158" s="174"/>
      <c r="T158" s="173"/>
      <c r="U158" s="772"/>
      <c r="V158" s="173"/>
      <c r="W158" s="173"/>
      <c r="X158" s="772"/>
      <c r="Y158" s="173"/>
      <c r="Z158" s="777"/>
      <c r="AA158" s="777"/>
      <c r="AB158" s="789"/>
      <c r="AC158" s="789"/>
      <c r="AD158" s="173"/>
      <c r="AE158" s="773"/>
      <c r="AF158" s="174"/>
      <c r="AG158" s="202"/>
      <c r="AH158" s="202"/>
      <c r="AI158" s="803"/>
      <c r="AJ158" s="198"/>
      <c r="AK158" s="185"/>
    </row>
    <row r="159" spans="1:37" s="167" customFormat="1" ht="15">
      <c r="A159" s="190" t="s">
        <v>422</v>
      </c>
      <c r="B159" s="163">
        <f t="shared" ref="B159:B169" si="124">SUM(C159:D159)</f>
        <v>6620</v>
      </c>
      <c r="C159" s="163">
        <f>SUM(C160:C169)</f>
        <v>3235</v>
      </c>
      <c r="D159" s="163">
        <f>SUM(D160:D169)</f>
        <v>3385</v>
      </c>
      <c r="E159" s="163">
        <f>SUM(E160:E169)</f>
        <v>961</v>
      </c>
      <c r="F159" s="164">
        <v>7.9785276073619631</v>
      </c>
      <c r="G159" s="163">
        <f>SUM(H159:I159)</f>
        <v>6921</v>
      </c>
      <c r="H159" s="163">
        <f>SUM(H160:H169)</f>
        <v>3314</v>
      </c>
      <c r="I159" s="163">
        <f>SUM(I160:I169)</f>
        <v>3607</v>
      </c>
      <c r="J159" s="168">
        <f t="shared" ref="J159:J169" si="125">LN(G159/B159)/6.02*100</f>
        <v>0.7386195666247406</v>
      </c>
      <c r="K159" s="166">
        <f t="shared" ref="K159:K169" si="126">SUM(L159:M159)</f>
        <v>8183</v>
      </c>
      <c r="L159" s="163">
        <f>SUM(L160:L169)</f>
        <v>4058</v>
      </c>
      <c r="M159" s="163">
        <f>SUM(M160:M169)</f>
        <v>4125</v>
      </c>
      <c r="N159" s="827">
        <f t="shared" si="110"/>
        <v>98.375757575757575</v>
      </c>
      <c r="O159" s="814">
        <f t="shared" ref="O159:O169" si="127">LN(K159/G159)/8.5*100</f>
        <v>1.9705713374766871</v>
      </c>
      <c r="P159" s="163">
        <f t="shared" ref="P159" si="128">SUM(Q159:R159)</f>
        <v>9086</v>
      </c>
      <c r="Q159" s="163">
        <f>SUM(Q160:Q169)</f>
        <v>4913</v>
      </c>
      <c r="R159" s="163">
        <f>SUM(R160:R169)</f>
        <v>4173</v>
      </c>
      <c r="S159" s="166">
        <f t="shared" ref="S159" si="129">SUM(T159:U159)</f>
        <v>8145</v>
      </c>
      <c r="T159" s="163">
        <f>SUM(T160:T169)</f>
        <v>4045</v>
      </c>
      <c r="U159" s="769">
        <f>SUM(U160:U169)</f>
        <v>4100</v>
      </c>
      <c r="V159" s="163">
        <f t="shared" ref="V159" si="130">SUM(W159:X159)</f>
        <v>941</v>
      </c>
      <c r="W159" s="163">
        <f>SUM(W160:W169)</f>
        <v>868</v>
      </c>
      <c r="X159" s="769">
        <f>SUM(X160:X169)</f>
        <v>73</v>
      </c>
      <c r="Y159" s="163"/>
      <c r="Z159" s="770" t="s">
        <v>187</v>
      </c>
      <c r="AA159" s="770" t="s">
        <v>187</v>
      </c>
      <c r="AB159" s="788" t="s">
        <v>187</v>
      </c>
      <c r="AC159" s="788" t="s">
        <v>187</v>
      </c>
      <c r="AD159" s="163">
        <f>SUM(AD160:AD169)</f>
        <v>1497</v>
      </c>
      <c r="AE159" s="771">
        <f t="shared" ref="AE159:AE169" si="131">P159/AD159</f>
        <v>6.0694722778891119</v>
      </c>
      <c r="AF159" s="166">
        <f t="shared" ref="AF159:AF169" si="132">SUM(AG159:AH159)</f>
        <v>11880</v>
      </c>
      <c r="AG159" s="170">
        <f>SUM(AG160:AG169)</f>
        <v>6143</v>
      </c>
      <c r="AH159" s="170">
        <f>SUM(AH160:AH169)</f>
        <v>5737</v>
      </c>
      <c r="AI159" s="762" t="s">
        <v>423</v>
      </c>
      <c r="AJ159" s="196"/>
      <c r="AK159" s="152"/>
    </row>
    <row r="160" spans="1:37" s="150" customFormat="1" ht="15">
      <c r="A160" s="188" t="s">
        <v>424</v>
      </c>
      <c r="B160" s="173">
        <f t="shared" si="124"/>
        <v>439</v>
      </c>
      <c r="C160" s="173">
        <v>213</v>
      </c>
      <c r="D160" s="173">
        <v>226</v>
      </c>
      <c r="E160" s="173">
        <v>75</v>
      </c>
      <c r="F160" s="182">
        <v>5.8533333333333335</v>
      </c>
      <c r="G160" s="173">
        <f>SUM(H160:I160)</f>
        <v>458</v>
      </c>
      <c r="H160" s="173">
        <v>213</v>
      </c>
      <c r="I160" s="173">
        <v>245</v>
      </c>
      <c r="J160" s="192">
        <f t="shared" si="125"/>
        <v>0.70381679466800129</v>
      </c>
      <c r="K160" s="174">
        <f t="shared" si="126"/>
        <v>481</v>
      </c>
      <c r="L160" s="173">
        <v>240</v>
      </c>
      <c r="M160" s="173">
        <v>241</v>
      </c>
      <c r="N160" s="828">
        <f t="shared" si="110"/>
        <v>99.585062240663902</v>
      </c>
      <c r="O160" s="205">
        <f t="shared" si="127"/>
        <v>0.57644807048913149</v>
      </c>
      <c r="P160" s="173">
        <v>517</v>
      </c>
      <c r="Q160" s="173">
        <v>271</v>
      </c>
      <c r="R160" s="173">
        <v>246</v>
      </c>
      <c r="S160" s="174">
        <v>480</v>
      </c>
      <c r="T160" s="173">
        <v>240</v>
      </c>
      <c r="U160" s="772">
        <v>240</v>
      </c>
      <c r="V160" s="173">
        <v>37</v>
      </c>
      <c r="W160" s="173">
        <v>31</v>
      </c>
      <c r="X160" s="772">
        <v>6</v>
      </c>
      <c r="Y160" s="173"/>
      <c r="Z160" s="777">
        <v>20.71</v>
      </c>
      <c r="AA160" s="777">
        <f t="shared" ref="AA160:AA169" si="133">Z160/100</f>
        <v>0.20710000000000001</v>
      </c>
      <c r="AB160" s="789">
        <f t="shared" ref="AB160:AB169" si="134">K160/AA160</f>
        <v>2322.5494929985512</v>
      </c>
      <c r="AC160" s="789">
        <f t="shared" ref="AC160:AC169" si="135">P160/AA160</f>
        <v>2496.378561081603</v>
      </c>
      <c r="AD160" s="173">
        <v>106</v>
      </c>
      <c r="AE160" s="773">
        <f t="shared" si="131"/>
        <v>4.8773584905660377</v>
      </c>
      <c r="AF160" s="174">
        <f t="shared" si="132"/>
        <v>744</v>
      </c>
      <c r="AG160" s="1200">
        <v>395</v>
      </c>
      <c r="AH160" s="1200">
        <v>349</v>
      </c>
      <c r="AI160" s="802" t="s">
        <v>425</v>
      </c>
      <c r="AJ160" s="198"/>
      <c r="AK160" s="185"/>
    </row>
    <row r="161" spans="1:37" s="150" customFormat="1" ht="15">
      <c r="A161" s="188" t="s">
        <v>426</v>
      </c>
      <c r="B161" s="173">
        <f t="shared" si="124"/>
        <v>638</v>
      </c>
      <c r="C161" s="173">
        <v>282</v>
      </c>
      <c r="D161" s="173">
        <v>356</v>
      </c>
      <c r="E161" s="173">
        <v>84</v>
      </c>
      <c r="F161" s="182">
        <v>7.5952380952380949</v>
      </c>
      <c r="G161" s="173">
        <f t="shared" ref="G161:G169" si="136">SUM(H161:I161)</f>
        <v>676</v>
      </c>
      <c r="H161" s="173">
        <v>303</v>
      </c>
      <c r="I161" s="173">
        <v>373</v>
      </c>
      <c r="J161" s="192">
        <f t="shared" si="125"/>
        <v>0.96104306807598316</v>
      </c>
      <c r="K161" s="174">
        <f t="shared" si="126"/>
        <v>843</v>
      </c>
      <c r="L161" s="173">
        <v>414</v>
      </c>
      <c r="M161" s="173">
        <v>429</v>
      </c>
      <c r="N161" s="828">
        <f t="shared" si="110"/>
        <v>96.503496503496507</v>
      </c>
      <c r="O161" s="205">
        <f t="shared" si="127"/>
        <v>2.5973397877516642</v>
      </c>
      <c r="P161" s="173">
        <v>883</v>
      </c>
      <c r="Q161" s="173">
        <v>453</v>
      </c>
      <c r="R161" s="173">
        <v>430</v>
      </c>
      <c r="S161" s="174">
        <v>840</v>
      </c>
      <c r="T161" s="173">
        <v>413</v>
      </c>
      <c r="U161" s="772">
        <v>427</v>
      </c>
      <c r="V161" s="173">
        <v>43</v>
      </c>
      <c r="W161" s="173">
        <v>40</v>
      </c>
      <c r="X161" s="772">
        <v>3</v>
      </c>
      <c r="Y161" s="173"/>
      <c r="Z161" s="777">
        <v>22.93</v>
      </c>
      <c r="AA161" s="777">
        <f t="shared" si="133"/>
        <v>0.2293</v>
      </c>
      <c r="AB161" s="789">
        <f t="shared" si="134"/>
        <v>3676.4064544265152</v>
      </c>
      <c r="AC161" s="789">
        <f t="shared" si="135"/>
        <v>3850.8504143044047</v>
      </c>
      <c r="AD161" s="173">
        <v>124</v>
      </c>
      <c r="AE161" s="773">
        <f t="shared" si="131"/>
        <v>7.120967741935484</v>
      </c>
      <c r="AF161" s="174">
        <f t="shared" si="132"/>
        <v>1166</v>
      </c>
      <c r="AG161" s="1200">
        <v>579</v>
      </c>
      <c r="AH161" s="1200">
        <v>587</v>
      </c>
      <c r="AI161" s="802" t="s">
        <v>427</v>
      </c>
      <c r="AJ161" s="198"/>
      <c r="AK161" s="185"/>
    </row>
    <row r="162" spans="1:37" s="176" customFormat="1" ht="15">
      <c r="A162" s="188" t="s">
        <v>428</v>
      </c>
      <c r="B162" s="173">
        <f t="shared" si="124"/>
        <v>384</v>
      </c>
      <c r="C162" s="173">
        <v>187</v>
      </c>
      <c r="D162" s="173">
        <v>197</v>
      </c>
      <c r="E162" s="173">
        <v>51</v>
      </c>
      <c r="F162" s="182">
        <v>7.5294117647058822</v>
      </c>
      <c r="G162" s="173">
        <f t="shared" si="136"/>
        <v>322</v>
      </c>
      <c r="H162" s="173">
        <v>148</v>
      </c>
      <c r="I162" s="173">
        <v>174</v>
      </c>
      <c r="J162" s="192">
        <f t="shared" si="125"/>
        <v>-2.9250997847727342</v>
      </c>
      <c r="K162" s="174">
        <f t="shared" si="126"/>
        <v>438</v>
      </c>
      <c r="L162" s="173">
        <v>209</v>
      </c>
      <c r="M162" s="173">
        <v>229</v>
      </c>
      <c r="N162" s="828">
        <f t="shared" si="110"/>
        <v>91.266375545851531</v>
      </c>
      <c r="O162" s="205">
        <f t="shared" si="127"/>
        <v>3.6196160568475038</v>
      </c>
      <c r="P162" s="173">
        <v>462</v>
      </c>
      <c r="Q162" s="173">
        <v>229</v>
      </c>
      <c r="R162" s="173">
        <v>233</v>
      </c>
      <c r="S162" s="174">
        <v>437</v>
      </c>
      <c r="T162" s="173">
        <v>209</v>
      </c>
      <c r="U162" s="772">
        <v>228</v>
      </c>
      <c r="V162" s="173">
        <v>25</v>
      </c>
      <c r="W162" s="173">
        <v>20</v>
      </c>
      <c r="X162" s="772">
        <v>5</v>
      </c>
      <c r="Y162" s="173"/>
      <c r="Z162" s="777">
        <v>6</v>
      </c>
      <c r="AA162" s="777">
        <f t="shared" si="133"/>
        <v>0.06</v>
      </c>
      <c r="AB162" s="789">
        <f t="shared" si="134"/>
        <v>7300</v>
      </c>
      <c r="AC162" s="789">
        <f t="shared" si="135"/>
        <v>7700</v>
      </c>
      <c r="AD162" s="173">
        <v>74</v>
      </c>
      <c r="AE162" s="773">
        <f t="shared" si="131"/>
        <v>6.243243243243243</v>
      </c>
      <c r="AF162" s="174">
        <f t="shared" si="132"/>
        <v>631</v>
      </c>
      <c r="AG162" s="1200">
        <v>353</v>
      </c>
      <c r="AH162" s="1200">
        <v>278</v>
      </c>
      <c r="AI162" s="802" t="s">
        <v>249</v>
      </c>
      <c r="AJ162" s="198"/>
      <c r="AK162" s="185"/>
    </row>
    <row r="163" spans="1:37" s="176" customFormat="1" ht="15">
      <c r="A163" s="188" t="s">
        <v>429</v>
      </c>
      <c r="B163" s="173">
        <f t="shared" si="124"/>
        <v>1714</v>
      </c>
      <c r="C163" s="173">
        <v>871</v>
      </c>
      <c r="D163" s="173">
        <v>843</v>
      </c>
      <c r="E163" s="173">
        <v>211</v>
      </c>
      <c r="F163" s="182">
        <v>8.1232227488151665</v>
      </c>
      <c r="G163" s="173">
        <f t="shared" si="136"/>
        <v>1780</v>
      </c>
      <c r="H163" s="173">
        <v>839</v>
      </c>
      <c r="I163" s="173">
        <v>941</v>
      </c>
      <c r="J163" s="192">
        <f t="shared" si="125"/>
        <v>0.62763362339544582</v>
      </c>
      <c r="K163" s="174">
        <f t="shared" si="126"/>
        <v>1939</v>
      </c>
      <c r="L163" s="173">
        <v>994</v>
      </c>
      <c r="M163" s="173">
        <v>945</v>
      </c>
      <c r="N163" s="828">
        <f t="shared" si="110"/>
        <v>105.18518518518518</v>
      </c>
      <c r="O163" s="205">
        <f t="shared" si="127"/>
        <v>1.0065766112531884</v>
      </c>
      <c r="P163" s="173">
        <v>2074</v>
      </c>
      <c r="Q163" s="173">
        <v>1126</v>
      </c>
      <c r="R163" s="173">
        <v>948</v>
      </c>
      <c r="S163" s="174">
        <v>1925</v>
      </c>
      <c r="T163" s="173">
        <v>988</v>
      </c>
      <c r="U163" s="772">
        <v>937</v>
      </c>
      <c r="V163" s="173">
        <v>149</v>
      </c>
      <c r="W163" s="173">
        <v>138</v>
      </c>
      <c r="X163" s="772">
        <v>11</v>
      </c>
      <c r="Y163" s="173"/>
      <c r="Z163" s="777">
        <v>22.68</v>
      </c>
      <c r="AA163" s="777">
        <f t="shared" si="133"/>
        <v>0.2268</v>
      </c>
      <c r="AB163" s="789">
        <f t="shared" si="134"/>
        <v>8549.382716049382</v>
      </c>
      <c r="AC163" s="789">
        <f t="shared" si="135"/>
        <v>9144.6208112874774</v>
      </c>
      <c r="AD163" s="173">
        <v>284</v>
      </c>
      <c r="AE163" s="773">
        <f t="shared" si="131"/>
        <v>7.302816901408451</v>
      </c>
      <c r="AF163" s="174">
        <f t="shared" si="132"/>
        <v>2560</v>
      </c>
      <c r="AG163" s="1200">
        <v>1315</v>
      </c>
      <c r="AH163" s="1200">
        <v>1245</v>
      </c>
      <c r="AI163" s="802" t="s">
        <v>430</v>
      </c>
      <c r="AJ163" s="198"/>
      <c r="AK163" s="185"/>
    </row>
    <row r="164" spans="1:37" s="150" customFormat="1" ht="15">
      <c r="A164" s="188" t="s">
        <v>431</v>
      </c>
      <c r="B164" s="173">
        <f t="shared" si="124"/>
        <v>279</v>
      </c>
      <c r="C164" s="173">
        <v>136</v>
      </c>
      <c r="D164" s="173">
        <v>143</v>
      </c>
      <c r="E164" s="173">
        <v>41</v>
      </c>
      <c r="F164" s="182">
        <v>6.8048780487804876</v>
      </c>
      <c r="G164" s="173">
        <f t="shared" si="136"/>
        <v>294</v>
      </c>
      <c r="H164" s="173">
        <v>165</v>
      </c>
      <c r="I164" s="173">
        <v>129</v>
      </c>
      <c r="J164" s="192">
        <f t="shared" si="125"/>
        <v>0.86990009164976645</v>
      </c>
      <c r="K164" s="174">
        <f t="shared" si="126"/>
        <v>295</v>
      </c>
      <c r="L164" s="173">
        <v>157</v>
      </c>
      <c r="M164" s="173">
        <v>138</v>
      </c>
      <c r="N164" s="828">
        <f t="shared" si="110"/>
        <v>113.76811594202898</v>
      </c>
      <c r="O164" s="205">
        <f t="shared" si="127"/>
        <v>3.9948105895742443E-2</v>
      </c>
      <c r="P164" s="173">
        <v>367</v>
      </c>
      <c r="Q164" s="173">
        <v>223</v>
      </c>
      <c r="R164" s="173">
        <v>144</v>
      </c>
      <c r="S164" s="174">
        <v>294</v>
      </c>
      <c r="T164" s="173">
        <v>156</v>
      </c>
      <c r="U164" s="772">
        <v>138</v>
      </c>
      <c r="V164" s="173">
        <v>73</v>
      </c>
      <c r="W164" s="173">
        <v>67</v>
      </c>
      <c r="X164" s="772">
        <v>6</v>
      </c>
      <c r="Y164" s="173"/>
      <c r="Z164" s="777">
        <v>38.85</v>
      </c>
      <c r="AA164" s="777">
        <f t="shared" si="133"/>
        <v>0.38850000000000001</v>
      </c>
      <c r="AB164" s="789">
        <f t="shared" si="134"/>
        <v>759.33075933075929</v>
      </c>
      <c r="AC164" s="789">
        <f t="shared" si="135"/>
        <v>944.65894465894462</v>
      </c>
      <c r="AD164" s="173">
        <v>78</v>
      </c>
      <c r="AE164" s="773">
        <f t="shared" si="131"/>
        <v>4.7051282051282053</v>
      </c>
      <c r="AF164" s="174">
        <f t="shared" si="132"/>
        <v>490</v>
      </c>
      <c r="AG164" s="1200">
        <v>258</v>
      </c>
      <c r="AH164" s="1200">
        <v>232</v>
      </c>
      <c r="AI164" s="802" t="s">
        <v>432</v>
      </c>
      <c r="AJ164" s="198"/>
      <c r="AK164" s="185"/>
    </row>
    <row r="165" spans="1:37" s="150" customFormat="1" ht="15">
      <c r="A165" s="197" t="s">
        <v>433</v>
      </c>
      <c r="B165" s="173">
        <f t="shared" si="124"/>
        <v>600</v>
      </c>
      <c r="C165" s="173">
        <v>323</v>
      </c>
      <c r="D165" s="173">
        <v>277</v>
      </c>
      <c r="E165" s="173">
        <v>102</v>
      </c>
      <c r="F165" s="182">
        <v>5.882352941176471</v>
      </c>
      <c r="G165" s="173">
        <f t="shared" si="136"/>
        <v>624</v>
      </c>
      <c r="H165" s="173">
        <v>303</v>
      </c>
      <c r="I165" s="173">
        <v>321</v>
      </c>
      <c r="J165" s="192">
        <f t="shared" si="125"/>
        <v>0.65150686301131788</v>
      </c>
      <c r="K165" s="174">
        <f t="shared" si="126"/>
        <v>713</v>
      </c>
      <c r="L165" s="173">
        <v>348</v>
      </c>
      <c r="M165" s="173">
        <v>365</v>
      </c>
      <c r="N165" s="828">
        <f t="shared" si="110"/>
        <v>95.342465753424648</v>
      </c>
      <c r="O165" s="205">
        <f t="shared" si="127"/>
        <v>1.5686006122925673</v>
      </c>
      <c r="P165" s="173">
        <v>824</v>
      </c>
      <c r="Q165" s="173">
        <v>452</v>
      </c>
      <c r="R165" s="173">
        <v>372</v>
      </c>
      <c r="S165" s="174">
        <v>707</v>
      </c>
      <c r="T165" s="173">
        <v>348</v>
      </c>
      <c r="U165" s="772">
        <v>359</v>
      </c>
      <c r="V165" s="173">
        <v>117</v>
      </c>
      <c r="W165" s="173">
        <v>104</v>
      </c>
      <c r="X165" s="772">
        <v>13</v>
      </c>
      <c r="Y165" s="173"/>
      <c r="Z165" s="777">
        <v>24.19</v>
      </c>
      <c r="AA165" s="777">
        <f t="shared" si="133"/>
        <v>0.2419</v>
      </c>
      <c r="AB165" s="789">
        <f t="shared" si="134"/>
        <v>2947.4989665150888</v>
      </c>
      <c r="AC165" s="789">
        <f t="shared" si="135"/>
        <v>3406.3662670525009</v>
      </c>
      <c r="AD165" s="173">
        <v>158</v>
      </c>
      <c r="AE165" s="773">
        <f t="shared" si="131"/>
        <v>5.2151898734177218</v>
      </c>
      <c r="AF165" s="174">
        <f t="shared" si="132"/>
        <v>1086</v>
      </c>
      <c r="AG165" s="1200">
        <v>558</v>
      </c>
      <c r="AH165" s="1200">
        <v>528</v>
      </c>
      <c r="AI165" s="802" t="s">
        <v>434</v>
      </c>
      <c r="AJ165" s="198"/>
      <c r="AK165" s="185"/>
    </row>
    <row r="166" spans="1:37" s="150" customFormat="1" ht="15">
      <c r="A166" s="197" t="s">
        <v>435</v>
      </c>
      <c r="B166" s="173">
        <f t="shared" si="124"/>
        <v>363</v>
      </c>
      <c r="C166" s="173">
        <v>175</v>
      </c>
      <c r="D166" s="173">
        <v>188</v>
      </c>
      <c r="E166" s="173">
        <v>81</v>
      </c>
      <c r="F166" s="182">
        <v>4.4814814814814818</v>
      </c>
      <c r="G166" s="173">
        <f t="shared" si="136"/>
        <v>420</v>
      </c>
      <c r="H166" s="173">
        <v>210</v>
      </c>
      <c r="I166" s="173">
        <v>210</v>
      </c>
      <c r="J166" s="192">
        <f t="shared" si="125"/>
        <v>2.4227886546937398</v>
      </c>
      <c r="K166" s="174">
        <f t="shared" si="126"/>
        <v>529</v>
      </c>
      <c r="L166" s="173">
        <v>247</v>
      </c>
      <c r="M166" s="173">
        <v>282</v>
      </c>
      <c r="N166" s="828">
        <f t="shared" si="110"/>
        <v>87.588652482269509</v>
      </c>
      <c r="O166" s="205">
        <f t="shared" si="127"/>
        <v>2.714514359775122</v>
      </c>
      <c r="P166" s="173">
        <v>610</v>
      </c>
      <c r="Q166" s="173">
        <v>322</v>
      </c>
      <c r="R166" s="173">
        <v>288</v>
      </c>
      <c r="S166" s="174">
        <v>522</v>
      </c>
      <c r="T166" s="173">
        <v>245</v>
      </c>
      <c r="U166" s="772">
        <v>277</v>
      </c>
      <c r="V166" s="173">
        <v>88</v>
      </c>
      <c r="W166" s="173">
        <v>77</v>
      </c>
      <c r="X166" s="772">
        <v>11</v>
      </c>
      <c r="Y166" s="173"/>
      <c r="Z166" s="777">
        <v>51.99</v>
      </c>
      <c r="AA166" s="777">
        <f t="shared" si="133"/>
        <v>0.51990000000000003</v>
      </c>
      <c r="AB166" s="789">
        <f t="shared" si="134"/>
        <v>1017.5033660319292</v>
      </c>
      <c r="AC166" s="789">
        <f t="shared" si="135"/>
        <v>1173.3025581842662</v>
      </c>
      <c r="AD166" s="173">
        <v>126</v>
      </c>
      <c r="AE166" s="773">
        <f t="shared" si="131"/>
        <v>4.8412698412698409</v>
      </c>
      <c r="AF166" s="174">
        <f t="shared" si="132"/>
        <v>689</v>
      </c>
      <c r="AG166" s="1200">
        <v>360</v>
      </c>
      <c r="AH166" s="1200">
        <v>329</v>
      </c>
      <c r="AI166" s="802" t="s">
        <v>436</v>
      </c>
      <c r="AJ166" s="198"/>
      <c r="AK166" s="185"/>
    </row>
    <row r="167" spans="1:37" s="150" customFormat="1" ht="15">
      <c r="A167" s="188" t="s">
        <v>437</v>
      </c>
      <c r="B167" s="173">
        <f t="shared" si="124"/>
        <v>539</v>
      </c>
      <c r="C167" s="173">
        <v>276</v>
      </c>
      <c r="D167" s="173">
        <v>263</v>
      </c>
      <c r="E167" s="173">
        <v>86</v>
      </c>
      <c r="F167" s="182">
        <v>6.2674418604651159</v>
      </c>
      <c r="G167" s="173">
        <f t="shared" si="136"/>
        <v>560</v>
      </c>
      <c r="H167" s="173">
        <v>278</v>
      </c>
      <c r="I167" s="173">
        <v>282</v>
      </c>
      <c r="J167" s="192">
        <f t="shared" si="125"/>
        <v>0.63490386744514404</v>
      </c>
      <c r="K167" s="174">
        <f t="shared" si="126"/>
        <v>729</v>
      </c>
      <c r="L167" s="173">
        <v>357</v>
      </c>
      <c r="M167" s="173">
        <v>372</v>
      </c>
      <c r="N167" s="828">
        <f t="shared" si="110"/>
        <v>95.967741935483872</v>
      </c>
      <c r="O167" s="205">
        <f t="shared" si="127"/>
        <v>3.1027876268172148</v>
      </c>
      <c r="P167" s="173">
        <v>837</v>
      </c>
      <c r="Q167" s="173">
        <v>463</v>
      </c>
      <c r="R167" s="173">
        <v>374</v>
      </c>
      <c r="S167" s="174">
        <v>726</v>
      </c>
      <c r="T167" s="173">
        <v>356</v>
      </c>
      <c r="U167" s="772">
        <v>370</v>
      </c>
      <c r="V167" s="173">
        <v>111</v>
      </c>
      <c r="W167" s="173">
        <v>107</v>
      </c>
      <c r="X167" s="772">
        <v>4</v>
      </c>
      <c r="Y167" s="173"/>
      <c r="Z167" s="777">
        <v>22.44</v>
      </c>
      <c r="AA167" s="777">
        <f t="shared" si="133"/>
        <v>0.22440000000000002</v>
      </c>
      <c r="AB167" s="789">
        <f t="shared" si="134"/>
        <v>3248.6631016042779</v>
      </c>
      <c r="AC167" s="789">
        <f t="shared" si="135"/>
        <v>3729.9465240641707</v>
      </c>
      <c r="AD167" s="173">
        <v>135</v>
      </c>
      <c r="AE167" s="773">
        <f t="shared" si="131"/>
        <v>6.2</v>
      </c>
      <c r="AF167" s="174">
        <f t="shared" si="132"/>
        <v>1122</v>
      </c>
      <c r="AG167" s="1200">
        <v>573</v>
      </c>
      <c r="AH167" s="1200">
        <v>549</v>
      </c>
      <c r="AI167" s="802" t="s">
        <v>438</v>
      </c>
      <c r="AJ167" s="198"/>
      <c r="AK167" s="185"/>
    </row>
    <row r="168" spans="1:37" s="150" customFormat="1" ht="15">
      <c r="A168" s="188" t="s">
        <v>214</v>
      </c>
      <c r="B168" s="173">
        <f t="shared" si="124"/>
        <v>113</v>
      </c>
      <c r="C168" s="173">
        <v>51</v>
      </c>
      <c r="D168" s="173">
        <v>62</v>
      </c>
      <c r="E168" s="173">
        <v>26</v>
      </c>
      <c r="F168" s="182">
        <v>4.3461538461538458</v>
      </c>
      <c r="G168" s="173">
        <f t="shared" si="136"/>
        <v>116</v>
      </c>
      <c r="H168" s="173">
        <v>55</v>
      </c>
      <c r="I168" s="173">
        <v>61</v>
      </c>
      <c r="J168" s="192">
        <f t="shared" si="125"/>
        <v>0.43525535538246046</v>
      </c>
      <c r="K168" s="174">
        <f t="shared" si="126"/>
        <v>137</v>
      </c>
      <c r="L168" s="173">
        <v>61</v>
      </c>
      <c r="M168" s="173">
        <v>76</v>
      </c>
      <c r="N168" s="828">
        <f t="shared" si="110"/>
        <v>80.26315789473685</v>
      </c>
      <c r="O168" s="205">
        <f t="shared" si="127"/>
        <v>1.9575380555501214</v>
      </c>
      <c r="P168" s="173">
        <v>153</v>
      </c>
      <c r="Q168" s="173">
        <v>76</v>
      </c>
      <c r="R168" s="173">
        <v>77</v>
      </c>
      <c r="S168" s="174">
        <v>137</v>
      </c>
      <c r="T168" s="173">
        <v>61</v>
      </c>
      <c r="U168" s="772">
        <v>76</v>
      </c>
      <c r="V168" s="173">
        <v>16</v>
      </c>
      <c r="W168" s="173">
        <v>15</v>
      </c>
      <c r="X168" s="772">
        <v>1</v>
      </c>
      <c r="Y168" s="173"/>
      <c r="Z168" s="777">
        <v>19.440000000000001</v>
      </c>
      <c r="AA168" s="777">
        <f t="shared" si="133"/>
        <v>0.19440000000000002</v>
      </c>
      <c r="AB168" s="789">
        <f t="shared" si="134"/>
        <v>704.73251028806578</v>
      </c>
      <c r="AC168" s="789">
        <f t="shared" si="135"/>
        <v>787.03703703703695</v>
      </c>
      <c r="AD168" s="173">
        <v>34</v>
      </c>
      <c r="AE168" s="773">
        <f t="shared" si="131"/>
        <v>4.5</v>
      </c>
      <c r="AF168" s="174">
        <f t="shared" si="132"/>
        <v>220</v>
      </c>
      <c r="AG168" s="1200">
        <v>112</v>
      </c>
      <c r="AH168" s="1200">
        <v>108</v>
      </c>
      <c r="AI168" s="802" t="s">
        <v>215</v>
      </c>
      <c r="AJ168" s="198"/>
      <c r="AK168" s="185"/>
    </row>
    <row r="169" spans="1:37" s="150" customFormat="1" ht="15">
      <c r="A169" s="188" t="s">
        <v>439</v>
      </c>
      <c r="B169" s="173">
        <f t="shared" si="124"/>
        <v>1551</v>
      </c>
      <c r="C169" s="173">
        <v>721</v>
      </c>
      <c r="D169" s="173">
        <v>830</v>
      </c>
      <c r="E169" s="173">
        <v>204</v>
      </c>
      <c r="F169" s="182">
        <v>7.6029411764705879</v>
      </c>
      <c r="G169" s="173">
        <f t="shared" si="136"/>
        <v>1671</v>
      </c>
      <c r="H169" s="173">
        <v>800</v>
      </c>
      <c r="I169" s="173">
        <v>871</v>
      </c>
      <c r="J169" s="192">
        <f t="shared" si="125"/>
        <v>1.2379130468248314</v>
      </c>
      <c r="K169" s="174">
        <f t="shared" si="126"/>
        <v>2079</v>
      </c>
      <c r="L169" s="173">
        <v>1031</v>
      </c>
      <c r="M169" s="173">
        <v>1048</v>
      </c>
      <c r="N169" s="828">
        <f t="shared" si="110"/>
        <v>98.377862595419856</v>
      </c>
      <c r="O169" s="205">
        <f t="shared" si="127"/>
        <v>2.5701736383837566</v>
      </c>
      <c r="P169" s="173">
        <v>2359</v>
      </c>
      <c r="Q169" s="173">
        <v>1298</v>
      </c>
      <c r="R169" s="173">
        <v>1061</v>
      </c>
      <c r="S169" s="174">
        <v>2077</v>
      </c>
      <c r="T169" s="173">
        <v>1029</v>
      </c>
      <c r="U169" s="772">
        <v>1048</v>
      </c>
      <c r="V169" s="173">
        <v>282</v>
      </c>
      <c r="W169" s="173">
        <v>269</v>
      </c>
      <c r="X169" s="772">
        <v>13</v>
      </c>
      <c r="Y169" s="173"/>
      <c r="Z169" s="777">
        <v>166.46</v>
      </c>
      <c r="AA169" s="777">
        <f t="shared" si="133"/>
        <v>1.6646000000000001</v>
      </c>
      <c r="AB169" s="789">
        <f t="shared" si="134"/>
        <v>1248.9486963835154</v>
      </c>
      <c r="AC169" s="789">
        <f t="shared" si="135"/>
        <v>1417.157275021026</v>
      </c>
      <c r="AD169" s="173">
        <v>378</v>
      </c>
      <c r="AE169" s="773">
        <f t="shared" si="131"/>
        <v>6.2407407407407405</v>
      </c>
      <c r="AF169" s="174">
        <f t="shared" si="132"/>
        <v>3172</v>
      </c>
      <c r="AG169" s="1200">
        <v>1640</v>
      </c>
      <c r="AH169" s="1200">
        <v>1532</v>
      </c>
      <c r="AI169" s="802" t="s">
        <v>440</v>
      </c>
      <c r="AJ169" s="198"/>
      <c r="AK169" s="185"/>
    </row>
    <row r="170" spans="1:37" s="150" customFormat="1" ht="15">
      <c r="A170" s="188"/>
      <c r="B170" s="173"/>
      <c r="C170" s="173"/>
      <c r="D170" s="173"/>
      <c r="E170" s="173"/>
      <c r="F170" s="182"/>
      <c r="G170" s="173"/>
      <c r="H170" s="173"/>
      <c r="I170" s="173"/>
      <c r="J170" s="192"/>
      <c r="K170" s="174"/>
      <c r="L170" s="173"/>
      <c r="M170" s="173"/>
      <c r="N170" s="828"/>
      <c r="O170" s="205"/>
      <c r="P170" s="173"/>
      <c r="Q170" s="173"/>
      <c r="R170" s="173"/>
      <c r="S170" s="174"/>
      <c r="T170" s="173"/>
      <c r="U170" s="772"/>
      <c r="V170" s="173"/>
      <c r="W170" s="173"/>
      <c r="X170" s="772"/>
      <c r="Y170" s="173"/>
      <c r="Z170" s="777"/>
      <c r="AA170" s="777"/>
      <c r="AB170" s="789"/>
      <c r="AC170" s="789"/>
      <c r="AD170" s="173"/>
      <c r="AE170" s="773"/>
      <c r="AF170" s="174"/>
      <c r="AG170" s="202"/>
      <c r="AH170" s="202"/>
      <c r="AI170" s="803"/>
      <c r="AJ170" s="198"/>
      <c r="AK170" s="185"/>
    </row>
    <row r="171" spans="1:37" s="167" customFormat="1" ht="15">
      <c r="A171" s="190" t="s">
        <v>441</v>
      </c>
      <c r="B171" s="163">
        <f t="shared" ref="B171:B176" si="137">SUM(C171:D171)</f>
        <v>1649</v>
      </c>
      <c r="C171" s="163">
        <f>SUM(C172:C176)</f>
        <v>879</v>
      </c>
      <c r="D171" s="163">
        <f>SUM(D172:D176)</f>
        <v>770</v>
      </c>
      <c r="E171" s="163">
        <f>SUM(E172:E176)</f>
        <v>278</v>
      </c>
      <c r="F171" s="164">
        <v>6.2607142857142861</v>
      </c>
      <c r="G171" s="163">
        <f t="shared" ref="G171:G176" si="138">SUM(H171:I171)</f>
        <v>1502</v>
      </c>
      <c r="H171" s="163">
        <f>SUM(H172:H176)</f>
        <v>778</v>
      </c>
      <c r="I171" s="163">
        <f>SUM(I172:I176)</f>
        <v>724</v>
      </c>
      <c r="J171" s="168">
        <f t="shared" ref="J171:J176" si="139">LN(G171/B171)/6.02*100</f>
        <v>-1.5510214324837024</v>
      </c>
      <c r="K171" s="166">
        <f t="shared" ref="K171:K176" si="140">SUM(L171:M171)</f>
        <v>1622</v>
      </c>
      <c r="L171" s="163">
        <f>SUM(L172:L176)</f>
        <v>884</v>
      </c>
      <c r="M171" s="163">
        <f>SUM(M172:M176)</f>
        <v>738</v>
      </c>
      <c r="N171" s="827">
        <f t="shared" si="110"/>
        <v>119.78319783197833</v>
      </c>
      <c r="O171" s="814">
        <f t="shared" ref="O171:O176" si="141">LN(K171/G171)/8.5*100</f>
        <v>0.90426355707386064</v>
      </c>
      <c r="P171" s="163">
        <f t="shared" ref="P171" si="142">SUM(Q171:R171)</f>
        <v>1811</v>
      </c>
      <c r="Q171" s="163">
        <f>SUM(Q172:Q176)</f>
        <v>1052</v>
      </c>
      <c r="R171" s="163">
        <f>SUM(R172:R176)</f>
        <v>759</v>
      </c>
      <c r="S171" s="166">
        <f t="shared" ref="S171" si="143">SUM(T171:U171)</f>
        <v>1601</v>
      </c>
      <c r="T171" s="163">
        <f>SUM(T172:T176)</f>
        <v>878</v>
      </c>
      <c r="U171" s="769">
        <f>SUM(U172:U176)</f>
        <v>723</v>
      </c>
      <c r="V171" s="163">
        <f t="shared" ref="V171" si="144">SUM(W171:X171)</f>
        <v>210</v>
      </c>
      <c r="W171" s="163">
        <f>SUM(W172:W176)</f>
        <v>174</v>
      </c>
      <c r="X171" s="769">
        <f>SUM(X172:X176)</f>
        <v>36</v>
      </c>
      <c r="Y171" s="163"/>
      <c r="Z171" s="770" t="s">
        <v>187</v>
      </c>
      <c r="AA171" s="770" t="s">
        <v>187</v>
      </c>
      <c r="AB171" s="788" t="s">
        <v>187</v>
      </c>
      <c r="AC171" s="788" t="s">
        <v>187</v>
      </c>
      <c r="AD171" s="163">
        <f>SUM(AD172:AD176)</f>
        <v>369</v>
      </c>
      <c r="AE171" s="771">
        <f t="shared" ref="AE171:AE176" si="145">P171/AD171</f>
        <v>4.9078590785907856</v>
      </c>
      <c r="AF171" s="166">
        <f t="shared" ref="AF171:AF176" si="146">SUM(AG171:AH171)</f>
        <v>2669</v>
      </c>
      <c r="AG171" s="170">
        <f>SUM(AG172:AG176)</f>
        <v>1394</v>
      </c>
      <c r="AH171" s="170">
        <f>SUM(AH172:AH176)</f>
        <v>1275</v>
      </c>
      <c r="AI171" s="762" t="s">
        <v>442</v>
      </c>
      <c r="AJ171" s="196"/>
      <c r="AK171" s="152"/>
    </row>
    <row r="172" spans="1:37" s="150" customFormat="1" ht="15">
      <c r="A172" s="188" t="s">
        <v>443</v>
      </c>
      <c r="B172" s="173">
        <f t="shared" si="137"/>
        <v>323</v>
      </c>
      <c r="C172" s="173">
        <v>189</v>
      </c>
      <c r="D172" s="173">
        <v>134</v>
      </c>
      <c r="E172" s="173">
        <v>50</v>
      </c>
      <c r="F172" s="182">
        <v>6.46</v>
      </c>
      <c r="G172" s="173">
        <f t="shared" si="138"/>
        <v>331</v>
      </c>
      <c r="H172" s="173">
        <v>174</v>
      </c>
      <c r="I172" s="173">
        <v>157</v>
      </c>
      <c r="J172" s="192">
        <f t="shared" si="139"/>
        <v>0.40641282648515653</v>
      </c>
      <c r="K172" s="174">
        <f t="shared" si="140"/>
        <v>324</v>
      </c>
      <c r="L172" s="173">
        <v>183</v>
      </c>
      <c r="M172" s="173">
        <v>141</v>
      </c>
      <c r="N172" s="828">
        <f t="shared" si="110"/>
        <v>129.78723404255319</v>
      </c>
      <c r="O172" s="205">
        <f t="shared" si="141"/>
        <v>-0.2514689362909831</v>
      </c>
      <c r="P172" s="173">
        <v>372</v>
      </c>
      <c r="Q172" s="173">
        <v>219</v>
      </c>
      <c r="R172" s="173">
        <v>153</v>
      </c>
      <c r="S172" s="174">
        <v>323</v>
      </c>
      <c r="T172" s="173">
        <v>182</v>
      </c>
      <c r="U172" s="772">
        <v>141</v>
      </c>
      <c r="V172" s="173">
        <v>49</v>
      </c>
      <c r="W172" s="173">
        <v>37</v>
      </c>
      <c r="X172" s="772">
        <v>12</v>
      </c>
      <c r="Y172" s="173"/>
      <c r="Z172" s="777">
        <v>11.29</v>
      </c>
      <c r="AA172" s="777">
        <f t="shared" ref="AA172:AA176" si="147">Z172/100</f>
        <v>0.11289999999999999</v>
      </c>
      <c r="AB172" s="789">
        <f>K172/AA172</f>
        <v>2869.7962798937115</v>
      </c>
      <c r="AC172" s="789">
        <f>P172/AA172</f>
        <v>3294.9512843224097</v>
      </c>
      <c r="AD172" s="173">
        <v>78</v>
      </c>
      <c r="AE172" s="773">
        <f t="shared" si="145"/>
        <v>4.7692307692307692</v>
      </c>
      <c r="AF172" s="174">
        <f t="shared" si="146"/>
        <v>512</v>
      </c>
      <c r="AG172" s="1200">
        <v>278</v>
      </c>
      <c r="AH172" s="1200">
        <v>234</v>
      </c>
      <c r="AI172" s="802" t="s">
        <v>444</v>
      </c>
      <c r="AJ172" s="198"/>
      <c r="AK172" s="185"/>
    </row>
    <row r="173" spans="1:37" s="150" customFormat="1" ht="15">
      <c r="A173" s="188" t="s">
        <v>445</v>
      </c>
      <c r="B173" s="173">
        <f t="shared" si="137"/>
        <v>114</v>
      </c>
      <c r="C173" s="173">
        <v>48</v>
      </c>
      <c r="D173" s="173">
        <v>66</v>
      </c>
      <c r="E173" s="173">
        <v>32</v>
      </c>
      <c r="F173" s="182">
        <v>3.5625</v>
      </c>
      <c r="G173" s="173">
        <f t="shared" si="138"/>
        <v>55</v>
      </c>
      <c r="H173" s="173">
        <v>30</v>
      </c>
      <c r="I173" s="173">
        <v>25</v>
      </c>
      <c r="J173" s="192">
        <f t="shared" si="139"/>
        <v>-12.107396398040276</v>
      </c>
      <c r="K173" s="174">
        <f t="shared" si="140"/>
        <v>73</v>
      </c>
      <c r="L173" s="173">
        <v>47</v>
      </c>
      <c r="M173" s="173">
        <v>26</v>
      </c>
      <c r="N173" s="828">
        <f t="shared" si="110"/>
        <v>180.76923076923077</v>
      </c>
      <c r="O173" s="205">
        <f t="shared" si="141"/>
        <v>3.3308971284225914</v>
      </c>
      <c r="P173" s="173">
        <v>152</v>
      </c>
      <c r="Q173" s="173">
        <v>128</v>
      </c>
      <c r="R173" s="173">
        <v>24</v>
      </c>
      <c r="S173" s="174">
        <v>69</v>
      </c>
      <c r="T173" s="173">
        <v>47</v>
      </c>
      <c r="U173" s="772">
        <v>22</v>
      </c>
      <c r="V173" s="173">
        <v>83</v>
      </c>
      <c r="W173" s="173">
        <v>81</v>
      </c>
      <c r="X173" s="772">
        <v>2</v>
      </c>
      <c r="Y173" s="173"/>
      <c r="Z173" s="777">
        <v>12.69</v>
      </c>
      <c r="AA173" s="777">
        <f t="shared" si="147"/>
        <v>0.12689999999999999</v>
      </c>
      <c r="AB173" s="789">
        <f>K173/AA173</f>
        <v>575.25610717100085</v>
      </c>
      <c r="AC173" s="789">
        <f>P173/AA173</f>
        <v>1197.7935382190703</v>
      </c>
      <c r="AD173" s="173">
        <v>28</v>
      </c>
      <c r="AE173" s="773">
        <f t="shared" si="145"/>
        <v>5.4285714285714288</v>
      </c>
      <c r="AF173" s="174">
        <f t="shared" si="146"/>
        <v>217</v>
      </c>
      <c r="AG173" s="1200">
        <v>105</v>
      </c>
      <c r="AH173" s="1200">
        <v>112</v>
      </c>
      <c r="AI173" s="802" t="s">
        <v>446</v>
      </c>
      <c r="AJ173" s="198"/>
      <c r="AK173" s="185"/>
    </row>
    <row r="174" spans="1:37" s="150" customFormat="1" ht="15">
      <c r="A174" s="188" t="s">
        <v>447</v>
      </c>
      <c r="B174" s="173">
        <f t="shared" si="137"/>
        <v>469</v>
      </c>
      <c r="C174" s="173">
        <v>264</v>
      </c>
      <c r="D174" s="173">
        <v>205</v>
      </c>
      <c r="E174" s="173">
        <v>75</v>
      </c>
      <c r="F174" s="182">
        <v>6.253333333333333</v>
      </c>
      <c r="G174" s="173">
        <f t="shared" si="138"/>
        <v>448</v>
      </c>
      <c r="H174" s="173">
        <v>243</v>
      </c>
      <c r="I174" s="173">
        <v>205</v>
      </c>
      <c r="J174" s="192">
        <f t="shared" si="139"/>
        <v>-0.76095574802814325</v>
      </c>
      <c r="K174" s="174">
        <f t="shared" si="140"/>
        <v>489</v>
      </c>
      <c r="L174" s="173">
        <v>254</v>
      </c>
      <c r="M174" s="173">
        <v>235</v>
      </c>
      <c r="N174" s="828">
        <f t="shared" si="110"/>
        <v>108.08510638297872</v>
      </c>
      <c r="O174" s="205">
        <f t="shared" si="141"/>
        <v>1.0302265536457287</v>
      </c>
      <c r="P174" s="173">
        <v>506</v>
      </c>
      <c r="Q174" s="173">
        <v>269</v>
      </c>
      <c r="R174" s="173">
        <v>237</v>
      </c>
      <c r="S174" s="174">
        <v>473</v>
      </c>
      <c r="T174" s="173">
        <v>249</v>
      </c>
      <c r="U174" s="772">
        <v>224</v>
      </c>
      <c r="V174" s="173">
        <v>33</v>
      </c>
      <c r="W174" s="173">
        <v>20</v>
      </c>
      <c r="X174" s="772">
        <v>13</v>
      </c>
      <c r="Y174" s="173"/>
      <c r="Z174" s="777">
        <v>14.2</v>
      </c>
      <c r="AA174" s="777">
        <f t="shared" si="147"/>
        <v>0.14199999999999999</v>
      </c>
      <c r="AB174" s="789">
        <f>K174/AA174</f>
        <v>3443.6619718309862</v>
      </c>
      <c r="AC174" s="789">
        <f>P174/AA174</f>
        <v>3563.3802816901411</v>
      </c>
      <c r="AD174" s="173">
        <v>105</v>
      </c>
      <c r="AE174" s="773">
        <f t="shared" si="145"/>
        <v>4.8190476190476188</v>
      </c>
      <c r="AF174" s="174">
        <f t="shared" si="146"/>
        <v>683</v>
      </c>
      <c r="AG174" s="1200">
        <v>378</v>
      </c>
      <c r="AH174" s="1200">
        <v>305</v>
      </c>
      <c r="AI174" s="802" t="s">
        <v>448</v>
      </c>
      <c r="AJ174" s="198"/>
      <c r="AK174" s="185"/>
    </row>
    <row r="175" spans="1:37" s="150" customFormat="1" ht="15">
      <c r="A175" s="188" t="s">
        <v>449</v>
      </c>
      <c r="B175" s="173">
        <f t="shared" si="137"/>
        <v>506</v>
      </c>
      <c r="C175" s="173">
        <v>253</v>
      </c>
      <c r="D175" s="173">
        <v>253</v>
      </c>
      <c r="E175" s="173">
        <v>83</v>
      </c>
      <c r="F175" s="182">
        <v>6.096385542168675</v>
      </c>
      <c r="G175" s="173">
        <f t="shared" si="138"/>
        <v>510</v>
      </c>
      <c r="H175" s="173">
        <v>262</v>
      </c>
      <c r="I175" s="173">
        <v>248</v>
      </c>
      <c r="J175" s="192">
        <f t="shared" si="139"/>
        <v>0.13079827958315393</v>
      </c>
      <c r="K175" s="174">
        <f t="shared" si="140"/>
        <v>635</v>
      </c>
      <c r="L175" s="173">
        <v>334</v>
      </c>
      <c r="M175" s="173">
        <v>301</v>
      </c>
      <c r="N175" s="828">
        <f t="shared" si="110"/>
        <v>110.96345514950166</v>
      </c>
      <c r="O175" s="205">
        <f t="shared" si="141"/>
        <v>2.5789914491096493</v>
      </c>
      <c r="P175" s="173">
        <v>675</v>
      </c>
      <c r="Q175" s="173">
        <v>366</v>
      </c>
      <c r="R175" s="173">
        <v>309</v>
      </c>
      <c r="S175" s="174">
        <v>635</v>
      </c>
      <c r="T175" s="173">
        <v>334</v>
      </c>
      <c r="U175" s="772">
        <v>301</v>
      </c>
      <c r="V175" s="173">
        <v>40</v>
      </c>
      <c r="W175" s="173">
        <v>32</v>
      </c>
      <c r="X175" s="772">
        <v>8</v>
      </c>
      <c r="Y175" s="173"/>
      <c r="Z175" s="777">
        <v>11.85</v>
      </c>
      <c r="AA175" s="777">
        <f t="shared" si="147"/>
        <v>0.11849999999999999</v>
      </c>
      <c r="AB175" s="789">
        <f>K175/AA175</f>
        <v>5358.6497890295359</v>
      </c>
      <c r="AC175" s="789">
        <f>P175/AA175</f>
        <v>5696.2025316455702</v>
      </c>
      <c r="AD175" s="173">
        <v>130</v>
      </c>
      <c r="AE175" s="773">
        <f t="shared" si="145"/>
        <v>5.1923076923076925</v>
      </c>
      <c r="AF175" s="174">
        <f t="shared" si="146"/>
        <v>889</v>
      </c>
      <c r="AG175" s="1200">
        <v>453</v>
      </c>
      <c r="AH175" s="1200">
        <v>436</v>
      </c>
      <c r="AI175" s="802" t="s">
        <v>450</v>
      </c>
      <c r="AJ175" s="198"/>
      <c r="AK175" s="185"/>
    </row>
    <row r="176" spans="1:37" s="150" customFormat="1" ht="15">
      <c r="A176" s="188" t="s">
        <v>451</v>
      </c>
      <c r="B176" s="173">
        <f t="shared" si="137"/>
        <v>237</v>
      </c>
      <c r="C176" s="173">
        <v>125</v>
      </c>
      <c r="D176" s="173">
        <v>112</v>
      </c>
      <c r="E176" s="173">
        <v>38</v>
      </c>
      <c r="F176" s="182">
        <v>6.2368421052631575</v>
      </c>
      <c r="G176" s="173">
        <f t="shared" si="138"/>
        <v>158</v>
      </c>
      <c r="H176" s="173">
        <v>69</v>
      </c>
      <c r="I176" s="173">
        <v>89</v>
      </c>
      <c r="J176" s="192">
        <f t="shared" si="139"/>
        <v>-6.7353007991389449</v>
      </c>
      <c r="K176" s="174">
        <f t="shared" si="140"/>
        <v>101</v>
      </c>
      <c r="L176" s="173">
        <v>66</v>
      </c>
      <c r="M176" s="173">
        <v>35</v>
      </c>
      <c r="N176" s="828">
        <f t="shared" si="110"/>
        <v>188.57142857142856</v>
      </c>
      <c r="O176" s="205">
        <f t="shared" si="141"/>
        <v>-5.2644060727730277</v>
      </c>
      <c r="P176" s="173">
        <v>106</v>
      </c>
      <c r="Q176" s="173">
        <v>70</v>
      </c>
      <c r="R176" s="173">
        <v>36</v>
      </c>
      <c r="S176" s="174">
        <v>101</v>
      </c>
      <c r="T176" s="173">
        <v>66</v>
      </c>
      <c r="U176" s="772">
        <v>35</v>
      </c>
      <c r="V176" s="173">
        <v>5</v>
      </c>
      <c r="W176" s="173">
        <v>4</v>
      </c>
      <c r="X176" s="772">
        <v>1</v>
      </c>
      <c r="Y176" s="173"/>
      <c r="Z176" s="777">
        <v>6.16</v>
      </c>
      <c r="AA176" s="777">
        <f t="shared" si="147"/>
        <v>6.1600000000000002E-2</v>
      </c>
      <c r="AB176" s="789">
        <f>K176/AA176</f>
        <v>1639.6103896103896</v>
      </c>
      <c r="AC176" s="789">
        <f>P176/AA176</f>
        <v>1720.7792207792206</v>
      </c>
      <c r="AD176" s="173">
        <v>28</v>
      </c>
      <c r="AE176" s="773">
        <f t="shared" si="145"/>
        <v>3.7857142857142856</v>
      </c>
      <c r="AF176" s="174">
        <f t="shared" si="146"/>
        <v>368</v>
      </c>
      <c r="AG176" s="1200">
        <v>180</v>
      </c>
      <c r="AH176" s="1200">
        <v>188</v>
      </c>
      <c r="AI176" s="802" t="s">
        <v>452</v>
      </c>
      <c r="AJ176" s="198"/>
      <c r="AK176" s="185"/>
    </row>
    <row r="177" spans="1:37" s="150" customFormat="1" ht="15">
      <c r="A177" s="188"/>
      <c r="B177" s="173"/>
      <c r="C177" s="173"/>
      <c r="D177" s="173"/>
      <c r="E177" s="173"/>
      <c r="F177" s="182"/>
      <c r="G177" s="173"/>
      <c r="H177" s="173"/>
      <c r="I177" s="173"/>
      <c r="J177" s="192"/>
      <c r="K177" s="174"/>
      <c r="L177" s="173"/>
      <c r="M177" s="173"/>
      <c r="N177" s="828"/>
      <c r="O177" s="205"/>
      <c r="P177" s="173"/>
      <c r="Q177" s="173"/>
      <c r="R177" s="173"/>
      <c r="S177" s="174"/>
      <c r="T177" s="173"/>
      <c r="U177" s="772"/>
      <c r="V177" s="173"/>
      <c r="W177" s="173"/>
      <c r="X177" s="772"/>
      <c r="Y177" s="173"/>
      <c r="Z177" s="777"/>
      <c r="AA177" s="777"/>
      <c r="AB177" s="789"/>
      <c r="AC177" s="789"/>
      <c r="AD177" s="173"/>
      <c r="AE177" s="773"/>
      <c r="AF177" s="174"/>
      <c r="AG177" s="202"/>
      <c r="AH177" s="202"/>
      <c r="AI177" s="803"/>
      <c r="AJ177" s="198"/>
      <c r="AK177" s="185"/>
    </row>
    <row r="178" spans="1:37" s="167" customFormat="1" ht="15">
      <c r="A178" s="151" t="s">
        <v>453</v>
      </c>
      <c r="B178" s="163">
        <f t="shared" ref="B178:B187" si="148">SUM(C178:D178)</f>
        <v>5020</v>
      </c>
      <c r="C178" s="163">
        <f>SUM(C179:C187)</f>
        <v>2435</v>
      </c>
      <c r="D178" s="163">
        <f>SUM(D179:D187)</f>
        <v>2585</v>
      </c>
      <c r="E178" s="163">
        <f>SUM(E179:E187)</f>
        <v>785</v>
      </c>
      <c r="F178" s="164">
        <v>6.4599745870393903</v>
      </c>
      <c r="G178" s="163">
        <f>SUM(H178:I178)</f>
        <v>4654</v>
      </c>
      <c r="H178" s="163">
        <f>SUM(H179:H187)</f>
        <v>2364</v>
      </c>
      <c r="I178" s="163">
        <f>SUM(I179:I187)</f>
        <v>2290</v>
      </c>
      <c r="J178" s="168">
        <f>LN(G178/B178)/6.02*100</f>
        <v>-1.2575227379325229</v>
      </c>
      <c r="K178" s="166">
        <f>SUM(L178:M178)</f>
        <v>4711</v>
      </c>
      <c r="L178" s="163">
        <f>SUM(L179:L187)</f>
        <v>2296</v>
      </c>
      <c r="M178" s="163">
        <f>SUM(M179:M187)</f>
        <v>2415</v>
      </c>
      <c r="N178" s="827">
        <f t="shared" si="110"/>
        <v>95.072463768115938</v>
      </c>
      <c r="O178" s="814">
        <f>LN(K178/G178)/8.5*100</f>
        <v>0.1432133510329901</v>
      </c>
      <c r="P178" s="163">
        <f>SUM(Q178:R178)</f>
        <v>5022</v>
      </c>
      <c r="Q178" s="163">
        <f>SUM(Q179:Q187)</f>
        <v>2552</v>
      </c>
      <c r="R178" s="163">
        <f>SUM(R179:R187)</f>
        <v>2470</v>
      </c>
      <c r="S178" s="166">
        <f>SUM(T178:U178)</f>
        <v>4705</v>
      </c>
      <c r="T178" s="163">
        <f>SUM(T179:T187)</f>
        <v>2293</v>
      </c>
      <c r="U178" s="769">
        <f>SUM(U179:U187)</f>
        <v>2412</v>
      </c>
      <c r="V178" s="163">
        <f>SUM(W178:X178)</f>
        <v>317</v>
      </c>
      <c r="W178" s="163">
        <f>SUM(W179:W187)</f>
        <v>259</v>
      </c>
      <c r="X178" s="769">
        <f>SUM(X179:X187)</f>
        <v>58</v>
      </c>
      <c r="Y178" s="163"/>
      <c r="Z178" s="770" t="s">
        <v>187</v>
      </c>
      <c r="AA178" s="770" t="s">
        <v>187</v>
      </c>
      <c r="AB178" s="788" t="s">
        <v>187</v>
      </c>
      <c r="AC178" s="788" t="s">
        <v>187</v>
      </c>
      <c r="AD178" s="163">
        <f>SUM(AD179:AD187)</f>
        <v>999</v>
      </c>
      <c r="AE178" s="771">
        <f t="shared" ref="AE178:AE187" si="149">P178/AD178</f>
        <v>5.0270270270270272</v>
      </c>
      <c r="AF178" s="166">
        <f>SUM(AG178:AH178)</f>
        <v>7601</v>
      </c>
      <c r="AG178" s="170">
        <f>SUM(AG179:AG187)</f>
        <v>3900</v>
      </c>
      <c r="AH178" s="170">
        <f>SUM(AH179:AH187)</f>
        <v>3701</v>
      </c>
      <c r="AI178" s="762" t="s">
        <v>454</v>
      </c>
      <c r="AJ178" s="196"/>
      <c r="AK178" s="152"/>
    </row>
    <row r="179" spans="1:37" s="150" customFormat="1" ht="15">
      <c r="A179" s="188" t="s">
        <v>455</v>
      </c>
      <c r="B179" s="173">
        <f t="shared" si="148"/>
        <v>171</v>
      </c>
      <c r="C179" s="173">
        <v>83</v>
      </c>
      <c r="D179" s="173">
        <v>88</v>
      </c>
      <c r="E179" s="173">
        <v>33</v>
      </c>
      <c r="F179" s="182">
        <v>5.1818181818181817</v>
      </c>
      <c r="G179" s="173">
        <f>SUM(H179:I179)</f>
        <v>156</v>
      </c>
      <c r="H179" s="173">
        <v>80</v>
      </c>
      <c r="I179" s="173">
        <v>76</v>
      </c>
      <c r="J179" s="192">
        <f>LN(G179/B179)/6.02*100</f>
        <v>-1.5250423463973899</v>
      </c>
      <c r="K179" s="174">
        <f>SUM(L179:M179)</f>
        <v>112</v>
      </c>
      <c r="L179" s="173">
        <v>55</v>
      </c>
      <c r="M179" s="173">
        <v>57</v>
      </c>
      <c r="N179" s="828">
        <f t="shared" si="110"/>
        <v>96.491228070175438</v>
      </c>
      <c r="O179" s="205">
        <f>LN(K179/G179)/8.5*100</f>
        <v>-3.8983192465228531</v>
      </c>
      <c r="P179" s="173">
        <v>112</v>
      </c>
      <c r="Q179" s="173">
        <v>55</v>
      </c>
      <c r="R179" s="173">
        <v>57</v>
      </c>
      <c r="S179" s="174">
        <v>111</v>
      </c>
      <c r="T179" s="173">
        <v>55</v>
      </c>
      <c r="U179" s="772">
        <v>56</v>
      </c>
      <c r="V179" s="173">
        <v>1</v>
      </c>
      <c r="W179" s="173">
        <v>0</v>
      </c>
      <c r="X179" s="772">
        <v>1</v>
      </c>
      <c r="Y179" s="173"/>
      <c r="Z179" s="777">
        <v>28.05</v>
      </c>
      <c r="AA179" s="777">
        <f t="shared" ref="AA179:AA187" si="150">Z179/100</f>
        <v>0.28050000000000003</v>
      </c>
      <c r="AB179" s="789">
        <f t="shared" ref="AB179:AB187" si="151">K179/AA179</f>
        <v>399.28698752228161</v>
      </c>
      <c r="AC179" s="789">
        <f t="shared" ref="AC179:AC187" si="152">P179/AA179</f>
        <v>399.28698752228161</v>
      </c>
      <c r="AD179" s="173">
        <v>24</v>
      </c>
      <c r="AE179" s="773">
        <f t="shared" si="149"/>
        <v>4.666666666666667</v>
      </c>
      <c r="AF179" s="174">
        <f>SUM(AG179:AH179)</f>
        <v>231</v>
      </c>
      <c r="AG179" s="1200">
        <v>116</v>
      </c>
      <c r="AH179" s="1200">
        <v>115</v>
      </c>
      <c r="AI179" s="802" t="s">
        <v>456</v>
      </c>
      <c r="AJ179" s="198"/>
      <c r="AK179" s="185"/>
    </row>
    <row r="180" spans="1:37" s="150" customFormat="1" ht="14.45" hidden="1" customHeight="1">
      <c r="A180" s="188" t="s">
        <v>975</v>
      </c>
      <c r="B180" s="173">
        <f t="shared" si="148"/>
        <v>122</v>
      </c>
      <c r="C180" s="173">
        <v>56</v>
      </c>
      <c r="D180" s="173">
        <v>66</v>
      </c>
      <c r="E180" s="173">
        <v>24</v>
      </c>
      <c r="F180" s="182">
        <v>5.083333333333333</v>
      </c>
      <c r="G180" s="173">
        <f t="shared" ref="G180:G187" si="153">SUM(H180:I180)</f>
        <v>0</v>
      </c>
      <c r="H180" s="173">
        <v>0</v>
      </c>
      <c r="I180" s="173">
        <v>0</v>
      </c>
      <c r="J180" s="192" t="s">
        <v>184</v>
      </c>
      <c r="K180" s="174" t="s">
        <v>187</v>
      </c>
      <c r="L180" s="173" t="s">
        <v>187</v>
      </c>
      <c r="M180" s="173" t="s">
        <v>187</v>
      </c>
      <c r="N180" s="828" t="e">
        <f t="shared" si="110"/>
        <v>#VALUE!</v>
      </c>
      <c r="O180" s="816" t="s">
        <v>187</v>
      </c>
      <c r="P180" s="173"/>
      <c r="Q180" s="173"/>
      <c r="R180" s="173"/>
      <c r="S180" s="174"/>
      <c r="T180" s="173"/>
      <c r="U180" s="772"/>
      <c r="V180" s="173"/>
      <c r="W180" s="173"/>
      <c r="X180" s="772"/>
      <c r="Y180" s="182"/>
      <c r="Z180" s="774"/>
      <c r="AA180" s="777">
        <f t="shared" si="150"/>
        <v>0</v>
      </c>
      <c r="AB180" s="789" t="e">
        <f t="shared" si="151"/>
        <v>#VALUE!</v>
      </c>
      <c r="AC180" s="789" t="e">
        <f t="shared" si="152"/>
        <v>#DIV/0!</v>
      </c>
      <c r="AD180" s="173"/>
      <c r="AE180" s="773" t="e">
        <f t="shared" si="149"/>
        <v>#DIV/0!</v>
      </c>
      <c r="AF180" s="174" t="s">
        <v>187</v>
      </c>
      <c r="AG180" s="1199"/>
      <c r="AH180" s="1199"/>
      <c r="AI180" s="802" t="s">
        <v>457</v>
      </c>
      <c r="AJ180" s="198"/>
      <c r="AK180" s="185"/>
    </row>
    <row r="181" spans="1:37" s="150" customFormat="1" ht="15">
      <c r="A181" s="188" t="s">
        <v>458</v>
      </c>
      <c r="B181" s="173">
        <f t="shared" si="148"/>
        <v>182</v>
      </c>
      <c r="C181" s="173">
        <v>92</v>
      </c>
      <c r="D181" s="173">
        <v>90</v>
      </c>
      <c r="E181" s="173">
        <v>28</v>
      </c>
      <c r="F181" s="182">
        <v>6.5</v>
      </c>
      <c r="G181" s="173">
        <f t="shared" si="153"/>
        <v>174</v>
      </c>
      <c r="H181" s="173">
        <v>93</v>
      </c>
      <c r="I181" s="173">
        <v>81</v>
      </c>
      <c r="J181" s="192">
        <f t="shared" ref="J181:J187" si="154">LN(G181/B181)/6.02*100</f>
        <v>-0.74670079505425713</v>
      </c>
      <c r="K181" s="174">
        <f t="shared" ref="K181:K187" si="155">SUM(L181:M181)</f>
        <v>223</v>
      </c>
      <c r="L181" s="173">
        <v>122</v>
      </c>
      <c r="M181" s="173">
        <v>101</v>
      </c>
      <c r="N181" s="828">
        <f t="shared" si="110"/>
        <v>120.79207920792079</v>
      </c>
      <c r="O181" s="205">
        <f t="shared" ref="O181:O187" si="156">LN(K181/G181)/8.5*100</f>
        <v>2.9190173205363492</v>
      </c>
      <c r="P181" s="173">
        <v>263</v>
      </c>
      <c r="Q181" s="173">
        <v>160</v>
      </c>
      <c r="R181" s="173">
        <v>103</v>
      </c>
      <c r="S181" s="174">
        <v>223</v>
      </c>
      <c r="T181" s="173">
        <v>122</v>
      </c>
      <c r="U181" s="772">
        <v>101</v>
      </c>
      <c r="V181" s="173">
        <v>40</v>
      </c>
      <c r="W181" s="173">
        <v>38</v>
      </c>
      <c r="X181" s="772">
        <v>2</v>
      </c>
      <c r="Y181" s="173"/>
      <c r="Z181" s="777">
        <v>41.64</v>
      </c>
      <c r="AA181" s="777">
        <f t="shared" si="150"/>
        <v>0.41639999999999999</v>
      </c>
      <c r="AB181" s="789">
        <f t="shared" si="151"/>
        <v>535.54274735830938</v>
      </c>
      <c r="AC181" s="789">
        <f t="shared" si="152"/>
        <v>631.60422670509126</v>
      </c>
      <c r="AD181" s="173">
        <v>52</v>
      </c>
      <c r="AE181" s="773">
        <f t="shared" si="149"/>
        <v>5.0576923076923075</v>
      </c>
      <c r="AF181" s="174">
        <f t="shared" ref="AF181:AF187" si="157">SUM(AG181:AH181)</f>
        <v>347</v>
      </c>
      <c r="AG181" s="1200">
        <v>202</v>
      </c>
      <c r="AH181" s="1200">
        <v>145</v>
      </c>
      <c r="AI181" s="802" t="s">
        <v>459</v>
      </c>
      <c r="AJ181" s="198"/>
      <c r="AK181" s="185"/>
    </row>
    <row r="182" spans="1:37" s="150" customFormat="1" ht="15">
      <c r="A182" s="188" t="s">
        <v>460</v>
      </c>
      <c r="B182" s="173">
        <f t="shared" si="148"/>
        <v>1200</v>
      </c>
      <c r="C182" s="173">
        <v>575</v>
      </c>
      <c r="D182" s="173">
        <v>625</v>
      </c>
      <c r="E182" s="173">
        <v>165</v>
      </c>
      <c r="F182" s="182">
        <v>7.2727272727272725</v>
      </c>
      <c r="G182" s="173">
        <f t="shared" si="153"/>
        <v>1129</v>
      </c>
      <c r="H182" s="173">
        <v>553</v>
      </c>
      <c r="I182" s="173">
        <v>576</v>
      </c>
      <c r="J182" s="192">
        <f t="shared" si="154"/>
        <v>-1.0131108243592974</v>
      </c>
      <c r="K182" s="174">
        <f t="shared" si="155"/>
        <v>1195</v>
      </c>
      <c r="L182" s="173">
        <v>589</v>
      </c>
      <c r="M182" s="173">
        <v>606</v>
      </c>
      <c r="N182" s="828">
        <f t="shared" si="110"/>
        <v>97.194719471947195</v>
      </c>
      <c r="O182" s="205">
        <f t="shared" si="156"/>
        <v>0.66839882606998968</v>
      </c>
      <c r="P182" s="173">
        <v>1275</v>
      </c>
      <c r="Q182" s="173">
        <v>661</v>
      </c>
      <c r="R182" s="173">
        <v>614</v>
      </c>
      <c r="S182" s="174">
        <v>1194</v>
      </c>
      <c r="T182" s="173">
        <v>589</v>
      </c>
      <c r="U182" s="772">
        <v>605</v>
      </c>
      <c r="V182" s="173">
        <v>81</v>
      </c>
      <c r="W182" s="173">
        <v>72</v>
      </c>
      <c r="X182" s="772">
        <v>9</v>
      </c>
      <c r="Y182" s="173"/>
      <c r="Z182" s="777">
        <v>68.37</v>
      </c>
      <c r="AA182" s="777">
        <f t="shared" si="150"/>
        <v>0.68370000000000009</v>
      </c>
      <c r="AB182" s="789">
        <f t="shared" si="151"/>
        <v>1747.8426210326165</v>
      </c>
      <c r="AC182" s="789">
        <f t="shared" si="152"/>
        <v>1864.853005704256</v>
      </c>
      <c r="AD182" s="173">
        <v>231</v>
      </c>
      <c r="AE182" s="773">
        <f t="shared" si="149"/>
        <v>5.5194805194805197</v>
      </c>
      <c r="AF182" s="174">
        <f t="shared" si="157"/>
        <v>1852</v>
      </c>
      <c r="AG182" s="1200">
        <v>939</v>
      </c>
      <c r="AH182" s="1200">
        <v>913</v>
      </c>
      <c r="AI182" s="802" t="s">
        <v>461</v>
      </c>
      <c r="AJ182" s="198"/>
      <c r="AK182" s="185"/>
    </row>
    <row r="183" spans="1:37" s="150" customFormat="1" ht="15">
      <c r="A183" s="188" t="s">
        <v>462</v>
      </c>
      <c r="B183" s="173">
        <f t="shared" si="148"/>
        <v>787</v>
      </c>
      <c r="C183" s="173">
        <v>374</v>
      </c>
      <c r="D183" s="173">
        <v>413</v>
      </c>
      <c r="E183" s="173">
        <v>119</v>
      </c>
      <c r="F183" s="182">
        <v>6.6134453781512601</v>
      </c>
      <c r="G183" s="173">
        <f t="shared" si="153"/>
        <v>746</v>
      </c>
      <c r="H183" s="173">
        <v>389</v>
      </c>
      <c r="I183" s="173">
        <v>357</v>
      </c>
      <c r="J183" s="192">
        <f t="shared" si="154"/>
        <v>-0.88874830919671788</v>
      </c>
      <c r="K183" s="174">
        <f t="shared" si="155"/>
        <v>776</v>
      </c>
      <c r="L183" s="173">
        <v>383</v>
      </c>
      <c r="M183" s="173">
        <v>393</v>
      </c>
      <c r="N183" s="828">
        <f t="shared" si="110"/>
        <v>97.455470737913487</v>
      </c>
      <c r="O183" s="205">
        <f t="shared" si="156"/>
        <v>0.46384611740538728</v>
      </c>
      <c r="P183" s="173">
        <v>860</v>
      </c>
      <c r="Q183" s="173">
        <v>441</v>
      </c>
      <c r="R183" s="173">
        <v>419</v>
      </c>
      <c r="S183" s="174">
        <v>775</v>
      </c>
      <c r="T183" s="173">
        <v>382</v>
      </c>
      <c r="U183" s="772">
        <v>393</v>
      </c>
      <c r="V183" s="173">
        <v>85</v>
      </c>
      <c r="W183" s="173">
        <v>59</v>
      </c>
      <c r="X183" s="772">
        <v>26</v>
      </c>
      <c r="Y183" s="173"/>
      <c r="Z183" s="777">
        <v>37.35</v>
      </c>
      <c r="AA183" s="777">
        <f t="shared" si="150"/>
        <v>0.3735</v>
      </c>
      <c r="AB183" s="789">
        <f t="shared" si="151"/>
        <v>2077.6439089692103</v>
      </c>
      <c r="AC183" s="789">
        <f t="shared" si="152"/>
        <v>2302.5435073627846</v>
      </c>
      <c r="AD183" s="173">
        <v>170</v>
      </c>
      <c r="AE183" s="773">
        <f t="shared" si="149"/>
        <v>5.0588235294117645</v>
      </c>
      <c r="AF183" s="174">
        <f t="shared" si="157"/>
        <v>1011</v>
      </c>
      <c r="AG183" s="1200">
        <v>521</v>
      </c>
      <c r="AH183" s="1200">
        <v>490</v>
      </c>
      <c r="AI183" s="802" t="s">
        <v>463</v>
      </c>
      <c r="AJ183" s="198"/>
      <c r="AK183" s="185"/>
    </row>
    <row r="184" spans="1:37" s="150" customFormat="1" ht="15">
      <c r="A184" s="188" t="s">
        <v>464</v>
      </c>
      <c r="B184" s="173">
        <f t="shared" si="148"/>
        <v>295</v>
      </c>
      <c r="C184" s="173">
        <v>147</v>
      </c>
      <c r="D184" s="173">
        <v>148</v>
      </c>
      <c r="E184" s="173">
        <v>47</v>
      </c>
      <c r="F184" s="182">
        <v>6.2765957446808507</v>
      </c>
      <c r="G184" s="173">
        <f t="shared" si="153"/>
        <v>321</v>
      </c>
      <c r="H184" s="173">
        <v>161</v>
      </c>
      <c r="I184" s="173">
        <v>160</v>
      </c>
      <c r="J184" s="192">
        <f t="shared" si="154"/>
        <v>1.4030858270796678</v>
      </c>
      <c r="K184" s="174">
        <f t="shared" si="155"/>
        <v>406</v>
      </c>
      <c r="L184" s="173">
        <v>198</v>
      </c>
      <c r="M184" s="173">
        <v>208</v>
      </c>
      <c r="N184" s="828">
        <f t="shared" si="110"/>
        <v>95.192307692307693</v>
      </c>
      <c r="O184" s="205">
        <f t="shared" si="156"/>
        <v>2.7636710173143144</v>
      </c>
      <c r="P184" s="173">
        <v>424</v>
      </c>
      <c r="Q184" s="173">
        <v>216</v>
      </c>
      <c r="R184" s="173">
        <v>208</v>
      </c>
      <c r="S184" s="174">
        <v>406</v>
      </c>
      <c r="T184" s="173">
        <v>198</v>
      </c>
      <c r="U184" s="772">
        <v>208</v>
      </c>
      <c r="V184" s="173">
        <v>18</v>
      </c>
      <c r="W184" s="173">
        <v>18</v>
      </c>
      <c r="X184" s="772">
        <v>0</v>
      </c>
      <c r="Y184" s="173"/>
      <c r="Z184" s="777">
        <v>9.82</v>
      </c>
      <c r="AA184" s="777">
        <f t="shared" si="150"/>
        <v>9.820000000000001E-2</v>
      </c>
      <c r="AB184" s="789">
        <f t="shared" si="151"/>
        <v>4134.4195519348268</v>
      </c>
      <c r="AC184" s="789">
        <f t="shared" si="152"/>
        <v>4317.718940936863</v>
      </c>
      <c r="AD184" s="173">
        <v>76</v>
      </c>
      <c r="AE184" s="773">
        <f t="shared" si="149"/>
        <v>5.5789473684210522</v>
      </c>
      <c r="AF184" s="174">
        <f t="shared" si="157"/>
        <v>539</v>
      </c>
      <c r="AG184" s="1200">
        <v>285</v>
      </c>
      <c r="AH184" s="1200">
        <v>254</v>
      </c>
      <c r="AI184" s="802" t="s">
        <v>465</v>
      </c>
      <c r="AJ184" s="198"/>
      <c r="AK184" s="185"/>
    </row>
    <row r="185" spans="1:37" s="150" customFormat="1" ht="15">
      <c r="A185" s="188" t="s">
        <v>466</v>
      </c>
      <c r="B185" s="173">
        <f t="shared" si="148"/>
        <v>936</v>
      </c>
      <c r="C185" s="173">
        <v>439</v>
      </c>
      <c r="D185" s="173">
        <v>497</v>
      </c>
      <c r="E185" s="173">
        <v>150</v>
      </c>
      <c r="F185" s="182">
        <v>6.24</v>
      </c>
      <c r="G185" s="173">
        <f t="shared" si="153"/>
        <v>811</v>
      </c>
      <c r="H185" s="173">
        <v>405</v>
      </c>
      <c r="I185" s="173">
        <v>406</v>
      </c>
      <c r="J185" s="192">
        <f t="shared" si="154"/>
        <v>-2.3811864179763971</v>
      </c>
      <c r="K185" s="174">
        <f t="shared" si="155"/>
        <v>702</v>
      </c>
      <c r="L185" s="173">
        <v>331</v>
      </c>
      <c r="M185" s="173">
        <v>371</v>
      </c>
      <c r="N185" s="828">
        <f t="shared" si="110"/>
        <v>89.218328840970358</v>
      </c>
      <c r="O185" s="205">
        <f t="shared" si="156"/>
        <v>-1.6980547069364911</v>
      </c>
      <c r="P185" s="173">
        <v>735</v>
      </c>
      <c r="Q185" s="173">
        <v>358</v>
      </c>
      <c r="R185" s="173">
        <v>377</v>
      </c>
      <c r="S185" s="174">
        <v>702</v>
      </c>
      <c r="T185" s="173">
        <v>331</v>
      </c>
      <c r="U185" s="772">
        <v>371</v>
      </c>
      <c r="V185" s="173">
        <v>33</v>
      </c>
      <c r="W185" s="173">
        <v>27</v>
      </c>
      <c r="X185" s="772">
        <v>6</v>
      </c>
      <c r="Y185" s="173"/>
      <c r="Z185" s="777">
        <v>61.1</v>
      </c>
      <c r="AA185" s="777">
        <f t="shared" si="150"/>
        <v>0.61099999999999999</v>
      </c>
      <c r="AB185" s="789">
        <f t="shared" si="151"/>
        <v>1148.936170212766</v>
      </c>
      <c r="AC185" s="789">
        <f t="shared" si="152"/>
        <v>1202.9459901800328</v>
      </c>
      <c r="AD185" s="173">
        <v>167</v>
      </c>
      <c r="AE185" s="773">
        <f t="shared" si="149"/>
        <v>4.4011976047904193</v>
      </c>
      <c r="AF185" s="174">
        <f t="shared" si="157"/>
        <v>1469</v>
      </c>
      <c r="AG185" s="1200">
        <v>756</v>
      </c>
      <c r="AH185" s="1200">
        <v>713</v>
      </c>
      <c r="AI185" s="802" t="s">
        <v>467</v>
      </c>
      <c r="AJ185" s="198"/>
      <c r="AK185" s="185"/>
    </row>
    <row r="186" spans="1:37" s="150" customFormat="1" ht="15">
      <c r="A186" s="188" t="s">
        <v>468</v>
      </c>
      <c r="B186" s="173">
        <f t="shared" si="148"/>
        <v>876</v>
      </c>
      <c r="C186" s="173">
        <v>435</v>
      </c>
      <c r="D186" s="173">
        <v>441</v>
      </c>
      <c r="E186" s="173">
        <v>140</v>
      </c>
      <c r="F186" s="182">
        <v>6.2571428571428571</v>
      </c>
      <c r="G186" s="173">
        <f t="shared" si="153"/>
        <v>909</v>
      </c>
      <c r="H186" s="173">
        <v>456</v>
      </c>
      <c r="I186" s="173">
        <v>453</v>
      </c>
      <c r="J186" s="192">
        <f t="shared" si="154"/>
        <v>0.61426915682869487</v>
      </c>
      <c r="K186" s="174">
        <f t="shared" si="155"/>
        <v>947</v>
      </c>
      <c r="L186" s="173">
        <v>429</v>
      </c>
      <c r="M186" s="173">
        <v>518</v>
      </c>
      <c r="N186" s="828">
        <f t="shared" si="110"/>
        <v>82.818532818532816</v>
      </c>
      <c r="O186" s="205">
        <f t="shared" si="156"/>
        <v>0.48181175304234591</v>
      </c>
      <c r="P186" s="173">
        <v>984</v>
      </c>
      <c r="Q186" s="173">
        <v>459</v>
      </c>
      <c r="R186" s="173">
        <v>525</v>
      </c>
      <c r="S186" s="174">
        <v>944</v>
      </c>
      <c r="T186" s="173">
        <v>427</v>
      </c>
      <c r="U186" s="772">
        <v>517</v>
      </c>
      <c r="V186" s="173">
        <v>40</v>
      </c>
      <c r="W186" s="173">
        <v>32</v>
      </c>
      <c r="X186" s="772">
        <v>8</v>
      </c>
      <c r="Y186" s="173"/>
      <c r="Z186" s="777">
        <v>9.93</v>
      </c>
      <c r="AA186" s="777">
        <f t="shared" si="150"/>
        <v>9.9299999999999999E-2</v>
      </c>
      <c r="AB186" s="789">
        <f t="shared" si="151"/>
        <v>9536.7573011077548</v>
      </c>
      <c r="AC186" s="789">
        <f t="shared" si="152"/>
        <v>9909.3655589123864</v>
      </c>
      <c r="AD186" s="173">
        <v>189</v>
      </c>
      <c r="AE186" s="773">
        <f t="shared" si="149"/>
        <v>5.2063492063492065</v>
      </c>
      <c r="AF186" s="174">
        <f t="shared" si="157"/>
        <v>1440</v>
      </c>
      <c r="AG186" s="1200">
        <v>727</v>
      </c>
      <c r="AH186" s="1200">
        <v>713</v>
      </c>
      <c r="AI186" s="802" t="s">
        <v>469</v>
      </c>
      <c r="AJ186" s="198"/>
      <c r="AK186" s="185"/>
    </row>
    <row r="187" spans="1:37" s="150" customFormat="1" ht="15">
      <c r="A187" s="188" t="s">
        <v>336</v>
      </c>
      <c r="B187" s="173">
        <f t="shared" si="148"/>
        <v>451</v>
      </c>
      <c r="C187" s="173">
        <v>234</v>
      </c>
      <c r="D187" s="173">
        <v>217</v>
      </c>
      <c r="E187" s="173">
        <v>79</v>
      </c>
      <c r="F187" s="182">
        <v>5.7088607594936711</v>
      </c>
      <c r="G187" s="173">
        <f t="shared" si="153"/>
        <v>408</v>
      </c>
      <c r="H187" s="173">
        <v>227</v>
      </c>
      <c r="I187" s="173">
        <v>181</v>
      </c>
      <c r="J187" s="192">
        <f t="shared" si="154"/>
        <v>-1.6644545697428015</v>
      </c>
      <c r="K187" s="174">
        <f t="shared" si="155"/>
        <v>350</v>
      </c>
      <c r="L187" s="173">
        <v>189</v>
      </c>
      <c r="M187" s="173">
        <v>161</v>
      </c>
      <c r="N187" s="828">
        <f t="shared" si="110"/>
        <v>117.39130434782609</v>
      </c>
      <c r="O187" s="205">
        <f t="shared" si="156"/>
        <v>-1.8039296461259104</v>
      </c>
      <c r="P187" s="173">
        <v>369</v>
      </c>
      <c r="Q187" s="173">
        <v>202</v>
      </c>
      <c r="R187" s="173">
        <v>167</v>
      </c>
      <c r="S187" s="174">
        <v>350</v>
      </c>
      <c r="T187" s="173">
        <v>189</v>
      </c>
      <c r="U187" s="772">
        <v>161</v>
      </c>
      <c r="V187" s="173">
        <v>19</v>
      </c>
      <c r="W187" s="173">
        <v>13</v>
      </c>
      <c r="X187" s="772">
        <v>6</v>
      </c>
      <c r="Y187" s="173"/>
      <c r="Z187" s="777">
        <v>8.36</v>
      </c>
      <c r="AA187" s="777">
        <f t="shared" si="150"/>
        <v>8.3599999999999994E-2</v>
      </c>
      <c r="AB187" s="789">
        <f t="shared" si="151"/>
        <v>4186.6028708133972</v>
      </c>
      <c r="AC187" s="789">
        <f t="shared" si="152"/>
        <v>4413.8755980861251</v>
      </c>
      <c r="AD187" s="173">
        <v>90</v>
      </c>
      <c r="AE187" s="773">
        <f t="shared" si="149"/>
        <v>4.0999999999999996</v>
      </c>
      <c r="AF187" s="174">
        <f t="shared" si="157"/>
        <v>712</v>
      </c>
      <c r="AG187" s="1200">
        <v>354</v>
      </c>
      <c r="AH187" s="1200">
        <v>358</v>
      </c>
      <c r="AI187" s="802" t="s">
        <v>337</v>
      </c>
      <c r="AJ187" s="198"/>
      <c r="AK187" s="185"/>
    </row>
    <row r="188" spans="1:37" s="150" customFormat="1" ht="15">
      <c r="A188" s="188"/>
      <c r="B188" s="173"/>
      <c r="C188" s="173"/>
      <c r="D188" s="173"/>
      <c r="E188" s="173"/>
      <c r="F188" s="182"/>
      <c r="G188" s="173"/>
      <c r="H188" s="173"/>
      <c r="I188" s="173"/>
      <c r="J188" s="192"/>
      <c r="K188" s="174"/>
      <c r="L188" s="173"/>
      <c r="M188" s="173"/>
      <c r="N188" s="828"/>
      <c r="O188" s="205"/>
      <c r="P188" s="173"/>
      <c r="Q188" s="173"/>
      <c r="R188" s="173"/>
      <c r="S188" s="174"/>
      <c r="T188" s="173"/>
      <c r="U188" s="772"/>
      <c r="V188" s="173"/>
      <c r="W188" s="173"/>
      <c r="X188" s="772"/>
      <c r="Y188" s="173"/>
      <c r="Z188" s="777"/>
      <c r="AA188" s="777"/>
      <c r="AB188" s="789"/>
      <c r="AC188" s="789"/>
      <c r="AD188" s="173"/>
      <c r="AE188" s="773"/>
      <c r="AF188" s="174"/>
      <c r="AG188" s="202"/>
      <c r="AH188" s="202"/>
      <c r="AI188" s="803"/>
      <c r="AJ188" s="198"/>
      <c r="AK188" s="185"/>
    </row>
    <row r="189" spans="1:37" s="167" customFormat="1" ht="15">
      <c r="A189" s="190" t="s">
        <v>470</v>
      </c>
      <c r="B189" s="163">
        <f t="shared" ref="B189:B194" si="158">SUM(C189:D189)</f>
        <v>3779</v>
      </c>
      <c r="C189" s="163">
        <f>SUM(C190:C194)</f>
        <v>1884</v>
      </c>
      <c r="D189" s="163">
        <f>SUM(D190:D194)</f>
        <v>1895</v>
      </c>
      <c r="E189" s="163">
        <f>SUM(E190:E194)</f>
        <v>552</v>
      </c>
      <c r="F189" s="164">
        <v>6.9204339963833634</v>
      </c>
      <c r="G189" s="163">
        <f t="shared" ref="G189:G194" si="159">SUM(H189:I189)</f>
        <v>3662</v>
      </c>
      <c r="H189" s="163">
        <f>SUM(H190:H194)</f>
        <v>1727</v>
      </c>
      <c r="I189" s="163">
        <f>SUM(I190:I194)</f>
        <v>1935</v>
      </c>
      <c r="J189" s="168">
        <f>LN(G189/B189)/6.02*100</f>
        <v>-0.52242488563177714</v>
      </c>
      <c r="K189" s="166">
        <f t="shared" ref="K189:K194" si="160">SUM(L189:M189)</f>
        <v>4140</v>
      </c>
      <c r="L189" s="163">
        <f>SUM(L190:L194)</f>
        <v>1980</v>
      </c>
      <c r="M189" s="163">
        <f>SUM(M190:M194)</f>
        <v>2160</v>
      </c>
      <c r="N189" s="827">
        <f t="shared" si="110"/>
        <v>91.666666666666657</v>
      </c>
      <c r="O189" s="814">
        <f t="shared" ref="O189:O194" si="161">LN(K189/G189)/8.5*100</f>
        <v>1.4433687245282836</v>
      </c>
      <c r="P189" s="163">
        <f t="shared" ref="P189" si="162">SUM(Q189:R189)</f>
        <v>4365</v>
      </c>
      <c r="Q189" s="163">
        <f>SUM(Q190:Q194)</f>
        <v>2161</v>
      </c>
      <c r="R189" s="163">
        <f>SUM(R190:R194)</f>
        <v>2204</v>
      </c>
      <c r="S189" s="166">
        <f t="shared" ref="S189" si="163">SUM(T189:U189)</f>
        <v>4119</v>
      </c>
      <c r="T189" s="163">
        <f>SUM(T190:T194)</f>
        <v>1969</v>
      </c>
      <c r="U189" s="769">
        <f>SUM(U190:U194)</f>
        <v>2150</v>
      </c>
      <c r="V189" s="163">
        <f t="shared" ref="V189" si="164">SUM(W189:X189)</f>
        <v>246</v>
      </c>
      <c r="W189" s="163">
        <f>SUM(W190:W194)</f>
        <v>192</v>
      </c>
      <c r="X189" s="769">
        <f>SUM(X190:X194)</f>
        <v>54</v>
      </c>
      <c r="Y189" s="163"/>
      <c r="Z189" s="770" t="s">
        <v>187</v>
      </c>
      <c r="AA189" s="770" t="s">
        <v>187</v>
      </c>
      <c r="AB189" s="788" t="s">
        <v>187</v>
      </c>
      <c r="AC189" s="788" t="s">
        <v>187</v>
      </c>
      <c r="AD189" s="163">
        <f>SUM(AD190:AD194)</f>
        <v>775</v>
      </c>
      <c r="AE189" s="771">
        <f t="shared" ref="AE189:AE194" si="165">P189/AD189</f>
        <v>5.6322580645161286</v>
      </c>
      <c r="AF189" s="166">
        <f t="shared" ref="AF189:AF194" si="166">SUM(AG189:AH189)</f>
        <v>6533</v>
      </c>
      <c r="AG189" s="170">
        <f>SUM(AG190:AG194)</f>
        <v>3366</v>
      </c>
      <c r="AH189" s="170">
        <f>SUM(AH190:AH194)</f>
        <v>3167</v>
      </c>
      <c r="AI189" s="762" t="s">
        <v>471</v>
      </c>
      <c r="AJ189" s="196"/>
      <c r="AK189" s="152"/>
    </row>
    <row r="190" spans="1:37" s="150" customFormat="1" ht="15">
      <c r="A190" s="188" t="s">
        <v>472</v>
      </c>
      <c r="B190" s="173">
        <f t="shared" si="158"/>
        <v>799</v>
      </c>
      <c r="C190" s="173">
        <v>390</v>
      </c>
      <c r="D190" s="173">
        <v>409</v>
      </c>
      <c r="E190" s="173">
        <v>128</v>
      </c>
      <c r="F190" s="182">
        <v>6.2421875</v>
      </c>
      <c r="G190" s="173">
        <f t="shared" si="159"/>
        <v>741</v>
      </c>
      <c r="H190" s="200">
        <v>320</v>
      </c>
      <c r="I190" s="200">
        <v>421</v>
      </c>
      <c r="J190" s="193">
        <v>-1.4165595517822882</v>
      </c>
      <c r="K190" s="174">
        <f t="shared" si="160"/>
        <v>810</v>
      </c>
      <c r="L190" s="173">
        <v>372</v>
      </c>
      <c r="M190" s="173">
        <v>438</v>
      </c>
      <c r="N190" s="828">
        <f t="shared" si="110"/>
        <v>84.93150684931507</v>
      </c>
      <c r="O190" s="205">
        <f t="shared" si="161"/>
        <v>1.0474543808282075</v>
      </c>
      <c r="P190" s="173">
        <v>839</v>
      </c>
      <c r="Q190" s="173">
        <v>393</v>
      </c>
      <c r="R190" s="173">
        <v>446</v>
      </c>
      <c r="S190" s="174">
        <v>808</v>
      </c>
      <c r="T190" s="173">
        <v>370</v>
      </c>
      <c r="U190" s="772">
        <v>438</v>
      </c>
      <c r="V190" s="173">
        <v>31</v>
      </c>
      <c r="W190" s="173">
        <v>23</v>
      </c>
      <c r="X190" s="772">
        <v>8</v>
      </c>
      <c r="Y190" s="173"/>
      <c r="Z190" s="777">
        <v>15.31</v>
      </c>
      <c r="AA190" s="777">
        <f t="shared" ref="AA190:AA194" si="167">Z190/100</f>
        <v>0.15310000000000001</v>
      </c>
      <c r="AB190" s="789">
        <f>K190/AA190</f>
        <v>5290.6596995427817</v>
      </c>
      <c r="AC190" s="789">
        <f>P190/AA190</f>
        <v>5480.0783801436964</v>
      </c>
      <c r="AD190" s="173">
        <v>167</v>
      </c>
      <c r="AE190" s="773">
        <f t="shared" si="165"/>
        <v>5.023952095808383</v>
      </c>
      <c r="AF190" s="174">
        <f t="shared" si="166"/>
        <v>1329</v>
      </c>
      <c r="AG190" s="1200">
        <v>670</v>
      </c>
      <c r="AH190" s="1200">
        <v>659</v>
      </c>
      <c r="AI190" s="802" t="s">
        <v>473</v>
      </c>
      <c r="AJ190" s="198"/>
      <c r="AK190" s="185"/>
    </row>
    <row r="191" spans="1:37" s="150" customFormat="1" ht="15">
      <c r="A191" s="188" t="s">
        <v>474</v>
      </c>
      <c r="B191" s="173">
        <f t="shared" si="158"/>
        <v>827</v>
      </c>
      <c r="C191" s="173">
        <v>419</v>
      </c>
      <c r="D191" s="173">
        <v>408</v>
      </c>
      <c r="E191" s="173">
        <v>136</v>
      </c>
      <c r="F191" s="182">
        <v>6.0808823529411766</v>
      </c>
      <c r="G191" s="173">
        <f t="shared" si="159"/>
        <v>821</v>
      </c>
      <c r="H191" s="200">
        <v>389</v>
      </c>
      <c r="I191" s="200">
        <v>432</v>
      </c>
      <c r="J191" s="193">
        <v>-0.57502085571647177</v>
      </c>
      <c r="K191" s="174">
        <f t="shared" si="160"/>
        <v>869</v>
      </c>
      <c r="L191" s="173">
        <v>423</v>
      </c>
      <c r="M191" s="173">
        <v>446</v>
      </c>
      <c r="N191" s="828">
        <f t="shared" si="110"/>
        <v>94.843049327354251</v>
      </c>
      <c r="O191" s="205">
        <f t="shared" si="161"/>
        <v>0.66847077427016133</v>
      </c>
      <c r="P191" s="173">
        <v>914</v>
      </c>
      <c r="Q191" s="173">
        <v>459</v>
      </c>
      <c r="R191" s="173">
        <v>455</v>
      </c>
      <c r="S191" s="174">
        <v>868</v>
      </c>
      <c r="T191" s="173">
        <v>422</v>
      </c>
      <c r="U191" s="772">
        <v>446</v>
      </c>
      <c r="V191" s="173">
        <v>46</v>
      </c>
      <c r="W191" s="173">
        <v>37</v>
      </c>
      <c r="X191" s="772">
        <v>9</v>
      </c>
      <c r="Y191" s="173"/>
      <c r="Z191" s="777">
        <v>30.85</v>
      </c>
      <c r="AA191" s="777">
        <f t="shared" si="167"/>
        <v>0.3085</v>
      </c>
      <c r="AB191" s="789">
        <f>K191/AA191</f>
        <v>2816.8557536466774</v>
      </c>
      <c r="AC191" s="789">
        <f>P191/AA191</f>
        <v>2962.7228525121554</v>
      </c>
      <c r="AD191" s="173">
        <v>171</v>
      </c>
      <c r="AE191" s="773">
        <f t="shared" si="165"/>
        <v>5.3450292397660819</v>
      </c>
      <c r="AF191" s="174">
        <f t="shared" si="166"/>
        <v>1390</v>
      </c>
      <c r="AG191" s="1200">
        <v>727</v>
      </c>
      <c r="AH191" s="1200">
        <v>663</v>
      </c>
      <c r="AI191" s="802" t="s">
        <v>475</v>
      </c>
      <c r="AJ191" s="198"/>
      <c r="AK191" s="185"/>
    </row>
    <row r="192" spans="1:37" s="150" customFormat="1" ht="15">
      <c r="A192" s="188" t="s">
        <v>308</v>
      </c>
      <c r="B192" s="173">
        <f t="shared" si="158"/>
        <v>422</v>
      </c>
      <c r="C192" s="173">
        <v>188</v>
      </c>
      <c r="D192" s="173">
        <v>234</v>
      </c>
      <c r="E192" s="173">
        <v>73</v>
      </c>
      <c r="F192" s="182">
        <v>5.7808219178082192</v>
      </c>
      <c r="G192" s="173">
        <f t="shared" si="159"/>
        <v>518</v>
      </c>
      <c r="H192" s="200">
        <v>248</v>
      </c>
      <c r="I192" s="200">
        <v>270</v>
      </c>
      <c r="J192" s="193">
        <v>3.4862019622614571</v>
      </c>
      <c r="K192" s="174">
        <f t="shared" si="160"/>
        <v>524</v>
      </c>
      <c r="L192" s="173">
        <v>261</v>
      </c>
      <c r="M192" s="173">
        <v>263</v>
      </c>
      <c r="N192" s="828">
        <f t="shared" si="110"/>
        <v>99.239543726235752</v>
      </c>
      <c r="O192" s="205">
        <f t="shared" si="161"/>
        <v>0.13548755366540097</v>
      </c>
      <c r="P192" s="173">
        <v>549</v>
      </c>
      <c r="Q192" s="173">
        <v>284</v>
      </c>
      <c r="R192" s="173">
        <v>265</v>
      </c>
      <c r="S192" s="174">
        <v>512</v>
      </c>
      <c r="T192" s="173">
        <v>257</v>
      </c>
      <c r="U192" s="772">
        <v>255</v>
      </c>
      <c r="V192" s="173">
        <v>37</v>
      </c>
      <c r="W192" s="173">
        <v>27</v>
      </c>
      <c r="X192" s="772">
        <v>10</v>
      </c>
      <c r="Y192" s="173"/>
      <c r="Z192" s="777">
        <v>21.31</v>
      </c>
      <c r="AA192" s="777">
        <f t="shared" si="167"/>
        <v>0.21309999999999998</v>
      </c>
      <c r="AB192" s="789">
        <f>K192/AA192</f>
        <v>2458.9394650398876</v>
      </c>
      <c r="AC192" s="789">
        <f>P192/AA192</f>
        <v>2576.255279211638</v>
      </c>
      <c r="AD192" s="173">
        <v>103</v>
      </c>
      <c r="AE192" s="773">
        <f t="shared" si="165"/>
        <v>5.3300970873786406</v>
      </c>
      <c r="AF192" s="174">
        <f t="shared" si="166"/>
        <v>919</v>
      </c>
      <c r="AG192" s="1200">
        <v>472</v>
      </c>
      <c r="AH192" s="1200">
        <v>447</v>
      </c>
      <c r="AI192" s="802" t="s">
        <v>309</v>
      </c>
      <c r="AJ192" s="198"/>
      <c r="AK192" s="185"/>
    </row>
    <row r="193" spans="1:37" s="150" customFormat="1" ht="15">
      <c r="A193" s="188" t="s">
        <v>476</v>
      </c>
      <c r="B193" s="173">
        <f t="shared" si="158"/>
        <v>227</v>
      </c>
      <c r="C193" s="173">
        <v>125</v>
      </c>
      <c r="D193" s="173">
        <v>102</v>
      </c>
      <c r="E193" s="173">
        <v>38</v>
      </c>
      <c r="F193" s="182">
        <v>5.9736842105263159</v>
      </c>
      <c r="G193" s="173">
        <f t="shared" si="159"/>
        <v>279</v>
      </c>
      <c r="H193" s="200">
        <v>144</v>
      </c>
      <c r="I193" s="200">
        <v>135</v>
      </c>
      <c r="J193" s="193">
        <v>3.4434351308841897</v>
      </c>
      <c r="K193" s="174">
        <f t="shared" si="160"/>
        <v>384</v>
      </c>
      <c r="L193" s="173">
        <v>195</v>
      </c>
      <c r="M193" s="173">
        <v>189</v>
      </c>
      <c r="N193" s="828">
        <f t="shared" si="110"/>
        <v>103.17460317460319</v>
      </c>
      <c r="O193" s="205">
        <f t="shared" si="161"/>
        <v>3.7580090678395446</v>
      </c>
      <c r="P193" s="173">
        <v>400</v>
      </c>
      <c r="Q193" s="173">
        <v>208</v>
      </c>
      <c r="R193" s="173">
        <v>192</v>
      </c>
      <c r="S193" s="174">
        <v>383</v>
      </c>
      <c r="T193" s="173">
        <v>194</v>
      </c>
      <c r="U193" s="772">
        <v>189</v>
      </c>
      <c r="V193" s="173">
        <v>17</v>
      </c>
      <c r="W193" s="173">
        <v>14</v>
      </c>
      <c r="X193" s="772">
        <v>3</v>
      </c>
      <c r="Y193" s="173"/>
      <c r="Z193" s="777">
        <v>39.950000000000003</v>
      </c>
      <c r="AA193" s="777">
        <f t="shared" si="167"/>
        <v>0.39950000000000002</v>
      </c>
      <c r="AB193" s="789">
        <f>K193/AA193</f>
        <v>961.20150187734669</v>
      </c>
      <c r="AC193" s="789">
        <f>P193/AA193</f>
        <v>1001.2515644555695</v>
      </c>
      <c r="AD193" s="173">
        <v>68</v>
      </c>
      <c r="AE193" s="773">
        <f t="shared" si="165"/>
        <v>5.882352941176471</v>
      </c>
      <c r="AF193" s="174">
        <f t="shared" si="166"/>
        <v>598</v>
      </c>
      <c r="AG193" s="1200">
        <v>327</v>
      </c>
      <c r="AH193" s="1200">
        <v>271</v>
      </c>
      <c r="AI193" s="802" t="s">
        <v>477</v>
      </c>
      <c r="AJ193" s="198"/>
      <c r="AK193" s="185"/>
    </row>
    <row r="194" spans="1:37" s="150" customFormat="1" ht="15">
      <c r="A194" s="188" t="s">
        <v>478</v>
      </c>
      <c r="B194" s="173">
        <f t="shared" si="158"/>
        <v>1504</v>
      </c>
      <c r="C194" s="173">
        <v>762</v>
      </c>
      <c r="D194" s="173">
        <v>742</v>
      </c>
      <c r="E194" s="173">
        <v>177</v>
      </c>
      <c r="F194" s="182">
        <v>8.4971751412429377</v>
      </c>
      <c r="G194" s="173">
        <f t="shared" si="159"/>
        <v>1303</v>
      </c>
      <c r="H194" s="200">
        <v>626</v>
      </c>
      <c r="I194" s="200">
        <v>677</v>
      </c>
      <c r="J194" s="193">
        <v>-2.5365078492026369</v>
      </c>
      <c r="K194" s="174">
        <f t="shared" si="160"/>
        <v>1553</v>
      </c>
      <c r="L194" s="173">
        <v>729</v>
      </c>
      <c r="M194" s="173">
        <v>824</v>
      </c>
      <c r="N194" s="828">
        <f t="shared" si="110"/>
        <v>88.470873786407765</v>
      </c>
      <c r="O194" s="205">
        <f t="shared" si="161"/>
        <v>2.0649323061628468</v>
      </c>
      <c r="P194" s="173">
        <v>1663</v>
      </c>
      <c r="Q194" s="173">
        <v>817</v>
      </c>
      <c r="R194" s="173">
        <v>846</v>
      </c>
      <c r="S194" s="174">
        <v>1548</v>
      </c>
      <c r="T194" s="173">
        <v>726</v>
      </c>
      <c r="U194" s="772">
        <v>822</v>
      </c>
      <c r="V194" s="173">
        <v>115</v>
      </c>
      <c r="W194" s="173">
        <v>91</v>
      </c>
      <c r="X194" s="772">
        <v>24</v>
      </c>
      <c r="Y194" s="173"/>
      <c r="Z194" s="777">
        <v>56.21</v>
      </c>
      <c r="AA194" s="777">
        <f t="shared" si="167"/>
        <v>0.56210000000000004</v>
      </c>
      <c r="AB194" s="789">
        <f>K194/AA194</f>
        <v>2762.8535847713929</v>
      </c>
      <c r="AC194" s="789">
        <f>P194/AA194</f>
        <v>2958.5483010140542</v>
      </c>
      <c r="AD194" s="173">
        <v>266</v>
      </c>
      <c r="AE194" s="773">
        <f t="shared" si="165"/>
        <v>6.2518796992481205</v>
      </c>
      <c r="AF194" s="174">
        <f t="shared" si="166"/>
        <v>2297</v>
      </c>
      <c r="AG194" s="1200">
        <v>1170</v>
      </c>
      <c r="AH194" s="1200">
        <v>1127</v>
      </c>
      <c r="AI194" s="802" t="s">
        <v>479</v>
      </c>
      <c r="AJ194" s="198"/>
      <c r="AK194" s="185"/>
    </row>
    <row r="195" spans="1:37" s="150" customFormat="1" ht="15">
      <c r="A195" s="196"/>
      <c r="B195" s="173"/>
      <c r="C195" s="173"/>
      <c r="D195" s="173"/>
      <c r="E195" s="173"/>
      <c r="F195" s="182"/>
      <c r="G195" s="173"/>
      <c r="H195" s="173"/>
      <c r="I195" s="173"/>
      <c r="J195" s="192"/>
      <c r="K195" s="174"/>
      <c r="L195" s="173"/>
      <c r="M195" s="173"/>
      <c r="N195" s="828"/>
      <c r="O195" s="205"/>
      <c r="P195" s="173"/>
      <c r="Q195" s="173"/>
      <c r="R195" s="173"/>
      <c r="S195" s="174"/>
      <c r="T195" s="173"/>
      <c r="U195" s="772"/>
      <c r="V195" s="173"/>
      <c r="W195" s="173"/>
      <c r="X195" s="772"/>
      <c r="Y195" s="173"/>
      <c r="Z195" s="777"/>
      <c r="AA195" s="777"/>
      <c r="AB195" s="789"/>
      <c r="AC195" s="789"/>
      <c r="AD195" s="173"/>
      <c r="AE195" s="773"/>
      <c r="AF195" s="174"/>
      <c r="AG195" s="202"/>
      <c r="AH195" s="202"/>
      <c r="AI195" s="803"/>
      <c r="AJ195" s="198"/>
      <c r="AK195" s="185"/>
    </row>
    <row r="196" spans="1:37" s="167" customFormat="1" ht="15">
      <c r="A196" s="190" t="s">
        <v>480</v>
      </c>
      <c r="B196" s="163">
        <f t="shared" ref="B196:B204" si="168">SUM(C196:D196)</f>
        <v>4927</v>
      </c>
      <c r="C196" s="163">
        <f>SUM(C197:C204)</f>
        <v>2422</v>
      </c>
      <c r="D196" s="163">
        <f>SUM(D197:D204)</f>
        <v>2505</v>
      </c>
      <c r="E196" s="163">
        <f>SUM(E197:E204)</f>
        <v>809</v>
      </c>
      <c r="F196" s="164">
        <v>6.2401477832512313</v>
      </c>
      <c r="G196" s="163">
        <f>SUM(H196:I196)</f>
        <v>4720</v>
      </c>
      <c r="H196" s="163">
        <f>SUM(H197:H204)</f>
        <v>2335</v>
      </c>
      <c r="I196" s="163">
        <f>SUM(I197:I204)</f>
        <v>2385</v>
      </c>
      <c r="J196" s="168">
        <f>LN(G196/B196)/6.02*100</f>
        <v>-0.71298146120202699</v>
      </c>
      <c r="K196" s="166">
        <f>SUM(L196:M196)</f>
        <v>5329</v>
      </c>
      <c r="L196" s="163">
        <f>SUM(L197:L204)</f>
        <v>2603</v>
      </c>
      <c r="M196" s="163">
        <f>SUM(M197:M204)</f>
        <v>2726</v>
      </c>
      <c r="N196" s="827">
        <f t="shared" si="110"/>
        <v>95.48789435069699</v>
      </c>
      <c r="O196" s="814">
        <f>LN(K196/G196)/8.5*100</f>
        <v>1.4277035731433079</v>
      </c>
      <c r="P196" s="163">
        <f>SUM(Q196:R196)</f>
        <v>5786</v>
      </c>
      <c r="Q196" s="163">
        <f>SUM(Q197:Q204)</f>
        <v>3019</v>
      </c>
      <c r="R196" s="163">
        <f>SUM(R197:R204)</f>
        <v>2767</v>
      </c>
      <c r="S196" s="166">
        <f>SUM(T196:U196)</f>
        <v>5305</v>
      </c>
      <c r="T196" s="163">
        <f>SUM(T197:T204)</f>
        <v>2590</v>
      </c>
      <c r="U196" s="769">
        <f>SUM(U197:U204)</f>
        <v>2715</v>
      </c>
      <c r="V196" s="163">
        <f>SUM(W196:X196)</f>
        <v>481</v>
      </c>
      <c r="W196" s="163">
        <f>SUM(W197:W204)</f>
        <v>429</v>
      </c>
      <c r="X196" s="769">
        <f>SUM(X197:X204)</f>
        <v>52</v>
      </c>
      <c r="Y196" s="163"/>
      <c r="Z196" s="770" t="s">
        <v>187</v>
      </c>
      <c r="AA196" s="770" t="s">
        <v>187</v>
      </c>
      <c r="AB196" s="788" t="s">
        <v>187</v>
      </c>
      <c r="AC196" s="788" t="s">
        <v>187</v>
      </c>
      <c r="AD196" s="163">
        <f>SUM(AD197:AD204)</f>
        <v>1064</v>
      </c>
      <c r="AE196" s="771">
        <f>P196/AD196</f>
        <v>5.4379699248120303</v>
      </c>
      <c r="AF196" s="166">
        <f t="shared" ref="AF196:AF204" si="169">SUM(AG196:AH196)</f>
        <v>8268</v>
      </c>
      <c r="AG196" s="170">
        <f>SUM(AG197:AG204)</f>
        <v>4201</v>
      </c>
      <c r="AH196" s="170">
        <f>SUM(AH197:AH204)</f>
        <v>4067</v>
      </c>
      <c r="AI196" s="762" t="s">
        <v>481</v>
      </c>
      <c r="AJ196" s="196"/>
      <c r="AK196" s="152"/>
    </row>
    <row r="197" spans="1:37" s="150" customFormat="1" ht="15">
      <c r="A197" s="188" t="s">
        <v>342</v>
      </c>
      <c r="B197" s="173">
        <f t="shared" si="168"/>
        <v>908</v>
      </c>
      <c r="C197" s="173">
        <v>476</v>
      </c>
      <c r="D197" s="173">
        <v>432</v>
      </c>
      <c r="E197" s="173">
        <v>124</v>
      </c>
      <c r="F197" s="182">
        <v>7.32258064516129</v>
      </c>
      <c r="G197" s="173">
        <f>SUM(H197:I197)</f>
        <v>919</v>
      </c>
      <c r="H197" s="173">
        <v>519</v>
      </c>
      <c r="I197" s="173">
        <v>400</v>
      </c>
      <c r="J197" s="192">
        <f>LN(G197/B197)/6.02*100</f>
        <v>0.20002896601982864</v>
      </c>
      <c r="K197" s="174">
        <f>SUM(L197:M197)</f>
        <v>870</v>
      </c>
      <c r="L197" s="173">
        <v>472</v>
      </c>
      <c r="M197" s="173">
        <v>398</v>
      </c>
      <c r="N197" s="828">
        <f t="shared" si="110"/>
        <v>118.5929648241206</v>
      </c>
      <c r="O197" s="205">
        <f>LN(K197/G197)/8.5*100</f>
        <v>-0.64462247890656044</v>
      </c>
      <c r="P197" s="173">
        <v>929</v>
      </c>
      <c r="Q197" s="173">
        <v>526</v>
      </c>
      <c r="R197" s="173">
        <v>403</v>
      </c>
      <c r="S197" s="174">
        <v>856</v>
      </c>
      <c r="T197" s="173">
        <v>466</v>
      </c>
      <c r="U197" s="772">
        <v>390</v>
      </c>
      <c r="V197" s="173">
        <v>73</v>
      </c>
      <c r="W197" s="173">
        <v>60</v>
      </c>
      <c r="X197" s="772">
        <v>13</v>
      </c>
      <c r="Y197" s="173"/>
      <c r="Z197" s="777">
        <v>13.13</v>
      </c>
      <c r="AA197" s="777">
        <f t="shared" ref="AA197:AA200" si="170">Z197/100</f>
        <v>0.1313</v>
      </c>
      <c r="AB197" s="789">
        <f>K197/AA197</f>
        <v>6626.0472201066259</v>
      </c>
      <c r="AC197" s="789">
        <f>P197/AA197</f>
        <v>7075.3998476770757</v>
      </c>
      <c r="AD197" s="173">
        <v>175</v>
      </c>
      <c r="AE197" s="773">
        <f>P197/AD197</f>
        <v>5.3085714285714287</v>
      </c>
      <c r="AF197" s="174">
        <f t="shared" si="169"/>
        <v>1450</v>
      </c>
      <c r="AG197" s="1200">
        <v>784</v>
      </c>
      <c r="AH197" s="1200">
        <v>666</v>
      </c>
      <c r="AI197" s="802" t="s">
        <v>343</v>
      </c>
      <c r="AJ197" s="198"/>
      <c r="AK197" s="185"/>
    </row>
    <row r="198" spans="1:37" s="150" customFormat="1" ht="15">
      <c r="A198" s="188" t="s">
        <v>482</v>
      </c>
      <c r="B198" s="173">
        <f t="shared" si="168"/>
        <v>578</v>
      </c>
      <c r="C198" s="173">
        <v>293</v>
      </c>
      <c r="D198" s="173">
        <v>285</v>
      </c>
      <c r="E198" s="173">
        <v>77</v>
      </c>
      <c r="F198" s="182">
        <v>7.5064935064935066</v>
      </c>
      <c r="G198" s="173">
        <f t="shared" ref="G198:G204" si="171">SUM(H198:I198)</f>
        <v>578</v>
      </c>
      <c r="H198" s="173">
        <v>294</v>
      </c>
      <c r="I198" s="173">
        <v>284</v>
      </c>
      <c r="J198" s="192">
        <f>LN(G198/B198)/6.02*100</f>
        <v>0</v>
      </c>
      <c r="K198" s="174">
        <f>SUM(L198:M198)</f>
        <v>716</v>
      </c>
      <c r="L198" s="173">
        <v>393</v>
      </c>
      <c r="M198" s="173">
        <v>323</v>
      </c>
      <c r="N198" s="828">
        <f t="shared" si="110"/>
        <v>121.671826625387</v>
      </c>
      <c r="O198" s="205">
        <f>LN(K198/G198)/8.5*100</f>
        <v>2.5188976269208028</v>
      </c>
      <c r="P198" s="173">
        <v>793</v>
      </c>
      <c r="Q198" s="173">
        <v>466</v>
      </c>
      <c r="R198" s="173">
        <v>327</v>
      </c>
      <c r="S198" s="174">
        <v>714</v>
      </c>
      <c r="T198" s="173">
        <v>392</v>
      </c>
      <c r="U198" s="772">
        <v>322</v>
      </c>
      <c r="V198" s="173">
        <v>79</v>
      </c>
      <c r="W198" s="173">
        <v>74</v>
      </c>
      <c r="X198" s="772">
        <v>5</v>
      </c>
      <c r="Y198" s="173"/>
      <c r="Z198" s="777">
        <v>24.24</v>
      </c>
      <c r="AA198" s="777">
        <f t="shared" si="170"/>
        <v>0.24239999999999998</v>
      </c>
      <c r="AB198" s="789">
        <f>K198/AA198</f>
        <v>2953.795379537954</v>
      </c>
      <c r="AC198" s="789">
        <f>P198/AA198</f>
        <v>3271.4521452145218</v>
      </c>
      <c r="AD198" s="173">
        <v>124</v>
      </c>
      <c r="AE198" s="773">
        <f>P198/AD198</f>
        <v>6.395161290322581</v>
      </c>
      <c r="AF198" s="174">
        <f t="shared" si="169"/>
        <v>1001</v>
      </c>
      <c r="AG198" s="1200">
        <v>515</v>
      </c>
      <c r="AH198" s="1200">
        <v>486</v>
      </c>
      <c r="AI198" s="802" t="s">
        <v>483</v>
      </c>
      <c r="AJ198" s="198"/>
      <c r="AK198" s="185"/>
    </row>
    <row r="199" spans="1:37" s="150" customFormat="1" ht="15">
      <c r="A199" s="188" t="s">
        <v>484</v>
      </c>
      <c r="B199" s="173">
        <f t="shared" si="168"/>
        <v>420</v>
      </c>
      <c r="C199" s="173">
        <v>193</v>
      </c>
      <c r="D199" s="173">
        <v>227</v>
      </c>
      <c r="E199" s="173">
        <v>92</v>
      </c>
      <c r="F199" s="182">
        <v>4.5652173913043477</v>
      </c>
      <c r="G199" s="173">
        <f t="shared" si="171"/>
        <v>207</v>
      </c>
      <c r="H199" s="173">
        <v>98</v>
      </c>
      <c r="I199" s="173">
        <v>109</v>
      </c>
      <c r="J199" s="192">
        <f>LN(G199/B199)/6.02*100</f>
        <v>-11.753088339070514</v>
      </c>
      <c r="K199" s="174">
        <f>SUM(L199:M199)</f>
        <v>255</v>
      </c>
      <c r="L199" s="173">
        <v>130</v>
      </c>
      <c r="M199" s="173">
        <v>125</v>
      </c>
      <c r="N199" s="828">
        <f t="shared" si="110"/>
        <v>104</v>
      </c>
      <c r="O199" s="205">
        <f>LN(K199/G199)/8.5*100</f>
        <v>2.4534676693300823</v>
      </c>
      <c r="P199" s="173">
        <v>277</v>
      </c>
      <c r="Q199" s="173">
        <v>148</v>
      </c>
      <c r="R199" s="173">
        <v>129</v>
      </c>
      <c r="S199" s="174">
        <v>250</v>
      </c>
      <c r="T199" s="173">
        <v>125</v>
      </c>
      <c r="U199" s="772">
        <v>125</v>
      </c>
      <c r="V199" s="173">
        <v>27</v>
      </c>
      <c r="W199" s="173">
        <v>23</v>
      </c>
      <c r="X199" s="772">
        <v>4</v>
      </c>
      <c r="Y199" s="173"/>
      <c r="Z199" s="777">
        <v>17.149999999999999</v>
      </c>
      <c r="AA199" s="777">
        <f t="shared" si="170"/>
        <v>0.17149999999999999</v>
      </c>
      <c r="AB199" s="789">
        <f>K199/AA199</f>
        <v>1486.8804664723034</v>
      </c>
      <c r="AC199" s="789">
        <f>P199/AA199</f>
        <v>1615.1603498542274</v>
      </c>
      <c r="AD199" s="173">
        <v>70</v>
      </c>
      <c r="AE199" s="773">
        <f>P199/AD199</f>
        <v>3.9571428571428573</v>
      </c>
      <c r="AF199" s="174">
        <f t="shared" si="169"/>
        <v>421</v>
      </c>
      <c r="AG199" s="1200">
        <v>219</v>
      </c>
      <c r="AH199" s="1200">
        <v>202</v>
      </c>
      <c r="AI199" s="802" t="s">
        <v>485</v>
      </c>
      <c r="AJ199" s="198"/>
      <c r="AK199" s="185"/>
    </row>
    <row r="200" spans="1:37" s="150" customFormat="1" ht="15">
      <c r="A200" s="188" t="s">
        <v>486</v>
      </c>
      <c r="B200" s="173">
        <f t="shared" si="168"/>
        <v>524</v>
      </c>
      <c r="C200" s="173">
        <v>240</v>
      </c>
      <c r="D200" s="173">
        <v>284</v>
      </c>
      <c r="E200" s="173">
        <v>97</v>
      </c>
      <c r="F200" s="182">
        <v>5.4020618556701034</v>
      </c>
      <c r="G200" s="173">
        <f t="shared" si="171"/>
        <v>566</v>
      </c>
      <c r="H200" s="173">
        <v>261</v>
      </c>
      <c r="I200" s="173">
        <v>305</v>
      </c>
      <c r="J200" s="192">
        <f>LN(G200/B200)/6.02*100</f>
        <v>1.280770662494034</v>
      </c>
      <c r="K200" s="174">
        <f>SUM(L200:M200)</f>
        <v>681</v>
      </c>
      <c r="L200" s="173">
        <v>328</v>
      </c>
      <c r="M200" s="173">
        <v>353</v>
      </c>
      <c r="N200" s="828">
        <f t="shared" si="110"/>
        <v>92.917847025495746</v>
      </c>
      <c r="O200" s="205">
        <f>LN(K200/G200)/8.5*100</f>
        <v>2.1760967993685805</v>
      </c>
      <c r="P200" s="173">
        <v>719</v>
      </c>
      <c r="Q200" s="173">
        <v>364</v>
      </c>
      <c r="R200" s="173">
        <v>355</v>
      </c>
      <c r="S200" s="174">
        <v>681</v>
      </c>
      <c r="T200" s="173">
        <v>328</v>
      </c>
      <c r="U200" s="772">
        <v>353</v>
      </c>
      <c r="V200" s="173">
        <v>38</v>
      </c>
      <c r="W200" s="173">
        <v>36</v>
      </c>
      <c r="X200" s="772">
        <v>2</v>
      </c>
      <c r="Y200" s="173"/>
      <c r="Z200" s="777">
        <v>20.11</v>
      </c>
      <c r="AA200" s="777">
        <f t="shared" si="170"/>
        <v>0.2011</v>
      </c>
      <c r="AB200" s="789">
        <f>K200/AA200</f>
        <v>3386.3749378418697</v>
      </c>
      <c r="AC200" s="789">
        <f>P200/AA200</f>
        <v>3575.3356539035308</v>
      </c>
      <c r="AD200" s="173">
        <v>135</v>
      </c>
      <c r="AE200" s="773">
        <f>P200/AD200</f>
        <v>5.325925925925926</v>
      </c>
      <c r="AF200" s="174">
        <f t="shared" si="169"/>
        <v>972</v>
      </c>
      <c r="AG200" s="1200">
        <v>481</v>
      </c>
      <c r="AH200" s="1200">
        <v>491</v>
      </c>
      <c r="AI200" s="802" t="s">
        <v>487</v>
      </c>
      <c r="AJ200" s="198"/>
      <c r="AK200" s="185"/>
    </row>
    <row r="201" spans="1:37" s="150" customFormat="1">
      <c r="A201" s="188" t="s">
        <v>976</v>
      </c>
      <c r="B201" s="173">
        <f t="shared" si="168"/>
        <v>322</v>
      </c>
      <c r="C201" s="173">
        <v>146</v>
      </c>
      <c r="D201" s="173">
        <v>176</v>
      </c>
      <c r="E201" s="173">
        <v>62</v>
      </c>
      <c r="F201" s="182">
        <v>5.193548387096774</v>
      </c>
      <c r="G201" s="173">
        <f t="shared" si="171"/>
        <v>0</v>
      </c>
      <c r="H201" s="173">
        <v>0</v>
      </c>
      <c r="I201" s="173">
        <v>0</v>
      </c>
      <c r="J201" s="192" t="s">
        <v>184</v>
      </c>
      <c r="K201" s="174" t="s">
        <v>187</v>
      </c>
      <c r="L201" s="173" t="s">
        <v>187</v>
      </c>
      <c r="M201" s="173" t="s">
        <v>187</v>
      </c>
      <c r="N201" s="828" t="s">
        <v>187</v>
      </c>
      <c r="O201" s="815" t="s">
        <v>187</v>
      </c>
      <c r="P201" s="173" t="s">
        <v>187</v>
      </c>
      <c r="Q201" s="173" t="s">
        <v>187</v>
      </c>
      <c r="R201" s="173" t="s">
        <v>187</v>
      </c>
      <c r="S201" s="174" t="s">
        <v>187</v>
      </c>
      <c r="T201" s="173" t="s">
        <v>187</v>
      </c>
      <c r="U201" s="772" t="s">
        <v>187</v>
      </c>
      <c r="V201" s="173" t="s">
        <v>187</v>
      </c>
      <c r="W201" s="173" t="s">
        <v>187</v>
      </c>
      <c r="X201" s="772" t="s">
        <v>187</v>
      </c>
      <c r="Y201" s="173"/>
      <c r="Z201" s="777" t="s">
        <v>187</v>
      </c>
      <c r="AA201" s="777" t="s">
        <v>187</v>
      </c>
      <c r="AB201" s="789" t="s">
        <v>187</v>
      </c>
      <c r="AC201" s="789" t="s">
        <v>187</v>
      </c>
      <c r="AD201" s="173" t="s">
        <v>187</v>
      </c>
      <c r="AE201" s="173" t="s">
        <v>187</v>
      </c>
      <c r="AF201" s="174">
        <f t="shared" si="169"/>
        <v>0</v>
      </c>
      <c r="AG201" s="1200">
        <v>0</v>
      </c>
      <c r="AH201" s="1200">
        <v>0</v>
      </c>
      <c r="AI201" s="804" t="s">
        <v>1012</v>
      </c>
      <c r="AJ201" s="203"/>
      <c r="AK201" s="204"/>
    </row>
    <row r="202" spans="1:37" s="150" customFormat="1" ht="15">
      <c r="A202" s="188" t="s">
        <v>488</v>
      </c>
      <c r="B202" s="173">
        <f t="shared" si="168"/>
        <v>346</v>
      </c>
      <c r="C202" s="173">
        <v>168</v>
      </c>
      <c r="D202" s="173">
        <v>178</v>
      </c>
      <c r="E202" s="173">
        <v>59</v>
      </c>
      <c r="F202" s="182">
        <v>5.8644067796610173</v>
      </c>
      <c r="G202" s="173">
        <f t="shared" si="171"/>
        <v>211</v>
      </c>
      <c r="H202" s="173">
        <v>93</v>
      </c>
      <c r="I202" s="173">
        <v>118</v>
      </c>
      <c r="J202" s="192">
        <f>LN(G202/B202)/6.02*100</f>
        <v>-8.2156252754428198</v>
      </c>
      <c r="K202" s="174" t="s">
        <v>187</v>
      </c>
      <c r="L202" s="173" t="s">
        <v>187</v>
      </c>
      <c r="M202" s="173" t="s">
        <v>187</v>
      </c>
      <c r="N202" s="828" t="s">
        <v>187</v>
      </c>
      <c r="O202" s="815" t="s">
        <v>187</v>
      </c>
      <c r="P202" s="173" t="s">
        <v>187</v>
      </c>
      <c r="Q202" s="173" t="s">
        <v>187</v>
      </c>
      <c r="R202" s="173" t="s">
        <v>187</v>
      </c>
      <c r="S202" s="174" t="s">
        <v>187</v>
      </c>
      <c r="T202" s="173" t="s">
        <v>187</v>
      </c>
      <c r="U202" s="772" t="s">
        <v>187</v>
      </c>
      <c r="V202" s="173" t="s">
        <v>187</v>
      </c>
      <c r="W202" s="173" t="s">
        <v>187</v>
      </c>
      <c r="X202" s="772" t="s">
        <v>187</v>
      </c>
      <c r="Y202" s="173"/>
      <c r="Z202" s="777" t="s">
        <v>187</v>
      </c>
      <c r="AA202" s="777" t="s">
        <v>187</v>
      </c>
      <c r="AB202" s="789" t="s">
        <v>187</v>
      </c>
      <c r="AC202" s="789" t="s">
        <v>187</v>
      </c>
      <c r="AD202" s="173" t="s">
        <v>187</v>
      </c>
      <c r="AE202" s="173" t="s">
        <v>187</v>
      </c>
      <c r="AF202" s="174">
        <f t="shared" si="169"/>
        <v>8</v>
      </c>
      <c r="AG202" s="1200">
        <v>6</v>
      </c>
      <c r="AH202" s="1200">
        <v>2</v>
      </c>
      <c r="AI202" s="802" t="s">
        <v>489</v>
      </c>
      <c r="AJ202" s="198"/>
      <c r="AK202" s="185"/>
    </row>
    <row r="203" spans="1:37" s="150" customFormat="1" ht="15">
      <c r="A203" s="188" t="s">
        <v>490</v>
      </c>
      <c r="B203" s="173">
        <f t="shared" si="168"/>
        <v>597</v>
      </c>
      <c r="C203" s="173">
        <v>293</v>
      </c>
      <c r="D203" s="173">
        <v>304</v>
      </c>
      <c r="E203" s="173">
        <v>99</v>
      </c>
      <c r="F203" s="182">
        <v>6.0303030303030303</v>
      </c>
      <c r="G203" s="173">
        <f t="shared" si="171"/>
        <v>600</v>
      </c>
      <c r="H203" s="173">
        <v>295</v>
      </c>
      <c r="I203" s="173">
        <v>305</v>
      </c>
      <c r="J203" s="192">
        <f>LN(G203/B203)/6.02*100</f>
        <v>8.3264814344587934E-2</v>
      </c>
      <c r="K203" s="174">
        <f>SUM(L203:M203)</f>
        <v>591</v>
      </c>
      <c r="L203" s="173">
        <v>262</v>
      </c>
      <c r="M203" s="173">
        <v>329</v>
      </c>
      <c r="N203" s="828">
        <f t="shared" si="110"/>
        <v>79.635258358662625</v>
      </c>
      <c r="O203" s="205">
        <f>LN(K203/G203)/8.5*100</f>
        <v>-0.17780750364762571</v>
      </c>
      <c r="P203" s="173">
        <v>621</v>
      </c>
      <c r="Q203" s="173">
        <v>287</v>
      </c>
      <c r="R203" s="173">
        <v>334</v>
      </c>
      <c r="S203" s="174">
        <v>591</v>
      </c>
      <c r="T203" s="173">
        <v>262</v>
      </c>
      <c r="U203" s="772">
        <v>329</v>
      </c>
      <c r="V203" s="173">
        <v>30</v>
      </c>
      <c r="W203" s="173">
        <v>25</v>
      </c>
      <c r="X203" s="772">
        <v>5</v>
      </c>
      <c r="Y203" s="173"/>
      <c r="Z203" s="777">
        <v>20.52</v>
      </c>
      <c r="AA203" s="777">
        <f t="shared" ref="AA203:AA204" si="172">Z203/100</f>
        <v>0.20519999999999999</v>
      </c>
      <c r="AB203" s="789">
        <f>K203/AA203</f>
        <v>2880.1169590643276</v>
      </c>
      <c r="AC203" s="789">
        <f>P203/AA203</f>
        <v>3026.3157894736842</v>
      </c>
      <c r="AD203" s="173">
        <v>131</v>
      </c>
      <c r="AE203" s="773">
        <f>P203/AD203</f>
        <v>4.7404580152671754</v>
      </c>
      <c r="AF203" s="174">
        <f t="shared" si="169"/>
        <v>1018</v>
      </c>
      <c r="AG203" s="1200">
        <v>517</v>
      </c>
      <c r="AH203" s="1200">
        <v>501</v>
      </c>
      <c r="AI203" s="802" t="s">
        <v>491</v>
      </c>
      <c r="AJ203" s="198"/>
      <c r="AK203" s="185"/>
    </row>
    <row r="204" spans="1:37" s="150" customFormat="1" ht="15">
      <c r="A204" s="188" t="s">
        <v>492</v>
      </c>
      <c r="B204" s="173">
        <f t="shared" si="168"/>
        <v>1232</v>
      </c>
      <c r="C204" s="173">
        <v>613</v>
      </c>
      <c r="D204" s="173">
        <v>619</v>
      </c>
      <c r="E204" s="173">
        <v>199</v>
      </c>
      <c r="F204" s="182">
        <v>6.1909547738693469</v>
      </c>
      <c r="G204" s="173">
        <f t="shared" si="171"/>
        <v>1639</v>
      </c>
      <c r="H204" s="173">
        <v>775</v>
      </c>
      <c r="I204" s="173">
        <v>864</v>
      </c>
      <c r="J204" s="192">
        <f>LN(G204/B204)/6.02*100</f>
        <v>4.7416517383781489</v>
      </c>
      <c r="K204" s="174">
        <f>SUM(L204:M204)</f>
        <v>2216</v>
      </c>
      <c r="L204" s="173">
        <v>1018</v>
      </c>
      <c r="M204" s="173">
        <v>1198</v>
      </c>
      <c r="N204" s="828">
        <f t="shared" si="110"/>
        <v>84.974958263772962</v>
      </c>
      <c r="O204" s="205">
        <f>LN(K204/G204)/8.5*100</f>
        <v>3.5484408132158212</v>
      </c>
      <c r="P204" s="173">
        <v>2447</v>
      </c>
      <c r="Q204" s="173">
        <v>1228</v>
      </c>
      <c r="R204" s="173">
        <v>1219</v>
      </c>
      <c r="S204" s="174">
        <v>2213</v>
      </c>
      <c r="T204" s="173">
        <v>1017</v>
      </c>
      <c r="U204" s="772">
        <v>1196</v>
      </c>
      <c r="V204" s="173">
        <v>234</v>
      </c>
      <c r="W204" s="173">
        <v>211</v>
      </c>
      <c r="X204" s="772">
        <v>23</v>
      </c>
      <c r="Y204" s="173"/>
      <c r="Z204" s="777">
        <v>71.569999999999993</v>
      </c>
      <c r="AA204" s="777">
        <f t="shared" si="172"/>
        <v>0.71569999999999989</v>
      </c>
      <c r="AB204" s="789">
        <f>K204/AA204</f>
        <v>3096.2693866145037</v>
      </c>
      <c r="AC204" s="789">
        <f>P204/AA204</f>
        <v>3419.0303199664668</v>
      </c>
      <c r="AD204" s="173">
        <v>429</v>
      </c>
      <c r="AE204" s="773">
        <f>P204/AD204</f>
        <v>5.7039627039627039</v>
      </c>
      <c r="AF204" s="174">
        <f t="shared" si="169"/>
        <v>3398</v>
      </c>
      <c r="AG204" s="1200">
        <v>1679</v>
      </c>
      <c r="AH204" s="1200">
        <v>1719</v>
      </c>
      <c r="AI204" s="802" t="s">
        <v>493</v>
      </c>
      <c r="AJ204" s="198"/>
      <c r="AK204" s="185"/>
    </row>
    <row r="205" spans="1:37" s="150" customFormat="1" ht="15">
      <c r="A205" s="188"/>
      <c r="B205" s="173"/>
      <c r="C205" s="173"/>
      <c r="D205" s="173"/>
      <c r="E205" s="173"/>
      <c r="F205" s="182"/>
      <c r="G205" s="173"/>
      <c r="H205" s="173"/>
      <c r="I205" s="173"/>
      <c r="J205" s="192"/>
      <c r="K205" s="174"/>
      <c r="L205" s="173"/>
      <c r="M205" s="173"/>
      <c r="N205" s="828"/>
      <c r="O205" s="205"/>
      <c r="P205" s="173"/>
      <c r="Q205" s="173"/>
      <c r="R205" s="173"/>
      <c r="S205" s="174"/>
      <c r="T205" s="173"/>
      <c r="U205" s="772"/>
      <c r="V205" s="173"/>
      <c r="W205" s="173"/>
      <c r="X205" s="772"/>
      <c r="Y205" s="173"/>
      <c r="Z205" s="777"/>
      <c r="AA205" s="777"/>
      <c r="AB205" s="789"/>
      <c r="AC205" s="789"/>
      <c r="AD205" s="173"/>
      <c r="AE205" s="773"/>
      <c r="AF205" s="174"/>
      <c r="AG205" s="202"/>
      <c r="AH205" s="202"/>
      <c r="AI205" s="803"/>
      <c r="AJ205" s="198"/>
      <c r="AK205" s="185"/>
    </row>
    <row r="206" spans="1:37" s="167" customFormat="1" ht="15">
      <c r="A206" s="190" t="s">
        <v>494</v>
      </c>
      <c r="B206" s="163">
        <f t="shared" ref="B206:B219" si="173">SUM(C206:D206)</f>
        <v>9302</v>
      </c>
      <c r="C206" s="163">
        <f>SUM(C207:C219)</f>
        <v>4505</v>
      </c>
      <c r="D206" s="163">
        <f>SUM(D207:D219)</f>
        <v>4797</v>
      </c>
      <c r="E206" s="163">
        <f>SUM(E207:E219)</f>
        <v>1570</v>
      </c>
      <c r="F206" s="164">
        <v>5.919211195928753</v>
      </c>
      <c r="G206" s="163">
        <f>SUM(H206:I206)</f>
        <v>8451</v>
      </c>
      <c r="H206" s="163">
        <f>SUM(H207:H219)</f>
        <v>4174</v>
      </c>
      <c r="I206" s="163">
        <f>SUM(I207:I219)</f>
        <v>4277</v>
      </c>
      <c r="J206" s="168">
        <f>LN(G206/B206)/6.02*100</f>
        <v>-1.593765003979402</v>
      </c>
      <c r="K206" s="166">
        <f t="shared" ref="K206:K219" si="174">SUM(L206:M206)</f>
        <v>8923</v>
      </c>
      <c r="L206" s="163">
        <f>SUM(L207:L219)</f>
        <v>4396</v>
      </c>
      <c r="M206" s="163">
        <f>SUM(M207:M219)</f>
        <v>4527</v>
      </c>
      <c r="N206" s="827">
        <f t="shared" ref="N206:N268" si="175">L206/M206*100</f>
        <v>97.106251380605258</v>
      </c>
      <c r="O206" s="814">
        <f t="shared" ref="O206:O219" si="176">LN(K206/G206)/8.5*100</f>
        <v>0.6393815924196381</v>
      </c>
      <c r="P206" s="163">
        <f t="shared" ref="P206" si="177">SUM(Q206:R206)</f>
        <v>9656</v>
      </c>
      <c r="Q206" s="163">
        <f>SUM(Q207:Q219)</f>
        <v>5020</v>
      </c>
      <c r="R206" s="163">
        <f>SUM(R207:R219)</f>
        <v>4636</v>
      </c>
      <c r="S206" s="166">
        <f t="shared" ref="S206" si="178">SUM(T206:U206)</f>
        <v>8901</v>
      </c>
      <c r="T206" s="163">
        <f>SUM(T207:T219)</f>
        <v>4382</v>
      </c>
      <c r="U206" s="769">
        <f>SUM(U207:U219)</f>
        <v>4519</v>
      </c>
      <c r="V206" s="163">
        <f t="shared" ref="V206" si="179">SUM(W206:X206)</f>
        <v>755</v>
      </c>
      <c r="W206" s="163">
        <f>SUM(W207:W219)</f>
        <v>638</v>
      </c>
      <c r="X206" s="769">
        <f>SUM(X207:X219)</f>
        <v>117</v>
      </c>
      <c r="Y206" s="163"/>
      <c r="Z206" s="770" t="s">
        <v>187</v>
      </c>
      <c r="AA206" s="770" t="s">
        <v>187</v>
      </c>
      <c r="AB206" s="788" t="s">
        <v>187</v>
      </c>
      <c r="AC206" s="788" t="s">
        <v>187</v>
      </c>
      <c r="AD206" s="163">
        <f>SUM(AD207:AD219)</f>
        <v>2015</v>
      </c>
      <c r="AE206" s="771">
        <f t="shared" ref="AE206:AE219" si="180">P206/AD206</f>
        <v>4.7920595533498762</v>
      </c>
      <c r="AF206" s="166">
        <f t="shared" ref="AF206:AF219" si="181">SUM(AG206:AH206)</f>
        <v>16600</v>
      </c>
      <c r="AG206" s="170">
        <f>SUM(AG207:AG219)</f>
        <v>8443</v>
      </c>
      <c r="AH206" s="170">
        <f>SUM(AH207:AH219)</f>
        <v>8157</v>
      </c>
      <c r="AI206" s="762" t="s">
        <v>495</v>
      </c>
      <c r="AJ206" s="196"/>
      <c r="AK206" s="152"/>
    </row>
    <row r="207" spans="1:37" s="150" customFormat="1" ht="15">
      <c r="A207" s="188" t="s">
        <v>496</v>
      </c>
      <c r="B207" s="173">
        <f t="shared" si="173"/>
        <v>304</v>
      </c>
      <c r="C207" s="173">
        <v>130</v>
      </c>
      <c r="D207" s="173">
        <v>174</v>
      </c>
      <c r="E207" s="173">
        <v>70</v>
      </c>
      <c r="F207" s="182">
        <v>4.3428571428571425</v>
      </c>
      <c r="G207" s="173">
        <f>SUM(H207:I207)</f>
        <v>1130</v>
      </c>
      <c r="H207" s="173">
        <v>552</v>
      </c>
      <c r="I207" s="173">
        <v>578</v>
      </c>
      <c r="J207" s="192">
        <f>LN(G207/B207)/6.02*100</f>
        <v>21.80972110133164</v>
      </c>
      <c r="K207" s="174">
        <f t="shared" si="174"/>
        <v>312</v>
      </c>
      <c r="L207" s="173">
        <v>145</v>
      </c>
      <c r="M207" s="173">
        <v>167</v>
      </c>
      <c r="N207" s="828">
        <f t="shared" si="175"/>
        <v>86.82634730538922</v>
      </c>
      <c r="O207" s="205">
        <f t="shared" si="176"/>
        <v>-15.140820281140046</v>
      </c>
      <c r="P207" s="173">
        <v>350</v>
      </c>
      <c r="Q207" s="173">
        <v>175</v>
      </c>
      <c r="R207" s="173">
        <v>175</v>
      </c>
      <c r="S207" s="174">
        <v>312</v>
      </c>
      <c r="T207" s="173">
        <v>145</v>
      </c>
      <c r="U207" s="772">
        <v>167</v>
      </c>
      <c r="V207" s="173">
        <v>38</v>
      </c>
      <c r="W207" s="173">
        <v>30</v>
      </c>
      <c r="X207" s="772">
        <v>8</v>
      </c>
      <c r="Y207" s="173"/>
      <c r="Z207" s="777">
        <v>34.799999999999997</v>
      </c>
      <c r="AA207" s="777">
        <f t="shared" ref="AA207:AA219" si="182">Z207/100</f>
        <v>0.34799999999999998</v>
      </c>
      <c r="AB207" s="789">
        <f t="shared" ref="AB207:AB219" si="183">K207/AA207</f>
        <v>896.55172413793105</v>
      </c>
      <c r="AC207" s="789">
        <f t="shared" ref="AC207:AC219" si="184">P207/AA207</f>
        <v>1005.7471264367816</v>
      </c>
      <c r="AD207" s="173">
        <v>85</v>
      </c>
      <c r="AE207" s="773">
        <f t="shared" si="180"/>
        <v>4.117647058823529</v>
      </c>
      <c r="AF207" s="174">
        <f t="shared" si="181"/>
        <v>617</v>
      </c>
      <c r="AG207" s="1200">
        <v>296</v>
      </c>
      <c r="AH207" s="1200">
        <v>321</v>
      </c>
      <c r="AI207" s="802" t="s">
        <v>497</v>
      </c>
      <c r="AJ207" s="198"/>
      <c r="AK207" s="185"/>
    </row>
    <row r="208" spans="1:37" s="150" customFormat="1">
      <c r="A208" s="188" t="s">
        <v>977</v>
      </c>
      <c r="B208" s="173">
        <f t="shared" si="173"/>
        <v>1155</v>
      </c>
      <c r="C208" s="173">
        <v>556</v>
      </c>
      <c r="D208" s="173">
        <v>599</v>
      </c>
      <c r="E208" s="173">
        <v>186</v>
      </c>
      <c r="F208" s="182">
        <v>6.209677419354839</v>
      </c>
      <c r="G208" s="173">
        <f t="shared" ref="G208:G219" si="185">SUM(H208:I208)</f>
        <v>16</v>
      </c>
      <c r="H208" s="173">
        <v>14</v>
      </c>
      <c r="I208" s="173">
        <v>2</v>
      </c>
      <c r="J208" s="192" t="s">
        <v>184</v>
      </c>
      <c r="K208" s="174">
        <f t="shared" si="174"/>
        <v>976</v>
      </c>
      <c r="L208" s="173">
        <v>463</v>
      </c>
      <c r="M208" s="173">
        <v>513</v>
      </c>
      <c r="N208" s="828">
        <f t="shared" si="175"/>
        <v>90.253411306042892</v>
      </c>
      <c r="O208" s="205">
        <f t="shared" si="176"/>
        <v>48.363221931450724</v>
      </c>
      <c r="P208" s="173">
        <v>1103</v>
      </c>
      <c r="Q208" s="173">
        <v>572</v>
      </c>
      <c r="R208" s="173">
        <v>531</v>
      </c>
      <c r="S208" s="174">
        <v>976</v>
      </c>
      <c r="T208" s="173">
        <v>463</v>
      </c>
      <c r="U208" s="772">
        <v>513</v>
      </c>
      <c r="V208" s="173">
        <v>127</v>
      </c>
      <c r="W208" s="173">
        <v>109</v>
      </c>
      <c r="X208" s="772">
        <v>18</v>
      </c>
      <c r="Y208" s="173"/>
      <c r="Z208" s="777">
        <v>58.74</v>
      </c>
      <c r="AA208" s="777">
        <f t="shared" si="182"/>
        <v>0.58740000000000003</v>
      </c>
      <c r="AB208" s="789">
        <f t="shared" si="183"/>
        <v>1661.5594143684029</v>
      </c>
      <c r="AC208" s="789">
        <f t="shared" si="184"/>
        <v>1877.7664283282261</v>
      </c>
      <c r="AD208" s="173">
        <v>239</v>
      </c>
      <c r="AE208" s="773">
        <f t="shared" si="180"/>
        <v>4.6150627615062758</v>
      </c>
      <c r="AF208" s="174">
        <f t="shared" si="181"/>
        <v>2154</v>
      </c>
      <c r="AG208" s="1200">
        <v>1074</v>
      </c>
      <c r="AH208" s="1200">
        <v>1080</v>
      </c>
      <c r="AI208" s="804" t="s">
        <v>1013</v>
      </c>
      <c r="AJ208" s="203"/>
      <c r="AK208" s="204"/>
    </row>
    <row r="209" spans="1:37" s="150" customFormat="1" ht="15">
      <c r="A209" s="188" t="s">
        <v>498</v>
      </c>
      <c r="B209" s="173">
        <f t="shared" si="173"/>
        <v>664</v>
      </c>
      <c r="C209" s="173">
        <v>292</v>
      </c>
      <c r="D209" s="173">
        <v>372</v>
      </c>
      <c r="E209" s="173">
        <v>104</v>
      </c>
      <c r="F209" s="182">
        <v>6.384615384615385</v>
      </c>
      <c r="G209" s="173">
        <f t="shared" si="185"/>
        <v>720</v>
      </c>
      <c r="H209" s="173">
        <v>357</v>
      </c>
      <c r="I209" s="173">
        <v>363</v>
      </c>
      <c r="J209" s="192">
        <f t="shared" ref="J209:J219" si="186">LN(G209/B209)/6.02*100</f>
        <v>1.345001038765234</v>
      </c>
      <c r="K209" s="174">
        <f t="shared" si="174"/>
        <v>742</v>
      </c>
      <c r="L209" s="173">
        <v>342</v>
      </c>
      <c r="M209" s="173">
        <v>400</v>
      </c>
      <c r="N209" s="828">
        <f t="shared" si="175"/>
        <v>85.5</v>
      </c>
      <c r="O209" s="205">
        <f t="shared" si="176"/>
        <v>0.35409448420328643</v>
      </c>
      <c r="P209" s="173">
        <v>801</v>
      </c>
      <c r="Q209" s="173">
        <v>391</v>
      </c>
      <c r="R209" s="173">
        <v>410</v>
      </c>
      <c r="S209" s="174">
        <v>741</v>
      </c>
      <c r="T209" s="173">
        <v>342</v>
      </c>
      <c r="U209" s="772">
        <v>399</v>
      </c>
      <c r="V209" s="173">
        <v>60</v>
      </c>
      <c r="W209" s="173">
        <v>49</v>
      </c>
      <c r="X209" s="772">
        <v>11</v>
      </c>
      <c r="Y209" s="173"/>
      <c r="Z209" s="777">
        <v>19.809999999999999</v>
      </c>
      <c r="AA209" s="777">
        <f t="shared" si="182"/>
        <v>0.1981</v>
      </c>
      <c r="AB209" s="789">
        <f t="shared" si="183"/>
        <v>3745.583038869258</v>
      </c>
      <c r="AC209" s="789">
        <f t="shared" si="184"/>
        <v>4043.4124179707219</v>
      </c>
      <c r="AD209" s="173">
        <v>161</v>
      </c>
      <c r="AE209" s="773">
        <f t="shared" si="180"/>
        <v>4.975155279503106</v>
      </c>
      <c r="AF209" s="174">
        <f t="shared" si="181"/>
        <v>1401</v>
      </c>
      <c r="AG209" s="1200">
        <v>683</v>
      </c>
      <c r="AH209" s="1200">
        <v>718</v>
      </c>
      <c r="AI209" s="802" t="s">
        <v>499</v>
      </c>
      <c r="AJ209" s="198"/>
      <c r="AK209" s="185"/>
    </row>
    <row r="210" spans="1:37" s="150" customFormat="1" ht="15">
      <c r="A210" s="188" t="s">
        <v>500</v>
      </c>
      <c r="B210" s="173">
        <f t="shared" si="173"/>
        <v>484</v>
      </c>
      <c r="C210" s="173">
        <v>249</v>
      </c>
      <c r="D210" s="173">
        <v>235</v>
      </c>
      <c r="E210" s="173">
        <v>97</v>
      </c>
      <c r="F210" s="182">
        <v>4.9896907216494846</v>
      </c>
      <c r="G210" s="173">
        <f t="shared" si="185"/>
        <v>452</v>
      </c>
      <c r="H210" s="173">
        <v>218</v>
      </c>
      <c r="I210" s="173">
        <v>234</v>
      </c>
      <c r="J210" s="192">
        <f t="shared" si="186"/>
        <v>-1.1362579216677828</v>
      </c>
      <c r="K210" s="174">
        <f t="shared" si="174"/>
        <v>511</v>
      </c>
      <c r="L210" s="173">
        <v>231</v>
      </c>
      <c r="M210" s="173">
        <v>280</v>
      </c>
      <c r="N210" s="828">
        <f t="shared" si="175"/>
        <v>82.5</v>
      </c>
      <c r="O210" s="205">
        <f t="shared" si="176"/>
        <v>1.4433812984879197</v>
      </c>
      <c r="P210" s="173">
        <v>556</v>
      </c>
      <c r="Q210" s="173">
        <v>267</v>
      </c>
      <c r="R210" s="173">
        <v>289</v>
      </c>
      <c r="S210" s="174">
        <v>511</v>
      </c>
      <c r="T210" s="173">
        <v>231</v>
      </c>
      <c r="U210" s="772">
        <v>280</v>
      </c>
      <c r="V210" s="173">
        <v>45</v>
      </c>
      <c r="W210" s="173">
        <v>36</v>
      </c>
      <c r="X210" s="772">
        <v>9</v>
      </c>
      <c r="Y210" s="173"/>
      <c r="Z210" s="777">
        <v>24.44</v>
      </c>
      <c r="AA210" s="777">
        <f t="shared" si="182"/>
        <v>0.24440000000000001</v>
      </c>
      <c r="AB210" s="789">
        <f t="shared" si="183"/>
        <v>2090.834697217676</v>
      </c>
      <c r="AC210" s="789">
        <f t="shared" si="184"/>
        <v>2274.9590834697219</v>
      </c>
      <c r="AD210" s="173">
        <v>119</v>
      </c>
      <c r="AE210" s="773">
        <f t="shared" si="180"/>
        <v>4.6722689075630255</v>
      </c>
      <c r="AF210" s="174">
        <f t="shared" si="181"/>
        <v>937</v>
      </c>
      <c r="AG210" s="1200">
        <v>482</v>
      </c>
      <c r="AH210" s="1200">
        <v>455</v>
      </c>
      <c r="AI210" s="802" t="s">
        <v>501</v>
      </c>
      <c r="AJ210" s="198"/>
      <c r="AK210" s="185"/>
    </row>
    <row r="211" spans="1:37" s="150" customFormat="1" ht="15">
      <c r="A211" s="188" t="s">
        <v>404</v>
      </c>
      <c r="B211" s="173">
        <f t="shared" si="173"/>
        <v>1433</v>
      </c>
      <c r="C211" s="173">
        <v>703</v>
      </c>
      <c r="D211" s="173">
        <v>730</v>
      </c>
      <c r="E211" s="173">
        <v>198</v>
      </c>
      <c r="F211" s="182">
        <v>7.237373737373737</v>
      </c>
      <c r="G211" s="173">
        <f t="shared" si="185"/>
        <v>1137</v>
      </c>
      <c r="H211" s="173">
        <v>535</v>
      </c>
      <c r="I211" s="173">
        <v>602</v>
      </c>
      <c r="J211" s="192">
        <f t="shared" si="186"/>
        <v>-3.8434706657414579</v>
      </c>
      <c r="K211" s="174">
        <f t="shared" si="174"/>
        <v>1212</v>
      </c>
      <c r="L211" s="173">
        <v>616</v>
      </c>
      <c r="M211" s="173">
        <v>596</v>
      </c>
      <c r="N211" s="828">
        <f t="shared" si="175"/>
        <v>103.35570469798658</v>
      </c>
      <c r="O211" s="205">
        <f t="shared" si="176"/>
        <v>0.75151379857321954</v>
      </c>
      <c r="P211" s="173">
        <v>1280</v>
      </c>
      <c r="Q211" s="173">
        <v>679</v>
      </c>
      <c r="R211" s="173">
        <v>601</v>
      </c>
      <c r="S211" s="174">
        <v>1211</v>
      </c>
      <c r="T211" s="173">
        <v>616</v>
      </c>
      <c r="U211" s="772">
        <v>595</v>
      </c>
      <c r="V211" s="173">
        <v>69</v>
      </c>
      <c r="W211" s="173">
        <v>63</v>
      </c>
      <c r="X211" s="772">
        <v>6</v>
      </c>
      <c r="Y211" s="173"/>
      <c r="Z211" s="777">
        <v>37.4</v>
      </c>
      <c r="AA211" s="777">
        <f t="shared" si="182"/>
        <v>0.374</v>
      </c>
      <c r="AB211" s="789">
        <f t="shared" si="183"/>
        <v>3240.6417112299464</v>
      </c>
      <c r="AC211" s="789">
        <f t="shared" si="184"/>
        <v>3422.4598930481284</v>
      </c>
      <c r="AD211" s="173">
        <v>242</v>
      </c>
      <c r="AE211" s="773">
        <f t="shared" si="180"/>
        <v>5.2892561983471076</v>
      </c>
      <c r="AF211" s="174">
        <f t="shared" si="181"/>
        <v>2128</v>
      </c>
      <c r="AG211" s="1200">
        <v>1084</v>
      </c>
      <c r="AH211" s="1200">
        <v>1044</v>
      </c>
      <c r="AI211" s="802" t="s">
        <v>405</v>
      </c>
      <c r="AJ211" s="198"/>
      <c r="AK211" s="185"/>
    </row>
    <row r="212" spans="1:37" s="150" customFormat="1" ht="15">
      <c r="A212" s="188" t="s">
        <v>502</v>
      </c>
      <c r="B212" s="173">
        <f t="shared" si="173"/>
        <v>390</v>
      </c>
      <c r="C212" s="173">
        <v>188</v>
      </c>
      <c r="D212" s="173">
        <v>202</v>
      </c>
      <c r="E212" s="173">
        <v>81</v>
      </c>
      <c r="F212" s="182">
        <v>4.8148148148148149</v>
      </c>
      <c r="G212" s="173">
        <f t="shared" si="185"/>
        <v>347</v>
      </c>
      <c r="H212" s="173">
        <v>159</v>
      </c>
      <c r="I212" s="173">
        <v>188</v>
      </c>
      <c r="J212" s="192">
        <f t="shared" si="186"/>
        <v>-1.9405641059274583</v>
      </c>
      <c r="K212" s="174">
        <f t="shared" si="174"/>
        <v>370</v>
      </c>
      <c r="L212" s="173">
        <v>185</v>
      </c>
      <c r="M212" s="173">
        <v>185</v>
      </c>
      <c r="N212" s="828">
        <f t="shared" si="175"/>
        <v>100</v>
      </c>
      <c r="O212" s="205">
        <f t="shared" si="176"/>
        <v>0.75503794931071755</v>
      </c>
      <c r="P212" s="173">
        <v>432</v>
      </c>
      <c r="Q212" s="173">
        <v>239</v>
      </c>
      <c r="R212" s="173">
        <v>193</v>
      </c>
      <c r="S212" s="174">
        <v>370</v>
      </c>
      <c r="T212" s="173">
        <v>185</v>
      </c>
      <c r="U212" s="772">
        <v>185</v>
      </c>
      <c r="V212" s="173">
        <v>62</v>
      </c>
      <c r="W212" s="173">
        <v>54</v>
      </c>
      <c r="X212" s="772">
        <v>8</v>
      </c>
      <c r="Y212" s="173"/>
      <c r="Z212" s="777">
        <v>78.37</v>
      </c>
      <c r="AA212" s="777">
        <f t="shared" si="182"/>
        <v>0.78370000000000006</v>
      </c>
      <c r="AB212" s="789">
        <f t="shared" si="183"/>
        <v>472.11943345667981</v>
      </c>
      <c r="AC212" s="789">
        <f t="shared" si="184"/>
        <v>551.23133852239368</v>
      </c>
      <c r="AD212" s="173">
        <v>111</v>
      </c>
      <c r="AE212" s="773">
        <f t="shared" si="180"/>
        <v>3.8918918918918921</v>
      </c>
      <c r="AF212" s="174">
        <f t="shared" si="181"/>
        <v>674</v>
      </c>
      <c r="AG212" s="1200">
        <v>326</v>
      </c>
      <c r="AH212" s="1200">
        <v>348</v>
      </c>
      <c r="AI212" s="802" t="s">
        <v>503</v>
      </c>
      <c r="AJ212" s="198"/>
      <c r="AK212" s="185"/>
    </row>
    <row r="213" spans="1:37" s="150" customFormat="1" ht="15">
      <c r="A213" s="188" t="s">
        <v>504</v>
      </c>
      <c r="B213" s="173">
        <f t="shared" si="173"/>
        <v>273</v>
      </c>
      <c r="C213" s="173">
        <v>141</v>
      </c>
      <c r="D213" s="173">
        <v>132</v>
      </c>
      <c r="E213" s="173">
        <v>47</v>
      </c>
      <c r="F213" s="182">
        <v>5.8085106382978724</v>
      </c>
      <c r="G213" s="173">
        <f t="shared" si="185"/>
        <v>268</v>
      </c>
      <c r="H213" s="173">
        <v>138</v>
      </c>
      <c r="I213" s="173">
        <v>130</v>
      </c>
      <c r="J213" s="192">
        <f t="shared" si="186"/>
        <v>-0.30705672216118113</v>
      </c>
      <c r="K213" s="174">
        <f t="shared" si="174"/>
        <v>275</v>
      </c>
      <c r="L213" s="173">
        <v>142</v>
      </c>
      <c r="M213" s="173">
        <v>133</v>
      </c>
      <c r="N213" s="828">
        <f t="shared" si="175"/>
        <v>106.76691729323309</v>
      </c>
      <c r="O213" s="205">
        <f t="shared" si="176"/>
        <v>0.30334255477311334</v>
      </c>
      <c r="P213" s="173">
        <v>293</v>
      </c>
      <c r="Q213" s="173">
        <v>155</v>
      </c>
      <c r="R213" s="173">
        <v>138</v>
      </c>
      <c r="S213" s="174">
        <v>275</v>
      </c>
      <c r="T213" s="173">
        <v>142</v>
      </c>
      <c r="U213" s="772">
        <v>133</v>
      </c>
      <c r="V213" s="173">
        <v>18</v>
      </c>
      <c r="W213" s="173">
        <v>13</v>
      </c>
      <c r="X213" s="772">
        <v>5</v>
      </c>
      <c r="Y213" s="173"/>
      <c r="Z213" s="777">
        <v>26.5</v>
      </c>
      <c r="AA213" s="777">
        <f t="shared" si="182"/>
        <v>0.26500000000000001</v>
      </c>
      <c r="AB213" s="789">
        <f t="shared" si="183"/>
        <v>1037.7358490566037</v>
      </c>
      <c r="AC213" s="789">
        <f t="shared" si="184"/>
        <v>1105.6603773584905</v>
      </c>
      <c r="AD213" s="173">
        <v>56</v>
      </c>
      <c r="AE213" s="773">
        <f t="shared" si="180"/>
        <v>5.2321428571428568</v>
      </c>
      <c r="AF213" s="174">
        <f t="shared" si="181"/>
        <v>402</v>
      </c>
      <c r="AG213" s="1200">
        <v>216</v>
      </c>
      <c r="AH213" s="1200">
        <v>186</v>
      </c>
      <c r="AI213" s="802" t="s">
        <v>505</v>
      </c>
      <c r="AJ213" s="198"/>
      <c r="AK213" s="185"/>
    </row>
    <row r="214" spans="1:37" s="150" customFormat="1" ht="15">
      <c r="A214" s="188" t="s">
        <v>506</v>
      </c>
      <c r="B214" s="173">
        <f t="shared" si="173"/>
        <v>759</v>
      </c>
      <c r="C214" s="173">
        <v>369</v>
      </c>
      <c r="D214" s="173">
        <v>390</v>
      </c>
      <c r="E214" s="173">
        <v>123</v>
      </c>
      <c r="F214" s="182">
        <v>6.1707317073170733</v>
      </c>
      <c r="G214" s="173">
        <f t="shared" si="185"/>
        <v>845</v>
      </c>
      <c r="H214" s="173">
        <v>448</v>
      </c>
      <c r="I214" s="173">
        <v>397</v>
      </c>
      <c r="J214" s="192">
        <f t="shared" si="186"/>
        <v>1.7829709295937519</v>
      </c>
      <c r="K214" s="174">
        <f t="shared" si="174"/>
        <v>953</v>
      </c>
      <c r="L214" s="173">
        <v>499</v>
      </c>
      <c r="M214" s="173">
        <v>454</v>
      </c>
      <c r="N214" s="828">
        <f t="shared" si="175"/>
        <v>109.91189427312776</v>
      </c>
      <c r="O214" s="205">
        <f t="shared" si="176"/>
        <v>1.4150385446709217</v>
      </c>
      <c r="P214" s="173">
        <v>1039</v>
      </c>
      <c r="Q214" s="173">
        <v>579</v>
      </c>
      <c r="R214" s="173">
        <v>460</v>
      </c>
      <c r="S214" s="174">
        <v>952</v>
      </c>
      <c r="T214" s="173">
        <v>498</v>
      </c>
      <c r="U214" s="772">
        <v>454</v>
      </c>
      <c r="V214" s="173">
        <v>87</v>
      </c>
      <c r="W214" s="173">
        <v>81</v>
      </c>
      <c r="X214" s="772">
        <v>6</v>
      </c>
      <c r="Y214" s="173"/>
      <c r="Z214" s="777">
        <v>30.28</v>
      </c>
      <c r="AA214" s="777">
        <f t="shared" si="182"/>
        <v>0.30280000000000001</v>
      </c>
      <c r="AB214" s="789">
        <f t="shared" si="183"/>
        <v>3147.2919418758256</v>
      </c>
      <c r="AC214" s="789">
        <f t="shared" si="184"/>
        <v>3431.3077939233817</v>
      </c>
      <c r="AD214" s="173">
        <v>205</v>
      </c>
      <c r="AE214" s="773">
        <f t="shared" si="180"/>
        <v>5.0682926829268293</v>
      </c>
      <c r="AF214" s="174">
        <f t="shared" si="181"/>
        <v>1230</v>
      </c>
      <c r="AG214" s="1200">
        <v>642</v>
      </c>
      <c r="AH214" s="1200">
        <v>588</v>
      </c>
      <c r="AI214" s="802" t="s">
        <v>507</v>
      </c>
      <c r="AJ214" s="198"/>
      <c r="AK214" s="185"/>
    </row>
    <row r="215" spans="1:37" s="150" customFormat="1" ht="15">
      <c r="A215" s="188" t="s">
        <v>508</v>
      </c>
      <c r="B215" s="173">
        <f t="shared" si="173"/>
        <v>312</v>
      </c>
      <c r="C215" s="173">
        <v>134</v>
      </c>
      <c r="D215" s="173">
        <v>178</v>
      </c>
      <c r="E215" s="173">
        <v>61</v>
      </c>
      <c r="F215" s="182">
        <v>5.1147540983606561</v>
      </c>
      <c r="G215" s="173">
        <f t="shared" si="185"/>
        <v>198</v>
      </c>
      <c r="H215" s="173">
        <v>100</v>
      </c>
      <c r="I215" s="173">
        <v>98</v>
      </c>
      <c r="J215" s="192">
        <f t="shared" si="186"/>
        <v>-7.5537567627067652</v>
      </c>
      <c r="K215" s="174">
        <f t="shared" si="174"/>
        <v>239</v>
      </c>
      <c r="L215" s="173">
        <v>116</v>
      </c>
      <c r="M215" s="173">
        <v>123</v>
      </c>
      <c r="N215" s="828">
        <f t="shared" si="175"/>
        <v>94.308943089430898</v>
      </c>
      <c r="O215" s="205">
        <f t="shared" si="176"/>
        <v>2.214076720435004</v>
      </c>
      <c r="P215" s="173">
        <v>268</v>
      </c>
      <c r="Q215" s="173">
        <v>139</v>
      </c>
      <c r="R215" s="173">
        <v>129</v>
      </c>
      <c r="S215" s="174">
        <v>239</v>
      </c>
      <c r="T215" s="173">
        <v>116</v>
      </c>
      <c r="U215" s="772">
        <v>123</v>
      </c>
      <c r="V215" s="173">
        <v>29</v>
      </c>
      <c r="W215" s="173">
        <v>23</v>
      </c>
      <c r="X215" s="772">
        <v>6</v>
      </c>
      <c r="Y215" s="173"/>
      <c r="Z215" s="777">
        <v>12.92</v>
      </c>
      <c r="AA215" s="777">
        <f t="shared" si="182"/>
        <v>0.12920000000000001</v>
      </c>
      <c r="AB215" s="789">
        <f t="shared" si="183"/>
        <v>1849.84520123839</v>
      </c>
      <c r="AC215" s="789">
        <f t="shared" si="184"/>
        <v>2074.3034055727553</v>
      </c>
      <c r="AD215" s="173">
        <v>61</v>
      </c>
      <c r="AE215" s="773">
        <f t="shared" si="180"/>
        <v>4.3934426229508201</v>
      </c>
      <c r="AF215" s="174">
        <f t="shared" si="181"/>
        <v>720</v>
      </c>
      <c r="AG215" s="1200">
        <v>348</v>
      </c>
      <c r="AH215" s="1200">
        <v>372</v>
      </c>
      <c r="AI215" s="802" t="s">
        <v>509</v>
      </c>
      <c r="AJ215" s="198"/>
      <c r="AK215" s="185"/>
    </row>
    <row r="216" spans="1:37" s="150" customFormat="1" ht="15">
      <c r="A216" s="188" t="s">
        <v>510</v>
      </c>
      <c r="B216" s="173">
        <f t="shared" si="173"/>
        <v>1537</v>
      </c>
      <c r="C216" s="173">
        <v>782</v>
      </c>
      <c r="D216" s="173">
        <v>755</v>
      </c>
      <c r="E216" s="173">
        <v>250</v>
      </c>
      <c r="F216" s="182">
        <v>6.1479999999999997</v>
      </c>
      <c r="G216" s="173">
        <f t="shared" si="185"/>
        <v>1237</v>
      </c>
      <c r="H216" s="173">
        <v>601</v>
      </c>
      <c r="I216" s="173">
        <v>636</v>
      </c>
      <c r="J216" s="192">
        <f t="shared" si="186"/>
        <v>-3.6070327432908305</v>
      </c>
      <c r="K216" s="174">
        <f t="shared" si="174"/>
        <v>1102</v>
      </c>
      <c r="L216" s="173">
        <v>551</v>
      </c>
      <c r="M216" s="173">
        <v>551</v>
      </c>
      <c r="N216" s="828">
        <f t="shared" si="175"/>
        <v>100</v>
      </c>
      <c r="O216" s="205">
        <f t="shared" si="176"/>
        <v>-1.3595574432897417</v>
      </c>
      <c r="P216" s="173">
        <v>1190</v>
      </c>
      <c r="Q216" s="173">
        <v>627</v>
      </c>
      <c r="R216" s="173">
        <v>563</v>
      </c>
      <c r="S216" s="174">
        <v>1101</v>
      </c>
      <c r="T216" s="173">
        <v>551</v>
      </c>
      <c r="U216" s="772">
        <v>550</v>
      </c>
      <c r="V216" s="173">
        <v>89</v>
      </c>
      <c r="W216" s="173">
        <v>76</v>
      </c>
      <c r="X216" s="772">
        <v>13</v>
      </c>
      <c r="Y216" s="173"/>
      <c r="Z216" s="777">
        <v>21.57</v>
      </c>
      <c r="AA216" s="777">
        <f t="shared" si="182"/>
        <v>0.2157</v>
      </c>
      <c r="AB216" s="789">
        <f t="shared" si="183"/>
        <v>5108.9476124246639</v>
      </c>
      <c r="AC216" s="789">
        <f t="shared" si="184"/>
        <v>5516.9216504404267</v>
      </c>
      <c r="AD216" s="173">
        <v>261</v>
      </c>
      <c r="AE216" s="773">
        <f t="shared" si="180"/>
        <v>4.5593869731800769</v>
      </c>
      <c r="AF216" s="174">
        <f t="shared" si="181"/>
        <v>2672</v>
      </c>
      <c r="AG216" s="1200">
        <v>1412</v>
      </c>
      <c r="AH216" s="1200">
        <v>1260</v>
      </c>
      <c r="AI216" s="802" t="s">
        <v>511</v>
      </c>
      <c r="AJ216" s="198"/>
      <c r="AK216" s="185"/>
    </row>
    <row r="217" spans="1:37" s="150" customFormat="1" ht="15">
      <c r="A217" s="188" t="s">
        <v>512</v>
      </c>
      <c r="B217" s="173">
        <f t="shared" si="173"/>
        <v>763</v>
      </c>
      <c r="C217" s="173">
        <v>369</v>
      </c>
      <c r="D217" s="173">
        <v>394</v>
      </c>
      <c r="E217" s="173">
        <v>137</v>
      </c>
      <c r="F217" s="182">
        <v>5.5693430656934311</v>
      </c>
      <c r="G217" s="173">
        <f t="shared" si="185"/>
        <v>928</v>
      </c>
      <c r="H217" s="173">
        <v>480</v>
      </c>
      <c r="I217" s="173">
        <v>448</v>
      </c>
      <c r="J217" s="192">
        <f t="shared" si="186"/>
        <v>3.2520548422216535</v>
      </c>
      <c r="K217" s="174">
        <f t="shared" si="174"/>
        <v>1052</v>
      </c>
      <c r="L217" s="173">
        <v>525</v>
      </c>
      <c r="M217" s="173">
        <v>527</v>
      </c>
      <c r="N217" s="828">
        <f t="shared" si="175"/>
        <v>99.62049335863378</v>
      </c>
      <c r="O217" s="205">
        <f t="shared" si="176"/>
        <v>1.4754901236641713</v>
      </c>
      <c r="P217" s="173">
        <v>1118</v>
      </c>
      <c r="Q217" s="173">
        <v>573</v>
      </c>
      <c r="R217" s="173">
        <v>545</v>
      </c>
      <c r="S217" s="174">
        <v>1051</v>
      </c>
      <c r="T217" s="173">
        <v>524</v>
      </c>
      <c r="U217" s="772">
        <v>527</v>
      </c>
      <c r="V217" s="173">
        <v>67</v>
      </c>
      <c r="W217" s="173">
        <v>49</v>
      </c>
      <c r="X217" s="772">
        <v>18</v>
      </c>
      <c r="Y217" s="173"/>
      <c r="Z217" s="777">
        <v>41.3</v>
      </c>
      <c r="AA217" s="777">
        <f t="shared" si="182"/>
        <v>0.41299999999999998</v>
      </c>
      <c r="AB217" s="789">
        <f t="shared" si="183"/>
        <v>2547.2154963680387</v>
      </c>
      <c r="AC217" s="789">
        <f t="shared" si="184"/>
        <v>2707.0217917675545</v>
      </c>
      <c r="AD217" s="173">
        <v>209</v>
      </c>
      <c r="AE217" s="773">
        <f t="shared" si="180"/>
        <v>5.3492822966507179</v>
      </c>
      <c r="AF217" s="174">
        <f t="shared" si="181"/>
        <v>1385</v>
      </c>
      <c r="AG217" s="1200">
        <v>709</v>
      </c>
      <c r="AH217" s="1200">
        <v>676</v>
      </c>
      <c r="AI217" s="802" t="s">
        <v>513</v>
      </c>
      <c r="AJ217" s="198"/>
      <c r="AK217" s="185"/>
    </row>
    <row r="218" spans="1:37" s="150" customFormat="1" ht="15">
      <c r="A218" s="188" t="s">
        <v>514</v>
      </c>
      <c r="B218" s="173">
        <f t="shared" si="173"/>
        <v>833</v>
      </c>
      <c r="C218" s="173">
        <v>396</v>
      </c>
      <c r="D218" s="173">
        <v>437</v>
      </c>
      <c r="E218" s="173">
        <v>138</v>
      </c>
      <c r="F218" s="182">
        <v>6.0362318840579707</v>
      </c>
      <c r="G218" s="173">
        <f t="shared" si="185"/>
        <v>808</v>
      </c>
      <c r="H218" s="173">
        <v>390</v>
      </c>
      <c r="I218" s="173">
        <v>418</v>
      </c>
      <c r="J218" s="192">
        <f t="shared" si="186"/>
        <v>-0.50617248580975638</v>
      </c>
      <c r="K218" s="174">
        <f t="shared" si="174"/>
        <v>764</v>
      </c>
      <c r="L218" s="173">
        <v>364</v>
      </c>
      <c r="M218" s="173">
        <v>400</v>
      </c>
      <c r="N218" s="828">
        <f t="shared" si="175"/>
        <v>91</v>
      </c>
      <c r="O218" s="205">
        <f t="shared" si="176"/>
        <v>-0.65875611005382284</v>
      </c>
      <c r="P218" s="173">
        <v>768</v>
      </c>
      <c r="Q218" s="173">
        <v>371</v>
      </c>
      <c r="R218" s="173">
        <v>397</v>
      </c>
      <c r="S218" s="174">
        <v>747</v>
      </c>
      <c r="T218" s="173">
        <v>352</v>
      </c>
      <c r="U218" s="772">
        <v>395</v>
      </c>
      <c r="V218" s="173">
        <v>21</v>
      </c>
      <c r="W218" s="173">
        <v>19</v>
      </c>
      <c r="X218" s="772">
        <v>2</v>
      </c>
      <c r="Y218" s="173"/>
      <c r="Z218" s="777">
        <v>34.74</v>
      </c>
      <c r="AA218" s="777">
        <f t="shared" si="182"/>
        <v>0.34740000000000004</v>
      </c>
      <c r="AB218" s="789">
        <f t="shared" si="183"/>
        <v>2199.1940126655149</v>
      </c>
      <c r="AC218" s="789">
        <f t="shared" si="184"/>
        <v>2210.7081174438686</v>
      </c>
      <c r="AD218" s="173">
        <v>158</v>
      </c>
      <c r="AE218" s="773">
        <f t="shared" si="180"/>
        <v>4.8607594936708862</v>
      </c>
      <c r="AF218" s="174">
        <f t="shared" si="181"/>
        <v>1475</v>
      </c>
      <c r="AG218" s="1200">
        <v>753</v>
      </c>
      <c r="AH218" s="1200">
        <v>722</v>
      </c>
      <c r="AI218" s="802" t="s">
        <v>515</v>
      </c>
      <c r="AJ218" s="198"/>
      <c r="AK218" s="185"/>
    </row>
    <row r="219" spans="1:37" s="150" customFormat="1" ht="15">
      <c r="A219" s="188" t="s">
        <v>426</v>
      </c>
      <c r="B219" s="173">
        <f t="shared" si="173"/>
        <v>395</v>
      </c>
      <c r="C219" s="173">
        <v>196</v>
      </c>
      <c r="D219" s="173">
        <v>199</v>
      </c>
      <c r="E219" s="173">
        <v>78</v>
      </c>
      <c r="F219" s="182">
        <v>5.0641025641025639</v>
      </c>
      <c r="G219" s="173">
        <f t="shared" si="185"/>
        <v>365</v>
      </c>
      <c r="H219" s="173">
        <v>182</v>
      </c>
      <c r="I219" s="173">
        <v>183</v>
      </c>
      <c r="J219" s="192">
        <f t="shared" si="186"/>
        <v>-1.3120998557912016</v>
      </c>
      <c r="K219" s="174">
        <f t="shared" si="174"/>
        <v>415</v>
      </c>
      <c r="L219" s="173">
        <v>217</v>
      </c>
      <c r="M219" s="173">
        <v>198</v>
      </c>
      <c r="N219" s="828">
        <f t="shared" si="175"/>
        <v>109.5959595959596</v>
      </c>
      <c r="O219" s="205">
        <f t="shared" si="176"/>
        <v>1.510366666449493</v>
      </c>
      <c r="P219" s="173">
        <v>458</v>
      </c>
      <c r="Q219" s="173">
        <v>253</v>
      </c>
      <c r="R219" s="173">
        <v>205</v>
      </c>
      <c r="S219" s="174">
        <v>415</v>
      </c>
      <c r="T219" s="173">
        <v>217</v>
      </c>
      <c r="U219" s="772">
        <v>198</v>
      </c>
      <c r="V219" s="173">
        <v>43</v>
      </c>
      <c r="W219" s="173">
        <v>36</v>
      </c>
      <c r="X219" s="772">
        <v>7</v>
      </c>
      <c r="Y219" s="173"/>
      <c r="Z219" s="777">
        <v>36.79</v>
      </c>
      <c r="AA219" s="777">
        <f t="shared" si="182"/>
        <v>0.3679</v>
      </c>
      <c r="AB219" s="789">
        <f t="shared" si="183"/>
        <v>1128.0239195433542</v>
      </c>
      <c r="AC219" s="789">
        <f t="shared" si="184"/>
        <v>1244.9035063876054</v>
      </c>
      <c r="AD219" s="173">
        <v>108</v>
      </c>
      <c r="AE219" s="773">
        <f t="shared" si="180"/>
        <v>4.2407407407407405</v>
      </c>
      <c r="AF219" s="174">
        <f t="shared" si="181"/>
        <v>805</v>
      </c>
      <c r="AG219" s="1200">
        <v>418</v>
      </c>
      <c r="AH219" s="1200">
        <v>387</v>
      </c>
      <c r="AI219" s="802" t="s">
        <v>427</v>
      </c>
      <c r="AJ219" s="198"/>
      <c r="AK219" s="185"/>
    </row>
    <row r="220" spans="1:37" s="150" customFormat="1" ht="15">
      <c r="A220" s="188"/>
      <c r="B220" s="173"/>
      <c r="C220" s="173"/>
      <c r="D220" s="173"/>
      <c r="E220" s="173"/>
      <c r="F220" s="182"/>
      <c r="G220" s="173"/>
      <c r="H220" s="173"/>
      <c r="I220" s="173"/>
      <c r="J220" s="192"/>
      <c r="K220" s="174"/>
      <c r="L220" s="173"/>
      <c r="M220" s="173"/>
      <c r="N220" s="828"/>
      <c r="O220" s="205"/>
      <c r="P220" s="173"/>
      <c r="Q220" s="173"/>
      <c r="R220" s="173"/>
      <c r="S220" s="174"/>
      <c r="T220" s="173"/>
      <c r="U220" s="772"/>
      <c r="V220" s="173"/>
      <c r="W220" s="173"/>
      <c r="X220" s="772"/>
      <c r="Y220" s="173"/>
      <c r="Z220" s="777"/>
      <c r="AA220" s="777"/>
      <c r="AB220" s="789"/>
      <c r="AC220" s="789"/>
      <c r="AD220" s="173"/>
      <c r="AE220" s="773"/>
      <c r="AF220" s="174"/>
      <c r="AG220" s="202"/>
      <c r="AH220" s="202"/>
      <c r="AI220" s="803"/>
      <c r="AJ220" s="198"/>
      <c r="AK220" s="185"/>
    </row>
    <row r="221" spans="1:37" s="167" customFormat="1" ht="15">
      <c r="A221" s="190" t="s">
        <v>516</v>
      </c>
      <c r="B221" s="163">
        <f t="shared" ref="B221:B233" si="187">SUM(C221:D221)</f>
        <v>11497</v>
      </c>
      <c r="C221" s="163">
        <f>SUM(C222:C234)</f>
        <v>5754</v>
      </c>
      <c r="D221" s="163">
        <f>SUM(D222:D234)</f>
        <v>5743</v>
      </c>
      <c r="E221" s="163">
        <f>SUM(E222:E234)</f>
        <v>1887</v>
      </c>
      <c r="F221" s="164">
        <v>6.1247357293868925</v>
      </c>
      <c r="G221" s="163">
        <f>SUM(H221:I221)</f>
        <v>11743</v>
      </c>
      <c r="H221" s="163">
        <f>SUM(H222:H234)</f>
        <v>5928</v>
      </c>
      <c r="I221" s="163">
        <f>SUM(I222:I234)</f>
        <v>5815</v>
      </c>
      <c r="J221" s="168">
        <f t="shared" ref="J221:J233" si="188">LN(G221/B221)/6.02*100</f>
        <v>0.35168084071994915</v>
      </c>
      <c r="K221" s="166">
        <f t="shared" ref="K221:K234" si="189">SUM(L221:M221)</f>
        <v>11841</v>
      </c>
      <c r="L221" s="163">
        <f>SUM(L222:L234)</f>
        <v>5884</v>
      </c>
      <c r="M221" s="163">
        <f>SUM(M222:M234)</f>
        <v>5957</v>
      </c>
      <c r="N221" s="827">
        <f t="shared" si="175"/>
        <v>98.774550948463997</v>
      </c>
      <c r="O221" s="814">
        <f>LN(K221/G221)/8.5*100</f>
        <v>9.7773729010300819E-2</v>
      </c>
      <c r="P221" s="163">
        <f t="shared" ref="P221" si="190">SUM(Q221:R221)</f>
        <v>12676</v>
      </c>
      <c r="Q221" s="163">
        <f>SUM(Q222:Q234)</f>
        <v>6648</v>
      </c>
      <c r="R221" s="163">
        <f>SUM(R222:R234)</f>
        <v>6028</v>
      </c>
      <c r="S221" s="166">
        <f t="shared" ref="S221" si="191">SUM(T221:U221)</f>
        <v>11795</v>
      </c>
      <c r="T221" s="163">
        <f>SUM(T222:T234)</f>
        <v>5859</v>
      </c>
      <c r="U221" s="769">
        <f>SUM(U222:U234)</f>
        <v>5936</v>
      </c>
      <c r="V221" s="163">
        <f t="shared" ref="V221" si="192">SUM(W221:X221)</f>
        <v>881</v>
      </c>
      <c r="W221" s="163">
        <f>SUM(W222:W234)</f>
        <v>789</v>
      </c>
      <c r="X221" s="769">
        <f>SUM(X222:X234)</f>
        <v>92</v>
      </c>
      <c r="Y221" s="163"/>
      <c r="Z221" s="770" t="s">
        <v>187</v>
      </c>
      <c r="AA221" s="770" t="s">
        <v>187</v>
      </c>
      <c r="AB221" s="788" t="s">
        <v>187</v>
      </c>
      <c r="AC221" s="788" t="s">
        <v>187</v>
      </c>
      <c r="AD221" s="163">
        <f>SUM(AD222:AD234)</f>
        <v>2427</v>
      </c>
      <c r="AE221" s="771">
        <f t="shared" ref="AE221:AE234" si="193">P221/AD221</f>
        <v>5.2229089410795222</v>
      </c>
      <c r="AF221" s="166">
        <f>SUM(AG221:AH221)</f>
        <v>18885</v>
      </c>
      <c r="AG221" s="170">
        <f>SUM(AG222:AG234)</f>
        <v>9683</v>
      </c>
      <c r="AH221" s="170">
        <f>SUM(AH222:AH234)</f>
        <v>9202</v>
      </c>
      <c r="AI221" s="762" t="s">
        <v>517</v>
      </c>
      <c r="AJ221" s="196"/>
      <c r="AK221" s="152"/>
    </row>
    <row r="222" spans="1:37" s="150" customFormat="1" ht="15">
      <c r="A222" s="188" t="s">
        <v>518</v>
      </c>
      <c r="B222" s="173">
        <f t="shared" si="187"/>
        <v>1432</v>
      </c>
      <c r="C222" s="173">
        <v>688</v>
      </c>
      <c r="D222" s="173">
        <v>744</v>
      </c>
      <c r="E222" s="173">
        <v>257</v>
      </c>
      <c r="F222" s="182">
        <v>5.5719844357976651</v>
      </c>
      <c r="G222" s="173">
        <f>SUM(H222:I222)</f>
        <v>1559</v>
      </c>
      <c r="H222" s="173">
        <v>755</v>
      </c>
      <c r="I222" s="173">
        <v>804</v>
      </c>
      <c r="J222" s="192">
        <f t="shared" si="188"/>
        <v>1.4115036800196927</v>
      </c>
      <c r="K222" s="174">
        <f t="shared" si="189"/>
        <v>909</v>
      </c>
      <c r="L222" s="173">
        <v>426</v>
      </c>
      <c r="M222" s="173">
        <v>483</v>
      </c>
      <c r="N222" s="828">
        <f t="shared" si="175"/>
        <v>88.198757763975152</v>
      </c>
      <c r="O222" s="205">
        <f>LN(K222/G222)/8.5*100</f>
        <v>-6.3465267632976206</v>
      </c>
      <c r="P222" s="173">
        <v>958</v>
      </c>
      <c r="Q222" s="173">
        <v>469</v>
      </c>
      <c r="R222" s="173">
        <v>489</v>
      </c>
      <c r="S222" s="174">
        <v>907</v>
      </c>
      <c r="T222" s="173">
        <v>424</v>
      </c>
      <c r="U222" s="772">
        <v>483</v>
      </c>
      <c r="V222" s="173">
        <v>51</v>
      </c>
      <c r="W222" s="173">
        <v>45</v>
      </c>
      <c r="X222" s="772">
        <v>6</v>
      </c>
      <c r="Y222" s="173"/>
      <c r="Z222" s="777">
        <v>145.53</v>
      </c>
      <c r="AA222" s="777">
        <f>Z222/100</f>
        <v>1.4553</v>
      </c>
      <c r="AB222" s="789">
        <f t="shared" ref="AB222:AB234" si="194">K222/AA222</f>
        <v>624.61348175633884</v>
      </c>
      <c r="AC222" s="789">
        <f t="shared" ref="AC222:AC234" si="195">P222/AA222</f>
        <v>658.28351542637256</v>
      </c>
      <c r="AD222" s="173">
        <v>177</v>
      </c>
      <c r="AE222" s="773">
        <f t="shared" si="193"/>
        <v>5.4124293785310735</v>
      </c>
      <c r="AF222" s="174">
        <f>SUM(AG222:AH222)</f>
        <v>1432</v>
      </c>
      <c r="AG222" s="1200">
        <v>731</v>
      </c>
      <c r="AH222" s="1200">
        <v>701</v>
      </c>
      <c r="AI222" s="802" t="s">
        <v>519</v>
      </c>
      <c r="AJ222" s="198"/>
      <c r="AK222" s="185"/>
    </row>
    <row r="223" spans="1:37" s="150" customFormat="1" ht="15">
      <c r="A223" s="188" t="s">
        <v>520</v>
      </c>
      <c r="B223" s="173">
        <f t="shared" si="187"/>
        <v>601</v>
      </c>
      <c r="C223" s="173">
        <v>283</v>
      </c>
      <c r="D223" s="173">
        <v>318</v>
      </c>
      <c r="E223" s="173">
        <v>106</v>
      </c>
      <c r="F223" s="182">
        <v>5.6698113207547172</v>
      </c>
      <c r="G223" s="173">
        <f t="shared" ref="G223:G233" si="196">SUM(H223:I223)</f>
        <v>537</v>
      </c>
      <c r="H223" s="173">
        <v>263</v>
      </c>
      <c r="I223" s="173">
        <v>274</v>
      </c>
      <c r="J223" s="192">
        <f t="shared" si="188"/>
        <v>-1.8703794024309452</v>
      </c>
      <c r="K223" s="174">
        <f t="shared" si="189"/>
        <v>622</v>
      </c>
      <c r="L223" s="173">
        <v>327</v>
      </c>
      <c r="M223" s="173">
        <v>295</v>
      </c>
      <c r="N223" s="828">
        <f t="shared" si="175"/>
        <v>110.84745762711864</v>
      </c>
      <c r="O223" s="205">
        <f>LN(K223/G223)/8.5*100</f>
        <v>1.7287293909448795</v>
      </c>
      <c r="P223" s="173">
        <v>647</v>
      </c>
      <c r="Q223" s="173">
        <v>345</v>
      </c>
      <c r="R223" s="173">
        <v>302</v>
      </c>
      <c r="S223" s="174">
        <v>622</v>
      </c>
      <c r="T223" s="173">
        <v>327</v>
      </c>
      <c r="U223" s="772">
        <v>295</v>
      </c>
      <c r="V223" s="173">
        <v>25</v>
      </c>
      <c r="W223" s="173">
        <v>18</v>
      </c>
      <c r="X223" s="772">
        <v>7</v>
      </c>
      <c r="Y223" s="173"/>
      <c r="Z223" s="777">
        <v>53.23</v>
      </c>
      <c r="AA223" s="777">
        <f t="shared" ref="AA223:AA234" si="197">Z223/100</f>
        <v>0.5323</v>
      </c>
      <c r="AB223" s="789">
        <f t="shared" si="194"/>
        <v>1168.5139958669922</v>
      </c>
      <c r="AC223" s="789">
        <f t="shared" si="195"/>
        <v>1215.4799924854406</v>
      </c>
      <c r="AD223" s="173">
        <v>135</v>
      </c>
      <c r="AE223" s="773">
        <f t="shared" si="193"/>
        <v>4.7925925925925927</v>
      </c>
      <c r="AF223" s="174">
        <f>SUM(AG223:AH223)</f>
        <v>1088</v>
      </c>
      <c r="AG223" s="1200">
        <v>552</v>
      </c>
      <c r="AH223" s="1200">
        <v>536</v>
      </c>
      <c r="AI223" s="802" t="s">
        <v>521</v>
      </c>
      <c r="AJ223" s="198"/>
      <c r="AK223" s="185"/>
    </row>
    <row r="224" spans="1:37" s="150" customFormat="1" ht="15">
      <c r="A224" s="188" t="s">
        <v>522</v>
      </c>
      <c r="B224" s="173">
        <f t="shared" si="187"/>
        <v>793</v>
      </c>
      <c r="C224" s="173">
        <v>413</v>
      </c>
      <c r="D224" s="173">
        <v>380</v>
      </c>
      <c r="E224" s="173">
        <v>113</v>
      </c>
      <c r="F224" s="182">
        <v>7.0176991150442474</v>
      </c>
      <c r="G224" s="173">
        <f t="shared" si="196"/>
        <v>690</v>
      </c>
      <c r="H224" s="173">
        <v>351</v>
      </c>
      <c r="I224" s="173">
        <v>339</v>
      </c>
      <c r="J224" s="192">
        <f t="shared" si="188"/>
        <v>-2.311156545573803</v>
      </c>
      <c r="K224" s="174">
        <f t="shared" si="189"/>
        <v>608</v>
      </c>
      <c r="L224" s="173">
        <v>312</v>
      </c>
      <c r="M224" s="173">
        <v>296</v>
      </c>
      <c r="N224" s="828">
        <f t="shared" si="175"/>
        <v>105.40540540540539</v>
      </c>
      <c r="O224" s="205">
        <f>LN(K224/G224)/8.5*100</f>
        <v>-1.4884319485310362</v>
      </c>
      <c r="P224" s="173">
        <v>649</v>
      </c>
      <c r="Q224" s="173">
        <v>343</v>
      </c>
      <c r="R224" s="173">
        <v>306</v>
      </c>
      <c r="S224" s="174">
        <v>607</v>
      </c>
      <c r="T224" s="173">
        <v>311</v>
      </c>
      <c r="U224" s="772">
        <v>296</v>
      </c>
      <c r="V224" s="173">
        <v>42</v>
      </c>
      <c r="W224" s="173">
        <v>32</v>
      </c>
      <c r="X224" s="772">
        <v>10</v>
      </c>
      <c r="Y224" s="173"/>
      <c r="Z224" s="777">
        <v>59.24</v>
      </c>
      <c r="AA224" s="777">
        <f t="shared" si="197"/>
        <v>0.59240000000000004</v>
      </c>
      <c r="AB224" s="789">
        <f t="shared" si="194"/>
        <v>1026.3335584064821</v>
      </c>
      <c r="AC224" s="789">
        <f t="shared" si="195"/>
        <v>1095.5435516542875</v>
      </c>
      <c r="AD224" s="173">
        <v>137</v>
      </c>
      <c r="AE224" s="773">
        <f t="shared" si="193"/>
        <v>4.7372262773722627</v>
      </c>
      <c r="AF224" s="174">
        <f>SUM(AG224:AH224)</f>
        <v>1138</v>
      </c>
      <c r="AG224" s="1200">
        <v>596</v>
      </c>
      <c r="AH224" s="1200">
        <v>542</v>
      </c>
      <c r="AI224" s="802" t="s">
        <v>523</v>
      </c>
      <c r="AJ224" s="198"/>
      <c r="AK224" s="185"/>
    </row>
    <row r="225" spans="1:37" s="167" customFormat="1" ht="15">
      <c r="A225" s="188" t="s">
        <v>524</v>
      </c>
      <c r="B225" s="173">
        <f t="shared" si="187"/>
        <v>517</v>
      </c>
      <c r="C225" s="173">
        <v>264</v>
      </c>
      <c r="D225" s="173">
        <v>253</v>
      </c>
      <c r="E225" s="173">
        <v>80</v>
      </c>
      <c r="F225" s="182">
        <v>6.4625000000000004</v>
      </c>
      <c r="G225" s="173">
        <f t="shared" si="196"/>
        <v>372</v>
      </c>
      <c r="H225" s="173">
        <v>206</v>
      </c>
      <c r="I225" s="173">
        <v>166</v>
      </c>
      <c r="J225" s="192">
        <f t="shared" si="188"/>
        <v>-5.4675916982605095</v>
      </c>
      <c r="K225" s="174">
        <f t="shared" si="189"/>
        <v>222</v>
      </c>
      <c r="L225" s="173">
        <v>118</v>
      </c>
      <c r="M225" s="173">
        <v>104</v>
      </c>
      <c r="N225" s="828">
        <f t="shared" si="175"/>
        <v>113.46153846153845</v>
      </c>
      <c r="O225" s="205">
        <f>LN(K225/G225)/8.5*100</f>
        <v>-6.0731349694219654</v>
      </c>
      <c r="P225" s="173">
        <v>236</v>
      </c>
      <c r="Q225" s="173">
        <v>128</v>
      </c>
      <c r="R225" s="173">
        <v>108</v>
      </c>
      <c r="S225" s="174">
        <v>222</v>
      </c>
      <c r="T225" s="173">
        <v>118</v>
      </c>
      <c r="U225" s="772">
        <v>104</v>
      </c>
      <c r="V225" s="173">
        <v>14</v>
      </c>
      <c r="W225" s="173">
        <v>10</v>
      </c>
      <c r="X225" s="772">
        <v>4</v>
      </c>
      <c r="Y225" s="173"/>
      <c r="Z225" s="777">
        <v>23.58</v>
      </c>
      <c r="AA225" s="777">
        <f t="shared" si="197"/>
        <v>0.23579999999999998</v>
      </c>
      <c r="AB225" s="789">
        <f t="shared" si="194"/>
        <v>941.47582697201028</v>
      </c>
      <c r="AC225" s="789">
        <f t="shared" si="195"/>
        <v>1000.8481764206956</v>
      </c>
      <c r="AD225" s="173">
        <v>49</v>
      </c>
      <c r="AE225" s="773">
        <f t="shared" si="193"/>
        <v>4.8163265306122449</v>
      </c>
      <c r="AF225" s="174">
        <f>SUM(AG225:AH225)</f>
        <v>292</v>
      </c>
      <c r="AG225" s="1200">
        <v>150</v>
      </c>
      <c r="AH225" s="1200">
        <v>142</v>
      </c>
      <c r="AI225" s="802" t="s">
        <v>525</v>
      </c>
      <c r="AJ225" s="198"/>
      <c r="AK225" s="185"/>
    </row>
    <row r="226" spans="1:37" s="150" customFormat="1" ht="14.45" hidden="1" customHeight="1">
      <c r="A226" s="188" t="s">
        <v>978</v>
      </c>
      <c r="B226" s="173">
        <f t="shared" si="187"/>
        <v>433</v>
      </c>
      <c r="C226" s="173">
        <v>225</v>
      </c>
      <c r="D226" s="173">
        <v>208</v>
      </c>
      <c r="E226" s="173">
        <v>71</v>
      </c>
      <c r="F226" s="182">
        <v>6.098591549295775</v>
      </c>
      <c r="G226" s="173">
        <f t="shared" si="196"/>
        <v>434</v>
      </c>
      <c r="H226" s="173">
        <v>233</v>
      </c>
      <c r="I226" s="173">
        <v>201</v>
      </c>
      <c r="J226" s="192">
        <f t="shared" si="188"/>
        <v>3.8319038171347047E-2</v>
      </c>
      <c r="K226" s="174" t="s">
        <v>187</v>
      </c>
      <c r="L226" s="173" t="s">
        <v>187</v>
      </c>
      <c r="M226" s="173" t="s">
        <v>187</v>
      </c>
      <c r="N226" s="828" t="e">
        <f t="shared" si="175"/>
        <v>#VALUE!</v>
      </c>
      <c r="O226" s="205" t="s">
        <v>187</v>
      </c>
      <c r="P226" s="173"/>
      <c r="Q226" s="173"/>
      <c r="R226" s="173"/>
      <c r="S226" s="174"/>
      <c r="T226" s="173"/>
      <c r="U226" s="772"/>
      <c r="V226" s="173"/>
      <c r="W226" s="173"/>
      <c r="X226" s="772"/>
      <c r="Y226" s="173"/>
      <c r="Z226" s="777"/>
      <c r="AA226" s="777">
        <f t="shared" si="197"/>
        <v>0</v>
      </c>
      <c r="AB226" s="789" t="e">
        <f t="shared" si="194"/>
        <v>#VALUE!</v>
      </c>
      <c r="AC226" s="789" t="e">
        <f t="shared" si="195"/>
        <v>#DIV/0!</v>
      </c>
      <c r="AD226" s="173"/>
      <c r="AE226" s="773" t="e">
        <f t="shared" si="193"/>
        <v>#DIV/0!</v>
      </c>
      <c r="AF226" s="173" t="s">
        <v>187</v>
      </c>
      <c r="AG226" s="1199"/>
      <c r="AH226" s="1199"/>
      <c r="AI226" s="802" t="s">
        <v>526</v>
      </c>
      <c r="AJ226" s="198"/>
      <c r="AK226" s="185"/>
    </row>
    <row r="227" spans="1:37" s="150" customFormat="1" ht="15">
      <c r="A227" s="188" t="s">
        <v>527</v>
      </c>
      <c r="B227" s="173">
        <f t="shared" si="187"/>
        <v>2244</v>
      </c>
      <c r="C227" s="173">
        <v>1176</v>
      </c>
      <c r="D227" s="173">
        <v>1068</v>
      </c>
      <c r="E227" s="173">
        <v>337</v>
      </c>
      <c r="F227" s="182">
        <v>6.6587537091988134</v>
      </c>
      <c r="G227" s="173">
        <f t="shared" si="196"/>
        <v>2502</v>
      </c>
      <c r="H227" s="173">
        <v>1277</v>
      </c>
      <c r="I227" s="173">
        <v>1225</v>
      </c>
      <c r="J227" s="192">
        <f t="shared" si="188"/>
        <v>1.8078143585426834</v>
      </c>
      <c r="K227" s="174">
        <f t="shared" si="189"/>
        <v>2809</v>
      </c>
      <c r="L227" s="173">
        <v>1404</v>
      </c>
      <c r="M227" s="173">
        <v>1405</v>
      </c>
      <c r="N227" s="828">
        <f t="shared" si="175"/>
        <v>99.92882562277579</v>
      </c>
      <c r="O227" s="205">
        <f t="shared" ref="O227:O233" si="198">LN(K227/G227)/8.5*100</f>
        <v>1.3616251303222031</v>
      </c>
      <c r="P227" s="173">
        <v>3080</v>
      </c>
      <c r="Q227" s="173">
        <v>1657</v>
      </c>
      <c r="R227" s="173">
        <v>1423</v>
      </c>
      <c r="S227" s="174">
        <v>2793</v>
      </c>
      <c r="T227" s="173">
        <v>1394</v>
      </c>
      <c r="U227" s="772">
        <v>1399</v>
      </c>
      <c r="V227" s="173">
        <v>287</v>
      </c>
      <c r="W227" s="173">
        <v>263</v>
      </c>
      <c r="X227" s="772">
        <v>24</v>
      </c>
      <c r="Y227" s="173"/>
      <c r="Z227" s="782">
        <v>662.99</v>
      </c>
      <c r="AA227" s="777">
        <f t="shared" si="197"/>
        <v>6.6299000000000001</v>
      </c>
      <c r="AB227" s="789">
        <f t="shared" si="194"/>
        <v>423.68663177423491</v>
      </c>
      <c r="AC227" s="789">
        <f t="shared" si="195"/>
        <v>464.56205975957403</v>
      </c>
      <c r="AD227" s="173">
        <v>538</v>
      </c>
      <c r="AE227" s="773">
        <f t="shared" si="193"/>
        <v>5.7249070631970262</v>
      </c>
      <c r="AF227" s="174">
        <f t="shared" ref="AF227:AF234" si="199">SUM(AG227:AH227)</f>
        <v>5228</v>
      </c>
      <c r="AG227" s="1200">
        <v>2683</v>
      </c>
      <c r="AH227" s="1200">
        <v>2545</v>
      </c>
      <c r="AI227" s="802" t="s">
        <v>528</v>
      </c>
      <c r="AJ227" s="198"/>
      <c r="AK227" s="185"/>
    </row>
    <row r="228" spans="1:37" s="150" customFormat="1" ht="15">
      <c r="A228" s="188" t="s">
        <v>529</v>
      </c>
      <c r="B228" s="173">
        <f t="shared" si="187"/>
        <v>1351</v>
      </c>
      <c r="C228" s="173">
        <v>637</v>
      </c>
      <c r="D228" s="173">
        <v>714</v>
      </c>
      <c r="E228" s="173">
        <v>222</v>
      </c>
      <c r="F228" s="182">
        <v>6.0855855855855854</v>
      </c>
      <c r="G228" s="173">
        <f t="shared" si="196"/>
        <v>1373</v>
      </c>
      <c r="H228" s="173">
        <v>652</v>
      </c>
      <c r="I228" s="173">
        <v>721</v>
      </c>
      <c r="J228" s="192">
        <f t="shared" si="188"/>
        <v>0.26832338551116641</v>
      </c>
      <c r="K228" s="174">
        <f t="shared" si="189"/>
        <v>1400</v>
      </c>
      <c r="L228" s="173">
        <v>687</v>
      </c>
      <c r="M228" s="173">
        <v>713</v>
      </c>
      <c r="N228" s="828">
        <f t="shared" si="175"/>
        <v>96.353436185133233</v>
      </c>
      <c r="O228" s="205">
        <f t="shared" si="198"/>
        <v>0.22910717453386975</v>
      </c>
      <c r="P228" s="173">
        <v>1530</v>
      </c>
      <c r="Q228" s="173">
        <v>803</v>
      </c>
      <c r="R228" s="173">
        <v>727</v>
      </c>
      <c r="S228" s="174">
        <v>1399</v>
      </c>
      <c r="T228" s="173">
        <v>686</v>
      </c>
      <c r="U228" s="772">
        <v>713</v>
      </c>
      <c r="V228" s="173">
        <v>131</v>
      </c>
      <c r="W228" s="173">
        <v>117</v>
      </c>
      <c r="X228" s="772">
        <v>14</v>
      </c>
      <c r="Y228" s="173"/>
      <c r="Z228" s="777">
        <v>38.35</v>
      </c>
      <c r="AA228" s="777">
        <f t="shared" si="197"/>
        <v>0.38350000000000001</v>
      </c>
      <c r="AB228" s="789">
        <f t="shared" si="194"/>
        <v>3650.5867014341588</v>
      </c>
      <c r="AC228" s="789">
        <f t="shared" si="195"/>
        <v>3989.5697522816167</v>
      </c>
      <c r="AD228" s="173">
        <v>312</v>
      </c>
      <c r="AE228" s="773">
        <f t="shared" si="193"/>
        <v>4.9038461538461542</v>
      </c>
      <c r="AF228" s="174">
        <f t="shared" si="199"/>
        <v>2103</v>
      </c>
      <c r="AG228" s="1200">
        <v>1078</v>
      </c>
      <c r="AH228" s="1200">
        <v>1025</v>
      </c>
      <c r="AI228" s="802" t="s">
        <v>530</v>
      </c>
      <c r="AJ228" s="198"/>
      <c r="AK228" s="185"/>
    </row>
    <row r="229" spans="1:37" s="150" customFormat="1" ht="15">
      <c r="A229" s="188" t="s">
        <v>531</v>
      </c>
      <c r="B229" s="173">
        <f t="shared" si="187"/>
        <v>1740</v>
      </c>
      <c r="C229" s="173">
        <v>904</v>
      </c>
      <c r="D229" s="173">
        <v>836</v>
      </c>
      <c r="E229" s="173">
        <v>262</v>
      </c>
      <c r="F229" s="182">
        <v>6.6412213740458013</v>
      </c>
      <c r="G229" s="173">
        <f t="shared" si="196"/>
        <v>1762</v>
      </c>
      <c r="H229" s="173">
        <v>937</v>
      </c>
      <c r="I229" s="173">
        <v>825</v>
      </c>
      <c r="J229" s="192">
        <f t="shared" si="188"/>
        <v>0.20871120078986991</v>
      </c>
      <c r="K229" s="174">
        <f t="shared" si="189"/>
        <v>2101</v>
      </c>
      <c r="L229" s="173">
        <v>1037</v>
      </c>
      <c r="M229" s="173">
        <v>1064</v>
      </c>
      <c r="N229" s="828">
        <f t="shared" si="175"/>
        <v>97.462406015037601</v>
      </c>
      <c r="O229" s="205">
        <f t="shared" si="198"/>
        <v>2.0701634629279484</v>
      </c>
      <c r="P229" s="173">
        <v>2266</v>
      </c>
      <c r="Q229" s="173">
        <v>1210</v>
      </c>
      <c r="R229" s="173">
        <v>1056</v>
      </c>
      <c r="S229" s="174">
        <v>2078</v>
      </c>
      <c r="T229" s="173">
        <v>1027</v>
      </c>
      <c r="U229" s="772">
        <v>1051</v>
      </c>
      <c r="V229" s="173">
        <v>188</v>
      </c>
      <c r="W229" s="173">
        <v>183</v>
      </c>
      <c r="X229" s="772">
        <v>5</v>
      </c>
      <c r="Y229" s="173"/>
      <c r="Z229" s="777">
        <v>162.6</v>
      </c>
      <c r="AA229" s="777">
        <f t="shared" si="197"/>
        <v>1.6259999999999999</v>
      </c>
      <c r="AB229" s="789">
        <f t="shared" si="194"/>
        <v>1292.1279212792128</v>
      </c>
      <c r="AC229" s="789">
        <f t="shared" si="195"/>
        <v>1393.6039360393604</v>
      </c>
      <c r="AD229" s="173">
        <v>394</v>
      </c>
      <c r="AE229" s="773">
        <f t="shared" si="193"/>
        <v>5.751269035532995</v>
      </c>
      <c r="AF229" s="174">
        <f t="shared" si="199"/>
        <v>2972</v>
      </c>
      <c r="AG229" s="1200">
        <v>1536</v>
      </c>
      <c r="AH229" s="1200">
        <v>1436</v>
      </c>
      <c r="AI229" s="802" t="s">
        <v>532</v>
      </c>
      <c r="AJ229" s="198"/>
      <c r="AK229" s="185"/>
    </row>
    <row r="230" spans="1:37" s="150" customFormat="1" ht="15">
      <c r="A230" s="188" t="s">
        <v>533</v>
      </c>
      <c r="B230" s="173">
        <f t="shared" si="187"/>
        <v>268</v>
      </c>
      <c r="C230" s="173">
        <v>124</v>
      </c>
      <c r="D230" s="173">
        <v>144</v>
      </c>
      <c r="E230" s="173">
        <v>65</v>
      </c>
      <c r="F230" s="182">
        <v>4.1230769230769226</v>
      </c>
      <c r="G230" s="173">
        <f t="shared" si="196"/>
        <v>231</v>
      </c>
      <c r="H230" s="173">
        <v>110</v>
      </c>
      <c r="I230" s="173">
        <v>121</v>
      </c>
      <c r="J230" s="192">
        <f t="shared" si="188"/>
        <v>-2.467928072908026</v>
      </c>
      <c r="K230" s="174">
        <f t="shared" si="189"/>
        <v>174</v>
      </c>
      <c r="L230" s="173">
        <v>83</v>
      </c>
      <c r="M230" s="173">
        <v>91</v>
      </c>
      <c r="N230" s="828">
        <f t="shared" si="175"/>
        <v>91.208791208791212</v>
      </c>
      <c r="O230" s="205">
        <f t="shared" si="198"/>
        <v>-3.3336754271442879</v>
      </c>
      <c r="P230" s="173">
        <v>178</v>
      </c>
      <c r="Q230" s="173">
        <v>85</v>
      </c>
      <c r="R230" s="173">
        <v>93</v>
      </c>
      <c r="S230" s="174">
        <v>174</v>
      </c>
      <c r="T230" s="173">
        <v>83</v>
      </c>
      <c r="U230" s="772">
        <v>91</v>
      </c>
      <c r="V230" s="173">
        <v>4</v>
      </c>
      <c r="W230" s="173">
        <v>2</v>
      </c>
      <c r="X230" s="772">
        <v>2</v>
      </c>
      <c r="Y230" s="173"/>
      <c r="Z230" s="777">
        <v>69.14</v>
      </c>
      <c r="AA230" s="777">
        <f t="shared" si="197"/>
        <v>0.69140000000000001</v>
      </c>
      <c r="AB230" s="789">
        <f t="shared" si="194"/>
        <v>251.66329187156492</v>
      </c>
      <c r="AC230" s="789">
        <f t="shared" si="195"/>
        <v>257.44865490309519</v>
      </c>
      <c r="AD230" s="173">
        <v>50</v>
      </c>
      <c r="AE230" s="773">
        <f t="shared" si="193"/>
        <v>3.56</v>
      </c>
      <c r="AF230" s="174">
        <f t="shared" si="199"/>
        <v>1</v>
      </c>
      <c r="AG230" s="1200">
        <v>1</v>
      </c>
      <c r="AH230" s="1200"/>
      <c r="AI230" s="802" t="s">
        <v>534</v>
      </c>
      <c r="AJ230" s="198"/>
      <c r="AK230" s="185"/>
    </row>
    <row r="231" spans="1:37" s="150" customFormat="1" ht="15">
      <c r="A231" s="188" t="s">
        <v>535</v>
      </c>
      <c r="B231" s="173">
        <f t="shared" si="187"/>
        <v>896</v>
      </c>
      <c r="C231" s="173">
        <v>442</v>
      </c>
      <c r="D231" s="173">
        <v>454</v>
      </c>
      <c r="E231" s="173">
        <v>151</v>
      </c>
      <c r="F231" s="182">
        <v>5.9337748344370862</v>
      </c>
      <c r="G231" s="173">
        <f t="shared" si="196"/>
        <v>845</v>
      </c>
      <c r="H231" s="173">
        <v>401</v>
      </c>
      <c r="I231" s="173">
        <v>444</v>
      </c>
      <c r="J231" s="192">
        <f t="shared" si="188"/>
        <v>-0.97348481092619077</v>
      </c>
      <c r="K231" s="174">
        <f t="shared" si="189"/>
        <v>826</v>
      </c>
      <c r="L231" s="173">
        <v>406</v>
      </c>
      <c r="M231" s="173">
        <v>420</v>
      </c>
      <c r="N231" s="828">
        <f t="shared" si="175"/>
        <v>96.666666666666671</v>
      </c>
      <c r="O231" s="205">
        <f t="shared" si="198"/>
        <v>-0.26755122160230388</v>
      </c>
      <c r="P231" s="173">
        <v>896</v>
      </c>
      <c r="Q231" s="173">
        <v>472</v>
      </c>
      <c r="R231" s="173">
        <v>424</v>
      </c>
      <c r="S231" s="174">
        <v>824</v>
      </c>
      <c r="T231" s="173">
        <v>406</v>
      </c>
      <c r="U231" s="772">
        <v>418</v>
      </c>
      <c r="V231" s="173">
        <v>72</v>
      </c>
      <c r="W231" s="173">
        <v>66</v>
      </c>
      <c r="X231" s="772">
        <v>6</v>
      </c>
      <c r="Y231" s="173"/>
      <c r="Z231" s="777">
        <v>18.690000000000001</v>
      </c>
      <c r="AA231" s="777">
        <f t="shared" si="197"/>
        <v>0.18690000000000001</v>
      </c>
      <c r="AB231" s="789">
        <f t="shared" si="194"/>
        <v>4419.4756554307114</v>
      </c>
      <c r="AC231" s="789">
        <f t="shared" si="195"/>
        <v>4794.0074906367036</v>
      </c>
      <c r="AD231" s="173">
        <v>188</v>
      </c>
      <c r="AE231" s="773">
        <f t="shared" si="193"/>
        <v>4.7659574468085104</v>
      </c>
      <c r="AF231" s="174">
        <f t="shared" si="199"/>
        <v>1343</v>
      </c>
      <c r="AG231" s="1200">
        <v>641</v>
      </c>
      <c r="AH231" s="1200">
        <v>702</v>
      </c>
      <c r="AI231" s="802" t="s">
        <v>536</v>
      </c>
      <c r="AJ231" s="198"/>
      <c r="AK231" s="185"/>
    </row>
    <row r="232" spans="1:37" s="150" customFormat="1" ht="15">
      <c r="A232" s="188" t="s">
        <v>537</v>
      </c>
      <c r="B232" s="173">
        <f t="shared" si="187"/>
        <v>694</v>
      </c>
      <c r="C232" s="173">
        <v>348</v>
      </c>
      <c r="D232" s="173">
        <v>346</v>
      </c>
      <c r="E232" s="173">
        <v>135</v>
      </c>
      <c r="F232" s="182">
        <v>5.1407407407407408</v>
      </c>
      <c r="G232" s="173">
        <f t="shared" si="196"/>
        <v>836</v>
      </c>
      <c r="H232" s="173">
        <v>438</v>
      </c>
      <c r="I232" s="173">
        <v>398</v>
      </c>
      <c r="J232" s="192">
        <f t="shared" si="188"/>
        <v>3.0923031989683913</v>
      </c>
      <c r="K232" s="174">
        <f t="shared" si="189"/>
        <v>990</v>
      </c>
      <c r="L232" s="173">
        <v>508</v>
      </c>
      <c r="M232" s="173">
        <v>482</v>
      </c>
      <c r="N232" s="828">
        <f t="shared" si="175"/>
        <v>105.3941908713693</v>
      </c>
      <c r="O232" s="205">
        <f t="shared" si="198"/>
        <v>1.9891332946345166</v>
      </c>
      <c r="P232" s="173">
        <v>1007</v>
      </c>
      <c r="Q232" s="173">
        <v>523</v>
      </c>
      <c r="R232" s="173">
        <v>484</v>
      </c>
      <c r="S232" s="174">
        <v>989</v>
      </c>
      <c r="T232" s="173">
        <v>507</v>
      </c>
      <c r="U232" s="772">
        <v>482</v>
      </c>
      <c r="V232" s="173">
        <v>18</v>
      </c>
      <c r="W232" s="173">
        <v>16</v>
      </c>
      <c r="X232" s="772">
        <v>2</v>
      </c>
      <c r="Y232" s="173"/>
      <c r="Z232" s="777">
        <v>112.59</v>
      </c>
      <c r="AA232" s="777">
        <f t="shared" si="197"/>
        <v>1.1259000000000001</v>
      </c>
      <c r="AB232" s="789">
        <f t="shared" si="194"/>
        <v>879.29656274980005</v>
      </c>
      <c r="AC232" s="789">
        <f t="shared" si="195"/>
        <v>894.39559463540274</v>
      </c>
      <c r="AD232" s="173">
        <v>196</v>
      </c>
      <c r="AE232" s="773">
        <f t="shared" si="193"/>
        <v>5.1377551020408161</v>
      </c>
      <c r="AF232" s="174">
        <f t="shared" si="199"/>
        <v>1270</v>
      </c>
      <c r="AG232" s="1200">
        <v>651</v>
      </c>
      <c r="AH232" s="1200">
        <v>619</v>
      </c>
      <c r="AI232" s="802" t="s">
        <v>538</v>
      </c>
      <c r="AJ232" s="198"/>
      <c r="AK232" s="185"/>
    </row>
    <row r="233" spans="1:37" s="150" customFormat="1" ht="15">
      <c r="A233" s="188" t="s">
        <v>539</v>
      </c>
      <c r="B233" s="173">
        <f t="shared" si="187"/>
        <v>528</v>
      </c>
      <c r="C233" s="173">
        <v>250</v>
      </c>
      <c r="D233" s="173">
        <v>278</v>
      </c>
      <c r="E233" s="173">
        <v>88</v>
      </c>
      <c r="F233" s="182">
        <v>6</v>
      </c>
      <c r="G233" s="173">
        <f t="shared" si="196"/>
        <v>602</v>
      </c>
      <c r="H233" s="173">
        <v>305</v>
      </c>
      <c r="I233" s="173">
        <v>297</v>
      </c>
      <c r="J233" s="192">
        <f t="shared" si="188"/>
        <v>2.1787568372518202</v>
      </c>
      <c r="K233" s="174">
        <f t="shared" si="189"/>
        <v>628</v>
      </c>
      <c r="L233" s="173">
        <v>307</v>
      </c>
      <c r="M233" s="173">
        <v>321</v>
      </c>
      <c r="N233" s="828">
        <f t="shared" si="175"/>
        <v>95.638629283489095</v>
      </c>
      <c r="O233" s="205">
        <f t="shared" si="198"/>
        <v>0.4974437783456187</v>
      </c>
      <c r="P233" s="173">
        <v>650</v>
      </c>
      <c r="Q233" s="173">
        <v>324</v>
      </c>
      <c r="R233" s="173">
        <v>326</v>
      </c>
      <c r="S233" s="174">
        <v>628</v>
      </c>
      <c r="T233" s="173">
        <v>307</v>
      </c>
      <c r="U233" s="772">
        <v>321</v>
      </c>
      <c r="V233" s="173">
        <v>22</v>
      </c>
      <c r="W233" s="173">
        <v>17</v>
      </c>
      <c r="X233" s="772">
        <v>5</v>
      </c>
      <c r="Y233" s="173"/>
      <c r="Z233" s="777">
        <v>91.69</v>
      </c>
      <c r="AA233" s="777">
        <f t="shared" si="197"/>
        <v>0.91689999999999994</v>
      </c>
      <c r="AB233" s="789">
        <f t="shared" si="194"/>
        <v>684.91656669211477</v>
      </c>
      <c r="AC233" s="789">
        <f t="shared" si="195"/>
        <v>708.9104591558513</v>
      </c>
      <c r="AD233" s="173">
        <v>114</v>
      </c>
      <c r="AE233" s="773">
        <f t="shared" si="193"/>
        <v>5.7017543859649127</v>
      </c>
      <c r="AF233" s="174">
        <f t="shared" si="199"/>
        <v>916</v>
      </c>
      <c r="AG233" s="1199">
        <v>465</v>
      </c>
      <c r="AH233" s="1199">
        <v>451</v>
      </c>
      <c r="AI233" s="802" t="s">
        <v>540</v>
      </c>
      <c r="AJ233" s="198"/>
      <c r="AK233" s="185"/>
    </row>
    <row r="234" spans="1:37" s="150" customFormat="1" ht="15">
      <c r="A234" s="197" t="s">
        <v>979</v>
      </c>
      <c r="B234" s="182" t="s">
        <v>187</v>
      </c>
      <c r="C234" s="182" t="s">
        <v>187</v>
      </c>
      <c r="D234" s="182" t="s">
        <v>187</v>
      </c>
      <c r="E234" s="182" t="s">
        <v>187</v>
      </c>
      <c r="F234" s="182" t="s">
        <v>187</v>
      </c>
      <c r="G234" s="173" t="s">
        <v>187</v>
      </c>
      <c r="H234" s="173" t="s">
        <v>187</v>
      </c>
      <c r="I234" s="173" t="s">
        <v>187</v>
      </c>
      <c r="J234" s="182" t="s">
        <v>187</v>
      </c>
      <c r="K234" s="174">
        <f t="shared" si="189"/>
        <v>552</v>
      </c>
      <c r="L234" s="173">
        <v>269</v>
      </c>
      <c r="M234" s="173">
        <v>283</v>
      </c>
      <c r="N234" s="828">
        <f t="shared" si="175"/>
        <v>95.053003533568898</v>
      </c>
      <c r="O234" s="816" t="s">
        <v>187</v>
      </c>
      <c r="P234" s="173">
        <v>579</v>
      </c>
      <c r="Q234" s="173">
        <v>289</v>
      </c>
      <c r="R234" s="173">
        <v>290</v>
      </c>
      <c r="S234" s="174">
        <v>552</v>
      </c>
      <c r="T234" s="173">
        <v>269</v>
      </c>
      <c r="U234" s="772">
        <v>283</v>
      </c>
      <c r="V234" s="173">
        <v>27</v>
      </c>
      <c r="W234" s="173">
        <v>20</v>
      </c>
      <c r="X234" s="772">
        <v>7</v>
      </c>
      <c r="Y234" s="173"/>
      <c r="Z234" s="777">
        <v>27.12</v>
      </c>
      <c r="AA234" s="777">
        <f t="shared" si="197"/>
        <v>0.2712</v>
      </c>
      <c r="AB234" s="789">
        <f t="shared" si="194"/>
        <v>2035.3982300884957</v>
      </c>
      <c r="AC234" s="789">
        <f t="shared" si="195"/>
        <v>2134.9557522123896</v>
      </c>
      <c r="AD234" s="173">
        <v>137</v>
      </c>
      <c r="AE234" s="773">
        <f t="shared" si="193"/>
        <v>4.226277372262774</v>
      </c>
      <c r="AF234" s="174">
        <f t="shared" si="199"/>
        <v>1102</v>
      </c>
      <c r="AG234" s="1199">
        <v>599</v>
      </c>
      <c r="AH234" s="1199">
        <v>503</v>
      </c>
      <c r="AI234" s="806" t="s">
        <v>965</v>
      </c>
      <c r="AJ234" s="198"/>
      <c r="AK234" s="185"/>
    </row>
    <row r="235" spans="1:37" s="150" customFormat="1" ht="15">
      <c r="A235" s="188"/>
      <c r="B235" s="173"/>
      <c r="C235" s="173"/>
      <c r="D235" s="173"/>
      <c r="E235" s="173"/>
      <c r="F235" s="182"/>
      <c r="G235" s="173"/>
      <c r="H235" s="173"/>
      <c r="I235" s="173"/>
      <c r="J235" s="192"/>
      <c r="K235" s="174"/>
      <c r="L235" s="173"/>
      <c r="M235" s="173"/>
      <c r="N235" s="828"/>
      <c r="O235" s="205"/>
      <c r="P235" s="173"/>
      <c r="Q235" s="173"/>
      <c r="R235" s="173"/>
      <c r="S235" s="174"/>
      <c r="T235" s="173"/>
      <c r="U235" s="772"/>
      <c r="V235" s="173"/>
      <c r="W235" s="173"/>
      <c r="X235" s="772"/>
      <c r="Y235" s="173"/>
      <c r="Z235" s="774"/>
      <c r="AA235" s="774"/>
      <c r="AB235" s="789"/>
      <c r="AC235" s="789"/>
      <c r="AD235" s="173"/>
      <c r="AE235" s="773"/>
      <c r="AF235" s="174"/>
      <c r="AG235" s="202"/>
      <c r="AH235" s="202"/>
      <c r="AI235" s="805"/>
      <c r="AJ235" s="198"/>
      <c r="AK235" s="185"/>
    </row>
    <row r="236" spans="1:37" s="167" customFormat="1" ht="15">
      <c r="A236" s="190" t="s">
        <v>541</v>
      </c>
      <c r="B236" s="163">
        <f t="shared" ref="B236:B246" si="200">SUM(C236:D236)</f>
        <v>8129</v>
      </c>
      <c r="C236" s="163">
        <f>SUM(C237:C246)</f>
        <v>4011</v>
      </c>
      <c r="D236" s="163">
        <f>SUM(D237:D246)</f>
        <v>4118</v>
      </c>
      <c r="E236" s="163">
        <f>SUM(E237:E246)</f>
        <v>1411</v>
      </c>
      <c r="F236" s="164">
        <v>5.8420679886685551</v>
      </c>
      <c r="G236" s="163">
        <f>SUM(H236:I236)</f>
        <v>8007</v>
      </c>
      <c r="H236" s="163">
        <f>SUM(H237:H246)</f>
        <v>3934</v>
      </c>
      <c r="I236" s="163">
        <f>SUM(I237:I246)</f>
        <v>4073</v>
      </c>
      <c r="J236" s="168">
        <f t="shared" ref="J236:J246" si="201">LN(G236/B236)/6.02*100</f>
        <v>-0.25119195471658667</v>
      </c>
      <c r="K236" s="166">
        <f t="shared" ref="K236:K242" si="202">SUM(L236:M236)</f>
        <v>8477</v>
      </c>
      <c r="L236" s="163">
        <f>SUM(L237:L246)</f>
        <v>4404</v>
      </c>
      <c r="M236" s="163">
        <f>SUM(M237:M246)</f>
        <v>4073</v>
      </c>
      <c r="N236" s="827">
        <f t="shared" si="175"/>
        <v>108.12668794500368</v>
      </c>
      <c r="O236" s="814">
        <f t="shared" ref="O236:O243" si="203">LN(K236/G236)/8.5*100</f>
        <v>0.67106417100907878</v>
      </c>
      <c r="P236" s="163">
        <f t="shared" ref="P236" si="204">SUM(Q236:R236)</f>
        <v>9221</v>
      </c>
      <c r="Q236" s="163">
        <f>SUM(Q237:Q246)</f>
        <v>5126</v>
      </c>
      <c r="R236" s="163">
        <f>SUM(R237:R246)</f>
        <v>4095</v>
      </c>
      <c r="S236" s="166">
        <f t="shared" ref="S236" si="205">SUM(T236:U236)</f>
        <v>8334</v>
      </c>
      <c r="T236" s="163">
        <f>SUM(T237:T246)</f>
        <v>4335</v>
      </c>
      <c r="U236" s="769">
        <f>SUM(U237:U246)</f>
        <v>3999</v>
      </c>
      <c r="V236" s="163">
        <f t="shared" ref="V236" si="206">SUM(W236:X236)</f>
        <v>887</v>
      </c>
      <c r="W236" s="163">
        <f>SUM(W237:W246)</f>
        <v>791</v>
      </c>
      <c r="X236" s="769">
        <f>SUM(X237:X246)</f>
        <v>96</v>
      </c>
      <c r="Y236" s="163"/>
      <c r="Z236" s="770" t="s">
        <v>187</v>
      </c>
      <c r="AA236" s="770" t="s">
        <v>187</v>
      </c>
      <c r="AB236" s="788" t="s">
        <v>187</v>
      </c>
      <c r="AC236" s="788" t="s">
        <v>187</v>
      </c>
      <c r="AD236" s="163">
        <f>SUM(AD237:AD246)</f>
        <v>1867</v>
      </c>
      <c r="AE236" s="771">
        <f t="shared" ref="AE236:AE243" si="207">P236/AD236</f>
        <v>4.9389394750937337</v>
      </c>
      <c r="AF236" s="166">
        <f t="shared" ref="AF236:AF246" si="208">SUM(AG236:AH236)</f>
        <v>14856</v>
      </c>
      <c r="AG236" s="170">
        <f>SUM(AG237:AG246)</f>
        <v>7626</v>
      </c>
      <c r="AH236" s="170">
        <f>SUM(AH237:AH246)</f>
        <v>7230</v>
      </c>
      <c r="AI236" s="762" t="s">
        <v>542</v>
      </c>
      <c r="AJ236" s="196"/>
      <c r="AK236" s="152"/>
    </row>
    <row r="237" spans="1:37" s="150" customFormat="1" ht="15">
      <c r="A237" s="188" t="s">
        <v>543</v>
      </c>
      <c r="B237" s="173">
        <f t="shared" si="200"/>
        <v>1139</v>
      </c>
      <c r="C237" s="173">
        <v>560</v>
      </c>
      <c r="D237" s="173">
        <v>579</v>
      </c>
      <c r="E237" s="173">
        <v>184</v>
      </c>
      <c r="F237" s="182">
        <v>6.1902173913043477</v>
      </c>
      <c r="G237" s="173">
        <f>SUM(H237:I237)</f>
        <v>1087</v>
      </c>
      <c r="H237" s="173">
        <v>542</v>
      </c>
      <c r="I237" s="173">
        <v>545</v>
      </c>
      <c r="J237" s="192">
        <f t="shared" si="201"/>
        <v>-0.77623050375369862</v>
      </c>
      <c r="K237" s="174">
        <f t="shared" si="202"/>
        <v>894</v>
      </c>
      <c r="L237" s="173">
        <v>494</v>
      </c>
      <c r="M237" s="173">
        <v>400</v>
      </c>
      <c r="N237" s="828">
        <f t="shared" si="175"/>
        <v>123.50000000000001</v>
      </c>
      <c r="O237" s="205">
        <f t="shared" si="203"/>
        <v>-2.2996601405611221</v>
      </c>
      <c r="P237" s="173">
        <v>958</v>
      </c>
      <c r="Q237" s="173">
        <v>566</v>
      </c>
      <c r="R237" s="173">
        <v>392</v>
      </c>
      <c r="S237" s="174">
        <v>871</v>
      </c>
      <c r="T237" s="173">
        <v>486</v>
      </c>
      <c r="U237" s="772">
        <v>385</v>
      </c>
      <c r="V237" s="173">
        <v>87</v>
      </c>
      <c r="W237" s="173">
        <v>80</v>
      </c>
      <c r="X237" s="772">
        <v>7</v>
      </c>
      <c r="Y237" s="173"/>
      <c r="Z237" s="777">
        <v>35.5</v>
      </c>
      <c r="AA237" s="777">
        <f t="shared" ref="AA237:AA243" si="209">Z237/100</f>
        <v>0.35499999999999998</v>
      </c>
      <c r="AB237" s="789">
        <f t="shared" ref="AB237:AB243" si="210">K237/AA237</f>
        <v>2518.3098591549297</v>
      </c>
      <c r="AC237" s="789">
        <f t="shared" ref="AC237:AC243" si="211">P237/AA237</f>
        <v>2698.5915492957747</v>
      </c>
      <c r="AD237" s="173">
        <v>227</v>
      </c>
      <c r="AE237" s="773">
        <f t="shared" si="207"/>
        <v>4.2202643171806171</v>
      </c>
      <c r="AF237" s="174">
        <f t="shared" si="208"/>
        <v>1680</v>
      </c>
      <c r="AG237" s="1200">
        <v>873</v>
      </c>
      <c r="AH237" s="1200">
        <v>807</v>
      </c>
      <c r="AI237" s="802" t="s">
        <v>544</v>
      </c>
      <c r="AJ237" s="198"/>
      <c r="AK237" s="185"/>
    </row>
    <row r="238" spans="1:37" s="150" customFormat="1" ht="15">
      <c r="A238" s="188" t="s">
        <v>545</v>
      </c>
      <c r="B238" s="173">
        <f t="shared" si="200"/>
        <v>2261</v>
      </c>
      <c r="C238" s="173">
        <v>1129</v>
      </c>
      <c r="D238" s="173">
        <v>1132</v>
      </c>
      <c r="E238" s="173">
        <v>364</v>
      </c>
      <c r="F238" s="182">
        <v>6.2115384615384617</v>
      </c>
      <c r="G238" s="173">
        <f t="shared" ref="G238:G246" si="212">SUM(H238:I238)</f>
        <v>1976</v>
      </c>
      <c r="H238" s="173">
        <v>951</v>
      </c>
      <c r="I238" s="173">
        <v>1025</v>
      </c>
      <c r="J238" s="192">
        <f t="shared" si="201"/>
        <v>-2.2380829563148961</v>
      </c>
      <c r="K238" s="174">
        <f t="shared" si="202"/>
        <v>2554</v>
      </c>
      <c r="L238" s="173">
        <v>1348</v>
      </c>
      <c r="M238" s="173">
        <v>1206</v>
      </c>
      <c r="N238" s="828">
        <f t="shared" si="175"/>
        <v>111.77446102819238</v>
      </c>
      <c r="O238" s="205">
        <f t="shared" si="203"/>
        <v>3.0186606857020171</v>
      </c>
      <c r="P238" s="173">
        <v>2837</v>
      </c>
      <c r="Q238" s="173">
        <v>1630</v>
      </c>
      <c r="R238" s="173">
        <v>1207</v>
      </c>
      <c r="S238" s="174">
        <v>2489</v>
      </c>
      <c r="T238" s="173">
        <v>1314</v>
      </c>
      <c r="U238" s="772">
        <v>1175</v>
      </c>
      <c r="V238" s="173">
        <v>348</v>
      </c>
      <c r="W238" s="173">
        <v>316</v>
      </c>
      <c r="X238" s="772">
        <v>32</v>
      </c>
      <c r="Y238" s="173"/>
      <c r="Z238" s="777">
        <v>102.93</v>
      </c>
      <c r="AA238" s="777">
        <f t="shared" si="209"/>
        <v>1.0293000000000001</v>
      </c>
      <c r="AB238" s="789">
        <f t="shared" si="210"/>
        <v>2481.2979694938304</v>
      </c>
      <c r="AC238" s="789">
        <f t="shared" si="211"/>
        <v>2756.2421062858252</v>
      </c>
      <c r="AD238" s="173">
        <v>502</v>
      </c>
      <c r="AE238" s="773">
        <f t="shared" si="207"/>
        <v>5.6513944223107568</v>
      </c>
      <c r="AF238" s="174">
        <f t="shared" si="208"/>
        <v>3776</v>
      </c>
      <c r="AG238" s="1200">
        <v>1974</v>
      </c>
      <c r="AH238" s="1200">
        <v>1802</v>
      </c>
      <c r="AI238" s="802" t="s">
        <v>182</v>
      </c>
      <c r="AJ238" s="198"/>
      <c r="AK238" s="185"/>
    </row>
    <row r="239" spans="1:37" s="150" customFormat="1" ht="15">
      <c r="A239" s="188" t="s">
        <v>535</v>
      </c>
      <c r="B239" s="173">
        <f t="shared" si="200"/>
        <v>886</v>
      </c>
      <c r="C239" s="173">
        <v>427</v>
      </c>
      <c r="D239" s="173">
        <v>459</v>
      </c>
      <c r="E239" s="173">
        <v>160</v>
      </c>
      <c r="F239" s="182">
        <v>5.5374999999999996</v>
      </c>
      <c r="G239" s="173">
        <f t="shared" si="212"/>
        <v>1000</v>
      </c>
      <c r="H239" s="173">
        <v>508</v>
      </c>
      <c r="I239" s="173">
        <v>492</v>
      </c>
      <c r="J239" s="192">
        <f t="shared" si="201"/>
        <v>2.0106034614128934</v>
      </c>
      <c r="K239" s="174">
        <f t="shared" si="202"/>
        <v>1055</v>
      </c>
      <c r="L239" s="173">
        <v>544</v>
      </c>
      <c r="M239" s="173">
        <v>511</v>
      </c>
      <c r="N239" s="828">
        <f t="shared" si="175"/>
        <v>106.45792563600781</v>
      </c>
      <c r="O239" s="205">
        <f t="shared" si="203"/>
        <v>0.62989137562387953</v>
      </c>
      <c r="P239" s="173">
        <v>1137</v>
      </c>
      <c r="Q239" s="173">
        <v>614</v>
      </c>
      <c r="R239" s="173">
        <v>523</v>
      </c>
      <c r="S239" s="174">
        <v>1053</v>
      </c>
      <c r="T239" s="173">
        <v>544</v>
      </c>
      <c r="U239" s="772">
        <v>509</v>
      </c>
      <c r="V239" s="173">
        <v>84</v>
      </c>
      <c r="W239" s="173">
        <v>70</v>
      </c>
      <c r="X239" s="772">
        <v>14</v>
      </c>
      <c r="Y239" s="173"/>
      <c r="Z239" s="777">
        <v>51.5</v>
      </c>
      <c r="AA239" s="777">
        <f t="shared" si="209"/>
        <v>0.51500000000000001</v>
      </c>
      <c r="AB239" s="789">
        <f t="shared" si="210"/>
        <v>2048.5436893203882</v>
      </c>
      <c r="AC239" s="789">
        <f t="shared" si="211"/>
        <v>2207.7669902912621</v>
      </c>
      <c r="AD239" s="173">
        <v>244</v>
      </c>
      <c r="AE239" s="773">
        <f t="shared" si="207"/>
        <v>4.6598360655737707</v>
      </c>
      <c r="AF239" s="174">
        <f t="shared" si="208"/>
        <v>1559</v>
      </c>
      <c r="AG239" s="1200">
        <v>826</v>
      </c>
      <c r="AH239" s="1200">
        <v>733</v>
      </c>
      <c r="AI239" s="802" t="s">
        <v>536</v>
      </c>
      <c r="AJ239" s="198"/>
      <c r="AK239" s="185"/>
    </row>
    <row r="240" spans="1:37" s="150" customFormat="1" ht="15">
      <c r="A240" s="188" t="s">
        <v>478</v>
      </c>
      <c r="B240" s="173">
        <f t="shared" si="200"/>
        <v>432</v>
      </c>
      <c r="C240" s="173">
        <v>214</v>
      </c>
      <c r="D240" s="173">
        <v>218</v>
      </c>
      <c r="E240" s="173">
        <v>82</v>
      </c>
      <c r="F240" s="182">
        <v>5.2682926829268295</v>
      </c>
      <c r="G240" s="173">
        <f t="shared" si="212"/>
        <v>534</v>
      </c>
      <c r="H240" s="173">
        <v>258</v>
      </c>
      <c r="I240" s="173">
        <v>276</v>
      </c>
      <c r="J240" s="192">
        <f t="shared" si="201"/>
        <v>3.5211005102339632</v>
      </c>
      <c r="K240" s="174">
        <f t="shared" si="202"/>
        <v>501</v>
      </c>
      <c r="L240" s="173">
        <v>266</v>
      </c>
      <c r="M240" s="173">
        <v>235</v>
      </c>
      <c r="N240" s="828">
        <f t="shared" si="175"/>
        <v>113.19148936170214</v>
      </c>
      <c r="O240" s="205">
        <f t="shared" si="203"/>
        <v>-0.75046750441564802</v>
      </c>
      <c r="P240" s="173">
        <v>600</v>
      </c>
      <c r="Q240" s="173">
        <v>359</v>
      </c>
      <c r="R240" s="173">
        <v>241</v>
      </c>
      <c r="S240" s="174">
        <v>500</v>
      </c>
      <c r="T240" s="173">
        <v>265</v>
      </c>
      <c r="U240" s="772">
        <v>235</v>
      </c>
      <c r="V240" s="173">
        <v>100</v>
      </c>
      <c r="W240" s="173">
        <v>94</v>
      </c>
      <c r="X240" s="772">
        <v>6</v>
      </c>
      <c r="Y240" s="173"/>
      <c r="Z240" s="777">
        <v>59.81</v>
      </c>
      <c r="AA240" s="777">
        <f t="shared" si="209"/>
        <v>0.59810000000000008</v>
      </c>
      <c r="AB240" s="789">
        <f t="shared" si="210"/>
        <v>837.65256646045805</v>
      </c>
      <c r="AC240" s="789">
        <f t="shared" si="211"/>
        <v>1003.1767262999497</v>
      </c>
      <c r="AD240" s="173">
        <v>108</v>
      </c>
      <c r="AE240" s="773">
        <f t="shared" si="207"/>
        <v>5.5555555555555554</v>
      </c>
      <c r="AF240" s="174">
        <f t="shared" si="208"/>
        <v>927</v>
      </c>
      <c r="AG240" s="1200">
        <v>472</v>
      </c>
      <c r="AH240" s="1200">
        <v>455</v>
      </c>
      <c r="AI240" s="802" t="s">
        <v>479</v>
      </c>
      <c r="AJ240" s="198"/>
      <c r="AK240" s="185"/>
    </row>
    <row r="241" spans="1:37" s="150" customFormat="1" ht="15">
      <c r="A241" s="188" t="s">
        <v>546</v>
      </c>
      <c r="B241" s="173">
        <f t="shared" si="200"/>
        <v>1150</v>
      </c>
      <c r="C241" s="173">
        <v>556</v>
      </c>
      <c r="D241" s="173">
        <v>594</v>
      </c>
      <c r="E241" s="173">
        <v>189</v>
      </c>
      <c r="F241" s="182">
        <v>6.0846560846560847</v>
      </c>
      <c r="G241" s="173">
        <f t="shared" si="212"/>
        <v>1113</v>
      </c>
      <c r="H241" s="173">
        <v>534</v>
      </c>
      <c r="I241" s="173">
        <v>579</v>
      </c>
      <c r="J241" s="192">
        <f t="shared" si="201"/>
        <v>-0.54323704454735777</v>
      </c>
      <c r="K241" s="174">
        <f t="shared" si="202"/>
        <v>1044</v>
      </c>
      <c r="L241" s="173">
        <v>531</v>
      </c>
      <c r="M241" s="173">
        <v>513</v>
      </c>
      <c r="N241" s="828">
        <f t="shared" si="175"/>
        <v>103.50877192982458</v>
      </c>
      <c r="O241" s="205">
        <f t="shared" si="203"/>
        <v>-0.75293626862306784</v>
      </c>
      <c r="P241" s="173">
        <v>1077</v>
      </c>
      <c r="Q241" s="173">
        <v>570</v>
      </c>
      <c r="R241" s="173">
        <v>507</v>
      </c>
      <c r="S241" s="174">
        <v>1009</v>
      </c>
      <c r="T241" s="173">
        <v>512</v>
      </c>
      <c r="U241" s="772">
        <v>497</v>
      </c>
      <c r="V241" s="173">
        <v>68</v>
      </c>
      <c r="W241" s="173">
        <v>58</v>
      </c>
      <c r="X241" s="772">
        <v>10</v>
      </c>
      <c r="Y241" s="173"/>
      <c r="Z241" s="777">
        <v>25.61</v>
      </c>
      <c r="AA241" s="777">
        <f t="shared" si="209"/>
        <v>0.25609999999999999</v>
      </c>
      <c r="AB241" s="789">
        <f t="shared" si="210"/>
        <v>4076.5326044513863</v>
      </c>
      <c r="AC241" s="789">
        <f t="shared" si="211"/>
        <v>4205.3885201093326</v>
      </c>
      <c r="AD241" s="173">
        <v>214</v>
      </c>
      <c r="AE241" s="773">
        <f t="shared" si="207"/>
        <v>5.0327102803738315</v>
      </c>
      <c r="AF241" s="174">
        <f t="shared" si="208"/>
        <v>2040</v>
      </c>
      <c r="AG241" s="1200">
        <v>1011</v>
      </c>
      <c r="AH241" s="1200">
        <v>1029</v>
      </c>
      <c r="AI241" s="802" t="s">
        <v>547</v>
      </c>
      <c r="AJ241" s="198"/>
      <c r="AK241" s="185"/>
    </row>
    <row r="242" spans="1:37" s="150" customFormat="1" ht="15">
      <c r="A242" s="188" t="s">
        <v>548</v>
      </c>
      <c r="B242" s="173">
        <f t="shared" si="200"/>
        <v>588</v>
      </c>
      <c r="C242" s="173">
        <v>301</v>
      </c>
      <c r="D242" s="173">
        <v>287</v>
      </c>
      <c r="E242" s="173">
        <v>124</v>
      </c>
      <c r="F242" s="182">
        <v>4.741935483870968</v>
      </c>
      <c r="G242" s="173">
        <f t="shared" si="212"/>
        <v>480</v>
      </c>
      <c r="H242" s="173">
        <v>254</v>
      </c>
      <c r="I242" s="173">
        <v>226</v>
      </c>
      <c r="J242" s="192">
        <f t="shared" si="201"/>
        <v>-3.3711103653935268</v>
      </c>
      <c r="K242" s="174">
        <f t="shared" si="202"/>
        <v>505</v>
      </c>
      <c r="L242" s="173">
        <v>267</v>
      </c>
      <c r="M242" s="173">
        <v>238</v>
      </c>
      <c r="N242" s="828">
        <f t="shared" si="175"/>
        <v>112.18487394957984</v>
      </c>
      <c r="O242" s="205">
        <f t="shared" si="203"/>
        <v>0.59732147498144872</v>
      </c>
      <c r="P242" s="173">
        <v>584</v>
      </c>
      <c r="Q242" s="173">
        <v>339</v>
      </c>
      <c r="R242" s="173">
        <v>245</v>
      </c>
      <c r="S242" s="174">
        <v>504</v>
      </c>
      <c r="T242" s="173">
        <v>267</v>
      </c>
      <c r="U242" s="772">
        <v>237</v>
      </c>
      <c r="V242" s="173">
        <v>80</v>
      </c>
      <c r="W242" s="173">
        <v>72</v>
      </c>
      <c r="X242" s="772">
        <v>8</v>
      </c>
      <c r="Y242" s="173"/>
      <c r="Z242" s="777">
        <v>23.15</v>
      </c>
      <c r="AA242" s="777">
        <f t="shared" si="209"/>
        <v>0.23149999999999998</v>
      </c>
      <c r="AB242" s="789">
        <f t="shared" si="210"/>
        <v>2181.4254859611233</v>
      </c>
      <c r="AC242" s="789">
        <f t="shared" si="211"/>
        <v>2522.6781857451406</v>
      </c>
      <c r="AD242" s="173">
        <v>143</v>
      </c>
      <c r="AE242" s="773">
        <f t="shared" si="207"/>
        <v>4.0839160839160842</v>
      </c>
      <c r="AF242" s="174">
        <f t="shared" si="208"/>
        <v>1393</v>
      </c>
      <c r="AG242" s="1200">
        <v>700</v>
      </c>
      <c r="AH242" s="1200">
        <v>693</v>
      </c>
      <c r="AI242" s="802" t="s">
        <v>549</v>
      </c>
      <c r="AJ242" s="198"/>
      <c r="AK242" s="185"/>
    </row>
    <row r="243" spans="1:37" s="150" customFormat="1" ht="15">
      <c r="A243" s="188" t="s">
        <v>550</v>
      </c>
      <c r="B243" s="173">
        <f t="shared" si="200"/>
        <v>260</v>
      </c>
      <c r="C243" s="173">
        <v>133</v>
      </c>
      <c r="D243" s="173">
        <v>127</v>
      </c>
      <c r="E243" s="173">
        <v>49</v>
      </c>
      <c r="F243" s="182">
        <v>5.3061224489795915</v>
      </c>
      <c r="G243" s="173">
        <f t="shared" si="212"/>
        <v>213</v>
      </c>
      <c r="H243" s="173">
        <v>95</v>
      </c>
      <c r="I243" s="173">
        <v>118</v>
      </c>
      <c r="J243" s="192">
        <f t="shared" si="201"/>
        <v>-3.3121173638887487</v>
      </c>
      <c r="K243" s="174">
        <f>SUM(L243:M243)</f>
        <v>259</v>
      </c>
      <c r="L243" s="173">
        <v>137</v>
      </c>
      <c r="M243" s="173">
        <v>122</v>
      </c>
      <c r="N243" s="828">
        <f t="shared" si="175"/>
        <v>112.29508196721312</v>
      </c>
      <c r="O243" s="205">
        <f t="shared" si="203"/>
        <v>2.3004223057660314</v>
      </c>
      <c r="P243" s="173">
        <v>272</v>
      </c>
      <c r="Q243" s="173">
        <v>145</v>
      </c>
      <c r="R243" s="173">
        <v>127</v>
      </c>
      <c r="S243" s="174">
        <v>258</v>
      </c>
      <c r="T243" s="173">
        <v>137</v>
      </c>
      <c r="U243" s="772">
        <v>121</v>
      </c>
      <c r="V243" s="173">
        <v>14</v>
      </c>
      <c r="W243" s="173">
        <v>8</v>
      </c>
      <c r="X243" s="772">
        <v>6</v>
      </c>
      <c r="Y243" s="173"/>
      <c r="Z243" s="777">
        <v>116.8</v>
      </c>
      <c r="AA243" s="777">
        <f t="shared" si="209"/>
        <v>1.1679999999999999</v>
      </c>
      <c r="AB243" s="789">
        <f t="shared" si="210"/>
        <v>221.74657534246577</v>
      </c>
      <c r="AC243" s="789">
        <f t="shared" si="211"/>
        <v>232.87671232876713</v>
      </c>
      <c r="AD243" s="173">
        <v>61</v>
      </c>
      <c r="AE243" s="773">
        <f t="shared" si="207"/>
        <v>4.4590163934426226</v>
      </c>
      <c r="AF243" s="174">
        <f t="shared" si="208"/>
        <v>595</v>
      </c>
      <c r="AG243" s="1200">
        <v>290</v>
      </c>
      <c r="AH243" s="1200">
        <v>305</v>
      </c>
      <c r="AI243" s="802" t="s">
        <v>551</v>
      </c>
      <c r="AJ243" s="198"/>
      <c r="AK243" s="185"/>
    </row>
    <row r="244" spans="1:37" s="150" customFormat="1">
      <c r="A244" s="188" t="s">
        <v>980</v>
      </c>
      <c r="B244" s="173">
        <f t="shared" si="200"/>
        <v>139</v>
      </c>
      <c r="C244" s="173">
        <v>71</v>
      </c>
      <c r="D244" s="173">
        <v>68</v>
      </c>
      <c r="E244" s="173">
        <v>27</v>
      </c>
      <c r="F244" s="182">
        <v>5.1481481481481479</v>
      </c>
      <c r="G244" s="173">
        <f t="shared" si="212"/>
        <v>79</v>
      </c>
      <c r="H244" s="173">
        <v>34</v>
      </c>
      <c r="I244" s="173">
        <v>45</v>
      </c>
      <c r="J244" s="192">
        <f t="shared" si="201"/>
        <v>-9.3858152934164494</v>
      </c>
      <c r="K244" s="174" t="s">
        <v>187</v>
      </c>
      <c r="L244" s="173" t="s">
        <v>187</v>
      </c>
      <c r="M244" s="173" t="s">
        <v>187</v>
      </c>
      <c r="N244" s="828" t="s">
        <v>187</v>
      </c>
      <c r="O244" s="815" t="s">
        <v>187</v>
      </c>
      <c r="P244" s="173" t="s">
        <v>187</v>
      </c>
      <c r="Q244" s="173" t="s">
        <v>187</v>
      </c>
      <c r="R244" s="173" t="s">
        <v>187</v>
      </c>
      <c r="S244" s="174" t="s">
        <v>187</v>
      </c>
      <c r="T244" s="173" t="s">
        <v>187</v>
      </c>
      <c r="U244" s="772" t="s">
        <v>187</v>
      </c>
      <c r="V244" s="173" t="s">
        <v>187</v>
      </c>
      <c r="W244" s="173" t="s">
        <v>187</v>
      </c>
      <c r="X244" s="772" t="s">
        <v>187</v>
      </c>
      <c r="Y244" s="173"/>
      <c r="Z244" s="777" t="s">
        <v>187</v>
      </c>
      <c r="AA244" s="777" t="s">
        <v>187</v>
      </c>
      <c r="AB244" s="789" t="s">
        <v>187</v>
      </c>
      <c r="AC244" s="789" t="s">
        <v>187</v>
      </c>
      <c r="AD244" s="173" t="s">
        <v>187</v>
      </c>
      <c r="AE244" s="173" t="s">
        <v>187</v>
      </c>
      <c r="AF244" s="174">
        <f t="shared" si="208"/>
        <v>1</v>
      </c>
      <c r="AG244" s="1200">
        <v>1</v>
      </c>
      <c r="AH244" s="1200">
        <v>0</v>
      </c>
      <c r="AI244" s="802" t="s">
        <v>1014</v>
      </c>
      <c r="AK244" s="185"/>
    </row>
    <row r="245" spans="1:37" s="150" customFormat="1" ht="15">
      <c r="A245" s="188" t="s">
        <v>552</v>
      </c>
      <c r="B245" s="173">
        <f t="shared" si="200"/>
        <v>899</v>
      </c>
      <c r="C245" s="173">
        <v>448</v>
      </c>
      <c r="D245" s="173">
        <v>451</v>
      </c>
      <c r="E245" s="173">
        <v>163</v>
      </c>
      <c r="F245" s="182">
        <v>5.5153374233128831</v>
      </c>
      <c r="G245" s="173">
        <f t="shared" si="212"/>
        <v>1082</v>
      </c>
      <c r="H245" s="173">
        <v>533</v>
      </c>
      <c r="I245" s="173">
        <v>549</v>
      </c>
      <c r="J245" s="192">
        <f t="shared" si="201"/>
        <v>3.077797756392135</v>
      </c>
      <c r="K245" s="174">
        <f>SUM(L245:M245)</f>
        <v>1160</v>
      </c>
      <c r="L245" s="173">
        <v>578</v>
      </c>
      <c r="M245" s="173">
        <v>582</v>
      </c>
      <c r="N245" s="828">
        <f t="shared" si="175"/>
        <v>99.312714776632305</v>
      </c>
      <c r="O245" s="205">
        <f>LN(K245/G245)/8.5*100</f>
        <v>0.81892734934098255</v>
      </c>
      <c r="P245" s="173">
        <v>1223</v>
      </c>
      <c r="Q245" s="173">
        <v>642</v>
      </c>
      <c r="R245" s="173">
        <v>581</v>
      </c>
      <c r="S245" s="174">
        <v>1147</v>
      </c>
      <c r="T245" s="173">
        <v>572</v>
      </c>
      <c r="U245" s="772">
        <v>575</v>
      </c>
      <c r="V245" s="173">
        <v>76</v>
      </c>
      <c r="W245" s="173">
        <v>70</v>
      </c>
      <c r="X245" s="772">
        <v>6</v>
      </c>
      <c r="Y245" s="173"/>
      <c r="Z245" s="777">
        <v>54.35</v>
      </c>
      <c r="AA245" s="777">
        <f t="shared" ref="AA245:AA246" si="213">Z245/100</f>
        <v>0.54349999999999998</v>
      </c>
      <c r="AB245" s="789">
        <f>K245/AA245</f>
        <v>2134.3146274149035</v>
      </c>
      <c r="AC245" s="789">
        <f>P245/AA245</f>
        <v>2250.2299908003679</v>
      </c>
      <c r="AD245" s="173">
        <v>253</v>
      </c>
      <c r="AE245" s="773">
        <f>P245/AD245</f>
        <v>4.8339920948616601</v>
      </c>
      <c r="AF245" s="174">
        <f t="shared" si="208"/>
        <v>1896</v>
      </c>
      <c r="AG245" s="1200">
        <v>990</v>
      </c>
      <c r="AH245" s="1200">
        <v>906</v>
      </c>
      <c r="AI245" s="802" t="s">
        <v>553</v>
      </c>
      <c r="AJ245" s="198"/>
      <c r="AK245" s="185"/>
    </row>
    <row r="246" spans="1:37" s="150" customFormat="1" ht="15">
      <c r="A246" s="188" t="s">
        <v>554</v>
      </c>
      <c r="B246" s="173">
        <f t="shared" si="200"/>
        <v>375</v>
      </c>
      <c r="C246" s="173">
        <v>172</v>
      </c>
      <c r="D246" s="173">
        <v>203</v>
      </c>
      <c r="E246" s="173">
        <v>69</v>
      </c>
      <c r="F246" s="182">
        <v>5.4347826086956523</v>
      </c>
      <c r="G246" s="173">
        <f t="shared" si="212"/>
        <v>443</v>
      </c>
      <c r="H246" s="173">
        <v>225</v>
      </c>
      <c r="I246" s="173">
        <v>218</v>
      </c>
      <c r="J246" s="192">
        <f t="shared" si="201"/>
        <v>2.7681685062246655</v>
      </c>
      <c r="K246" s="174">
        <f>SUM(L246:M246)</f>
        <v>505</v>
      </c>
      <c r="L246" s="173">
        <v>239</v>
      </c>
      <c r="M246" s="173">
        <v>266</v>
      </c>
      <c r="N246" s="828">
        <f t="shared" si="175"/>
        <v>89.849624060150376</v>
      </c>
      <c r="O246" s="205">
        <f>LN(K246/G246)/8.5*100</f>
        <v>1.5410430497673426</v>
      </c>
      <c r="P246" s="173">
        <v>533</v>
      </c>
      <c r="Q246" s="173">
        <v>261</v>
      </c>
      <c r="R246" s="173">
        <v>272</v>
      </c>
      <c r="S246" s="174">
        <v>503</v>
      </c>
      <c r="T246" s="173">
        <v>238</v>
      </c>
      <c r="U246" s="772">
        <v>265</v>
      </c>
      <c r="V246" s="173">
        <v>30</v>
      </c>
      <c r="W246" s="173">
        <v>23</v>
      </c>
      <c r="X246" s="772">
        <v>7</v>
      </c>
      <c r="Y246" s="173"/>
      <c r="Z246" s="777">
        <v>29.89</v>
      </c>
      <c r="AA246" s="777">
        <f t="shared" si="213"/>
        <v>0.2989</v>
      </c>
      <c r="AB246" s="789">
        <f>K246/AA246</f>
        <v>1689.5282703245232</v>
      </c>
      <c r="AC246" s="789">
        <f>P246/AA246</f>
        <v>1783.2050853128137</v>
      </c>
      <c r="AD246" s="173">
        <v>115</v>
      </c>
      <c r="AE246" s="773">
        <f>P246/AD246</f>
        <v>4.6347826086956525</v>
      </c>
      <c r="AF246" s="174">
        <f t="shared" si="208"/>
        <v>989</v>
      </c>
      <c r="AG246" s="1199">
        <v>489</v>
      </c>
      <c r="AH246" s="1199">
        <v>500</v>
      </c>
      <c r="AI246" s="802" t="s">
        <v>555</v>
      </c>
      <c r="AJ246" s="198"/>
      <c r="AK246" s="185"/>
    </row>
    <row r="247" spans="1:37" s="150" customFormat="1" ht="15">
      <c r="A247" s="188"/>
      <c r="B247" s="173"/>
      <c r="C247" s="173"/>
      <c r="D247" s="173"/>
      <c r="E247" s="173"/>
      <c r="F247" s="182"/>
      <c r="G247" s="173"/>
      <c r="H247" s="173"/>
      <c r="I247" s="173"/>
      <c r="J247" s="192"/>
      <c r="K247" s="174"/>
      <c r="L247" s="173"/>
      <c r="M247" s="173"/>
      <c r="N247" s="828"/>
      <c r="O247" s="205"/>
      <c r="P247" s="173"/>
      <c r="Q247" s="173"/>
      <c r="R247" s="173"/>
      <c r="S247" s="174"/>
      <c r="T247" s="173"/>
      <c r="U247" s="772"/>
      <c r="V247" s="173"/>
      <c r="W247" s="173"/>
      <c r="X247" s="772"/>
      <c r="Y247" s="173"/>
      <c r="Z247" s="777"/>
      <c r="AA247" s="777"/>
      <c r="AB247" s="789"/>
      <c r="AC247" s="789"/>
      <c r="AD247" s="173"/>
      <c r="AE247" s="773"/>
      <c r="AF247" s="174"/>
      <c r="AG247" s="202"/>
      <c r="AH247" s="202"/>
      <c r="AI247" s="803"/>
      <c r="AJ247" s="198"/>
      <c r="AK247" s="185"/>
    </row>
    <row r="248" spans="1:37" s="167" customFormat="1" ht="15">
      <c r="A248" s="190" t="s">
        <v>556</v>
      </c>
      <c r="B248" s="163">
        <f t="shared" ref="B248:B259" si="214">SUM(C248:D248)</f>
        <v>11840</v>
      </c>
      <c r="C248" s="163">
        <f>SUM(C249:C259)</f>
        <v>5682</v>
      </c>
      <c r="D248" s="163">
        <f>SUM(D249:D259)</f>
        <v>6158</v>
      </c>
      <c r="E248" s="163">
        <f>SUM(E249:E259)</f>
        <v>2175</v>
      </c>
      <c r="F248" s="164">
        <v>5.459807073954984</v>
      </c>
      <c r="G248" s="163">
        <f>SUM(H248:I248)</f>
        <v>10991</v>
      </c>
      <c r="H248" s="163">
        <f>SUM(H249:H259)</f>
        <v>5373</v>
      </c>
      <c r="I248" s="163">
        <f>SUM(I249:I259)</f>
        <v>5618</v>
      </c>
      <c r="J248" s="168">
        <f t="shared" ref="J248:J255" si="215">LN(G248/B248)/6.02*100</f>
        <v>-1.2359945742374807</v>
      </c>
      <c r="K248" s="166">
        <f>SUM(L248:M248)</f>
        <v>11653</v>
      </c>
      <c r="L248" s="163">
        <f>SUM(L249:L259)</f>
        <v>5891</v>
      </c>
      <c r="M248" s="163">
        <f>SUM(M249:M259)</f>
        <v>5762</v>
      </c>
      <c r="N248" s="827">
        <f t="shared" si="175"/>
        <v>102.23880597014924</v>
      </c>
      <c r="O248" s="814">
        <f t="shared" ref="O248:O256" si="216">LN(K248/G248)/8.5*100</f>
        <v>0.68808119416897651</v>
      </c>
      <c r="P248" s="163">
        <f>SUM(Q248:R248)</f>
        <v>12690</v>
      </c>
      <c r="Q248" s="163">
        <f>SUM(Q249:Q259)</f>
        <v>6816</v>
      </c>
      <c r="R248" s="163">
        <f>SUM(R249:R259)</f>
        <v>5874</v>
      </c>
      <c r="S248" s="166">
        <f>SUM(T248:U248)</f>
        <v>11587</v>
      </c>
      <c r="T248" s="163">
        <f>SUM(T249:T259)</f>
        <v>5857</v>
      </c>
      <c r="U248" s="769">
        <f>SUM(U249:U259)</f>
        <v>5730</v>
      </c>
      <c r="V248" s="163">
        <f>SUM(W248:X248)</f>
        <v>1103</v>
      </c>
      <c r="W248" s="163">
        <f>SUM(W249:W259)</f>
        <v>959</v>
      </c>
      <c r="X248" s="769">
        <f>SUM(X249:X259)</f>
        <v>144</v>
      </c>
      <c r="Y248" s="163"/>
      <c r="Z248" s="770" t="s">
        <v>187</v>
      </c>
      <c r="AA248" s="770" t="s">
        <v>187</v>
      </c>
      <c r="AB248" s="788" t="s">
        <v>187</v>
      </c>
      <c r="AC248" s="788" t="s">
        <v>187</v>
      </c>
      <c r="AD248" s="163">
        <f>SUM(AD249:AD259)</f>
        <v>2652</v>
      </c>
      <c r="AE248" s="771">
        <f t="shared" ref="AE248:AE259" si="217">P248/AD248</f>
        <v>4.7850678733031673</v>
      </c>
      <c r="AF248" s="166">
        <f t="shared" ref="AF248:AF256" si="218">SUM(AG248:AH248)</f>
        <v>21579</v>
      </c>
      <c r="AG248" s="170">
        <f>SUM(AG249:AG259)</f>
        <v>11015</v>
      </c>
      <c r="AH248" s="170">
        <f>SUM(AH249:AH259)</f>
        <v>10564</v>
      </c>
      <c r="AI248" s="762" t="s">
        <v>557</v>
      </c>
      <c r="AJ248" s="196"/>
      <c r="AK248" s="152"/>
    </row>
    <row r="249" spans="1:37" s="150" customFormat="1" ht="15">
      <c r="A249" s="188" t="s">
        <v>558</v>
      </c>
      <c r="B249" s="173">
        <f t="shared" si="214"/>
        <v>939</v>
      </c>
      <c r="C249" s="173">
        <v>462</v>
      </c>
      <c r="D249" s="173">
        <v>477</v>
      </c>
      <c r="E249" s="173">
        <v>186</v>
      </c>
      <c r="F249" s="182">
        <v>5.0483870967741939</v>
      </c>
      <c r="G249" s="173">
        <f>SUM(H249:I249)</f>
        <v>1065</v>
      </c>
      <c r="H249" s="173">
        <v>508</v>
      </c>
      <c r="I249" s="173">
        <v>557</v>
      </c>
      <c r="J249" s="192">
        <f t="shared" si="215"/>
        <v>2.0916046334761225</v>
      </c>
      <c r="K249" s="174">
        <f t="shared" ref="K249:K256" si="219">SUM(L249:M249)</f>
        <v>1155</v>
      </c>
      <c r="L249" s="173">
        <v>563</v>
      </c>
      <c r="M249" s="173">
        <v>592</v>
      </c>
      <c r="N249" s="828">
        <f t="shared" si="175"/>
        <v>95.101351351351354</v>
      </c>
      <c r="O249" s="205">
        <f t="shared" si="216"/>
        <v>0.95441817426315922</v>
      </c>
      <c r="P249" s="173">
        <v>1218</v>
      </c>
      <c r="Q249" s="173">
        <v>618</v>
      </c>
      <c r="R249" s="173">
        <v>600</v>
      </c>
      <c r="S249" s="174">
        <v>1145</v>
      </c>
      <c r="T249" s="173">
        <v>559</v>
      </c>
      <c r="U249" s="772">
        <v>586</v>
      </c>
      <c r="V249" s="173">
        <v>73</v>
      </c>
      <c r="W249" s="173">
        <v>59</v>
      </c>
      <c r="X249" s="772">
        <v>14</v>
      </c>
      <c r="Y249" s="173"/>
      <c r="Z249" s="777">
        <v>40.61</v>
      </c>
      <c r="AA249" s="777">
        <f t="shared" ref="AA249:AA259" si="220">Z249/100</f>
        <v>0.40610000000000002</v>
      </c>
      <c r="AB249" s="789">
        <f t="shared" ref="AB249:AB259" si="221">K249/AA249</f>
        <v>2844.1270622999259</v>
      </c>
      <c r="AC249" s="789">
        <f t="shared" ref="AC249:AC259" si="222">P249/AA249</f>
        <v>2999.2612656981037</v>
      </c>
      <c r="AD249" s="173">
        <v>251</v>
      </c>
      <c r="AE249" s="773">
        <f t="shared" si="217"/>
        <v>4.8525896414342631</v>
      </c>
      <c r="AF249" s="174">
        <f t="shared" si="218"/>
        <v>2034</v>
      </c>
      <c r="AG249" s="1200">
        <v>1048</v>
      </c>
      <c r="AH249" s="1200">
        <v>986</v>
      </c>
      <c r="AI249" s="802" t="s">
        <v>559</v>
      </c>
      <c r="AJ249" s="198"/>
      <c r="AK249" s="185"/>
    </row>
    <row r="250" spans="1:37" s="150" customFormat="1" ht="15">
      <c r="A250" s="188" t="s">
        <v>560</v>
      </c>
      <c r="B250" s="173">
        <f t="shared" si="214"/>
        <v>523</v>
      </c>
      <c r="C250" s="173">
        <v>241</v>
      </c>
      <c r="D250" s="173">
        <v>282</v>
      </c>
      <c r="E250" s="173">
        <v>127</v>
      </c>
      <c r="F250" s="182">
        <v>4.1181102362204722</v>
      </c>
      <c r="G250" s="173">
        <f t="shared" ref="G250:G259" si="223">SUM(H250:I250)</f>
        <v>668</v>
      </c>
      <c r="H250" s="173">
        <v>324</v>
      </c>
      <c r="I250" s="173">
        <v>344</v>
      </c>
      <c r="J250" s="192">
        <f t="shared" si="215"/>
        <v>4.064895506174798</v>
      </c>
      <c r="K250" s="174">
        <f t="shared" si="219"/>
        <v>803</v>
      </c>
      <c r="L250" s="173">
        <v>407</v>
      </c>
      <c r="M250" s="173">
        <v>396</v>
      </c>
      <c r="N250" s="828">
        <f t="shared" si="175"/>
        <v>102.77777777777777</v>
      </c>
      <c r="O250" s="205">
        <f t="shared" si="216"/>
        <v>2.1654887107072471</v>
      </c>
      <c r="P250" s="173">
        <v>861</v>
      </c>
      <c r="Q250" s="173">
        <v>454</v>
      </c>
      <c r="R250" s="173">
        <v>407</v>
      </c>
      <c r="S250" s="174">
        <v>800</v>
      </c>
      <c r="T250" s="173">
        <v>404</v>
      </c>
      <c r="U250" s="772">
        <v>396</v>
      </c>
      <c r="V250" s="173">
        <v>61</v>
      </c>
      <c r="W250" s="173">
        <v>50</v>
      </c>
      <c r="X250" s="772">
        <v>11</v>
      </c>
      <c r="Y250" s="173"/>
      <c r="Z250" s="777">
        <v>94.51</v>
      </c>
      <c r="AA250" s="777">
        <f t="shared" si="220"/>
        <v>0.94510000000000005</v>
      </c>
      <c r="AB250" s="789">
        <f t="shared" si="221"/>
        <v>849.64554015448095</v>
      </c>
      <c r="AC250" s="789">
        <f t="shared" si="222"/>
        <v>911.01470743836626</v>
      </c>
      <c r="AD250" s="173">
        <v>178</v>
      </c>
      <c r="AE250" s="773">
        <f t="shared" si="217"/>
        <v>4.8370786516853936</v>
      </c>
      <c r="AF250" s="174">
        <f t="shared" si="218"/>
        <v>1333</v>
      </c>
      <c r="AG250" s="1200">
        <v>699</v>
      </c>
      <c r="AH250" s="1200">
        <v>634</v>
      </c>
      <c r="AI250" s="802" t="s">
        <v>561</v>
      </c>
      <c r="AJ250" s="198"/>
      <c r="AK250" s="185"/>
    </row>
    <row r="251" spans="1:37" s="150" customFormat="1" ht="15">
      <c r="A251" s="188" t="s">
        <v>562</v>
      </c>
      <c r="B251" s="173">
        <f t="shared" si="214"/>
        <v>659</v>
      </c>
      <c r="C251" s="173">
        <v>307</v>
      </c>
      <c r="D251" s="173">
        <v>352</v>
      </c>
      <c r="E251" s="173">
        <v>134</v>
      </c>
      <c r="F251" s="182">
        <v>4.9179104477611943</v>
      </c>
      <c r="G251" s="173">
        <f t="shared" si="223"/>
        <v>614</v>
      </c>
      <c r="H251" s="173">
        <v>289</v>
      </c>
      <c r="I251" s="173">
        <v>325</v>
      </c>
      <c r="J251" s="192">
        <f t="shared" si="215"/>
        <v>-1.1748937932784851</v>
      </c>
      <c r="K251" s="174">
        <f t="shared" si="219"/>
        <v>738</v>
      </c>
      <c r="L251" s="173">
        <v>375</v>
      </c>
      <c r="M251" s="173">
        <v>363</v>
      </c>
      <c r="N251" s="828">
        <f t="shared" si="175"/>
        <v>103.30578512396693</v>
      </c>
      <c r="O251" s="205">
        <f t="shared" si="216"/>
        <v>2.1641046641568247</v>
      </c>
      <c r="P251" s="173">
        <v>776</v>
      </c>
      <c r="Q251" s="173">
        <v>401</v>
      </c>
      <c r="R251" s="173">
        <v>375</v>
      </c>
      <c r="S251" s="174">
        <v>738</v>
      </c>
      <c r="T251" s="173">
        <v>375</v>
      </c>
      <c r="U251" s="772">
        <v>363</v>
      </c>
      <c r="V251" s="173">
        <v>38</v>
      </c>
      <c r="W251" s="173">
        <v>26</v>
      </c>
      <c r="X251" s="772">
        <v>12</v>
      </c>
      <c r="Y251" s="173"/>
      <c r="Z251" s="777">
        <v>43.82</v>
      </c>
      <c r="AA251" s="777">
        <f t="shared" si="220"/>
        <v>0.43819999999999998</v>
      </c>
      <c r="AB251" s="789">
        <f t="shared" si="221"/>
        <v>1684.1624828845277</v>
      </c>
      <c r="AC251" s="789">
        <f t="shared" si="222"/>
        <v>1770.8808763121863</v>
      </c>
      <c r="AD251" s="173">
        <v>154</v>
      </c>
      <c r="AE251" s="773">
        <f t="shared" si="217"/>
        <v>5.0389610389610393</v>
      </c>
      <c r="AF251" s="174">
        <f t="shared" si="218"/>
        <v>1121</v>
      </c>
      <c r="AG251" s="1200">
        <v>573</v>
      </c>
      <c r="AH251" s="1200">
        <v>548</v>
      </c>
      <c r="AI251" s="802" t="s">
        <v>563</v>
      </c>
      <c r="AJ251" s="198"/>
      <c r="AK251" s="185"/>
    </row>
    <row r="252" spans="1:37" s="150" customFormat="1" ht="15">
      <c r="A252" s="188" t="s">
        <v>564</v>
      </c>
      <c r="B252" s="173">
        <f t="shared" si="214"/>
        <v>1701</v>
      </c>
      <c r="C252" s="173">
        <v>779</v>
      </c>
      <c r="D252" s="173">
        <v>922</v>
      </c>
      <c r="E252" s="173">
        <v>343</v>
      </c>
      <c r="F252" s="182">
        <v>4.9591836734693882</v>
      </c>
      <c r="G252" s="173">
        <f t="shared" si="223"/>
        <v>1439</v>
      </c>
      <c r="H252" s="173">
        <v>729</v>
      </c>
      <c r="I252" s="173">
        <v>710</v>
      </c>
      <c r="J252" s="192">
        <f t="shared" si="215"/>
        <v>-2.7785363041278073</v>
      </c>
      <c r="K252" s="174">
        <f t="shared" si="219"/>
        <v>1395</v>
      </c>
      <c r="L252" s="173">
        <v>722</v>
      </c>
      <c r="M252" s="173">
        <v>673</v>
      </c>
      <c r="N252" s="828">
        <f t="shared" si="175"/>
        <v>107.28083209509659</v>
      </c>
      <c r="O252" s="205">
        <f t="shared" si="216"/>
        <v>-0.36534132508119732</v>
      </c>
      <c r="P252" s="173">
        <v>1502</v>
      </c>
      <c r="Q252" s="173">
        <v>819</v>
      </c>
      <c r="R252" s="173">
        <v>683</v>
      </c>
      <c r="S252" s="174">
        <v>1387</v>
      </c>
      <c r="T252" s="173">
        <v>717</v>
      </c>
      <c r="U252" s="772">
        <v>670</v>
      </c>
      <c r="V252" s="173">
        <v>115</v>
      </c>
      <c r="W252" s="173">
        <v>102</v>
      </c>
      <c r="X252" s="772">
        <v>13</v>
      </c>
      <c r="Y252" s="173"/>
      <c r="Z252" s="777">
        <v>59.98</v>
      </c>
      <c r="AA252" s="777">
        <f t="shared" si="220"/>
        <v>0.5998</v>
      </c>
      <c r="AB252" s="789">
        <f t="shared" si="221"/>
        <v>2325.7752584194732</v>
      </c>
      <c r="AC252" s="789">
        <f t="shared" si="222"/>
        <v>2504.1680560186728</v>
      </c>
      <c r="AD252" s="173">
        <v>351</v>
      </c>
      <c r="AE252" s="773">
        <f t="shared" si="217"/>
        <v>4.2792022792022788</v>
      </c>
      <c r="AF252" s="174">
        <f t="shared" si="218"/>
        <v>3106</v>
      </c>
      <c r="AG252" s="1200">
        <v>1608</v>
      </c>
      <c r="AH252" s="1200">
        <v>1498</v>
      </c>
      <c r="AI252" s="802" t="s">
        <v>565</v>
      </c>
      <c r="AJ252" s="198"/>
      <c r="AK252" s="185"/>
    </row>
    <row r="253" spans="1:37" s="150" customFormat="1" ht="15">
      <c r="A253" s="188" t="s">
        <v>566</v>
      </c>
      <c r="B253" s="173">
        <f t="shared" si="214"/>
        <v>610</v>
      </c>
      <c r="C253" s="173">
        <v>307</v>
      </c>
      <c r="D253" s="173">
        <v>303</v>
      </c>
      <c r="E253" s="173">
        <v>134</v>
      </c>
      <c r="F253" s="182">
        <v>4.5522388059701493</v>
      </c>
      <c r="G253" s="173">
        <f t="shared" si="223"/>
        <v>492</v>
      </c>
      <c r="H253" s="173">
        <v>249</v>
      </c>
      <c r="I253" s="173">
        <v>243</v>
      </c>
      <c r="J253" s="192">
        <f t="shared" si="215"/>
        <v>-3.5711003434393507</v>
      </c>
      <c r="K253" s="174">
        <f t="shared" si="219"/>
        <v>515</v>
      </c>
      <c r="L253" s="173">
        <v>274</v>
      </c>
      <c r="M253" s="173">
        <v>241</v>
      </c>
      <c r="N253" s="828">
        <f t="shared" si="175"/>
        <v>113.69294605809128</v>
      </c>
      <c r="O253" s="205">
        <f t="shared" si="216"/>
        <v>0.53750804907562266</v>
      </c>
      <c r="P253" s="173">
        <v>550</v>
      </c>
      <c r="Q253" s="173">
        <v>302</v>
      </c>
      <c r="R253" s="173">
        <v>248</v>
      </c>
      <c r="S253" s="174">
        <v>514</v>
      </c>
      <c r="T253" s="173">
        <v>273</v>
      </c>
      <c r="U253" s="772">
        <v>241</v>
      </c>
      <c r="V253" s="173">
        <v>36</v>
      </c>
      <c r="W253" s="173">
        <v>29</v>
      </c>
      <c r="X253" s="772">
        <v>7</v>
      </c>
      <c r="Y253" s="173"/>
      <c r="Z253" s="777">
        <v>40.130000000000003</v>
      </c>
      <c r="AA253" s="777">
        <f t="shared" si="220"/>
        <v>0.40130000000000005</v>
      </c>
      <c r="AB253" s="789">
        <f t="shared" si="221"/>
        <v>1283.3291801644652</v>
      </c>
      <c r="AC253" s="789">
        <f t="shared" si="222"/>
        <v>1370.5457263892349</v>
      </c>
      <c r="AD253" s="173">
        <v>146</v>
      </c>
      <c r="AE253" s="773">
        <f t="shared" si="217"/>
        <v>3.7671232876712328</v>
      </c>
      <c r="AF253" s="174">
        <f t="shared" si="218"/>
        <v>1376</v>
      </c>
      <c r="AG253" s="1200">
        <v>704</v>
      </c>
      <c r="AH253" s="1200">
        <v>672</v>
      </c>
      <c r="AI253" s="802" t="s">
        <v>567</v>
      </c>
      <c r="AJ253" s="198"/>
      <c r="AK253" s="185"/>
    </row>
    <row r="254" spans="1:37" s="150" customFormat="1" ht="15">
      <c r="A254" s="188" t="s">
        <v>322</v>
      </c>
      <c r="B254" s="173">
        <f t="shared" si="214"/>
        <v>733</v>
      </c>
      <c r="C254" s="173">
        <v>335</v>
      </c>
      <c r="D254" s="173">
        <v>398</v>
      </c>
      <c r="E254" s="173">
        <v>146</v>
      </c>
      <c r="F254" s="182">
        <v>5.0205479452054798</v>
      </c>
      <c r="G254" s="173">
        <f t="shared" si="223"/>
        <v>662</v>
      </c>
      <c r="H254" s="173">
        <v>319</v>
      </c>
      <c r="I254" s="173">
        <v>343</v>
      </c>
      <c r="J254" s="192">
        <f t="shared" si="215"/>
        <v>-1.6923612283993912</v>
      </c>
      <c r="K254" s="174">
        <f t="shared" si="219"/>
        <v>661</v>
      </c>
      <c r="L254" s="173">
        <v>335</v>
      </c>
      <c r="M254" s="173">
        <v>326</v>
      </c>
      <c r="N254" s="828">
        <f t="shared" si="175"/>
        <v>102.76073619631903</v>
      </c>
      <c r="O254" s="205">
        <f t="shared" si="216"/>
        <v>-1.7784895121434909E-2</v>
      </c>
      <c r="P254" s="173">
        <v>712</v>
      </c>
      <c r="Q254" s="173">
        <v>379</v>
      </c>
      <c r="R254" s="173">
        <v>333</v>
      </c>
      <c r="S254" s="174">
        <v>661</v>
      </c>
      <c r="T254" s="173">
        <v>335</v>
      </c>
      <c r="U254" s="772">
        <v>326</v>
      </c>
      <c r="V254" s="173">
        <v>51</v>
      </c>
      <c r="W254" s="173">
        <v>44</v>
      </c>
      <c r="X254" s="772">
        <v>7</v>
      </c>
      <c r="Y254" s="173"/>
      <c r="Z254" s="777">
        <v>193.01</v>
      </c>
      <c r="AA254" s="777">
        <f t="shared" si="220"/>
        <v>1.9300999999999999</v>
      </c>
      <c r="AB254" s="789">
        <f t="shared" si="221"/>
        <v>342.46930210869903</v>
      </c>
      <c r="AC254" s="789">
        <f t="shared" si="222"/>
        <v>368.89280348168489</v>
      </c>
      <c r="AD254" s="173">
        <v>159</v>
      </c>
      <c r="AE254" s="773">
        <f t="shared" si="217"/>
        <v>4.4779874213836477</v>
      </c>
      <c r="AF254" s="174">
        <f t="shared" si="218"/>
        <v>1476</v>
      </c>
      <c r="AG254" s="1200">
        <v>775</v>
      </c>
      <c r="AH254" s="1200">
        <v>701</v>
      </c>
      <c r="AI254" s="802" t="s">
        <v>323</v>
      </c>
      <c r="AJ254" s="198"/>
      <c r="AK254" s="185"/>
    </row>
    <row r="255" spans="1:37" s="150" customFormat="1" ht="15">
      <c r="A255" s="188" t="s">
        <v>568</v>
      </c>
      <c r="B255" s="173">
        <f t="shared" si="214"/>
        <v>847</v>
      </c>
      <c r="C255" s="173">
        <v>388</v>
      </c>
      <c r="D255" s="173">
        <v>459</v>
      </c>
      <c r="E255" s="173">
        <v>168</v>
      </c>
      <c r="F255" s="182">
        <v>5.041666666666667</v>
      </c>
      <c r="G255" s="173">
        <f t="shared" si="223"/>
        <v>673</v>
      </c>
      <c r="H255" s="173">
        <v>316</v>
      </c>
      <c r="I255" s="173">
        <v>357</v>
      </c>
      <c r="J255" s="192">
        <f t="shared" si="215"/>
        <v>-3.8198565615834985</v>
      </c>
      <c r="K255" s="174">
        <f t="shared" si="219"/>
        <v>689</v>
      </c>
      <c r="L255" s="173">
        <v>348</v>
      </c>
      <c r="M255" s="173">
        <v>341</v>
      </c>
      <c r="N255" s="828">
        <f t="shared" si="175"/>
        <v>102.05278592375366</v>
      </c>
      <c r="O255" s="205">
        <f t="shared" si="216"/>
        <v>0.27642283963447867</v>
      </c>
      <c r="P255" s="173">
        <v>737</v>
      </c>
      <c r="Q255" s="173">
        <v>386</v>
      </c>
      <c r="R255" s="173">
        <v>351</v>
      </c>
      <c r="S255" s="174">
        <v>689</v>
      </c>
      <c r="T255" s="173">
        <v>348</v>
      </c>
      <c r="U255" s="772">
        <v>341</v>
      </c>
      <c r="V255" s="173">
        <v>48</v>
      </c>
      <c r="W255" s="173">
        <v>38</v>
      </c>
      <c r="X255" s="772">
        <v>10</v>
      </c>
      <c r="Y255" s="173"/>
      <c r="Z255" s="777">
        <v>79.08</v>
      </c>
      <c r="AA255" s="777">
        <f t="shared" si="220"/>
        <v>0.79079999999999995</v>
      </c>
      <c r="AB255" s="789">
        <f t="shared" si="221"/>
        <v>871.2696004046536</v>
      </c>
      <c r="AC255" s="789">
        <f t="shared" si="222"/>
        <v>931.96762771876593</v>
      </c>
      <c r="AD255" s="173">
        <v>180</v>
      </c>
      <c r="AE255" s="773">
        <f t="shared" si="217"/>
        <v>4.0944444444444441</v>
      </c>
      <c r="AF255" s="174">
        <f t="shared" si="218"/>
        <v>1512</v>
      </c>
      <c r="AG255" s="1200">
        <v>768</v>
      </c>
      <c r="AH255" s="1200">
        <v>744</v>
      </c>
      <c r="AI255" s="802" t="s">
        <v>569</v>
      </c>
      <c r="AJ255" s="198"/>
      <c r="AK255" s="185"/>
    </row>
    <row r="256" spans="1:37" s="150" customFormat="1" ht="14.25" customHeight="1">
      <c r="A256" s="188" t="s">
        <v>570</v>
      </c>
      <c r="B256" s="173" t="s">
        <v>187</v>
      </c>
      <c r="C256" s="173" t="s">
        <v>187</v>
      </c>
      <c r="D256" s="173" t="s">
        <v>187</v>
      </c>
      <c r="E256" s="173" t="s">
        <v>187</v>
      </c>
      <c r="F256" s="182" t="s">
        <v>187</v>
      </c>
      <c r="G256" s="173">
        <v>936</v>
      </c>
      <c r="H256" s="173">
        <v>471</v>
      </c>
      <c r="I256" s="173">
        <v>465</v>
      </c>
      <c r="J256" s="192">
        <v>1.7756597822341593E-2</v>
      </c>
      <c r="K256" s="174">
        <f t="shared" si="219"/>
        <v>1028</v>
      </c>
      <c r="L256" s="173">
        <v>527</v>
      </c>
      <c r="M256" s="173">
        <v>501</v>
      </c>
      <c r="N256" s="828">
        <f t="shared" si="175"/>
        <v>105.18962075848304</v>
      </c>
      <c r="O256" s="205">
        <f t="shared" si="216"/>
        <v>1.1029996416178642</v>
      </c>
      <c r="P256" s="173">
        <v>1104</v>
      </c>
      <c r="Q256" s="173">
        <v>600</v>
      </c>
      <c r="R256" s="173">
        <v>504</v>
      </c>
      <c r="S256" s="174">
        <v>1024</v>
      </c>
      <c r="T256" s="173">
        <v>527</v>
      </c>
      <c r="U256" s="772">
        <v>497</v>
      </c>
      <c r="V256" s="173">
        <v>80</v>
      </c>
      <c r="W256" s="173">
        <v>73</v>
      </c>
      <c r="X256" s="772">
        <v>7</v>
      </c>
      <c r="Y256" s="173"/>
      <c r="Z256" s="777">
        <v>45.5</v>
      </c>
      <c r="AA256" s="777">
        <f t="shared" si="220"/>
        <v>0.45500000000000002</v>
      </c>
      <c r="AB256" s="789">
        <f t="shared" si="221"/>
        <v>2259.3406593406594</v>
      </c>
      <c r="AC256" s="789">
        <f t="shared" si="222"/>
        <v>2426.3736263736264</v>
      </c>
      <c r="AD256" s="173">
        <v>238</v>
      </c>
      <c r="AE256" s="773">
        <f t="shared" si="217"/>
        <v>4.6386554621848743</v>
      </c>
      <c r="AF256" s="174">
        <f t="shared" si="218"/>
        <v>1815</v>
      </c>
      <c r="AG256" s="1199">
        <v>923</v>
      </c>
      <c r="AH256" s="1199">
        <v>892</v>
      </c>
      <c r="AI256" s="802" t="s">
        <v>571</v>
      </c>
      <c r="AJ256" s="198"/>
      <c r="AK256" s="185"/>
    </row>
    <row r="257" spans="1:37" s="150" customFormat="1" ht="14.45" hidden="1" customHeight="1">
      <c r="A257" s="188" t="s">
        <v>572</v>
      </c>
      <c r="B257" s="173">
        <f t="shared" si="214"/>
        <v>485</v>
      </c>
      <c r="C257" s="173">
        <v>238</v>
      </c>
      <c r="D257" s="173">
        <v>247</v>
      </c>
      <c r="E257" s="173">
        <v>98</v>
      </c>
      <c r="F257" s="182">
        <v>4.9489795918367347</v>
      </c>
      <c r="G257" s="173" t="s">
        <v>187</v>
      </c>
      <c r="H257" s="173" t="s">
        <v>187</v>
      </c>
      <c r="I257" s="173" t="s">
        <v>187</v>
      </c>
      <c r="J257" s="192" t="s">
        <v>187</v>
      </c>
      <c r="K257" s="174" t="s">
        <v>187</v>
      </c>
      <c r="L257" s="173" t="s">
        <v>187</v>
      </c>
      <c r="M257" s="173" t="s">
        <v>187</v>
      </c>
      <c r="N257" s="828" t="e">
        <f t="shared" si="175"/>
        <v>#VALUE!</v>
      </c>
      <c r="O257" s="816" t="s">
        <v>187</v>
      </c>
      <c r="P257" s="173" t="s">
        <v>187</v>
      </c>
      <c r="Q257" s="173" t="s">
        <v>187</v>
      </c>
      <c r="R257" s="173" t="s">
        <v>187</v>
      </c>
      <c r="S257" s="174" t="s">
        <v>187</v>
      </c>
      <c r="T257" s="173" t="s">
        <v>187</v>
      </c>
      <c r="U257" s="772" t="s">
        <v>187</v>
      </c>
      <c r="V257" s="173" t="s">
        <v>187</v>
      </c>
      <c r="W257" s="173" t="s">
        <v>187</v>
      </c>
      <c r="X257" s="772" t="s">
        <v>187</v>
      </c>
      <c r="Y257" s="173"/>
      <c r="Z257" s="774"/>
      <c r="AA257" s="777">
        <f t="shared" si="220"/>
        <v>0</v>
      </c>
      <c r="AB257" s="789" t="e">
        <f t="shared" si="221"/>
        <v>#VALUE!</v>
      </c>
      <c r="AC257" s="789" t="e">
        <f t="shared" si="222"/>
        <v>#VALUE!</v>
      </c>
      <c r="AD257" s="173"/>
      <c r="AE257" s="773" t="e">
        <f t="shared" si="217"/>
        <v>#VALUE!</v>
      </c>
      <c r="AF257" s="174" t="s">
        <v>187</v>
      </c>
      <c r="AG257" s="1199"/>
      <c r="AH257" s="1199"/>
      <c r="AI257" s="802" t="s">
        <v>573</v>
      </c>
      <c r="AJ257" s="198"/>
      <c r="AK257" s="185"/>
    </row>
    <row r="258" spans="1:37" s="150" customFormat="1" ht="14.45" hidden="1" customHeight="1">
      <c r="A258" s="188" t="s">
        <v>574</v>
      </c>
      <c r="B258" s="173">
        <f t="shared" si="214"/>
        <v>450</v>
      </c>
      <c r="C258" s="173">
        <v>238</v>
      </c>
      <c r="D258" s="173">
        <v>212</v>
      </c>
      <c r="E258" s="173">
        <v>97</v>
      </c>
      <c r="F258" s="182">
        <v>4.6391752577319592</v>
      </c>
      <c r="G258" s="173" t="s">
        <v>187</v>
      </c>
      <c r="H258" s="173" t="s">
        <v>187</v>
      </c>
      <c r="I258" s="173" t="s">
        <v>187</v>
      </c>
      <c r="J258" s="192" t="s">
        <v>187</v>
      </c>
      <c r="K258" s="174" t="s">
        <v>187</v>
      </c>
      <c r="L258" s="173" t="s">
        <v>187</v>
      </c>
      <c r="M258" s="173" t="s">
        <v>187</v>
      </c>
      <c r="N258" s="828" t="e">
        <f t="shared" si="175"/>
        <v>#VALUE!</v>
      </c>
      <c r="O258" s="816" t="s">
        <v>187</v>
      </c>
      <c r="P258" s="173" t="s">
        <v>187</v>
      </c>
      <c r="Q258" s="173" t="s">
        <v>187</v>
      </c>
      <c r="R258" s="173" t="s">
        <v>187</v>
      </c>
      <c r="S258" s="174" t="s">
        <v>187</v>
      </c>
      <c r="T258" s="173" t="s">
        <v>187</v>
      </c>
      <c r="U258" s="772" t="s">
        <v>187</v>
      </c>
      <c r="V258" s="173" t="s">
        <v>187</v>
      </c>
      <c r="W258" s="173" t="s">
        <v>187</v>
      </c>
      <c r="X258" s="772" t="s">
        <v>187</v>
      </c>
      <c r="Y258" s="173"/>
      <c r="Z258" s="774"/>
      <c r="AA258" s="777">
        <f t="shared" si="220"/>
        <v>0</v>
      </c>
      <c r="AB258" s="789" t="e">
        <f t="shared" si="221"/>
        <v>#VALUE!</v>
      </c>
      <c r="AC258" s="789" t="e">
        <f t="shared" si="222"/>
        <v>#VALUE!</v>
      </c>
      <c r="AD258" s="173"/>
      <c r="AE258" s="773" t="e">
        <f t="shared" si="217"/>
        <v>#VALUE!</v>
      </c>
      <c r="AF258" s="174" t="s">
        <v>187</v>
      </c>
      <c r="AG258" s="1199"/>
      <c r="AH258" s="1199"/>
      <c r="AI258" s="802" t="s">
        <v>575</v>
      </c>
      <c r="AJ258" s="198"/>
      <c r="AK258" s="185"/>
    </row>
    <row r="259" spans="1:37" s="150" customFormat="1" ht="15">
      <c r="A259" s="188" t="s">
        <v>445</v>
      </c>
      <c r="B259" s="173">
        <f t="shared" si="214"/>
        <v>4893</v>
      </c>
      <c r="C259" s="173">
        <v>2387</v>
      </c>
      <c r="D259" s="173">
        <v>2506</v>
      </c>
      <c r="E259" s="173">
        <v>742</v>
      </c>
      <c r="F259" s="182">
        <v>6.5943396226415096</v>
      </c>
      <c r="G259" s="173">
        <f t="shared" si="223"/>
        <v>4442</v>
      </c>
      <c r="H259" s="173">
        <v>2168</v>
      </c>
      <c r="I259" s="173">
        <v>2274</v>
      </c>
      <c r="J259" s="192">
        <f>LN(G259/B259)/6.02*100</f>
        <v>-1.6063270238330696</v>
      </c>
      <c r="K259" s="174">
        <f>SUM(L259:M259)</f>
        <v>4669</v>
      </c>
      <c r="L259" s="173">
        <v>2340</v>
      </c>
      <c r="M259" s="173">
        <v>2329</v>
      </c>
      <c r="N259" s="828">
        <f t="shared" si="175"/>
        <v>100.47230571060541</v>
      </c>
      <c r="O259" s="205">
        <f>LN(K259/G259)/8.5*100</f>
        <v>0.58635518254781505</v>
      </c>
      <c r="P259" s="173">
        <v>5230</v>
      </c>
      <c r="Q259" s="173">
        <v>2857</v>
      </c>
      <c r="R259" s="173">
        <v>2373</v>
      </c>
      <c r="S259" s="174">
        <v>4629</v>
      </c>
      <c r="T259" s="173">
        <v>2319</v>
      </c>
      <c r="U259" s="772">
        <v>2310</v>
      </c>
      <c r="V259" s="173">
        <v>601</v>
      </c>
      <c r="W259" s="173">
        <v>538</v>
      </c>
      <c r="X259" s="772">
        <v>63</v>
      </c>
      <c r="Y259" s="173"/>
      <c r="Z259" s="777">
        <v>118.9</v>
      </c>
      <c r="AA259" s="777">
        <f t="shared" si="220"/>
        <v>1.1890000000000001</v>
      </c>
      <c r="AB259" s="789">
        <f t="shared" si="221"/>
        <v>3926.8292682926826</v>
      </c>
      <c r="AC259" s="789">
        <f t="shared" si="222"/>
        <v>4398.6543313708999</v>
      </c>
      <c r="AD259" s="173">
        <v>995</v>
      </c>
      <c r="AE259" s="773">
        <f t="shared" si="217"/>
        <v>5.2562814070351758</v>
      </c>
      <c r="AF259" s="174">
        <f>SUM(AG259:AH259)</f>
        <v>7806</v>
      </c>
      <c r="AG259" s="1200">
        <v>3917</v>
      </c>
      <c r="AH259" s="1200">
        <v>3889</v>
      </c>
      <c r="AI259" s="802" t="s">
        <v>446</v>
      </c>
      <c r="AJ259" s="198"/>
      <c r="AK259" s="185"/>
    </row>
    <row r="260" spans="1:37" s="150" customFormat="1" ht="15">
      <c r="A260" s="188"/>
      <c r="B260" s="173"/>
      <c r="C260" s="173"/>
      <c r="D260" s="173"/>
      <c r="E260" s="173"/>
      <c r="F260" s="182"/>
      <c r="G260" s="173"/>
      <c r="H260" s="173"/>
      <c r="I260" s="173"/>
      <c r="J260" s="192"/>
      <c r="K260" s="174"/>
      <c r="L260" s="173"/>
      <c r="M260" s="173"/>
      <c r="N260" s="828"/>
      <c r="O260" s="205"/>
      <c r="P260" s="173"/>
      <c r="Q260" s="173"/>
      <c r="R260" s="173"/>
      <c r="S260" s="174"/>
      <c r="T260" s="173"/>
      <c r="U260" s="772"/>
      <c r="V260" s="173"/>
      <c r="W260" s="173"/>
      <c r="X260" s="772"/>
      <c r="Y260" s="173"/>
      <c r="Z260" s="777"/>
      <c r="AA260" s="777"/>
      <c r="AB260" s="789"/>
      <c r="AC260" s="789"/>
      <c r="AD260" s="173"/>
      <c r="AE260" s="773"/>
      <c r="AF260" s="174"/>
      <c r="AG260" s="202"/>
      <c r="AH260" s="202"/>
      <c r="AI260" s="803"/>
      <c r="AJ260" s="198"/>
      <c r="AK260" s="185"/>
    </row>
    <row r="261" spans="1:37" s="167" customFormat="1" ht="15">
      <c r="A261" s="190" t="s">
        <v>576</v>
      </c>
      <c r="B261" s="163">
        <f>SUM(C261:D261)</f>
        <v>7528</v>
      </c>
      <c r="C261" s="163">
        <f>SUM(C262)</f>
        <v>3464</v>
      </c>
      <c r="D261" s="163">
        <f>SUM(D262)</f>
        <v>4064</v>
      </c>
      <c r="E261" s="163">
        <v>1251</v>
      </c>
      <c r="F261" s="164">
        <v>6.0175859312549962</v>
      </c>
      <c r="G261" s="163">
        <f>SUM(H261:I261)</f>
        <v>7636</v>
      </c>
      <c r="H261" s="163">
        <f>SUM(H262)</f>
        <v>3557</v>
      </c>
      <c r="I261" s="163">
        <f>SUM(I262)</f>
        <v>4079</v>
      </c>
      <c r="J261" s="168">
        <f>LN(G261/B261)/6.02*100</f>
        <v>0.2366196608043622</v>
      </c>
      <c r="K261" s="166">
        <f>SUM(L261:M261)</f>
        <v>8095</v>
      </c>
      <c r="L261" s="163">
        <f>SUM(L262)</f>
        <v>3673</v>
      </c>
      <c r="M261" s="163">
        <f>SUM(M262)</f>
        <v>4422</v>
      </c>
      <c r="N261" s="827">
        <f t="shared" si="175"/>
        <v>83.061962912709191</v>
      </c>
      <c r="O261" s="814">
        <f>LN(K261/G261)/8.5*100</f>
        <v>0.68673742665996873</v>
      </c>
      <c r="P261" s="163">
        <f>SUM(Q261:R261)</f>
        <v>8510</v>
      </c>
      <c r="Q261" s="163">
        <f>SUM(Q262)</f>
        <v>4085</v>
      </c>
      <c r="R261" s="163">
        <f>SUM(R262)</f>
        <v>4425</v>
      </c>
      <c r="S261" s="166">
        <f>SUM(T261:U261)</f>
        <v>7984</v>
      </c>
      <c r="T261" s="163">
        <f>SUM(T262)</f>
        <v>3612</v>
      </c>
      <c r="U261" s="769">
        <f>SUM(U262)</f>
        <v>4372</v>
      </c>
      <c r="V261" s="163">
        <f>SUM(W261:X261)</f>
        <v>526</v>
      </c>
      <c r="W261" s="163">
        <f>SUM(W262)</f>
        <v>473</v>
      </c>
      <c r="X261" s="769">
        <f>SUM(X262)</f>
        <v>53</v>
      </c>
      <c r="Y261" s="163"/>
      <c r="Z261" s="770" t="s">
        <v>187</v>
      </c>
      <c r="AA261" s="770" t="s">
        <v>187</v>
      </c>
      <c r="AB261" s="788" t="s">
        <v>187</v>
      </c>
      <c r="AC261" s="788" t="s">
        <v>187</v>
      </c>
      <c r="AD261" s="163">
        <f>SUM(AD262)</f>
        <v>1636</v>
      </c>
      <c r="AE261" s="771">
        <f>P261/AD261</f>
        <v>5.2017114914425431</v>
      </c>
      <c r="AF261" s="166">
        <f>SUM(AG261:AH261)</f>
        <v>13353</v>
      </c>
      <c r="AG261" s="170">
        <f>AG262</f>
        <v>6800</v>
      </c>
      <c r="AH261" s="170">
        <f>AH262</f>
        <v>6553</v>
      </c>
      <c r="AI261" s="762" t="s">
        <v>577</v>
      </c>
      <c r="AJ261" s="196"/>
      <c r="AK261" s="152"/>
    </row>
    <row r="262" spans="1:37" s="150" customFormat="1" ht="15">
      <c r="A262" s="188" t="s">
        <v>578</v>
      </c>
      <c r="B262" s="173">
        <f>SUM(C262:D262)</f>
        <v>7528</v>
      </c>
      <c r="C262" s="173">
        <v>3464</v>
      </c>
      <c r="D262" s="173">
        <v>4064</v>
      </c>
      <c r="E262" s="173">
        <v>1251</v>
      </c>
      <c r="F262" s="182">
        <v>6.0175859312549962</v>
      </c>
      <c r="G262" s="173">
        <f>SUM(H262:I262)</f>
        <v>7636</v>
      </c>
      <c r="H262" s="200">
        <v>3557</v>
      </c>
      <c r="I262" s="200">
        <v>4079</v>
      </c>
      <c r="J262" s="192">
        <f>LN(G262/B262)/6.02*100</f>
        <v>0.2366196608043622</v>
      </c>
      <c r="K262" s="174">
        <f>SUM(L262:M262)</f>
        <v>8095</v>
      </c>
      <c r="L262" s="173">
        <v>3673</v>
      </c>
      <c r="M262" s="173">
        <v>4422</v>
      </c>
      <c r="N262" s="828">
        <f t="shared" si="175"/>
        <v>83.061962912709191</v>
      </c>
      <c r="O262" s="205">
        <f>LN(K262/G262)/8.5*100</f>
        <v>0.68673742665996873</v>
      </c>
      <c r="P262" s="173">
        <v>8510</v>
      </c>
      <c r="Q262" s="173">
        <v>4085</v>
      </c>
      <c r="R262" s="173">
        <v>4425</v>
      </c>
      <c r="S262" s="174">
        <v>7984</v>
      </c>
      <c r="T262" s="173">
        <v>3612</v>
      </c>
      <c r="U262" s="772">
        <v>4372</v>
      </c>
      <c r="V262" s="173">
        <v>526</v>
      </c>
      <c r="W262" s="173">
        <v>473</v>
      </c>
      <c r="X262" s="772">
        <v>53</v>
      </c>
      <c r="Y262" s="173"/>
      <c r="Z262" s="777">
        <v>493</v>
      </c>
      <c r="AA262" s="777">
        <f>Z262/100</f>
        <v>4.93</v>
      </c>
      <c r="AB262" s="789">
        <f>K262/AA262</f>
        <v>1641.9878296146046</v>
      </c>
      <c r="AC262" s="789">
        <f>P262/AA262</f>
        <v>1726.1663286004057</v>
      </c>
      <c r="AD262" s="173">
        <v>1636</v>
      </c>
      <c r="AE262" s="773">
        <f>P262/AD262</f>
        <v>5.2017114914425431</v>
      </c>
      <c r="AF262" s="174">
        <f>SUM(AG262:AH262)</f>
        <v>13353</v>
      </c>
      <c r="AG262" s="1200">
        <v>6800</v>
      </c>
      <c r="AH262" s="1200">
        <v>6553</v>
      </c>
      <c r="AI262" s="802" t="s">
        <v>579</v>
      </c>
      <c r="AJ262" s="198"/>
      <c r="AK262" s="185"/>
    </row>
    <row r="263" spans="1:37" s="150" customFormat="1" ht="15">
      <c r="A263" s="188"/>
      <c r="B263" s="173"/>
      <c r="C263" s="173"/>
      <c r="D263" s="173"/>
      <c r="E263" s="173"/>
      <c r="F263" s="182"/>
      <c r="G263" s="173"/>
      <c r="H263" s="200"/>
      <c r="I263" s="200"/>
      <c r="J263" s="192"/>
      <c r="K263" s="174"/>
      <c r="L263" s="173"/>
      <c r="M263" s="173"/>
      <c r="N263" s="828"/>
      <c r="O263" s="205"/>
      <c r="P263" s="173"/>
      <c r="Q263" s="173"/>
      <c r="R263" s="173"/>
      <c r="S263" s="174"/>
      <c r="T263" s="173"/>
      <c r="U263" s="772"/>
      <c r="V263" s="173"/>
      <c r="W263" s="173"/>
      <c r="X263" s="772"/>
      <c r="Y263" s="173"/>
      <c r="Z263" s="777"/>
      <c r="AA263" s="777"/>
      <c r="AB263" s="789"/>
      <c r="AC263" s="789"/>
      <c r="AD263" s="173"/>
      <c r="AE263" s="773"/>
      <c r="AF263" s="174"/>
      <c r="AG263" s="172"/>
      <c r="AH263" s="172"/>
      <c r="AI263" s="803"/>
      <c r="AJ263" s="198"/>
      <c r="AK263" s="185"/>
    </row>
    <row r="264" spans="1:37" s="167" customFormat="1" ht="15">
      <c r="A264" s="190" t="s">
        <v>580</v>
      </c>
      <c r="B264" s="163">
        <f t="shared" ref="B264:B270" si="224">SUM(C264:D264)</f>
        <v>18499</v>
      </c>
      <c r="C264" s="163">
        <f>SUM(C265:C270)</f>
        <v>8253</v>
      </c>
      <c r="D264" s="163">
        <f>SUM(D265:D270)</f>
        <v>10246</v>
      </c>
      <c r="E264" s="163">
        <f>SUM(E265:E270)</f>
        <v>2981</v>
      </c>
      <c r="F264" s="164">
        <v>6.1943793911007026</v>
      </c>
      <c r="G264" s="163">
        <f t="shared" ref="G264:G270" si="225">SUM(H264:I264)</f>
        <v>17862</v>
      </c>
      <c r="H264" s="163">
        <f>SUM(H265:H270)</f>
        <v>8256</v>
      </c>
      <c r="I264" s="163">
        <f>SUM(I265:I270)</f>
        <v>9606</v>
      </c>
      <c r="J264" s="168">
        <f t="shared" ref="J264:J270" si="226">LN(G264/B264)/6.02*100</f>
        <v>-0.58207849348102603</v>
      </c>
      <c r="K264" s="166">
        <f>SUM(L264:M264)</f>
        <v>19829</v>
      </c>
      <c r="L264" s="163">
        <f>SUM(L265:L270)</f>
        <v>9441</v>
      </c>
      <c r="M264" s="163">
        <f>SUM(M265:M270)</f>
        <v>10388</v>
      </c>
      <c r="N264" s="827">
        <f t="shared" si="175"/>
        <v>90.883711975356192</v>
      </c>
      <c r="O264" s="814">
        <f t="shared" ref="O264:O270" si="227">LN(K264/G264)/8.5*100</f>
        <v>1.2290583688820473</v>
      </c>
      <c r="P264" s="163">
        <f>SUM(Q264:R264)</f>
        <v>21275</v>
      </c>
      <c r="Q264" s="163">
        <f>SUM(Q265:Q270)</f>
        <v>10975</v>
      </c>
      <c r="R264" s="163">
        <f>SUM(R265:R270)</f>
        <v>10300</v>
      </c>
      <c r="S264" s="166">
        <f>SUM(T264:U264)</f>
        <v>19319</v>
      </c>
      <c r="T264" s="163">
        <f>SUM(T265:T270)</f>
        <v>9195</v>
      </c>
      <c r="U264" s="769">
        <f>SUM(U265:U270)</f>
        <v>10124</v>
      </c>
      <c r="V264" s="163">
        <f>SUM(W264:X264)</f>
        <v>1956</v>
      </c>
      <c r="W264" s="163">
        <f>SUM(W265:W270)</f>
        <v>1780</v>
      </c>
      <c r="X264" s="769">
        <f>SUM(X265:X270)</f>
        <v>176</v>
      </c>
      <c r="Y264" s="163"/>
      <c r="Z264" s="770" t="s">
        <v>187</v>
      </c>
      <c r="AA264" s="770" t="s">
        <v>187</v>
      </c>
      <c r="AB264" s="788" t="s">
        <v>187</v>
      </c>
      <c r="AC264" s="788" t="s">
        <v>187</v>
      </c>
      <c r="AD264" s="163">
        <f>SUM(AD265:AD270)</f>
        <v>4065</v>
      </c>
      <c r="AE264" s="771">
        <f t="shared" ref="AE264:AE270" si="228">P264/AD264</f>
        <v>5.2337023370233702</v>
      </c>
      <c r="AF264" s="166">
        <f t="shared" ref="AF264:AF270" si="229">SUM(AG264:AH264)</f>
        <v>34542</v>
      </c>
      <c r="AG264" s="170">
        <f>SUM(AG265:AG270)</f>
        <v>17604</v>
      </c>
      <c r="AH264" s="170">
        <f>SUM(AH265:AH270)</f>
        <v>16938</v>
      </c>
      <c r="AI264" s="762" t="s">
        <v>581</v>
      </c>
      <c r="AJ264" s="196"/>
      <c r="AK264" s="152"/>
    </row>
    <row r="265" spans="1:37" s="150" customFormat="1" ht="15">
      <c r="A265" s="188" t="s">
        <v>342</v>
      </c>
      <c r="B265" s="173">
        <f t="shared" si="224"/>
        <v>1681</v>
      </c>
      <c r="C265" s="173">
        <v>707</v>
      </c>
      <c r="D265" s="173">
        <v>974</v>
      </c>
      <c r="E265" s="173">
        <v>318</v>
      </c>
      <c r="F265" s="182">
        <v>5.2861635220125782</v>
      </c>
      <c r="G265" s="173">
        <f t="shared" si="225"/>
        <v>1458</v>
      </c>
      <c r="H265" s="173">
        <v>641</v>
      </c>
      <c r="I265" s="173">
        <v>817</v>
      </c>
      <c r="J265" s="192">
        <f t="shared" si="226"/>
        <v>-2.3641731036546867</v>
      </c>
      <c r="K265" s="174">
        <f t="shared" ref="K265:K270" si="230">SUM(L265:M265)</f>
        <v>1777</v>
      </c>
      <c r="L265" s="173">
        <v>828</v>
      </c>
      <c r="M265" s="173">
        <v>949</v>
      </c>
      <c r="N265" s="828">
        <f t="shared" si="175"/>
        <v>87.249736564805062</v>
      </c>
      <c r="O265" s="205">
        <f t="shared" si="227"/>
        <v>2.3277754774829162</v>
      </c>
      <c r="P265" s="173">
        <v>1871</v>
      </c>
      <c r="Q265" s="173">
        <v>950</v>
      </c>
      <c r="R265" s="173">
        <v>921</v>
      </c>
      <c r="S265" s="174">
        <v>1716</v>
      </c>
      <c r="T265" s="173">
        <v>800</v>
      </c>
      <c r="U265" s="772">
        <v>916</v>
      </c>
      <c r="V265" s="173">
        <v>155</v>
      </c>
      <c r="W265" s="173">
        <v>150</v>
      </c>
      <c r="X265" s="772">
        <v>5</v>
      </c>
      <c r="Y265" s="173"/>
      <c r="Z265" s="777">
        <v>184.32</v>
      </c>
      <c r="AA265" s="777">
        <f t="shared" ref="AA265:AA270" si="231">Z265/100</f>
        <v>1.8431999999999999</v>
      </c>
      <c r="AB265" s="789">
        <f t="shared" ref="AB265:AB270" si="232">K265/AA265</f>
        <v>964.08420138888891</v>
      </c>
      <c r="AC265" s="789">
        <f t="shared" ref="AC265:AC270" si="233">P265/AA265</f>
        <v>1015.0824652777778</v>
      </c>
      <c r="AD265" s="173">
        <v>397</v>
      </c>
      <c r="AE265" s="773">
        <f t="shared" si="228"/>
        <v>4.7128463476070532</v>
      </c>
      <c r="AF265" s="174">
        <f t="shared" si="229"/>
        <v>3022</v>
      </c>
      <c r="AG265" s="1200">
        <v>1546</v>
      </c>
      <c r="AH265" s="1200">
        <v>1476</v>
      </c>
      <c r="AI265" s="802" t="s">
        <v>343</v>
      </c>
      <c r="AJ265" s="198"/>
      <c r="AK265" s="185"/>
    </row>
    <row r="266" spans="1:37" s="150" customFormat="1" ht="15">
      <c r="A266" s="188" t="s">
        <v>537</v>
      </c>
      <c r="B266" s="173">
        <f t="shared" si="224"/>
        <v>9461</v>
      </c>
      <c r="C266" s="173">
        <v>4184</v>
      </c>
      <c r="D266" s="173">
        <v>5277</v>
      </c>
      <c r="E266" s="173">
        <v>1408</v>
      </c>
      <c r="F266" s="182">
        <v>6.7194602272727275</v>
      </c>
      <c r="G266" s="173">
        <f t="shared" si="225"/>
        <v>9465</v>
      </c>
      <c r="H266" s="173">
        <v>4365</v>
      </c>
      <c r="I266" s="173">
        <v>5100</v>
      </c>
      <c r="J266" s="192">
        <f t="shared" si="226"/>
        <v>7.0215770594516929E-3</v>
      </c>
      <c r="K266" s="174">
        <f t="shared" si="230"/>
        <v>10398</v>
      </c>
      <c r="L266" s="173">
        <v>4929</v>
      </c>
      <c r="M266" s="173">
        <v>5469</v>
      </c>
      <c r="N266" s="828">
        <f t="shared" si="175"/>
        <v>90.126165660998353</v>
      </c>
      <c r="O266" s="205">
        <f t="shared" si="227"/>
        <v>1.1060317094145626</v>
      </c>
      <c r="P266" s="173">
        <v>11129</v>
      </c>
      <c r="Q266" s="173">
        <v>5712</v>
      </c>
      <c r="R266" s="173">
        <v>5417</v>
      </c>
      <c r="S266" s="174">
        <v>10114</v>
      </c>
      <c r="T266" s="173">
        <v>4792</v>
      </c>
      <c r="U266" s="772">
        <v>5322</v>
      </c>
      <c r="V266" s="173">
        <v>1015</v>
      </c>
      <c r="W266" s="173">
        <v>920</v>
      </c>
      <c r="X266" s="772">
        <v>95</v>
      </c>
      <c r="Y266" s="173"/>
      <c r="Z266" s="777">
        <v>547.96</v>
      </c>
      <c r="AA266" s="777">
        <f t="shared" si="231"/>
        <v>5.4796000000000005</v>
      </c>
      <c r="AB266" s="789">
        <f t="shared" si="232"/>
        <v>1897.5837652383384</v>
      </c>
      <c r="AC266" s="789">
        <f t="shared" si="233"/>
        <v>2030.9876633330898</v>
      </c>
      <c r="AD266" s="173">
        <v>1980</v>
      </c>
      <c r="AE266" s="773">
        <f t="shared" si="228"/>
        <v>5.6207070707070708</v>
      </c>
      <c r="AF266" s="174">
        <f t="shared" si="229"/>
        <v>16520</v>
      </c>
      <c r="AG266" s="1200">
        <v>8391</v>
      </c>
      <c r="AH266" s="1200">
        <v>8129</v>
      </c>
      <c r="AI266" s="802" t="s">
        <v>538</v>
      </c>
      <c r="AJ266" s="198"/>
      <c r="AK266" s="185"/>
    </row>
    <row r="267" spans="1:37" s="150" customFormat="1" ht="15">
      <c r="A267" s="188" t="s">
        <v>582</v>
      </c>
      <c r="B267" s="173">
        <f t="shared" si="224"/>
        <v>2066</v>
      </c>
      <c r="C267" s="173">
        <v>988</v>
      </c>
      <c r="D267" s="173">
        <v>1078</v>
      </c>
      <c r="E267" s="173">
        <v>323</v>
      </c>
      <c r="F267" s="182">
        <v>6.3962848297213624</v>
      </c>
      <c r="G267" s="173">
        <f t="shared" si="225"/>
        <v>2043</v>
      </c>
      <c r="H267" s="173">
        <v>1018</v>
      </c>
      <c r="I267" s="173">
        <v>1025</v>
      </c>
      <c r="J267" s="192">
        <f t="shared" si="226"/>
        <v>-0.18596436647777068</v>
      </c>
      <c r="K267" s="174">
        <f t="shared" si="230"/>
        <v>2195</v>
      </c>
      <c r="L267" s="173">
        <v>1086</v>
      </c>
      <c r="M267" s="173">
        <v>1109</v>
      </c>
      <c r="N267" s="828">
        <f t="shared" si="175"/>
        <v>97.926059513074833</v>
      </c>
      <c r="O267" s="205">
        <f t="shared" si="227"/>
        <v>0.84426741990176057</v>
      </c>
      <c r="P267" s="173">
        <v>2374</v>
      </c>
      <c r="Q267" s="173">
        <v>1267</v>
      </c>
      <c r="R267" s="173">
        <v>1107</v>
      </c>
      <c r="S267" s="174">
        <v>2133</v>
      </c>
      <c r="T267" s="173">
        <v>1053</v>
      </c>
      <c r="U267" s="772">
        <v>1080</v>
      </c>
      <c r="V267" s="173">
        <v>241</v>
      </c>
      <c r="W267" s="173">
        <v>214</v>
      </c>
      <c r="X267" s="772">
        <v>27</v>
      </c>
      <c r="Y267" s="173"/>
      <c r="Z267" s="777">
        <v>57.89</v>
      </c>
      <c r="AA267" s="777">
        <f t="shared" si="231"/>
        <v>0.57889999999999997</v>
      </c>
      <c r="AB267" s="789">
        <f t="shared" si="232"/>
        <v>3791.6738642252549</v>
      </c>
      <c r="AC267" s="789">
        <f t="shared" si="233"/>
        <v>4100.8809811711872</v>
      </c>
      <c r="AD267" s="173">
        <v>465</v>
      </c>
      <c r="AE267" s="773">
        <f t="shared" si="228"/>
        <v>5.1053763440860216</v>
      </c>
      <c r="AF267" s="174">
        <f t="shared" si="229"/>
        <v>3782</v>
      </c>
      <c r="AG267" s="1200">
        <v>1930</v>
      </c>
      <c r="AH267" s="1200">
        <v>1852</v>
      </c>
      <c r="AI267" s="802" t="s">
        <v>583</v>
      </c>
      <c r="AJ267" s="198"/>
      <c r="AK267" s="185"/>
    </row>
    <row r="268" spans="1:37" s="150" customFormat="1" ht="15">
      <c r="A268" s="188" t="s">
        <v>270</v>
      </c>
      <c r="B268" s="173">
        <f t="shared" si="224"/>
        <v>2829</v>
      </c>
      <c r="C268" s="173">
        <v>1262</v>
      </c>
      <c r="D268" s="173">
        <v>1567</v>
      </c>
      <c r="E268" s="173">
        <v>464</v>
      </c>
      <c r="F268" s="182">
        <v>6.0969827586206895</v>
      </c>
      <c r="G268" s="173">
        <f t="shared" si="225"/>
        <v>2724</v>
      </c>
      <c r="H268" s="173">
        <v>1223</v>
      </c>
      <c r="I268" s="173">
        <v>1501</v>
      </c>
      <c r="J268" s="192">
        <f t="shared" si="226"/>
        <v>-0.62827083109907234</v>
      </c>
      <c r="K268" s="174">
        <f t="shared" si="230"/>
        <v>3193</v>
      </c>
      <c r="L268" s="173">
        <v>1536</v>
      </c>
      <c r="M268" s="173">
        <v>1657</v>
      </c>
      <c r="N268" s="828">
        <f t="shared" si="175"/>
        <v>92.69764634882317</v>
      </c>
      <c r="O268" s="205">
        <f t="shared" si="227"/>
        <v>1.8689355934750482</v>
      </c>
      <c r="P268" s="173">
        <v>3431</v>
      </c>
      <c r="Q268" s="173">
        <v>1793</v>
      </c>
      <c r="R268" s="173">
        <v>1638</v>
      </c>
      <c r="S268" s="174">
        <v>3099</v>
      </c>
      <c r="T268" s="173">
        <v>1492</v>
      </c>
      <c r="U268" s="772">
        <v>1607</v>
      </c>
      <c r="V268" s="173">
        <v>332</v>
      </c>
      <c r="W268" s="173">
        <v>301</v>
      </c>
      <c r="X268" s="772">
        <v>31</v>
      </c>
      <c r="Y268" s="173"/>
      <c r="Z268" s="777">
        <v>63.93</v>
      </c>
      <c r="AA268" s="777">
        <f t="shared" si="231"/>
        <v>0.63929999999999998</v>
      </c>
      <c r="AB268" s="789">
        <f t="shared" si="232"/>
        <v>4994.5252620053188</v>
      </c>
      <c r="AC268" s="789">
        <f t="shared" si="233"/>
        <v>5366.8074456436725</v>
      </c>
      <c r="AD268" s="173">
        <v>675</v>
      </c>
      <c r="AE268" s="773">
        <f t="shared" si="228"/>
        <v>5.0829629629629629</v>
      </c>
      <c r="AF268" s="174">
        <f t="shared" si="229"/>
        <v>5638</v>
      </c>
      <c r="AG268" s="1200">
        <v>2872</v>
      </c>
      <c r="AH268" s="1200">
        <v>2766</v>
      </c>
      <c r="AI268" s="802" t="s">
        <v>271</v>
      </c>
      <c r="AJ268" s="198"/>
      <c r="AK268" s="185"/>
    </row>
    <row r="269" spans="1:37" s="150" customFormat="1" ht="15">
      <c r="A269" s="188" t="s">
        <v>584</v>
      </c>
      <c r="B269" s="173">
        <f t="shared" si="224"/>
        <v>1023</v>
      </c>
      <c r="C269" s="173">
        <v>444</v>
      </c>
      <c r="D269" s="173">
        <v>579</v>
      </c>
      <c r="E269" s="173">
        <v>179</v>
      </c>
      <c r="F269" s="182">
        <v>5.7150837988826817</v>
      </c>
      <c r="G269" s="173">
        <f t="shared" si="225"/>
        <v>1025</v>
      </c>
      <c r="H269" s="173">
        <v>467</v>
      </c>
      <c r="I269" s="173">
        <v>558</v>
      </c>
      <c r="J269" s="192">
        <f t="shared" si="226"/>
        <v>3.244394719073207E-2</v>
      </c>
      <c r="K269" s="174">
        <f t="shared" si="230"/>
        <v>1158</v>
      </c>
      <c r="L269" s="173">
        <v>524</v>
      </c>
      <c r="M269" s="173">
        <v>634</v>
      </c>
      <c r="N269" s="828">
        <f t="shared" ref="N269:N270" si="234">L269/M269*100</f>
        <v>82.649842271293366</v>
      </c>
      <c r="O269" s="205">
        <f t="shared" si="227"/>
        <v>1.4353149007109636</v>
      </c>
      <c r="P269" s="173">
        <v>1228</v>
      </c>
      <c r="Q269" s="173">
        <v>590</v>
      </c>
      <c r="R269" s="173">
        <v>638</v>
      </c>
      <c r="S269" s="174">
        <v>1153</v>
      </c>
      <c r="T269" s="173">
        <v>521</v>
      </c>
      <c r="U269" s="772">
        <v>632</v>
      </c>
      <c r="V269" s="173">
        <v>75</v>
      </c>
      <c r="W269" s="173">
        <v>69</v>
      </c>
      <c r="X269" s="772">
        <v>6</v>
      </c>
      <c r="Y269" s="173"/>
      <c r="Z269" s="777">
        <v>33.549999999999997</v>
      </c>
      <c r="AA269" s="777">
        <f t="shared" si="231"/>
        <v>0.33549999999999996</v>
      </c>
      <c r="AB269" s="789">
        <f t="shared" si="232"/>
        <v>3451.5648286140095</v>
      </c>
      <c r="AC269" s="789">
        <f t="shared" si="233"/>
        <v>3660.2086438152014</v>
      </c>
      <c r="AD269" s="173">
        <v>242</v>
      </c>
      <c r="AE269" s="773">
        <f t="shared" si="228"/>
        <v>5.0743801652892566</v>
      </c>
      <c r="AF269" s="174">
        <f t="shared" si="229"/>
        <v>1895</v>
      </c>
      <c r="AG269" s="1200">
        <v>952</v>
      </c>
      <c r="AH269" s="1200">
        <v>943</v>
      </c>
      <c r="AI269" s="802" t="s">
        <v>585</v>
      </c>
      <c r="AJ269" s="198"/>
      <c r="AK269" s="185"/>
    </row>
    <row r="270" spans="1:37" s="150" customFormat="1" ht="15">
      <c r="A270" s="206" t="s">
        <v>586</v>
      </c>
      <c r="B270" s="207">
        <f t="shared" si="224"/>
        <v>1439</v>
      </c>
      <c r="C270" s="207">
        <v>668</v>
      </c>
      <c r="D270" s="207">
        <v>771</v>
      </c>
      <c r="E270" s="207">
        <v>289</v>
      </c>
      <c r="F270" s="208">
        <v>4.9792387543252596</v>
      </c>
      <c r="G270" s="207">
        <f t="shared" si="225"/>
        <v>1147</v>
      </c>
      <c r="H270" s="207">
        <v>542</v>
      </c>
      <c r="I270" s="207">
        <v>605</v>
      </c>
      <c r="J270" s="209">
        <f t="shared" si="226"/>
        <v>-3.7674184345182256</v>
      </c>
      <c r="K270" s="210">
        <f t="shared" si="230"/>
        <v>1108</v>
      </c>
      <c r="L270" s="207">
        <v>538</v>
      </c>
      <c r="M270" s="207">
        <v>570</v>
      </c>
      <c r="N270" s="830">
        <f t="shared" si="234"/>
        <v>94.385964912280713</v>
      </c>
      <c r="O270" s="817">
        <f t="shared" si="227"/>
        <v>-0.40697940967225438</v>
      </c>
      <c r="P270" s="207">
        <v>1242</v>
      </c>
      <c r="Q270" s="207">
        <v>663</v>
      </c>
      <c r="R270" s="207">
        <v>579</v>
      </c>
      <c r="S270" s="210">
        <v>1104</v>
      </c>
      <c r="T270" s="207">
        <v>537</v>
      </c>
      <c r="U270" s="783">
        <v>567</v>
      </c>
      <c r="V270" s="207">
        <v>138</v>
      </c>
      <c r="W270" s="207">
        <v>126</v>
      </c>
      <c r="X270" s="783">
        <v>12</v>
      </c>
      <c r="Y270" s="207"/>
      <c r="Z270" s="784">
        <v>122.24</v>
      </c>
      <c r="AA270" s="784">
        <f t="shared" si="231"/>
        <v>1.2223999999999999</v>
      </c>
      <c r="AB270" s="819">
        <f t="shared" si="232"/>
        <v>906.41361256544508</v>
      </c>
      <c r="AC270" s="819">
        <f t="shared" si="233"/>
        <v>1016.0340314136126</v>
      </c>
      <c r="AD270" s="207">
        <v>306</v>
      </c>
      <c r="AE270" s="785">
        <f t="shared" si="228"/>
        <v>4.0588235294117645</v>
      </c>
      <c r="AF270" s="210">
        <f t="shared" si="229"/>
        <v>3685</v>
      </c>
      <c r="AG270" s="1202">
        <v>1913</v>
      </c>
      <c r="AH270" s="1202">
        <v>1772</v>
      </c>
      <c r="AI270" s="807" t="s">
        <v>587</v>
      </c>
      <c r="AJ270" s="198"/>
      <c r="AK270" s="185"/>
    </row>
    <row r="271" spans="1:37" s="214" customFormat="1" ht="17.25">
      <c r="A271" s="818" t="s">
        <v>588</v>
      </c>
      <c r="B271" s="216"/>
      <c r="C271" s="216"/>
      <c r="D271" s="216"/>
      <c r="E271" s="216"/>
      <c r="F271" s="217"/>
      <c r="G271" s="216"/>
      <c r="H271" s="216"/>
      <c r="I271" s="218"/>
      <c r="J271" s="219"/>
      <c r="K271" s="218"/>
      <c r="L271" s="218"/>
      <c r="M271" s="218"/>
      <c r="N271" s="218"/>
      <c r="O271" s="218"/>
      <c r="P271" s="218"/>
      <c r="Q271" s="218"/>
      <c r="R271" s="218"/>
      <c r="S271" s="218"/>
      <c r="T271" s="218"/>
      <c r="U271" s="218"/>
      <c r="V271" s="218"/>
      <c r="W271" s="218"/>
      <c r="X271" s="218"/>
      <c r="Y271" s="218"/>
      <c r="Z271" s="751"/>
      <c r="AA271" s="751"/>
      <c r="AB271" s="793"/>
      <c r="AC271" s="793"/>
      <c r="AD271" s="751"/>
      <c r="AE271" s="751"/>
      <c r="AF271" s="751"/>
      <c r="AG271" s="175"/>
      <c r="AH271" s="175"/>
      <c r="AI271" s="211" t="s">
        <v>589</v>
      </c>
      <c r="AJ271" s="212"/>
      <c r="AK271" s="213"/>
    </row>
    <row r="272" spans="1:37" s="214" customFormat="1" ht="17.25">
      <c r="A272" s="215" t="s">
        <v>590</v>
      </c>
      <c r="B272" s="216"/>
      <c r="C272" s="216"/>
      <c r="D272" s="216"/>
      <c r="E272" s="216"/>
      <c r="F272" s="217"/>
      <c r="G272" s="216"/>
      <c r="H272" s="216"/>
      <c r="I272" s="218"/>
      <c r="J272" s="219"/>
      <c r="K272" s="218"/>
      <c r="L272" s="218"/>
      <c r="M272" s="218"/>
      <c r="N272" s="218"/>
      <c r="O272" s="218"/>
      <c r="P272" s="218"/>
      <c r="Q272" s="218"/>
      <c r="R272" s="218"/>
      <c r="S272" s="218"/>
      <c r="T272" s="218"/>
      <c r="U272" s="218"/>
      <c r="V272" s="218"/>
      <c r="W272" s="218"/>
      <c r="X272" s="218"/>
      <c r="Y272" s="218"/>
      <c r="Z272" s="751"/>
      <c r="AA272" s="751"/>
      <c r="AB272" s="793"/>
      <c r="AC272" s="793"/>
      <c r="AD272" s="751"/>
      <c r="AE272" s="751"/>
      <c r="AF272" s="1301"/>
      <c r="AG272" s="1301"/>
      <c r="AH272" s="1301"/>
      <c r="AI272" s="1301"/>
      <c r="AJ272" s="212"/>
      <c r="AK272" s="213"/>
    </row>
    <row r="273" spans="1:53" s="214" customFormat="1" ht="15">
      <c r="A273" s="836" t="s">
        <v>591</v>
      </c>
      <c r="B273" s="837"/>
      <c r="C273" s="837"/>
      <c r="D273" s="837"/>
      <c r="E273" s="837"/>
      <c r="F273" s="837"/>
      <c r="G273" s="837"/>
      <c r="H273" s="837"/>
      <c r="I273" s="837"/>
      <c r="J273" s="838"/>
      <c r="K273" s="837"/>
      <c r="L273" s="837"/>
      <c r="M273" s="837"/>
      <c r="N273" s="837"/>
      <c r="O273" s="837"/>
      <c r="P273" s="837"/>
      <c r="Q273" s="837"/>
      <c r="R273" s="837"/>
      <c r="S273" s="837"/>
      <c r="T273" s="837"/>
      <c r="U273" s="837"/>
      <c r="V273" s="837"/>
      <c r="W273" s="837"/>
      <c r="X273" s="837"/>
      <c r="Y273" s="837"/>
      <c r="Z273" s="839"/>
      <c r="AA273" s="839"/>
      <c r="AB273" s="840"/>
      <c r="AC273" s="840"/>
      <c r="AD273" s="839"/>
      <c r="AE273" s="839"/>
      <c r="AF273" s="839"/>
      <c r="AG273" s="841"/>
      <c r="AH273" s="841"/>
      <c r="AI273" s="842" t="s">
        <v>592</v>
      </c>
      <c r="AJ273" s="222"/>
      <c r="AK273" s="221"/>
    </row>
    <row r="274" spans="1:53" s="214" customFormat="1" ht="15">
      <c r="A274" s="836" t="s">
        <v>593</v>
      </c>
      <c r="B274" s="837"/>
      <c r="C274" s="837"/>
      <c r="D274" s="837"/>
      <c r="E274" s="837"/>
      <c r="F274" s="837"/>
      <c r="G274" s="837"/>
      <c r="H274" s="837"/>
      <c r="I274" s="837"/>
      <c r="J274" s="838"/>
      <c r="K274" s="837"/>
      <c r="L274" s="837"/>
      <c r="M274" s="837"/>
      <c r="N274" s="837"/>
      <c r="O274" s="837"/>
      <c r="P274" s="837"/>
      <c r="Q274" s="837"/>
      <c r="R274" s="837"/>
      <c r="S274" s="837"/>
      <c r="T274" s="837"/>
      <c r="U274" s="837"/>
      <c r="V274" s="837"/>
      <c r="W274" s="837"/>
      <c r="X274" s="837"/>
      <c r="Y274" s="837"/>
      <c r="Z274" s="839"/>
      <c r="AA274" s="839"/>
      <c r="AB274" s="840"/>
      <c r="AC274" s="840"/>
      <c r="AD274" s="839"/>
      <c r="AE274" s="839"/>
      <c r="AF274" s="839"/>
      <c r="AG274" s="841"/>
      <c r="AH274" s="841"/>
      <c r="AI274" s="842" t="s">
        <v>594</v>
      </c>
      <c r="AJ274" s="222"/>
      <c r="AK274" s="221"/>
    </row>
    <row r="275" spans="1:53" s="214" customFormat="1" ht="15">
      <c r="A275" s="836" t="s">
        <v>595</v>
      </c>
      <c r="B275" s="843"/>
      <c r="C275" s="844"/>
      <c r="D275" s="844"/>
      <c r="E275" s="844"/>
      <c r="F275" s="844"/>
      <c r="G275" s="843"/>
      <c r="H275" s="844"/>
      <c r="I275" s="844"/>
      <c r="J275" s="843"/>
      <c r="K275" s="844"/>
      <c r="L275" s="844"/>
      <c r="M275" s="844"/>
      <c r="N275" s="844"/>
      <c r="O275" s="844"/>
      <c r="P275" s="844"/>
      <c r="Q275" s="844"/>
      <c r="R275" s="844"/>
      <c r="S275" s="844"/>
      <c r="T275" s="844"/>
      <c r="U275" s="844"/>
      <c r="V275" s="844"/>
      <c r="W275" s="844"/>
      <c r="X275" s="844"/>
      <c r="Y275" s="844"/>
      <c r="Z275" s="839"/>
      <c r="AA275" s="839"/>
      <c r="AB275" s="840"/>
      <c r="AC275" s="840"/>
      <c r="AD275" s="839"/>
      <c r="AE275" s="839"/>
      <c r="AF275" s="839"/>
      <c r="AG275" s="839"/>
      <c r="AH275" s="839"/>
      <c r="AI275" s="842" t="s">
        <v>596</v>
      </c>
      <c r="AJ275" s="222"/>
      <c r="AK275" s="221"/>
    </row>
    <row r="276" spans="1:53" s="223" customFormat="1" ht="4.5" customHeight="1">
      <c r="A276" s="845"/>
      <c r="B276" s="846"/>
      <c r="C276" s="846"/>
      <c r="D276" s="847"/>
      <c r="E276" s="848"/>
      <c r="F276" s="848"/>
      <c r="G276" s="847"/>
      <c r="H276" s="849"/>
      <c r="I276" s="850"/>
      <c r="J276" s="847"/>
      <c r="K276" s="847"/>
      <c r="L276" s="847"/>
      <c r="M276" s="847"/>
      <c r="N276" s="847"/>
      <c r="O276" s="847"/>
      <c r="P276" s="847"/>
      <c r="Q276" s="847"/>
      <c r="R276" s="847"/>
      <c r="S276" s="847"/>
      <c r="T276" s="847"/>
      <c r="U276" s="847"/>
      <c r="V276" s="847"/>
      <c r="W276" s="847"/>
      <c r="X276" s="847"/>
      <c r="Y276" s="847"/>
      <c r="Z276" s="851"/>
      <c r="AA276" s="851"/>
      <c r="AB276" s="852"/>
      <c r="AC276" s="852"/>
      <c r="AD276" s="851"/>
      <c r="AE276" s="851"/>
      <c r="AF276" s="851"/>
      <c r="AG276" s="851"/>
      <c r="AH276" s="851"/>
      <c r="AI276" s="853"/>
      <c r="AJ276" s="224"/>
    </row>
    <row r="277" spans="1:53" s="214" customFormat="1" ht="18.75">
      <c r="A277" s="838" t="s">
        <v>981</v>
      </c>
      <c r="B277" s="844"/>
      <c r="C277" s="837"/>
      <c r="D277" s="837"/>
      <c r="E277" s="837"/>
      <c r="F277" s="837"/>
      <c r="G277" s="844"/>
      <c r="H277" s="837"/>
      <c r="I277" s="837"/>
      <c r="J277" s="838"/>
      <c r="K277" s="837"/>
      <c r="L277" s="837"/>
      <c r="M277" s="837"/>
      <c r="N277" s="837"/>
      <c r="O277" s="837"/>
      <c r="P277" s="837"/>
      <c r="Q277" s="837"/>
      <c r="R277" s="837"/>
      <c r="S277" s="837"/>
      <c r="T277" s="837"/>
      <c r="U277" s="837"/>
      <c r="V277" s="837"/>
      <c r="W277" s="837"/>
      <c r="X277" s="837"/>
      <c r="Y277" s="837"/>
      <c r="Z277" s="839"/>
      <c r="AA277" s="839"/>
      <c r="AB277" s="840"/>
      <c r="AC277" s="840"/>
      <c r="AD277" s="839"/>
      <c r="AE277" s="839"/>
      <c r="AF277" s="839"/>
      <c r="AG277" s="839"/>
      <c r="AH277" s="839"/>
      <c r="AI277" s="835"/>
      <c r="AJ277" s="216"/>
      <c r="AK277" s="225"/>
    </row>
    <row r="278" spans="1:53" s="214" customFormat="1" ht="18.75">
      <c r="A278" s="836" t="s">
        <v>1023</v>
      </c>
      <c r="B278" s="844"/>
      <c r="C278" s="837"/>
      <c r="D278" s="837"/>
      <c r="E278" s="837"/>
      <c r="F278" s="837"/>
      <c r="G278" s="844"/>
      <c r="H278" s="837"/>
      <c r="I278" s="837"/>
      <c r="J278" s="838"/>
      <c r="K278" s="837"/>
      <c r="L278" s="837"/>
      <c r="M278" s="837"/>
      <c r="N278" s="837"/>
      <c r="O278" s="837"/>
      <c r="P278" s="837"/>
      <c r="Q278" s="837"/>
      <c r="R278" s="837"/>
      <c r="S278" s="837"/>
      <c r="T278" s="837"/>
      <c r="U278" s="837"/>
      <c r="V278" s="837"/>
      <c r="W278" s="837"/>
      <c r="X278" s="837"/>
      <c r="Y278" s="837"/>
      <c r="Z278" s="839"/>
      <c r="AA278" s="839"/>
      <c r="AB278" s="840"/>
      <c r="AC278" s="840"/>
      <c r="AD278" s="839"/>
      <c r="AE278" s="839"/>
      <c r="AF278" s="839"/>
      <c r="AG278" s="839"/>
      <c r="AH278" s="839"/>
      <c r="AI278" s="835"/>
      <c r="AJ278" s="216"/>
      <c r="AK278" s="225"/>
    </row>
    <row r="279" spans="1:53" s="214" customFormat="1" ht="18.75">
      <c r="A279" s="836" t="s">
        <v>597</v>
      </c>
      <c r="B279" s="854"/>
      <c r="C279" s="855"/>
      <c r="D279" s="855"/>
      <c r="E279" s="855"/>
      <c r="F279" s="855"/>
      <c r="G279" s="854"/>
      <c r="H279" s="855"/>
      <c r="I279" s="855"/>
      <c r="J279" s="836"/>
      <c r="K279" s="855"/>
      <c r="L279" s="855"/>
      <c r="M279" s="855"/>
      <c r="N279" s="855"/>
      <c r="O279" s="855"/>
      <c r="P279" s="855"/>
      <c r="Q279" s="855"/>
      <c r="R279" s="855"/>
      <c r="S279" s="855"/>
      <c r="T279" s="855"/>
      <c r="U279" s="855"/>
      <c r="V279" s="855"/>
      <c r="W279" s="855"/>
      <c r="X279" s="855"/>
      <c r="Y279" s="855"/>
      <c r="Z279" s="856"/>
      <c r="AA279" s="856"/>
      <c r="AB279" s="857"/>
      <c r="AC279" s="857"/>
      <c r="AD279" s="856"/>
      <c r="AE279" s="856"/>
      <c r="AF279" s="856"/>
      <c r="AG279" s="856"/>
      <c r="AH279" s="856"/>
      <c r="AI279" s="858"/>
      <c r="AJ279" s="216"/>
      <c r="AK279" s="225"/>
    </row>
    <row r="280" spans="1:53" s="214" customFormat="1" ht="25.5" customHeight="1">
      <c r="A280" s="1302" t="s">
        <v>982</v>
      </c>
      <c r="B280" s="1302"/>
      <c r="C280" s="1302"/>
      <c r="D280" s="1302"/>
      <c r="E280" s="1302"/>
      <c r="F280" s="1302"/>
      <c r="G280" s="1302"/>
      <c r="H280" s="1302"/>
      <c r="I280" s="1302"/>
      <c r="J280" s="1302"/>
      <c r="K280" s="1302"/>
      <c r="L280" s="1302"/>
      <c r="M280" s="1302"/>
      <c r="N280" s="1302"/>
      <c r="O280" s="1302"/>
      <c r="P280" s="1302"/>
      <c r="Q280" s="1302"/>
      <c r="R280" s="1302"/>
      <c r="S280" s="1302"/>
      <c r="T280" s="1302"/>
      <c r="U280" s="1302"/>
      <c r="V280" s="1302"/>
      <c r="W280" s="1302"/>
      <c r="X280" s="1302"/>
      <c r="Y280" s="1302"/>
      <c r="Z280" s="1302"/>
      <c r="AA280" s="1302"/>
      <c r="AB280" s="1302"/>
      <c r="AC280" s="1302"/>
      <c r="AD280" s="1302"/>
      <c r="AE280" s="1302"/>
      <c r="AF280" s="1302"/>
      <c r="AG280" s="1302"/>
      <c r="AH280" s="1302"/>
      <c r="AI280" s="1302"/>
      <c r="AJ280" s="216"/>
      <c r="AK280" s="225"/>
    </row>
    <row r="281" spans="1:53" s="863" customFormat="1" ht="19.5" customHeight="1">
      <c r="A281" s="859" t="s">
        <v>598</v>
      </c>
      <c r="B281" s="860"/>
      <c r="C281" s="860"/>
      <c r="D281" s="861"/>
      <c r="E281" s="860"/>
      <c r="F281" s="860"/>
      <c r="G281" s="862"/>
      <c r="J281" s="864"/>
      <c r="K281" s="865"/>
      <c r="L281" s="865"/>
      <c r="M281" s="865"/>
      <c r="N281" s="866"/>
      <c r="O281" s="866"/>
      <c r="P281" s="866"/>
      <c r="Q281" s="866"/>
      <c r="R281" s="866"/>
      <c r="S281" s="866"/>
      <c r="T281" s="866"/>
      <c r="U281" s="866"/>
      <c r="V281" s="866"/>
      <c r="W281" s="866"/>
      <c r="X281" s="866"/>
      <c r="Y281" s="866"/>
      <c r="Z281" s="861"/>
      <c r="AA281" s="861"/>
      <c r="AB281" s="861"/>
      <c r="AC281" s="861"/>
      <c r="AD281" s="861"/>
      <c r="AE281" s="861"/>
      <c r="AF281" s="861"/>
      <c r="AG281" s="861"/>
      <c r="AH281" s="861"/>
      <c r="AI281" s="867"/>
      <c r="AJ281" s="868"/>
      <c r="AK281" s="869"/>
      <c r="AL281" s="861"/>
      <c r="AM281" s="861"/>
      <c r="AN281" s="861"/>
      <c r="AO281" s="861"/>
      <c r="AP281" s="861"/>
      <c r="AQ281" s="861"/>
      <c r="AR281" s="861"/>
      <c r="AS281" s="861"/>
      <c r="AT281" s="861"/>
      <c r="AU281" s="861"/>
      <c r="AV281" s="861"/>
      <c r="AW281" s="861"/>
      <c r="AX281" s="861"/>
      <c r="AY281" s="861"/>
      <c r="AZ281" s="861"/>
      <c r="BA281" s="861"/>
    </row>
    <row r="282" spans="1:53" s="863" customFormat="1" ht="19.5" customHeight="1">
      <c r="A282" s="859" t="s">
        <v>599</v>
      </c>
      <c r="B282" s="860"/>
      <c r="C282" s="860"/>
      <c r="D282" s="861"/>
      <c r="E282" s="860"/>
      <c r="F282" s="860"/>
      <c r="G282" s="862"/>
      <c r="I282" s="870"/>
      <c r="J282" s="861"/>
      <c r="K282" s="861"/>
      <c r="L282" s="861"/>
      <c r="M282" s="861"/>
      <c r="N282" s="861"/>
      <c r="O282" s="861"/>
      <c r="P282" s="861"/>
      <c r="Q282" s="861"/>
      <c r="R282" s="861"/>
      <c r="S282" s="861"/>
      <c r="T282" s="861"/>
      <c r="U282" s="861"/>
      <c r="V282" s="861"/>
      <c r="W282" s="861"/>
      <c r="X282" s="861"/>
      <c r="Y282" s="861"/>
      <c r="Z282" s="861"/>
      <c r="AA282" s="861"/>
      <c r="AB282" s="861"/>
      <c r="AC282" s="861"/>
      <c r="AD282" s="861"/>
      <c r="AE282" s="861"/>
      <c r="AF282" s="861"/>
      <c r="AG282" s="861"/>
      <c r="AH282" s="861"/>
      <c r="AI282" s="867"/>
      <c r="AJ282" s="868"/>
      <c r="AK282" s="869"/>
      <c r="AL282" s="861"/>
      <c r="AM282" s="861"/>
      <c r="AN282" s="861"/>
      <c r="AO282" s="861"/>
      <c r="AP282" s="861"/>
      <c r="AQ282" s="861"/>
      <c r="AR282" s="861"/>
      <c r="AS282" s="861"/>
      <c r="AT282" s="861"/>
      <c r="AU282" s="861"/>
      <c r="AV282" s="861"/>
      <c r="AW282" s="861"/>
      <c r="AX282" s="861"/>
      <c r="AY282" s="861"/>
      <c r="AZ282" s="861"/>
      <c r="BA282" s="861"/>
    </row>
    <row r="283" spans="1:53" s="863" customFormat="1" ht="19.5" customHeight="1">
      <c r="A283" s="859" t="s">
        <v>600</v>
      </c>
      <c r="B283" s="860"/>
      <c r="C283" s="860"/>
      <c r="D283" s="861"/>
      <c r="E283" s="860"/>
      <c r="F283" s="860"/>
      <c r="G283" s="862"/>
      <c r="I283" s="870"/>
      <c r="J283" s="861"/>
      <c r="K283" s="861"/>
      <c r="L283" s="861"/>
      <c r="M283" s="861"/>
      <c r="N283" s="861"/>
      <c r="O283" s="861"/>
      <c r="P283" s="861"/>
      <c r="Q283" s="861"/>
      <c r="R283" s="861"/>
      <c r="S283" s="861"/>
      <c r="T283" s="861"/>
      <c r="U283" s="861"/>
      <c r="V283" s="861"/>
      <c r="W283" s="861"/>
      <c r="X283" s="861"/>
      <c r="Y283" s="861"/>
      <c r="Z283" s="861"/>
      <c r="AA283" s="861"/>
      <c r="AB283" s="861"/>
      <c r="AC283" s="861"/>
      <c r="AD283" s="861"/>
      <c r="AE283" s="861"/>
      <c r="AF283" s="861"/>
      <c r="AG283" s="861"/>
      <c r="AH283" s="861"/>
      <c r="AI283" s="867"/>
      <c r="AJ283" s="868"/>
      <c r="AK283" s="869"/>
      <c r="AL283" s="861"/>
      <c r="AM283" s="861"/>
      <c r="AN283" s="861"/>
      <c r="AO283" s="861"/>
      <c r="AP283" s="861"/>
      <c r="AQ283" s="861"/>
      <c r="AR283" s="861"/>
      <c r="AS283" s="861"/>
      <c r="AT283" s="861"/>
      <c r="AU283" s="861"/>
      <c r="AV283" s="861"/>
      <c r="AW283" s="861"/>
      <c r="AX283" s="861"/>
      <c r="AY283" s="861"/>
      <c r="AZ283" s="861"/>
      <c r="BA283" s="861"/>
    </row>
    <row r="284" spans="1:53" s="863" customFormat="1" ht="19.5" customHeight="1">
      <c r="A284" s="859" t="s">
        <v>601</v>
      </c>
      <c r="B284" s="860"/>
      <c r="C284" s="860"/>
      <c r="D284" s="861"/>
      <c r="E284" s="860"/>
      <c r="F284" s="860"/>
      <c r="G284" s="862"/>
      <c r="I284" s="870"/>
      <c r="J284" s="861"/>
      <c r="K284" s="861"/>
      <c r="L284" s="861"/>
      <c r="M284" s="861"/>
      <c r="N284" s="861"/>
      <c r="O284" s="861"/>
      <c r="P284" s="861"/>
      <c r="Q284" s="861"/>
      <c r="R284" s="861"/>
      <c r="S284" s="861"/>
      <c r="T284" s="861"/>
      <c r="U284" s="861"/>
      <c r="V284" s="861"/>
      <c r="W284" s="861"/>
      <c r="X284" s="861"/>
      <c r="Y284" s="861"/>
      <c r="Z284" s="861"/>
      <c r="AA284" s="861"/>
      <c r="AB284" s="861"/>
      <c r="AC284" s="861"/>
      <c r="AD284" s="861"/>
      <c r="AE284" s="861"/>
      <c r="AF284" s="861"/>
      <c r="AG284" s="861"/>
      <c r="AH284" s="861"/>
      <c r="AI284" s="867"/>
      <c r="AJ284" s="868"/>
      <c r="AK284" s="869"/>
      <c r="AL284" s="861"/>
      <c r="AM284" s="861"/>
      <c r="AN284" s="861"/>
      <c r="AO284" s="861"/>
      <c r="AP284" s="861"/>
      <c r="AQ284" s="861"/>
      <c r="AR284" s="861"/>
      <c r="AS284" s="861"/>
      <c r="AT284" s="861"/>
      <c r="AU284" s="861"/>
      <c r="AV284" s="861"/>
      <c r="AW284" s="861"/>
      <c r="AX284" s="861"/>
      <c r="AY284" s="861"/>
      <c r="AZ284" s="861"/>
      <c r="BA284" s="861"/>
    </row>
    <row r="285" spans="1:53" s="863" customFormat="1" ht="19.5" customHeight="1">
      <c r="A285" s="859" t="s">
        <v>602</v>
      </c>
      <c r="B285" s="860"/>
      <c r="C285" s="860"/>
      <c r="D285" s="861"/>
      <c r="E285" s="860"/>
      <c r="F285" s="860"/>
      <c r="G285" s="862"/>
      <c r="I285" s="870"/>
      <c r="J285" s="861"/>
      <c r="K285" s="861"/>
      <c r="L285" s="861"/>
      <c r="M285" s="861"/>
      <c r="N285" s="861"/>
      <c r="O285" s="861"/>
      <c r="P285" s="861"/>
      <c r="Q285" s="861"/>
      <c r="R285" s="861"/>
      <c r="S285" s="861"/>
      <c r="T285" s="861"/>
      <c r="U285" s="861"/>
      <c r="V285" s="861"/>
      <c r="W285" s="861"/>
      <c r="X285" s="861"/>
      <c r="Y285" s="861"/>
      <c r="Z285" s="861"/>
      <c r="AA285" s="861"/>
      <c r="AB285" s="861"/>
      <c r="AC285" s="861"/>
      <c r="AD285" s="861"/>
      <c r="AE285" s="861"/>
      <c r="AF285" s="861"/>
      <c r="AG285" s="861"/>
      <c r="AH285" s="861"/>
      <c r="AI285" s="867"/>
      <c r="AJ285" s="868"/>
      <c r="AK285" s="869"/>
      <c r="AL285" s="861"/>
      <c r="AM285" s="861"/>
      <c r="AN285" s="861"/>
      <c r="AO285" s="861"/>
      <c r="AP285" s="861"/>
      <c r="AQ285" s="861"/>
      <c r="AR285" s="861"/>
      <c r="AS285" s="861"/>
      <c r="AT285" s="861"/>
      <c r="AU285" s="861"/>
      <c r="AV285" s="861"/>
      <c r="AW285" s="861"/>
      <c r="AX285" s="861"/>
      <c r="AY285" s="861"/>
      <c r="AZ285" s="861"/>
      <c r="BA285" s="861"/>
    </row>
    <row r="286" spans="1:53" s="863" customFormat="1" ht="19.5" customHeight="1">
      <c r="A286" s="1303" t="s">
        <v>603</v>
      </c>
      <c r="B286" s="1303"/>
      <c r="C286" s="1303"/>
      <c r="D286" s="1303"/>
      <c r="E286" s="1303"/>
      <c r="F286" s="1303"/>
      <c r="G286" s="1303"/>
      <c r="H286" s="1303"/>
      <c r="I286" s="1303"/>
      <c r="J286" s="1303"/>
      <c r="K286" s="1303"/>
      <c r="L286" s="1303"/>
      <c r="M286" s="1303"/>
      <c r="N286" s="1303"/>
      <c r="O286" s="1303"/>
      <c r="P286" s="1303"/>
      <c r="Q286" s="1303"/>
      <c r="R286" s="1303"/>
      <c r="S286" s="1303"/>
      <c r="T286" s="1303"/>
      <c r="U286" s="1303"/>
      <c r="V286" s="1303"/>
      <c r="W286" s="1303"/>
      <c r="X286" s="1303"/>
      <c r="Y286" s="1303"/>
      <c r="Z286" s="1303"/>
      <c r="AA286" s="1303"/>
      <c r="AB286" s="1303"/>
      <c r="AC286" s="1303"/>
      <c r="AD286" s="1303"/>
      <c r="AE286" s="1303"/>
      <c r="AF286" s="1303"/>
      <c r="AG286" s="1303"/>
      <c r="AH286" s="1303"/>
      <c r="AI286" s="1303"/>
      <c r="AJ286" s="868"/>
      <c r="AK286" s="869"/>
      <c r="AL286" s="861"/>
      <c r="AM286" s="861"/>
      <c r="AN286" s="861"/>
      <c r="AO286" s="861"/>
      <c r="AP286" s="861"/>
      <c r="AQ286" s="861"/>
      <c r="AR286" s="861"/>
      <c r="AS286" s="861"/>
      <c r="AT286" s="861"/>
      <c r="AU286" s="861"/>
      <c r="AV286" s="861"/>
      <c r="AW286" s="861"/>
      <c r="AX286" s="861"/>
      <c r="AY286" s="861"/>
      <c r="AZ286" s="861"/>
      <c r="BA286" s="861"/>
    </row>
    <row r="287" spans="1:53" s="863" customFormat="1" ht="19.5" customHeight="1">
      <c r="A287" s="859" t="s">
        <v>604</v>
      </c>
      <c r="B287" s="860"/>
      <c r="C287" s="860"/>
      <c r="D287" s="861"/>
      <c r="E287" s="860"/>
      <c r="F287" s="860"/>
      <c r="G287" s="862"/>
      <c r="I287" s="870"/>
      <c r="J287" s="861"/>
      <c r="K287" s="861"/>
      <c r="L287" s="861"/>
      <c r="M287" s="861"/>
      <c r="N287" s="861"/>
      <c r="O287" s="861"/>
      <c r="P287" s="861"/>
      <c r="Q287" s="861"/>
      <c r="R287" s="861"/>
      <c r="S287" s="861"/>
      <c r="T287" s="861"/>
      <c r="U287" s="861"/>
      <c r="V287" s="861"/>
      <c r="W287" s="861"/>
      <c r="X287" s="861"/>
      <c r="Y287" s="861"/>
      <c r="Z287" s="861"/>
      <c r="AA287" s="861"/>
      <c r="AB287" s="861"/>
      <c r="AC287" s="861"/>
      <c r="AD287" s="861"/>
      <c r="AE287" s="861"/>
      <c r="AF287" s="861"/>
      <c r="AG287" s="861"/>
      <c r="AH287" s="861"/>
      <c r="AI287" s="871"/>
      <c r="AJ287" s="872"/>
      <c r="AK287" s="873"/>
      <c r="AL287" s="861"/>
      <c r="AM287" s="861"/>
      <c r="AN287" s="861"/>
      <c r="AO287" s="861"/>
      <c r="AP287" s="861"/>
      <c r="AQ287" s="861"/>
      <c r="AR287" s="861"/>
      <c r="AS287" s="861"/>
      <c r="AT287" s="861"/>
      <c r="AU287" s="861"/>
      <c r="AV287" s="861"/>
      <c r="AW287" s="861"/>
      <c r="AX287" s="861"/>
      <c r="AY287" s="861"/>
      <c r="AZ287" s="861"/>
      <c r="BA287" s="861"/>
    </row>
    <row r="288" spans="1:53" s="863" customFormat="1" ht="19.5" customHeight="1">
      <c r="A288" s="859" t="s">
        <v>605</v>
      </c>
      <c r="B288" s="874"/>
      <c r="C288" s="874"/>
      <c r="D288" s="861"/>
      <c r="E288" s="874"/>
      <c r="F288" s="874"/>
      <c r="G288" s="875"/>
      <c r="I288" s="870"/>
      <c r="J288" s="861"/>
      <c r="K288" s="861"/>
      <c r="L288" s="861"/>
      <c r="M288" s="861"/>
      <c r="N288" s="861"/>
      <c r="O288" s="861"/>
      <c r="P288" s="861"/>
      <c r="Q288" s="861"/>
      <c r="R288" s="861"/>
      <c r="S288" s="861"/>
      <c r="T288" s="861"/>
      <c r="U288" s="861"/>
      <c r="V288" s="861"/>
      <c r="W288" s="861"/>
      <c r="X288" s="861"/>
      <c r="Y288" s="861"/>
      <c r="Z288" s="861"/>
      <c r="AA288" s="861"/>
      <c r="AB288" s="861"/>
      <c r="AC288" s="861"/>
      <c r="AD288" s="861"/>
      <c r="AE288" s="861"/>
      <c r="AF288" s="861"/>
      <c r="AG288" s="861"/>
      <c r="AH288" s="861"/>
      <c r="AI288" s="876"/>
      <c r="AJ288" s="877"/>
      <c r="AK288" s="878"/>
      <c r="AL288" s="861"/>
      <c r="AM288" s="861"/>
      <c r="AN288" s="861"/>
      <c r="AO288" s="861"/>
      <c r="AP288" s="861"/>
      <c r="AQ288" s="861"/>
      <c r="AR288" s="861"/>
      <c r="AS288" s="861"/>
      <c r="AT288" s="861"/>
      <c r="AU288" s="861"/>
      <c r="AV288" s="861"/>
      <c r="AW288" s="861"/>
      <c r="AX288" s="861"/>
      <c r="AY288" s="861"/>
      <c r="AZ288" s="861"/>
      <c r="BA288" s="861"/>
    </row>
    <row r="289" spans="1:53" s="859" customFormat="1" ht="19.5" customHeight="1">
      <c r="A289" s="1303" t="s">
        <v>606</v>
      </c>
      <c r="B289" s="1303"/>
      <c r="C289" s="1303"/>
      <c r="D289" s="1303"/>
      <c r="E289" s="1303"/>
      <c r="F289" s="1303"/>
      <c r="G289" s="1303"/>
      <c r="H289" s="1303"/>
      <c r="I289" s="1303"/>
      <c r="J289" s="1303"/>
      <c r="K289" s="1303"/>
      <c r="L289" s="1303"/>
      <c r="M289" s="1303"/>
      <c r="N289" s="1303"/>
      <c r="O289" s="1303"/>
      <c r="P289" s="1303"/>
      <c r="Q289" s="1303"/>
      <c r="R289" s="1303"/>
      <c r="S289" s="1303"/>
      <c r="T289" s="1303"/>
      <c r="U289" s="1303"/>
      <c r="V289" s="1303"/>
      <c r="W289" s="1303"/>
      <c r="X289" s="1303"/>
      <c r="Y289" s="1303"/>
      <c r="Z289" s="1303"/>
      <c r="AA289" s="1303"/>
      <c r="AB289" s="1303"/>
      <c r="AC289" s="1303"/>
      <c r="AD289" s="1303"/>
      <c r="AE289" s="1303"/>
      <c r="AF289" s="1303"/>
      <c r="AG289" s="1303"/>
      <c r="AH289" s="1303"/>
      <c r="AI289" s="1303"/>
    </row>
    <row r="290" spans="1:53" s="863" customFormat="1" ht="19.5" customHeight="1">
      <c r="A290" s="859" t="s">
        <v>1024</v>
      </c>
      <c r="B290" s="834"/>
      <c r="C290" s="834"/>
      <c r="D290" s="834"/>
      <c r="E290" s="834"/>
      <c r="F290" s="834"/>
      <c r="G290" s="834"/>
      <c r="H290" s="834"/>
      <c r="I290" s="834"/>
      <c r="J290" s="834"/>
      <c r="K290" s="834"/>
      <c r="L290" s="834"/>
      <c r="M290" s="834"/>
      <c r="N290" s="834"/>
      <c r="O290" s="834"/>
      <c r="P290" s="834"/>
      <c r="Q290" s="834"/>
      <c r="R290" s="834"/>
      <c r="S290" s="834"/>
      <c r="T290" s="834"/>
      <c r="U290" s="834"/>
      <c r="V290" s="834"/>
      <c r="W290" s="834"/>
      <c r="X290" s="834"/>
      <c r="Y290" s="834"/>
      <c r="Z290" s="879"/>
      <c r="AA290" s="879"/>
      <c r="AB290" s="879"/>
      <c r="AC290" s="879"/>
      <c r="AD290" s="879"/>
      <c r="AE290" s="879"/>
      <c r="AF290" s="879"/>
      <c r="AG290" s="879"/>
      <c r="AH290" s="879"/>
      <c r="AI290" s="880"/>
      <c r="AJ290" s="881"/>
      <c r="AK290" s="879"/>
      <c r="AL290" s="861"/>
      <c r="AM290" s="861"/>
      <c r="AN290" s="861"/>
      <c r="AO290" s="861"/>
      <c r="AP290" s="861"/>
      <c r="AQ290" s="861"/>
      <c r="AR290" s="861"/>
      <c r="AS290" s="861"/>
      <c r="AT290" s="861"/>
      <c r="AU290" s="861"/>
      <c r="AV290" s="861"/>
      <c r="AW290" s="861"/>
      <c r="AX290" s="861"/>
      <c r="AY290" s="861"/>
      <c r="AZ290" s="861"/>
      <c r="BA290" s="861"/>
    </row>
    <row r="291" spans="1:53" s="863" customFormat="1" ht="19.5" customHeight="1">
      <c r="A291" s="859" t="s">
        <v>1025</v>
      </c>
      <c r="B291" s="834"/>
      <c r="C291" s="834"/>
      <c r="D291" s="834"/>
      <c r="E291" s="834"/>
      <c r="F291" s="834"/>
      <c r="G291" s="834"/>
      <c r="H291" s="834"/>
      <c r="I291" s="834"/>
      <c r="J291" s="834"/>
      <c r="K291" s="834"/>
      <c r="L291" s="834"/>
      <c r="M291" s="834"/>
      <c r="N291" s="834"/>
      <c r="O291" s="834"/>
      <c r="P291" s="834"/>
      <c r="Q291" s="834"/>
      <c r="R291" s="834"/>
      <c r="S291" s="834"/>
      <c r="T291" s="834"/>
      <c r="U291" s="834"/>
      <c r="V291" s="834"/>
      <c r="W291" s="834"/>
      <c r="X291" s="834"/>
      <c r="Y291" s="834"/>
      <c r="Z291" s="879"/>
      <c r="AA291" s="879"/>
      <c r="AB291" s="879"/>
      <c r="AC291" s="879"/>
      <c r="AD291" s="879"/>
      <c r="AE291" s="879"/>
      <c r="AF291" s="879"/>
      <c r="AG291" s="879"/>
      <c r="AH291" s="879"/>
      <c r="AI291" s="880"/>
      <c r="AJ291" s="881"/>
      <c r="AK291" s="879"/>
      <c r="AL291" s="861"/>
      <c r="AM291" s="861"/>
      <c r="AN291" s="861"/>
      <c r="AO291" s="861"/>
      <c r="AP291" s="861"/>
      <c r="AQ291" s="861"/>
      <c r="AR291" s="861"/>
      <c r="AS291" s="861"/>
      <c r="AT291" s="861"/>
      <c r="AU291" s="861"/>
      <c r="AV291" s="861"/>
      <c r="AW291" s="861"/>
      <c r="AX291" s="861"/>
      <c r="AY291" s="861"/>
      <c r="AZ291" s="861"/>
      <c r="BA291" s="861"/>
    </row>
    <row r="292" spans="1:53" s="863" customFormat="1" ht="19.5" customHeight="1">
      <c r="A292" s="859" t="s">
        <v>607</v>
      </c>
      <c r="B292" s="860"/>
      <c r="C292" s="860"/>
      <c r="D292" s="861"/>
      <c r="E292" s="860"/>
      <c r="F292" s="860"/>
      <c r="G292" s="862"/>
      <c r="I292" s="870"/>
      <c r="J292" s="861"/>
      <c r="K292" s="861"/>
      <c r="L292" s="861"/>
      <c r="M292" s="861"/>
      <c r="N292" s="861"/>
      <c r="O292" s="861"/>
      <c r="P292" s="861"/>
      <c r="Q292" s="861"/>
      <c r="R292" s="861"/>
      <c r="S292" s="861"/>
      <c r="T292" s="861"/>
      <c r="U292" s="861"/>
      <c r="V292" s="861"/>
      <c r="W292" s="861"/>
      <c r="X292" s="861"/>
      <c r="Y292" s="861"/>
      <c r="Z292" s="861"/>
      <c r="AA292" s="861"/>
      <c r="AB292" s="861"/>
      <c r="AC292" s="861"/>
      <c r="AD292" s="861"/>
      <c r="AE292" s="861"/>
      <c r="AF292" s="861"/>
      <c r="AG292" s="861"/>
      <c r="AH292" s="861"/>
      <c r="AI292" s="867"/>
      <c r="AJ292" s="868"/>
      <c r="AK292" s="869"/>
      <c r="AL292" s="861"/>
      <c r="AM292" s="861"/>
      <c r="AN292" s="861"/>
      <c r="AO292" s="861"/>
      <c r="AP292" s="861"/>
      <c r="AQ292" s="861"/>
      <c r="AR292" s="861"/>
      <c r="AS292" s="861"/>
      <c r="AT292" s="861"/>
      <c r="AU292" s="861"/>
      <c r="AV292" s="861"/>
      <c r="AW292" s="861"/>
      <c r="AX292" s="861"/>
      <c r="AY292" s="861"/>
      <c r="AZ292" s="861"/>
      <c r="BA292" s="861"/>
    </row>
    <row r="293" spans="1:53" s="863" customFormat="1" ht="19.5" customHeight="1">
      <c r="A293" s="882" t="s">
        <v>1026</v>
      </c>
      <c r="B293" s="874"/>
      <c r="C293" s="874"/>
      <c r="D293" s="861"/>
      <c r="E293" s="874"/>
      <c r="F293" s="874"/>
      <c r="G293" s="875"/>
      <c r="I293" s="870"/>
      <c r="J293" s="861"/>
      <c r="K293" s="861"/>
      <c r="L293" s="861"/>
      <c r="M293" s="861"/>
      <c r="N293" s="861"/>
      <c r="O293" s="861"/>
      <c r="P293" s="861"/>
      <c r="Q293" s="861"/>
      <c r="R293" s="861"/>
      <c r="S293" s="861"/>
      <c r="T293" s="861"/>
      <c r="U293" s="861"/>
      <c r="V293" s="861"/>
      <c r="W293" s="861"/>
      <c r="X293" s="861"/>
      <c r="Y293" s="861"/>
      <c r="Z293" s="861"/>
      <c r="AA293" s="861"/>
      <c r="AB293" s="861"/>
      <c r="AC293" s="861"/>
      <c r="AD293" s="861"/>
      <c r="AE293" s="861"/>
      <c r="AF293" s="861"/>
      <c r="AG293" s="861"/>
      <c r="AH293" s="861"/>
      <c r="AI293" s="876"/>
      <c r="AJ293" s="877"/>
      <c r="AK293" s="878"/>
      <c r="AL293" s="861"/>
      <c r="AM293" s="861"/>
      <c r="AN293" s="861"/>
      <c r="AO293" s="861"/>
      <c r="AP293" s="861"/>
      <c r="AQ293" s="861"/>
      <c r="AR293" s="861"/>
      <c r="AS293" s="861"/>
      <c r="AT293" s="861"/>
      <c r="AU293" s="861"/>
      <c r="AV293" s="861"/>
      <c r="AW293" s="861"/>
      <c r="AX293" s="861"/>
      <c r="AY293" s="861"/>
      <c r="AZ293" s="861"/>
      <c r="BA293" s="861"/>
    </row>
    <row r="294" spans="1:53" s="863" customFormat="1" ht="19.5" customHeight="1">
      <c r="A294" s="882" t="s">
        <v>608</v>
      </c>
      <c r="B294" s="874"/>
      <c r="C294" s="874"/>
      <c r="D294" s="861"/>
      <c r="E294" s="874"/>
      <c r="F294" s="874"/>
      <c r="G294" s="875"/>
      <c r="I294" s="870"/>
      <c r="J294" s="861"/>
      <c r="K294" s="861"/>
      <c r="L294" s="861"/>
      <c r="M294" s="861"/>
      <c r="N294" s="861"/>
      <c r="O294" s="861"/>
      <c r="P294" s="861"/>
      <c r="Q294" s="861"/>
      <c r="R294" s="861"/>
      <c r="S294" s="861"/>
      <c r="T294" s="861"/>
      <c r="U294" s="861"/>
      <c r="V294" s="861"/>
      <c r="W294" s="861"/>
      <c r="X294" s="861"/>
      <c r="Y294" s="861"/>
      <c r="Z294" s="861"/>
      <c r="AA294" s="861"/>
      <c r="AB294" s="861"/>
      <c r="AC294" s="861"/>
      <c r="AD294" s="861"/>
      <c r="AE294" s="861"/>
      <c r="AF294" s="861"/>
      <c r="AG294" s="861"/>
      <c r="AH294" s="861"/>
      <c r="AI294" s="876"/>
      <c r="AJ294" s="883"/>
      <c r="AK294" s="878"/>
      <c r="AL294" s="861"/>
      <c r="AM294" s="861"/>
      <c r="AN294" s="861"/>
      <c r="AO294" s="861"/>
      <c r="AP294" s="861"/>
      <c r="AQ294" s="861"/>
      <c r="AR294" s="861"/>
      <c r="AS294" s="861"/>
      <c r="AT294" s="861"/>
      <c r="AU294" s="861"/>
      <c r="AV294" s="861"/>
      <c r="AW294" s="861"/>
      <c r="AX294" s="861"/>
      <c r="AY294" s="861"/>
      <c r="AZ294" s="861"/>
      <c r="BA294" s="861"/>
    </row>
    <row r="295" spans="1:53" s="863" customFormat="1" ht="19.5" customHeight="1">
      <c r="A295" s="859" t="s">
        <v>609</v>
      </c>
      <c r="B295" s="860"/>
      <c r="C295" s="860"/>
      <c r="D295" s="861"/>
      <c r="E295" s="860"/>
      <c r="F295" s="860"/>
      <c r="G295" s="862"/>
      <c r="I295" s="870"/>
      <c r="J295" s="861"/>
      <c r="K295" s="861"/>
      <c r="L295" s="861"/>
      <c r="M295" s="861"/>
      <c r="N295" s="861"/>
      <c r="O295" s="861"/>
      <c r="P295" s="861"/>
      <c r="Q295" s="861"/>
      <c r="R295" s="861"/>
      <c r="S295" s="861"/>
      <c r="T295" s="861"/>
      <c r="U295" s="861"/>
      <c r="V295" s="861"/>
      <c r="W295" s="861"/>
      <c r="X295" s="861"/>
      <c r="Y295" s="861"/>
      <c r="Z295" s="861"/>
      <c r="AA295" s="861"/>
      <c r="AB295" s="861"/>
      <c r="AC295" s="861"/>
      <c r="AD295" s="861"/>
      <c r="AE295" s="861"/>
      <c r="AF295" s="861"/>
      <c r="AG295" s="861"/>
      <c r="AH295" s="861"/>
      <c r="AI295" s="867"/>
      <c r="AJ295" s="868"/>
      <c r="AK295" s="869"/>
      <c r="AL295" s="861"/>
      <c r="AM295" s="861"/>
      <c r="AN295" s="861"/>
      <c r="AO295" s="861"/>
      <c r="AP295" s="861"/>
      <c r="AQ295" s="861"/>
      <c r="AR295" s="861"/>
      <c r="AS295" s="861"/>
      <c r="AT295" s="861"/>
      <c r="AU295" s="861"/>
      <c r="AV295" s="861"/>
      <c r="AW295" s="861"/>
      <c r="AX295" s="861"/>
      <c r="AY295" s="861"/>
      <c r="AZ295" s="861"/>
      <c r="BA295" s="861"/>
    </row>
    <row r="296" spans="1:53" s="863" customFormat="1" ht="19.5" customHeight="1">
      <c r="A296" s="859" t="s">
        <v>1027</v>
      </c>
      <c r="B296" s="860"/>
      <c r="C296" s="860"/>
      <c r="D296" s="861"/>
      <c r="E296" s="860"/>
      <c r="F296" s="860"/>
      <c r="G296" s="862"/>
      <c r="I296" s="870"/>
      <c r="J296" s="861"/>
      <c r="K296" s="861"/>
      <c r="L296" s="861"/>
      <c r="M296" s="861"/>
      <c r="N296" s="861"/>
      <c r="O296" s="861"/>
      <c r="P296" s="861"/>
      <c r="Q296" s="861"/>
      <c r="R296" s="861"/>
      <c r="S296" s="861"/>
      <c r="T296" s="861"/>
      <c r="U296" s="861"/>
      <c r="V296" s="861"/>
      <c r="W296" s="861"/>
      <c r="X296" s="861"/>
      <c r="Y296" s="861"/>
      <c r="Z296" s="861"/>
      <c r="AA296" s="861"/>
      <c r="AB296" s="861"/>
      <c r="AC296" s="861"/>
      <c r="AD296" s="861"/>
      <c r="AE296" s="861"/>
      <c r="AF296" s="861"/>
      <c r="AG296" s="861"/>
      <c r="AH296" s="861"/>
      <c r="AI296" s="867"/>
      <c r="AJ296" s="868"/>
      <c r="AK296" s="869"/>
      <c r="AL296" s="861"/>
      <c r="AM296" s="861"/>
      <c r="AN296" s="861"/>
      <c r="AO296" s="861"/>
      <c r="AP296" s="861"/>
      <c r="AQ296" s="861"/>
      <c r="AR296" s="861"/>
      <c r="AS296" s="861"/>
      <c r="AT296" s="861"/>
      <c r="AU296" s="861"/>
      <c r="AV296" s="861"/>
      <c r="AW296" s="861"/>
      <c r="AX296" s="861"/>
      <c r="AY296" s="861"/>
      <c r="AZ296" s="861"/>
      <c r="BA296" s="861"/>
    </row>
    <row r="297" spans="1:53" s="228" customFormat="1" ht="21.6" customHeight="1">
      <c r="B297" s="232"/>
      <c r="C297" s="233"/>
      <c r="D297" s="233"/>
      <c r="E297" s="233"/>
      <c r="F297" s="226"/>
      <c r="G297" s="232"/>
      <c r="H297" s="233"/>
      <c r="I297" s="233"/>
      <c r="J297" s="229"/>
      <c r="AB297" s="795"/>
      <c r="AC297" s="795"/>
      <c r="AI297" s="808"/>
      <c r="AJ297" s="234"/>
    </row>
    <row r="298" spans="1:53" s="214" customFormat="1" ht="14.25">
      <c r="B298" s="235"/>
      <c r="C298" s="236"/>
      <c r="D298" s="236"/>
      <c r="E298" s="236"/>
      <c r="F298" s="220"/>
      <c r="G298" s="235"/>
      <c r="H298" s="236"/>
      <c r="I298" s="236"/>
      <c r="J298" s="237"/>
      <c r="K298" s="236"/>
      <c r="L298" s="236"/>
      <c r="M298" s="236"/>
      <c r="N298" s="236"/>
      <c r="O298" s="236"/>
      <c r="P298" s="236"/>
      <c r="Q298" s="236"/>
      <c r="R298" s="236"/>
      <c r="S298" s="236"/>
      <c r="T298" s="236"/>
      <c r="U298" s="236"/>
      <c r="V298" s="236"/>
      <c r="W298" s="236"/>
      <c r="X298" s="236"/>
      <c r="Y298" s="236"/>
      <c r="Z298" s="220"/>
      <c r="AA298" s="220"/>
      <c r="AB298" s="794"/>
      <c r="AC298" s="794"/>
      <c r="AD298" s="220"/>
      <c r="AE298" s="220"/>
      <c r="AF298" s="220"/>
      <c r="AG298" s="220"/>
      <c r="AH298" s="220"/>
      <c r="AI298" s="809"/>
      <c r="AJ298" s="218"/>
      <c r="AK298" s="236"/>
    </row>
    <row r="299" spans="1:53" s="227" customFormat="1" ht="18.75">
      <c r="B299" s="230"/>
      <c r="C299" s="230"/>
      <c r="D299" s="226"/>
      <c r="E299" s="230"/>
      <c r="F299" s="230"/>
      <c r="G299" s="238"/>
      <c r="H299" s="228"/>
      <c r="I299" s="228"/>
      <c r="J299" s="1300"/>
      <c r="K299" s="1300"/>
      <c r="L299" s="1300"/>
      <c r="M299" s="1300"/>
      <c r="N299" s="1300"/>
      <c r="O299" s="1300"/>
      <c r="P299" s="1300"/>
      <c r="Q299" s="1300"/>
      <c r="R299" s="1300"/>
      <c r="S299" s="1300"/>
      <c r="T299" s="1300"/>
      <c r="U299" s="1300"/>
      <c r="V299" s="1300"/>
      <c r="W299" s="1300"/>
      <c r="X299" s="1300"/>
      <c r="Y299" s="1300"/>
      <c r="Z299" s="1300"/>
      <c r="AA299" s="1300"/>
      <c r="AB299" s="1300"/>
      <c r="AC299" s="1300"/>
      <c r="AD299" s="1300"/>
      <c r="AE299" s="1300"/>
      <c r="AF299" s="1300"/>
      <c r="AG299" s="1300"/>
      <c r="AH299" s="1300"/>
      <c r="AI299" s="1300"/>
      <c r="AJ299" s="231"/>
      <c r="AK299" s="750"/>
      <c r="AL299" s="228"/>
      <c r="AM299" s="228"/>
      <c r="AN299" s="228"/>
      <c r="AO299" s="228"/>
      <c r="AP299" s="228"/>
      <c r="AQ299" s="228"/>
      <c r="AR299" s="228"/>
      <c r="AS299" s="228"/>
      <c r="AT299" s="228"/>
      <c r="AU299" s="228"/>
      <c r="AV299" s="228"/>
      <c r="AW299" s="228"/>
      <c r="AX299" s="228"/>
      <c r="AY299" s="228"/>
      <c r="AZ299" s="228"/>
      <c r="BA299" s="228"/>
    </row>
    <row r="300" spans="1:53" s="227" customFormat="1" ht="18.75">
      <c r="A300" s="228"/>
      <c r="B300" s="230"/>
      <c r="C300" s="230"/>
      <c r="D300" s="226"/>
      <c r="E300" s="230"/>
      <c r="F300" s="230"/>
      <c r="G300" s="238"/>
      <c r="H300" s="228"/>
      <c r="I300" s="228"/>
      <c r="J300" s="1300"/>
      <c r="K300" s="1300"/>
      <c r="L300" s="1300"/>
      <c r="M300" s="1300"/>
      <c r="N300" s="1300"/>
      <c r="O300" s="1300"/>
      <c r="P300" s="1300"/>
      <c r="Q300" s="1300"/>
      <c r="R300" s="1300"/>
      <c r="S300" s="1300"/>
      <c r="T300" s="1300"/>
      <c r="U300" s="1300"/>
      <c r="V300" s="1300"/>
      <c r="W300" s="1300"/>
      <c r="X300" s="1300"/>
      <c r="Y300" s="1300"/>
      <c r="Z300" s="1300"/>
      <c r="AA300" s="1300"/>
      <c r="AB300" s="1300"/>
      <c r="AC300" s="1300"/>
      <c r="AD300" s="1300"/>
      <c r="AE300" s="1300"/>
      <c r="AF300" s="1300"/>
      <c r="AG300" s="1300"/>
      <c r="AH300" s="1300"/>
      <c r="AI300" s="1300"/>
      <c r="AJ300" s="231"/>
      <c r="AK300" s="750"/>
      <c r="AL300" s="228"/>
      <c r="AM300" s="228"/>
      <c r="AN300" s="228"/>
      <c r="AO300" s="228"/>
      <c r="AP300" s="228"/>
      <c r="AQ300" s="228"/>
      <c r="AR300" s="228"/>
      <c r="AS300" s="228"/>
      <c r="AT300" s="228"/>
      <c r="AU300" s="228"/>
      <c r="AV300" s="228"/>
      <c r="AW300" s="228"/>
      <c r="AX300" s="228"/>
      <c r="AY300" s="228"/>
      <c r="AZ300" s="228"/>
      <c r="BA300" s="228"/>
    </row>
    <row r="301" spans="1:53" s="214" customFormat="1" ht="14.25">
      <c r="B301" s="235"/>
      <c r="C301" s="236"/>
      <c r="D301" s="236"/>
      <c r="E301" s="236"/>
      <c r="F301" s="220"/>
      <c r="G301" s="235"/>
      <c r="H301" s="236"/>
      <c r="I301" s="236"/>
      <c r="J301" s="237"/>
      <c r="K301" s="236"/>
      <c r="L301" s="236"/>
      <c r="M301" s="236"/>
      <c r="N301" s="236"/>
      <c r="O301" s="236"/>
      <c r="P301" s="236"/>
      <c r="Q301" s="236"/>
      <c r="R301" s="236"/>
      <c r="S301" s="236"/>
      <c r="T301" s="236"/>
      <c r="U301" s="236"/>
      <c r="V301" s="236"/>
      <c r="W301" s="236"/>
      <c r="X301" s="236"/>
      <c r="Y301" s="236"/>
      <c r="Z301" s="220"/>
      <c r="AA301" s="220"/>
      <c r="AB301" s="794"/>
      <c r="AC301" s="794"/>
      <c r="AD301" s="220"/>
      <c r="AE301" s="220"/>
      <c r="AF301" s="220"/>
      <c r="AG301" s="220"/>
      <c r="AH301" s="220"/>
      <c r="AI301" s="809"/>
      <c r="AJ301" s="218"/>
      <c r="AK301" s="236"/>
    </row>
    <row r="302" spans="1:53" s="214" customFormat="1" ht="14.25">
      <c r="B302" s="235"/>
      <c r="C302" s="236"/>
      <c r="D302" s="236"/>
      <c r="E302" s="236"/>
      <c r="F302" s="220"/>
      <c r="G302" s="235"/>
      <c r="H302" s="236"/>
      <c r="I302" s="236"/>
      <c r="J302" s="237"/>
      <c r="K302" s="236"/>
      <c r="L302" s="236"/>
      <c r="M302" s="236"/>
      <c r="N302" s="236"/>
      <c r="O302" s="236"/>
      <c r="P302" s="236"/>
      <c r="Q302" s="236"/>
      <c r="R302" s="236"/>
      <c r="S302" s="236"/>
      <c r="T302" s="236"/>
      <c r="U302" s="236"/>
      <c r="V302" s="236"/>
      <c r="W302" s="236"/>
      <c r="X302" s="236"/>
      <c r="Y302" s="236"/>
      <c r="Z302" s="220"/>
      <c r="AA302" s="220"/>
      <c r="AB302" s="794"/>
      <c r="AC302" s="794"/>
      <c r="AD302" s="220"/>
      <c r="AE302" s="220"/>
      <c r="AF302" s="220"/>
      <c r="AG302" s="220"/>
      <c r="AH302" s="220"/>
      <c r="AI302" s="809"/>
      <c r="AJ302" s="218"/>
      <c r="AK302" s="236"/>
    </row>
    <row r="303" spans="1:53" s="214" customFormat="1" ht="14.25">
      <c r="B303" s="235"/>
      <c r="C303" s="236"/>
      <c r="D303" s="236"/>
      <c r="E303" s="236"/>
      <c r="F303" s="220"/>
      <c r="G303" s="235"/>
      <c r="H303" s="236"/>
      <c r="I303" s="236"/>
      <c r="J303" s="237"/>
      <c r="K303" s="236"/>
      <c r="L303" s="236"/>
      <c r="M303" s="236"/>
      <c r="N303" s="236"/>
      <c r="O303" s="236"/>
      <c r="P303" s="236"/>
      <c r="Q303" s="236"/>
      <c r="R303" s="236"/>
      <c r="S303" s="236"/>
      <c r="T303" s="236"/>
      <c r="U303" s="236"/>
      <c r="V303" s="236"/>
      <c r="W303" s="236"/>
      <c r="X303" s="236"/>
      <c r="Y303" s="236"/>
      <c r="Z303" s="220"/>
      <c r="AA303" s="220"/>
      <c r="AB303" s="794"/>
      <c r="AC303" s="794"/>
      <c r="AD303" s="220"/>
      <c r="AE303" s="220"/>
      <c r="AF303" s="220"/>
      <c r="AG303" s="220"/>
      <c r="AH303" s="220"/>
      <c r="AI303" s="809"/>
      <c r="AJ303" s="218"/>
      <c r="AK303" s="236"/>
    </row>
    <row r="304" spans="1:53" s="214" customFormat="1" ht="14.25">
      <c r="B304" s="236"/>
      <c r="C304" s="236"/>
      <c r="D304" s="236"/>
      <c r="E304" s="236"/>
      <c r="F304" s="220"/>
      <c r="G304" s="236"/>
      <c r="H304" s="236"/>
      <c r="I304" s="236"/>
      <c r="J304" s="237"/>
      <c r="K304" s="236"/>
      <c r="L304" s="236"/>
      <c r="M304" s="236"/>
      <c r="N304" s="236"/>
      <c r="O304" s="236"/>
      <c r="P304" s="236"/>
      <c r="Q304" s="236"/>
      <c r="R304" s="236"/>
      <c r="S304" s="236"/>
      <c r="T304" s="236"/>
      <c r="U304" s="236"/>
      <c r="V304" s="236"/>
      <c r="W304" s="236"/>
      <c r="X304" s="236"/>
      <c r="Y304" s="236"/>
      <c r="Z304" s="220"/>
      <c r="AA304" s="220"/>
      <c r="AB304" s="794"/>
      <c r="AC304" s="794"/>
      <c r="AD304" s="220"/>
      <c r="AE304" s="220"/>
      <c r="AF304" s="220"/>
      <c r="AG304" s="220"/>
      <c r="AH304" s="220"/>
      <c r="AI304" s="809"/>
      <c r="AJ304" s="218"/>
      <c r="AK304" s="236"/>
    </row>
    <row r="305" spans="1:37" s="214" customFormat="1" ht="14.25">
      <c r="B305" s="236"/>
      <c r="C305" s="236"/>
      <c r="D305" s="236"/>
      <c r="E305" s="236"/>
      <c r="F305" s="220"/>
      <c r="G305" s="236"/>
      <c r="H305" s="236"/>
      <c r="I305" s="236"/>
      <c r="J305" s="237"/>
      <c r="K305" s="236"/>
      <c r="L305" s="236"/>
      <c r="M305" s="236"/>
      <c r="N305" s="236"/>
      <c r="O305" s="236"/>
      <c r="P305" s="236"/>
      <c r="Q305" s="236"/>
      <c r="R305" s="236"/>
      <c r="S305" s="236"/>
      <c r="T305" s="236"/>
      <c r="U305" s="236"/>
      <c r="V305" s="236"/>
      <c r="W305" s="236"/>
      <c r="X305" s="236"/>
      <c r="Y305" s="236"/>
      <c r="Z305" s="220"/>
      <c r="AA305" s="220"/>
      <c r="AB305" s="794"/>
      <c r="AC305" s="794"/>
      <c r="AD305" s="220"/>
      <c r="AE305" s="220"/>
      <c r="AF305" s="220"/>
      <c r="AG305" s="220"/>
      <c r="AH305" s="220"/>
      <c r="AI305" s="809"/>
      <c r="AJ305" s="218"/>
      <c r="AK305" s="236"/>
    </row>
    <row r="306" spans="1:37" s="214" customFormat="1" ht="14.25">
      <c r="B306" s="235"/>
      <c r="C306" s="236"/>
      <c r="D306" s="236"/>
      <c r="E306" s="236"/>
      <c r="F306" s="220"/>
      <c r="G306" s="235"/>
      <c r="H306" s="236"/>
      <c r="I306" s="236"/>
      <c r="J306" s="237"/>
      <c r="K306" s="236"/>
      <c r="L306" s="236"/>
      <c r="M306" s="236"/>
      <c r="N306" s="236"/>
      <c r="O306" s="236"/>
      <c r="P306" s="236"/>
      <c r="Q306" s="236"/>
      <c r="R306" s="236"/>
      <c r="S306" s="236"/>
      <c r="T306" s="236"/>
      <c r="U306" s="236"/>
      <c r="V306" s="236"/>
      <c r="W306" s="236"/>
      <c r="X306" s="236"/>
      <c r="Y306" s="236"/>
      <c r="Z306" s="220"/>
      <c r="AA306" s="220"/>
      <c r="AB306" s="794"/>
      <c r="AC306" s="794"/>
      <c r="AD306" s="220"/>
      <c r="AE306" s="220"/>
      <c r="AF306" s="220"/>
      <c r="AG306" s="220"/>
      <c r="AH306" s="220"/>
      <c r="AI306" s="809"/>
      <c r="AJ306" s="218"/>
      <c r="AK306" s="236"/>
    </row>
    <row r="307" spans="1:37" s="214" customFormat="1" ht="14.25">
      <c r="B307" s="236"/>
      <c r="C307" s="236"/>
      <c r="D307" s="236"/>
      <c r="E307" s="236"/>
      <c r="F307" s="220"/>
      <c r="G307" s="236"/>
      <c r="H307" s="236"/>
      <c r="I307" s="236"/>
      <c r="J307" s="237"/>
      <c r="K307" s="236"/>
      <c r="L307" s="236"/>
      <c r="M307" s="236"/>
      <c r="N307" s="236"/>
      <c r="O307" s="236"/>
      <c r="P307" s="236"/>
      <c r="Q307" s="236"/>
      <c r="R307" s="236"/>
      <c r="S307" s="236"/>
      <c r="T307" s="236"/>
      <c r="U307" s="236"/>
      <c r="V307" s="236"/>
      <c r="W307" s="236"/>
      <c r="X307" s="236"/>
      <c r="Y307" s="236"/>
      <c r="Z307" s="220"/>
      <c r="AA307" s="220"/>
      <c r="AB307" s="794"/>
      <c r="AC307" s="794"/>
      <c r="AD307" s="220"/>
      <c r="AE307" s="220"/>
      <c r="AF307" s="220"/>
      <c r="AG307" s="220"/>
      <c r="AH307" s="220"/>
      <c r="AI307" s="809"/>
      <c r="AJ307" s="218"/>
      <c r="AK307" s="236"/>
    </row>
    <row r="308" spans="1:37" s="214" customFormat="1" ht="14.25">
      <c r="B308" s="236"/>
      <c r="C308" s="236"/>
      <c r="D308" s="236"/>
      <c r="E308" s="236"/>
      <c r="F308" s="220"/>
      <c r="G308" s="236"/>
      <c r="H308" s="236"/>
      <c r="I308" s="236"/>
      <c r="J308" s="237"/>
      <c r="K308" s="236"/>
      <c r="L308" s="236"/>
      <c r="M308" s="236"/>
      <c r="N308" s="236"/>
      <c r="O308" s="236"/>
      <c r="P308" s="236"/>
      <c r="Q308" s="236"/>
      <c r="R308" s="236"/>
      <c r="S308" s="236"/>
      <c r="T308" s="236"/>
      <c r="U308" s="236"/>
      <c r="V308" s="236"/>
      <c r="W308" s="236"/>
      <c r="X308" s="236"/>
      <c r="Y308" s="236"/>
      <c r="Z308" s="220"/>
      <c r="AA308" s="220"/>
      <c r="AB308" s="794"/>
      <c r="AC308" s="794"/>
      <c r="AD308" s="220"/>
      <c r="AE308" s="220"/>
      <c r="AF308" s="220"/>
      <c r="AG308" s="220"/>
      <c r="AH308" s="220"/>
      <c r="AI308" s="809"/>
      <c r="AJ308" s="218"/>
      <c r="AK308" s="236"/>
    </row>
    <row r="309" spans="1:37" s="214" customFormat="1" ht="14.25">
      <c r="B309" s="236"/>
      <c r="C309" s="236"/>
      <c r="D309" s="236"/>
      <c r="E309" s="236"/>
      <c r="F309" s="220"/>
      <c r="G309" s="236"/>
      <c r="H309" s="236"/>
      <c r="I309" s="236"/>
      <c r="J309" s="237"/>
      <c r="K309" s="236"/>
      <c r="L309" s="236"/>
      <c r="M309" s="236"/>
      <c r="N309" s="236"/>
      <c r="O309" s="236"/>
      <c r="P309" s="236"/>
      <c r="Q309" s="236"/>
      <c r="R309" s="236"/>
      <c r="S309" s="236"/>
      <c r="T309" s="236"/>
      <c r="U309" s="236"/>
      <c r="V309" s="236"/>
      <c r="W309" s="236"/>
      <c r="X309" s="236"/>
      <c r="Y309" s="236"/>
      <c r="Z309" s="220"/>
      <c r="AA309" s="220"/>
      <c r="AB309" s="794"/>
      <c r="AC309" s="794"/>
      <c r="AD309" s="220"/>
      <c r="AE309" s="220"/>
      <c r="AF309" s="220"/>
      <c r="AG309" s="220"/>
      <c r="AH309" s="220"/>
      <c r="AI309" s="809"/>
      <c r="AJ309" s="218"/>
      <c r="AK309" s="236"/>
    </row>
    <row r="310" spans="1:37" s="228" customFormat="1">
      <c r="A310" s="214"/>
      <c r="B310" s="233"/>
      <c r="C310" s="233"/>
      <c r="D310" s="233"/>
      <c r="E310" s="233"/>
      <c r="F310" s="226"/>
      <c r="G310" s="233"/>
      <c r="H310" s="233"/>
      <c r="I310" s="233"/>
      <c r="J310" s="229"/>
      <c r="K310" s="233"/>
      <c r="L310" s="233"/>
      <c r="M310" s="233"/>
      <c r="N310" s="233"/>
      <c r="O310" s="233"/>
      <c r="P310" s="233"/>
      <c r="Q310" s="233"/>
      <c r="R310" s="233"/>
      <c r="S310" s="233"/>
      <c r="T310" s="233"/>
      <c r="U310" s="233"/>
      <c r="V310" s="233"/>
      <c r="W310" s="233"/>
      <c r="X310" s="233"/>
      <c r="Y310" s="233"/>
      <c r="Z310" s="226"/>
      <c r="AA310" s="226"/>
      <c r="AB310" s="795"/>
      <c r="AC310" s="795"/>
      <c r="AD310" s="226"/>
      <c r="AE310" s="226"/>
      <c r="AF310" s="226"/>
      <c r="AG310" s="226"/>
      <c r="AH310" s="226"/>
      <c r="AI310" s="810"/>
      <c r="AJ310" s="239"/>
      <c r="AK310" s="233"/>
    </row>
    <row r="311" spans="1:37" s="228" customFormat="1">
      <c r="A311" s="214"/>
      <c r="B311" s="233"/>
      <c r="C311" s="233"/>
      <c r="D311" s="233"/>
      <c r="E311" s="233"/>
      <c r="F311" s="226"/>
      <c r="G311" s="233"/>
      <c r="H311" s="233"/>
      <c r="I311" s="233"/>
      <c r="J311" s="229"/>
      <c r="K311" s="233"/>
      <c r="L311" s="233"/>
      <c r="M311" s="233"/>
      <c r="N311" s="233"/>
      <c r="O311" s="233"/>
      <c r="P311" s="233"/>
      <c r="Q311" s="233"/>
      <c r="R311" s="233"/>
      <c r="S311" s="233"/>
      <c r="T311" s="233"/>
      <c r="U311" s="233"/>
      <c r="V311" s="233"/>
      <c r="W311" s="233"/>
      <c r="X311" s="233"/>
      <c r="Y311" s="233"/>
      <c r="Z311" s="226"/>
      <c r="AA311" s="226"/>
      <c r="AB311" s="795"/>
      <c r="AC311" s="795"/>
      <c r="AD311" s="226"/>
      <c r="AE311" s="226"/>
      <c r="AF311" s="226"/>
      <c r="AG311" s="226"/>
      <c r="AH311" s="226"/>
      <c r="AI311" s="810"/>
      <c r="AJ311" s="239"/>
      <c r="AK311" s="233"/>
    </row>
    <row r="312" spans="1:37" s="228" customFormat="1">
      <c r="A312" s="214"/>
      <c r="B312" s="233"/>
      <c r="C312" s="233"/>
      <c r="D312" s="233"/>
      <c r="E312" s="233"/>
      <c r="F312" s="226"/>
      <c r="G312" s="233"/>
      <c r="H312" s="233"/>
      <c r="I312" s="233"/>
      <c r="J312" s="229"/>
      <c r="K312" s="233"/>
      <c r="L312" s="233"/>
      <c r="M312" s="233"/>
      <c r="N312" s="233"/>
      <c r="O312" s="233"/>
      <c r="P312" s="233"/>
      <c r="Q312" s="233"/>
      <c r="R312" s="233"/>
      <c r="S312" s="233"/>
      <c r="T312" s="233"/>
      <c r="U312" s="233"/>
      <c r="V312" s="233"/>
      <c r="W312" s="233"/>
      <c r="X312" s="233"/>
      <c r="Y312" s="233"/>
      <c r="Z312" s="226"/>
      <c r="AA312" s="226"/>
      <c r="AB312" s="795"/>
      <c r="AC312" s="795"/>
      <c r="AD312" s="226"/>
      <c r="AE312" s="226"/>
      <c r="AF312" s="226"/>
      <c r="AG312" s="226"/>
      <c r="AH312" s="226"/>
      <c r="AI312" s="810"/>
      <c r="AJ312" s="239"/>
      <c r="AK312" s="233"/>
    </row>
    <row r="313" spans="1:37" s="228" customFormat="1">
      <c r="A313" s="214"/>
      <c r="B313" s="233"/>
      <c r="C313" s="233"/>
      <c r="D313" s="233"/>
      <c r="E313" s="233"/>
      <c r="F313" s="226"/>
      <c r="G313" s="233"/>
      <c r="H313" s="233"/>
      <c r="I313" s="233"/>
      <c r="J313" s="229"/>
      <c r="K313" s="233"/>
      <c r="L313" s="233"/>
      <c r="M313" s="233"/>
      <c r="N313" s="233"/>
      <c r="O313" s="233"/>
      <c r="P313" s="233"/>
      <c r="Q313" s="233"/>
      <c r="R313" s="233"/>
      <c r="S313" s="233"/>
      <c r="T313" s="233"/>
      <c r="U313" s="233"/>
      <c r="V313" s="233"/>
      <c r="W313" s="233"/>
      <c r="X313" s="233"/>
      <c r="Y313" s="233"/>
      <c r="Z313" s="226"/>
      <c r="AA313" s="226"/>
      <c r="AB313" s="795"/>
      <c r="AC313" s="795"/>
      <c r="AD313" s="226"/>
      <c r="AE313" s="226"/>
      <c r="AF313" s="226"/>
      <c r="AG313" s="226"/>
      <c r="AH313" s="226"/>
      <c r="AI313" s="810"/>
      <c r="AJ313" s="239"/>
      <c r="AK313" s="233"/>
    </row>
    <row r="314" spans="1:37" s="228" customFormat="1">
      <c r="A314" s="214"/>
      <c r="B314" s="233"/>
      <c r="C314" s="233"/>
      <c r="D314" s="233"/>
      <c r="E314" s="233"/>
      <c r="F314" s="226"/>
      <c r="G314" s="233"/>
      <c r="H314" s="233"/>
      <c r="I314" s="233"/>
      <c r="J314" s="229"/>
      <c r="K314" s="233"/>
      <c r="L314" s="233"/>
      <c r="M314" s="233"/>
      <c r="N314" s="233"/>
      <c r="O314" s="233"/>
      <c r="P314" s="233"/>
      <c r="Q314" s="233"/>
      <c r="R314" s="233"/>
      <c r="S314" s="233"/>
      <c r="T314" s="233"/>
      <c r="U314" s="233"/>
      <c r="V314" s="233"/>
      <c r="W314" s="233"/>
      <c r="X314" s="233"/>
      <c r="Y314" s="233"/>
      <c r="Z314" s="226"/>
      <c r="AA314" s="226"/>
      <c r="AB314" s="795"/>
      <c r="AC314" s="795"/>
      <c r="AD314" s="226"/>
      <c r="AE314" s="226"/>
      <c r="AF314" s="226"/>
      <c r="AG314" s="226"/>
      <c r="AH314" s="226"/>
      <c r="AI314" s="810"/>
      <c r="AJ314" s="239"/>
      <c r="AK314" s="233"/>
    </row>
    <row r="315" spans="1:37" s="228" customFormat="1">
      <c r="A315" s="214"/>
      <c r="B315" s="233"/>
      <c r="C315" s="233"/>
      <c r="D315" s="233"/>
      <c r="E315" s="233"/>
      <c r="F315" s="226"/>
      <c r="G315" s="233"/>
      <c r="H315" s="233"/>
      <c r="I315" s="233"/>
      <c r="J315" s="229"/>
      <c r="K315" s="233"/>
      <c r="L315" s="233"/>
      <c r="M315" s="233"/>
      <c r="N315" s="233"/>
      <c r="O315" s="233"/>
      <c r="P315" s="233"/>
      <c r="Q315" s="233"/>
      <c r="R315" s="233"/>
      <c r="S315" s="233"/>
      <c r="T315" s="233"/>
      <c r="U315" s="233"/>
      <c r="V315" s="233"/>
      <c r="W315" s="233"/>
      <c r="X315" s="233"/>
      <c r="Y315" s="233"/>
      <c r="Z315" s="226"/>
      <c r="AA315" s="226"/>
      <c r="AB315" s="795"/>
      <c r="AC315" s="795"/>
      <c r="AD315" s="226"/>
      <c r="AE315" s="226"/>
      <c r="AF315" s="226"/>
      <c r="AG315" s="226"/>
      <c r="AH315" s="226"/>
      <c r="AI315" s="810"/>
      <c r="AJ315" s="239"/>
      <c r="AK315" s="233"/>
    </row>
    <row r="316" spans="1:37" s="228" customFormat="1">
      <c r="A316" s="214"/>
      <c r="B316" s="233"/>
      <c r="C316" s="233"/>
      <c r="D316" s="233"/>
      <c r="E316" s="233"/>
      <c r="F316" s="226"/>
      <c r="G316" s="233"/>
      <c r="H316" s="233"/>
      <c r="I316" s="233"/>
      <c r="J316" s="229"/>
      <c r="K316" s="233"/>
      <c r="L316" s="233"/>
      <c r="M316" s="233"/>
      <c r="N316" s="233"/>
      <c r="O316" s="233"/>
      <c r="P316" s="233"/>
      <c r="Q316" s="233"/>
      <c r="R316" s="233"/>
      <c r="S316" s="233"/>
      <c r="T316" s="233"/>
      <c r="U316" s="233"/>
      <c r="V316" s="233"/>
      <c r="W316" s="233"/>
      <c r="X316" s="233"/>
      <c r="Y316" s="233"/>
      <c r="Z316" s="226"/>
      <c r="AA316" s="226"/>
      <c r="AB316" s="795"/>
      <c r="AC316" s="795"/>
      <c r="AD316" s="226"/>
      <c r="AE316" s="226"/>
      <c r="AF316" s="226"/>
      <c r="AG316" s="226"/>
      <c r="AH316" s="226"/>
      <c r="AI316" s="810"/>
      <c r="AJ316" s="239"/>
      <c r="AK316" s="233"/>
    </row>
    <row r="317" spans="1:37" s="228" customFormat="1">
      <c r="A317" s="214"/>
      <c r="B317" s="233"/>
      <c r="C317" s="233"/>
      <c r="D317" s="233"/>
      <c r="E317" s="233"/>
      <c r="F317" s="226"/>
      <c r="G317" s="233"/>
      <c r="H317" s="233"/>
      <c r="I317" s="233"/>
      <c r="J317" s="229"/>
      <c r="K317" s="233"/>
      <c r="L317" s="233"/>
      <c r="M317" s="233"/>
      <c r="N317" s="233"/>
      <c r="O317" s="233"/>
      <c r="P317" s="233"/>
      <c r="Q317" s="233"/>
      <c r="R317" s="233"/>
      <c r="S317" s="233"/>
      <c r="T317" s="233"/>
      <c r="U317" s="233"/>
      <c r="V317" s="233"/>
      <c r="W317" s="233"/>
      <c r="X317" s="233"/>
      <c r="Y317" s="233"/>
      <c r="Z317" s="226"/>
      <c r="AA317" s="226"/>
      <c r="AB317" s="795"/>
      <c r="AC317" s="795"/>
      <c r="AD317" s="226"/>
      <c r="AE317" s="226"/>
      <c r="AF317" s="226"/>
      <c r="AG317" s="226"/>
      <c r="AH317" s="226"/>
      <c r="AI317" s="810"/>
      <c r="AJ317" s="239"/>
      <c r="AK317" s="233"/>
    </row>
    <row r="318" spans="1:37" s="228" customFormat="1">
      <c r="A318" s="214"/>
      <c r="B318" s="233"/>
      <c r="C318" s="233"/>
      <c r="D318" s="233"/>
      <c r="E318" s="233"/>
      <c r="F318" s="226"/>
      <c r="G318" s="233"/>
      <c r="H318" s="233"/>
      <c r="I318" s="233"/>
      <c r="J318" s="229"/>
      <c r="K318" s="233"/>
      <c r="L318" s="233"/>
      <c r="M318" s="233"/>
      <c r="N318" s="233"/>
      <c r="O318" s="233"/>
      <c r="P318" s="233"/>
      <c r="Q318" s="233"/>
      <c r="R318" s="233"/>
      <c r="S318" s="233"/>
      <c r="T318" s="233"/>
      <c r="U318" s="233"/>
      <c r="V318" s="233"/>
      <c r="W318" s="233"/>
      <c r="X318" s="233"/>
      <c r="Y318" s="233"/>
      <c r="Z318" s="226"/>
      <c r="AA318" s="226"/>
      <c r="AB318" s="795"/>
      <c r="AC318" s="795"/>
      <c r="AD318" s="226"/>
      <c r="AE318" s="226"/>
      <c r="AF318" s="226"/>
      <c r="AG318" s="226"/>
      <c r="AH318" s="226"/>
      <c r="AI318" s="810"/>
      <c r="AJ318" s="239"/>
      <c r="AK318" s="233"/>
    </row>
    <row r="319" spans="1:37" s="228" customFormat="1">
      <c r="A319" s="214"/>
      <c r="B319" s="233"/>
      <c r="C319" s="233"/>
      <c r="D319" s="233"/>
      <c r="E319" s="233"/>
      <c r="F319" s="226"/>
      <c r="G319" s="233"/>
      <c r="H319" s="233"/>
      <c r="I319" s="233"/>
      <c r="J319" s="229"/>
      <c r="K319" s="233"/>
      <c r="L319" s="233"/>
      <c r="M319" s="233"/>
      <c r="N319" s="233"/>
      <c r="O319" s="233"/>
      <c r="P319" s="233"/>
      <c r="Q319" s="233"/>
      <c r="R319" s="233"/>
      <c r="S319" s="233"/>
      <c r="T319" s="233"/>
      <c r="U319" s="233"/>
      <c r="V319" s="233"/>
      <c r="W319" s="233"/>
      <c r="X319" s="233"/>
      <c r="Y319" s="233"/>
      <c r="Z319" s="226"/>
      <c r="AA319" s="226"/>
      <c r="AB319" s="795"/>
      <c r="AC319" s="795"/>
      <c r="AD319" s="226"/>
      <c r="AE319" s="226"/>
      <c r="AF319" s="226"/>
      <c r="AG319" s="226"/>
      <c r="AH319" s="226"/>
      <c r="AI319" s="810"/>
      <c r="AJ319" s="239"/>
      <c r="AK319" s="233"/>
    </row>
    <row r="320" spans="1:37" s="228" customFormat="1">
      <c r="A320" s="214"/>
      <c r="B320" s="233"/>
      <c r="C320" s="233"/>
      <c r="D320" s="233"/>
      <c r="E320" s="233"/>
      <c r="F320" s="226"/>
      <c r="G320" s="233"/>
      <c r="H320" s="233"/>
      <c r="I320" s="233"/>
      <c r="J320" s="229"/>
      <c r="K320" s="233"/>
      <c r="L320" s="233"/>
      <c r="M320" s="233"/>
      <c r="N320" s="233"/>
      <c r="O320" s="233"/>
      <c r="P320" s="233"/>
      <c r="Q320" s="233"/>
      <c r="R320" s="233"/>
      <c r="S320" s="233"/>
      <c r="T320" s="233"/>
      <c r="U320" s="233"/>
      <c r="V320" s="233"/>
      <c r="W320" s="233"/>
      <c r="X320" s="233"/>
      <c r="Y320" s="233"/>
      <c r="Z320" s="226"/>
      <c r="AA320" s="226"/>
      <c r="AB320" s="795"/>
      <c r="AC320" s="795"/>
      <c r="AD320" s="226"/>
      <c r="AE320" s="226"/>
      <c r="AF320" s="226"/>
      <c r="AG320" s="226"/>
      <c r="AH320" s="226"/>
      <c r="AI320" s="810"/>
      <c r="AJ320" s="239"/>
      <c r="AK320" s="233"/>
    </row>
    <row r="321" spans="1:37" s="228" customFormat="1">
      <c r="A321" s="214"/>
      <c r="B321" s="233"/>
      <c r="C321" s="233"/>
      <c r="D321" s="233"/>
      <c r="E321" s="233"/>
      <c r="F321" s="226"/>
      <c r="G321" s="233"/>
      <c r="H321" s="233"/>
      <c r="I321" s="233"/>
      <c r="J321" s="229"/>
      <c r="K321" s="233"/>
      <c r="L321" s="233"/>
      <c r="M321" s="233"/>
      <c r="N321" s="233"/>
      <c r="O321" s="233"/>
      <c r="P321" s="233"/>
      <c r="Q321" s="233"/>
      <c r="R321" s="233"/>
      <c r="S321" s="233"/>
      <c r="T321" s="233"/>
      <c r="U321" s="233"/>
      <c r="V321" s="233"/>
      <c r="W321" s="233"/>
      <c r="X321" s="233"/>
      <c r="Y321" s="233"/>
      <c r="Z321" s="226"/>
      <c r="AA321" s="226"/>
      <c r="AB321" s="795"/>
      <c r="AC321" s="795"/>
      <c r="AD321" s="226"/>
      <c r="AE321" s="226"/>
      <c r="AF321" s="226"/>
      <c r="AG321" s="226"/>
      <c r="AH321" s="226"/>
      <c r="AI321" s="810"/>
      <c r="AJ321" s="239"/>
      <c r="AK321" s="233"/>
    </row>
    <row r="322" spans="1:37" s="228" customFormat="1">
      <c r="A322" s="214"/>
      <c r="B322" s="233"/>
      <c r="C322" s="233"/>
      <c r="D322" s="233"/>
      <c r="E322" s="233"/>
      <c r="F322" s="226"/>
      <c r="G322" s="233"/>
      <c r="H322" s="233"/>
      <c r="I322" s="233"/>
      <c r="J322" s="229"/>
      <c r="K322" s="233"/>
      <c r="L322" s="233"/>
      <c r="M322" s="233"/>
      <c r="N322" s="233"/>
      <c r="O322" s="233"/>
      <c r="P322" s="233"/>
      <c r="Q322" s="233"/>
      <c r="R322" s="233"/>
      <c r="S322" s="233"/>
      <c r="T322" s="233"/>
      <c r="U322" s="233"/>
      <c r="V322" s="233"/>
      <c r="W322" s="233"/>
      <c r="X322" s="233"/>
      <c r="Y322" s="233"/>
      <c r="Z322" s="226"/>
      <c r="AA322" s="226"/>
      <c r="AB322" s="795"/>
      <c r="AC322" s="795"/>
      <c r="AD322" s="226"/>
      <c r="AE322" s="226"/>
      <c r="AF322" s="226"/>
      <c r="AG322" s="226"/>
      <c r="AH322" s="226"/>
      <c r="AI322" s="810"/>
      <c r="AJ322" s="239"/>
      <c r="AK322" s="233"/>
    </row>
    <row r="323" spans="1:37" s="228" customFormat="1">
      <c r="A323" s="214"/>
      <c r="B323" s="233"/>
      <c r="C323" s="233"/>
      <c r="D323" s="233"/>
      <c r="E323" s="233"/>
      <c r="F323" s="226"/>
      <c r="G323" s="233"/>
      <c r="H323" s="233"/>
      <c r="I323" s="233"/>
      <c r="J323" s="229"/>
      <c r="K323" s="233"/>
      <c r="L323" s="233"/>
      <c r="M323" s="233"/>
      <c r="N323" s="233"/>
      <c r="O323" s="233"/>
      <c r="P323" s="233"/>
      <c r="Q323" s="233"/>
      <c r="R323" s="233"/>
      <c r="S323" s="233"/>
      <c r="T323" s="233"/>
      <c r="U323" s="233"/>
      <c r="V323" s="233"/>
      <c r="W323" s="233"/>
      <c r="X323" s="233"/>
      <c r="Y323" s="233"/>
      <c r="Z323" s="226"/>
      <c r="AA323" s="226"/>
      <c r="AB323" s="795"/>
      <c r="AC323" s="795"/>
      <c r="AD323" s="226"/>
      <c r="AE323" s="226"/>
      <c r="AF323" s="226"/>
      <c r="AG323" s="226"/>
      <c r="AH323" s="226"/>
      <c r="AI323" s="810"/>
      <c r="AJ323" s="239"/>
      <c r="AK323" s="233"/>
    </row>
    <row r="324" spans="1:37" s="228" customFormat="1">
      <c r="A324" s="214"/>
      <c r="B324" s="233"/>
      <c r="C324" s="233"/>
      <c r="D324" s="233"/>
      <c r="E324" s="233"/>
      <c r="F324" s="226"/>
      <c r="G324" s="233"/>
      <c r="H324" s="233"/>
      <c r="I324" s="233"/>
      <c r="J324" s="229"/>
      <c r="K324" s="233"/>
      <c r="L324" s="233"/>
      <c r="M324" s="233"/>
      <c r="N324" s="233"/>
      <c r="O324" s="233"/>
      <c r="P324" s="233"/>
      <c r="Q324" s="233"/>
      <c r="R324" s="233"/>
      <c r="S324" s="233"/>
      <c r="T324" s="233"/>
      <c r="U324" s="233"/>
      <c r="V324" s="233"/>
      <c r="W324" s="233"/>
      <c r="X324" s="233"/>
      <c r="Y324" s="233"/>
      <c r="Z324" s="226"/>
      <c r="AA324" s="226"/>
      <c r="AB324" s="795"/>
      <c r="AC324" s="795"/>
      <c r="AD324" s="226"/>
      <c r="AE324" s="226"/>
      <c r="AF324" s="226"/>
      <c r="AG324" s="226"/>
      <c r="AH324" s="226"/>
      <c r="AI324" s="810"/>
      <c r="AJ324" s="239"/>
      <c r="AK324" s="233"/>
    </row>
    <row r="325" spans="1:37" s="228" customFormat="1">
      <c r="A325" s="214"/>
      <c r="B325" s="233"/>
      <c r="C325" s="233"/>
      <c r="D325" s="233"/>
      <c r="E325" s="233"/>
      <c r="F325" s="226"/>
      <c r="G325" s="233"/>
      <c r="H325" s="233"/>
      <c r="I325" s="233"/>
      <c r="J325" s="229"/>
      <c r="K325" s="233"/>
      <c r="L325" s="233"/>
      <c r="M325" s="233"/>
      <c r="N325" s="233"/>
      <c r="O325" s="233"/>
      <c r="P325" s="233"/>
      <c r="Q325" s="233"/>
      <c r="R325" s="233"/>
      <c r="S325" s="233"/>
      <c r="T325" s="233"/>
      <c r="U325" s="233"/>
      <c r="V325" s="233"/>
      <c r="W325" s="233"/>
      <c r="X325" s="233"/>
      <c r="Y325" s="233"/>
      <c r="Z325" s="226"/>
      <c r="AA325" s="226"/>
      <c r="AB325" s="795"/>
      <c r="AC325" s="795"/>
      <c r="AD325" s="226"/>
      <c r="AE325" s="226"/>
      <c r="AF325" s="226"/>
      <c r="AG325" s="226"/>
      <c r="AH325" s="226"/>
      <c r="AI325" s="810"/>
      <c r="AJ325" s="239"/>
      <c r="AK325" s="233"/>
    </row>
    <row r="326" spans="1:37" s="228" customFormat="1">
      <c r="A326" s="214"/>
      <c r="B326" s="233"/>
      <c r="C326" s="233"/>
      <c r="D326" s="233"/>
      <c r="E326" s="233"/>
      <c r="F326" s="226"/>
      <c r="G326" s="233"/>
      <c r="H326" s="233"/>
      <c r="I326" s="233"/>
      <c r="J326" s="229"/>
      <c r="K326" s="233"/>
      <c r="L326" s="233"/>
      <c r="M326" s="233"/>
      <c r="N326" s="233"/>
      <c r="O326" s="233"/>
      <c r="P326" s="233"/>
      <c r="Q326" s="233"/>
      <c r="R326" s="233"/>
      <c r="S326" s="233"/>
      <c r="T326" s="233"/>
      <c r="U326" s="233"/>
      <c r="V326" s="233"/>
      <c r="W326" s="233"/>
      <c r="X326" s="233"/>
      <c r="Y326" s="233"/>
      <c r="Z326" s="226"/>
      <c r="AA326" s="226"/>
      <c r="AB326" s="795"/>
      <c r="AC326" s="795"/>
      <c r="AD326" s="226"/>
      <c r="AE326" s="226"/>
      <c r="AF326" s="226"/>
      <c r="AG326" s="226"/>
      <c r="AH326" s="226"/>
      <c r="AI326" s="810"/>
      <c r="AJ326" s="239"/>
      <c r="AK326" s="233"/>
    </row>
    <row r="327" spans="1:37" s="228" customFormat="1">
      <c r="A327" s="214"/>
      <c r="B327" s="233"/>
      <c r="C327" s="233"/>
      <c r="D327" s="233"/>
      <c r="E327" s="233"/>
      <c r="F327" s="226"/>
      <c r="G327" s="233"/>
      <c r="H327" s="233"/>
      <c r="I327" s="233"/>
      <c r="J327" s="229"/>
      <c r="K327" s="233"/>
      <c r="L327" s="233"/>
      <c r="M327" s="233"/>
      <c r="N327" s="233"/>
      <c r="O327" s="233"/>
      <c r="P327" s="233"/>
      <c r="Q327" s="233"/>
      <c r="R327" s="233"/>
      <c r="S327" s="233"/>
      <c r="T327" s="233"/>
      <c r="U327" s="233"/>
      <c r="V327" s="233"/>
      <c r="W327" s="233"/>
      <c r="X327" s="233"/>
      <c r="Y327" s="233"/>
      <c r="Z327" s="226"/>
      <c r="AA327" s="226"/>
      <c r="AB327" s="795"/>
      <c r="AC327" s="795"/>
      <c r="AD327" s="226"/>
      <c r="AE327" s="226"/>
      <c r="AF327" s="226"/>
      <c r="AG327" s="226"/>
      <c r="AH327" s="226"/>
      <c r="AI327" s="810"/>
      <c r="AJ327" s="239"/>
      <c r="AK327" s="233"/>
    </row>
    <row r="328" spans="1:37" s="228" customFormat="1">
      <c r="A328" s="214"/>
      <c r="B328" s="233"/>
      <c r="C328" s="233"/>
      <c r="D328" s="233"/>
      <c r="E328" s="233"/>
      <c r="F328" s="226"/>
      <c r="G328" s="233"/>
      <c r="H328" s="233"/>
      <c r="I328" s="233"/>
      <c r="J328" s="229"/>
      <c r="K328" s="233"/>
      <c r="L328" s="233"/>
      <c r="M328" s="233"/>
      <c r="N328" s="233"/>
      <c r="O328" s="233"/>
      <c r="P328" s="233"/>
      <c r="Q328" s="233"/>
      <c r="R328" s="233"/>
      <c r="S328" s="233"/>
      <c r="T328" s="233"/>
      <c r="U328" s="233"/>
      <c r="V328" s="233"/>
      <c r="W328" s="233"/>
      <c r="X328" s="233"/>
      <c r="Y328" s="233"/>
      <c r="Z328" s="226"/>
      <c r="AA328" s="226"/>
      <c r="AB328" s="795"/>
      <c r="AC328" s="795"/>
      <c r="AD328" s="226"/>
      <c r="AE328" s="226"/>
      <c r="AF328" s="226"/>
      <c r="AG328" s="226"/>
      <c r="AH328" s="226"/>
      <c r="AI328" s="810"/>
      <c r="AJ328" s="239"/>
      <c r="AK328" s="233"/>
    </row>
    <row r="329" spans="1:37" s="228" customFormat="1">
      <c r="A329" s="214"/>
      <c r="B329" s="233"/>
      <c r="C329" s="233"/>
      <c r="D329" s="233"/>
      <c r="E329" s="233"/>
      <c r="F329" s="226"/>
      <c r="G329" s="233"/>
      <c r="H329" s="233"/>
      <c r="I329" s="233"/>
      <c r="J329" s="229"/>
      <c r="K329" s="233"/>
      <c r="L329" s="233"/>
      <c r="M329" s="233"/>
      <c r="N329" s="233"/>
      <c r="O329" s="233"/>
      <c r="P329" s="233"/>
      <c r="Q329" s="233"/>
      <c r="R329" s="233"/>
      <c r="S329" s="233"/>
      <c r="T329" s="233"/>
      <c r="U329" s="233"/>
      <c r="V329" s="233"/>
      <c r="W329" s="233"/>
      <c r="X329" s="233"/>
      <c r="Y329" s="233"/>
      <c r="Z329" s="226"/>
      <c r="AA329" s="226"/>
      <c r="AB329" s="795"/>
      <c r="AC329" s="795"/>
      <c r="AD329" s="226"/>
      <c r="AE329" s="226"/>
      <c r="AF329" s="226"/>
      <c r="AG329" s="226"/>
      <c r="AH329" s="226"/>
      <c r="AI329" s="810"/>
      <c r="AJ329" s="239"/>
      <c r="AK329" s="233"/>
    </row>
    <row r="330" spans="1:37" s="228" customFormat="1">
      <c r="A330" s="214"/>
      <c r="B330" s="233"/>
      <c r="C330" s="233"/>
      <c r="D330" s="233"/>
      <c r="E330" s="233"/>
      <c r="F330" s="226"/>
      <c r="G330" s="233"/>
      <c r="H330" s="233"/>
      <c r="I330" s="233"/>
      <c r="J330" s="229"/>
      <c r="K330" s="233"/>
      <c r="L330" s="233"/>
      <c r="M330" s="233"/>
      <c r="N330" s="233"/>
      <c r="O330" s="233"/>
      <c r="P330" s="233"/>
      <c r="Q330" s="233"/>
      <c r="R330" s="233"/>
      <c r="S330" s="233"/>
      <c r="T330" s="233"/>
      <c r="U330" s="233"/>
      <c r="V330" s="233"/>
      <c r="W330" s="233"/>
      <c r="X330" s="233"/>
      <c r="Y330" s="233"/>
      <c r="Z330" s="226"/>
      <c r="AA330" s="226"/>
      <c r="AB330" s="795"/>
      <c r="AC330" s="795"/>
      <c r="AD330" s="226"/>
      <c r="AE330" s="226"/>
      <c r="AF330" s="226"/>
      <c r="AG330" s="226"/>
      <c r="AH330" s="226"/>
      <c r="AI330" s="810"/>
      <c r="AJ330" s="239"/>
      <c r="AK330" s="233"/>
    </row>
    <row r="331" spans="1:37" s="228" customFormat="1" ht="37.5">
      <c r="A331" s="214"/>
      <c r="B331" s="233"/>
      <c r="C331" s="233"/>
      <c r="D331" s="233"/>
      <c r="E331" s="233"/>
      <c r="F331" s="226"/>
      <c r="G331" s="240"/>
      <c r="H331" s="233"/>
      <c r="I331" s="233"/>
      <c r="J331" s="229"/>
      <c r="K331" s="233"/>
      <c r="L331" s="233"/>
      <c r="M331" s="233"/>
      <c r="N331" s="233"/>
      <c r="O331" s="233"/>
      <c r="P331" s="233"/>
      <c r="Q331" s="233"/>
      <c r="R331" s="233"/>
      <c r="S331" s="233"/>
      <c r="T331" s="233"/>
      <c r="U331" s="233"/>
      <c r="V331" s="233"/>
      <c r="W331" s="233"/>
      <c r="X331" s="233"/>
      <c r="Y331" s="233"/>
      <c r="Z331" s="226"/>
      <c r="AA331" s="226"/>
      <c r="AB331" s="795"/>
      <c r="AC331" s="795"/>
      <c r="AD331" s="226"/>
      <c r="AE331" s="226"/>
      <c r="AF331" s="226"/>
      <c r="AG331" s="226"/>
      <c r="AH331" s="226"/>
      <c r="AI331" s="810"/>
      <c r="AJ331" s="239"/>
      <c r="AK331" s="233"/>
    </row>
    <row r="332" spans="1:37" s="228" customFormat="1">
      <c r="A332" s="214"/>
      <c r="B332" s="233"/>
      <c r="C332" s="233"/>
      <c r="D332" s="233"/>
      <c r="E332" s="233"/>
      <c r="F332" s="226"/>
      <c r="G332" s="730"/>
      <c r="H332" s="233"/>
      <c r="I332" s="233"/>
      <c r="J332" s="229"/>
      <c r="K332" s="233"/>
      <c r="L332" s="233"/>
      <c r="M332" s="233"/>
      <c r="N332" s="233"/>
      <c r="O332" s="233"/>
      <c r="P332" s="233"/>
      <c r="Q332" s="233"/>
      <c r="R332" s="233"/>
      <c r="S332" s="233"/>
      <c r="T332" s="233"/>
      <c r="U332" s="233"/>
      <c r="V332" s="233"/>
      <c r="W332" s="233"/>
      <c r="X332" s="233"/>
      <c r="Y332" s="233"/>
      <c r="Z332" s="226"/>
      <c r="AA332" s="226"/>
      <c r="AB332" s="795"/>
      <c r="AC332" s="795"/>
      <c r="AD332" s="226"/>
      <c r="AE332" s="226"/>
      <c r="AF332" s="226"/>
      <c r="AG332" s="226"/>
      <c r="AH332" s="226"/>
      <c r="AI332" s="810"/>
      <c r="AJ332" s="239"/>
      <c r="AK332" s="233"/>
    </row>
    <row r="333" spans="1:37" s="228" customFormat="1">
      <c r="A333" s="214"/>
      <c r="B333" s="233"/>
      <c r="C333" s="233"/>
      <c r="D333" s="233"/>
      <c r="E333" s="233"/>
      <c r="F333" s="226"/>
      <c r="G333" s="730"/>
      <c r="H333" s="233"/>
      <c r="I333" s="233"/>
      <c r="J333" s="229"/>
      <c r="K333" s="233"/>
      <c r="L333" s="233"/>
      <c r="M333" s="233"/>
      <c r="N333" s="233"/>
      <c r="O333" s="233"/>
      <c r="P333" s="233"/>
      <c r="Q333" s="233"/>
      <c r="R333" s="233"/>
      <c r="S333" s="233"/>
      <c r="T333" s="233"/>
      <c r="U333" s="233"/>
      <c r="V333" s="233"/>
      <c r="W333" s="233"/>
      <c r="X333" s="233"/>
      <c r="Y333" s="233"/>
      <c r="Z333" s="226"/>
      <c r="AA333" s="226"/>
      <c r="AB333" s="795"/>
      <c r="AC333" s="795"/>
      <c r="AD333" s="226"/>
      <c r="AE333" s="226"/>
      <c r="AF333" s="226"/>
      <c r="AG333" s="226"/>
      <c r="AH333" s="226"/>
      <c r="AI333" s="810"/>
      <c r="AJ333" s="239"/>
      <c r="AK333" s="233"/>
    </row>
    <row r="334" spans="1:37" s="228" customFormat="1">
      <c r="A334" s="214"/>
      <c r="B334" s="233"/>
      <c r="C334" s="233"/>
      <c r="D334" s="233"/>
      <c r="E334" s="233"/>
      <c r="F334" s="226"/>
      <c r="G334" s="730"/>
      <c r="H334" s="233"/>
      <c r="I334" s="233"/>
      <c r="J334" s="229"/>
      <c r="K334" s="233"/>
      <c r="L334" s="233"/>
      <c r="M334" s="233"/>
      <c r="N334" s="233"/>
      <c r="O334" s="233"/>
      <c r="P334" s="233"/>
      <c r="Q334" s="233"/>
      <c r="R334" s="233"/>
      <c r="S334" s="233"/>
      <c r="T334" s="233"/>
      <c r="U334" s="233"/>
      <c r="V334" s="233"/>
      <c r="W334" s="233"/>
      <c r="X334" s="233"/>
      <c r="Y334" s="233"/>
      <c r="Z334" s="226"/>
      <c r="AA334" s="226"/>
      <c r="AB334" s="795"/>
      <c r="AC334" s="795"/>
      <c r="AD334" s="226"/>
      <c r="AE334" s="226"/>
      <c r="AF334" s="226"/>
      <c r="AG334" s="226"/>
      <c r="AH334" s="226"/>
      <c r="AI334" s="810"/>
      <c r="AJ334" s="239"/>
      <c r="AK334" s="233"/>
    </row>
    <row r="335" spans="1:37" s="228" customFormat="1">
      <c r="A335" s="214"/>
      <c r="B335" s="233"/>
      <c r="C335" s="233"/>
      <c r="D335" s="233"/>
      <c r="E335" s="233"/>
      <c r="F335" s="226"/>
      <c r="G335" s="241"/>
      <c r="H335" s="233"/>
      <c r="I335" s="233"/>
      <c r="J335" s="229"/>
      <c r="K335" s="233"/>
      <c r="L335" s="233"/>
      <c r="M335" s="233"/>
      <c r="N335" s="233"/>
      <c r="O335" s="233"/>
      <c r="P335" s="233"/>
      <c r="Q335" s="233"/>
      <c r="R335" s="233"/>
      <c r="S335" s="233"/>
      <c r="T335" s="233"/>
      <c r="U335" s="233"/>
      <c r="V335" s="233"/>
      <c r="W335" s="233"/>
      <c r="X335" s="233"/>
      <c r="Y335" s="233"/>
      <c r="Z335" s="226"/>
      <c r="AA335" s="226"/>
      <c r="AB335" s="795"/>
      <c r="AC335" s="795"/>
      <c r="AD335" s="226"/>
      <c r="AE335" s="226"/>
      <c r="AF335" s="226"/>
      <c r="AG335" s="226"/>
      <c r="AH335" s="226"/>
      <c r="AI335" s="810"/>
      <c r="AJ335" s="239"/>
      <c r="AK335" s="233"/>
    </row>
    <row r="336" spans="1:37">
      <c r="B336" s="242"/>
      <c r="C336" s="242"/>
      <c r="D336" s="242"/>
      <c r="E336" s="242"/>
      <c r="G336" s="730"/>
      <c r="H336" s="242"/>
      <c r="I336" s="242"/>
      <c r="K336" s="242"/>
      <c r="L336" s="242"/>
      <c r="M336" s="242"/>
      <c r="N336" s="242"/>
      <c r="O336" s="242"/>
      <c r="P336" s="242"/>
      <c r="Q336" s="242"/>
      <c r="R336" s="242"/>
      <c r="S336" s="242"/>
      <c r="T336" s="242"/>
      <c r="U336" s="242"/>
      <c r="V336" s="242"/>
      <c r="W336" s="242"/>
      <c r="X336" s="242"/>
      <c r="Y336" s="242"/>
    </row>
    <row r="337" spans="2:25">
      <c r="B337" s="242"/>
      <c r="C337" s="242"/>
      <c r="D337" s="242"/>
      <c r="E337" s="242"/>
      <c r="G337" s="730"/>
      <c r="H337" s="242"/>
      <c r="I337" s="242"/>
      <c r="K337" s="242"/>
      <c r="L337" s="242"/>
      <c r="M337" s="242"/>
      <c r="N337" s="242"/>
      <c r="O337" s="242"/>
      <c r="P337" s="242"/>
      <c r="Q337" s="242"/>
      <c r="R337" s="242"/>
      <c r="S337" s="242"/>
      <c r="T337" s="242"/>
      <c r="U337" s="242"/>
      <c r="V337" s="242"/>
      <c r="W337" s="242"/>
      <c r="X337" s="242"/>
      <c r="Y337" s="242"/>
    </row>
    <row r="338" spans="2:25">
      <c r="B338" s="242"/>
      <c r="C338" s="242"/>
      <c r="D338" s="242"/>
      <c r="E338" s="242"/>
      <c r="G338" s="242"/>
      <c r="H338" s="242"/>
      <c r="I338" s="242"/>
      <c r="K338" s="242"/>
      <c r="L338" s="242"/>
      <c r="M338" s="242"/>
      <c r="N338" s="242"/>
      <c r="O338" s="242"/>
      <c r="P338" s="242"/>
      <c r="Q338" s="242"/>
      <c r="R338" s="242"/>
      <c r="S338" s="242"/>
      <c r="T338" s="242"/>
      <c r="U338" s="242"/>
      <c r="V338" s="242"/>
      <c r="W338" s="242"/>
      <c r="X338" s="242"/>
      <c r="Y338" s="242"/>
    </row>
    <row r="339" spans="2:25">
      <c r="B339" s="242"/>
      <c r="C339" s="242"/>
      <c r="D339" s="242"/>
      <c r="E339" s="242"/>
      <c r="G339" s="242"/>
      <c r="H339" s="242"/>
      <c r="I339" s="242"/>
      <c r="K339" s="242"/>
      <c r="L339" s="242"/>
      <c r="M339" s="242"/>
      <c r="N339" s="242"/>
      <c r="O339" s="242"/>
      <c r="P339" s="242"/>
      <c r="Q339" s="242"/>
      <c r="R339" s="242"/>
      <c r="S339" s="242"/>
      <c r="T339" s="242"/>
      <c r="U339" s="242"/>
      <c r="V339" s="242"/>
      <c r="W339" s="242"/>
      <c r="X339" s="242"/>
      <c r="Y339" s="242"/>
    </row>
    <row r="340" spans="2:25">
      <c r="B340" s="242"/>
      <c r="C340" s="242"/>
      <c r="D340" s="242"/>
      <c r="E340" s="242"/>
      <c r="G340" s="242"/>
      <c r="H340" s="242"/>
      <c r="I340" s="242"/>
      <c r="K340" s="242"/>
      <c r="L340" s="242"/>
      <c r="M340" s="242"/>
      <c r="N340" s="242"/>
      <c r="O340" s="242"/>
      <c r="P340" s="242"/>
      <c r="Q340" s="242"/>
      <c r="R340" s="242"/>
      <c r="S340" s="242"/>
      <c r="T340" s="242"/>
      <c r="U340" s="242"/>
      <c r="V340" s="242"/>
      <c r="W340" s="242"/>
      <c r="X340" s="242"/>
      <c r="Y340" s="242"/>
    </row>
    <row r="341" spans="2:25">
      <c r="B341" s="242"/>
      <c r="C341" s="242"/>
      <c r="D341" s="242"/>
      <c r="E341" s="242"/>
      <c r="G341" s="242"/>
      <c r="H341" s="242"/>
      <c r="I341" s="242"/>
      <c r="K341" s="242"/>
      <c r="L341" s="242"/>
      <c r="M341" s="242"/>
      <c r="N341" s="242"/>
      <c r="O341" s="242"/>
      <c r="P341" s="242"/>
      <c r="Q341" s="242"/>
      <c r="R341" s="242"/>
      <c r="S341" s="242"/>
      <c r="T341" s="242"/>
      <c r="U341" s="242"/>
      <c r="V341" s="242"/>
      <c r="W341" s="242"/>
      <c r="X341" s="242"/>
      <c r="Y341" s="242"/>
    </row>
    <row r="342" spans="2:25">
      <c r="B342" s="242"/>
      <c r="C342" s="242"/>
      <c r="D342" s="242"/>
      <c r="E342" s="242"/>
      <c r="G342" s="242"/>
      <c r="H342" s="242"/>
      <c r="I342" s="242"/>
      <c r="K342" s="242"/>
      <c r="L342" s="242"/>
      <c r="M342" s="242"/>
      <c r="N342" s="242"/>
      <c r="O342" s="242"/>
      <c r="P342" s="242"/>
      <c r="Q342" s="242"/>
      <c r="R342" s="242"/>
      <c r="S342" s="242"/>
      <c r="T342" s="242"/>
      <c r="U342" s="242"/>
      <c r="V342" s="242"/>
      <c r="W342" s="242"/>
      <c r="X342" s="242"/>
      <c r="Y342" s="242"/>
    </row>
  </sheetData>
  <mergeCells count="47">
    <mergeCell ref="AF8:AH8"/>
    <mergeCell ref="AI5:AI10"/>
    <mergeCell ref="O6:O8"/>
    <mergeCell ref="AA6:AA8"/>
    <mergeCell ref="O9:O10"/>
    <mergeCell ref="AA9:AA10"/>
    <mergeCell ref="AF5:AH6"/>
    <mergeCell ref="AD6:AD8"/>
    <mergeCell ref="AE6:AE8"/>
    <mergeCell ref="AD9:AD10"/>
    <mergeCell ref="AE9:AE10"/>
    <mergeCell ref="K5:AE5"/>
    <mergeCell ref="AB9:AB10"/>
    <mergeCell ref="AC9:AC10"/>
    <mergeCell ref="N6:N8"/>
    <mergeCell ref="N9:N10"/>
    <mergeCell ref="AB6:AC7"/>
    <mergeCell ref="F9:F10"/>
    <mergeCell ref="E9:E10"/>
    <mergeCell ref="G7:I7"/>
    <mergeCell ref="A5:A10"/>
    <mergeCell ref="G5:J5"/>
    <mergeCell ref="G6:J6"/>
    <mergeCell ref="J9:J10"/>
    <mergeCell ref="G8:I8"/>
    <mergeCell ref="A2:AI2"/>
    <mergeCell ref="A3:AI3"/>
    <mergeCell ref="B6:D6"/>
    <mergeCell ref="E6:E8"/>
    <mergeCell ref="F6:F8"/>
    <mergeCell ref="K6:M6"/>
    <mergeCell ref="AF7:AH7"/>
    <mergeCell ref="B8:D8"/>
    <mergeCell ref="K7:M7"/>
    <mergeCell ref="J7:J8"/>
    <mergeCell ref="Z6:Z7"/>
    <mergeCell ref="K8:M8"/>
    <mergeCell ref="P8:R8"/>
    <mergeCell ref="S8:U8"/>
    <mergeCell ref="V8:X8"/>
    <mergeCell ref="P6:X7"/>
    <mergeCell ref="J300:AI300"/>
    <mergeCell ref="AF272:AI272"/>
    <mergeCell ref="A280:AI280"/>
    <mergeCell ref="A286:AI286"/>
    <mergeCell ref="A289:AI289"/>
    <mergeCell ref="J299:AI29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O66"/>
  <sheetViews>
    <sheetView view="pageBreakPreview" topLeftCell="A10" zoomScale="108" zoomScaleNormal="100" zoomScaleSheetLayoutView="108" workbookViewId="0">
      <selection activeCell="I24" sqref="I24"/>
    </sheetView>
  </sheetViews>
  <sheetFormatPr defaultRowHeight="12"/>
  <cols>
    <col min="1" max="1" width="16" style="246" customWidth="1"/>
    <col min="2" max="5" width="14.85546875" style="246" customWidth="1"/>
    <col min="6" max="6" width="12.28515625" style="246" customWidth="1"/>
    <col min="7" max="8" width="13.28515625" style="246" customWidth="1"/>
    <col min="9" max="9" width="19.42578125" style="246" customWidth="1"/>
    <col min="10" max="10" width="10.28515625" style="246" customWidth="1"/>
    <col min="11" max="11" width="13.85546875" style="246" customWidth="1"/>
    <col min="12" max="15" width="10.28515625" style="246" customWidth="1"/>
    <col min="16" max="251" width="9.140625" style="246"/>
    <col min="252" max="252" width="16" style="246" customWidth="1"/>
    <col min="253" max="256" width="14.85546875" style="246" customWidth="1"/>
    <col min="257" max="257" width="12.28515625" style="246" customWidth="1"/>
    <col min="258" max="259" width="13.28515625" style="246" customWidth="1"/>
    <col min="260" max="260" width="19.42578125" style="246" customWidth="1"/>
    <col min="261" max="261" width="10.28515625" style="246" customWidth="1"/>
    <col min="262" max="262" width="13.85546875" style="246" customWidth="1"/>
    <col min="263" max="266" width="10.28515625" style="246" customWidth="1"/>
    <col min="267" max="267" width="18.7109375" style="246" customWidth="1"/>
    <col min="268" max="507" width="9.140625" style="246"/>
    <col min="508" max="508" width="16" style="246" customWidth="1"/>
    <col min="509" max="512" width="14.85546875" style="246" customWidth="1"/>
    <col min="513" max="513" width="12.28515625" style="246" customWidth="1"/>
    <col min="514" max="515" width="13.28515625" style="246" customWidth="1"/>
    <col min="516" max="516" width="19.42578125" style="246" customWidth="1"/>
    <col min="517" max="517" width="10.28515625" style="246" customWidth="1"/>
    <col min="518" max="518" width="13.85546875" style="246" customWidth="1"/>
    <col min="519" max="522" width="10.28515625" style="246" customWidth="1"/>
    <col min="523" max="523" width="18.7109375" style="246" customWidth="1"/>
    <col min="524" max="763" width="9.140625" style="246"/>
    <col min="764" max="764" width="16" style="246" customWidth="1"/>
    <col min="765" max="768" width="14.85546875" style="246" customWidth="1"/>
    <col min="769" max="769" width="12.28515625" style="246" customWidth="1"/>
    <col min="770" max="771" width="13.28515625" style="246" customWidth="1"/>
    <col min="772" max="772" width="19.42578125" style="246" customWidth="1"/>
    <col min="773" max="773" width="10.28515625" style="246" customWidth="1"/>
    <col min="774" max="774" width="13.85546875" style="246" customWidth="1"/>
    <col min="775" max="778" width="10.28515625" style="246" customWidth="1"/>
    <col min="779" max="779" width="18.7109375" style="246" customWidth="1"/>
    <col min="780" max="1019" width="9.140625" style="246"/>
    <col min="1020" max="1020" width="16" style="246" customWidth="1"/>
    <col min="1021" max="1024" width="14.85546875" style="246" customWidth="1"/>
    <col min="1025" max="1025" width="12.28515625" style="246" customWidth="1"/>
    <col min="1026" max="1027" width="13.28515625" style="246" customWidth="1"/>
    <col min="1028" max="1028" width="19.42578125" style="246" customWidth="1"/>
    <col min="1029" max="1029" width="10.28515625" style="246" customWidth="1"/>
    <col min="1030" max="1030" width="13.85546875" style="246" customWidth="1"/>
    <col min="1031" max="1034" width="10.28515625" style="246" customWidth="1"/>
    <col min="1035" max="1035" width="18.7109375" style="246" customWidth="1"/>
    <col min="1036" max="1275" width="9.140625" style="246"/>
    <col min="1276" max="1276" width="16" style="246" customWidth="1"/>
    <col min="1277" max="1280" width="14.85546875" style="246" customWidth="1"/>
    <col min="1281" max="1281" width="12.28515625" style="246" customWidth="1"/>
    <col min="1282" max="1283" width="13.28515625" style="246" customWidth="1"/>
    <col min="1284" max="1284" width="19.42578125" style="246" customWidth="1"/>
    <col min="1285" max="1285" width="10.28515625" style="246" customWidth="1"/>
    <col min="1286" max="1286" width="13.85546875" style="246" customWidth="1"/>
    <col min="1287" max="1290" width="10.28515625" style="246" customWidth="1"/>
    <col min="1291" max="1291" width="18.7109375" style="246" customWidth="1"/>
    <col min="1292" max="1531" width="9.140625" style="246"/>
    <col min="1532" max="1532" width="16" style="246" customWidth="1"/>
    <col min="1533" max="1536" width="14.85546875" style="246" customWidth="1"/>
    <col min="1537" max="1537" width="12.28515625" style="246" customWidth="1"/>
    <col min="1538" max="1539" width="13.28515625" style="246" customWidth="1"/>
    <col min="1540" max="1540" width="19.42578125" style="246" customWidth="1"/>
    <col min="1541" max="1541" width="10.28515625" style="246" customWidth="1"/>
    <col min="1542" max="1542" width="13.85546875" style="246" customWidth="1"/>
    <col min="1543" max="1546" width="10.28515625" style="246" customWidth="1"/>
    <col min="1547" max="1547" width="18.7109375" style="246" customWidth="1"/>
    <col min="1548" max="1787" width="9.140625" style="246"/>
    <col min="1788" max="1788" width="16" style="246" customWidth="1"/>
    <col min="1789" max="1792" width="14.85546875" style="246" customWidth="1"/>
    <col min="1793" max="1793" width="12.28515625" style="246" customWidth="1"/>
    <col min="1794" max="1795" width="13.28515625" style="246" customWidth="1"/>
    <col min="1796" max="1796" width="19.42578125" style="246" customWidth="1"/>
    <col min="1797" max="1797" width="10.28515625" style="246" customWidth="1"/>
    <col min="1798" max="1798" width="13.85546875" style="246" customWidth="1"/>
    <col min="1799" max="1802" width="10.28515625" style="246" customWidth="1"/>
    <col min="1803" max="1803" width="18.7109375" style="246" customWidth="1"/>
    <col min="1804" max="2043" width="9.140625" style="246"/>
    <col min="2044" max="2044" width="16" style="246" customWidth="1"/>
    <col min="2045" max="2048" width="14.85546875" style="246" customWidth="1"/>
    <col min="2049" max="2049" width="12.28515625" style="246" customWidth="1"/>
    <col min="2050" max="2051" width="13.28515625" style="246" customWidth="1"/>
    <col min="2052" max="2052" width="19.42578125" style="246" customWidth="1"/>
    <col min="2053" max="2053" width="10.28515625" style="246" customWidth="1"/>
    <col min="2054" max="2054" width="13.85546875" style="246" customWidth="1"/>
    <col min="2055" max="2058" width="10.28515625" style="246" customWidth="1"/>
    <col min="2059" max="2059" width="18.7109375" style="246" customWidth="1"/>
    <col min="2060" max="2299" width="9.140625" style="246"/>
    <col min="2300" max="2300" width="16" style="246" customWidth="1"/>
    <col min="2301" max="2304" width="14.85546875" style="246" customWidth="1"/>
    <col min="2305" max="2305" width="12.28515625" style="246" customWidth="1"/>
    <col min="2306" max="2307" width="13.28515625" style="246" customWidth="1"/>
    <col min="2308" max="2308" width="19.42578125" style="246" customWidth="1"/>
    <col min="2309" max="2309" width="10.28515625" style="246" customWidth="1"/>
    <col min="2310" max="2310" width="13.85546875" style="246" customWidth="1"/>
    <col min="2311" max="2314" width="10.28515625" style="246" customWidth="1"/>
    <col min="2315" max="2315" width="18.7109375" style="246" customWidth="1"/>
    <col min="2316" max="2555" width="9.140625" style="246"/>
    <col min="2556" max="2556" width="16" style="246" customWidth="1"/>
    <col min="2557" max="2560" width="14.85546875" style="246" customWidth="1"/>
    <col min="2561" max="2561" width="12.28515625" style="246" customWidth="1"/>
    <col min="2562" max="2563" width="13.28515625" style="246" customWidth="1"/>
    <col min="2564" max="2564" width="19.42578125" style="246" customWidth="1"/>
    <col min="2565" max="2565" width="10.28515625" style="246" customWidth="1"/>
    <col min="2566" max="2566" width="13.85546875" style="246" customWidth="1"/>
    <col min="2567" max="2570" width="10.28515625" style="246" customWidth="1"/>
    <col min="2571" max="2571" width="18.7109375" style="246" customWidth="1"/>
    <col min="2572" max="2811" width="9.140625" style="246"/>
    <col min="2812" max="2812" width="16" style="246" customWidth="1"/>
    <col min="2813" max="2816" width="14.85546875" style="246" customWidth="1"/>
    <col min="2817" max="2817" width="12.28515625" style="246" customWidth="1"/>
    <col min="2818" max="2819" width="13.28515625" style="246" customWidth="1"/>
    <col min="2820" max="2820" width="19.42578125" style="246" customWidth="1"/>
    <col min="2821" max="2821" width="10.28515625" style="246" customWidth="1"/>
    <col min="2822" max="2822" width="13.85546875" style="246" customWidth="1"/>
    <col min="2823" max="2826" width="10.28515625" style="246" customWidth="1"/>
    <col min="2827" max="2827" width="18.7109375" style="246" customWidth="1"/>
    <col min="2828" max="3067" width="9.140625" style="246"/>
    <col min="3068" max="3068" width="16" style="246" customWidth="1"/>
    <col min="3069" max="3072" width="14.85546875" style="246" customWidth="1"/>
    <col min="3073" max="3073" width="12.28515625" style="246" customWidth="1"/>
    <col min="3074" max="3075" width="13.28515625" style="246" customWidth="1"/>
    <col min="3076" max="3076" width="19.42578125" style="246" customWidth="1"/>
    <col min="3077" max="3077" width="10.28515625" style="246" customWidth="1"/>
    <col min="3078" max="3078" width="13.85546875" style="246" customWidth="1"/>
    <col min="3079" max="3082" width="10.28515625" style="246" customWidth="1"/>
    <col min="3083" max="3083" width="18.7109375" style="246" customWidth="1"/>
    <col min="3084" max="3323" width="9.140625" style="246"/>
    <col min="3324" max="3324" width="16" style="246" customWidth="1"/>
    <col min="3325" max="3328" width="14.85546875" style="246" customWidth="1"/>
    <col min="3329" max="3329" width="12.28515625" style="246" customWidth="1"/>
    <col min="3330" max="3331" width="13.28515625" style="246" customWidth="1"/>
    <col min="3332" max="3332" width="19.42578125" style="246" customWidth="1"/>
    <col min="3333" max="3333" width="10.28515625" style="246" customWidth="1"/>
    <col min="3334" max="3334" width="13.85546875" style="246" customWidth="1"/>
    <col min="3335" max="3338" width="10.28515625" style="246" customWidth="1"/>
    <col min="3339" max="3339" width="18.7109375" style="246" customWidth="1"/>
    <col min="3340" max="3579" width="9.140625" style="246"/>
    <col min="3580" max="3580" width="16" style="246" customWidth="1"/>
    <col min="3581" max="3584" width="14.85546875" style="246" customWidth="1"/>
    <col min="3585" max="3585" width="12.28515625" style="246" customWidth="1"/>
    <col min="3586" max="3587" width="13.28515625" style="246" customWidth="1"/>
    <col min="3588" max="3588" width="19.42578125" style="246" customWidth="1"/>
    <col min="3589" max="3589" width="10.28515625" style="246" customWidth="1"/>
    <col min="3590" max="3590" width="13.85546875" style="246" customWidth="1"/>
    <col min="3591" max="3594" width="10.28515625" style="246" customWidth="1"/>
    <col min="3595" max="3595" width="18.7109375" style="246" customWidth="1"/>
    <col min="3596" max="3835" width="9.140625" style="246"/>
    <col min="3836" max="3836" width="16" style="246" customWidth="1"/>
    <col min="3837" max="3840" width="14.85546875" style="246" customWidth="1"/>
    <col min="3841" max="3841" width="12.28515625" style="246" customWidth="1"/>
    <col min="3842" max="3843" width="13.28515625" style="246" customWidth="1"/>
    <col min="3844" max="3844" width="19.42578125" style="246" customWidth="1"/>
    <col min="3845" max="3845" width="10.28515625" style="246" customWidth="1"/>
    <col min="3846" max="3846" width="13.85546875" style="246" customWidth="1"/>
    <col min="3847" max="3850" width="10.28515625" style="246" customWidth="1"/>
    <col min="3851" max="3851" width="18.7109375" style="246" customWidth="1"/>
    <col min="3852" max="4091" width="9.140625" style="246"/>
    <col min="4092" max="4092" width="16" style="246" customWidth="1"/>
    <col min="4093" max="4096" width="14.85546875" style="246" customWidth="1"/>
    <col min="4097" max="4097" width="12.28515625" style="246" customWidth="1"/>
    <col min="4098" max="4099" width="13.28515625" style="246" customWidth="1"/>
    <col min="4100" max="4100" width="19.42578125" style="246" customWidth="1"/>
    <col min="4101" max="4101" width="10.28515625" style="246" customWidth="1"/>
    <col min="4102" max="4102" width="13.85546875" style="246" customWidth="1"/>
    <col min="4103" max="4106" width="10.28515625" style="246" customWidth="1"/>
    <col min="4107" max="4107" width="18.7109375" style="246" customWidth="1"/>
    <col min="4108" max="4347" width="9.140625" style="246"/>
    <col min="4348" max="4348" width="16" style="246" customWidth="1"/>
    <col min="4349" max="4352" width="14.85546875" style="246" customWidth="1"/>
    <col min="4353" max="4353" width="12.28515625" style="246" customWidth="1"/>
    <col min="4354" max="4355" width="13.28515625" style="246" customWidth="1"/>
    <col min="4356" max="4356" width="19.42578125" style="246" customWidth="1"/>
    <col min="4357" max="4357" width="10.28515625" style="246" customWidth="1"/>
    <col min="4358" max="4358" width="13.85546875" style="246" customWidth="1"/>
    <col min="4359" max="4362" width="10.28515625" style="246" customWidth="1"/>
    <col min="4363" max="4363" width="18.7109375" style="246" customWidth="1"/>
    <col min="4364" max="4603" width="9.140625" style="246"/>
    <col min="4604" max="4604" width="16" style="246" customWidth="1"/>
    <col min="4605" max="4608" width="14.85546875" style="246" customWidth="1"/>
    <col min="4609" max="4609" width="12.28515625" style="246" customWidth="1"/>
    <col min="4610" max="4611" width="13.28515625" style="246" customWidth="1"/>
    <col min="4612" max="4612" width="19.42578125" style="246" customWidth="1"/>
    <col min="4613" max="4613" width="10.28515625" style="246" customWidth="1"/>
    <col min="4614" max="4614" width="13.85546875" style="246" customWidth="1"/>
    <col min="4615" max="4618" width="10.28515625" style="246" customWidth="1"/>
    <col min="4619" max="4619" width="18.7109375" style="246" customWidth="1"/>
    <col min="4620" max="4859" width="9.140625" style="246"/>
    <col min="4860" max="4860" width="16" style="246" customWidth="1"/>
    <col min="4861" max="4864" width="14.85546875" style="246" customWidth="1"/>
    <col min="4865" max="4865" width="12.28515625" style="246" customWidth="1"/>
    <col min="4866" max="4867" width="13.28515625" style="246" customWidth="1"/>
    <col min="4868" max="4868" width="19.42578125" style="246" customWidth="1"/>
    <col min="4869" max="4869" width="10.28515625" style="246" customWidth="1"/>
    <col min="4870" max="4870" width="13.85546875" style="246" customWidth="1"/>
    <col min="4871" max="4874" width="10.28515625" style="246" customWidth="1"/>
    <col min="4875" max="4875" width="18.7109375" style="246" customWidth="1"/>
    <col min="4876" max="5115" width="9.140625" style="246"/>
    <col min="5116" max="5116" width="16" style="246" customWidth="1"/>
    <col min="5117" max="5120" width="14.85546875" style="246" customWidth="1"/>
    <col min="5121" max="5121" width="12.28515625" style="246" customWidth="1"/>
    <col min="5122" max="5123" width="13.28515625" style="246" customWidth="1"/>
    <col min="5124" max="5124" width="19.42578125" style="246" customWidth="1"/>
    <col min="5125" max="5125" width="10.28515625" style="246" customWidth="1"/>
    <col min="5126" max="5126" width="13.85546875" style="246" customWidth="1"/>
    <col min="5127" max="5130" width="10.28515625" style="246" customWidth="1"/>
    <col min="5131" max="5131" width="18.7109375" style="246" customWidth="1"/>
    <col min="5132" max="5371" width="9.140625" style="246"/>
    <col min="5372" max="5372" width="16" style="246" customWidth="1"/>
    <col min="5373" max="5376" width="14.85546875" style="246" customWidth="1"/>
    <col min="5377" max="5377" width="12.28515625" style="246" customWidth="1"/>
    <col min="5378" max="5379" width="13.28515625" style="246" customWidth="1"/>
    <col min="5380" max="5380" width="19.42578125" style="246" customWidth="1"/>
    <col min="5381" max="5381" width="10.28515625" style="246" customWidth="1"/>
    <col min="5382" max="5382" width="13.85546875" style="246" customWidth="1"/>
    <col min="5383" max="5386" width="10.28515625" style="246" customWidth="1"/>
    <col min="5387" max="5387" width="18.7109375" style="246" customWidth="1"/>
    <col min="5388" max="5627" width="9.140625" style="246"/>
    <col min="5628" max="5628" width="16" style="246" customWidth="1"/>
    <col min="5629" max="5632" width="14.85546875" style="246" customWidth="1"/>
    <col min="5633" max="5633" width="12.28515625" style="246" customWidth="1"/>
    <col min="5634" max="5635" width="13.28515625" style="246" customWidth="1"/>
    <col min="5636" max="5636" width="19.42578125" style="246" customWidth="1"/>
    <col min="5637" max="5637" width="10.28515625" style="246" customWidth="1"/>
    <col min="5638" max="5638" width="13.85546875" style="246" customWidth="1"/>
    <col min="5639" max="5642" width="10.28515625" style="246" customWidth="1"/>
    <col min="5643" max="5643" width="18.7109375" style="246" customWidth="1"/>
    <col min="5644" max="5883" width="9.140625" style="246"/>
    <col min="5884" max="5884" width="16" style="246" customWidth="1"/>
    <col min="5885" max="5888" width="14.85546875" style="246" customWidth="1"/>
    <col min="5889" max="5889" width="12.28515625" style="246" customWidth="1"/>
    <col min="5890" max="5891" width="13.28515625" style="246" customWidth="1"/>
    <col min="5892" max="5892" width="19.42578125" style="246" customWidth="1"/>
    <col min="5893" max="5893" width="10.28515625" style="246" customWidth="1"/>
    <col min="5894" max="5894" width="13.85546875" style="246" customWidth="1"/>
    <col min="5895" max="5898" width="10.28515625" style="246" customWidth="1"/>
    <col min="5899" max="5899" width="18.7109375" style="246" customWidth="1"/>
    <col min="5900" max="6139" width="9.140625" style="246"/>
    <col min="6140" max="6140" width="16" style="246" customWidth="1"/>
    <col min="6141" max="6144" width="14.85546875" style="246" customWidth="1"/>
    <col min="6145" max="6145" width="12.28515625" style="246" customWidth="1"/>
    <col min="6146" max="6147" width="13.28515625" style="246" customWidth="1"/>
    <col min="6148" max="6148" width="19.42578125" style="246" customWidth="1"/>
    <col min="6149" max="6149" width="10.28515625" style="246" customWidth="1"/>
    <col min="6150" max="6150" width="13.85546875" style="246" customWidth="1"/>
    <col min="6151" max="6154" width="10.28515625" style="246" customWidth="1"/>
    <col min="6155" max="6155" width="18.7109375" style="246" customWidth="1"/>
    <col min="6156" max="6395" width="9.140625" style="246"/>
    <col min="6396" max="6396" width="16" style="246" customWidth="1"/>
    <col min="6397" max="6400" width="14.85546875" style="246" customWidth="1"/>
    <col min="6401" max="6401" width="12.28515625" style="246" customWidth="1"/>
    <col min="6402" max="6403" width="13.28515625" style="246" customWidth="1"/>
    <col min="6404" max="6404" width="19.42578125" style="246" customWidth="1"/>
    <col min="6405" max="6405" width="10.28515625" style="246" customWidth="1"/>
    <col min="6406" max="6406" width="13.85546875" style="246" customWidth="1"/>
    <col min="6407" max="6410" width="10.28515625" style="246" customWidth="1"/>
    <col min="6411" max="6411" width="18.7109375" style="246" customWidth="1"/>
    <col min="6412" max="6651" width="9.140625" style="246"/>
    <col min="6652" max="6652" width="16" style="246" customWidth="1"/>
    <col min="6653" max="6656" width="14.85546875" style="246" customWidth="1"/>
    <col min="6657" max="6657" width="12.28515625" style="246" customWidth="1"/>
    <col min="6658" max="6659" width="13.28515625" style="246" customWidth="1"/>
    <col min="6660" max="6660" width="19.42578125" style="246" customWidth="1"/>
    <col min="6661" max="6661" width="10.28515625" style="246" customWidth="1"/>
    <col min="6662" max="6662" width="13.85546875" style="246" customWidth="1"/>
    <col min="6663" max="6666" width="10.28515625" style="246" customWidth="1"/>
    <col min="6667" max="6667" width="18.7109375" style="246" customWidth="1"/>
    <col min="6668" max="6907" width="9.140625" style="246"/>
    <col min="6908" max="6908" width="16" style="246" customWidth="1"/>
    <col min="6909" max="6912" width="14.85546875" style="246" customWidth="1"/>
    <col min="6913" max="6913" width="12.28515625" style="246" customWidth="1"/>
    <col min="6914" max="6915" width="13.28515625" style="246" customWidth="1"/>
    <col min="6916" max="6916" width="19.42578125" style="246" customWidth="1"/>
    <col min="6917" max="6917" width="10.28515625" style="246" customWidth="1"/>
    <col min="6918" max="6918" width="13.85546875" style="246" customWidth="1"/>
    <col min="6919" max="6922" width="10.28515625" style="246" customWidth="1"/>
    <col min="6923" max="6923" width="18.7109375" style="246" customWidth="1"/>
    <col min="6924" max="7163" width="9.140625" style="246"/>
    <col min="7164" max="7164" width="16" style="246" customWidth="1"/>
    <col min="7165" max="7168" width="14.85546875" style="246" customWidth="1"/>
    <col min="7169" max="7169" width="12.28515625" style="246" customWidth="1"/>
    <col min="7170" max="7171" width="13.28515625" style="246" customWidth="1"/>
    <col min="7172" max="7172" width="19.42578125" style="246" customWidth="1"/>
    <col min="7173" max="7173" width="10.28515625" style="246" customWidth="1"/>
    <col min="7174" max="7174" width="13.85546875" style="246" customWidth="1"/>
    <col min="7175" max="7178" width="10.28515625" style="246" customWidth="1"/>
    <col min="7179" max="7179" width="18.7109375" style="246" customWidth="1"/>
    <col min="7180" max="7419" width="9.140625" style="246"/>
    <col min="7420" max="7420" width="16" style="246" customWidth="1"/>
    <col min="7421" max="7424" width="14.85546875" style="246" customWidth="1"/>
    <col min="7425" max="7425" width="12.28515625" style="246" customWidth="1"/>
    <col min="7426" max="7427" width="13.28515625" style="246" customWidth="1"/>
    <col min="7428" max="7428" width="19.42578125" style="246" customWidth="1"/>
    <col min="7429" max="7429" width="10.28515625" style="246" customWidth="1"/>
    <col min="7430" max="7430" width="13.85546875" style="246" customWidth="1"/>
    <col min="7431" max="7434" width="10.28515625" style="246" customWidth="1"/>
    <col min="7435" max="7435" width="18.7109375" style="246" customWidth="1"/>
    <col min="7436" max="7675" width="9.140625" style="246"/>
    <col min="7676" max="7676" width="16" style="246" customWidth="1"/>
    <col min="7677" max="7680" width="14.85546875" style="246" customWidth="1"/>
    <col min="7681" max="7681" width="12.28515625" style="246" customWidth="1"/>
    <col min="7682" max="7683" width="13.28515625" style="246" customWidth="1"/>
    <col min="7684" max="7684" width="19.42578125" style="246" customWidth="1"/>
    <col min="7685" max="7685" width="10.28515625" style="246" customWidth="1"/>
    <col min="7686" max="7686" width="13.85546875" style="246" customWidth="1"/>
    <col min="7687" max="7690" width="10.28515625" style="246" customWidth="1"/>
    <col min="7691" max="7691" width="18.7109375" style="246" customWidth="1"/>
    <col min="7692" max="7931" width="9.140625" style="246"/>
    <col min="7932" max="7932" width="16" style="246" customWidth="1"/>
    <col min="7933" max="7936" width="14.85546875" style="246" customWidth="1"/>
    <col min="7937" max="7937" width="12.28515625" style="246" customWidth="1"/>
    <col min="7938" max="7939" width="13.28515625" style="246" customWidth="1"/>
    <col min="7940" max="7940" width="19.42578125" style="246" customWidth="1"/>
    <col min="7941" max="7941" width="10.28515625" style="246" customWidth="1"/>
    <col min="7942" max="7942" width="13.85546875" style="246" customWidth="1"/>
    <col min="7943" max="7946" width="10.28515625" style="246" customWidth="1"/>
    <col min="7947" max="7947" width="18.7109375" style="246" customWidth="1"/>
    <col min="7948" max="8187" width="9.140625" style="246"/>
    <col min="8188" max="8188" width="16" style="246" customWidth="1"/>
    <col min="8189" max="8192" width="14.85546875" style="246" customWidth="1"/>
    <col min="8193" max="8193" width="12.28515625" style="246" customWidth="1"/>
    <col min="8194" max="8195" width="13.28515625" style="246" customWidth="1"/>
    <col min="8196" max="8196" width="19.42578125" style="246" customWidth="1"/>
    <col min="8197" max="8197" width="10.28515625" style="246" customWidth="1"/>
    <col min="8198" max="8198" width="13.85546875" style="246" customWidth="1"/>
    <col min="8199" max="8202" width="10.28515625" style="246" customWidth="1"/>
    <col min="8203" max="8203" width="18.7109375" style="246" customWidth="1"/>
    <col min="8204" max="8443" width="9.140625" style="246"/>
    <col min="8444" max="8444" width="16" style="246" customWidth="1"/>
    <col min="8445" max="8448" width="14.85546875" style="246" customWidth="1"/>
    <col min="8449" max="8449" width="12.28515625" style="246" customWidth="1"/>
    <col min="8450" max="8451" width="13.28515625" style="246" customWidth="1"/>
    <col min="8452" max="8452" width="19.42578125" style="246" customWidth="1"/>
    <col min="8453" max="8453" width="10.28515625" style="246" customWidth="1"/>
    <col min="8454" max="8454" width="13.85546875" style="246" customWidth="1"/>
    <col min="8455" max="8458" width="10.28515625" style="246" customWidth="1"/>
    <col min="8459" max="8459" width="18.7109375" style="246" customWidth="1"/>
    <col min="8460" max="8699" width="9.140625" style="246"/>
    <col min="8700" max="8700" width="16" style="246" customWidth="1"/>
    <col min="8701" max="8704" width="14.85546875" style="246" customWidth="1"/>
    <col min="8705" max="8705" width="12.28515625" style="246" customWidth="1"/>
    <col min="8706" max="8707" width="13.28515625" style="246" customWidth="1"/>
    <col min="8708" max="8708" width="19.42578125" style="246" customWidth="1"/>
    <col min="8709" max="8709" width="10.28515625" style="246" customWidth="1"/>
    <col min="8710" max="8710" width="13.85546875" style="246" customWidth="1"/>
    <col min="8711" max="8714" width="10.28515625" style="246" customWidth="1"/>
    <col min="8715" max="8715" width="18.7109375" style="246" customWidth="1"/>
    <col min="8716" max="8955" width="9.140625" style="246"/>
    <col min="8956" max="8956" width="16" style="246" customWidth="1"/>
    <col min="8957" max="8960" width="14.85546875" style="246" customWidth="1"/>
    <col min="8961" max="8961" width="12.28515625" style="246" customWidth="1"/>
    <col min="8962" max="8963" width="13.28515625" style="246" customWidth="1"/>
    <col min="8964" max="8964" width="19.42578125" style="246" customWidth="1"/>
    <col min="8965" max="8965" width="10.28515625" style="246" customWidth="1"/>
    <col min="8966" max="8966" width="13.85546875" style="246" customWidth="1"/>
    <col min="8967" max="8970" width="10.28515625" style="246" customWidth="1"/>
    <col min="8971" max="8971" width="18.7109375" style="246" customWidth="1"/>
    <col min="8972" max="9211" width="9.140625" style="246"/>
    <col min="9212" max="9212" width="16" style="246" customWidth="1"/>
    <col min="9213" max="9216" width="14.85546875" style="246" customWidth="1"/>
    <col min="9217" max="9217" width="12.28515625" style="246" customWidth="1"/>
    <col min="9218" max="9219" width="13.28515625" style="246" customWidth="1"/>
    <col min="9220" max="9220" width="19.42578125" style="246" customWidth="1"/>
    <col min="9221" max="9221" width="10.28515625" style="246" customWidth="1"/>
    <col min="9222" max="9222" width="13.85546875" style="246" customWidth="1"/>
    <col min="9223" max="9226" width="10.28515625" style="246" customWidth="1"/>
    <col min="9227" max="9227" width="18.7109375" style="246" customWidth="1"/>
    <col min="9228" max="9467" width="9.140625" style="246"/>
    <col min="9468" max="9468" width="16" style="246" customWidth="1"/>
    <col min="9469" max="9472" width="14.85546875" style="246" customWidth="1"/>
    <col min="9473" max="9473" width="12.28515625" style="246" customWidth="1"/>
    <col min="9474" max="9475" width="13.28515625" style="246" customWidth="1"/>
    <col min="9476" max="9476" width="19.42578125" style="246" customWidth="1"/>
    <col min="9477" max="9477" width="10.28515625" style="246" customWidth="1"/>
    <col min="9478" max="9478" width="13.85546875" style="246" customWidth="1"/>
    <col min="9479" max="9482" width="10.28515625" style="246" customWidth="1"/>
    <col min="9483" max="9483" width="18.7109375" style="246" customWidth="1"/>
    <col min="9484" max="9723" width="9.140625" style="246"/>
    <col min="9724" max="9724" width="16" style="246" customWidth="1"/>
    <col min="9725" max="9728" width="14.85546875" style="246" customWidth="1"/>
    <col min="9729" max="9729" width="12.28515625" style="246" customWidth="1"/>
    <col min="9730" max="9731" width="13.28515625" style="246" customWidth="1"/>
    <col min="9732" max="9732" width="19.42578125" style="246" customWidth="1"/>
    <col min="9733" max="9733" width="10.28515625" style="246" customWidth="1"/>
    <col min="9734" max="9734" width="13.85546875" style="246" customWidth="1"/>
    <col min="9735" max="9738" width="10.28515625" style="246" customWidth="1"/>
    <col min="9739" max="9739" width="18.7109375" style="246" customWidth="1"/>
    <col min="9740" max="9979" width="9.140625" style="246"/>
    <col min="9980" max="9980" width="16" style="246" customWidth="1"/>
    <col min="9981" max="9984" width="14.85546875" style="246" customWidth="1"/>
    <col min="9985" max="9985" width="12.28515625" style="246" customWidth="1"/>
    <col min="9986" max="9987" width="13.28515625" style="246" customWidth="1"/>
    <col min="9988" max="9988" width="19.42578125" style="246" customWidth="1"/>
    <col min="9989" max="9989" width="10.28515625" style="246" customWidth="1"/>
    <col min="9990" max="9990" width="13.85546875" style="246" customWidth="1"/>
    <col min="9991" max="9994" width="10.28515625" style="246" customWidth="1"/>
    <col min="9995" max="9995" width="18.7109375" style="246" customWidth="1"/>
    <col min="9996" max="10235" width="9.140625" style="246"/>
    <col min="10236" max="10236" width="16" style="246" customWidth="1"/>
    <col min="10237" max="10240" width="14.85546875" style="246" customWidth="1"/>
    <col min="10241" max="10241" width="12.28515625" style="246" customWidth="1"/>
    <col min="10242" max="10243" width="13.28515625" style="246" customWidth="1"/>
    <col min="10244" max="10244" width="19.42578125" style="246" customWidth="1"/>
    <col min="10245" max="10245" width="10.28515625" style="246" customWidth="1"/>
    <col min="10246" max="10246" width="13.85546875" style="246" customWidth="1"/>
    <col min="10247" max="10250" width="10.28515625" style="246" customWidth="1"/>
    <col min="10251" max="10251" width="18.7109375" style="246" customWidth="1"/>
    <col min="10252" max="10491" width="9.140625" style="246"/>
    <col min="10492" max="10492" width="16" style="246" customWidth="1"/>
    <col min="10493" max="10496" width="14.85546875" style="246" customWidth="1"/>
    <col min="10497" max="10497" width="12.28515625" style="246" customWidth="1"/>
    <col min="10498" max="10499" width="13.28515625" style="246" customWidth="1"/>
    <col min="10500" max="10500" width="19.42578125" style="246" customWidth="1"/>
    <col min="10501" max="10501" width="10.28515625" style="246" customWidth="1"/>
    <col min="10502" max="10502" width="13.85546875" style="246" customWidth="1"/>
    <col min="10503" max="10506" width="10.28515625" style="246" customWidth="1"/>
    <col min="10507" max="10507" width="18.7109375" style="246" customWidth="1"/>
    <col min="10508" max="10747" width="9.140625" style="246"/>
    <col min="10748" max="10748" width="16" style="246" customWidth="1"/>
    <col min="10749" max="10752" width="14.85546875" style="246" customWidth="1"/>
    <col min="10753" max="10753" width="12.28515625" style="246" customWidth="1"/>
    <col min="10754" max="10755" width="13.28515625" style="246" customWidth="1"/>
    <col min="10756" max="10756" width="19.42578125" style="246" customWidth="1"/>
    <col min="10757" max="10757" width="10.28515625" style="246" customWidth="1"/>
    <col min="10758" max="10758" width="13.85546875" style="246" customWidth="1"/>
    <col min="10759" max="10762" width="10.28515625" style="246" customWidth="1"/>
    <col min="10763" max="10763" width="18.7109375" style="246" customWidth="1"/>
    <col min="10764" max="11003" width="9.140625" style="246"/>
    <col min="11004" max="11004" width="16" style="246" customWidth="1"/>
    <col min="11005" max="11008" width="14.85546875" style="246" customWidth="1"/>
    <col min="11009" max="11009" width="12.28515625" style="246" customWidth="1"/>
    <col min="11010" max="11011" width="13.28515625" style="246" customWidth="1"/>
    <col min="11012" max="11012" width="19.42578125" style="246" customWidth="1"/>
    <col min="11013" max="11013" width="10.28515625" style="246" customWidth="1"/>
    <col min="11014" max="11014" width="13.85546875" style="246" customWidth="1"/>
    <col min="11015" max="11018" width="10.28515625" style="246" customWidth="1"/>
    <col min="11019" max="11019" width="18.7109375" style="246" customWidth="1"/>
    <col min="11020" max="11259" width="9.140625" style="246"/>
    <col min="11260" max="11260" width="16" style="246" customWidth="1"/>
    <col min="11261" max="11264" width="14.85546875" style="246" customWidth="1"/>
    <col min="11265" max="11265" width="12.28515625" style="246" customWidth="1"/>
    <col min="11266" max="11267" width="13.28515625" style="246" customWidth="1"/>
    <col min="11268" max="11268" width="19.42578125" style="246" customWidth="1"/>
    <col min="11269" max="11269" width="10.28515625" style="246" customWidth="1"/>
    <col min="11270" max="11270" width="13.85546875" style="246" customWidth="1"/>
    <col min="11271" max="11274" width="10.28515625" style="246" customWidth="1"/>
    <col min="11275" max="11275" width="18.7109375" style="246" customWidth="1"/>
    <col min="11276" max="11515" width="9.140625" style="246"/>
    <col min="11516" max="11516" width="16" style="246" customWidth="1"/>
    <col min="11517" max="11520" width="14.85546875" style="246" customWidth="1"/>
    <col min="11521" max="11521" width="12.28515625" style="246" customWidth="1"/>
    <col min="11522" max="11523" width="13.28515625" style="246" customWidth="1"/>
    <col min="11524" max="11524" width="19.42578125" style="246" customWidth="1"/>
    <col min="11525" max="11525" width="10.28515625" style="246" customWidth="1"/>
    <col min="11526" max="11526" width="13.85546875" style="246" customWidth="1"/>
    <col min="11527" max="11530" width="10.28515625" style="246" customWidth="1"/>
    <col min="11531" max="11531" width="18.7109375" style="246" customWidth="1"/>
    <col min="11532" max="11771" width="9.140625" style="246"/>
    <col min="11772" max="11772" width="16" style="246" customWidth="1"/>
    <col min="11773" max="11776" width="14.85546875" style="246" customWidth="1"/>
    <col min="11777" max="11777" width="12.28515625" style="246" customWidth="1"/>
    <col min="11778" max="11779" width="13.28515625" style="246" customWidth="1"/>
    <col min="11780" max="11780" width="19.42578125" style="246" customWidth="1"/>
    <col min="11781" max="11781" width="10.28515625" style="246" customWidth="1"/>
    <col min="11782" max="11782" width="13.85546875" style="246" customWidth="1"/>
    <col min="11783" max="11786" width="10.28515625" style="246" customWidth="1"/>
    <col min="11787" max="11787" width="18.7109375" style="246" customWidth="1"/>
    <col min="11788" max="12027" width="9.140625" style="246"/>
    <col min="12028" max="12028" width="16" style="246" customWidth="1"/>
    <col min="12029" max="12032" width="14.85546875" style="246" customWidth="1"/>
    <col min="12033" max="12033" width="12.28515625" style="246" customWidth="1"/>
    <col min="12034" max="12035" width="13.28515625" style="246" customWidth="1"/>
    <col min="12036" max="12036" width="19.42578125" style="246" customWidth="1"/>
    <col min="12037" max="12037" width="10.28515625" style="246" customWidth="1"/>
    <col min="12038" max="12038" width="13.85546875" style="246" customWidth="1"/>
    <col min="12039" max="12042" width="10.28515625" style="246" customWidth="1"/>
    <col min="12043" max="12043" width="18.7109375" style="246" customWidth="1"/>
    <col min="12044" max="12283" width="9.140625" style="246"/>
    <col min="12284" max="12284" width="16" style="246" customWidth="1"/>
    <col min="12285" max="12288" width="14.85546875" style="246" customWidth="1"/>
    <col min="12289" max="12289" width="12.28515625" style="246" customWidth="1"/>
    <col min="12290" max="12291" width="13.28515625" style="246" customWidth="1"/>
    <col min="12292" max="12292" width="19.42578125" style="246" customWidth="1"/>
    <col min="12293" max="12293" width="10.28515625" style="246" customWidth="1"/>
    <col min="12294" max="12294" width="13.85546875" style="246" customWidth="1"/>
    <col min="12295" max="12298" width="10.28515625" style="246" customWidth="1"/>
    <col min="12299" max="12299" width="18.7109375" style="246" customWidth="1"/>
    <col min="12300" max="12539" width="9.140625" style="246"/>
    <col min="12540" max="12540" width="16" style="246" customWidth="1"/>
    <col min="12541" max="12544" width="14.85546875" style="246" customWidth="1"/>
    <col min="12545" max="12545" width="12.28515625" style="246" customWidth="1"/>
    <col min="12546" max="12547" width="13.28515625" style="246" customWidth="1"/>
    <col min="12548" max="12548" width="19.42578125" style="246" customWidth="1"/>
    <col min="12549" max="12549" width="10.28515625" style="246" customWidth="1"/>
    <col min="12550" max="12550" width="13.85546875" style="246" customWidth="1"/>
    <col min="12551" max="12554" width="10.28515625" style="246" customWidth="1"/>
    <col min="12555" max="12555" width="18.7109375" style="246" customWidth="1"/>
    <col min="12556" max="12795" width="9.140625" style="246"/>
    <col min="12796" max="12796" width="16" style="246" customWidth="1"/>
    <col min="12797" max="12800" width="14.85546875" style="246" customWidth="1"/>
    <col min="12801" max="12801" width="12.28515625" style="246" customWidth="1"/>
    <col min="12802" max="12803" width="13.28515625" style="246" customWidth="1"/>
    <col min="12804" max="12804" width="19.42578125" style="246" customWidth="1"/>
    <col min="12805" max="12805" width="10.28515625" style="246" customWidth="1"/>
    <col min="12806" max="12806" width="13.85546875" style="246" customWidth="1"/>
    <col min="12807" max="12810" width="10.28515625" style="246" customWidth="1"/>
    <col min="12811" max="12811" width="18.7109375" style="246" customWidth="1"/>
    <col min="12812" max="13051" width="9.140625" style="246"/>
    <col min="13052" max="13052" width="16" style="246" customWidth="1"/>
    <col min="13053" max="13056" width="14.85546875" style="246" customWidth="1"/>
    <col min="13057" max="13057" width="12.28515625" style="246" customWidth="1"/>
    <col min="13058" max="13059" width="13.28515625" style="246" customWidth="1"/>
    <col min="13060" max="13060" width="19.42578125" style="246" customWidth="1"/>
    <col min="13061" max="13061" width="10.28515625" style="246" customWidth="1"/>
    <col min="13062" max="13062" width="13.85546875" style="246" customWidth="1"/>
    <col min="13063" max="13066" width="10.28515625" style="246" customWidth="1"/>
    <col min="13067" max="13067" width="18.7109375" style="246" customWidth="1"/>
    <col min="13068" max="13307" width="9.140625" style="246"/>
    <col min="13308" max="13308" width="16" style="246" customWidth="1"/>
    <col min="13309" max="13312" width="14.85546875" style="246" customWidth="1"/>
    <col min="13313" max="13313" width="12.28515625" style="246" customWidth="1"/>
    <col min="13314" max="13315" width="13.28515625" style="246" customWidth="1"/>
    <col min="13316" max="13316" width="19.42578125" style="246" customWidth="1"/>
    <col min="13317" max="13317" width="10.28515625" style="246" customWidth="1"/>
    <col min="13318" max="13318" width="13.85546875" style="246" customWidth="1"/>
    <col min="13319" max="13322" width="10.28515625" style="246" customWidth="1"/>
    <col min="13323" max="13323" width="18.7109375" style="246" customWidth="1"/>
    <col min="13324" max="13563" width="9.140625" style="246"/>
    <col min="13564" max="13564" width="16" style="246" customWidth="1"/>
    <col min="13565" max="13568" width="14.85546875" style="246" customWidth="1"/>
    <col min="13569" max="13569" width="12.28515625" style="246" customWidth="1"/>
    <col min="13570" max="13571" width="13.28515625" style="246" customWidth="1"/>
    <col min="13572" max="13572" width="19.42578125" style="246" customWidth="1"/>
    <col min="13573" max="13573" width="10.28515625" style="246" customWidth="1"/>
    <col min="13574" max="13574" width="13.85546875" style="246" customWidth="1"/>
    <col min="13575" max="13578" width="10.28515625" style="246" customWidth="1"/>
    <col min="13579" max="13579" width="18.7109375" style="246" customWidth="1"/>
    <col min="13580" max="13819" width="9.140625" style="246"/>
    <col min="13820" max="13820" width="16" style="246" customWidth="1"/>
    <col min="13821" max="13824" width="14.85546875" style="246" customWidth="1"/>
    <col min="13825" max="13825" width="12.28515625" style="246" customWidth="1"/>
    <col min="13826" max="13827" width="13.28515625" style="246" customWidth="1"/>
    <col min="13828" max="13828" width="19.42578125" style="246" customWidth="1"/>
    <col min="13829" max="13829" width="10.28515625" style="246" customWidth="1"/>
    <col min="13830" max="13830" width="13.85546875" style="246" customWidth="1"/>
    <col min="13831" max="13834" width="10.28515625" style="246" customWidth="1"/>
    <col min="13835" max="13835" width="18.7109375" style="246" customWidth="1"/>
    <col min="13836" max="14075" width="9.140625" style="246"/>
    <col min="14076" max="14076" width="16" style="246" customWidth="1"/>
    <col min="14077" max="14080" width="14.85546875" style="246" customWidth="1"/>
    <col min="14081" max="14081" width="12.28515625" style="246" customWidth="1"/>
    <col min="14082" max="14083" width="13.28515625" style="246" customWidth="1"/>
    <col min="14084" max="14084" width="19.42578125" style="246" customWidth="1"/>
    <col min="14085" max="14085" width="10.28515625" style="246" customWidth="1"/>
    <col min="14086" max="14086" width="13.85546875" style="246" customWidth="1"/>
    <col min="14087" max="14090" width="10.28515625" style="246" customWidth="1"/>
    <col min="14091" max="14091" width="18.7109375" style="246" customWidth="1"/>
    <col min="14092" max="14331" width="9.140625" style="246"/>
    <col min="14332" max="14332" width="16" style="246" customWidth="1"/>
    <col min="14333" max="14336" width="14.85546875" style="246" customWidth="1"/>
    <col min="14337" max="14337" width="12.28515625" style="246" customWidth="1"/>
    <col min="14338" max="14339" width="13.28515625" style="246" customWidth="1"/>
    <col min="14340" max="14340" width="19.42578125" style="246" customWidth="1"/>
    <col min="14341" max="14341" width="10.28515625" style="246" customWidth="1"/>
    <col min="14342" max="14342" width="13.85546875" style="246" customWidth="1"/>
    <col min="14343" max="14346" width="10.28515625" style="246" customWidth="1"/>
    <col min="14347" max="14347" width="18.7109375" style="246" customWidth="1"/>
    <col min="14348" max="14587" width="9.140625" style="246"/>
    <col min="14588" max="14588" width="16" style="246" customWidth="1"/>
    <col min="14589" max="14592" width="14.85546875" style="246" customWidth="1"/>
    <col min="14593" max="14593" width="12.28515625" style="246" customWidth="1"/>
    <col min="14594" max="14595" width="13.28515625" style="246" customWidth="1"/>
    <col min="14596" max="14596" width="19.42578125" style="246" customWidth="1"/>
    <col min="14597" max="14597" width="10.28515625" style="246" customWidth="1"/>
    <col min="14598" max="14598" width="13.85546875" style="246" customWidth="1"/>
    <col min="14599" max="14602" width="10.28515625" style="246" customWidth="1"/>
    <col min="14603" max="14603" width="18.7109375" style="246" customWidth="1"/>
    <col min="14604" max="14843" width="9.140625" style="246"/>
    <col min="14844" max="14844" width="16" style="246" customWidth="1"/>
    <col min="14845" max="14848" width="14.85546875" style="246" customWidth="1"/>
    <col min="14849" max="14849" width="12.28515625" style="246" customWidth="1"/>
    <col min="14850" max="14851" width="13.28515625" style="246" customWidth="1"/>
    <col min="14852" max="14852" width="19.42578125" style="246" customWidth="1"/>
    <col min="14853" max="14853" width="10.28515625" style="246" customWidth="1"/>
    <col min="14854" max="14854" width="13.85546875" style="246" customWidth="1"/>
    <col min="14855" max="14858" width="10.28515625" style="246" customWidth="1"/>
    <col min="14859" max="14859" width="18.7109375" style="246" customWidth="1"/>
    <col min="14860" max="15099" width="9.140625" style="246"/>
    <col min="15100" max="15100" width="16" style="246" customWidth="1"/>
    <col min="15101" max="15104" width="14.85546875" style="246" customWidth="1"/>
    <col min="15105" max="15105" width="12.28515625" style="246" customWidth="1"/>
    <col min="15106" max="15107" width="13.28515625" style="246" customWidth="1"/>
    <col min="15108" max="15108" width="19.42578125" style="246" customWidth="1"/>
    <col min="15109" max="15109" width="10.28515625" style="246" customWidth="1"/>
    <col min="15110" max="15110" width="13.85546875" style="246" customWidth="1"/>
    <col min="15111" max="15114" width="10.28515625" style="246" customWidth="1"/>
    <col min="15115" max="15115" width="18.7109375" style="246" customWidth="1"/>
    <col min="15116" max="15355" width="9.140625" style="246"/>
    <col min="15356" max="15356" width="16" style="246" customWidth="1"/>
    <col min="15357" max="15360" width="14.85546875" style="246" customWidth="1"/>
    <col min="15361" max="15361" width="12.28515625" style="246" customWidth="1"/>
    <col min="15362" max="15363" width="13.28515625" style="246" customWidth="1"/>
    <col min="15364" max="15364" width="19.42578125" style="246" customWidth="1"/>
    <col min="15365" max="15365" width="10.28515625" style="246" customWidth="1"/>
    <col min="15366" max="15366" width="13.85546875" style="246" customWidth="1"/>
    <col min="15367" max="15370" width="10.28515625" style="246" customWidth="1"/>
    <col min="15371" max="15371" width="18.7109375" style="246" customWidth="1"/>
    <col min="15372" max="15611" width="9.140625" style="246"/>
    <col min="15612" max="15612" width="16" style="246" customWidth="1"/>
    <col min="15613" max="15616" width="14.85546875" style="246" customWidth="1"/>
    <col min="15617" max="15617" width="12.28515625" style="246" customWidth="1"/>
    <col min="15618" max="15619" width="13.28515625" style="246" customWidth="1"/>
    <col min="15620" max="15620" width="19.42578125" style="246" customWidth="1"/>
    <col min="15621" max="15621" width="10.28515625" style="246" customWidth="1"/>
    <col min="15622" max="15622" width="13.85546875" style="246" customWidth="1"/>
    <col min="15623" max="15626" width="10.28515625" style="246" customWidth="1"/>
    <col min="15627" max="15627" width="18.7109375" style="246" customWidth="1"/>
    <col min="15628" max="15867" width="9.140625" style="246"/>
    <col min="15868" max="15868" width="16" style="246" customWidth="1"/>
    <col min="15869" max="15872" width="14.85546875" style="246" customWidth="1"/>
    <col min="15873" max="15873" width="12.28515625" style="246" customWidth="1"/>
    <col min="15874" max="15875" width="13.28515625" style="246" customWidth="1"/>
    <col min="15876" max="15876" width="19.42578125" style="246" customWidth="1"/>
    <col min="15877" max="15877" width="10.28515625" style="246" customWidth="1"/>
    <col min="15878" max="15878" width="13.85546875" style="246" customWidth="1"/>
    <col min="15879" max="15882" width="10.28515625" style="246" customWidth="1"/>
    <col min="15883" max="15883" width="18.7109375" style="246" customWidth="1"/>
    <col min="15884" max="16123" width="9.140625" style="246"/>
    <col min="16124" max="16124" width="16" style="246" customWidth="1"/>
    <col min="16125" max="16128" width="14.85546875" style="246" customWidth="1"/>
    <col min="16129" max="16129" width="12.28515625" style="246" customWidth="1"/>
    <col min="16130" max="16131" width="13.28515625" style="246" customWidth="1"/>
    <col min="16132" max="16132" width="19.42578125" style="246" customWidth="1"/>
    <col min="16133" max="16133" width="10.28515625" style="246" customWidth="1"/>
    <col min="16134" max="16134" width="13.85546875" style="246" customWidth="1"/>
    <col min="16135" max="16138" width="10.28515625" style="246" customWidth="1"/>
    <col min="16139" max="16139" width="18.7109375" style="246" customWidth="1"/>
    <col min="16140" max="16384" width="9.140625" style="246"/>
  </cols>
  <sheetData>
    <row r="1" spans="1:12" ht="16.5" customHeight="1">
      <c r="A1" s="1372" t="s">
        <v>610</v>
      </c>
      <c r="B1" s="1372"/>
      <c r="C1" s="1372"/>
      <c r="D1" s="1372"/>
      <c r="E1" s="1372"/>
      <c r="F1" s="1372"/>
      <c r="G1" s="1372"/>
      <c r="H1" s="245"/>
    </row>
    <row r="2" spans="1:12" ht="15" customHeight="1">
      <c r="A2" s="1372" t="s">
        <v>611</v>
      </c>
      <c r="B2" s="1372"/>
      <c r="C2" s="1372"/>
      <c r="D2" s="1372"/>
      <c r="E2" s="1372"/>
      <c r="F2" s="1372"/>
      <c r="G2" s="1372"/>
      <c r="H2" s="245"/>
    </row>
    <row r="3" spans="1:12" ht="14.25" customHeight="1">
      <c r="A3" s="1373" t="s">
        <v>612</v>
      </c>
      <c r="B3" s="1373"/>
      <c r="C3" s="1373"/>
      <c r="D3" s="1373"/>
      <c r="E3" s="1373"/>
      <c r="F3" s="1373"/>
      <c r="G3" s="1373"/>
      <c r="H3" s="247"/>
    </row>
    <row r="4" spans="1:12" ht="15.75" customHeight="1">
      <c r="A4" s="1374" t="s">
        <v>613</v>
      </c>
      <c r="B4" s="1374"/>
      <c r="C4" s="1374"/>
      <c r="D4" s="1374"/>
      <c r="E4" s="1374"/>
      <c r="F4" s="1374"/>
      <c r="G4" s="1374"/>
      <c r="H4" s="248"/>
    </row>
    <row r="5" spans="1:12" ht="17.25" customHeight="1">
      <c r="A5" s="887" t="s">
        <v>614</v>
      </c>
      <c r="B5" s="1375" t="s">
        <v>615</v>
      </c>
      <c r="C5" s="1375"/>
      <c r="D5" s="1375"/>
      <c r="E5" s="1375"/>
      <c r="F5" s="1375"/>
      <c r="G5" s="1375"/>
      <c r="H5" s="249"/>
    </row>
    <row r="6" spans="1:12" ht="12.75" customHeight="1">
      <c r="A6" s="250" t="s">
        <v>616</v>
      </c>
      <c r="B6" s="1371" t="s">
        <v>617</v>
      </c>
      <c r="C6" s="1371"/>
      <c r="D6" s="1371"/>
      <c r="E6" s="1371"/>
      <c r="F6" s="1371"/>
      <c r="G6" s="1371"/>
      <c r="H6" s="251"/>
    </row>
    <row r="7" spans="1:12" ht="18.75" customHeight="1">
      <c r="A7" s="252" t="s">
        <v>618</v>
      </c>
      <c r="B7" s="252">
        <v>1985</v>
      </c>
      <c r="C7" s="252">
        <v>1990</v>
      </c>
      <c r="D7" s="252">
        <v>1995</v>
      </c>
      <c r="E7" s="252">
        <v>2000</v>
      </c>
      <c r="F7" s="253">
        <v>2006</v>
      </c>
      <c r="G7" s="253">
        <v>2014</v>
      </c>
      <c r="H7" s="254"/>
    </row>
    <row r="8" spans="1:12" s="257" customFormat="1" ht="16.5" customHeight="1">
      <c r="A8" s="255" t="s">
        <v>619</v>
      </c>
      <c r="B8" s="256">
        <f>SUM(B9:B22)</f>
        <v>202</v>
      </c>
      <c r="C8" s="256">
        <f>SUM(C9:C22)</f>
        <v>202</v>
      </c>
      <c r="D8" s="256">
        <f>SUM(D9:D22)</f>
        <v>201</v>
      </c>
      <c r="E8" s="256">
        <f>SUM(E9:E22)</f>
        <v>200</v>
      </c>
      <c r="F8" s="256">
        <v>194</v>
      </c>
      <c r="G8" s="256">
        <f>SUM(G9:G22)</f>
        <v>188</v>
      </c>
      <c r="H8" s="256"/>
      <c r="L8" s="246"/>
    </row>
    <row r="9" spans="1:12" s="260" customFormat="1" ht="18" customHeight="1">
      <c r="A9" s="258" t="s">
        <v>620</v>
      </c>
      <c r="B9" s="259">
        <v>2</v>
      </c>
      <c r="C9" s="259">
        <v>1</v>
      </c>
      <c r="D9" s="259">
        <v>1</v>
      </c>
      <c r="E9" s="259">
        <v>0</v>
      </c>
      <c r="F9" s="259">
        <v>5</v>
      </c>
      <c r="G9" s="73">
        <v>0</v>
      </c>
      <c r="I9" s="261"/>
      <c r="J9" s="246"/>
      <c r="K9" s="262"/>
      <c r="L9" s="246"/>
    </row>
    <row r="10" spans="1:12" s="260" customFormat="1" ht="18" customHeight="1">
      <c r="A10" s="258" t="s">
        <v>621</v>
      </c>
      <c r="B10" s="259">
        <v>17</v>
      </c>
      <c r="C10" s="259">
        <v>13</v>
      </c>
      <c r="D10" s="259">
        <v>11</v>
      </c>
      <c r="E10" s="259">
        <v>11</v>
      </c>
      <c r="F10" s="259">
        <v>11</v>
      </c>
      <c r="G10" s="73">
        <v>7</v>
      </c>
      <c r="I10" s="263"/>
      <c r="J10" s="257"/>
      <c r="L10" s="246"/>
    </row>
    <row r="11" spans="1:12" s="260" customFormat="1" ht="18" customHeight="1">
      <c r="A11" s="258" t="s">
        <v>622</v>
      </c>
      <c r="B11" s="259">
        <v>29</v>
      </c>
      <c r="C11" s="259">
        <v>20</v>
      </c>
      <c r="D11" s="259">
        <v>10</v>
      </c>
      <c r="E11" s="259">
        <v>15</v>
      </c>
      <c r="F11" s="259">
        <v>18</v>
      </c>
      <c r="G11" s="73">
        <v>9</v>
      </c>
      <c r="I11" s="263"/>
      <c r="J11" s="264"/>
      <c r="L11" s="246"/>
    </row>
    <row r="12" spans="1:12" s="260" customFormat="1" ht="18" customHeight="1">
      <c r="A12" s="258" t="s">
        <v>623</v>
      </c>
      <c r="B12" s="259">
        <v>39</v>
      </c>
      <c r="C12" s="259">
        <v>30</v>
      </c>
      <c r="D12" s="259">
        <v>26</v>
      </c>
      <c r="E12" s="259">
        <v>22</v>
      </c>
      <c r="F12" s="259">
        <v>18</v>
      </c>
      <c r="G12" s="73">
        <v>11</v>
      </c>
      <c r="I12" s="263"/>
      <c r="J12" s="264"/>
      <c r="L12" s="246"/>
    </row>
    <row r="13" spans="1:12" s="260" customFormat="1" ht="18" customHeight="1">
      <c r="A13" s="258" t="s">
        <v>624</v>
      </c>
      <c r="B13" s="259">
        <v>30</v>
      </c>
      <c r="C13" s="259">
        <v>25</v>
      </c>
      <c r="D13" s="259">
        <v>27</v>
      </c>
      <c r="E13" s="259">
        <v>28</v>
      </c>
      <c r="F13" s="259">
        <v>20</v>
      </c>
      <c r="G13" s="73">
        <v>24</v>
      </c>
      <c r="I13" s="263"/>
      <c r="J13" s="264"/>
      <c r="L13" s="246"/>
    </row>
    <row r="14" spans="1:12" s="260" customFormat="1" ht="18" customHeight="1">
      <c r="A14" s="258" t="s">
        <v>625</v>
      </c>
      <c r="B14" s="259">
        <v>19</v>
      </c>
      <c r="C14" s="259">
        <v>24</v>
      </c>
      <c r="D14" s="259">
        <v>23</v>
      </c>
      <c r="E14" s="259">
        <v>19</v>
      </c>
      <c r="F14" s="259">
        <v>18</v>
      </c>
      <c r="G14" s="73">
        <v>17</v>
      </c>
      <c r="I14" s="263"/>
      <c r="J14" s="264"/>
      <c r="L14" s="246"/>
    </row>
    <row r="15" spans="1:12" s="260" customFormat="1" ht="18" customHeight="1">
      <c r="A15" s="258" t="s">
        <v>626</v>
      </c>
      <c r="B15" s="259">
        <v>13</v>
      </c>
      <c r="C15" s="259">
        <v>19</v>
      </c>
      <c r="D15" s="259">
        <v>16</v>
      </c>
      <c r="E15" s="259">
        <v>14</v>
      </c>
      <c r="F15" s="259">
        <v>12</v>
      </c>
      <c r="G15" s="73">
        <v>14</v>
      </c>
      <c r="I15" s="263"/>
      <c r="J15" s="264"/>
      <c r="L15" s="246"/>
    </row>
    <row r="16" spans="1:12" s="260" customFormat="1" ht="18" customHeight="1">
      <c r="A16" s="258" t="s">
        <v>627</v>
      </c>
      <c r="B16" s="259">
        <v>10</v>
      </c>
      <c r="C16" s="259">
        <v>14</v>
      </c>
      <c r="D16" s="259">
        <v>16</v>
      </c>
      <c r="E16" s="259">
        <v>12</v>
      </c>
      <c r="F16" s="259">
        <v>11</v>
      </c>
      <c r="G16" s="73">
        <v>14</v>
      </c>
      <c r="I16" s="263"/>
      <c r="J16" s="264"/>
      <c r="L16" s="246"/>
    </row>
    <row r="17" spans="1:15" s="260" customFormat="1" ht="18" customHeight="1">
      <c r="A17" s="258" t="s">
        <v>628</v>
      </c>
      <c r="B17" s="259">
        <v>6</v>
      </c>
      <c r="C17" s="259">
        <v>7</v>
      </c>
      <c r="D17" s="259">
        <v>9</v>
      </c>
      <c r="E17" s="259">
        <v>13</v>
      </c>
      <c r="F17" s="259">
        <v>12</v>
      </c>
      <c r="G17" s="73">
        <v>14</v>
      </c>
      <c r="I17" s="263"/>
      <c r="J17" s="264"/>
      <c r="L17" s="246"/>
    </row>
    <row r="18" spans="1:15" s="260" customFormat="1" ht="18" customHeight="1">
      <c r="A18" s="258" t="s">
        <v>629</v>
      </c>
      <c r="B18" s="259">
        <v>12</v>
      </c>
      <c r="C18" s="259">
        <v>8</v>
      </c>
      <c r="D18" s="259">
        <v>11</v>
      </c>
      <c r="E18" s="259">
        <v>8</v>
      </c>
      <c r="F18" s="259">
        <v>6</v>
      </c>
      <c r="G18" s="73">
        <v>6</v>
      </c>
      <c r="I18" s="263"/>
      <c r="J18" s="264"/>
      <c r="L18" s="246"/>
    </row>
    <row r="19" spans="1:15" s="260" customFormat="1" ht="18" customHeight="1">
      <c r="A19" s="265" t="s">
        <v>630</v>
      </c>
      <c r="B19" s="259">
        <v>17</v>
      </c>
      <c r="C19" s="259">
        <v>31</v>
      </c>
      <c r="D19" s="259">
        <v>38</v>
      </c>
      <c r="E19" s="259">
        <v>42</v>
      </c>
      <c r="F19" s="259">
        <v>47</v>
      </c>
      <c r="G19" s="266">
        <v>51</v>
      </c>
      <c r="I19" s="265"/>
      <c r="J19" s="264"/>
      <c r="L19" s="246"/>
    </row>
    <row r="20" spans="1:15" s="260" customFormat="1" ht="18" customHeight="1">
      <c r="A20" s="265" t="s">
        <v>631</v>
      </c>
      <c r="B20" s="259">
        <v>6</v>
      </c>
      <c r="C20" s="259">
        <v>7</v>
      </c>
      <c r="D20" s="259">
        <v>9</v>
      </c>
      <c r="E20" s="259">
        <v>12</v>
      </c>
      <c r="F20" s="259">
        <v>12</v>
      </c>
      <c r="G20" s="266">
        <v>16</v>
      </c>
      <c r="I20" s="265"/>
      <c r="J20" s="264"/>
      <c r="L20" s="246"/>
    </row>
    <row r="21" spans="1:15" s="260" customFormat="1" ht="18" customHeight="1">
      <c r="A21" s="265" t="s">
        <v>632</v>
      </c>
      <c r="B21" s="259">
        <v>1</v>
      </c>
      <c r="C21" s="259">
        <v>2</v>
      </c>
      <c r="D21" s="259">
        <v>3</v>
      </c>
      <c r="E21" s="259">
        <v>3</v>
      </c>
      <c r="F21" s="259">
        <v>3</v>
      </c>
      <c r="G21" s="266">
        <v>3</v>
      </c>
      <c r="H21" s="264"/>
      <c r="I21" s="265"/>
      <c r="J21" s="73"/>
      <c r="L21" s="246"/>
      <c r="M21" s="267"/>
      <c r="N21" s="267"/>
    </row>
    <row r="22" spans="1:15" s="260" customFormat="1" ht="18" customHeight="1">
      <c r="A22" s="268" t="s">
        <v>633</v>
      </c>
      <c r="B22" s="269">
        <v>1</v>
      </c>
      <c r="C22" s="269">
        <v>1</v>
      </c>
      <c r="D22" s="269">
        <v>1</v>
      </c>
      <c r="E22" s="269">
        <v>1</v>
      </c>
      <c r="F22" s="269">
        <v>1</v>
      </c>
      <c r="G22" s="269">
        <v>2</v>
      </c>
      <c r="H22" s="73"/>
      <c r="I22" s="265"/>
      <c r="J22" s="73"/>
      <c r="K22" s="270"/>
      <c r="L22" s="246"/>
    </row>
    <row r="23" spans="1:15" s="278" customFormat="1" ht="15" customHeight="1">
      <c r="A23" s="271" t="s">
        <v>1180</v>
      </c>
      <c r="B23" s="272"/>
      <c r="C23" s="272"/>
      <c r="D23" s="273"/>
      <c r="E23" s="274"/>
      <c r="F23" s="275"/>
      <c r="G23" s="276" t="s">
        <v>1182</v>
      </c>
      <c r="H23" s="276"/>
      <c r="I23" s="263"/>
      <c r="J23" s="73"/>
      <c r="K23" s="246"/>
      <c r="L23" s="277"/>
      <c r="M23" s="277"/>
      <c r="N23" s="273"/>
      <c r="O23" s="84"/>
    </row>
    <row r="24" spans="1:15" s="278" customFormat="1" ht="15" customHeight="1">
      <c r="A24" s="279"/>
      <c r="B24" s="272"/>
      <c r="C24" s="272"/>
      <c r="D24" s="273"/>
      <c r="E24" s="274"/>
      <c r="F24" s="280"/>
      <c r="G24" s="280"/>
      <c r="H24" s="280"/>
      <c r="I24" s="261"/>
      <c r="J24" s="73"/>
      <c r="K24" s="246"/>
      <c r="L24" s="246"/>
      <c r="M24" s="246"/>
      <c r="N24" s="281"/>
      <c r="O24" s="282"/>
    </row>
    <row r="25" spans="1:15" s="262" customFormat="1" ht="15" customHeight="1">
      <c r="N25" s="284"/>
      <c r="O25" s="263"/>
    </row>
    <row r="26" spans="1:15" s="262" customFormat="1" ht="15" customHeight="1">
      <c r="N26" s="284"/>
      <c r="O26" s="263"/>
    </row>
    <row r="27" spans="1:15" s="262" customFormat="1" ht="15" customHeight="1">
      <c r="N27" s="284"/>
      <c r="O27" s="263"/>
    </row>
    <row r="28" spans="1:15" s="262" customFormat="1" ht="15">
      <c r="N28" s="284"/>
      <c r="O28" s="263"/>
    </row>
    <row r="29" spans="1:15" s="262" customFormat="1" ht="15">
      <c r="N29" s="284"/>
      <c r="O29" s="263"/>
    </row>
    <row r="30" spans="1:15" s="262" customFormat="1" ht="15">
      <c r="N30" s="284"/>
      <c r="O30" s="263"/>
    </row>
    <row r="31" spans="1:15" s="262" customFormat="1" ht="15">
      <c r="N31" s="284"/>
      <c r="O31" s="263"/>
    </row>
    <row r="32" spans="1:15" s="262" customFormat="1" ht="15">
      <c r="N32" s="284"/>
      <c r="O32" s="263"/>
    </row>
    <row r="33" spans="9:15" s="262" customFormat="1" ht="15">
      <c r="N33" s="284"/>
      <c r="O33" s="263"/>
    </row>
    <row r="34" spans="9:15" s="262" customFormat="1" ht="15">
      <c r="N34" s="284"/>
      <c r="O34" s="263"/>
    </row>
    <row r="35" spans="9:15" s="262" customFormat="1" ht="15">
      <c r="N35" s="284"/>
      <c r="O35" s="263"/>
    </row>
    <row r="36" spans="9:15" s="262" customFormat="1" ht="15">
      <c r="N36" s="284"/>
      <c r="O36" s="263"/>
    </row>
    <row r="37" spans="9:15" s="262" customFormat="1" ht="15">
      <c r="N37" s="284"/>
      <c r="O37" s="263"/>
    </row>
    <row r="38" spans="9:15" s="262" customFormat="1" ht="15">
      <c r="M38" s="246"/>
      <c r="N38" s="284"/>
      <c r="O38" s="263"/>
    </row>
    <row r="39" spans="9:15" s="262" customFormat="1" ht="15">
      <c r="N39" s="284"/>
      <c r="O39" s="263"/>
    </row>
    <row r="40" spans="9:15" s="262" customFormat="1" ht="15">
      <c r="N40" s="283"/>
      <c r="O40" s="261"/>
    </row>
    <row r="41" spans="9:15" s="262" customFormat="1" ht="12.75">
      <c r="M41" s="246"/>
      <c r="N41" s="246"/>
      <c r="O41" s="109"/>
    </row>
    <row r="42" spans="9:15" s="262" customFormat="1" ht="12.75">
      <c r="M42" s="134"/>
      <c r="N42" s="246"/>
      <c r="O42" s="109"/>
    </row>
    <row r="43" spans="9:15" s="262" customFormat="1" ht="12.75">
      <c r="I43" s="285"/>
      <c r="M43" s="109"/>
      <c r="N43" s="286"/>
      <c r="O43" s="109"/>
    </row>
    <row r="44" spans="9:15" ht="12.75">
      <c r="I44" s="287"/>
      <c r="K44" s="262"/>
      <c r="L44" s="262"/>
      <c r="M44" s="109"/>
      <c r="N44" s="286"/>
      <c r="O44" s="134"/>
    </row>
    <row r="45" spans="9:15" ht="12.75">
      <c r="I45" s="287"/>
      <c r="K45" s="262"/>
      <c r="L45" s="262"/>
      <c r="M45" s="109"/>
      <c r="N45" s="286"/>
      <c r="O45" s="134"/>
    </row>
    <row r="46" spans="9:15" ht="12.75">
      <c r="I46" s="287"/>
      <c r="K46" s="262"/>
      <c r="L46" s="262"/>
      <c r="M46" s="109"/>
      <c r="N46" s="286"/>
      <c r="O46" s="134"/>
    </row>
    <row r="47" spans="9:15" ht="15">
      <c r="I47" s="287"/>
      <c r="K47" s="262"/>
      <c r="M47" s="73"/>
      <c r="N47" s="286"/>
    </row>
    <row r="48" spans="9:15" ht="15">
      <c r="I48" s="287"/>
      <c r="K48" s="262"/>
      <c r="M48" s="73"/>
      <c r="N48" s="286"/>
    </row>
    <row r="49" spans="9:14" ht="15">
      <c r="I49" s="287"/>
      <c r="K49" s="262"/>
      <c r="M49" s="73"/>
      <c r="N49" s="286"/>
    </row>
    <row r="50" spans="9:14" ht="15">
      <c r="I50" s="287"/>
      <c r="K50" s="262"/>
      <c r="M50" s="73"/>
      <c r="N50" s="286"/>
    </row>
    <row r="51" spans="9:14" ht="15">
      <c r="I51" s="287"/>
      <c r="K51" s="262"/>
      <c r="M51" s="73"/>
      <c r="N51" s="286"/>
    </row>
    <row r="52" spans="9:14" ht="15">
      <c r="I52" s="287"/>
      <c r="K52" s="262"/>
      <c r="M52" s="73"/>
      <c r="N52" s="286"/>
    </row>
    <row r="53" spans="9:14" ht="15">
      <c r="I53" s="287"/>
      <c r="K53" s="288"/>
      <c r="M53" s="73"/>
      <c r="N53" s="286"/>
    </row>
    <row r="54" spans="9:14" ht="15">
      <c r="I54" s="287"/>
      <c r="K54" s="288"/>
      <c r="M54" s="73"/>
      <c r="N54" s="286"/>
    </row>
    <row r="55" spans="9:14" ht="15">
      <c r="I55" s="287"/>
      <c r="K55" s="288"/>
      <c r="M55" s="73"/>
      <c r="N55" s="286"/>
    </row>
    <row r="56" spans="9:14" ht="15">
      <c r="I56" s="287"/>
      <c r="K56" s="288"/>
      <c r="M56" s="73"/>
      <c r="N56" s="286"/>
    </row>
    <row r="57" spans="9:14" ht="15">
      <c r="I57" s="287"/>
      <c r="M57" s="73"/>
      <c r="N57" s="286"/>
    </row>
    <row r="58" spans="9:14" ht="15">
      <c r="I58" s="287"/>
      <c r="M58" s="73"/>
      <c r="N58" s="286"/>
    </row>
    <row r="59" spans="9:14" ht="15">
      <c r="I59" s="285"/>
      <c r="M59" s="73"/>
      <c r="N59" s="286"/>
    </row>
    <row r="60" spans="9:14" ht="15">
      <c r="M60" s="73"/>
    </row>
    <row r="61" spans="9:14" ht="15">
      <c r="M61" s="73"/>
    </row>
    <row r="62" spans="9:14" ht="15">
      <c r="M62" s="73"/>
    </row>
    <row r="63" spans="9:14" ht="15">
      <c r="M63" s="73"/>
    </row>
    <row r="64" spans="9:14">
      <c r="M64" s="134"/>
    </row>
    <row r="65" spans="13:13">
      <c r="M65" s="134"/>
    </row>
    <row r="66" spans="13:13">
      <c r="M66" s="134"/>
    </row>
  </sheetData>
  <mergeCells count="6">
    <mergeCell ref="B6:G6"/>
    <mergeCell ref="A1:G1"/>
    <mergeCell ref="A2:G2"/>
    <mergeCell ref="A3:G3"/>
    <mergeCell ref="A4:G4"/>
    <mergeCell ref="B5:G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E82"/>
  <sheetViews>
    <sheetView view="pageBreakPreview" topLeftCell="A19" zoomScale="60" zoomScaleNormal="100" workbookViewId="0">
      <selection activeCell="L42" sqref="L42"/>
    </sheetView>
  </sheetViews>
  <sheetFormatPr defaultRowHeight="12"/>
  <cols>
    <col min="1" max="1" width="16.85546875" style="246" customWidth="1"/>
    <col min="2" max="6" width="12" style="246" customWidth="1"/>
    <col min="7" max="7" width="10.28515625" style="246" customWidth="1"/>
    <col min="8" max="8" width="19.85546875" style="246" customWidth="1"/>
    <col min="9" max="256" width="9.140625" style="246"/>
    <col min="257" max="257" width="16.85546875" style="246" customWidth="1"/>
    <col min="258" max="262" width="12" style="246" customWidth="1"/>
    <col min="263" max="263" width="10.28515625" style="246" customWidth="1"/>
    <col min="264" max="264" width="19.85546875" style="246" customWidth="1"/>
    <col min="265" max="512" width="9.140625" style="246"/>
    <col min="513" max="513" width="16.85546875" style="246" customWidth="1"/>
    <col min="514" max="518" width="12" style="246" customWidth="1"/>
    <col min="519" max="519" width="10.28515625" style="246" customWidth="1"/>
    <col min="520" max="520" width="19.85546875" style="246" customWidth="1"/>
    <col min="521" max="768" width="9.140625" style="246"/>
    <col min="769" max="769" width="16.85546875" style="246" customWidth="1"/>
    <col min="770" max="774" width="12" style="246" customWidth="1"/>
    <col min="775" max="775" width="10.28515625" style="246" customWidth="1"/>
    <col min="776" max="776" width="19.85546875" style="246" customWidth="1"/>
    <col min="777" max="1024" width="9.140625" style="246"/>
    <col min="1025" max="1025" width="16.85546875" style="246" customWidth="1"/>
    <col min="1026" max="1030" width="12" style="246" customWidth="1"/>
    <col min="1031" max="1031" width="10.28515625" style="246" customWidth="1"/>
    <col min="1032" max="1032" width="19.85546875" style="246" customWidth="1"/>
    <col min="1033" max="1280" width="9.140625" style="246"/>
    <col min="1281" max="1281" width="16.85546875" style="246" customWidth="1"/>
    <col min="1282" max="1286" width="12" style="246" customWidth="1"/>
    <col min="1287" max="1287" width="10.28515625" style="246" customWidth="1"/>
    <col min="1288" max="1288" width="19.85546875" style="246" customWidth="1"/>
    <col min="1289" max="1536" width="9.140625" style="246"/>
    <col min="1537" max="1537" width="16.85546875" style="246" customWidth="1"/>
    <col min="1538" max="1542" width="12" style="246" customWidth="1"/>
    <col min="1543" max="1543" width="10.28515625" style="246" customWidth="1"/>
    <col min="1544" max="1544" width="19.85546875" style="246" customWidth="1"/>
    <col min="1545" max="1792" width="9.140625" style="246"/>
    <col min="1793" max="1793" width="16.85546875" style="246" customWidth="1"/>
    <col min="1794" max="1798" width="12" style="246" customWidth="1"/>
    <col min="1799" max="1799" width="10.28515625" style="246" customWidth="1"/>
    <col min="1800" max="1800" width="19.85546875" style="246" customWidth="1"/>
    <col min="1801" max="2048" width="9.140625" style="246"/>
    <col min="2049" max="2049" width="16.85546875" style="246" customWidth="1"/>
    <col min="2050" max="2054" width="12" style="246" customWidth="1"/>
    <col min="2055" max="2055" width="10.28515625" style="246" customWidth="1"/>
    <col min="2056" max="2056" width="19.85546875" style="246" customWidth="1"/>
    <col min="2057" max="2304" width="9.140625" style="246"/>
    <col min="2305" max="2305" width="16.85546875" style="246" customWidth="1"/>
    <col min="2306" max="2310" width="12" style="246" customWidth="1"/>
    <col min="2311" max="2311" width="10.28515625" style="246" customWidth="1"/>
    <col min="2312" max="2312" width="19.85546875" style="246" customWidth="1"/>
    <col min="2313" max="2560" width="9.140625" style="246"/>
    <col min="2561" max="2561" width="16.85546875" style="246" customWidth="1"/>
    <col min="2562" max="2566" width="12" style="246" customWidth="1"/>
    <col min="2567" max="2567" width="10.28515625" style="246" customWidth="1"/>
    <col min="2568" max="2568" width="19.85546875" style="246" customWidth="1"/>
    <col min="2569" max="2816" width="9.140625" style="246"/>
    <col min="2817" max="2817" width="16.85546875" style="246" customWidth="1"/>
    <col min="2818" max="2822" width="12" style="246" customWidth="1"/>
    <col min="2823" max="2823" width="10.28515625" style="246" customWidth="1"/>
    <col min="2824" max="2824" width="19.85546875" style="246" customWidth="1"/>
    <col min="2825" max="3072" width="9.140625" style="246"/>
    <col min="3073" max="3073" width="16.85546875" style="246" customWidth="1"/>
    <col min="3074" max="3078" width="12" style="246" customWidth="1"/>
    <col min="3079" max="3079" width="10.28515625" style="246" customWidth="1"/>
    <col min="3080" max="3080" width="19.85546875" style="246" customWidth="1"/>
    <col min="3081" max="3328" width="9.140625" style="246"/>
    <col min="3329" max="3329" width="16.85546875" style="246" customWidth="1"/>
    <col min="3330" max="3334" width="12" style="246" customWidth="1"/>
    <col min="3335" max="3335" width="10.28515625" style="246" customWidth="1"/>
    <col min="3336" max="3336" width="19.85546875" style="246" customWidth="1"/>
    <col min="3337" max="3584" width="9.140625" style="246"/>
    <col min="3585" max="3585" width="16.85546875" style="246" customWidth="1"/>
    <col min="3586" max="3590" width="12" style="246" customWidth="1"/>
    <col min="3591" max="3591" width="10.28515625" style="246" customWidth="1"/>
    <col min="3592" max="3592" width="19.85546875" style="246" customWidth="1"/>
    <col min="3593" max="3840" width="9.140625" style="246"/>
    <col min="3841" max="3841" width="16.85546875" style="246" customWidth="1"/>
    <col min="3842" max="3846" width="12" style="246" customWidth="1"/>
    <col min="3847" max="3847" width="10.28515625" style="246" customWidth="1"/>
    <col min="3848" max="3848" width="19.85546875" style="246" customWidth="1"/>
    <col min="3849" max="4096" width="9.140625" style="246"/>
    <col min="4097" max="4097" width="16.85546875" style="246" customWidth="1"/>
    <col min="4098" max="4102" width="12" style="246" customWidth="1"/>
    <col min="4103" max="4103" width="10.28515625" style="246" customWidth="1"/>
    <col min="4104" max="4104" width="19.85546875" style="246" customWidth="1"/>
    <col min="4105" max="4352" width="9.140625" style="246"/>
    <col min="4353" max="4353" width="16.85546875" style="246" customWidth="1"/>
    <col min="4354" max="4358" width="12" style="246" customWidth="1"/>
    <col min="4359" max="4359" width="10.28515625" style="246" customWidth="1"/>
    <col min="4360" max="4360" width="19.85546875" style="246" customWidth="1"/>
    <col min="4361" max="4608" width="9.140625" style="246"/>
    <col min="4609" max="4609" width="16.85546875" style="246" customWidth="1"/>
    <col min="4610" max="4614" width="12" style="246" customWidth="1"/>
    <col min="4615" max="4615" width="10.28515625" style="246" customWidth="1"/>
    <col min="4616" max="4616" width="19.85546875" style="246" customWidth="1"/>
    <col min="4617" max="4864" width="9.140625" style="246"/>
    <col min="4865" max="4865" width="16.85546875" style="246" customWidth="1"/>
    <col min="4866" max="4870" width="12" style="246" customWidth="1"/>
    <col min="4871" max="4871" width="10.28515625" style="246" customWidth="1"/>
    <col min="4872" max="4872" width="19.85546875" style="246" customWidth="1"/>
    <col min="4873" max="5120" width="9.140625" style="246"/>
    <col min="5121" max="5121" width="16.85546875" style="246" customWidth="1"/>
    <col min="5122" max="5126" width="12" style="246" customWidth="1"/>
    <col min="5127" max="5127" width="10.28515625" style="246" customWidth="1"/>
    <col min="5128" max="5128" width="19.85546875" style="246" customWidth="1"/>
    <col min="5129" max="5376" width="9.140625" style="246"/>
    <col min="5377" max="5377" width="16.85546875" style="246" customWidth="1"/>
    <col min="5378" max="5382" width="12" style="246" customWidth="1"/>
    <col min="5383" max="5383" width="10.28515625" style="246" customWidth="1"/>
    <col min="5384" max="5384" width="19.85546875" style="246" customWidth="1"/>
    <col min="5385" max="5632" width="9.140625" style="246"/>
    <col min="5633" max="5633" width="16.85546875" style="246" customWidth="1"/>
    <col min="5634" max="5638" width="12" style="246" customWidth="1"/>
    <col min="5639" max="5639" width="10.28515625" style="246" customWidth="1"/>
    <col min="5640" max="5640" width="19.85546875" style="246" customWidth="1"/>
    <col min="5641" max="5888" width="9.140625" style="246"/>
    <col min="5889" max="5889" width="16.85546875" style="246" customWidth="1"/>
    <col min="5890" max="5894" width="12" style="246" customWidth="1"/>
    <col min="5895" max="5895" width="10.28515625" style="246" customWidth="1"/>
    <col min="5896" max="5896" width="19.85546875" style="246" customWidth="1"/>
    <col min="5897" max="6144" width="9.140625" style="246"/>
    <col min="6145" max="6145" width="16.85546875" style="246" customWidth="1"/>
    <col min="6146" max="6150" width="12" style="246" customWidth="1"/>
    <col min="6151" max="6151" width="10.28515625" style="246" customWidth="1"/>
    <col min="6152" max="6152" width="19.85546875" style="246" customWidth="1"/>
    <col min="6153" max="6400" width="9.140625" style="246"/>
    <col min="6401" max="6401" width="16.85546875" style="246" customWidth="1"/>
    <col min="6402" max="6406" width="12" style="246" customWidth="1"/>
    <col min="6407" max="6407" width="10.28515625" style="246" customWidth="1"/>
    <col min="6408" max="6408" width="19.85546875" style="246" customWidth="1"/>
    <col min="6409" max="6656" width="9.140625" style="246"/>
    <col min="6657" max="6657" width="16.85546875" style="246" customWidth="1"/>
    <col min="6658" max="6662" width="12" style="246" customWidth="1"/>
    <col min="6663" max="6663" width="10.28515625" style="246" customWidth="1"/>
    <col min="6664" max="6664" width="19.85546875" style="246" customWidth="1"/>
    <col min="6665" max="6912" width="9.140625" style="246"/>
    <col min="6913" max="6913" width="16.85546875" style="246" customWidth="1"/>
    <col min="6914" max="6918" width="12" style="246" customWidth="1"/>
    <col min="6919" max="6919" width="10.28515625" style="246" customWidth="1"/>
    <col min="6920" max="6920" width="19.85546875" style="246" customWidth="1"/>
    <col min="6921" max="7168" width="9.140625" style="246"/>
    <col min="7169" max="7169" width="16.85546875" style="246" customWidth="1"/>
    <col min="7170" max="7174" width="12" style="246" customWidth="1"/>
    <col min="7175" max="7175" width="10.28515625" style="246" customWidth="1"/>
    <col min="7176" max="7176" width="19.85546875" style="246" customWidth="1"/>
    <col min="7177" max="7424" width="9.140625" style="246"/>
    <col min="7425" max="7425" width="16.85546875" style="246" customWidth="1"/>
    <col min="7426" max="7430" width="12" style="246" customWidth="1"/>
    <col min="7431" max="7431" width="10.28515625" style="246" customWidth="1"/>
    <col min="7432" max="7432" width="19.85546875" style="246" customWidth="1"/>
    <col min="7433" max="7680" width="9.140625" style="246"/>
    <col min="7681" max="7681" width="16.85546875" style="246" customWidth="1"/>
    <col min="7682" max="7686" width="12" style="246" customWidth="1"/>
    <col min="7687" max="7687" width="10.28515625" style="246" customWidth="1"/>
    <col min="7688" max="7688" width="19.85546875" style="246" customWidth="1"/>
    <col min="7689" max="7936" width="9.140625" style="246"/>
    <col min="7937" max="7937" width="16.85546875" style="246" customWidth="1"/>
    <col min="7938" max="7942" width="12" style="246" customWidth="1"/>
    <col min="7943" max="7943" width="10.28515625" style="246" customWidth="1"/>
    <col min="7944" max="7944" width="19.85546875" style="246" customWidth="1"/>
    <col min="7945" max="8192" width="9.140625" style="246"/>
    <col min="8193" max="8193" width="16.85546875" style="246" customWidth="1"/>
    <col min="8194" max="8198" width="12" style="246" customWidth="1"/>
    <col min="8199" max="8199" width="10.28515625" style="246" customWidth="1"/>
    <col min="8200" max="8200" width="19.85546875" style="246" customWidth="1"/>
    <col min="8201" max="8448" width="9.140625" style="246"/>
    <col min="8449" max="8449" width="16.85546875" style="246" customWidth="1"/>
    <col min="8450" max="8454" width="12" style="246" customWidth="1"/>
    <col min="8455" max="8455" width="10.28515625" style="246" customWidth="1"/>
    <col min="8456" max="8456" width="19.85546875" style="246" customWidth="1"/>
    <col min="8457" max="8704" width="9.140625" style="246"/>
    <col min="8705" max="8705" width="16.85546875" style="246" customWidth="1"/>
    <col min="8706" max="8710" width="12" style="246" customWidth="1"/>
    <col min="8711" max="8711" width="10.28515625" style="246" customWidth="1"/>
    <col min="8712" max="8712" width="19.85546875" style="246" customWidth="1"/>
    <col min="8713" max="8960" width="9.140625" style="246"/>
    <col min="8961" max="8961" width="16.85546875" style="246" customWidth="1"/>
    <col min="8962" max="8966" width="12" style="246" customWidth="1"/>
    <col min="8967" max="8967" width="10.28515625" style="246" customWidth="1"/>
    <col min="8968" max="8968" width="19.85546875" style="246" customWidth="1"/>
    <col min="8969" max="9216" width="9.140625" style="246"/>
    <col min="9217" max="9217" width="16.85546875" style="246" customWidth="1"/>
    <col min="9218" max="9222" width="12" style="246" customWidth="1"/>
    <col min="9223" max="9223" width="10.28515625" style="246" customWidth="1"/>
    <col min="9224" max="9224" width="19.85546875" style="246" customWidth="1"/>
    <col min="9225" max="9472" width="9.140625" style="246"/>
    <col min="9473" max="9473" width="16.85546875" style="246" customWidth="1"/>
    <col min="9474" max="9478" width="12" style="246" customWidth="1"/>
    <col min="9479" max="9479" width="10.28515625" style="246" customWidth="1"/>
    <col min="9480" max="9480" width="19.85546875" style="246" customWidth="1"/>
    <col min="9481" max="9728" width="9.140625" style="246"/>
    <col min="9729" max="9729" width="16.85546875" style="246" customWidth="1"/>
    <col min="9730" max="9734" width="12" style="246" customWidth="1"/>
    <col min="9735" max="9735" width="10.28515625" style="246" customWidth="1"/>
    <col min="9736" max="9736" width="19.85546875" style="246" customWidth="1"/>
    <col min="9737" max="9984" width="9.140625" style="246"/>
    <col min="9985" max="9985" width="16.85546875" style="246" customWidth="1"/>
    <col min="9986" max="9990" width="12" style="246" customWidth="1"/>
    <col min="9991" max="9991" width="10.28515625" style="246" customWidth="1"/>
    <col min="9992" max="9992" width="19.85546875" style="246" customWidth="1"/>
    <col min="9993" max="10240" width="9.140625" style="246"/>
    <col min="10241" max="10241" width="16.85546875" style="246" customWidth="1"/>
    <col min="10242" max="10246" width="12" style="246" customWidth="1"/>
    <col min="10247" max="10247" width="10.28515625" style="246" customWidth="1"/>
    <col min="10248" max="10248" width="19.85546875" style="246" customWidth="1"/>
    <col min="10249" max="10496" width="9.140625" style="246"/>
    <col min="10497" max="10497" width="16.85546875" style="246" customWidth="1"/>
    <col min="10498" max="10502" width="12" style="246" customWidth="1"/>
    <col min="10503" max="10503" width="10.28515625" style="246" customWidth="1"/>
    <col min="10504" max="10504" width="19.85546875" style="246" customWidth="1"/>
    <col min="10505" max="10752" width="9.140625" style="246"/>
    <col min="10753" max="10753" width="16.85546875" style="246" customWidth="1"/>
    <col min="10754" max="10758" width="12" style="246" customWidth="1"/>
    <col min="10759" max="10759" width="10.28515625" style="246" customWidth="1"/>
    <col min="10760" max="10760" width="19.85546875" style="246" customWidth="1"/>
    <col min="10761" max="11008" width="9.140625" style="246"/>
    <col min="11009" max="11009" width="16.85546875" style="246" customWidth="1"/>
    <col min="11010" max="11014" width="12" style="246" customWidth="1"/>
    <col min="11015" max="11015" width="10.28515625" style="246" customWidth="1"/>
    <col min="11016" max="11016" width="19.85546875" style="246" customWidth="1"/>
    <col min="11017" max="11264" width="9.140625" style="246"/>
    <col min="11265" max="11265" width="16.85546875" style="246" customWidth="1"/>
    <col min="11266" max="11270" width="12" style="246" customWidth="1"/>
    <col min="11271" max="11271" width="10.28515625" style="246" customWidth="1"/>
    <col min="11272" max="11272" width="19.85546875" style="246" customWidth="1"/>
    <col min="11273" max="11520" width="9.140625" style="246"/>
    <col min="11521" max="11521" width="16.85546875" style="246" customWidth="1"/>
    <col min="11522" max="11526" width="12" style="246" customWidth="1"/>
    <col min="11527" max="11527" width="10.28515625" style="246" customWidth="1"/>
    <col min="11528" max="11528" width="19.85546875" style="246" customWidth="1"/>
    <col min="11529" max="11776" width="9.140625" style="246"/>
    <col min="11777" max="11777" width="16.85546875" style="246" customWidth="1"/>
    <col min="11778" max="11782" width="12" style="246" customWidth="1"/>
    <col min="11783" max="11783" width="10.28515625" style="246" customWidth="1"/>
    <col min="11784" max="11784" width="19.85546875" style="246" customWidth="1"/>
    <col min="11785" max="12032" width="9.140625" style="246"/>
    <col min="12033" max="12033" width="16.85546875" style="246" customWidth="1"/>
    <col min="12034" max="12038" width="12" style="246" customWidth="1"/>
    <col min="12039" max="12039" width="10.28515625" style="246" customWidth="1"/>
    <col min="12040" max="12040" width="19.85546875" style="246" customWidth="1"/>
    <col min="12041" max="12288" width="9.140625" style="246"/>
    <col min="12289" max="12289" width="16.85546875" style="246" customWidth="1"/>
    <col min="12290" max="12294" width="12" style="246" customWidth="1"/>
    <col min="12295" max="12295" width="10.28515625" style="246" customWidth="1"/>
    <col min="12296" max="12296" width="19.85546875" style="246" customWidth="1"/>
    <col min="12297" max="12544" width="9.140625" style="246"/>
    <col min="12545" max="12545" width="16.85546875" style="246" customWidth="1"/>
    <col min="12546" max="12550" width="12" style="246" customWidth="1"/>
    <col min="12551" max="12551" width="10.28515625" style="246" customWidth="1"/>
    <col min="12552" max="12552" width="19.85546875" style="246" customWidth="1"/>
    <col min="12553" max="12800" width="9.140625" style="246"/>
    <col min="12801" max="12801" width="16.85546875" style="246" customWidth="1"/>
    <col min="12802" max="12806" width="12" style="246" customWidth="1"/>
    <col min="12807" max="12807" width="10.28515625" style="246" customWidth="1"/>
    <col min="12808" max="12808" width="19.85546875" style="246" customWidth="1"/>
    <col min="12809" max="13056" width="9.140625" style="246"/>
    <col min="13057" max="13057" width="16.85546875" style="246" customWidth="1"/>
    <col min="13058" max="13062" width="12" style="246" customWidth="1"/>
    <col min="13063" max="13063" width="10.28515625" style="246" customWidth="1"/>
    <col min="13064" max="13064" width="19.85546875" style="246" customWidth="1"/>
    <col min="13065" max="13312" width="9.140625" style="246"/>
    <col min="13313" max="13313" width="16.85546875" style="246" customWidth="1"/>
    <col min="13314" max="13318" width="12" style="246" customWidth="1"/>
    <col min="13319" max="13319" width="10.28515625" style="246" customWidth="1"/>
    <col min="13320" max="13320" width="19.85546875" style="246" customWidth="1"/>
    <col min="13321" max="13568" width="9.140625" style="246"/>
    <col min="13569" max="13569" width="16.85546875" style="246" customWidth="1"/>
    <col min="13570" max="13574" width="12" style="246" customWidth="1"/>
    <col min="13575" max="13575" width="10.28515625" style="246" customWidth="1"/>
    <col min="13576" max="13576" width="19.85546875" style="246" customWidth="1"/>
    <col min="13577" max="13824" width="9.140625" style="246"/>
    <col min="13825" max="13825" width="16.85546875" style="246" customWidth="1"/>
    <col min="13826" max="13830" width="12" style="246" customWidth="1"/>
    <col min="13831" max="13831" width="10.28515625" style="246" customWidth="1"/>
    <col min="13832" max="13832" width="19.85546875" style="246" customWidth="1"/>
    <col min="13833" max="14080" width="9.140625" style="246"/>
    <col min="14081" max="14081" width="16.85546875" style="246" customWidth="1"/>
    <col min="14082" max="14086" width="12" style="246" customWidth="1"/>
    <col min="14087" max="14087" width="10.28515625" style="246" customWidth="1"/>
    <col min="14088" max="14088" width="19.85546875" style="246" customWidth="1"/>
    <col min="14089" max="14336" width="9.140625" style="246"/>
    <col min="14337" max="14337" width="16.85546875" style="246" customWidth="1"/>
    <col min="14338" max="14342" width="12" style="246" customWidth="1"/>
    <col min="14343" max="14343" width="10.28515625" style="246" customWidth="1"/>
    <col min="14344" max="14344" width="19.85546875" style="246" customWidth="1"/>
    <col min="14345" max="14592" width="9.140625" style="246"/>
    <col min="14593" max="14593" width="16.85546875" style="246" customWidth="1"/>
    <col min="14594" max="14598" width="12" style="246" customWidth="1"/>
    <col min="14599" max="14599" width="10.28515625" style="246" customWidth="1"/>
    <col min="14600" max="14600" width="19.85546875" style="246" customWidth="1"/>
    <col min="14601" max="14848" width="9.140625" style="246"/>
    <col min="14849" max="14849" width="16.85546875" style="246" customWidth="1"/>
    <col min="14850" max="14854" width="12" style="246" customWidth="1"/>
    <col min="14855" max="14855" width="10.28515625" style="246" customWidth="1"/>
    <col min="14856" max="14856" width="19.85546875" style="246" customWidth="1"/>
    <col min="14857" max="15104" width="9.140625" style="246"/>
    <col min="15105" max="15105" width="16.85546875" style="246" customWidth="1"/>
    <col min="15106" max="15110" width="12" style="246" customWidth="1"/>
    <col min="15111" max="15111" width="10.28515625" style="246" customWidth="1"/>
    <col min="15112" max="15112" width="19.85546875" style="246" customWidth="1"/>
    <col min="15113" max="15360" width="9.140625" style="246"/>
    <col min="15361" max="15361" width="16.85546875" style="246" customWidth="1"/>
    <col min="15362" max="15366" width="12" style="246" customWidth="1"/>
    <col min="15367" max="15367" width="10.28515625" style="246" customWidth="1"/>
    <col min="15368" max="15368" width="19.85546875" style="246" customWidth="1"/>
    <col min="15369" max="15616" width="9.140625" style="246"/>
    <col min="15617" max="15617" width="16.85546875" style="246" customWidth="1"/>
    <col min="15618" max="15622" width="12" style="246" customWidth="1"/>
    <col min="15623" max="15623" width="10.28515625" style="246" customWidth="1"/>
    <col min="15624" max="15624" width="19.85546875" style="246" customWidth="1"/>
    <col min="15625" max="15872" width="9.140625" style="246"/>
    <col min="15873" max="15873" width="16.85546875" style="246" customWidth="1"/>
    <col min="15874" max="15878" width="12" style="246" customWidth="1"/>
    <col min="15879" max="15879" width="10.28515625" style="246" customWidth="1"/>
    <col min="15880" max="15880" width="19.85546875" style="246" customWidth="1"/>
    <col min="15881" max="16128" width="9.140625" style="246"/>
    <col min="16129" max="16129" width="16.85546875" style="246" customWidth="1"/>
    <col min="16130" max="16134" width="12" style="246" customWidth="1"/>
    <col min="16135" max="16135" width="10.28515625" style="246" customWidth="1"/>
    <col min="16136" max="16136" width="19.85546875" style="246" customWidth="1"/>
    <col min="16137" max="16384" width="9.140625" style="246"/>
  </cols>
  <sheetData>
    <row r="1" spans="1:20" ht="20.25" customHeight="1">
      <c r="A1" s="1376" t="s">
        <v>634</v>
      </c>
      <c r="B1" s="1376"/>
      <c r="C1" s="1376"/>
      <c r="D1" s="1376"/>
      <c r="E1" s="1376"/>
      <c r="F1" s="1376"/>
      <c r="G1" s="1376"/>
      <c r="H1" s="1376"/>
    </row>
    <row r="2" spans="1:20" ht="12.75" customHeight="1">
      <c r="A2" s="1377" t="s">
        <v>635</v>
      </c>
      <c r="B2" s="1377"/>
      <c r="C2" s="1377"/>
      <c r="D2" s="1377"/>
      <c r="E2" s="1377"/>
      <c r="F2" s="1377"/>
      <c r="G2" s="1377"/>
      <c r="H2" s="1377"/>
    </row>
    <row r="3" spans="1:20" ht="22.5" customHeight="1">
      <c r="A3" s="289"/>
      <c r="B3" s="289"/>
      <c r="C3" s="289"/>
      <c r="D3" s="290" t="s">
        <v>636</v>
      </c>
      <c r="E3" s="289"/>
      <c r="F3" s="289"/>
    </row>
    <row r="4" spans="1:20" s="294" customFormat="1" ht="18" customHeight="1">
      <c r="A4" s="291" t="s">
        <v>166</v>
      </c>
      <c r="B4" s="292">
        <v>1985</v>
      </c>
      <c r="C4" s="292">
        <v>1990</v>
      </c>
      <c r="D4" s="293">
        <v>1995</v>
      </c>
      <c r="E4" s="293">
        <v>2000</v>
      </c>
      <c r="F4" s="292">
        <v>2006</v>
      </c>
      <c r="G4" s="292">
        <v>2014</v>
      </c>
      <c r="H4" s="888" t="s">
        <v>164</v>
      </c>
      <c r="K4" s="295"/>
      <c r="L4" s="295"/>
      <c r="M4" s="295"/>
      <c r="N4" s="295"/>
      <c r="O4" s="295"/>
      <c r="P4" s="295"/>
      <c r="Q4" s="295"/>
      <c r="R4" s="295"/>
      <c r="S4" s="295"/>
      <c r="T4" s="295"/>
    </row>
    <row r="5" spans="1:20" s="300" customFormat="1" ht="15" customHeight="1">
      <c r="A5" s="296" t="s">
        <v>169</v>
      </c>
      <c r="B5" s="297">
        <v>107.94</v>
      </c>
      <c r="C5" s="297">
        <v>105.25</v>
      </c>
      <c r="D5" s="298">
        <v>103.69</v>
      </c>
      <c r="E5" s="299">
        <v>103.23</v>
      </c>
      <c r="F5" s="299">
        <v>102.6778027103431</v>
      </c>
      <c r="G5" s="299">
        <v>103.13479808924345</v>
      </c>
      <c r="H5" s="889" t="s">
        <v>170</v>
      </c>
      <c r="J5" s="301"/>
      <c r="K5" s="302"/>
      <c r="L5" s="302"/>
      <c r="M5" s="302"/>
      <c r="N5" s="302"/>
      <c r="O5" s="302"/>
      <c r="P5" s="302"/>
      <c r="Q5" s="302"/>
      <c r="R5" s="302"/>
      <c r="S5" s="302"/>
      <c r="T5" s="303"/>
    </row>
    <row r="6" spans="1:20" s="300" customFormat="1" ht="15" customHeight="1">
      <c r="A6" s="296" t="s">
        <v>637</v>
      </c>
      <c r="B6" s="304">
        <v>129.63</v>
      </c>
      <c r="C6" s="304">
        <v>120.7</v>
      </c>
      <c r="D6" s="298">
        <v>115.49</v>
      </c>
      <c r="E6" s="299">
        <v>108.59</v>
      </c>
      <c r="F6" s="299">
        <v>100.56285178236396</v>
      </c>
      <c r="G6" s="299">
        <v>98.873054677717491</v>
      </c>
      <c r="H6" s="889" t="s">
        <v>638</v>
      </c>
      <c r="J6" s="305"/>
      <c r="K6" s="302"/>
      <c r="L6" s="302"/>
      <c r="M6" s="302"/>
      <c r="N6" s="302"/>
      <c r="O6" s="302"/>
      <c r="P6" s="302"/>
      <c r="Q6" s="302"/>
      <c r="R6" s="302"/>
      <c r="S6" s="302"/>
      <c r="T6" s="303"/>
    </row>
    <row r="7" spans="1:20" s="300" customFormat="1" ht="15" customHeight="1">
      <c r="A7" s="296" t="s">
        <v>639</v>
      </c>
      <c r="B7" s="304">
        <v>101.43</v>
      </c>
      <c r="C7" s="304">
        <v>100.36</v>
      </c>
      <c r="D7" s="298">
        <v>99.93</v>
      </c>
      <c r="E7" s="299">
        <v>101.28</v>
      </c>
      <c r="F7" s="299">
        <v>103.8190965263861</v>
      </c>
      <c r="G7" s="299">
        <v>105.93020640833845</v>
      </c>
      <c r="H7" s="889" t="s">
        <v>640</v>
      </c>
      <c r="J7" s="306"/>
      <c r="K7" s="302"/>
      <c r="L7" s="302"/>
      <c r="M7" s="302"/>
      <c r="N7" s="302"/>
      <c r="O7" s="302"/>
      <c r="P7" s="302"/>
      <c r="Q7" s="302"/>
      <c r="R7" s="302"/>
      <c r="S7" s="302"/>
      <c r="T7" s="303"/>
    </row>
    <row r="8" spans="1:20" s="300" customFormat="1" ht="15" customHeight="1">
      <c r="A8" s="307" t="s">
        <v>641</v>
      </c>
      <c r="B8" s="308">
        <v>92.59</v>
      </c>
      <c r="C8" s="308">
        <v>92.25</v>
      </c>
      <c r="D8" s="309">
        <v>91.25</v>
      </c>
      <c r="E8" s="310">
        <v>88.21</v>
      </c>
      <c r="F8" s="310">
        <v>87.847995545657014</v>
      </c>
      <c r="G8" s="310">
        <v>83.38739246932731</v>
      </c>
      <c r="H8" s="890" t="s">
        <v>642</v>
      </c>
      <c r="J8" s="306"/>
      <c r="K8" s="302"/>
      <c r="L8" s="302"/>
      <c r="M8" s="302"/>
      <c r="N8" s="302"/>
      <c r="O8" s="302"/>
      <c r="P8" s="302"/>
      <c r="Q8" s="302"/>
      <c r="R8" s="302"/>
      <c r="S8" s="302"/>
      <c r="T8" s="303"/>
    </row>
    <row r="9" spans="1:20" s="300" customFormat="1" ht="15" customHeight="1">
      <c r="A9" s="307" t="s">
        <v>643</v>
      </c>
      <c r="B9" s="308">
        <v>87.23</v>
      </c>
      <c r="C9" s="308">
        <v>85.79</v>
      </c>
      <c r="D9" s="309">
        <v>88.67</v>
      </c>
      <c r="E9" s="310">
        <v>88.76</v>
      </c>
      <c r="F9" s="310">
        <v>85.905656056789553</v>
      </c>
      <c r="G9" s="310">
        <v>84.153113843712816</v>
      </c>
      <c r="H9" s="890" t="s">
        <v>644</v>
      </c>
      <c r="J9" s="311"/>
      <c r="K9" s="302"/>
      <c r="L9" s="302"/>
      <c r="M9" s="302"/>
      <c r="N9" s="302"/>
      <c r="O9" s="302"/>
      <c r="P9" s="302"/>
      <c r="Q9" s="302"/>
      <c r="R9" s="302"/>
      <c r="S9" s="302"/>
      <c r="T9" s="303"/>
    </row>
    <row r="10" spans="1:20" s="300" customFormat="1" ht="15" customHeight="1">
      <c r="A10" s="307" t="s">
        <v>645</v>
      </c>
      <c r="B10" s="308">
        <v>93.18</v>
      </c>
      <c r="C10" s="308">
        <v>91.71</v>
      </c>
      <c r="D10" s="309">
        <v>91.23</v>
      </c>
      <c r="E10" s="310">
        <v>90.67</v>
      </c>
      <c r="F10" s="310">
        <v>89.553897444038739</v>
      </c>
      <c r="G10" s="310">
        <v>83.464447806354016</v>
      </c>
      <c r="H10" s="890" t="s">
        <v>646</v>
      </c>
      <c r="J10" s="306"/>
      <c r="K10" s="302"/>
      <c r="L10" s="302"/>
      <c r="M10" s="302"/>
      <c r="N10" s="302"/>
      <c r="O10" s="302"/>
      <c r="P10" s="302"/>
      <c r="Q10" s="302"/>
      <c r="R10" s="302"/>
      <c r="S10" s="302"/>
      <c r="T10" s="303"/>
    </row>
    <row r="11" spans="1:20" s="300" customFormat="1" ht="15" customHeight="1">
      <c r="A11" s="307" t="s">
        <v>647</v>
      </c>
      <c r="B11" s="308">
        <v>90.35</v>
      </c>
      <c r="C11" s="308">
        <v>87.24</v>
      </c>
      <c r="D11" s="309">
        <v>88.77</v>
      </c>
      <c r="E11" s="310">
        <v>85.47</v>
      </c>
      <c r="F11" s="310">
        <v>84.574272023590126</v>
      </c>
      <c r="G11" s="310">
        <v>84.191240621183042</v>
      </c>
      <c r="H11" s="890" t="s">
        <v>648</v>
      </c>
      <c r="J11" s="306"/>
      <c r="K11" s="302"/>
      <c r="L11" s="302"/>
      <c r="M11" s="302"/>
      <c r="N11" s="302"/>
      <c r="O11" s="302"/>
      <c r="P11" s="302"/>
      <c r="Q11" s="302"/>
      <c r="R11" s="302"/>
      <c r="S11" s="302"/>
      <c r="T11" s="303"/>
    </row>
    <row r="12" spans="1:20" s="300" customFormat="1" ht="15" customHeight="1">
      <c r="A12" s="307" t="s">
        <v>649</v>
      </c>
      <c r="B12" s="308">
        <v>98.86</v>
      </c>
      <c r="C12" s="308">
        <v>98.89</v>
      </c>
      <c r="D12" s="309">
        <v>96.05</v>
      </c>
      <c r="E12" s="310">
        <v>96.31</v>
      </c>
      <c r="F12" s="310">
        <v>93.648293963254588</v>
      </c>
      <c r="G12" s="310">
        <v>91.094049904030712</v>
      </c>
      <c r="H12" s="890" t="s">
        <v>650</v>
      </c>
      <c r="J12" s="306"/>
      <c r="K12" s="302"/>
      <c r="L12" s="302"/>
      <c r="M12" s="302"/>
      <c r="N12" s="302"/>
      <c r="O12" s="302"/>
      <c r="P12" s="302"/>
      <c r="Q12" s="302"/>
      <c r="R12" s="302"/>
      <c r="S12" s="302"/>
      <c r="T12" s="303"/>
    </row>
    <row r="13" spans="1:20" s="300" customFormat="1" ht="15" customHeight="1">
      <c r="A13" s="307" t="s">
        <v>651</v>
      </c>
      <c r="B13" s="308">
        <v>105.49</v>
      </c>
      <c r="C13" s="308">
        <v>100.52</v>
      </c>
      <c r="D13" s="309">
        <v>102.98</v>
      </c>
      <c r="E13" s="310">
        <v>108.28</v>
      </c>
      <c r="F13" s="310">
        <v>107.9913137893594</v>
      </c>
      <c r="G13" s="310">
        <v>93.219237435008665</v>
      </c>
      <c r="H13" s="890" t="s">
        <v>652</v>
      </c>
      <c r="J13" s="306"/>
      <c r="K13" s="302"/>
      <c r="L13" s="302"/>
      <c r="M13" s="302"/>
      <c r="N13" s="302"/>
      <c r="O13" s="302"/>
      <c r="P13" s="302"/>
      <c r="Q13" s="302"/>
      <c r="R13" s="302"/>
      <c r="S13" s="302"/>
      <c r="T13" s="303"/>
    </row>
    <row r="14" spans="1:20" s="300" customFormat="1" ht="15" customHeight="1">
      <c r="A14" s="307" t="s">
        <v>653</v>
      </c>
      <c r="B14" s="308">
        <v>95.49</v>
      </c>
      <c r="C14" s="308">
        <v>112.75</v>
      </c>
      <c r="D14" s="309">
        <v>97.64</v>
      </c>
      <c r="E14" s="310">
        <v>108.83</v>
      </c>
      <c r="F14" s="310">
        <v>106.14625392552715</v>
      </c>
      <c r="G14" s="310">
        <v>86.386946386946377</v>
      </c>
      <c r="H14" s="890" t="s">
        <v>654</v>
      </c>
      <c r="J14" s="312"/>
      <c r="K14" s="302"/>
      <c r="L14" s="302"/>
      <c r="M14" s="302"/>
      <c r="N14" s="302"/>
      <c r="O14" s="302"/>
      <c r="P14" s="302"/>
      <c r="Q14" s="302"/>
      <c r="R14" s="302"/>
      <c r="S14" s="302"/>
      <c r="T14" s="303"/>
    </row>
    <row r="15" spans="1:20" s="300" customFormat="1" ht="15" customHeight="1">
      <c r="A15" s="307" t="s">
        <v>655</v>
      </c>
      <c r="B15" s="308">
        <v>128.51</v>
      </c>
      <c r="C15" s="308">
        <v>227.72</v>
      </c>
      <c r="D15" s="309">
        <v>211.33</v>
      </c>
      <c r="E15" s="310">
        <v>227.04</v>
      </c>
      <c r="F15" s="310">
        <v>239.73597359735973</v>
      </c>
      <c r="G15" s="310">
        <v>125.68265682656828</v>
      </c>
      <c r="H15" s="890" t="s">
        <v>1029</v>
      </c>
      <c r="J15" s="312"/>
      <c r="K15" s="302"/>
      <c r="L15" s="302"/>
      <c r="M15" s="302"/>
      <c r="N15" s="302"/>
      <c r="O15" s="302"/>
      <c r="P15" s="302"/>
      <c r="Q15" s="302"/>
      <c r="R15" s="302"/>
      <c r="S15" s="302"/>
      <c r="T15" s="303"/>
    </row>
    <row r="16" spans="1:20" s="300" customFormat="1" ht="16.5" customHeight="1">
      <c r="A16" s="307" t="s">
        <v>656</v>
      </c>
      <c r="B16" s="308">
        <v>99.27</v>
      </c>
      <c r="C16" s="313" t="s">
        <v>187</v>
      </c>
      <c r="D16" s="314" t="s">
        <v>187</v>
      </c>
      <c r="E16" s="314" t="s">
        <v>187</v>
      </c>
      <c r="F16" s="314" t="s">
        <v>187</v>
      </c>
      <c r="G16" s="314" t="s">
        <v>187</v>
      </c>
      <c r="H16" s="890" t="s">
        <v>1030</v>
      </c>
      <c r="J16" s="312"/>
      <c r="K16" s="302"/>
      <c r="L16" s="302"/>
      <c r="M16" s="302"/>
      <c r="N16" s="302"/>
      <c r="O16" s="302"/>
      <c r="P16" s="302"/>
      <c r="Q16" s="302"/>
      <c r="R16" s="302"/>
      <c r="S16" s="302"/>
      <c r="T16" s="303"/>
    </row>
    <row r="17" spans="1:31" s="300" customFormat="1" ht="15" customHeight="1">
      <c r="A17" s="307" t="s">
        <v>657</v>
      </c>
      <c r="B17" s="313" t="s">
        <v>187</v>
      </c>
      <c r="C17" s="308">
        <v>136.1</v>
      </c>
      <c r="D17" s="309">
        <v>134.09</v>
      </c>
      <c r="E17" s="310">
        <v>132.34</v>
      </c>
      <c r="F17" s="310">
        <v>136.33387888707037</v>
      </c>
      <c r="G17" s="310">
        <v>102.84636488340193</v>
      </c>
      <c r="H17" s="890" t="s">
        <v>658</v>
      </c>
      <c r="J17" s="312"/>
      <c r="K17" s="302"/>
      <c r="L17" s="302"/>
      <c r="M17" s="302"/>
      <c r="N17" s="302"/>
      <c r="O17" s="302"/>
      <c r="P17" s="302"/>
      <c r="Q17" s="302"/>
      <c r="R17" s="302"/>
      <c r="S17" s="302"/>
      <c r="T17" s="303"/>
    </row>
    <row r="18" spans="1:31" s="300" customFormat="1" ht="15" customHeight="1">
      <c r="A18" s="307" t="s">
        <v>659</v>
      </c>
      <c r="B18" s="313" t="s">
        <v>187</v>
      </c>
      <c r="C18" s="308">
        <v>99.96</v>
      </c>
      <c r="D18" s="309">
        <v>119.94</v>
      </c>
      <c r="E18" s="310">
        <v>129.43</v>
      </c>
      <c r="F18" s="310">
        <v>129.05959540732641</v>
      </c>
      <c r="G18" s="310">
        <v>98.375757575757575</v>
      </c>
      <c r="H18" s="890" t="s">
        <v>660</v>
      </c>
      <c r="J18" s="312"/>
      <c r="K18" s="302"/>
      <c r="L18" s="302"/>
      <c r="M18" s="302"/>
      <c r="N18" s="302"/>
      <c r="O18" s="302"/>
      <c r="P18" s="302"/>
      <c r="Q18" s="302"/>
      <c r="R18" s="302"/>
      <c r="S18" s="302"/>
      <c r="T18" s="303"/>
    </row>
    <row r="19" spans="1:31" s="300" customFormat="1" ht="15" customHeight="1">
      <c r="A19" s="307" t="s">
        <v>661</v>
      </c>
      <c r="B19" s="308">
        <v>121.64</v>
      </c>
      <c r="C19" s="308">
        <v>134.38999999999999</v>
      </c>
      <c r="D19" s="309">
        <v>113.21</v>
      </c>
      <c r="E19" s="310">
        <v>127.37</v>
      </c>
      <c r="F19" s="315">
        <v>121.823204419889</v>
      </c>
      <c r="G19" s="315">
        <v>119.78319783197833</v>
      </c>
      <c r="H19" s="890" t="s">
        <v>662</v>
      </c>
      <c r="J19" s="312"/>
      <c r="K19" s="302"/>
      <c r="L19" s="302"/>
      <c r="M19" s="302"/>
      <c r="N19" s="302"/>
      <c r="O19" s="302"/>
      <c r="P19" s="302"/>
      <c r="Q19" s="302"/>
      <c r="R19" s="302"/>
      <c r="S19" s="302"/>
      <c r="T19" s="303"/>
    </row>
    <row r="20" spans="1:31" s="300" customFormat="1" ht="15" customHeight="1">
      <c r="A20" s="307" t="s">
        <v>663</v>
      </c>
      <c r="B20" s="308">
        <v>97.73</v>
      </c>
      <c r="C20" s="308">
        <v>100.1</v>
      </c>
      <c r="D20" s="309">
        <v>99.14</v>
      </c>
      <c r="E20" s="310">
        <v>96.67</v>
      </c>
      <c r="F20" s="315">
        <v>105.58707987778261</v>
      </c>
      <c r="G20" s="315">
        <v>95.072463768115938</v>
      </c>
      <c r="H20" s="890" t="s">
        <v>664</v>
      </c>
      <c r="J20" s="312"/>
      <c r="K20" s="302"/>
      <c r="L20" s="302"/>
      <c r="M20" s="302"/>
      <c r="N20" s="302"/>
      <c r="O20" s="302"/>
      <c r="P20" s="302"/>
      <c r="Q20" s="302"/>
      <c r="R20" s="302"/>
      <c r="S20" s="302"/>
      <c r="T20" s="303"/>
    </row>
    <row r="21" spans="1:31" s="294" customFormat="1" ht="15" customHeight="1">
      <c r="A21" s="307" t="s">
        <v>665</v>
      </c>
      <c r="B21" s="308">
        <v>89.42</v>
      </c>
      <c r="C21" s="308">
        <v>84.6</v>
      </c>
      <c r="D21" s="309">
        <v>92.28</v>
      </c>
      <c r="E21" s="310">
        <v>101.95</v>
      </c>
      <c r="F21" s="310">
        <v>94.372741352607122</v>
      </c>
      <c r="G21" s="310">
        <v>91.666666666666657</v>
      </c>
      <c r="H21" s="890" t="s">
        <v>666</v>
      </c>
      <c r="J21" s="312"/>
      <c r="K21" s="302"/>
      <c r="L21" s="302"/>
      <c r="M21" s="302"/>
      <c r="N21" s="302"/>
      <c r="O21" s="302"/>
      <c r="P21" s="302"/>
      <c r="Q21" s="302"/>
      <c r="R21" s="302"/>
      <c r="S21" s="302"/>
      <c r="T21" s="295"/>
    </row>
    <row r="22" spans="1:31" s="294" customFormat="1" ht="15" customHeight="1">
      <c r="A22" s="307" t="s">
        <v>667</v>
      </c>
      <c r="B22" s="308">
        <v>97.24</v>
      </c>
      <c r="C22" s="308">
        <v>96.86</v>
      </c>
      <c r="D22" s="309">
        <v>98.71</v>
      </c>
      <c r="E22" s="310">
        <v>102.28</v>
      </c>
      <c r="F22" s="310">
        <v>107.82426778242677</v>
      </c>
      <c r="G22" s="310">
        <v>95.48789435069699</v>
      </c>
      <c r="H22" s="890" t="s">
        <v>668</v>
      </c>
      <c r="J22" s="312"/>
      <c r="K22" s="302"/>
      <c r="L22" s="302"/>
      <c r="M22" s="302"/>
      <c r="N22" s="302"/>
      <c r="O22" s="302"/>
      <c r="P22" s="302"/>
      <c r="Q22" s="302"/>
      <c r="R22" s="302"/>
      <c r="S22" s="302"/>
      <c r="T22" s="295"/>
    </row>
    <row r="23" spans="1:31" s="294" customFormat="1" ht="15" customHeight="1">
      <c r="A23" s="307" t="s">
        <v>669</v>
      </c>
      <c r="B23" s="308">
        <v>94.21</v>
      </c>
      <c r="C23" s="308">
        <v>92.09</v>
      </c>
      <c r="D23" s="309">
        <v>96.32</v>
      </c>
      <c r="E23" s="310">
        <v>93.98</v>
      </c>
      <c r="F23" s="310">
        <v>98.573766658873041</v>
      </c>
      <c r="G23" s="310">
        <v>97.106251380605258</v>
      </c>
      <c r="H23" s="890" t="s">
        <v>670</v>
      </c>
      <c r="J23" s="312"/>
      <c r="K23" s="302"/>
      <c r="L23" s="302"/>
      <c r="M23" s="302"/>
      <c r="N23" s="302"/>
      <c r="O23" s="302"/>
      <c r="P23" s="302"/>
      <c r="Q23" s="302"/>
      <c r="R23" s="302"/>
      <c r="S23" s="302"/>
      <c r="T23" s="295"/>
    </row>
    <row r="24" spans="1:31" s="294" customFormat="1" ht="15" customHeight="1">
      <c r="A24" s="307" t="s">
        <v>671</v>
      </c>
      <c r="B24" s="308">
        <v>98.05</v>
      </c>
      <c r="C24" s="308">
        <v>101.44</v>
      </c>
      <c r="D24" s="309">
        <v>96.52</v>
      </c>
      <c r="E24" s="310">
        <v>101.71</v>
      </c>
      <c r="F24" s="310">
        <v>106.11999312360322</v>
      </c>
      <c r="G24" s="310">
        <v>98.774550948463997</v>
      </c>
      <c r="H24" s="890" t="s">
        <v>672</v>
      </c>
      <c r="J24" s="312"/>
      <c r="K24" s="302"/>
      <c r="L24" s="302"/>
      <c r="M24" s="302"/>
      <c r="N24" s="302"/>
      <c r="O24" s="302"/>
      <c r="P24" s="302"/>
      <c r="Q24" s="302"/>
      <c r="R24" s="302"/>
      <c r="S24" s="302"/>
      <c r="T24" s="295"/>
    </row>
    <row r="25" spans="1:31" s="294" customFormat="1" ht="15" customHeight="1">
      <c r="A25" s="307" t="s">
        <v>673</v>
      </c>
      <c r="B25" s="308">
        <v>99.8</v>
      </c>
      <c r="C25" s="308">
        <v>98.45</v>
      </c>
      <c r="D25" s="309">
        <v>97.54</v>
      </c>
      <c r="E25" s="310">
        <v>99.93</v>
      </c>
      <c r="F25" s="310">
        <v>102.64900662251655</v>
      </c>
      <c r="G25" s="310">
        <v>108.12668794500368</v>
      </c>
      <c r="H25" s="890" t="s">
        <v>674</v>
      </c>
      <c r="J25" s="312"/>
      <c r="K25" s="302"/>
      <c r="L25" s="302"/>
      <c r="M25" s="302"/>
      <c r="N25" s="302"/>
      <c r="O25" s="302"/>
      <c r="P25" s="302"/>
      <c r="Q25" s="302"/>
      <c r="R25" s="302"/>
      <c r="S25" s="302"/>
      <c r="T25" s="295"/>
    </row>
    <row r="26" spans="1:31" s="294" customFormat="1" ht="15" customHeight="1">
      <c r="A26" s="307" t="s">
        <v>675</v>
      </c>
      <c r="B26" s="308">
        <v>90.44</v>
      </c>
      <c r="C26" s="308">
        <v>92.94</v>
      </c>
      <c r="D26" s="309">
        <v>94.99</v>
      </c>
      <c r="E26" s="310">
        <v>92.92</v>
      </c>
      <c r="F26" s="310">
        <v>96.030615877536491</v>
      </c>
      <c r="G26" s="310">
        <v>102.23880597014924</v>
      </c>
      <c r="H26" s="890" t="s">
        <v>676</v>
      </c>
      <c r="J26" s="312"/>
      <c r="K26" s="302"/>
      <c r="L26" s="302"/>
      <c r="M26" s="302"/>
      <c r="N26" s="302"/>
      <c r="O26" s="302"/>
      <c r="P26" s="302"/>
      <c r="Q26" s="302"/>
      <c r="R26" s="302"/>
      <c r="S26" s="302"/>
      <c r="T26" s="295"/>
    </row>
    <row r="27" spans="1:31" s="294" customFormat="1" ht="15" customHeight="1">
      <c r="A27" s="307" t="s">
        <v>677</v>
      </c>
      <c r="B27" s="308">
        <v>86.35</v>
      </c>
      <c r="C27" s="308">
        <v>91.3</v>
      </c>
      <c r="D27" s="309">
        <v>88.08</v>
      </c>
      <c r="E27" s="310">
        <v>85.24</v>
      </c>
      <c r="F27" s="310">
        <v>87.202745771022308</v>
      </c>
      <c r="G27" s="310">
        <v>83.061962912709191</v>
      </c>
      <c r="H27" s="890" t="s">
        <v>678</v>
      </c>
      <c r="J27" s="312"/>
      <c r="K27" s="302"/>
      <c r="L27" s="302"/>
      <c r="M27" s="302"/>
      <c r="N27" s="302"/>
      <c r="O27" s="302"/>
      <c r="P27" s="302"/>
      <c r="Q27" s="302"/>
      <c r="R27" s="302"/>
      <c r="S27" s="302"/>
      <c r="T27" s="295"/>
    </row>
    <row r="28" spans="1:31" s="294" customFormat="1" ht="15" customHeight="1">
      <c r="A28" s="316" t="s">
        <v>646</v>
      </c>
      <c r="B28" s="317">
        <v>88.66</v>
      </c>
      <c r="C28" s="317">
        <v>83.9</v>
      </c>
      <c r="D28" s="318">
        <v>84.96</v>
      </c>
      <c r="E28" s="319">
        <v>80.7</v>
      </c>
      <c r="F28" s="319">
        <v>87.28311688311689</v>
      </c>
      <c r="G28" s="319">
        <v>90.883711975356192</v>
      </c>
      <c r="H28" s="891" t="s">
        <v>679</v>
      </c>
      <c r="J28" s="312"/>
      <c r="K28" s="312"/>
      <c r="L28" s="312"/>
      <c r="M28" s="312"/>
      <c r="N28" s="312"/>
    </row>
    <row r="29" spans="1:31" ht="15" customHeight="1">
      <c r="A29" s="271" t="s">
        <v>117</v>
      </c>
      <c r="H29" s="276" t="s">
        <v>118</v>
      </c>
      <c r="J29" s="312"/>
      <c r="K29" s="320"/>
    </row>
    <row r="30" spans="1:31" s="278" customFormat="1" ht="15" customHeight="1">
      <c r="A30" s="271" t="s">
        <v>680</v>
      </c>
      <c r="B30" s="321"/>
      <c r="C30" s="321"/>
      <c r="D30" s="321"/>
      <c r="E30" s="321"/>
      <c r="F30" s="321"/>
      <c r="G30" s="321"/>
      <c r="H30" s="322" t="s">
        <v>681</v>
      </c>
      <c r="I30" s="246"/>
      <c r="J30" s="306"/>
      <c r="K30" s="320"/>
      <c r="L30" s="246"/>
      <c r="M30" s="246"/>
      <c r="N30" s="246"/>
      <c r="O30" s="246"/>
      <c r="P30" s="246"/>
      <c r="Q30" s="246"/>
      <c r="R30" s="246"/>
      <c r="S30" s="246"/>
      <c r="T30" s="246"/>
      <c r="U30" s="246"/>
      <c r="V30" s="246"/>
      <c r="W30" s="246"/>
      <c r="X30" s="246"/>
      <c r="Y30" s="246"/>
      <c r="Z30" s="246"/>
      <c r="AA30" s="246"/>
      <c r="AB30" s="277"/>
      <c r="AC30" s="246"/>
      <c r="AD30" s="246"/>
      <c r="AE30" s="323"/>
    </row>
    <row r="31" spans="1:31" ht="15" customHeight="1">
      <c r="A31" s="271" t="s">
        <v>682</v>
      </c>
      <c r="B31" s="324"/>
      <c r="C31" s="324"/>
      <c r="D31" s="324"/>
      <c r="E31" s="324"/>
      <c r="F31" s="324"/>
      <c r="G31" s="324"/>
      <c r="H31" s="325" t="s">
        <v>683</v>
      </c>
      <c r="J31" s="306"/>
      <c r="K31" s="320"/>
    </row>
    <row r="32" spans="1:31" s="278" customFormat="1" ht="15" customHeight="1">
      <c r="A32" s="271" t="s">
        <v>684</v>
      </c>
      <c r="B32" s="272"/>
      <c r="C32" s="272"/>
      <c r="D32" s="273"/>
      <c r="E32" s="274"/>
      <c r="F32" s="326"/>
      <c r="G32" s="326"/>
      <c r="H32" s="327" t="s">
        <v>685</v>
      </c>
      <c r="I32" s="246"/>
      <c r="J32" s="311"/>
      <c r="K32" s="320"/>
      <c r="L32" s="246"/>
      <c r="M32" s="246"/>
      <c r="N32" s="246"/>
      <c r="O32" s="246"/>
      <c r="P32" s="246"/>
      <c r="Q32" s="246"/>
      <c r="R32" s="246"/>
      <c r="S32" s="246"/>
      <c r="T32" s="246"/>
      <c r="U32" s="246"/>
      <c r="V32" s="246"/>
      <c r="W32" s="246"/>
      <c r="X32" s="246"/>
      <c r="Y32" s="246"/>
      <c r="Z32" s="246"/>
      <c r="AA32" s="246"/>
      <c r="AB32" s="277"/>
      <c r="AC32" s="246"/>
      <c r="AD32" s="246"/>
      <c r="AE32" s="323"/>
    </row>
    <row r="33" spans="1:30" ht="15">
      <c r="J33" s="311"/>
      <c r="K33" s="320"/>
      <c r="AB33" s="328"/>
    </row>
    <row r="34" spans="1:30" ht="17.25">
      <c r="A34" s="324"/>
      <c r="B34" s="324"/>
      <c r="C34" s="324"/>
      <c r="D34" s="324"/>
      <c r="E34" s="324"/>
      <c r="F34" s="324"/>
      <c r="G34" s="324"/>
      <c r="H34" s="329"/>
      <c r="I34" s="330"/>
      <c r="J34" s="330"/>
      <c r="K34" s="330"/>
      <c r="L34" s="330"/>
      <c r="M34" s="330"/>
      <c r="N34" s="330"/>
      <c r="O34" s="330"/>
      <c r="P34" s="330"/>
      <c r="Q34" s="330"/>
      <c r="R34" s="330"/>
      <c r="S34" s="330"/>
      <c r="T34" s="330"/>
      <c r="U34" s="330"/>
      <c r="V34" s="330"/>
      <c r="W34" s="330"/>
      <c r="X34" s="330"/>
      <c r="Y34" s="330"/>
      <c r="Z34" s="330"/>
      <c r="AA34" s="331"/>
      <c r="AC34" s="328" t="s">
        <v>637</v>
      </c>
      <c r="AD34" s="332">
        <v>98.939638669538169</v>
      </c>
    </row>
    <row r="35" spans="1:30">
      <c r="A35" s="324"/>
      <c r="B35" s="324"/>
      <c r="C35" s="324"/>
      <c r="D35" s="324"/>
      <c r="E35" s="324"/>
      <c r="F35" s="324"/>
      <c r="G35" s="324"/>
      <c r="H35" s="324"/>
      <c r="I35" s="330"/>
      <c r="J35" s="330"/>
      <c r="K35" s="330"/>
      <c r="L35" s="330"/>
      <c r="M35" s="330"/>
      <c r="N35" s="330"/>
      <c r="O35" s="330"/>
      <c r="P35" s="330"/>
      <c r="Q35" s="330"/>
      <c r="R35" s="330"/>
      <c r="S35" s="330"/>
      <c r="T35" s="330"/>
      <c r="U35" s="330"/>
      <c r="V35" s="330"/>
      <c r="W35" s="330"/>
      <c r="X35" s="330"/>
      <c r="Y35" s="330"/>
      <c r="Z35" s="330"/>
      <c r="AA35" s="331"/>
      <c r="AC35" s="333" t="s">
        <v>641</v>
      </c>
      <c r="AD35" s="334">
        <f t="shared" ref="AD35:AD42" si="0">G8</f>
        <v>83.38739246932731</v>
      </c>
    </row>
    <row r="36" spans="1:30">
      <c r="A36" s="324"/>
      <c r="B36" s="324"/>
      <c r="C36" s="324"/>
      <c r="D36" s="324"/>
      <c r="E36" s="324"/>
      <c r="F36" s="324"/>
      <c r="G36" s="324"/>
      <c r="H36" s="324"/>
      <c r="I36" s="330"/>
      <c r="J36" s="330"/>
      <c r="K36" s="330"/>
      <c r="L36" s="330"/>
      <c r="M36" s="330"/>
      <c r="N36" s="330"/>
      <c r="O36" s="330"/>
      <c r="P36" s="330"/>
      <c r="Q36" s="330"/>
      <c r="R36" s="330"/>
      <c r="S36" s="330"/>
      <c r="T36" s="330"/>
      <c r="U36" s="330"/>
      <c r="V36" s="330"/>
      <c r="W36" s="330"/>
      <c r="X36" s="330"/>
      <c r="Y36" s="330"/>
      <c r="Z36" s="330"/>
      <c r="AA36" s="331"/>
      <c r="AC36" s="333" t="s">
        <v>643</v>
      </c>
      <c r="AD36" s="334">
        <f t="shared" si="0"/>
        <v>84.153113843712816</v>
      </c>
    </row>
    <row r="37" spans="1:30">
      <c r="A37" s="324"/>
      <c r="B37" s="324"/>
      <c r="C37" s="324"/>
      <c r="D37" s="324"/>
      <c r="E37" s="324"/>
      <c r="F37" s="324"/>
      <c r="G37" s="324"/>
      <c r="H37" s="324"/>
      <c r="I37" s="330"/>
      <c r="J37" s="330"/>
      <c r="K37" s="330"/>
      <c r="L37" s="330"/>
      <c r="M37" s="330"/>
      <c r="N37" s="330"/>
      <c r="O37" s="330"/>
      <c r="P37" s="330"/>
      <c r="Q37" s="330"/>
      <c r="R37" s="330"/>
      <c r="S37" s="330"/>
      <c r="T37" s="330"/>
      <c r="U37" s="330"/>
      <c r="V37" s="330"/>
      <c r="W37" s="330"/>
      <c r="X37" s="330"/>
      <c r="Y37" s="330"/>
      <c r="Z37" s="330"/>
      <c r="AA37" s="331"/>
      <c r="AC37" s="333" t="s">
        <v>645</v>
      </c>
      <c r="AD37" s="334">
        <f t="shared" si="0"/>
        <v>83.464447806354016</v>
      </c>
    </row>
    <row r="38" spans="1:30">
      <c r="A38" s="324"/>
      <c r="B38" s="324"/>
      <c r="C38" s="324"/>
      <c r="D38" s="324"/>
      <c r="E38" s="324"/>
      <c r="F38" s="324"/>
      <c r="G38" s="324"/>
      <c r="H38" s="324"/>
      <c r="I38" s="330"/>
      <c r="J38" s="330"/>
      <c r="K38" s="330"/>
      <c r="L38" s="330"/>
      <c r="M38" s="330"/>
      <c r="N38" s="330"/>
      <c r="O38" s="330"/>
      <c r="P38" s="330"/>
      <c r="Q38" s="330"/>
      <c r="R38" s="330"/>
      <c r="S38" s="330"/>
      <c r="T38" s="330"/>
      <c r="U38" s="330"/>
      <c r="V38" s="330"/>
      <c r="W38" s="330"/>
      <c r="X38" s="330"/>
      <c r="Y38" s="330"/>
      <c r="Z38" s="330"/>
      <c r="AA38" s="331"/>
      <c r="AC38" s="333" t="s">
        <v>647</v>
      </c>
      <c r="AD38" s="334">
        <f t="shared" si="0"/>
        <v>84.191240621183042</v>
      </c>
    </row>
    <row r="39" spans="1:30">
      <c r="A39" s="324"/>
      <c r="B39" s="324"/>
      <c r="C39" s="324"/>
      <c r="D39" s="324"/>
      <c r="E39" s="324"/>
      <c r="F39" s="324"/>
      <c r="G39" s="324"/>
      <c r="H39" s="324"/>
      <c r="I39" s="330"/>
      <c r="J39" s="330"/>
      <c r="K39" s="330"/>
      <c r="L39" s="330"/>
      <c r="M39" s="330"/>
      <c r="N39" s="330"/>
      <c r="O39" s="330"/>
      <c r="P39" s="330"/>
      <c r="Q39" s="330"/>
      <c r="R39" s="330"/>
      <c r="S39" s="330"/>
      <c r="T39" s="330"/>
      <c r="U39" s="330"/>
      <c r="V39" s="330"/>
      <c r="W39" s="330"/>
      <c r="X39" s="330"/>
      <c r="Y39" s="330"/>
      <c r="Z39" s="330"/>
      <c r="AA39" s="331"/>
      <c r="AC39" s="333" t="s">
        <v>649</v>
      </c>
      <c r="AD39" s="334">
        <f t="shared" si="0"/>
        <v>91.094049904030712</v>
      </c>
    </row>
    <row r="40" spans="1:30">
      <c r="A40" s="324"/>
      <c r="B40" s="324"/>
      <c r="C40" s="324"/>
      <c r="D40" s="324"/>
      <c r="E40" s="324"/>
      <c r="F40" s="324"/>
      <c r="G40" s="324"/>
      <c r="H40" s="324"/>
      <c r="I40" s="330"/>
      <c r="J40" s="330"/>
      <c r="K40" s="330"/>
      <c r="L40" s="330"/>
      <c r="M40" s="330"/>
      <c r="N40" s="330"/>
      <c r="O40" s="330"/>
      <c r="P40" s="330"/>
      <c r="Q40" s="330"/>
      <c r="R40" s="330"/>
      <c r="S40" s="330"/>
      <c r="T40" s="330"/>
      <c r="U40" s="330"/>
      <c r="V40" s="330"/>
      <c r="W40" s="330"/>
      <c r="X40" s="330"/>
      <c r="Y40" s="330"/>
      <c r="Z40" s="330"/>
      <c r="AA40" s="331"/>
      <c r="AC40" s="333" t="s">
        <v>651</v>
      </c>
      <c r="AD40" s="334">
        <f t="shared" si="0"/>
        <v>93.219237435008665</v>
      </c>
    </row>
    <row r="41" spans="1:30">
      <c r="A41" s="324"/>
      <c r="B41" s="324"/>
      <c r="C41" s="324"/>
      <c r="D41" s="324"/>
      <c r="E41" s="324"/>
      <c r="F41" s="324"/>
      <c r="G41" s="324"/>
      <c r="H41" s="324"/>
      <c r="I41" s="330"/>
      <c r="J41" s="330"/>
      <c r="K41" s="330"/>
      <c r="L41" s="330"/>
      <c r="M41" s="330"/>
      <c r="N41" s="330"/>
      <c r="O41" s="330"/>
      <c r="P41" s="330"/>
      <c r="Q41" s="330"/>
      <c r="R41" s="330"/>
      <c r="S41" s="330"/>
      <c r="T41" s="330"/>
      <c r="U41" s="330"/>
      <c r="V41" s="330"/>
      <c r="W41" s="330"/>
      <c r="X41" s="330"/>
      <c r="Y41" s="330"/>
      <c r="Z41" s="330"/>
      <c r="AA41" s="331"/>
      <c r="AC41" s="333" t="s">
        <v>653</v>
      </c>
      <c r="AD41" s="334">
        <f t="shared" si="0"/>
        <v>86.386946386946377</v>
      </c>
    </row>
    <row r="42" spans="1:30" ht="15">
      <c r="A42" s="324"/>
      <c r="B42" s="324"/>
      <c r="C42" s="324"/>
      <c r="D42" s="324"/>
      <c r="E42" s="324"/>
      <c r="F42" s="324"/>
      <c r="G42" s="324"/>
      <c r="H42" s="324"/>
      <c r="I42" s="330"/>
      <c r="J42" s="330"/>
      <c r="K42" s="330"/>
      <c r="L42" s="330"/>
      <c r="M42" s="330"/>
      <c r="N42" s="330"/>
      <c r="O42" s="330"/>
      <c r="P42" s="330"/>
      <c r="Q42" s="330"/>
      <c r="R42" s="330"/>
      <c r="S42" s="330"/>
      <c r="T42" s="330"/>
      <c r="U42" s="330"/>
      <c r="V42" s="330"/>
      <c r="W42" s="330"/>
      <c r="X42" s="330"/>
      <c r="Y42" s="330"/>
      <c r="Z42" s="330"/>
      <c r="AA42" s="335"/>
      <c r="AC42" s="333" t="s">
        <v>686</v>
      </c>
      <c r="AD42" s="334">
        <f t="shared" si="0"/>
        <v>125.68265682656828</v>
      </c>
    </row>
    <row r="43" spans="1:30">
      <c r="A43" s="324"/>
      <c r="B43" s="324"/>
      <c r="C43" s="324"/>
      <c r="D43" s="324"/>
      <c r="E43" s="324"/>
      <c r="F43" s="324"/>
      <c r="G43" s="324"/>
      <c r="H43" s="324"/>
      <c r="I43" s="330"/>
      <c r="J43" s="330"/>
      <c r="K43" s="330"/>
      <c r="L43" s="330"/>
      <c r="M43" s="330"/>
      <c r="N43" s="330"/>
      <c r="O43" s="330"/>
      <c r="P43" s="330"/>
      <c r="Q43" s="330"/>
      <c r="R43" s="330"/>
      <c r="S43" s="330"/>
      <c r="T43" s="330"/>
      <c r="U43" s="330"/>
      <c r="V43" s="330"/>
      <c r="W43" s="330"/>
      <c r="X43" s="330"/>
      <c r="Y43" s="330"/>
      <c r="Z43" s="330"/>
      <c r="AA43" s="331"/>
      <c r="AC43" s="333" t="s">
        <v>687</v>
      </c>
      <c r="AD43" s="334">
        <f>G17</f>
        <v>102.84636488340193</v>
      </c>
    </row>
    <row r="44" spans="1:30">
      <c r="A44" s="324"/>
      <c r="B44" s="324"/>
      <c r="C44" s="324"/>
      <c r="D44" s="324"/>
      <c r="E44" s="324"/>
      <c r="F44" s="324"/>
      <c r="G44" s="324"/>
      <c r="H44" s="324"/>
      <c r="I44" s="330"/>
      <c r="J44" s="330"/>
      <c r="K44" s="330"/>
      <c r="L44" s="330"/>
      <c r="M44" s="330"/>
      <c r="N44" s="330"/>
      <c r="O44" s="330"/>
      <c r="P44" s="330"/>
      <c r="Q44" s="330"/>
      <c r="R44" s="330"/>
      <c r="S44" s="330"/>
      <c r="T44" s="330"/>
      <c r="U44" s="330"/>
      <c r="V44" s="330"/>
      <c r="W44" s="330"/>
      <c r="X44" s="330"/>
      <c r="Y44" s="330"/>
      <c r="Z44" s="330"/>
      <c r="AA44" s="331"/>
      <c r="AC44" s="333" t="s">
        <v>659</v>
      </c>
      <c r="AD44" s="334">
        <f t="shared" ref="AD44:AD54" si="1">G18</f>
        <v>98.375757575757575</v>
      </c>
    </row>
    <row r="45" spans="1:30">
      <c r="A45" s="324"/>
      <c r="B45" s="324"/>
      <c r="C45" s="324"/>
      <c r="D45" s="324"/>
      <c r="E45" s="324"/>
      <c r="F45" s="324"/>
      <c r="G45" s="324"/>
      <c r="H45" s="324"/>
      <c r="I45" s="330"/>
      <c r="J45" s="330"/>
      <c r="K45" s="330"/>
      <c r="L45" s="330"/>
      <c r="M45" s="330"/>
      <c r="N45" s="330"/>
      <c r="O45" s="330"/>
      <c r="P45" s="330"/>
      <c r="Q45" s="330"/>
      <c r="R45" s="330"/>
      <c r="S45" s="330"/>
      <c r="T45" s="330"/>
      <c r="U45" s="330"/>
      <c r="V45" s="330"/>
      <c r="W45" s="330"/>
      <c r="X45" s="330"/>
      <c r="Y45" s="330"/>
      <c r="Z45" s="330"/>
      <c r="AA45" s="331"/>
      <c r="AC45" s="333" t="s">
        <v>661</v>
      </c>
      <c r="AD45" s="334">
        <f t="shared" si="1"/>
        <v>119.78319783197833</v>
      </c>
    </row>
    <row r="46" spans="1:30">
      <c r="A46" s="324"/>
      <c r="B46" s="324"/>
      <c r="C46" s="324"/>
      <c r="D46" s="324"/>
      <c r="E46" s="324"/>
      <c r="F46" s="324"/>
      <c r="G46" s="324"/>
      <c r="H46" s="324"/>
      <c r="I46" s="330"/>
      <c r="J46" s="330"/>
      <c r="K46" s="330"/>
      <c r="L46" s="330"/>
      <c r="M46" s="330"/>
      <c r="N46" s="330"/>
      <c r="O46" s="330"/>
      <c r="P46" s="330"/>
      <c r="Q46" s="330"/>
      <c r="R46" s="330"/>
      <c r="S46" s="330"/>
      <c r="T46" s="330"/>
      <c r="U46" s="330"/>
      <c r="V46" s="330"/>
      <c r="W46" s="330"/>
      <c r="X46" s="330"/>
      <c r="Y46" s="330"/>
      <c r="Z46" s="330"/>
      <c r="AA46" s="331"/>
      <c r="AC46" s="333" t="s">
        <v>663</v>
      </c>
      <c r="AD46" s="334">
        <f t="shared" si="1"/>
        <v>95.072463768115938</v>
      </c>
    </row>
    <row r="47" spans="1:30">
      <c r="A47" s="324"/>
      <c r="B47" s="324"/>
      <c r="C47" s="324"/>
      <c r="D47" s="324"/>
      <c r="E47" s="324"/>
      <c r="F47" s="324"/>
      <c r="G47" s="324"/>
      <c r="H47" s="324"/>
      <c r="I47" s="330"/>
      <c r="J47" s="330"/>
      <c r="K47" s="330"/>
      <c r="L47" s="330"/>
      <c r="M47" s="330"/>
      <c r="N47" s="330"/>
      <c r="O47" s="330"/>
      <c r="P47" s="330"/>
      <c r="Q47" s="330"/>
      <c r="R47" s="330"/>
      <c r="S47" s="330"/>
      <c r="T47" s="330"/>
      <c r="U47" s="330"/>
      <c r="V47" s="330"/>
      <c r="W47" s="330"/>
      <c r="X47" s="330"/>
      <c r="Y47" s="330"/>
      <c r="Z47" s="330"/>
      <c r="AA47" s="331"/>
      <c r="AC47" s="333" t="s">
        <v>665</v>
      </c>
      <c r="AD47" s="334">
        <f t="shared" si="1"/>
        <v>91.666666666666657</v>
      </c>
    </row>
    <row r="48" spans="1:30">
      <c r="A48" s="324"/>
      <c r="B48" s="324"/>
      <c r="C48" s="324"/>
      <c r="D48" s="324"/>
      <c r="E48" s="324"/>
      <c r="F48" s="324"/>
      <c r="G48" s="324"/>
      <c r="H48" s="324"/>
      <c r="I48" s="330"/>
      <c r="J48" s="330"/>
      <c r="K48" s="330"/>
      <c r="L48" s="330"/>
      <c r="M48" s="330"/>
      <c r="N48" s="330"/>
      <c r="O48" s="330"/>
      <c r="P48" s="330"/>
      <c r="Q48" s="330"/>
      <c r="R48" s="330"/>
      <c r="S48" s="330"/>
      <c r="T48" s="330"/>
      <c r="U48" s="330"/>
      <c r="V48" s="330"/>
      <c r="W48" s="330"/>
      <c r="X48" s="330"/>
      <c r="Y48" s="330"/>
      <c r="Z48" s="330"/>
      <c r="AA48" s="336"/>
      <c r="AC48" s="333" t="s">
        <v>667</v>
      </c>
      <c r="AD48" s="334">
        <f t="shared" si="1"/>
        <v>95.48789435069699</v>
      </c>
    </row>
    <row r="49" spans="1:30">
      <c r="A49" s="324"/>
      <c r="B49" s="324"/>
      <c r="C49" s="324"/>
      <c r="D49" s="324"/>
      <c r="E49" s="324"/>
      <c r="F49" s="324"/>
      <c r="G49" s="324"/>
      <c r="H49" s="324"/>
      <c r="I49" s="330"/>
      <c r="J49" s="330"/>
      <c r="K49" s="330"/>
      <c r="L49" s="330"/>
      <c r="M49" s="330"/>
      <c r="N49" s="330"/>
      <c r="O49" s="330"/>
      <c r="P49" s="330"/>
      <c r="Q49" s="330"/>
      <c r="R49" s="330"/>
      <c r="S49" s="330"/>
      <c r="T49" s="330"/>
      <c r="U49" s="330"/>
      <c r="V49" s="330"/>
      <c r="W49" s="330"/>
      <c r="X49" s="330"/>
      <c r="Y49" s="330"/>
      <c r="Z49" s="330"/>
      <c r="AA49" s="331"/>
      <c r="AC49" s="333" t="s">
        <v>669</v>
      </c>
      <c r="AD49" s="334">
        <f t="shared" si="1"/>
        <v>97.106251380605258</v>
      </c>
    </row>
    <row r="50" spans="1:30" ht="15">
      <c r="H50" s="337"/>
      <c r="I50" s="330"/>
      <c r="J50" s="330"/>
      <c r="K50" s="330"/>
      <c r="L50" s="330"/>
      <c r="M50" s="330"/>
      <c r="N50" s="330"/>
      <c r="O50" s="330"/>
      <c r="P50" s="330"/>
      <c r="Q50" s="330"/>
      <c r="R50" s="330"/>
      <c r="S50" s="330"/>
      <c r="T50" s="330"/>
      <c r="U50" s="330"/>
      <c r="V50" s="330"/>
      <c r="W50" s="330"/>
      <c r="X50" s="330"/>
      <c r="Y50" s="330"/>
      <c r="Z50" s="330"/>
      <c r="AA50" s="331"/>
      <c r="AC50" s="333" t="s">
        <v>671</v>
      </c>
      <c r="AD50" s="334">
        <f t="shared" si="1"/>
        <v>98.774550948463997</v>
      </c>
    </row>
    <row r="51" spans="1:30" s="294" customFormat="1" ht="15.75" customHeight="1">
      <c r="B51" s="262"/>
      <c r="C51" s="262"/>
      <c r="D51" s="324"/>
      <c r="E51" s="324"/>
      <c r="F51" s="324"/>
      <c r="G51" s="324"/>
      <c r="I51" s="330"/>
      <c r="J51" s="330"/>
      <c r="K51" s="330"/>
      <c r="L51" s="330"/>
      <c r="M51" s="330"/>
      <c r="N51" s="330"/>
      <c r="O51" s="330"/>
      <c r="P51" s="330"/>
      <c r="Q51" s="330"/>
      <c r="R51" s="330"/>
      <c r="S51" s="330"/>
      <c r="T51" s="330"/>
      <c r="U51" s="330"/>
      <c r="V51" s="330"/>
      <c r="W51" s="330"/>
      <c r="X51" s="330"/>
      <c r="Y51" s="330"/>
      <c r="Z51" s="330"/>
      <c r="AA51" s="331"/>
      <c r="AC51" s="333" t="s">
        <v>673</v>
      </c>
      <c r="AD51" s="334">
        <f t="shared" si="1"/>
        <v>108.12668794500368</v>
      </c>
    </row>
    <row r="52" spans="1:30">
      <c r="AC52" s="333" t="s">
        <v>675</v>
      </c>
      <c r="AD52" s="334">
        <f t="shared" si="1"/>
        <v>102.23880597014924</v>
      </c>
    </row>
    <row r="53" spans="1:30">
      <c r="A53" s="324"/>
      <c r="B53" s="324"/>
      <c r="C53" s="324"/>
      <c r="D53" s="324"/>
      <c r="E53" s="324"/>
      <c r="F53" s="324"/>
      <c r="G53" s="324"/>
      <c r="AC53" s="333" t="s">
        <v>677</v>
      </c>
      <c r="AD53" s="334">
        <f t="shared" si="1"/>
        <v>83.061962912709191</v>
      </c>
    </row>
    <row r="54" spans="1:30">
      <c r="A54" s="324"/>
      <c r="B54" s="324"/>
      <c r="C54" s="324"/>
      <c r="D54" s="324"/>
      <c r="E54" s="324"/>
      <c r="F54" s="324"/>
      <c r="G54" s="324"/>
      <c r="H54" s="324"/>
      <c r="AC54" s="338" t="s">
        <v>646</v>
      </c>
      <c r="AD54" s="334">
        <f t="shared" si="1"/>
        <v>90.883711975356192</v>
      </c>
    </row>
    <row r="55" spans="1:30">
      <c r="A55" s="324"/>
      <c r="B55" s="324"/>
      <c r="C55" s="324"/>
      <c r="D55" s="324"/>
      <c r="E55" s="324"/>
      <c r="F55" s="324"/>
      <c r="G55" s="324"/>
      <c r="H55" s="324"/>
    </row>
    <row r="56" spans="1:30">
      <c r="A56" s="324"/>
      <c r="B56" s="324"/>
      <c r="C56" s="324"/>
      <c r="D56" s="324"/>
      <c r="E56" s="324"/>
      <c r="F56" s="324"/>
      <c r="G56" s="324"/>
      <c r="H56" s="324"/>
    </row>
    <row r="57" spans="1:30">
      <c r="A57" s="324"/>
      <c r="B57" s="324"/>
      <c r="C57" s="324"/>
      <c r="D57" s="324"/>
      <c r="E57" s="324"/>
      <c r="F57" s="324"/>
      <c r="G57" s="324"/>
      <c r="H57" s="324"/>
    </row>
    <row r="58" spans="1:30">
      <c r="A58" s="324"/>
      <c r="B58" s="324"/>
      <c r="C58" s="324"/>
      <c r="D58" s="324"/>
      <c r="E58" s="324"/>
      <c r="F58" s="324"/>
      <c r="G58" s="324"/>
      <c r="H58" s="324"/>
    </row>
    <row r="59" spans="1:30">
      <c r="A59" s="324"/>
      <c r="B59" s="324"/>
      <c r="C59" s="324"/>
      <c r="D59" s="324"/>
      <c r="E59" s="324"/>
      <c r="F59" s="324"/>
      <c r="G59" s="324"/>
      <c r="H59" s="324"/>
    </row>
    <row r="60" spans="1:30">
      <c r="A60" s="324"/>
      <c r="B60" s="324"/>
      <c r="C60" s="324"/>
      <c r="D60" s="324"/>
      <c r="E60" s="324"/>
      <c r="F60" s="324"/>
      <c r="G60" s="324"/>
      <c r="H60" s="324"/>
    </row>
    <row r="61" spans="1:30">
      <c r="A61" s="324"/>
      <c r="B61" s="324"/>
      <c r="C61" s="324"/>
      <c r="D61" s="324"/>
      <c r="E61" s="324"/>
      <c r="F61" s="324"/>
      <c r="G61" s="324"/>
      <c r="H61" s="324"/>
    </row>
    <row r="62" spans="1:30">
      <c r="A62" s="324"/>
      <c r="B62" s="324"/>
      <c r="C62" s="324"/>
      <c r="D62" s="324"/>
      <c r="E62" s="324"/>
      <c r="F62" s="324"/>
      <c r="G62" s="324"/>
      <c r="H62" s="324"/>
    </row>
    <row r="63" spans="1:30">
      <c r="A63" s="324"/>
      <c r="B63" s="324"/>
      <c r="C63" s="324"/>
      <c r="D63" s="324"/>
      <c r="E63" s="324"/>
      <c r="F63" s="324"/>
      <c r="G63" s="324"/>
      <c r="H63" s="324"/>
    </row>
    <row r="64" spans="1:30">
      <c r="A64" s="324"/>
      <c r="B64" s="324"/>
      <c r="C64" s="324"/>
      <c r="D64" s="324"/>
      <c r="E64" s="324"/>
      <c r="F64" s="324"/>
      <c r="G64" s="324"/>
      <c r="H64" s="324"/>
    </row>
    <row r="65" spans="1:8">
      <c r="A65" s="324"/>
      <c r="B65" s="324"/>
      <c r="C65" s="324"/>
      <c r="D65" s="324"/>
      <c r="E65" s="324"/>
      <c r="F65" s="324"/>
      <c r="G65" s="324"/>
      <c r="H65" s="324"/>
    </row>
    <row r="66" spans="1:8">
      <c r="A66" s="324"/>
      <c r="B66" s="324"/>
      <c r="C66" s="324"/>
      <c r="D66" s="324"/>
      <c r="E66" s="324"/>
      <c r="F66" s="324"/>
      <c r="G66" s="324"/>
      <c r="H66" s="324"/>
    </row>
    <row r="67" spans="1:8">
      <c r="A67" s="324"/>
      <c r="B67" s="324"/>
      <c r="C67" s="324"/>
      <c r="D67" s="324"/>
      <c r="E67" s="324"/>
      <c r="F67" s="324"/>
      <c r="G67" s="324"/>
      <c r="H67" s="324"/>
    </row>
    <row r="68" spans="1:8">
      <c r="A68" s="324"/>
      <c r="B68" s="324"/>
      <c r="C68" s="324"/>
      <c r="D68" s="324"/>
      <c r="E68" s="324"/>
      <c r="F68" s="324"/>
      <c r="G68" s="324"/>
      <c r="H68" s="324"/>
    </row>
    <row r="69" spans="1:8">
      <c r="A69" s="324"/>
      <c r="B69" s="324"/>
      <c r="C69" s="324"/>
      <c r="D69" s="324"/>
      <c r="E69" s="324"/>
      <c r="F69" s="324"/>
      <c r="G69" s="324"/>
      <c r="H69" s="324"/>
    </row>
    <row r="70" spans="1:8">
      <c r="A70" s="324"/>
      <c r="B70" s="324"/>
      <c r="C70" s="324"/>
      <c r="D70" s="324"/>
      <c r="E70" s="324"/>
      <c r="F70" s="324"/>
      <c r="G70" s="324"/>
      <c r="H70" s="324"/>
    </row>
    <row r="71" spans="1:8">
      <c r="A71" s="324"/>
      <c r="B71" s="324"/>
      <c r="C71" s="324"/>
      <c r="D71" s="324"/>
      <c r="E71" s="324"/>
      <c r="F71" s="324"/>
      <c r="G71" s="324"/>
      <c r="H71" s="324"/>
    </row>
    <row r="72" spans="1:8">
      <c r="A72" s="324"/>
      <c r="B72" s="324"/>
      <c r="C72" s="324"/>
      <c r="D72" s="324"/>
      <c r="E72" s="324"/>
      <c r="F72" s="324"/>
      <c r="G72" s="324"/>
      <c r="H72" s="324"/>
    </row>
    <row r="73" spans="1:8">
      <c r="A73" s="324"/>
      <c r="B73" s="324"/>
      <c r="C73" s="324"/>
      <c r="D73" s="324"/>
      <c r="E73" s="324"/>
      <c r="F73" s="324"/>
      <c r="G73" s="324"/>
      <c r="H73" s="324"/>
    </row>
    <row r="74" spans="1:8">
      <c r="A74" s="324"/>
      <c r="B74" s="324"/>
      <c r="C74" s="324"/>
      <c r="D74" s="324"/>
      <c r="E74" s="324"/>
      <c r="F74" s="324"/>
      <c r="G74" s="324"/>
      <c r="H74" s="324"/>
    </row>
    <row r="75" spans="1:8">
      <c r="A75" s="324"/>
      <c r="B75" s="324"/>
      <c r="C75" s="324"/>
      <c r="D75" s="324"/>
      <c r="E75" s="324"/>
      <c r="F75" s="324"/>
      <c r="G75" s="324"/>
      <c r="H75" s="324"/>
    </row>
    <row r="76" spans="1:8">
      <c r="A76" s="324"/>
      <c r="B76" s="324"/>
      <c r="C76" s="324"/>
      <c r="D76" s="324"/>
      <c r="E76" s="324"/>
      <c r="F76" s="324"/>
      <c r="G76" s="324"/>
      <c r="H76" s="324"/>
    </row>
    <row r="77" spans="1:8">
      <c r="A77" s="324"/>
      <c r="B77" s="324"/>
      <c r="C77" s="324"/>
      <c r="D77" s="324"/>
      <c r="E77" s="324"/>
      <c r="F77" s="324"/>
      <c r="G77" s="324"/>
      <c r="H77" s="324"/>
    </row>
    <row r="78" spans="1:8">
      <c r="A78" s="324"/>
      <c r="B78" s="324"/>
      <c r="C78" s="324"/>
      <c r="D78" s="324"/>
      <c r="E78" s="324"/>
      <c r="F78" s="324"/>
      <c r="G78" s="324"/>
      <c r="H78" s="324"/>
    </row>
    <row r="79" spans="1:8">
      <c r="A79" s="324"/>
      <c r="B79" s="324"/>
      <c r="C79" s="324"/>
      <c r="D79" s="324"/>
      <c r="E79" s="324"/>
      <c r="F79" s="324"/>
      <c r="G79" s="324"/>
      <c r="H79" s="324"/>
    </row>
    <row r="80" spans="1:8">
      <c r="A80" s="324"/>
      <c r="B80" s="324"/>
      <c r="C80" s="324"/>
      <c r="D80" s="324"/>
      <c r="E80" s="324"/>
      <c r="F80" s="324"/>
      <c r="G80" s="324"/>
      <c r="H80" s="324"/>
    </row>
    <row r="81" spans="1:8">
      <c r="A81" s="324"/>
      <c r="B81" s="324"/>
      <c r="C81" s="324"/>
      <c r="D81" s="324"/>
      <c r="E81" s="324"/>
      <c r="F81" s="324"/>
      <c r="G81" s="324"/>
      <c r="H81" s="324"/>
    </row>
    <row r="82" spans="1:8">
      <c r="A82" s="324"/>
      <c r="B82" s="324"/>
      <c r="C82" s="324"/>
      <c r="D82" s="324"/>
      <c r="E82" s="324"/>
      <c r="F82" s="324"/>
      <c r="G82" s="324"/>
      <c r="H82" s="324"/>
    </row>
  </sheetData>
  <mergeCells count="2">
    <mergeCell ref="A1:H1"/>
    <mergeCell ref="A2:H2"/>
  </mergeCells>
  <pageMargins left="0.7" right="0.7" top="0.75" bottom="0.75" header="0.3" footer="0.3"/>
  <pageSetup paperSize="9" orientation="portrait" r:id="rId1"/>
  <colBreaks count="1" manualBreakCount="1">
    <brk id="8"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Q67"/>
  <sheetViews>
    <sheetView view="pageBreakPreview" topLeftCell="A53" zoomScale="124" zoomScaleNormal="77" zoomScaleSheetLayoutView="124" workbookViewId="0">
      <selection activeCell="N73" sqref="N73"/>
    </sheetView>
  </sheetViews>
  <sheetFormatPr defaultRowHeight="12"/>
  <cols>
    <col min="1" max="1" width="1.5703125" style="246" customWidth="1"/>
    <col min="2" max="2" width="10.7109375" style="246" customWidth="1"/>
    <col min="3" max="3" width="11.28515625" style="246" customWidth="1"/>
    <col min="4" max="17" width="10" style="246" customWidth="1"/>
    <col min="18" max="245" width="9.140625" style="246"/>
    <col min="246" max="246" width="10" style="246" customWidth="1"/>
    <col min="247" max="248" width="18.140625" style="246" customWidth="1"/>
    <col min="249" max="249" width="2.7109375" style="246" customWidth="1"/>
    <col min="250" max="251" width="18.140625" style="246" customWidth="1"/>
    <col min="252" max="252" width="2.7109375" style="246" customWidth="1"/>
    <col min="253" max="254" width="18.140625" style="246" customWidth="1"/>
    <col min="255" max="255" width="9.140625" style="246"/>
    <col min="256" max="258" width="6.5703125" style="246" customWidth="1"/>
    <col min="259" max="259" width="16.42578125" style="246" customWidth="1"/>
    <col min="260" max="268" width="6.5703125" style="246" customWidth="1"/>
    <col min="269" max="501" width="9.140625" style="246"/>
    <col min="502" max="502" width="10" style="246" customWidth="1"/>
    <col min="503" max="504" width="18.140625" style="246" customWidth="1"/>
    <col min="505" max="505" width="2.7109375" style="246" customWidth="1"/>
    <col min="506" max="507" width="18.140625" style="246" customWidth="1"/>
    <col min="508" max="508" width="2.7109375" style="246" customWidth="1"/>
    <col min="509" max="510" width="18.140625" style="246" customWidth="1"/>
    <col min="511" max="511" width="9.140625" style="246"/>
    <col min="512" max="514" width="6.5703125" style="246" customWidth="1"/>
    <col min="515" max="515" width="16.42578125" style="246" customWidth="1"/>
    <col min="516" max="524" width="6.5703125" style="246" customWidth="1"/>
    <col min="525" max="757" width="9.140625" style="246"/>
    <col min="758" max="758" width="10" style="246" customWidth="1"/>
    <col min="759" max="760" width="18.140625" style="246" customWidth="1"/>
    <col min="761" max="761" width="2.7109375" style="246" customWidth="1"/>
    <col min="762" max="763" width="18.140625" style="246" customWidth="1"/>
    <col min="764" max="764" width="2.7109375" style="246" customWidth="1"/>
    <col min="765" max="766" width="18.140625" style="246" customWidth="1"/>
    <col min="767" max="767" width="9.140625" style="246"/>
    <col min="768" max="770" width="6.5703125" style="246" customWidth="1"/>
    <col min="771" max="771" width="16.42578125" style="246" customWidth="1"/>
    <col min="772" max="780" width="6.5703125" style="246" customWidth="1"/>
    <col min="781" max="1013" width="9.140625" style="246"/>
    <col min="1014" max="1014" width="10" style="246" customWidth="1"/>
    <col min="1015" max="1016" width="18.140625" style="246" customWidth="1"/>
    <col min="1017" max="1017" width="2.7109375" style="246" customWidth="1"/>
    <col min="1018" max="1019" width="18.140625" style="246" customWidth="1"/>
    <col min="1020" max="1020" width="2.7109375" style="246" customWidth="1"/>
    <col min="1021" max="1022" width="18.140625" style="246" customWidth="1"/>
    <col min="1023" max="1023" width="9.140625" style="246"/>
    <col min="1024" max="1026" width="6.5703125" style="246" customWidth="1"/>
    <col min="1027" max="1027" width="16.42578125" style="246" customWidth="1"/>
    <col min="1028" max="1036" width="6.5703125" style="246" customWidth="1"/>
    <col min="1037" max="1269" width="9.140625" style="246"/>
    <col min="1270" max="1270" width="10" style="246" customWidth="1"/>
    <col min="1271" max="1272" width="18.140625" style="246" customWidth="1"/>
    <col min="1273" max="1273" width="2.7109375" style="246" customWidth="1"/>
    <col min="1274" max="1275" width="18.140625" style="246" customWidth="1"/>
    <col min="1276" max="1276" width="2.7109375" style="246" customWidth="1"/>
    <col min="1277" max="1278" width="18.140625" style="246" customWidth="1"/>
    <col min="1279" max="1279" width="9.140625" style="246"/>
    <col min="1280" max="1282" width="6.5703125" style="246" customWidth="1"/>
    <col min="1283" max="1283" width="16.42578125" style="246" customWidth="1"/>
    <col min="1284" max="1292" width="6.5703125" style="246" customWidth="1"/>
    <col min="1293" max="1525" width="9.140625" style="246"/>
    <col min="1526" max="1526" width="10" style="246" customWidth="1"/>
    <col min="1527" max="1528" width="18.140625" style="246" customWidth="1"/>
    <col min="1529" max="1529" width="2.7109375" style="246" customWidth="1"/>
    <col min="1530" max="1531" width="18.140625" style="246" customWidth="1"/>
    <col min="1532" max="1532" width="2.7109375" style="246" customWidth="1"/>
    <col min="1533" max="1534" width="18.140625" style="246" customWidth="1"/>
    <col min="1535" max="1535" width="9.140625" style="246"/>
    <col min="1536" max="1538" width="6.5703125" style="246" customWidth="1"/>
    <col min="1539" max="1539" width="16.42578125" style="246" customWidth="1"/>
    <col min="1540" max="1548" width="6.5703125" style="246" customWidth="1"/>
    <col min="1549" max="1781" width="9.140625" style="246"/>
    <col min="1782" max="1782" width="10" style="246" customWidth="1"/>
    <col min="1783" max="1784" width="18.140625" style="246" customWidth="1"/>
    <col min="1785" max="1785" width="2.7109375" style="246" customWidth="1"/>
    <col min="1786" max="1787" width="18.140625" style="246" customWidth="1"/>
    <col min="1788" max="1788" width="2.7109375" style="246" customWidth="1"/>
    <col min="1789" max="1790" width="18.140625" style="246" customWidth="1"/>
    <col min="1791" max="1791" width="9.140625" style="246"/>
    <col min="1792" max="1794" width="6.5703125" style="246" customWidth="1"/>
    <col min="1795" max="1795" width="16.42578125" style="246" customWidth="1"/>
    <col min="1796" max="1804" width="6.5703125" style="246" customWidth="1"/>
    <col min="1805" max="2037" width="9.140625" style="246"/>
    <col min="2038" max="2038" width="10" style="246" customWidth="1"/>
    <col min="2039" max="2040" width="18.140625" style="246" customWidth="1"/>
    <col min="2041" max="2041" width="2.7109375" style="246" customWidth="1"/>
    <col min="2042" max="2043" width="18.140625" style="246" customWidth="1"/>
    <col min="2044" max="2044" width="2.7109375" style="246" customWidth="1"/>
    <col min="2045" max="2046" width="18.140625" style="246" customWidth="1"/>
    <col min="2047" max="2047" width="9.140625" style="246"/>
    <col min="2048" max="2050" width="6.5703125" style="246" customWidth="1"/>
    <col min="2051" max="2051" width="16.42578125" style="246" customWidth="1"/>
    <col min="2052" max="2060" width="6.5703125" style="246" customWidth="1"/>
    <col min="2061" max="2293" width="9.140625" style="246"/>
    <col min="2294" max="2294" width="10" style="246" customWidth="1"/>
    <col min="2295" max="2296" width="18.140625" style="246" customWidth="1"/>
    <col min="2297" max="2297" width="2.7109375" style="246" customWidth="1"/>
    <col min="2298" max="2299" width="18.140625" style="246" customWidth="1"/>
    <col min="2300" max="2300" width="2.7109375" style="246" customWidth="1"/>
    <col min="2301" max="2302" width="18.140625" style="246" customWidth="1"/>
    <col min="2303" max="2303" width="9.140625" style="246"/>
    <col min="2304" max="2306" width="6.5703125" style="246" customWidth="1"/>
    <col min="2307" max="2307" width="16.42578125" style="246" customWidth="1"/>
    <col min="2308" max="2316" width="6.5703125" style="246" customWidth="1"/>
    <col min="2317" max="2549" width="9.140625" style="246"/>
    <col min="2550" max="2550" width="10" style="246" customWidth="1"/>
    <col min="2551" max="2552" width="18.140625" style="246" customWidth="1"/>
    <col min="2553" max="2553" width="2.7109375" style="246" customWidth="1"/>
    <col min="2554" max="2555" width="18.140625" style="246" customWidth="1"/>
    <col min="2556" max="2556" width="2.7109375" style="246" customWidth="1"/>
    <col min="2557" max="2558" width="18.140625" style="246" customWidth="1"/>
    <col min="2559" max="2559" width="9.140625" style="246"/>
    <col min="2560" max="2562" width="6.5703125" style="246" customWidth="1"/>
    <col min="2563" max="2563" width="16.42578125" style="246" customWidth="1"/>
    <col min="2564" max="2572" width="6.5703125" style="246" customWidth="1"/>
    <col min="2573" max="2805" width="9.140625" style="246"/>
    <col min="2806" max="2806" width="10" style="246" customWidth="1"/>
    <col min="2807" max="2808" width="18.140625" style="246" customWidth="1"/>
    <col min="2809" max="2809" width="2.7109375" style="246" customWidth="1"/>
    <col min="2810" max="2811" width="18.140625" style="246" customWidth="1"/>
    <col min="2812" max="2812" width="2.7109375" style="246" customWidth="1"/>
    <col min="2813" max="2814" width="18.140625" style="246" customWidth="1"/>
    <col min="2815" max="2815" width="9.140625" style="246"/>
    <col min="2816" max="2818" width="6.5703125" style="246" customWidth="1"/>
    <col min="2819" max="2819" width="16.42578125" style="246" customWidth="1"/>
    <col min="2820" max="2828" width="6.5703125" style="246" customWidth="1"/>
    <col min="2829" max="3061" width="9.140625" style="246"/>
    <col min="3062" max="3062" width="10" style="246" customWidth="1"/>
    <col min="3063" max="3064" width="18.140625" style="246" customWidth="1"/>
    <col min="3065" max="3065" width="2.7109375" style="246" customWidth="1"/>
    <col min="3066" max="3067" width="18.140625" style="246" customWidth="1"/>
    <col min="3068" max="3068" width="2.7109375" style="246" customWidth="1"/>
    <col min="3069" max="3070" width="18.140625" style="246" customWidth="1"/>
    <col min="3071" max="3071" width="9.140625" style="246"/>
    <col min="3072" max="3074" width="6.5703125" style="246" customWidth="1"/>
    <col min="3075" max="3075" width="16.42578125" style="246" customWidth="1"/>
    <col min="3076" max="3084" width="6.5703125" style="246" customWidth="1"/>
    <col min="3085" max="3317" width="9.140625" style="246"/>
    <col min="3318" max="3318" width="10" style="246" customWidth="1"/>
    <col min="3319" max="3320" width="18.140625" style="246" customWidth="1"/>
    <col min="3321" max="3321" width="2.7109375" style="246" customWidth="1"/>
    <col min="3322" max="3323" width="18.140625" style="246" customWidth="1"/>
    <col min="3324" max="3324" width="2.7109375" style="246" customWidth="1"/>
    <col min="3325" max="3326" width="18.140625" style="246" customWidth="1"/>
    <col min="3327" max="3327" width="9.140625" style="246"/>
    <col min="3328" max="3330" width="6.5703125" style="246" customWidth="1"/>
    <col min="3331" max="3331" width="16.42578125" style="246" customWidth="1"/>
    <col min="3332" max="3340" width="6.5703125" style="246" customWidth="1"/>
    <col min="3341" max="3573" width="9.140625" style="246"/>
    <col min="3574" max="3574" width="10" style="246" customWidth="1"/>
    <col min="3575" max="3576" width="18.140625" style="246" customWidth="1"/>
    <col min="3577" max="3577" width="2.7109375" style="246" customWidth="1"/>
    <col min="3578" max="3579" width="18.140625" style="246" customWidth="1"/>
    <col min="3580" max="3580" width="2.7109375" style="246" customWidth="1"/>
    <col min="3581" max="3582" width="18.140625" style="246" customWidth="1"/>
    <col min="3583" max="3583" width="9.140625" style="246"/>
    <col min="3584" max="3586" width="6.5703125" style="246" customWidth="1"/>
    <col min="3587" max="3587" width="16.42578125" style="246" customWidth="1"/>
    <col min="3588" max="3596" width="6.5703125" style="246" customWidth="1"/>
    <col min="3597" max="3829" width="9.140625" style="246"/>
    <col min="3830" max="3830" width="10" style="246" customWidth="1"/>
    <col min="3831" max="3832" width="18.140625" style="246" customWidth="1"/>
    <col min="3833" max="3833" width="2.7109375" style="246" customWidth="1"/>
    <col min="3834" max="3835" width="18.140625" style="246" customWidth="1"/>
    <col min="3836" max="3836" width="2.7109375" style="246" customWidth="1"/>
    <col min="3837" max="3838" width="18.140625" style="246" customWidth="1"/>
    <col min="3839" max="3839" width="9.140625" style="246"/>
    <col min="3840" max="3842" width="6.5703125" style="246" customWidth="1"/>
    <col min="3843" max="3843" width="16.42578125" style="246" customWidth="1"/>
    <col min="3844" max="3852" width="6.5703125" style="246" customWidth="1"/>
    <col min="3853" max="4085" width="9.140625" style="246"/>
    <col min="4086" max="4086" width="10" style="246" customWidth="1"/>
    <col min="4087" max="4088" width="18.140625" style="246" customWidth="1"/>
    <col min="4089" max="4089" width="2.7109375" style="246" customWidth="1"/>
    <col min="4090" max="4091" width="18.140625" style="246" customWidth="1"/>
    <col min="4092" max="4092" width="2.7109375" style="246" customWidth="1"/>
    <col min="4093" max="4094" width="18.140625" style="246" customWidth="1"/>
    <col min="4095" max="4095" width="9.140625" style="246"/>
    <col min="4096" max="4098" width="6.5703125" style="246" customWidth="1"/>
    <col min="4099" max="4099" width="16.42578125" style="246" customWidth="1"/>
    <col min="4100" max="4108" width="6.5703125" style="246" customWidth="1"/>
    <col min="4109" max="4341" width="9.140625" style="246"/>
    <col min="4342" max="4342" width="10" style="246" customWidth="1"/>
    <col min="4343" max="4344" width="18.140625" style="246" customWidth="1"/>
    <col min="4345" max="4345" width="2.7109375" style="246" customWidth="1"/>
    <col min="4346" max="4347" width="18.140625" style="246" customWidth="1"/>
    <col min="4348" max="4348" width="2.7109375" style="246" customWidth="1"/>
    <col min="4349" max="4350" width="18.140625" style="246" customWidth="1"/>
    <col min="4351" max="4351" width="9.140625" style="246"/>
    <col min="4352" max="4354" width="6.5703125" style="246" customWidth="1"/>
    <col min="4355" max="4355" width="16.42578125" style="246" customWidth="1"/>
    <col min="4356" max="4364" width="6.5703125" style="246" customWidth="1"/>
    <col min="4365" max="4597" width="9.140625" style="246"/>
    <col min="4598" max="4598" width="10" style="246" customWidth="1"/>
    <col min="4599" max="4600" width="18.140625" style="246" customWidth="1"/>
    <col min="4601" max="4601" width="2.7109375" style="246" customWidth="1"/>
    <col min="4602" max="4603" width="18.140625" style="246" customWidth="1"/>
    <col min="4604" max="4604" width="2.7109375" style="246" customWidth="1"/>
    <col min="4605" max="4606" width="18.140625" style="246" customWidth="1"/>
    <col min="4607" max="4607" width="9.140625" style="246"/>
    <col min="4608" max="4610" width="6.5703125" style="246" customWidth="1"/>
    <col min="4611" max="4611" width="16.42578125" style="246" customWidth="1"/>
    <col min="4612" max="4620" width="6.5703125" style="246" customWidth="1"/>
    <col min="4621" max="4853" width="9.140625" style="246"/>
    <col min="4854" max="4854" width="10" style="246" customWidth="1"/>
    <col min="4855" max="4856" width="18.140625" style="246" customWidth="1"/>
    <col min="4857" max="4857" width="2.7109375" style="246" customWidth="1"/>
    <col min="4858" max="4859" width="18.140625" style="246" customWidth="1"/>
    <col min="4860" max="4860" width="2.7109375" style="246" customWidth="1"/>
    <col min="4861" max="4862" width="18.140625" style="246" customWidth="1"/>
    <col min="4863" max="4863" width="9.140625" style="246"/>
    <col min="4864" max="4866" width="6.5703125" style="246" customWidth="1"/>
    <col min="4867" max="4867" width="16.42578125" style="246" customWidth="1"/>
    <col min="4868" max="4876" width="6.5703125" style="246" customWidth="1"/>
    <col min="4877" max="5109" width="9.140625" style="246"/>
    <col min="5110" max="5110" width="10" style="246" customWidth="1"/>
    <col min="5111" max="5112" width="18.140625" style="246" customWidth="1"/>
    <col min="5113" max="5113" width="2.7109375" style="246" customWidth="1"/>
    <col min="5114" max="5115" width="18.140625" style="246" customWidth="1"/>
    <col min="5116" max="5116" width="2.7109375" style="246" customWidth="1"/>
    <col min="5117" max="5118" width="18.140625" style="246" customWidth="1"/>
    <col min="5119" max="5119" width="9.140625" style="246"/>
    <col min="5120" max="5122" width="6.5703125" style="246" customWidth="1"/>
    <col min="5123" max="5123" width="16.42578125" style="246" customWidth="1"/>
    <col min="5124" max="5132" width="6.5703125" style="246" customWidth="1"/>
    <col min="5133" max="5365" width="9.140625" style="246"/>
    <col min="5366" max="5366" width="10" style="246" customWidth="1"/>
    <col min="5367" max="5368" width="18.140625" style="246" customWidth="1"/>
    <col min="5369" max="5369" width="2.7109375" style="246" customWidth="1"/>
    <col min="5370" max="5371" width="18.140625" style="246" customWidth="1"/>
    <col min="5372" max="5372" width="2.7109375" style="246" customWidth="1"/>
    <col min="5373" max="5374" width="18.140625" style="246" customWidth="1"/>
    <col min="5375" max="5375" width="9.140625" style="246"/>
    <col min="5376" max="5378" width="6.5703125" style="246" customWidth="1"/>
    <col min="5379" max="5379" width="16.42578125" style="246" customWidth="1"/>
    <col min="5380" max="5388" width="6.5703125" style="246" customWidth="1"/>
    <col min="5389" max="5621" width="9.140625" style="246"/>
    <col min="5622" max="5622" width="10" style="246" customWidth="1"/>
    <col min="5623" max="5624" width="18.140625" style="246" customWidth="1"/>
    <col min="5625" max="5625" width="2.7109375" style="246" customWidth="1"/>
    <col min="5626" max="5627" width="18.140625" style="246" customWidth="1"/>
    <col min="5628" max="5628" width="2.7109375" style="246" customWidth="1"/>
    <col min="5629" max="5630" width="18.140625" style="246" customWidth="1"/>
    <col min="5631" max="5631" width="9.140625" style="246"/>
    <col min="5632" max="5634" width="6.5703125" style="246" customWidth="1"/>
    <col min="5635" max="5635" width="16.42578125" style="246" customWidth="1"/>
    <col min="5636" max="5644" width="6.5703125" style="246" customWidth="1"/>
    <col min="5645" max="5877" width="9.140625" style="246"/>
    <col min="5878" max="5878" width="10" style="246" customWidth="1"/>
    <col min="5879" max="5880" width="18.140625" style="246" customWidth="1"/>
    <col min="5881" max="5881" width="2.7109375" style="246" customWidth="1"/>
    <col min="5882" max="5883" width="18.140625" style="246" customWidth="1"/>
    <col min="5884" max="5884" width="2.7109375" style="246" customWidth="1"/>
    <col min="5885" max="5886" width="18.140625" style="246" customWidth="1"/>
    <col min="5887" max="5887" width="9.140625" style="246"/>
    <col min="5888" max="5890" width="6.5703125" style="246" customWidth="1"/>
    <col min="5891" max="5891" width="16.42578125" style="246" customWidth="1"/>
    <col min="5892" max="5900" width="6.5703125" style="246" customWidth="1"/>
    <col min="5901" max="6133" width="9.140625" style="246"/>
    <col min="6134" max="6134" width="10" style="246" customWidth="1"/>
    <col min="6135" max="6136" width="18.140625" style="246" customWidth="1"/>
    <col min="6137" max="6137" width="2.7109375" style="246" customWidth="1"/>
    <col min="6138" max="6139" width="18.140625" style="246" customWidth="1"/>
    <col min="6140" max="6140" width="2.7109375" style="246" customWidth="1"/>
    <col min="6141" max="6142" width="18.140625" style="246" customWidth="1"/>
    <col min="6143" max="6143" width="9.140625" style="246"/>
    <col min="6144" max="6146" width="6.5703125" style="246" customWidth="1"/>
    <col min="6147" max="6147" width="16.42578125" style="246" customWidth="1"/>
    <col min="6148" max="6156" width="6.5703125" style="246" customWidth="1"/>
    <col min="6157" max="6389" width="9.140625" style="246"/>
    <col min="6390" max="6390" width="10" style="246" customWidth="1"/>
    <col min="6391" max="6392" width="18.140625" style="246" customWidth="1"/>
    <col min="6393" max="6393" width="2.7109375" style="246" customWidth="1"/>
    <col min="6394" max="6395" width="18.140625" style="246" customWidth="1"/>
    <col min="6396" max="6396" width="2.7109375" style="246" customWidth="1"/>
    <col min="6397" max="6398" width="18.140625" style="246" customWidth="1"/>
    <col min="6399" max="6399" width="9.140625" style="246"/>
    <col min="6400" max="6402" width="6.5703125" style="246" customWidth="1"/>
    <col min="6403" max="6403" width="16.42578125" style="246" customWidth="1"/>
    <col min="6404" max="6412" width="6.5703125" style="246" customWidth="1"/>
    <col min="6413" max="6645" width="9.140625" style="246"/>
    <col min="6646" max="6646" width="10" style="246" customWidth="1"/>
    <col min="6647" max="6648" width="18.140625" style="246" customWidth="1"/>
    <col min="6649" max="6649" width="2.7109375" style="246" customWidth="1"/>
    <col min="6650" max="6651" width="18.140625" style="246" customWidth="1"/>
    <col min="6652" max="6652" width="2.7109375" style="246" customWidth="1"/>
    <col min="6653" max="6654" width="18.140625" style="246" customWidth="1"/>
    <col min="6655" max="6655" width="9.140625" style="246"/>
    <col min="6656" max="6658" width="6.5703125" style="246" customWidth="1"/>
    <col min="6659" max="6659" width="16.42578125" style="246" customWidth="1"/>
    <col min="6660" max="6668" width="6.5703125" style="246" customWidth="1"/>
    <col min="6669" max="6901" width="9.140625" style="246"/>
    <col min="6902" max="6902" width="10" style="246" customWidth="1"/>
    <col min="6903" max="6904" width="18.140625" style="246" customWidth="1"/>
    <col min="6905" max="6905" width="2.7109375" style="246" customWidth="1"/>
    <col min="6906" max="6907" width="18.140625" style="246" customWidth="1"/>
    <col min="6908" max="6908" width="2.7109375" style="246" customWidth="1"/>
    <col min="6909" max="6910" width="18.140625" style="246" customWidth="1"/>
    <col min="6911" max="6911" width="9.140625" style="246"/>
    <col min="6912" max="6914" width="6.5703125" style="246" customWidth="1"/>
    <col min="6915" max="6915" width="16.42578125" style="246" customWidth="1"/>
    <col min="6916" max="6924" width="6.5703125" style="246" customWidth="1"/>
    <col min="6925" max="7157" width="9.140625" style="246"/>
    <col min="7158" max="7158" width="10" style="246" customWidth="1"/>
    <col min="7159" max="7160" width="18.140625" style="246" customWidth="1"/>
    <col min="7161" max="7161" width="2.7109375" style="246" customWidth="1"/>
    <col min="7162" max="7163" width="18.140625" style="246" customWidth="1"/>
    <col min="7164" max="7164" width="2.7109375" style="246" customWidth="1"/>
    <col min="7165" max="7166" width="18.140625" style="246" customWidth="1"/>
    <col min="7167" max="7167" width="9.140625" style="246"/>
    <col min="7168" max="7170" width="6.5703125" style="246" customWidth="1"/>
    <col min="7171" max="7171" width="16.42578125" style="246" customWidth="1"/>
    <col min="7172" max="7180" width="6.5703125" style="246" customWidth="1"/>
    <col min="7181" max="7413" width="9.140625" style="246"/>
    <col min="7414" max="7414" width="10" style="246" customWidth="1"/>
    <col min="7415" max="7416" width="18.140625" style="246" customWidth="1"/>
    <col min="7417" max="7417" width="2.7109375" style="246" customWidth="1"/>
    <col min="7418" max="7419" width="18.140625" style="246" customWidth="1"/>
    <col min="7420" max="7420" width="2.7109375" style="246" customWidth="1"/>
    <col min="7421" max="7422" width="18.140625" style="246" customWidth="1"/>
    <col min="7423" max="7423" width="9.140625" style="246"/>
    <col min="7424" max="7426" width="6.5703125" style="246" customWidth="1"/>
    <col min="7427" max="7427" width="16.42578125" style="246" customWidth="1"/>
    <col min="7428" max="7436" width="6.5703125" style="246" customWidth="1"/>
    <col min="7437" max="7669" width="9.140625" style="246"/>
    <col min="7670" max="7670" width="10" style="246" customWidth="1"/>
    <col min="7671" max="7672" width="18.140625" style="246" customWidth="1"/>
    <col min="7673" max="7673" width="2.7109375" style="246" customWidth="1"/>
    <col min="7674" max="7675" width="18.140625" style="246" customWidth="1"/>
    <col min="7676" max="7676" width="2.7109375" style="246" customWidth="1"/>
    <col min="7677" max="7678" width="18.140625" style="246" customWidth="1"/>
    <col min="7679" max="7679" width="9.140625" style="246"/>
    <col min="7680" max="7682" width="6.5703125" style="246" customWidth="1"/>
    <col min="7683" max="7683" width="16.42578125" style="246" customWidth="1"/>
    <col min="7684" max="7692" width="6.5703125" style="246" customWidth="1"/>
    <col min="7693" max="7925" width="9.140625" style="246"/>
    <col min="7926" max="7926" width="10" style="246" customWidth="1"/>
    <col min="7927" max="7928" width="18.140625" style="246" customWidth="1"/>
    <col min="7929" max="7929" width="2.7109375" style="246" customWidth="1"/>
    <col min="7930" max="7931" width="18.140625" style="246" customWidth="1"/>
    <col min="7932" max="7932" width="2.7109375" style="246" customWidth="1"/>
    <col min="7933" max="7934" width="18.140625" style="246" customWidth="1"/>
    <col min="7935" max="7935" width="9.140625" style="246"/>
    <col min="7936" max="7938" width="6.5703125" style="246" customWidth="1"/>
    <col min="7939" max="7939" width="16.42578125" style="246" customWidth="1"/>
    <col min="7940" max="7948" width="6.5703125" style="246" customWidth="1"/>
    <col min="7949" max="8181" width="9.140625" style="246"/>
    <col min="8182" max="8182" width="10" style="246" customWidth="1"/>
    <col min="8183" max="8184" width="18.140625" style="246" customWidth="1"/>
    <col min="8185" max="8185" width="2.7109375" style="246" customWidth="1"/>
    <col min="8186" max="8187" width="18.140625" style="246" customWidth="1"/>
    <col min="8188" max="8188" width="2.7109375" style="246" customWidth="1"/>
    <col min="8189" max="8190" width="18.140625" style="246" customWidth="1"/>
    <col min="8191" max="8191" width="9.140625" style="246"/>
    <col min="8192" max="8194" width="6.5703125" style="246" customWidth="1"/>
    <col min="8195" max="8195" width="16.42578125" style="246" customWidth="1"/>
    <col min="8196" max="8204" width="6.5703125" style="246" customWidth="1"/>
    <col min="8205" max="8437" width="9.140625" style="246"/>
    <col min="8438" max="8438" width="10" style="246" customWidth="1"/>
    <col min="8439" max="8440" width="18.140625" style="246" customWidth="1"/>
    <col min="8441" max="8441" width="2.7109375" style="246" customWidth="1"/>
    <col min="8442" max="8443" width="18.140625" style="246" customWidth="1"/>
    <col min="8444" max="8444" width="2.7109375" style="246" customWidth="1"/>
    <col min="8445" max="8446" width="18.140625" style="246" customWidth="1"/>
    <col min="8447" max="8447" width="9.140625" style="246"/>
    <col min="8448" max="8450" width="6.5703125" style="246" customWidth="1"/>
    <col min="8451" max="8451" width="16.42578125" style="246" customWidth="1"/>
    <col min="8452" max="8460" width="6.5703125" style="246" customWidth="1"/>
    <col min="8461" max="8693" width="9.140625" style="246"/>
    <col min="8694" max="8694" width="10" style="246" customWidth="1"/>
    <col min="8695" max="8696" width="18.140625" style="246" customWidth="1"/>
    <col min="8697" max="8697" width="2.7109375" style="246" customWidth="1"/>
    <col min="8698" max="8699" width="18.140625" style="246" customWidth="1"/>
    <col min="8700" max="8700" width="2.7109375" style="246" customWidth="1"/>
    <col min="8701" max="8702" width="18.140625" style="246" customWidth="1"/>
    <col min="8703" max="8703" width="9.140625" style="246"/>
    <col min="8704" max="8706" width="6.5703125" style="246" customWidth="1"/>
    <col min="8707" max="8707" width="16.42578125" style="246" customWidth="1"/>
    <col min="8708" max="8716" width="6.5703125" style="246" customWidth="1"/>
    <col min="8717" max="8949" width="9.140625" style="246"/>
    <col min="8950" max="8950" width="10" style="246" customWidth="1"/>
    <col min="8951" max="8952" width="18.140625" style="246" customWidth="1"/>
    <col min="8953" max="8953" width="2.7109375" style="246" customWidth="1"/>
    <col min="8954" max="8955" width="18.140625" style="246" customWidth="1"/>
    <col min="8956" max="8956" width="2.7109375" style="246" customWidth="1"/>
    <col min="8957" max="8958" width="18.140625" style="246" customWidth="1"/>
    <col min="8959" max="8959" width="9.140625" style="246"/>
    <col min="8960" max="8962" width="6.5703125" style="246" customWidth="1"/>
    <col min="8963" max="8963" width="16.42578125" style="246" customWidth="1"/>
    <col min="8964" max="8972" width="6.5703125" style="246" customWidth="1"/>
    <col min="8973" max="9205" width="9.140625" style="246"/>
    <col min="9206" max="9206" width="10" style="246" customWidth="1"/>
    <col min="9207" max="9208" width="18.140625" style="246" customWidth="1"/>
    <col min="9209" max="9209" width="2.7109375" style="246" customWidth="1"/>
    <col min="9210" max="9211" width="18.140625" style="246" customWidth="1"/>
    <col min="9212" max="9212" width="2.7109375" style="246" customWidth="1"/>
    <col min="9213" max="9214" width="18.140625" style="246" customWidth="1"/>
    <col min="9215" max="9215" width="9.140625" style="246"/>
    <col min="9216" max="9218" width="6.5703125" style="246" customWidth="1"/>
    <col min="9219" max="9219" width="16.42578125" style="246" customWidth="1"/>
    <col min="9220" max="9228" width="6.5703125" style="246" customWidth="1"/>
    <col min="9229" max="9461" width="9.140625" style="246"/>
    <col min="9462" max="9462" width="10" style="246" customWidth="1"/>
    <col min="9463" max="9464" width="18.140625" style="246" customWidth="1"/>
    <col min="9465" max="9465" width="2.7109375" style="246" customWidth="1"/>
    <col min="9466" max="9467" width="18.140625" style="246" customWidth="1"/>
    <col min="9468" max="9468" width="2.7109375" style="246" customWidth="1"/>
    <col min="9469" max="9470" width="18.140625" style="246" customWidth="1"/>
    <col min="9471" max="9471" width="9.140625" style="246"/>
    <col min="9472" max="9474" width="6.5703125" style="246" customWidth="1"/>
    <col min="9475" max="9475" width="16.42578125" style="246" customWidth="1"/>
    <col min="9476" max="9484" width="6.5703125" style="246" customWidth="1"/>
    <col min="9485" max="9717" width="9.140625" style="246"/>
    <col min="9718" max="9718" width="10" style="246" customWidth="1"/>
    <col min="9719" max="9720" width="18.140625" style="246" customWidth="1"/>
    <col min="9721" max="9721" width="2.7109375" style="246" customWidth="1"/>
    <col min="9722" max="9723" width="18.140625" style="246" customWidth="1"/>
    <col min="9724" max="9724" width="2.7109375" style="246" customWidth="1"/>
    <col min="9725" max="9726" width="18.140625" style="246" customWidth="1"/>
    <col min="9727" max="9727" width="9.140625" style="246"/>
    <col min="9728" max="9730" width="6.5703125" style="246" customWidth="1"/>
    <col min="9731" max="9731" width="16.42578125" style="246" customWidth="1"/>
    <col min="9732" max="9740" width="6.5703125" style="246" customWidth="1"/>
    <col min="9741" max="9973" width="9.140625" style="246"/>
    <col min="9974" max="9974" width="10" style="246" customWidth="1"/>
    <col min="9975" max="9976" width="18.140625" style="246" customWidth="1"/>
    <col min="9977" max="9977" width="2.7109375" style="246" customWidth="1"/>
    <col min="9978" max="9979" width="18.140625" style="246" customWidth="1"/>
    <col min="9980" max="9980" width="2.7109375" style="246" customWidth="1"/>
    <col min="9981" max="9982" width="18.140625" style="246" customWidth="1"/>
    <col min="9983" max="9983" width="9.140625" style="246"/>
    <col min="9984" max="9986" width="6.5703125" style="246" customWidth="1"/>
    <col min="9987" max="9987" width="16.42578125" style="246" customWidth="1"/>
    <col min="9988" max="9996" width="6.5703125" style="246" customWidth="1"/>
    <col min="9997" max="10229" width="9.140625" style="246"/>
    <col min="10230" max="10230" width="10" style="246" customWidth="1"/>
    <col min="10231" max="10232" width="18.140625" style="246" customWidth="1"/>
    <col min="10233" max="10233" width="2.7109375" style="246" customWidth="1"/>
    <col min="10234" max="10235" width="18.140625" style="246" customWidth="1"/>
    <col min="10236" max="10236" width="2.7109375" style="246" customWidth="1"/>
    <col min="10237" max="10238" width="18.140625" style="246" customWidth="1"/>
    <col min="10239" max="10239" width="9.140625" style="246"/>
    <col min="10240" max="10242" width="6.5703125" style="246" customWidth="1"/>
    <col min="10243" max="10243" width="16.42578125" style="246" customWidth="1"/>
    <col min="10244" max="10252" width="6.5703125" style="246" customWidth="1"/>
    <col min="10253" max="10485" width="9.140625" style="246"/>
    <col min="10486" max="10486" width="10" style="246" customWidth="1"/>
    <col min="10487" max="10488" width="18.140625" style="246" customWidth="1"/>
    <col min="10489" max="10489" width="2.7109375" style="246" customWidth="1"/>
    <col min="10490" max="10491" width="18.140625" style="246" customWidth="1"/>
    <col min="10492" max="10492" width="2.7109375" style="246" customWidth="1"/>
    <col min="10493" max="10494" width="18.140625" style="246" customWidth="1"/>
    <col min="10495" max="10495" width="9.140625" style="246"/>
    <col min="10496" max="10498" width="6.5703125" style="246" customWidth="1"/>
    <col min="10499" max="10499" width="16.42578125" style="246" customWidth="1"/>
    <col min="10500" max="10508" width="6.5703125" style="246" customWidth="1"/>
    <col min="10509" max="10741" width="9.140625" style="246"/>
    <col min="10742" max="10742" width="10" style="246" customWidth="1"/>
    <col min="10743" max="10744" width="18.140625" style="246" customWidth="1"/>
    <col min="10745" max="10745" width="2.7109375" style="246" customWidth="1"/>
    <col min="10746" max="10747" width="18.140625" style="246" customWidth="1"/>
    <col min="10748" max="10748" width="2.7109375" style="246" customWidth="1"/>
    <col min="10749" max="10750" width="18.140625" style="246" customWidth="1"/>
    <col min="10751" max="10751" width="9.140625" style="246"/>
    <col min="10752" max="10754" width="6.5703125" style="246" customWidth="1"/>
    <col min="10755" max="10755" width="16.42578125" style="246" customWidth="1"/>
    <col min="10756" max="10764" width="6.5703125" style="246" customWidth="1"/>
    <col min="10765" max="10997" width="9.140625" style="246"/>
    <col min="10998" max="10998" width="10" style="246" customWidth="1"/>
    <col min="10999" max="11000" width="18.140625" style="246" customWidth="1"/>
    <col min="11001" max="11001" width="2.7109375" style="246" customWidth="1"/>
    <col min="11002" max="11003" width="18.140625" style="246" customWidth="1"/>
    <col min="11004" max="11004" width="2.7109375" style="246" customWidth="1"/>
    <col min="11005" max="11006" width="18.140625" style="246" customWidth="1"/>
    <col min="11007" max="11007" width="9.140625" style="246"/>
    <col min="11008" max="11010" width="6.5703125" style="246" customWidth="1"/>
    <col min="11011" max="11011" width="16.42578125" style="246" customWidth="1"/>
    <col min="11012" max="11020" width="6.5703125" style="246" customWidth="1"/>
    <col min="11021" max="11253" width="9.140625" style="246"/>
    <col min="11254" max="11254" width="10" style="246" customWidth="1"/>
    <col min="11255" max="11256" width="18.140625" style="246" customWidth="1"/>
    <col min="11257" max="11257" width="2.7109375" style="246" customWidth="1"/>
    <col min="11258" max="11259" width="18.140625" style="246" customWidth="1"/>
    <col min="11260" max="11260" width="2.7109375" style="246" customWidth="1"/>
    <col min="11261" max="11262" width="18.140625" style="246" customWidth="1"/>
    <col min="11263" max="11263" width="9.140625" style="246"/>
    <col min="11264" max="11266" width="6.5703125" style="246" customWidth="1"/>
    <col min="11267" max="11267" width="16.42578125" style="246" customWidth="1"/>
    <col min="11268" max="11276" width="6.5703125" style="246" customWidth="1"/>
    <col min="11277" max="11509" width="9.140625" style="246"/>
    <col min="11510" max="11510" width="10" style="246" customWidth="1"/>
    <col min="11511" max="11512" width="18.140625" style="246" customWidth="1"/>
    <col min="11513" max="11513" width="2.7109375" style="246" customWidth="1"/>
    <col min="11514" max="11515" width="18.140625" style="246" customWidth="1"/>
    <col min="11516" max="11516" width="2.7109375" style="246" customWidth="1"/>
    <col min="11517" max="11518" width="18.140625" style="246" customWidth="1"/>
    <col min="11519" max="11519" width="9.140625" style="246"/>
    <col min="11520" max="11522" width="6.5703125" style="246" customWidth="1"/>
    <col min="11523" max="11523" width="16.42578125" style="246" customWidth="1"/>
    <col min="11524" max="11532" width="6.5703125" style="246" customWidth="1"/>
    <col min="11533" max="11765" width="9.140625" style="246"/>
    <col min="11766" max="11766" width="10" style="246" customWidth="1"/>
    <col min="11767" max="11768" width="18.140625" style="246" customWidth="1"/>
    <col min="11769" max="11769" width="2.7109375" style="246" customWidth="1"/>
    <col min="11770" max="11771" width="18.140625" style="246" customWidth="1"/>
    <col min="11772" max="11772" width="2.7109375" style="246" customWidth="1"/>
    <col min="11773" max="11774" width="18.140625" style="246" customWidth="1"/>
    <col min="11775" max="11775" width="9.140625" style="246"/>
    <col min="11776" max="11778" width="6.5703125" style="246" customWidth="1"/>
    <col min="11779" max="11779" width="16.42578125" style="246" customWidth="1"/>
    <col min="11780" max="11788" width="6.5703125" style="246" customWidth="1"/>
    <col min="11789" max="12021" width="9.140625" style="246"/>
    <col min="12022" max="12022" width="10" style="246" customWidth="1"/>
    <col min="12023" max="12024" width="18.140625" style="246" customWidth="1"/>
    <col min="12025" max="12025" width="2.7109375" style="246" customWidth="1"/>
    <col min="12026" max="12027" width="18.140625" style="246" customWidth="1"/>
    <col min="12028" max="12028" width="2.7109375" style="246" customWidth="1"/>
    <col min="12029" max="12030" width="18.140625" style="246" customWidth="1"/>
    <col min="12031" max="12031" width="9.140625" style="246"/>
    <col min="12032" max="12034" width="6.5703125" style="246" customWidth="1"/>
    <col min="12035" max="12035" width="16.42578125" style="246" customWidth="1"/>
    <col min="12036" max="12044" width="6.5703125" style="246" customWidth="1"/>
    <col min="12045" max="12277" width="9.140625" style="246"/>
    <col min="12278" max="12278" width="10" style="246" customWidth="1"/>
    <col min="12279" max="12280" width="18.140625" style="246" customWidth="1"/>
    <col min="12281" max="12281" width="2.7109375" style="246" customWidth="1"/>
    <col min="12282" max="12283" width="18.140625" style="246" customWidth="1"/>
    <col min="12284" max="12284" width="2.7109375" style="246" customWidth="1"/>
    <col min="12285" max="12286" width="18.140625" style="246" customWidth="1"/>
    <col min="12287" max="12287" width="9.140625" style="246"/>
    <col min="12288" max="12290" width="6.5703125" style="246" customWidth="1"/>
    <col min="12291" max="12291" width="16.42578125" style="246" customWidth="1"/>
    <col min="12292" max="12300" width="6.5703125" style="246" customWidth="1"/>
    <col min="12301" max="12533" width="9.140625" style="246"/>
    <col min="12534" max="12534" width="10" style="246" customWidth="1"/>
    <col min="12535" max="12536" width="18.140625" style="246" customWidth="1"/>
    <col min="12537" max="12537" width="2.7109375" style="246" customWidth="1"/>
    <col min="12538" max="12539" width="18.140625" style="246" customWidth="1"/>
    <col min="12540" max="12540" width="2.7109375" style="246" customWidth="1"/>
    <col min="12541" max="12542" width="18.140625" style="246" customWidth="1"/>
    <col min="12543" max="12543" width="9.140625" style="246"/>
    <col min="12544" max="12546" width="6.5703125" style="246" customWidth="1"/>
    <col min="12547" max="12547" width="16.42578125" style="246" customWidth="1"/>
    <col min="12548" max="12556" width="6.5703125" style="246" customWidth="1"/>
    <col min="12557" max="12789" width="9.140625" style="246"/>
    <col min="12790" max="12790" width="10" style="246" customWidth="1"/>
    <col min="12791" max="12792" width="18.140625" style="246" customWidth="1"/>
    <col min="12793" max="12793" width="2.7109375" style="246" customWidth="1"/>
    <col min="12794" max="12795" width="18.140625" style="246" customWidth="1"/>
    <col min="12796" max="12796" width="2.7109375" style="246" customWidth="1"/>
    <col min="12797" max="12798" width="18.140625" style="246" customWidth="1"/>
    <col min="12799" max="12799" width="9.140625" style="246"/>
    <col min="12800" max="12802" width="6.5703125" style="246" customWidth="1"/>
    <col min="12803" max="12803" width="16.42578125" style="246" customWidth="1"/>
    <col min="12804" max="12812" width="6.5703125" style="246" customWidth="1"/>
    <col min="12813" max="13045" width="9.140625" style="246"/>
    <col min="13046" max="13046" width="10" style="246" customWidth="1"/>
    <col min="13047" max="13048" width="18.140625" style="246" customWidth="1"/>
    <col min="13049" max="13049" width="2.7109375" style="246" customWidth="1"/>
    <col min="13050" max="13051" width="18.140625" style="246" customWidth="1"/>
    <col min="13052" max="13052" width="2.7109375" style="246" customWidth="1"/>
    <col min="13053" max="13054" width="18.140625" style="246" customWidth="1"/>
    <col min="13055" max="13055" width="9.140625" style="246"/>
    <col min="13056" max="13058" width="6.5703125" style="246" customWidth="1"/>
    <col min="13059" max="13059" width="16.42578125" style="246" customWidth="1"/>
    <col min="13060" max="13068" width="6.5703125" style="246" customWidth="1"/>
    <col min="13069" max="13301" width="9.140625" style="246"/>
    <col min="13302" max="13302" width="10" style="246" customWidth="1"/>
    <col min="13303" max="13304" width="18.140625" style="246" customWidth="1"/>
    <col min="13305" max="13305" width="2.7109375" style="246" customWidth="1"/>
    <col min="13306" max="13307" width="18.140625" style="246" customWidth="1"/>
    <col min="13308" max="13308" width="2.7109375" style="246" customWidth="1"/>
    <col min="13309" max="13310" width="18.140625" style="246" customWidth="1"/>
    <col min="13311" max="13311" width="9.140625" style="246"/>
    <col min="13312" max="13314" width="6.5703125" style="246" customWidth="1"/>
    <col min="13315" max="13315" width="16.42578125" style="246" customWidth="1"/>
    <col min="13316" max="13324" width="6.5703125" style="246" customWidth="1"/>
    <col min="13325" max="13557" width="9.140625" style="246"/>
    <col min="13558" max="13558" width="10" style="246" customWidth="1"/>
    <col min="13559" max="13560" width="18.140625" style="246" customWidth="1"/>
    <col min="13561" max="13561" width="2.7109375" style="246" customWidth="1"/>
    <col min="13562" max="13563" width="18.140625" style="246" customWidth="1"/>
    <col min="13564" max="13564" width="2.7109375" style="246" customWidth="1"/>
    <col min="13565" max="13566" width="18.140625" style="246" customWidth="1"/>
    <col min="13567" max="13567" width="9.140625" style="246"/>
    <col min="13568" max="13570" width="6.5703125" style="246" customWidth="1"/>
    <col min="13571" max="13571" width="16.42578125" style="246" customWidth="1"/>
    <col min="13572" max="13580" width="6.5703125" style="246" customWidth="1"/>
    <col min="13581" max="13813" width="9.140625" style="246"/>
    <col min="13814" max="13814" width="10" style="246" customWidth="1"/>
    <col min="13815" max="13816" width="18.140625" style="246" customWidth="1"/>
    <col min="13817" max="13817" width="2.7109375" style="246" customWidth="1"/>
    <col min="13818" max="13819" width="18.140625" style="246" customWidth="1"/>
    <col min="13820" max="13820" width="2.7109375" style="246" customWidth="1"/>
    <col min="13821" max="13822" width="18.140625" style="246" customWidth="1"/>
    <col min="13823" max="13823" width="9.140625" style="246"/>
    <col min="13824" max="13826" width="6.5703125" style="246" customWidth="1"/>
    <col min="13827" max="13827" width="16.42578125" style="246" customWidth="1"/>
    <col min="13828" max="13836" width="6.5703125" style="246" customWidth="1"/>
    <col min="13837" max="14069" width="9.140625" style="246"/>
    <col min="14070" max="14070" width="10" style="246" customWidth="1"/>
    <col min="14071" max="14072" width="18.140625" style="246" customWidth="1"/>
    <col min="14073" max="14073" width="2.7109375" style="246" customWidth="1"/>
    <col min="14074" max="14075" width="18.140625" style="246" customWidth="1"/>
    <col min="14076" max="14076" width="2.7109375" style="246" customWidth="1"/>
    <col min="14077" max="14078" width="18.140625" style="246" customWidth="1"/>
    <col min="14079" max="14079" width="9.140625" style="246"/>
    <col min="14080" max="14082" width="6.5703125" style="246" customWidth="1"/>
    <col min="14083" max="14083" width="16.42578125" style="246" customWidth="1"/>
    <col min="14084" max="14092" width="6.5703125" style="246" customWidth="1"/>
    <col min="14093" max="14325" width="9.140625" style="246"/>
    <col min="14326" max="14326" width="10" style="246" customWidth="1"/>
    <col min="14327" max="14328" width="18.140625" style="246" customWidth="1"/>
    <col min="14329" max="14329" width="2.7109375" style="246" customWidth="1"/>
    <col min="14330" max="14331" width="18.140625" style="246" customWidth="1"/>
    <col min="14332" max="14332" width="2.7109375" style="246" customWidth="1"/>
    <col min="14333" max="14334" width="18.140625" style="246" customWidth="1"/>
    <col min="14335" max="14335" width="9.140625" style="246"/>
    <col min="14336" max="14338" width="6.5703125" style="246" customWidth="1"/>
    <col min="14339" max="14339" width="16.42578125" style="246" customWidth="1"/>
    <col min="14340" max="14348" width="6.5703125" style="246" customWidth="1"/>
    <col min="14349" max="14581" width="9.140625" style="246"/>
    <col min="14582" max="14582" width="10" style="246" customWidth="1"/>
    <col min="14583" max="14584" width="18.140625" style="246" customWidth="1"/>
    <col min="14585" max="14585" width="2.7109375" style="246" customWidth="1"/>
    <col min="14586" max="14587" width="18.140625" style="246" customWidth="1"/>
    <col min="14588" max="14588" width="2.7109375" style="246" customWidth="1"/>
    <col min="14589" max="14590" width="18.140625" style="246" customWidth="1"/>
    <col min="14591" max="14591" width="9.140625" style="246"/>
    <col min="14592" max="14594" width="6.5703125" style="246" customWidth="1"/>
    <col min="14595" max="14595" width="16.42578125" style="246" customWidth="1"/>
    <col min="14596" max="14604" width="6.5703125" style="246" customWidth="1"/>
    <col min="14605" max="14837" width="9.140625" style="246"/>
    <col min="14838" max="14838" width="10" style="246" customWidth="1"/>
    <col min="14839" max="14840" width="18.140625" style="246" customWidth="1"/>
    <col min="14841" max="14841" width="2.7109375" style="246" customWidth="1"/>
    <col min="14842" max="14843" width="18.140625" style="246" customWidth="1"/>
    <col min="14844" max="14844" width="2.7109375" style="246" customWidth="1"/>
    <col min="14845" max="14846" width="18.140625" style="246" customWidth="1"/>
    <col min="14847" max="14847" width="9.140625" style="246"/>
    <col min="14848" max="14850" width="6.5703125" style="246" customWidth="1"/>
    <col min="14851" max="14851" width="16.42578125" style="246" customWidth="1"/>
    <col min="14852" max="14860" width="6.5703125" style="246" customWidth="1"/>
    <col min="14861" max="15093" width="9.140625" style="246"/>
    <col min="15094" max="15094" width="10" style="246" customWidth="1"/>
    <col min="15095" max="15096" width="18.140625" style="246" customWidth="1"/>
    <col min="15097" max="15097" width="2.7109375" style="246" customWidth="1"/>
    <col min="15098" max="15099" width="18.140625" style="246" customWidth="1"/>
    <col min="15100" max="15100" width="2.7109375" style="246" customWidth="1"/>
    <col min="15101" max="15102" width="18.140625" style="246" customWidth="1"/>
    <col min="15103" max="15103" width="9.140625" style="246"/>
    <col min="15104" max="15106" width="6.5703125" style="246" customWidth="1"/>
    <col min="15107" max="15107" width="16.42578125" style="246" customWidth="1"/>
    <col min="15108" max="15116" width="6.5703125" style="246" customWidth="1"/>
    <col min="15117" max="15349" width="9.140625" style="246"/>
    <col min="15350" max="15350" width="10" style="246" customWidth="1"/>
    <col min="15351" max="15352" width="18.140625" style="246" customWidth="1"/>
    <col min="15353" max="15353" width="2.7109375" style="246" customWidth="1"/>
    <col min="15354" max="15355" width="18.140625" style="246" customWidth="1"/>
    <col min="15356" max="15356" width="2.7109375" style="246" customWidth="1"/>
    <col min="15357" max="15358" width="18.140625" style="246" customWidth="1"/>
    <col min="15359" max="15359" width="9.140625" style="246"/>
    <col min="15360" max="15362" width="6.5703125" style="246" customWidth="1"/>
    <col min="15363" max="15363" width="16.42578125" style="246" customWidth="1"/>
    <col min="15364" max="15372" width="6.5703125" style="246" customWidth="1"/>
    <col min="15373" max="15605" width="9.140625" style="246"/>
    <col min="15606" max="15606" width="10" style="246" customWidth="1"/>
    <col min="15607" max="15608" width="18.140625" style="246" customWidth="1"/>
    <col min="15609" max="15609" width="2.7109375" style="246" customWidth="1"/>
    <col min="15610" max="15611" width="18.140625" style="246" customWidth="1"/>
    <col min="15612" max="15612" width="2.7109375" style="246" customWidth="1"/>
    <col min="15613" max="15614" width="18.140625" style="246" customWidth="1"/>
    <col min="15615" max="15615" width="9.140625" style="246"/>
    <col min="15616" max="15618" width="6.5703125" style="246" customWidth="1"/>
    <col min="15619" max="15619" width="16.42578125" style="246" customWidth="1"/>
    <col min="15620" max="15628" width="6.5703125" style="246" customWidth="1"/>
    <col min="15629" max="15861" width="9.140625" style="246"/>
    <col min="15862" max="15862" width="10" style="246" customWidth="1"/>
    <col min="15863" max="15864" width="18.140625" style="246" customWidth="1"/>
    <col min="15865" max="15865" width="2.7109375" style="246" customWidth="1"/>
    <col min="15866" max="15867" width="18.140625" style="246" customWidth="1"/>
    <col min="15868" max="15868" width="2.7109375" style="246" customWidth="1"/>
    <col min="15869" max="15870" width="18.140625" style="246" customWidth="1"/>
    <col min="15871" max="15871" width="9.140625" style="246"/>
    <col min="15872" max="15874" width="6.5703125" style="246" customWidth="1"/>
    <col min="15875" max="15875" width="16.42578125" style="246" customWidth="1"/>
    <col min="15876" max="15884" width="6.5703125" style="246" customWidth="1"/>
    <col min="15885" max="16117" width="9.140625" style="246"/>
    <col min="16118" max="16118" width="10" style="246" customWidth="1"/>
    <col min="16119" max="16120" width="18.140625" style="246" customWidth="1"/>
    <col min="16121" max="16121" width="2.7109375" style="246" customWidth="1"/>
    <col min="16122" max="16123" width="18.140625" style="246" customWidth="1"/>
    <col min="16124" max="16124" width="2.7109375" style="246" customWidth="1"/>
    <col min="16125" max="16126" width="18.140625" style="246" customWidth="1"/>
    <col min="16127" max="16127" width="9.140625" style="246"/>
    <col min="16128" max="16130" width="6.5703125" style="246" customWidth="1"/>
    <col min="16131" max="16131" width="16.42578125" style="246" customWidth="1"/>
    <col min="16132" max="16140" width="6.5703125" style="246" customWidth="1"/>
    <col min="16141" max="16384" width="9.140625" style="246"/>
  </cols>
  <sheetData>
    <row r="1" spans="2:17" ht="16.5" customHeight="1">
      <c r="B1" s="1382" t="s">
        <v>1112</v>
      </c>
      <c r="C1" s="1382"/>
      <c r="D1" s="1382"/>
      <c r="E1" s="1382"/>
      <c r="F1" s="1382"/>
      <c r="G1" s="1382"/>
      <c r="H1" s="1382"/>
      <c r="I1" s="1382"/>
      <c r="J1" s="1382"/>
      <c r="K1" s="1382"/>
      <c r="L1" s="1382"/>
      <c r="M1" s="1382"/>
      <c r="N1" s="1382"/>
      <c r="O1" s="1382"/>
      <c r="P1" s="1382"/>
      <c r="Q1" s="1382"/>
    </row>
    <row r="2" spans="2:17" s="270" customFormat="1" ht="16.5" customHeight="1">
      <c r="B2" s="1383" t="s">
        <v>1142</v>
      </c>
      <c r="C2" s="1383"/>
      <c r="D2" s="1383"/>
      <c r="E2" s="1383"/>
      <c r="F2" s="1383"/>
      <c r="G2" s="1383"/>
      <c r="H2" s="1383"/>
      <c r="I2" s="1383"/>
      <c r="J2" s="1383"/>
      <c r="K2" s="1383"/>
      <c r="L2" s="1383"/>
      <c r="M2" s="1383"/>
      <c r="N2" s="1383"/>
      <c r="O2" s="1383"/>
      <c r="P2" s="1383"/>
      <c r="Q2" s="1383"/>
    </row>
    <row r="3" spans="2:17" ht="6" customHeight="1"/>
    <row r="4" spans="2:17" ht="15" customHeight="1">
      <c r="B4" s="1379" t="s">
        <v>689</v>
      </c>
      <c r="C4" s="1378" t="s">
        <v>1111</v>
      </c>
      <c r="D4" s="1378"/>
      <c r="E4" s="1378"/>
      <c r="F4" s="1378"/>
      <c r="G4" s="1378"/>
      <c r="H4" s="1378"/>
      <c r="I4" s="1378"/>
      <c r="J4" s="1378"/>
      <c r="K4" s="1378"/>
      <c r="L4" s="1378"/>
      <c r="M4" s="1378"/>
      <c r="N4" s="1378"/>
      <c r="O4" s="1378"/>
      <c r="P4" s="1378"/>
      <c r="Q4" s="1378"/>
    </row>
    <row r="5" spans="2:17" ht="15.75" customHeight="1">
      <c r="B5" s="1380"/>
      <c r="C5" s="1387" t="s">
        <v>1103</v>
      </c>
      <c r="D5" s="1387"/>
      <c r="E5" s="1387"/>
      <c r="F5" s="1388" t="s">
        <v>1104</v>
      </c>
      <c r="G5" s="1387"/>
      <c r="H5" s="1389"/>
      <c r="I5" s="1388" t="s">
        <v>1105</v>
      </c>
      <c r="J5" s="1387"/>
      <c r="K5" s="1389"/>
      <c r="L5" s="1387" t="s">
        <v>1106</v>
      </c>
      <c r="M5" s="1387"/>
      <c r="N5" s="1389"/>
      <c r="O5" s="1387" t="s">
        <v>1107</v>
      </c>
      <c r="P5" s="1387"/>
      <c r="Q5" s="1387"/>
    </row>
    <row r="6" spans="2:17" ht="16.5" customHeight="1">
      <c r="B6" s="1381"/>
      <c r="C6" s="927" t="s">
        <v>1108</v>
      </c>
      <c r="D6" s="927" t="s">
        <v>23</v>
      </c>
      <c r="E6" s="927" t="s">
        <v>22</v>
      </c>
      <c r="F6" s="930" t="s">
        <v>1108</v>
      </c>
      <c r="G6" s="927" t="s">
        <v>23</v>
      </c>
      <c r="H6" s="928" t="s">
        <v>22</v>
      </c>
      <c r="I6" s="930" t="s">
        <v>1108</v>
      </c>
      <c r="J6" s="927" t="s">
        <v>23</v>
      </c>
      <c r="K6" s="928" t="s">
        <v>22</v>
      </c>
      <c r="L6" s="927" t="s">
        <v>1108</v>
      </c>
      <c r="M6" s="927" t="s">
        <v>23</v>
      </c>
      <c r="N6" s="928" t="s">
        <v>22</v>
      </c>
      <c r="O6" s="927" t="s">
        <v>1108</v>
      </c>
      <c r="P6" s="927" t="s">
        <v>23</v>
      </c>
      <c r="Q6" s="927" t="s">
        <v>22</v>
      </c>
    </row>
    <row r="7" spans="2:17" ht="9" customHeight="1">
      <c r="F7" s="931"/>
      <c r="H7" s="929"/>
      <c r="I7" s="931"/>
      <c r="K7" s="929"/>
      <c r="N7" s="929"/>
    </row>
    <row r="8" spans="2:17" ht="14.25" customHeight="1">
      <c r="B8" s="1116" t="s">
        <v>1081</v>
      </c>
      <c r="C8" s="1118">
        <v>64.037778986280458</v>
      </c>
      <c r="D8" s="1118">
        <v>62.776510108439673</v>
      </c>
      <c r="E8" s="1119">
        <v>65.235601559425405</v>
      </c>
      <c r="F8" s="1120">
        <v>67.483521002359169</v>
      </c>
      <c r="G8" s="1118">
        <v>67.680362908687925</v>
      </c>
      <c r="H8" s="1119">
        <v>67.267421167569296</v>
      </c>
      <c r="I8" s="1120">
        <v>72.107336768424574</v>
      </c>
      <c r="J8" s="1118">
        <v>72.928315665784339</v>
      </c>
      <c r="K8" s="1119">
        <v>71.503129893745538</v>
      </c>
      <c r="L8" s="1120">
        <v>76.510000000000005</v>
      </c>
      <c r="M8" s="1118">
        <v>78.5</v>
      </c>
      <c r="N8" s="1119">
        <v>74.87</v>
      </c>
      <c r="O8" s="1120">
        <v>81.98</v>
      </c>
      <c r="P8" s="1118">
        <v>85.68</v>
      </c>
      <c r="Q8" s="1118">
        <v>78.97</v>
      </c>
    </row>
    <row r="9" spans="2:17" ht="14.25" customHeight="1">
      <c r="B9" s="1116" t="s">
        <v>1082</v>
      </c>
      <c r="C9" s="1118">
        <v>65.763308760156747</v>
      </c>
      <c r="D9" s="1118">
        <v>64.309431735894805</v>
      </c>
      <c r="E9" s="1119">
        <v>67.153338846932598</v>
      </c>
      <c r="F9" s="1120">
        <v>68.580494340828039</v>
      </c>
      <c r="G9" s="1118">
        <v>68.620666534078254</v>
      </c>
      <c r="H9" s="1119">
        <v>68.512933099752701</v>
      </c>
      <c r="I9" s="1120">
        <v>72.437466670797065</v>
      </c>
      <c r="J9" s="1118">
        <v>73.246730680618043</v>
      </c>
      <c r="K9" s="1119">
        <v>71.839722182410014</v>
      </c>
      <c r="L9" s="1120">
        <v>76.55</v>
      </c>
      <c r="M9" s="1118">
        <v>78.39</v>
      </c>
      <c r="N9" s="1119">
        <v>75.040000000000006</v>
      </c>
      <c r="O9" s="1120">
        <v>81.64</v>
      </c>
      <c r="P9" s="1118">
        <v>85.3</v>
      </c>
      <c r="Q9" s="1118">
        <v>78.7</v>
      </c>
    </row>
    <row r="10" spans="2:17" ht="14.25" customHeight="1">
      <c r="B10" s="1116" t="s">
        <v>1083</v>
      </c>
      <c r="C10" s="1118">
        <v>63.041895906844168</v>
      </c>
      <c r="D10" s="1118">
        <v>61.604354877501407</v>
      </c>
      <c r="E10" s="1119">
        <v>64.415389326382183</v>
      </c>
      <c r="F10" s="1120">
        <v>65.392449704921191</v>
      </c>
      <c r="G10" s="1118">
        <v>65.409381918757731</v>
      </c>
      <c r="H10" s="1119">
        <v>65.346226064205936</v>
      </c>
      <c r="I10" s="1120">
        <v>68.923020485998649</v>
      </c>
      <c r="J10" s="1118">
        <v>69.69673394929309</v>
      </c>
      <c r="K10" s="1119">
        <v>68.36010024685541</v>
      </c>
      <c r="L10" s="1120">
        <v>72.760000000000005</v>
      </c>
      <c r="M10" s="1118">
        <v>74.62</v>
      </c>
      <c r="N10" s="1119">
        <v>71.23</v>
      </c>
      <c r="O10" s="1120">
        <v>77.819999999999993</v>
      </c>
      <c r="P10" s="1118">
        <v>81.5</v>
      </c>
      <c r="Q10" s="1118">
        <v>74.87</v>
      </c>
    </row>
    <row r="11" spans="2:17" ht="14.25" customHeight="1">
      <c r="B11" s="1116" t="s">
        <v>1084</v>
      </c>
      <c r="C11" s="1118">
        <v>58.366037258529893</v>
      </c>
      <c r="D11" s="1118">
        <v>56.948126433156361</v>
      </c>
      <c r="E11" s="1119">
        <v>59.719507278722268</v>
      </c>
      <c r="F11" s="1120">
        <v>60.637254259289186</v>
      </c>
      <c r="G11" s="1118">
        <v>60.649660137799287</v>
      </c>
      <c r="H11" s="1119">
        <v>60.595307975122346</v>
      </c>
      <c r="I11" s="1120">
        <v>64.079557007418401</v>
      </c>
      <c r="J11" s="1118">
        <v>64.861632086908472</v>
      </c>
      <c r="K11" s="1119">
        <v>63.509180454192908</v>
      </c>
      <c r="L11" s="1120">
        <v>67.91</v>
      </c>
      <c r="M11" s="1118">
        <v>69.739999999999995</v>
      </c>
      <c r="N11" s="1119">
        <v>66.39</v>
      </c>
      <c r="O11" s="1120">
        <v>72.88</v>
      </c>
      <c r="P11" s="1118">
        <v>76.56</v>
      </c>
      <c r="Q11" s="1118">
        <v>69.92</v>
      </c>
    </row>
    <row r="12" spans="2:17" ht="14.25" customHeight="1">
      <c r="B12" s="1116" t="s">
        <v>1085</v>
      </c>
      <c r="C12" s="1118">
        <v>53.59668092479275</v>
      </c>
      <c r="D12" s="1118">
        <v>52.16636346269064</v>
      </c>
      <c r="E12" s="1119">
        <v>54.962284406104096</v>
      </c>
      <c r="F12" s="1120">
        <v>55.779533571415456</v>
      </c>
      <c r="G12" s="1118">
        <v>55.792252484202216</v>
      </c>
      <c r="H12" s="1119">
        <v>55.73721413253103</v>
      </c>
      <c r="I12" s="1120">
        <v>59.195810670306912</v>
      </c>
      <c r="J12" s="1118">
        <v>59.953557041826393</v>
      </c>
      <c r="K12" s="1119">
        <v>58.648655314250533</v>
      </c>
      <c r="L12" s="1120">
        <v>63.02</v>
      </c>
      <c r="M12" s="1118">
        <v>64.849999999999994</v>
      </c>
      <c r="N12" s="1119">
        <v>61.52</v>
      </c>
      <c r="O12" s="1120">
        <v>67.989999999999995</v>
      </c>
      <c r="P12" s="1118">
        <v>71.66</v>
      </c>
      <c r="Q12" s="1118">
        <v>65.05</v>
      </c>
    </row>
    <row r="13" spans="2:17" ht="14.25" customHeight="1">
      <c r="B13" s="1116" t="s">
        <v>1086</v>
      </c>
      <c r="C13" s="1118">
        <v>48.90311234516912</v>
      </c>
      <c r="D13" s="1118">
        <v>47.502016467724509</v>
      </c>
      <c r="E13" s="1119">
        <v>50.236828711562794</v>
      </c>
      <c r="F13" s="1120">
        <v>50.955063612818428</v>
      </c>
      <c r="G13" s="1118">
        <v>50.948827282065601</v>
      </c>
      <c r="H13" s="1119">
        <v>50.931940338352746</v>
      </c>
      <c r="I13" s="1120">
        <v>54.313087882936699</v>
      </c>
      <c r="J13" s="1118">
        <v>55.027031141659215</v>
      </c>
      <c r="K13" s="1119">
        <v>53.809077714599489</v>
      </c>
      <c r="L13" s="1120">
        <v>58.12</v>
      </c>
      <c r="M13" s="1118">
        <v>59.93</v>
      </c>
      <c r="N13" s="1119">
        <v>56.64</v>
      </c>
      <c r="O13" s="1120">
        <v>63.14</v>
      </c>
      <c r="P13" s="1118">
        <v>66.77</v>
      </c>
      <c r="Q13" s="1118">
        <v>60.23</v>
      </c>
    </row>
    <row r="14" spans="2:17" ht="14.25" customHeight="1">
      <c r="B14" s="1116" t="s">
        <v>1087</v>
      </c>
      <c r="C14" s="1118">
        <v>44.231391663518778</v>
      </c>
      <c r="D14" s="1118">
        <v>42.886912610860101</v>
      </c>
      <c r="E14" s="1119">
        <v>45.496948578011462</v>
      </c>
      <c r="F14" s="1120">
        <v>46.179911442521721</v>
      </c>
      <c r="G14" s="1118">
        <v>46.184216732094519</v>
      </c>
      <c r="H14" s="1119">
        <v>46.145495176905513</v>
      </c>
      <c r="I14" s="1120">
        <v>49.509963821717911</v>
      </c>
      <c r="J14" s="1118">
        <v>50.151789751724948</v>
      </c>
      <c r="K14" s="1119">
        <v>49.078313300935754</v>
      </c>
      <c r="L14" s="1120">
        <v>53.25</v>
      </c>
      <c r="M14" s="1118">
        <v>54.99</v>
      </c>
      <c r="N14" s="1119">
        <v>51.83</v>
      </c>
      <c r="O14" s="1120">
        <v>58.28</v>
      </c>
      <c r="P14" s="1118">
        <v>61.85</v>
      </c>
      <c r="Q14" s="1118">
        <v>55.42</v>
      </c>
    </row>
    <row r="15" spans="2:17" ht="14.25" customHeight="1">
      <c r="B15" s="1116" t="s">
        <v>1088</v>
      </c>
      <c r="C15" s="1118">
        <v>39.636331933203309</v>
      </c>
      <c r="D15" s="1118">
        <v>38.383797668509814</v>
      </c>
      <c r="E15" s="1119">
        <v>40.803079343968662</v>
      </c>
      <c r="F15" s="1120">
        <v>41.449151534957217</v>
      </c>
      <c r="G15" s="1118">
        <v>41.46467592785887</v>
      </c>
      <c r="H15" s="1119">
        <v>41.402739153912258</v>
      </c>
      <c r="I15" s="1120">
        <v>44.661043521492431</v>
      </c>
      <c r="J15" s="1118">
        <v>45.313561712614941</v>
      </c>
      <c r="K15" s="1119">
        <v>44.219408932020627</v>
      </c>
      <c r="L15" s="1120">
        <v>48.39</v>
      </c>
      <c r="M15" s="1118">
        <v>50.05</v>
      </c>
      <c r="N15" s="1119">
        <v>47.04</v>
      </c>
      <c r="O15" s="1120">
        <v>53.42</v>
      </c>
      <c r="P15" s="1118">
        <v>56.93</v>
      </c>
      <c r="Q15" s="1118">
        <v>50.62</v>
      </c>
    </row>
    <row r="16" spans="2:17" ht="14.25" customHeight="1">
      <c r="B16" s="1116" t="s">
        <v>1089</v>
      </c>
      <c r="C16" s="1118">
        <v>35.176514068501561</v>
      </c>
      <c r="D16" s="1118">
        <v>34.029737474826184</v>
      </c>
      <c r="E16" s="1119">
        <v>36.225633794007038</v>
      </c>
      <c r="F16" s="1120">
        <v>36.664542682678189</v>
      </c>
      <c r="G16" s="1118">
        <v>36.69868380539716</v>
      </c>
      <c r="H16" s="1119">
        <v>36.598645071101657</v>
      </c>
      <c r="I16" s="1120">
        <v>39.825775979222392</v>
      </c>
      <c r="J16" s="1118">
        <v>40.443451389370345</v>
      </c>
      <c r="K16" s="1119">
        <v>39.420400007784188</v>
      </c>
      <c r="L16" s="1120">
        <v>43.51</v>
      </c>
      <c r="M16" s="1118">
        <v>45.17</v>
      </c>
      <c r="N16" s="1119">
        <v>42.17</v>
      </c>
      <c r="O16" s="1120">
        <v>48.54</v>
      </c>
      <c r="P16" s="1118">
        <v>52.03</v>
      </c>
      <c r="Q16" s="1118">
        <v>45.75</v>
      </c>
    </row>
    <row r="17" spans="1:17" ht="14.25" customHeight="1">
      <c r="B17" s="1116" t="s">
        <v>1090</v>
      </c>
      <c r="C17" s="1118">
        <v>30.804303434648475</v>
      </c>
      <c r="D17" s="1118">
        <v>29.78719997201658</v>
      </c>
      <c r="E17" s="1119">
        <v>31.725009963624224</v>
      </c>
      <c r="F17" s="1120">
        <v>32.139835893464991</v>
      </c>
      <c r="G17" s="1118">
        <v>32.183629404209015</v>
      </c>
      <c r="H17" s="1119">
        <v>32.063291870741288</v>
      </c>
      <c r="I17" s="1120">
        <v>35.05690256048063</v>
      </c>
      <c r="J17" s="1118">
        <v>35.730250001281291</v>
      </c>
      <c r="K17" s="1119">
        <v>34.598600307128194</v>
      </c>
      <c r="L17" s="1120">
        <v>38.65</v>
      </c>
      <c r="M17" s="1118">
        <v>40.26</v>
      </c>
      <c r="N17" s="1119">
        <v>37.35</v>
      </c>
      <c r="O17" s="1120">
        <v>43.67</v>
      </c>
      <c r="P17" s="1118">
        <v>47.16</v>
      </c>
      <c r="Q17" s="1118">
        <v>40.880000000000003</v>
      </c>
    </row>
    <row r="18" spans="1:17" ht="14.25" customHeight="1">
      <c r="B18" s="1116" t="s">
        <v>1091</v>
      </c>
      <c r="C18" s="1118">
        <v>26.444172430353593</v>
      </c>
      <c r="D18" s="1118">
        <v>25.351195896535792</v>
      </c>
      <c r="E18" s="1119">
        <v>27.437402878733181</v>
      </c>
      <c r="F18" s="1120">
        <v>27.64401064562157</v>
      </c>
      <c r="G18" s="1118">
        <v>27.69990263785326</v>
      </c>
      <c r="H18" s="1119">
        <v>27.556233892617762</v>
      </c>
      <c r="I18" s="1120">
        <v>30.346169439556867</v>
      </c>
      <c r="J18" s="1118">
        <v>31.047032343552257</v>
      </c>
      <c r="K18" s="1119">
        <v>29.863614213161284</v>
      </c>
      <c r="L18" s="1120">
        <v>33.86</v>
      </c>
      <c r="M18" s="1118">
        <v>35.450000000000003</v>
      </c>
      <c r="N18" s="1119">
        <v>32.590000000000003</v>
      </c>
      <c r="O18" s="1120">
        <v>38.869999999999997</v>
      </c>
      <c r="P18" s="1118">
        <v>42.34</v>
      </c>
      <c r="Q18" s="1118">
        <v>36.11</v>
      </c>
    </row>
    <row r="19" spans="1:17" ht="14.25" customHeight="1">
      <c r="B19" s="1116" t="s">
        <v>1092</v>
      </c>
      <c r="C19" s="1118">
        <v>22.093512009927998</v>
      </c>
      <c r="D19" s="1118">
        <v>20.975043400853469</v>
      </c>
      <c r="E19" s="1119">
        <v>23.109382198462182</v>
      </c>
      <c r="F19" s="1120">
        <v>23.331751592116532</v>
      </c>
      <c r="G19" s="1118">
        <v>23.291427206298554</v>
      </c>
      <c r="H19" s="1119">
        <v>23.33478201320527</v>
      </c>
      <c r="I19" s="1120">
        <v>25.780662507876009</v>
      </c>
      <c r="J19" s="1118">
        <v>26.45770417247908</v>
      </c>
      <c r="K19" s="1119">
        <v>25.319508409754963</v>
      </c>
      <c r="L19" s="1120">
        <v>29.23</v>
      </c>
      <c r="M19" s="1118">
        <v>30.77</v>
      </c>
      <c r="N19" s="1119">
        <v>28</v>
      </c>
      <c r="O19" s="1120">
        <v>34.17</v>
      </c>
      <c r="P19" s="1118">
        <v>37.53</v>
      </c>
      <c r="Q19" s="1118">
        <v>31.51</v>
      </c>
    </row>
    <row r="20" spans="1:17" ht="14.25" customHeight="1">
      <c r="B20" s="1116" t="s">
        <v>1093</v>
      </c>
      <c r="C20" s="1118">
        <v>18.078091977133127</v>
      </c>
      <c r="D20" s="1118">
        <v>16.86573270928038</v>
      </c>
      <c r="E20" s="1119">
        <v>19.181962492097423</v>
      </c>
      <c r="F20" s="1120">
        <v>19.205735127199961</v>
      </c>
      <c r="G20" s="1118">
        <v>19.019729587799176</v>
      </c>
      <c r="H20" s="1119">
        <v>19.346360245083897</v>
      </c>
      <c r="I20" s="1120">
        <v>21.687732532093907</v>
      </c>
      <c r="J20" s="1118">
        <v>22.365814612084876</v>
      </c>
      <c r="K20" s="1119">
        <v>21.231653806131167</v>
      </c>
      <c r="L20" s="1120">
        <v>24.79</v>
      </c>
      <c r="M20" s="1118">
        <v>26.29</v>
      </c>
      <c r="N20" s="1119">
        <v>23.57</v>
      </c>
      <c r="O20" s="1120">
        <v>29.64</v>
      </c>
      <c r="P20" s="1118">
        <v>32.9</v>
      </c>
      <c r="Q20" s="1118">
        <v>27.06</v>
      </c>
    </row>
    <row r="21" spans="1:17" ht="14.25" customHeight="1">
      <c r="B21" s="1116" t="s">
        <v>1094</v>
      </c>
      <c r="C21" s="1118">
        <v>14.391318144951709</v>
      </c>
      <c r="D21" s="1118">
        <v>13.135202312512115</v>
      </c>
      <c r="E21" s="1119">
        <v>15.538929826800892</v>
      </c>
      <c r="F21" s="1120">
        <v>15.382074408815171</v>
      </c>
      <c r="G21" s="1118">
        <v>15.072524254854798</v>
      </c>
      <c r="H21" s="1119">
        <v>15.627672944799842</v>
      </c>
      <c r="I21" s="1120">
        <v>17.814025959575165</v>
      </c>
      <c r="J21" s="1118">
        <v>18.308794307802188</v>
      </c>
      <c r="K21" s="1119">
        <v>17.525723517167954</v>
      </c>
      <c r="L21" s="1120">
        <v>20.57</v>
      </c>
      <c r="M21" s="1118">
        <v>22.05</v>
      </c>
      <c r="N21" s="1119">
        <v>19.329999999999998</v>
      </c>
      <c r="O21" s="1120">
        <v>25.37</v>
      </c>
      <c r="P21" s="1118">
        <v>28.53</v>
      </c>
      <c r="Q21" s="1118">
        <v>22.87</v>
      </c>
    </row>
    <row r="22" spans="1:17" ht="14.25" customHeight="1">
      <c r="B22" s="1116" t="s">
        <v>1095</v>
      </c>
      <c r="C22" s="1118">
        <v>10.826903054005564</v>
      </c>
      <c r="D22" s="1118">
        <v>9.4687823881684761</v>
      </c>
      <c r="E22" s="1119">
        <v>12.069569678302697</v>
      </c>
      <c r="F22" s="1120">
        <v>11.762789291346394</v>
      </c>
      <c r="G22" s="1118">
        <v>11.375143267663898</v>
      </c>
      <c r="H22" s="1119">
        <v>12.069574222603901</v>
      </c>
      <c r="I22" s="1120">
        <v>14.282973792964247</v>
      </c>
      <c r="J22" s="1118">
        <v>14.749919503727545</v>
      </c>
      <c r="K22" s="1119">
        <v>14.029500082506752</v>
      </c>
      <c r="L22" s="1120">
        <v>17.02</v>
      </c>
      <c r="M22" s="1118">
        <v>18.36</v>
      </c>
      <c r="N22" s="1119">
        <v>15.88</v>
      </c>
      <c r="O22" s="1120">
        <v>21.51</v>
      </c>
      <c r="P22" s="1118">
        <v>24.47</v>
      </c>
      <c r="Q22" s="1118">
        <v>19.12</v>
      </c>
    </row>
    <row r="23" spans="1:17" ht="14.25" customHeight="1">
      <c r="B23" s="1116" t="s">
        <v>1096</v>
      </c>
      <c r="C23" s="1118">
        <v>7.8160870911100666</v>
      </c>
      <c r="D23" s="1118">
        <v>6.4583758833458749</v>
      </c>
      <c r="E23" s="1119">
        <v>9.0816952571854159</v>
      </c>
      <c r="F23" s="1120">
        <v>8.657934465410591</v>
      </c>
      <c r="G23" s="1118">
        <v>8.2202195000698559</v>
      </c>
      <c r="H23" s="1119">
        <v>9.004716060566901</v>
      </c>
      <c r="I23" s="1120">
        <v>11.163615902557487</v>
      </c>
      <c r="J23" s="1118">
        <v>11.592087453738474</v>
      </c>
      <c r="K23" s="1119">
        <v>10.948787551226232</v>
      </c>
      <c r="L23" s="1120">
        <v>13.8</v>
      </c>
      <c r="M23" s="1118">
        <v>15</v>
      </c>
      <c r="N23" s="1119">
        <v>12.78</v>
      </c>
      <c r="O23" s="1120">
        <v>17.899999999999999</v>
      </c>
      <c r="P23" s="1118">
        <v>20.63</v>
      </c>
      <c r="Q23" s="1118">
        <v>15.69</v>
      </c>
    </row>
    <row r="24" spans="1:17" ht="14.25" customHeight="1">
      <c r="B24" s="1116" t="s">
        <v>1097</v>
      </c>
      <c r="C24" s="1118">
        <v>5.4513413202615935</v>
      </c>
      <c r="D24" s="1118">
        <v>4.2515593921334673</v>
      </c>
      <c r="E24" s="1119">
        <v>6.6376607937665169</v>
      </c>
      <c r="F24" s="1120">
        <v>6.1543233759641049</v>
      </c>
      <c r="G24" s="1118">
        <v>5.7142689879618143</v>
      </c>
      <c r="H24" s="1119">
        <v>6.5069398816006823</v>
      </c>
      <c r="I24" s="1120">
        <v>8.507000506832572</v>
      </c>
      <c r="J24" s="1118">
        <v>8.8858507020119255</v>
      </c>
      <c r="K24" s="1119">
        <v>8.3330095590859106</v>
      </c>
      <c r="L24" s="1120">
        <v>10.97</v>
      </c>
      <c r="M24" s="1118">
        <v>12</v>
      </c>
      <c r="N24" s="1119">
        <v>10.08</v>
      </c>
      <c r="O24" s="1120">
        <v>14.59</v>
      </c>
      <c r="P24" s="1118">
        <v>17.03</v>
      </c>
      <c r="Q24" s="1118">
        <v>12.6</v>
      </c>
    </row>
    <row r="25" spans="1:17" ht="11.25" customHeight="1">
      <c r="B25" s="1116" t="s">
        <v>1098</v>
      </c>
      <c r="C25" s="1118">
        <v>3.7898256218911661</v>
      </c>
      <c r="D25" s="1118">
        <v>2.9502324622406739</v>
      </c>
      <c r="E25" s="1119">
        <v>4.7736789435575959</v>
      </c>
      <c r="F25" s="1120">
        <v>4.3079486085907295</v>
      </c>
      <c r="G25" s="1118">
        <v>3.9294581763172149</v>
      </c>
      <c r="H25" s="1119">
        <v>4.6221148049767544</v>
      </c>
      <c r="I25" s="1120">
        <v>6.3459286207991301</v>
      </c>
      <c r="J25" s="1118">
        <v>6.664548651845867</v>
      </c>
      <c r="K25" s="1119">
        <v>6.2129973732199515</v>
      </c>
      <c r="L25" s="1120">
        <v>8.5399999999999991</v>
      </c>
      <c r="M25" s="1118">
        <v>9.3800000000000008</v>
      </c>
      <c r="N25" s="1119">
        <v>7.8</v>
      </c>
      <c r="O25" s="1120">
        <v>11.57</v>
      </c>
      <c r="P25" s="1118">
        <v>13.69</v>
      </c>
      <c r="Q25" s="1118">
        <v>9.9</v>
      </c>
    </row>
    <row r="26" spans="1:17" ht="15">
      <c r="A26" s="134"/>
      <c r="B26" s="1116" t="s">
        <v>1099</v>
      </c>
      <c r="C26" s="1118">
        <v>2.8475549522543226</v>
      </c>
      <c r="D26" s="1118">
        <v>2.529562369042488</v>
      </c>
      <c r="E26" s="1119">
        <v>3.4973956575192351</v>
      </c>
      <c r="F26" s="1120">
        <v>3.1388643024527934</v>
      </c>
      <c r="G26" s="1118">
        <v>2.8954453214149973</v>
      </c>
      <c r="H26" s="1119">
        <v>3.3643012932425238</v>
      </c>
      <c r="I26" s="1120">
        <v>4.6902154042972111</v>
      </c>
      <c r="J26" s="1118">
        <v>4.9389196678556173</v>
      </c>
      <c r="K26" s="1119">
        <v>4.5967965920311045</v>
      </c>
      <c r="L26" s="1120">
        <v>6.52</v>
      </c>
      <c r="M26" s="1118">
        <v>7.17</v>
      </c>
      <c r="N26" s="1119">
        <v>5.93</v>
      </c>
      <c r="O26" s="1120">
        <v>8.83</v>
      </c>
      <c r="P26" s="1118">
        <v>10.59</v>
      </c>
      <c r="Q26" s="1118">
        <v>7.58</v>
      </c>
    </row>
    <row r="27" spans="1:17" ht="15">
      <c r="A27" s="134"/>
      <c r="B27" s="1116" t="s">
        <v>1100</v>
      </c>
      <c r="C27" s="1118">
        <v>2.5329104044985882</v>
      </c>
      <c r="D27" s="1118">
        <v>2.5000915695593817</v>
      </c>
      <c r="E27" s="1119">
        <v>2.7857336218124011</v>
      </c>
      <c r="F27" s="1120">
        <v>2.6117066515668963</v>
      </c>
      <c r="G27" s="1118">
        <v>2.5381589346003839</v>
      </c>
      <c r="H27" s="1119">
        <v>2.7096018900347212</v>
      </c>
      <c r="I27" s="1120">
        <v>3.5228800986726698</v>
      </c>
      <c r="J27" s="1118">
        <v>3.6911689429266796</v>
      </c>
      <c r="K27" s="1119">
        <v>3.4666293957933854</v>
      </c>
      <c r="L27" s="1120">
        <v>4.8600000000000003</v>
      </c>
      <c r="M27" s="1118">
        <v>5.3</v>
      </c>
      <c r="N27" s="1119">
        <v>4.45</v>
      </c>
      <c r="O27" s="1120">
        <v>7.06</v>
      </c>
      <c r="P27" s="1118">
        <v>7.65</v>
      </c>
      <c r="Q27" s="1118">
        <v>5.58</v>
      </c>
    </row>
    <row r="28" spans="1:17" ht="15">
      <c r="A28" s="134"/>
      <c r="B28" s="1116" t="s">
        <v>1101</v>
      </c>
      <c r="C28" s="1118">
        <v>2.500277804354702</v>
      </c>
      <c r="D28" s="1118">
        <v>2.500000000297014</v>
      </c>
      <c r="E28" s="1119">
        <v>2.5253024094467689</v>
      </c>
      <c r="F28" s="1120">
        <v>2.5033521423804097</v>
      </c>
      <c r="G28" s="1118">
        <v>2.5003071758734503</v>
      </c>
      <c r="H28" s="1119">
        <v>2.5128118405585651</v>
      </c>
      <c r="I28" s="1120">
        <v>2.748797525925907</v>
      </c>
      <c r="J28" s="1118">
        <v>2.816809350572445</v>
      </c>
      <c r="K28" s="1119">
        <v>2.7293303594761662</v>
      </c>
      <c r="L28" s="1120">
        <v>3.38</v>
      </c>
      <c r="M28" s="1118">
        <v>3.58</v>
      </c>
      <c r="N28" s="1119">
        <v>3.19</v>
      </c>
      <c r="O28" s="1120">
        <v>4.24</v>
      </c>
      <c r="P28" s="1118">
        <v>4.67</v>
      </c>
      <c r="Q28" s="1118">
        <v>3.72</v>
      </c>
    </row>
    <row r="29" spans="1:17" ht="15">
      <c r="A29" s="339"/>
      <c r="B29" s="932" t="s">
        <v>1102</v>
      </c>
      <c r="C29" s="1121">
        <v>1</v>
      </c>
      <c r="D29" s="1121">
        <v>1</v>
      </c>
      <c r="E29" s="1122">
        <v>1</v>
      </c>
      <c r="F29" s="1123">
        <v>1</v>
      </c>
      <c r="G29" s="1121">
        <v>1</v>
      </c>
      <c r="H29" s="1122">
        <v>1</v>
      </c>
      <c r="I29" s="1123">
        <v>1</v>
      </c>
      <c r="J29" s="1121">
        <v>1</v>
      </c>
      <c r="K29" s="1122">
        <v>1</v>
      </c>
      <c r="L29" s="1123">
        <v>1</v>
      </c>
      <c r="M29" s="1121">
        <v>1</v>
      </c>
      <c r="N29" s="1122">
        <v>1</v>
      </c>
      <c r="O29" s="1123">
        <v>1</v>
      </c>
      <c r="P29" s="1121">
        <v>1</v>
      </c>
      <c r="Q29" s="1121">
        <v>1</v>
      </c>
    </row>
    <row r="30" spans="1:17">
      <c r="A30" s="134"/>
      <c r="B30" s="66" t="s">
        <v>690</v>
      </c>
    </row>
    <row r="31" spans="1:17">
      <c r="A31" s="134"/>
      <c r="B31" s="1117" t="s">
        <v>1141</v>
      </c>
    </row>
    <row r="32" spans="1:17" ht="9" customHeight="1">
      <c r="A32" s="134"/>
    </row>
    <row r="33" spans="1:5" ht="9" customHeight="1">
      <c r="A33" s="134"/>
    </row>
    <row r="34" spans="1:5">
      <c r="A34" s="134"/>
    </row>
    <row r="35" spans="1:5" ht="15">
      <c r="A35" s="134"/>
      <c r="B35" s="935" t="s">
        <v>1110</v>
      </c>
    </row>
    <row r="36" spans="1:5" ht="15">
      <c r="A36" s="134"/>
      <c r="B36" s="935"/>
    </row>
    <row r="37" spans="1:5" ht="15">
      <c r="A37" s="134"/>
      <c r="B37" s="1385" t="s">
        <v>19</v>
      </c>
      <c r="C37" s="1384" t="s">
        <v>688</v>
      </c>
      <c r="D37" s="1384"/>
      <c r="E37" s="1384"/>
    </row>
    <row r="38" spans="1:5" ht="15">
      <c r="A38" s="134"/>
      <c r="B38" s="1386"/>
      <c r="C38" s="513" t="s">
        <v>21</v>
      </c>
      <c r="D38" s="513" t="s">
        <v>23</v>
      </c>
      <c r="E38" s="513" t="s">
        <v>22</v>
      </c>
    </row>
    <row r="39" spans="1:5" ht="15">
      <c r="A39" s="134"/>
      <c r="B39" s="1115">
        <v>1990</v>
      </c>
      <c r="C39" s="1114">
        <v>64.037778986280458</v>
      </c>
      <c r="D39" s="1114">
        <v>62.776510108439673</v>
      </c>
      <c r="E39" s="1114">
        <v>65.235601559425405</v>
      </c>
    </row>
    <row r="40" spans="1:5" ht="15">
      <c r="A40" s="134"/>
      <c r="B40" s="1116">
        <v>1991</v>
      </c>
      <c r="C40" s="635">
        <v>64.898800000000165</v>
      </c>
      <c r="D40" s="635">
        <v>63.955500000000029</v>
      </c>
      <c r="E40" s="635">
        <v>65.636899999999969</v>
      </c>
    </row>
    <row r="41" spans="1:5" ht="15">
      <c r="A41" s="134"/>
      <c r="B41" s="1116">
        <v>1992</v>
      </c>
      <c r="C41" s="635">
        <v>65.66560000000004</v>
      </c>
      <c r="D41" s="635">
        <v>64.91599999999994</v>
      </c>
      <c r="E41" s="635">
        <v>66.232799999999997</v>
      </c>
    </row>
    <row r="42" spans="1:5" ht="15">
      <c r="A42" s="134"/>
      <c r="B42" s="1116">
        <v>1993</v>
      </c>
      <c r="C42" s="635">
        <v>66.432400000000143</v>
      </c>
      <c r="D42" s="635">
        <v>65.876499999999851</v>
      </c>
      <c r="E42" s="635">
        <v>66.828700000000026</v>
      </c>
    </row>
    <row r="43" spans="1:5" ht="15">
      <c r="A43" s="134"/>
      <c r="B43" s="1116">
        <v>1994</v>
      </c>
      <c r="C43" s="635">
        <v>67.199200000000019</v>
      </c>
      <c r="D43" s="635">
        <v>66.836999999999989</v>
      </c>
      <c r="E43" s="635">
        <v>67.424600000000055</v>
      </c>
    </row>
    <row r="44" spans="1:5" ht="15">
      <c r="A44" s="134"/>
      <c r="B44" s="1116">
        <v>1995</v>
      </c>
      <c r="C44" s="635">
        <v>67.483521002359169</v>
      </c>
      <c r="D44" s="635">
        <v>67.680362908687925</v>
      </c>
      <c r="E44" s="635">
        <v>67.267421167569296</v>
      </c>
    </row>
    <row r="45" spans="1:5" ht="12" customHeight="1">
      <c r="B45" s="1116">
        <v>1996</v>
      </c>
      <c r="C45" s="635">
        <v>68.732800000000225</v>
      </c>
      <c r="D45" s="635">
        <v>68.758000000000038</v>
      </c>
      <c r="E45" s="635">
        <v>68.616400000000112</v>
      </c>
    </row>
    <row r="46" spans="1:5" ht="15">
      <c r="B46" s="1116">
        <v>1997</v>
      </c>
      <c r="C46" s="635">
        <v>69.4996000000001</v>
      </c>
      <c r="D46" s="635">
        <v>69.718499999999949</v>
      </c>
      <c r="E46" s="635">
        <v>69.212299999999914</v>
      </c>
    </row>
    <row r="47" spans="1:5" ht="15">
      <c r="B47" s="1116">
        <v>1998</v>
      </c>
      <c r="C47" s="635">
        <v>70.266400000000203</v>
      </c>
      <c r="D47" s="635">
        <v>70.67899999999986</v>
      </c>
      <c r="E47" s="635">
        <v>69.808199999999943</v>
      </c>
    </row>
    <row r="48" spans="1:5" ht="15">
      <c r="B48" s="1116">
        <v>1999</v>
      </c>
      <c r="C48" s="635">
        <v>71.033200000000079</v>
      </c>
      <c r="D48" s="635">
        <v>71.639499999999998</v>
      </c>
      <c r="E48" s="635">
        <v>70.404099999999971</v>
      </c>
    </row>
    <row r="49" spans="2:5" ht="15">
      <c r="B49" s="1116">
        <v>2000</v>
      </c>
      <c r="C49" s="635">
        <v>72.107336768424574</v>
      </c>
      <c r="D49" s="635">
        <v>72.928315665784339</v>
      </c>
      <c r="E49" s="635">
        <v>71.503129893745538</v>
      </c>
    </row>
    <row r="50" spans="2:5" ht="15">
      <c r="B50" s="1116">
        <v>2001</v>
      </c>
      <c r="C50" s="635">
        <v>72.566800000000057</v>
      </c>
      <c r="D50" s="635">
        <v>73.560500000000047</v>
      </c>
      <c r="E50" s="635">
        <v>71.595900000000029</v>
      </c>
    </row>
    <row r="51" spans="2:5" ht="15">
      <c r="B51" s="1116">
        <v>2002</v>
      </c>
      <c r="C51" s="635">
        <v>73.33360000000016</v>
      </c>
      <c r="D51" s="635">
        <v>74.520999999999958</v>
      </c>
      <c r="E51" s="635">
        <v>72.191800000000057</v>
      </c>
    </row>
    <row r="52" spans="2:5" ht="15">
      <c r="B52" s="1116">
        <v>2003</v>
      </c>
      <c r="C52" s="635">
        <v>74.100400000000036</v>
      </c>
      <c r="D52" s="635">
        <v>75.481499999999869</v>
      </c>
      <c r="E52" s="635">
        <v>72.787700000000086</v>
      </c>
    </row>
    <row r="53" spans="2:5" ht="15">
      <c r="B53" s="1116">
        <v>2004</v>
      </c>
      <c r="C53" s="635">
        <v>74.867200000000139</v>
      </c>
      <c r="D53" s="635">
        <v>76.442000000000007</v>
      </c>
      <c r="E53" s="635">
        <v>73.383600000000115</v>
      </c>
    </row>
    <row r="54" spans="2:5" ht="15">
      <c r="B54" s="1116">
        <v>2005</v>
      </c>
      <c r="C54" s="635">
        <v>75.634000000000015</v>
      </c>
      <c r="D54" s="635">
        <v>77.402499999999918</v>
      </c>
      <c r="E54" s="635">
        <v>73.979499999999916</v>
      </c>
    </row>
    <row r="55" spans="2:5" ht="15">
      <c r="B55" s="1116">
        <v>2006</v>
      </c>
      <c r="C55" s="635">
        <v>76.510000000000005</v>
      </c>
      <c r="D55" s="635">
        <v>78.5</v>
      </c>
      <c r="E55" s="635">
        <v>74.87</v>
      </c>
    </row>
    <row r="56" spans="2:5" ht="15">
      <c r="B56" s="1116">
        <v>2007</v>
      </c>
      <c r="C56" s="635">
        <v>77.16760000000022</v>
      </c>
      <c r="D56" s="635">
        <v>79.323499999999967</v>
      </c>
      <c r="E56" s="635">
        <v>75.171299999999974</v>
      </c>
    </row>
    <row r="57" spans="2:5" ht="15">
      <c r="B57" s="1116">
        <v>2008</v>
      </c>
      <c r="C57" s="635">
        <v>77.934400000000096</v>
      </c>
      <c r="D57" s="635">
        <v>80.283999999999878</v>
      </c>
      <c r="E57" s="635">
        <v>75.767200000000003</v>
      </c>
    </row>
    <row r="58" spans="2:5" ht="15">
      <c r="B58" s="1116">
        <v>2009</v>
      </c>
      <c r="C58" s="635">
        <v>78.701200000000199</v>
      </c>
      <c r="D58" s="635">
        <v>81.244500000000016</v>
      </c>
      <c r="E58" s="635">
        <v>76.363100000000031</v>
      </c>
    </row>
    <row r="59" spans="2:5" ht="15">
      <c r="B59" s="1116">
        <v>2010</v>
      </c>
      <c r="C59" s="635">
        <v>79.468000000000075</v>
      </c>
      <c r="D59" s="635">
        <v>82.204999999999899</v>
      </c>
      <c r="E59" s="635">
        <v>76.959000000000103</v>
      </c>
    </row>
    <row r="60" spans="2:5" ht="15">
      <c r="B60" s="1116">
        <v>2011</v>
      </c>
      <c r="C60" s="635">
        <v>80.234800000000178</v>
      </c>
      <c r="D60" s="635">
        <v>83.165499999999838</v>
      </c>
      <c r="E60" s="635">
        <v>77.554900000000089</v>
      </c>
    </row>
    <row r="61" spans="2:5" ht="15">
      <c r="B61" s="1116">
        <v>2012</v>
      </c>
      <c r="C61" s="635">
        <v>81.001600000000053</v>
      </c>
      <c r="D61" s="635">
        <v>84.125999999999976</v>
      </c>
      <c r="E61" s="635">
        <v>78.150800000000118</v>
      </c>
    </row>
    <row r="62" spans="2:5" ht="15">
      <c r="B62" s="1116">
        <v>2013</v>
      </c>
      <c r="C62" s="635">
        <v>81.768400000000199</v>
      </c>
      <c r="D62" s="635">
        <v>85.086499999999901</v>
      </c>
      <c r="E62" s="635">
        <v>78.746699999999919</v>
      </c>
    </row>
    <row r="63" spans="2:5" ht="15">
      <c r="B63" s="1116">
        <v>2014</v>
      </c>
      <c r="C63" s="635">
        <v>81.98</v>
      </c>
      <c r="D63" s="635">
        <v>85.679731568273951</v>
      </c>
      <c r="E63" s="635">
        <v>78.97</v>
      </c>
    </row>
    <row r="64" spans="2:5" ht="15">
      <c r="B64" s="932">
        <v>2015</v>
      </c>
      <c r="C64" s="933">
        <v>83.302000000000135</v>
      </c>
      <c r="D64" s="933">
        <v>87.007499999999936</v>
      </c>
      <c r="E64" s="933">
        <v>79.938499999999976</v>
      </c>
    </row>
    <row r="65" spans="2:2" ht="15.75" customHeight="1">
      <c r="B65" s="934" t="s">
        <v>1109</v>
      </c>
    </row>
    <row r="66" spans="2:2">
      <c r="B66" s="66" t="s">
        <v>1183</v>
      </c>
    </row>
    <row r="67" spans="2:2">
      <c r="B67" s="1198" t="s">
        <v>1141</v>
      </c>
    </row>
  </sheetData>
  <mergeCells count="11">
    <mergeCell ref="C4:Q4"/>
    <mergeCell ref="B4:B6"/>
    <mergeCell ref="B1:Q1"/>
    <mergeCell ref="B2:Q2"/>
    <mergeCell ref="C37:E37"/>
    <mergeCell ref="B37:B38"/>
    <mergeCell ref="C5:E5"/>
    <mergeCell ref="F5:H5"/>
    <mergeCell ref="I5:K5"/>
    <mergeCell ref="L5:N5"/>
    <mergeCell ref="O5:Q5"/>
  </mergeCells>
  <pageMargins left="0.7" right="0.7" top="0.75" bottom="0.75" header="0.3" footer="0.3"/>
  <pageSetup scale="73" orientation="portrait" r:id="rId1"/>
  <colBreaks count="1" manualBreakCount="1">
    <brk id="13"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CN59"/>
  <sheetViews>
    <sheetView view="pageBreakPreview" zoomScale="124" zoomScaleNormal="96" zoomScaleSheetLayoutView="124" workbookViewId="0">
      <selection activeCell="AN15" sqref="AN15"/>
    </sheetView>
  </sheetViews>
  <sheetFormatPr defaultColWidth="10.28515625" defaultRowHeight="18.75"/>
  <cols>
    <col min="1" max="1" width="14" style="340" customWidth="1"/>
    <col min="2" max="2" width="9.140625" style="340" hidden="1" customWidth="1"/>
    <col min="3" max="3" width="9.42578125" style="340" hidden="1" customWidth="1"/>
    <col min="4" max="4" width="11" style="340" hidden="1" customWidth="1"/>
    <col min="5" max="6" width="10.140625" style="340" hidden="1" customWidth="1"/>
    <col min="7" max="7" width="11.28515625" style="340" hidden="1" customWidth="1"/>
    <col min="8" max="24" width="11.5703125" style="340" hidden="1" customWidth="1"/>
    <col min="25" max="25" width="9.42578125" style="340" hidden="1" customWidth="1"/>
    <col min="26" max="26" width="7.140625" style="340" hidden="1" customWidth="1"/>
    <col min="27" max="27" width="8" style="340" hidden="1" customWidth="1"/>
    <col min="28" max="28" width="9.5703125" style="340" hidden="1" customWidth="1"/>
    <col min="29" max="30" width="11.5703125" style="340" customWidth="1"/>
    <col min="31" max="31" width="9.42578125" style="340" customWidth="1"/>
    <col min="32" max="33" width="11.5703125" style="340" customWidth="1"/>
    <col min="34" max="34" width="9.42578125" style="340" customWidth="1"/>
    <col min="35" max="35" width="9.42578125" style="340" hidden="1" customWidth="1"/>
    <col min="36" max="36" width="16.42578125" style="375" customWidth="1"/>
    <col min="37" max="37" width="2.140625" style="340" customWidth="1"/>
    <col min="38" max="38" width="14.5703125" style="340" customWidth="1"/>
    <col min="39" max="41" width="10.42578125" style="340" customWidth="1"/>
    <col min="42" max="48" width="2.85546875" style="340" customWidth="1"/>
    <col min="49" max="49" width="9.28515625" style="340" customWidth="1"/>
    <col min="50" max="70" width="2.85546875" style="340" customWidth="1"/>
    <col min="71" max="73" width="10.28515625" style="340"/>
    <col min="74" max="74" width="10.28515625" style="341"/>
    <col min="75" max="75" width="10.28515625" style="342"/>
    <col min="76" max="78" width="10.28515625" style="341"/>
    <col min="79" max="265" width="10.28515625" style="340"/>
    <col min="266" max="266" width="14" style="340" customWidth="1"/>
    <col min="267" max="278" width="0" style="340" hidden="1" customWidth="1"/>
    <col min="279" max="287" width="11.5703125" style="340" customWidth="1"/>
    <col min="288" max="290" width="0" style="340" hidden="1" customWidth="1"/>
    <col min="291" max="291" width="10.140625" style="340" customWidth="1"/>
    <col min="292" max="292" width="8.85546875" style="340" customWidth="1"/>
    <col min="293" max="293" width="2.140625" style="340" customWidth="1"/>
    <col min="294" max="294" width="14.5703125" style="340" customWidth="1"/>
    <col min="295" max="297" width="10.42578125" style="340" customWidth="1"/>
    <col min="298" max="326" width="2.85546875" style="340" customWidth="1"/>
    <col min="327" max="521" width="10.28515625" style="340"/>
    <col min="522" max="522" width="14" style="340" customWidth="1"/>
    <col min="523" max="534" width="0" style="340" hidden="1" customWidth="1"/>
    <col min="535" max="543" width="11.5703125" style="340" customWidth="1"/>
    <col min="544" max="546" width="0" style="340" hidden="1" customWidth="1"/>
    <col min="547" max="547" width="10.140625" style="340" customWidth="1"/>
    <col min="548" max="548" width="8.85546875" style="340" customWidth="1"/>
    <col min="549" max="549" width="2.140625" style="340" customWidth="1"/>
    <col min="550" max="550" width="14.5703125" style="340" customWidth="1"/>
    <col min="551" max="553" width="10.42578125" style="340" customWidth="1"/>
    <col min="554" max="582" width="2.85546875" style="340" customWidth="1"/>
    <col min="583" max="777" width="10.28515625" style="340"/>
    <col min="778" max="778" width="14" style="340" customWidth="1"/>
    <col min="779" max="790" width="0" style="340" hidden="1" customWidth="1"/>
    <col min="791" max="799" width="11.5703125" style="340" customWidth="1"/>
    <col min="800" max="802" width="0" style="340" hidden="1" customWidth="1"/>
    <col min="803" max="803" width="10.140625" style="340" customWidth="1"/>
    <col min="804" max="804" width="8.85546875" style="340" customWidth="1"/>
    <col min="805" max="805" width="2.140625" style="340" customWidth="1"/>
    <col min="806" max="806" width="14.5703125" style="340" customWidth="1"/>
    <col min="807" max="809" width="10.42578125" style="340" customWidth="1"/>
    <col min="810" max="838" width="2.85546875" style="340" customWidth="1"/>
    <col min="839" max="1033" width="10.28515625" style="340"/>
    <col min="1034" max="1034" width="14" style="340" customWidth="1"/>
    <col min="1035" max="1046" width="0" style="340" hidden="1" customWidth="1"/>
    <col min="1047" max="1055" width="11.5703125" style="340" customWidth="1"/>
    <col min="1056" max="1058" width="0" style="340" hidden="1" customWidth="1"/>
    <col min="1059" max="1059" width="10.140625" style="340" customWidth="1"/>
    <col min="1060" max="1060" width="8.85546875" style="340" customWidth="1"/>
    <col min="1061" max="1061" width="2.140625" style="340" customWidth="1"/>
    <col min="1062" max="1062" width="14.5703125" style="340" customWidth="1"/>
    <col min="1063" max="1065" width="10.42578125" style="340" customWidth="1"/>
    <col min="1066" max="1094" width="2.85546875" style="340" customWidth="1"/>
    <col min="1095" max="1289" width="10.28515625" style="340"/>
    <col min="1290" max="1290" width="14" style="340" customWidth="1"/>
    <col min="1291" max="1302" width="0" style="340" hidden="1" customWidth="1"/>
    <col min="1303" max="1311" width="11.5703125" style="340" customWidth="1"/>
    <col min="1312" max="1314" width="0" style="340" hidden="1" customWidth="1"/>
    <col min="1315" max="1315" width="10.140625" style="340" customWidth="1"/>
    <col min="1316" max="1316" width="8.85546875" style="340" customWidth="1"/>
    <col min="1317" max="1317" width="2.140625" style="340" customWidth="1"/>
    <col min="1318" max="1318" width="14.5703125" style="340" customWidth="1"/>
    <col min="1319" max="1321" width="10.42578125" style="340" customWidth="1"/>
    <col min="1322" max="1350" width="2.85546875" style="340" customWidth="1"/>
    <col min="1351" max="1545" width="10.28515625" style="340"/>
    <col min="1546" max="1546" width="14" style="340" customWidth="1"/>
    <col min="1547" max="1558" width="0" style="340" hidden="1" customWidth="1"/>
    <col min="1559" max="1567" width="11.5703125" style="340" customWidth="1"/>
    <col min="1568" max="1570" width="0" style="340" hidden="1" customWidth="1"/>
    <col min="1571" max="1571" width="10.140625" style="340" customWidth="1"/>
    <col min="1572" max="1572" width="8.85546875" style="340" customWidth="1"/>
    <col min="1573" max="1573" width="2.140625" style="340" customWidth="1"/>
    <col min="1574" max="1574" width="14.5703125" style="340" customWidth="1"/>
    <col min="1575" max="1577" width="10.42578125" style="340" customWidth="1"/>
    <col min="1578" max="1606" width="2.85546875" style="340" customWidth="1"/>
    <col min="1607" max="1801" width="10.28515625" style="340"/>
    <col min="1802" max="1802" width="14" style="340" customWidth="1"/>
    <col min="1803" max="1814" width="0" style="340" hidden="1" customWidth="1"/>
    <col min="1815" max="1823" width="11.5703125" style="340" customWidth="1"/>
    <col min="1824" max="1826" width="0" style="340" hidden="1" customWidth="1"/>
    <col min="1827" max="1827" width="10.140625" style="340" customWidth="1"/>
    <col min="1828" max="1828" width="8.85546875" style="340" customWidth="1"/>
    <col min="1829" max="1829" width="2.140625" style="340" customWidth="1"/>
    <col min="1830" max="1830" width="14.5703125" style="340" customWidth="1"/>
    <col min="1831" max="1833" width="10.42578125" style="340" customWidth="1"/>
    <col min="1834" max="1862" width="2.85546875" style="340" customWidth="1"/>
    <col min="1863" max="2057" width="10.28515625" style="340"/>
    <col min="2058" max="2058" width="14" style="340" customWidth="1"/>
    <col min="2059" max="2070" width="0" style="340" hidden="1" customWidth="1"/>
    <col min="2071" max="2079" width="11.5703125" style="340" customWidth="1"/>
    <col min="2080" max="2082" width="0" style="340" hidden="1" customWidth="1"/>
    <col min="2083" max="2083" width="10.140625" style="340" customWidth="1"/>
    <col min="2084" max="2084" width="8.85546875" style="340" customWidth="1"/>
    <col min="2085" max="2085" width="2.140625" style="340" customWidth="1"/>
    <col min="2086" max="2086" width="14.5703125" style="340" customWidth="1"/>
    <col min="2087" max="2089" width="10.42578125" style="340" customWidth="1"/>
    <col min="2090" max="2118" width="2.85546875" style="340" customWidth="1"/>
    <col min="2119" max="2313" width="10.28515625" style="340"/>
    <col min="2314" max="2314" width="14" style="340" customWidth="1"/>
    <col min="2315" max="2326" width="0" style="340" hidden="1" customWidth="1"/>
    <col min="2327" max="2335" width="11.5703125" style="340" customWidth="1"/>
    <col min="2336" max="2338" width="0" style="340" hidden="1" customWidth="1"/>
    <col min="2339" max="2339" width="10.140625" style="340" customWidth="1"/>
    <col min="2340" max="2340" width="8.85546875" style="340" customWidth="1"/>
    <col min="2341" max="2341" width="2.140625" style="340" customWidth="1"/>
    <col min="2342" max="2342" width="14.5703125" style="340" customWidth="1"/>
    <col min="2343" max="2345" width="10.42578125" style="340" customWidth="1"/>
    <col min="2346" max="2374" width="2.85546875" style="340" customWidth="1"/>
    <col min="2375" max="2569" width="10.28515625" style="340"/>
    <col min="2570" max="2570" width="14" style="340" customWidth="1"/>
    <col min="2571" max="2582" width="0" style="340" hidden="1" customWidth="1"/>
    <col min="2583" max="2591" width="11.5703125" style="340" customWidth="1"/>
    <col min="2592" max="2594" width="0" style="340" hidden="1" customWidth="1"/>
    <col min="2595" max="2595" width="10.140625" style="340" customWidth="1"/>
    <col min="2596" max="2596" width="8.85546875" style="340" customWidth="1"/>
    <col min="2597" max="2597" width="2.140625" style="340" customWidth="1"/>
    <col min="2598" max="2598" width="14.5703125" style="340" customWidth="1"/>
    <col min="2599" max="2601" width="10.42578125" style="340" customWidth="1"/>
    <col min="2602" max="2630" width="2.85546875" style="340" customWidth="1"/>
    <col min="2631" max="2825" width="10.28515625" style="340"/>
    <col min="2826" max="2826" width="14" style="340" customWidth="1"/>
    <col min="2827" max="2838" width="0" style="340" hidden="1" customWidth="1"/>
    <col min="2839" max="2847" width="11.5703125" style="340" customWidth="1"/>
    <col min="2848" max="2850" width="0" style="340" hidden="1" customWidth="1"/>
    <col min="2851" max="2851" width="10.140625" style="340" customWidth="1"/>
    <col min="2852" max="2852" width="8.85546875" style="340" customWidth="1"/>
    <col min="2853" max="2853" width="2.140625" style="340" customWidth="1"/>
    <col min="2854" max="2854" width="14.5703125" style="340" customWidth="1"/>
    <col min="2855" max="2857" width="10.42578125" style="340" customWidth="1"/>
    <col min="2858" max="2886" width="2.85546875" style="340" customWidth="1"/>
    <col min="2887" max="3081" width="10.28515625" style="340"/>
    <col min="3082" max="3082" width="14" style="340" customWidth="1"/>
    <col min="3083" max="3094" width="0" style="340" hidden="1" customWidth="1"/>
    <col min="3095" max="3103" width="11.5703125" style="340" customWidth="1"/>
    <col min="3104" max="3106" width="0" style="340" hidden="1" customWidth="1"/>
    <col min="3107" max="3107" width="10.140625" style="340" customWidth="1"/>
    <col min="3108" max="3108" width="8.85546875" style="340" customWidth="1"/>
    <col min="3109" max="3109" width="2.140625" style="340" customWidth="1"/>
    <col min="3110" max="3110" width="14.5703125" style="340" customWidth="1"/>
    <col min="3111" max="3113" width="10.42578125" style="340" customWidth="1"/>
    <col min="3114" max="3142" width="2.85546875" style="340" customWidth="1"/>
    <col min="3143" max="3337" width="10.28515625" style="340"/>
    <col min="3338" max="3338" width="14" style="340" customWidth="1"/>
    <col min="3339" max="3350" width="0" style="340" hidden="1" customWidth="1"/>
    <col min="3351" max="3359" width="11.5703125" style="340" customWidth="1"/>
    <col min="3360" max="3362" width="0" style="340" hidden="1" customWidth="1"/>
    <col min="3363" max="3363" width="10.140625" style="340" customWidth="1"/>
    <col min="3364" max="3364" width="8.85546875" style="340" customWidth="1"/>
    <col min="3365" max="3365" width="2.140625" style="340" customWidth="1"/>
    <col min="3366" max="3366" width="14.5703125" style="340" customWidth="1"/>
    <col min="3367" max="3369" width="10.42578125" style="340" customWidth="1"/>
    <col min="3370" max="3398" width="2.85546875" style="340" customWidth="1"/>
    <col min="3399" max="3593" width="10.28515625" style="340"/>
    <col min="3594" max="3594" width="14" style="340" customWidth="1"/>
    <col min="3595" max="3606" width="0" style="340" hidden="1" customWidth="1"/>
    <col min="3607" max="3615" width="11.5703125" style="340" customWidth="1"/>
    <col min="3616" max="3618" width="0" style="340" hidden="1" customWidth="1"/>
    <col min="3619" max="3619" width="10.140625" style="340" customWidth="1"/>
    <col min="3620" max="3620" width="8.85546875" style="340" customWidth="1"/>
    <col min="3621" max="3621" width="2.140625" style="340" customWidth="1"/>
    <col min="3622" max="3622" width="14.5703125" style="340" customWidth="1"/>
    <col min="3623" max="3625" width="10.42578125" style="340" customWidth="1"/>
    <col min="3626" max="3654" width="2.85546875" style="340" customWidth="1"/>
    <col min="3655" max="3849" width="10.28515625" style="340"/>
    <col min="3850" max="3850" width="14" style="340" customWidth="1"/>
    <col min="3851" max="3862" width="0" style="340" hidden="1" customWidth="1"/>
    <col min="3863" max="3871" width="11.5703125" style="340" customWidth="1"/>
    <col min="3872" max="3874" width="0" style="340" hidden="1" customWidth="1"/>
    <col min="3875" max="3875" width="10.140625" style="340" customWidth="1"/>
    <col min="3876" max="3876" width="8.85546875" style="340" customWidth="1"/>
    <col min="3877" max="3877" width="2.140625" style="340" customWidth="1"/>
    <col min="3878" max="3878" width="14.5703125" style="340" customWidth="1"/>
    <col min="3879" max="3881" width="10.42578125" style="340" customWidth="1"/>
    <col min="3882" max="3910" width="2.85546875" style="340" customWidth="1"/>
    <col min="3911" max="4105" width="10.28515625" style="340"/>
    <col min="4106" max="4106" width="14" style="340" customWidth="1"/>
    <col min="4107" max="4118" width="0" style="340" hidden="1" customWidth="1"/>
    <col min="4119" max="4127" width="11.5703125" style="340" customWidth="1"/>
    <col min="4128" max="4130" width="0" style="340" hidden="1" customWidth="1"/>
    <col min="4131" max="4131" width="10.140625" style="340" customWidth="1"/>
    <col min="4132" max="4132" width="8.85546875" style="340" customWidth="1"/>
    <col min="4133" max="4133" width="2.140625" style="340" customWidth="1"/>
    <col min="4134" max="4134" width="14.5703125" style="340" customWidth="1"/>
    <col min="4135" max="4137" width="10.42578125" style="340" customWidth="1"/>
    <col min="4138" max="4166" width="2.85546875" style="340" customWidth="1"/>
    <col min="4167" max="4361" width="10.28515625" style="340"/>
    <col min="4362" max="4362" width="14" style="340" customWidth="1"/>
    <col min="4363" max="4374" width="0" style="340" hidden="1" customWidth="1"/>
    <col min="4375" max="4383" width="11.5703125" style="340" customWidth="1"/>
    <col min="4384" max="4386" width="0" style="340" hidden="1" customWidth="1"/>
    <col min="4387" max="4387" width="10.140625" style="340" customWidth="1"/>
    <col min="4388" max="4388" width="8.85546875" style="340" customWidth="1"/>
    <col min="4389" max="4389" width="2.140625" style="340" customWidth="1"/>
    <col min="4390" max="4390" width="14.5703125" style="340" customWidth="1"/>
    <col min="4391" max="4393" width="10.42578125" style="340" customWidth="1"/>
    <col min="4394" max="4422" width="2.85546875" style="340" customWidth="1"/>
    <col min="4423" max="4617" width="10.28515625" style="340"/>
    <col min="4618" max="4618" width="14" style="340" customWidth="1"/>
    <col min="4619" max="4630" width="0" style="340" hidden="1" customWidth="1"/>
    <col min="4631" max="4639" width="11.5703125" style="340" customWidth="1"/>
    <col min="4640" max="4642" width="0" style="340" hidden="1" customWidth="1"/>
    <col min="4643" max="4643" width="10.140625" style="340" customWidth="1"/>
    <col min="4644" max="4644" width="8.85546875" style="340" customWidth="1"/>
    <col min="4645" max="4645" width="2.140625" style="340" customWidth="1"/>
    <col min="4646" max="4646" width="14.5703125" style="340" customWidth="1"/>
    <col min="4647" max="4649" width="10.42578125" style="340" customWidth="1"/>
    <col min="4650" max="4678" width="2.85546875" style="340" customWidth="1"/>
    <col min="4679" max="4873" width="10.28515625" style="340"/>
    <col min="4874" max="4874" width="14" style="340" customWidth="1"/>
    <col min="4875" max="4886" width="0" style="340" hidden="1" customWidth="1"/>
    <col min="4887" max="4895" width="11.5703125" style="340" customWidth="1"/>
    <col min="4896" max="4898" width="0" style="340" hidden="1" customWidth="1"/>
    <col min="4899" max="4899" width="10.140625" style="340" customWidth="1"/>
    <col min="4900" max="4900" width="8.85546875" style="340" customWidth="1"/>
    <col min="4901" max="4901" width="2.140625" style="340" customWidth="1"/>
    <col min="4902" max="4902" width="14.5703125" style="340" customWidth="1"/>
    <col min="4903" max="4905" width="10.42578125" style="340" customWidth="1"/>
    <col min="4906" max="4934" width="2.85546875" style="340" customWidth="1"/>
    <col min="4935" max="5129" width="10.28515625" style="340"/>
    <col min="5130" max="5130" width="14" style="340" customWidth="1"/>
    <col min="5131" max="5142" width="0" style="340" hidden="1" customWidth="1"/>
    <col min="5143" max="5151" width="11.5703125" style="340" customWidth="1"/>
    <col min="5152" max="5154" width="0" style="340" hidden="1" customWidth="1"/>
    <col min="5155" max="5155" width="10.140625" style="340" customWidth="1"/>
    <col min="5156" max="5156" width="8.85546875" style="340" customWidth="1"/>
    <col min="5157" max="5157" width="2.140625" style="340" customWidth="1"/>
    <col min="5158" max="5158" width="14.5703125" style="340" customWidth="1"/>
    <col min="5159" max="5161" width="10.42578125" style="340" customWidth="1"/>
    <col min="5162" max="5190" width="2.85546875" style="340" customWidth="1"/>
    <col min="5191" max="5385" width="10.28515625" style="340"/>
    <col min="5386" max="5386" width="14" style="340" customWidth="1"/>
    <col min="5387" max="5398" width="0" style="340" hidden="1" customWidth="1"/>
    <col min="5399" max="5407" width="11.5703125" style="340" customWidth="1"/>
    <col min="5408" max="5410" width="0" style="340" hidden="1" customWidth="1"/>
    <col min="5411" max="5411" width="10.140625" style="340" customWidth="1"/>
    <col min="5412" max="5412" width="8.85546875" style="340" customWidth="1"/>
    <col min="5413" max="5413" width="2.140625" style="340" customWidth="1"/>
    <col min="5414" max="5414" width="14.5703125" style="340" customWidth="1"/>
    <col min="5415" max="5417" width="10.42578125" style="340" customWidth="1"/>
    <col min="5418" max="5446" width="2.85546875" style="340" customWidth="1"/>
    <col min="5447" max="5641" width="10.28515625" style="340"/>
    <col min="5642" max="5642" width="14" style="340" customWidth="1"/>
    <col min="5643" max="5654" width="0" style="340" hidden="1" customWidth="1"/>
    <col min="5655" max="5663" width="11.5703125" style="340" customWidth="1"/>
    <col min="5664" max="5666" width="0" style="340" hidden="1" customWidth="1"/>
    <col min="5667" max="5667" width="10.140625" style="340" customWidth="1"/>
    <col min="5668" max="5668" width="8.85546875" style="340" customWidth="1"/>
    <col min="5669" max="5669" width="2.140625" style="340" customWidth="1"/>
    <col min="5670" max="5670" width="14.5703125" style="340" customWidth="1"/>
    <col min="5671" max="5673" width="10.42578125" style="340" customWidth="1"/>
    <col min="5674" max="5702" width="2.85546875" style="340" customWidth="1"/>
    <col min="5703" max="5897" width="10.28515625" style="340"/>
    <col min="5898" max="5898" width="14" style="340" customWidth="1"/>
    <col min="5899" max="5910" width="0" style="340" hidden="1" customWidth="1"/>
    <col min="5911" max="5919" width="11.5703125" style="340" customWidth="1"/>
    <col min="5920" max="5922" width="0" style="340" hidden="1" customWidth="1"/>
    <col min="5923" max="5923" width="10.140625" style="340" customWidth="1"/>
    <col min="5924" max="5924" width="8.85546875" style="340" customWidth="1"/>
    <col min="5925" max="5925" width="2.140625" style="340" customWidth="1"/>
    <col min="5926" max="5926" width="14.5703125" style="340" customWidth="1"/>
    <col min="5927" max="5929" width="10.42578125" style="340" customWidth="1"/>
    <col min="5930" max="5958" width="2.85546875" style="340" customWidth="1"/>
    <col min="5959" max="6153" width="10.28515625" style="340"/>
    <col min="6154" max="6154" width="14" style="340" customWidth="1"/>
    <col min="6155" max="6166" width="0" style="340" hidden="1" customWidth="1"/>
    <col min="6167" max="6175" width="11.5703125" style="340" customWidth="1"/>
    <col min="6176" max="6178" width="0" style="340" hidden="1" customWidth="1"/>
    <col min="6179" max="6179" width="10.140625" style="340" customWidth="1"/>
    <col min="6180" max="6180" width="8.85546875" style="340" customWidth="1"/>
    <col min="6181" max="6181" width="2.140625" style="340" customWidth="1"/>
    <col min="6182" max="6182" width="14.5703125" style="340" customWidth="1"/>
    <col min="6183" max="6185" width="10.42578125" style="340" customWidth="1"/>
    <col min="6186" max="6214" width="2.85546875" style="340" customWidth="1"/>
    <col min="6215" max="6409" width="10.28515625" style="340"/>
    <col min="6410" max="6410" width="14" style="340" customWidth="1"/>
    <col min="6411" max="6422" width="0" style="340" hidden="1" customWidth="1"/>
    <col min="6423" max="6431" width="11.5703125" style="340" customWidth="1"/>
    <col min="6432" max="6434" width="0" style="340" hidden="1" customWidth="1"/>
    <col min="6435" max="6435" width="10.140625" style="340" customWidth="1"/>
    <col min="6436" max="6436" width="8.85546875" style="340" customWidth="1"/>
    <col min="6437" max="6437" width="2.140625" style="340" customWidth="1"/>
    <col min="6438" max="6438" width="14.5703125" style="340" customWidth="1"/>
    <col min="6439" max="6441" width="10.42578125" style="340" customWidth="1"/>
    <col min="6442" max="6470" width="2.85546875" style="340" customWidth="1"/>
    <col min="6471" max="6665" width="10.28515625" style="340"/>
    <col min="6666" max="6666" width="14" style="340" customWidth="1"/>
    <col min="6667" max="6678" width="0" style="340" hidden="1" customWidth="1"/>
    <col min="6679" max="6687" width="11.5703125" style="340" customWidth="1"/>
    <col min="6688" max="6690" width="0" style="340" hidden="1" customWidth="1"/>
    <col min="6691" max="6691" width="10.140625" style="340" customWidth="1"/>
    <col min="6692" max="6692" width="8.85546875" style="340" customWidth="1"/>
    <col min="6693" max="6693" width="2.140625" style="340" customWidth="1"/>
    <col min="6694" max="6694" width="14.5703125" style="340" customWidth="1"/>
    <col min="6695" max="6697" width="10.42578125" style="340" customWidth="1"/>
    <col min="6698" max="6726" width="2.85546875" style="340" customWidth="1"/>
    <col min="6727" max="6921" width="10.28515625" style="340"/>
    <col min="6922" max="6922" width="14" style="340" customWidth="1"/>
    <col min="6923" max="6934" width="0" style="340" hidden="1" customWidth="1"/>
    <col min="6935" max="6943" width="11.5703125" style="340" customWidth="1"/>
    <col min="6944" max="6946" width="0" style="340" hidden="1" customWidth="1"/>
    <col min="6947" max="6947" width="10.140625" style="340" customWidth="1"/>
    <col min="6948" max="6948" width="8.85546875" style="340" customWidth="1"/>
    <col min="6949" max="6949" width="2.140625" style="340" customWidth="1"/>
    <col min="6950" max="6950" width="14.5703125" style="340" customWidth="1"/>
    <col min="6951" max="6953" width="10.42578125" style="340" customWidth="1"/>
    <col min="6954" max="6982" width="2.85546875" style="340" customWidth="1"/>
    <col min="6983" max="7177" width="10.28515625" style="340"/>
    <col min="7178" max="7178" width="14" style="340" customWidth="1"/>
    <col min="7179" max="7190" width="0" style="340" hidden="1" customWidth="1"/>
    <col min="7191" max="7199" width="11.5703125" style="340" customWidth="1"/>
    <col min="7200" max="7202" width="0" style="340" hidden="1" customWidth="1"/>
    <col min="7203" max="7203" width="10.140625" style="340" customWidth="1"/>
    <col min="7204" max="7204" width="8.85546875" style="340" customWidth="1"/>
    <col min="7205" max="7205" width="2.140625" style="340" customWidth="1"/>
    <col min="7206" max="7206" width="14.5703125" style="340" customWidth="1"/>
    <col min="7207" max="7209" width="10.42578125" style="340" customWidth="1"/>
    <col min="7210" max="7238" width="2.85546875" style="340" customWidth="1"/>
    <col min="7239" max="7433" width="10.28515625" style="340"/>
    <col min="7434" max="7434" width="14" style="340" customWidth="1"/>
    <col min="7435" max="7446" width="0" style="340" hidden="1" customWidth="1"/>
    <col min="7447" max="7455" width="11.5703125" style="340" customWidth="1"/>
    <col min="7456" max="7458" width="0" style="340" hidden="1" customWidth="1"/>
    <col min="7459" max="7459" width="10.140625" style="340" customWidth="1"/>
    <col min="7460" max="7460" width="8.85546875" style="340" customWidth="1"/>
    <col min="7461" max="7461" width="2.140625" style="340" customWidth="1"/>
    <col min="7462" max="7462" width="14.5703125" style="340" customWidth="1"/>
    <col min="7463" max="7465" width="10.42578125" style="340" customWidth="1"/>
    <col min="7466" max="7494" width="2.85546875" style="340" customWidth="1"/>
    <col min="7495" max="7689" width="10.28515625" style="340"/>
    <col min="7690" max="7690" width="14" style="340" customWidth="1"/>
    <col min="7691" max="7702" width="0" style="340" hidden="1" customWidth="1"/>
    <col min="7703" max="7711" width="11.5703125" style="340" customWidth="1"/>
    <col min="7712" max="7714" width="0" style="340" hidden="1" customWidth="1"/>
    <col min="7715" max="7715" width="10.140625" style="340" customWidth="1"/>
    <col min="7716" max="7716" width="8.85546875" style="340" customWidth="1"/>
    <col min="7717" max="7717" width="2.140625" style="340" customWidth="1"/>
    <col min="7718" max="7718" width="14.5703125" style="340" customWidth="1"/>
    <col min="7719" max="7721" width="10.42578125" style="340" customWidth="1"/>
    <col min="7722" max="7750" width="2.85546875" style="340" customWidth="1"/>
    <col min="7751" max="7945" width="10.28515625" style="340"/>
    <col min="7946" max="7946" width="14" style="340" customWidth="1"/>
    <col min="7947" max="7958" width="0" style="340" hidden="1" customWidth="1"/>
    <col min="7959" max="7967" width="11.5703125" style="340" customWidth="1"/>
    <col min="7968" max="7970" width="0" style="340" hidden="1" customWidth="1"/>
    <col min="7971" max="7971" width="10.140625" style="340" customWidth="1"/>
    <col min="7972" max="7972" width="8.85546875" style="340" customWidth="1"/>
    <col min="7973" max="7973" width="2.140625" style="340" customWidth="1"/>
    <col min="7974" max="7974" width="14.5703125" style="340" customWidth="1"/>
    <col min="7975" max="7977" width="10.42578125" style="340" customWidth="1"/>
    <col min="7978" max="8006" width="2.85546875" style="340" customWidth="1"/>
    <col min="8007" max="8201" width="10.28515625" style="340"/>
    <col min="8202" max="8202" width="14" style="340" customWidth="1"/>
    <col min="8203" max="8214" width="0" style="340" hidden="1" customWidth="1"/>
    <col min="8215" max="8223" width="11.5703125" style="340" customWidth="1"/>
    <col min="8224" max="8226" width="0" style="340" hidden="1" customWidth="1"/>
    <col min="8227" max="8227" width="10.140625" style="340" customWidth="1"/>
    <col min="8228" max="8228" width="8.85546875" style="340" customWidth="1"/>
    <col min="8229" max="8229" width="2.140625" style="340" customWidth="1"/>
    <col min="8230" max="8230" width="14.5703125" style="340" customWidth="1"/>
    <col min="8231" max="8233" width="10.42578125" style="340" customWidth="1"/>
    <col min="8234" max="8262" width="2.85546875" style="340" customWidth="1"/>
    <col min="8263" max="8457" width="10.28515625" style="340"/>
    <col min="8458" max="8458" width="14" style="340" customWidth="1"/>
    <col min="8459" max="8470" width="0" style="340" hidden="1" customWidth="1"/>
    <col min="8471" max="8479" width="11.5703125" style="340" customWidth="1"/>
    <col min="8480" max="8482" width="0" style="340" hidden="1" customWidth="1"/>
    <col min="8483" max="8483" width="10.140625" style="340" customWidth="1"/>
    <col min="8484" max="8484" width="8.85546875" style="340" customWidth="1"/>
    <col min="8485" max="8485" width="2.140625" style="340" customWidth="1"/>
    <col min="8486" max="8486" width="14.5703125" style="340" customWidth="1"/>
    <col min="8487" max="8489" width="10.42578125" style="340" customWidth="1"/>
    <col min="8490" max="8518" width="2.85546875" style="340" customWidth="1"/>
    <col min="8519" max="8713" width="10.28515625" style="340"/>
    <col min="8714" max="8714" width="14" style="340" customWidth="1"/>
    <col min="8715" max="8726" width="0" style="340" hidden="1" customWidth="1"/>
    <col min="8727" max="8735" width="11.5703125" style="340" customWidth="1"/>
    <col min="8736" max="8738" width="0" style="340" hidden="1" customWidth="1"/>
    <col min="8739" max="8739" width="10.140625" style="340" customWidth="1"/>
    <col min="8740" max="8740" width="8.85546875" style="340" customWidth="1"/>
    <col min="8741" max="8741" width="2.140625" style="340" customWidth="1"/>
    <col min="8742" max="8742" width="14.5703125" style="340" customWidth="1"/>
    <col min="8743" max="8745" width="10.42578125" style="340" customWidth="1"/>
    <col min="8746" max="8774" width="2.85546875" style="340" customWidth="1"/>
    <col min="8775" max="8969" width="10.28515625" style="340"/>
    <col min="8970" max="8970" width="14" style="340" customWidth="1"/>
    <col min="8971" max="8982" width="0" style="340" hidden="1" customWidth="1"/>
    <col min="8983" max="8991" width="11.5703125" style="340" customWidth="1"/>
    <col min="8992" max="8994" width="0" style="340" hidden="1" customWidth="1"/>
    <col min="8995" max="8995" width="10.140625" style="340" customWidth="1"/>
    <col min="8996" max="8996" width="8.85546875" style="340" customWidth="1"/>
    <col min="8997" max="8997" width="2.140625" style="340" customWidth="1"/>
    <col min="8998" max="8998" width="14.5703125" style="340" customWidth="1"/>
    <col min="8999" max="9001" width="10.42578125" style="340" customWidth="1"/>
    <col min="9002" max="9030" width="2.85546875" style="340" customWidth="1"/>
    <col min="9031" max="9225" width="10.28515625" style="340"/>
    <col min="9226" max="9226" width="14" style="340" customWidth="1"/>
    <col min="9227" max="9238" width="0" style="340" hidden="1" customWidth="1"/>
    <col min="9239" max="9247" width="11.5703125" style="340" customWidth="1"/>
    <col min="9248" max="9250" width="0" style="340" hidden="1" customWidth="1"/>
    <col min="9251" max="9251" width="10.140625" style="340" customWidth="1"/>
    <col min="9252" max="9252" width="8.85546875" style="340" customWidth="1"/>
    <col min="9253" max="9253" width="2.140625" style="340" customWidth="1"/>
    <col min="9254" max="9254" width="14.5703125" style="340" customWidth="1"/>
    <col min="9255" max="9257" width="10.42578125" style="340" customWidth="1"/>
    <col min="9258" max="9286" width="2.85546875" style="340" customWidth="1"/>
    <col min="9287" max="9481" width="10.28515625" style="340"/>
    <col min="9482" max="9482" width="14" style="340" customWidth="1"/>
    <col min="9483" max="9494" width="0" style="340" hidden="1" customWidth="1"/>
    <col min="9495" max="9503" width="11.5703125" style="340" customWidth="1"/>
    <col min="9504" max="9506" width="0" style="340" hidden="1" customWidth="1"/>
    <col min="9507" max="9507" width="10.140625" style="340" customWidth="1"/>
    <col min="9508" max="9508" width="8.85546875" style="340" customWidth="1"/>
    <col min="9509" max="9509" width="2.140625" style="340" customWidth="1"/>
    <col min="9510" max="9510" width="14.5703125" style="340" customWidth="1"/>
    <col min="9511" max="9513" width="10.42578125" style="340" customWidth="1"/>
    <col min="9514" max="9542" width="2.85546875" style="340" customWidth="1"/>
    <col min="9543" max="9737" width="10.28515625" style="340"/>
    <col min="9738" max="9738" width="14" style="340" customWidth="1"/>
    <col min="9739" max="9750" width="0" style="340" hidden="1" customWidth="1"/>
    <col min="9751" max="9759" width="11.5703125" style="340" customWidth="1"/>
    <col min="9760" max="9762" width="0" style="340" hidden="1" customWidth="1"/>
    <col min="9763" max="9763" width="10.140625" style="340" customWidth="1"/>
    <col min="9764" max="9764" width="8.85546875" style="340" customWidth="1"/>
    <col min="9765" max="9765" width="2.140625" style="340" customWidth="1"/>
    <col min="9766" max="9766" width="14.5703125" style="340" customWidth="1"/>
    <col min="9767" max="9769" width="10.42578125" style="340" customWidth="1"/>
    <col min="9770" max="9798" width="2.85546875" style="340" customWidth="1"/>
    <col min="9799" max="9993" width="10.28515625" style="340"/>
    <col min="9994" max="9994" width="14" style="340" customWidth="1"/>
    <col min="9995" max="10006" width="0" style="340" hidden="1" customWidth="1"/>
    <col min="10007" max="10015" width="11.5703125" style="340" customWidth="1"/>
    <col min="10016" max="10018" width="0" style="340" hidden="1" customWidth="1"/>
    <col min="10019" max="10019" width="10.140625" style="340" customWidth="1"/>
    <col min="10020" max="10020" width="8.85546875" style="340" customWidth="1"/>
    <col min="10021" max="10021" width="2.140625" style="340" customWidth="1"/>
    <col min="10022" max="10022" width="14.5703125" style="340" customWidth="1"/>
    <col min="10023" max="10025" width="10.42578125" style="340" customWidth="1"/>
    <col min="10026" max="10054" width="2.85546875" style="340" customWidth="1"/>
    <col min="10055" max="10249" width="10.28515625" style="340"/>
    <col min="10250" max="10250" width="14" style="340" customWidth="1"/>
    <col min="10251" max="10262" width="0" style="340" hidden="1" customWidth="1"/>
    <col min="10263" max="10271" width="11.5703125" style="340" customWidth="1"/>
    <col min="10272" max="10274" width="0" style="340" hidden="1" customWidth="1"/>
    <col min="10275" max="10275" width="10.140625" style="340" customWidth="1"/>
    <col min="10276" max="10276" width="8.85546875" style="340" customWidth="1"/>
    <col min="10277" max="10277" width="2.140625" style="340" customWidth="1"/>
    <col min="10278" max="10278" width="14.5703125" style="340" customWidth="1"/>
    <col min="10279" max="10281" width="10.42578125" style="340" customWidth="1"/>
    <col min="10282" max="10310" width="2.85546875" style="340" customWidth="1"/>
    <col min="10311" max="10505" width="10.28515625" style="340"/>
    <col min="10506" max="10506" width="14" style="340" customWidth="1"/>
    <col min="10507" max="10518" width="0" style="340" hidden="1" customWidth="1"/>
    <col min="10519" max="10527" width="11.5703125" style="340" customWidth="1"/>
    <col min="10528" max="10530" width="0" style="340" hidden="1" customWidth="1"/>
    <col min="10531" max="10531" width="10.140625" style="340" customWidth="1"/>
    <col min="10532" max="10532" width="8.85546875" style="340" customWidth="1"/>
    <col min="10533" max="10533" width="2.140625" style="340" customWidth="1"/>
    <col min="10534" max="10534" width="14.5703125" style="340" customWidth="1"/>
    <col min="10535" max="10537" width="10.42578125" style="340" customWidth="1"/>
    <col min="10538" max="10566" width="2.85546875" style="340" customWidth="1"/>
    <col min="10567" max="10761" width="10.28515625" style="340"/>
    <col min="10762" max="10762" width="14" style="340" customWidth="1"/>
    <col min="10763" max="10774" width="0" style="340" hidden="1" customWidth="1"/>
    <col min="10775" max="10783" width="11.5703125" style="340" customWidth="1"/>
    <col min="10784" max="10786" width="0" style="340" hidden="1" customWidth="1"/>
    <col min="10787" max="10787" width="10.140625" style="340" customWidth="1"/>
    <col min="10788" max="10788" width="8.85546875" style="340" customWidth="1"/>
    <col min="10789" max="10789" width="2.140625" style="340" customWidth="1"/>
    <col min="10790" max="10790" width="14.5703125" style="340" customWidth="1"/>
    <col min="10791" max="10793" width="10.42578125" style="340" customWidth="1"/>
    <col min="10794" max="10822" width="2.85546875" style="340" customWidth="1"/>
    <col min="10823" max="11017" width="10.28515625" style="340"/>
    <col min="11018" max="11018" width="14" style="340" customWidth="1"/>
    <col min="11019" max="11030" width="0" style="340" hidden="1" customWidth="1"/>
    <col min="11031" max="11039" width="11.5703125" style="340" customWidth="1"/>
    <col min="11040" max="11042" width="0" style="340" hidden="1" customWidth="1"/>
    <col min="11043" max="11043" width="10.140625" style="340" customWidth="1"/>
    <col min="11044" max="11044" width="8.85546875" style="340" customWidth="1"/>
    <col min="11045" max="11045" width="2.140625" style="340" customWidth="1"/>
    <col min="11046" max="11046" width="14.5703125" style="340" customWidth="1"/>
    <col min="11047" max="11049" width="10.42578125" style="340" customWidth="1"/>
    <col min="11050" max="11078" width="2.85546875" style="340" customWidth="1"/>
    <col min="11079" max="11273" width="10.28515625" style="340"/>
    <col min="11274" max="11274" width="14" style="340" customWidth="1"/>
    <col min="11275" max="11286" width="0" style="340" hidden="1" customWidth="1"/>
    <col min="11287" max="11295" width="11.5703125" style="340" customWidth="1"/>
    <col min="11296" max="11298" width="0" style="340" hidden="1" customWidth="1"/>
    <col min="11299" max="11299" width="10.140625" style="340" customWidth="1"/>
    <col min="11300" max="11300" width="8.85546875" style="340" customWidth="1"/>
    <col min="11301" max="11301" width="2.140625" style="340" customWidth="1"/>
    <col min="11302" max="11302" width="14.5703125" style="340" customWidth="1"/>
    <col min="11303" max="11305" width="10.42578125" style="340" customWidth="1"/>
    <col min="11306" max="11334" width="2.85546875" style="340" customWidth="1"/>
    <col min="11335" max="11529" width="10.28515625" style="340"/>
    <col min="11530" max="11530" width="14" style="340" customWidth="1"/>
    <col min="11531" max="11542" width="0" style="340" hidden="1" customWidth="1"/>
    <col min="11543" max="11551" width="11.5703125" style="340" customWidth="1"/>
    <col min="11552" max="11554" width="0" style="340" hidden="1" customWidth="1"/>
    <col min="11555" max="11555" width="10.140625" style="340" customWidth="1"/>
    <col min="11556" max="11556" width="8.85546875" style="340" customWidth="1"/>
    <col min="11557" max="11557" width="2.140625" style="340" customWidth="1"/>
    <col min="11558" max="11558" width="14.5703125" style="340" customWidth="1"/>
    <col min="11559" max="11561" width="10.42578125" style="340" customWidth="1"/>
    <col min="11562" max="11590" width="2.85546875" style="340" customWidth="1"/>
    <col min="11591" max="11785" width="10.28515625" style="340"/>
    <col min="11786" max="11786" width="14" style="340" customWidth="1"/>
    <col min="11787" max="11798" width="0" style="340" hidden="1" customWidth="1"/>
    <col min="11799" max="11807" width="11.5703125" style="340" customWidth="1"/>
    <col min="11808" max="11810" width="0" style="340" hidden="1" customWidth="1"/>
    <col min="11811" max="11811" width="10.140625" style="340" customWidth="1"/>
    <col min="11812" max="11812" width="8.85546875" style="340" customWidth="1"/>
    <col min="11813" max="11813" width="2.140625" style="340" customWidth="1"/>
    <col min="11814" max="11814" width="14.5703125" style="340" customWidth="1"/>
    <col min="11815" max="11817" width="10.42578125" style="340" customWidth="1"/>
    <col min="11818" max="11846" width="2.85546875" style="340" customWidth="1"/>
    <col min="11847" max="12041" width="10.28515625" style="340"/>
    <col min="12042" max="12042" width="14" style="340" customWidth="1"/>
    <col min="12043" max="12054" width="0" style="340" hidden="1" customWidth="1"/>
    <col min="12055" max="12063" width="11.5703125" style="340" customWidth="1"/>
    <col min="12064" max="12066" width="0" style="340" hidden="1" customWidth="1"/>
    <col min="12067" max="12067" width="10.140625" style="340" customWidth="1"/>
    <col min="12068" max="12068" width="8.85546875" style="340" customWidth="1"/>
    <col min="12069" max="12069" width="2.140625" style="340" customWidth="1"/>
    <col min="12070" max="12070" width="14.5703125" style="340" customWidth="1"/>
    <col min="12071" max="12073" width="10.42578125" style="340" customWidth="1"/>
    <col min="12074" max="12102" width="2.85546875" style="340" customWidth="1"/>
    <col min="12103" max="12297" width="10.28515625" style="340"/>
    <col min="12298" max="12298" width="14" style="340" customWidth="1"/>
    <col min="12299" max="12310" width="0" style="340" hidden="1" customWidth="1"/>
    <col min="12311" max="12319" width="11.5703125" style="340" customWidth="1"/>
    <col min="12320" max="12322" width="0" style="340" hidden="1" customWidth="1"/>
    <col min="12323" max="12323" width="10.140625" style="340" customWidth="1"/>
    <col min="12324" max="12324" width="8.85546875" style="340" customWidth="1"/>
    <col min="12325" max="12325" width="2.140625" style="340" customWidth="1"/>
    <col min="12326" max="12326" width="14.5703125" style="340" customWidth="1"/>
    <col min="12327" max="12329" width="10.42578125" style="340" customWidth="1"/>
    <col min="12330" max="12358" width="2.85546875" style="340" customWidth="1"/>
    <col min="12359" max="12553" width="10.28515625" style="340"/>
    <col min="12554" max="12554" width="14" style="340" customWidth="1"/>
    <col min="12555" max="12566" width="0" style="340" hidden="1" customWidth="1"/>
    <col min="12567" max="12575" width="11.5703125" style="340" customWidth="1"/>
    <col min="12576" max="12578" width="0" style="340" hidden="1" customWidth="1"/>
    <col min="12579" max="12579" width="10.140625" style="340" customWidth="1"/>
    <col min="12580" max="12580" width="8.85546875" style="340" customWidth="1"/>
    <col min="12581" max="12581" width="2.140625" style="340" customWidth="1"/>
    <col min="12582" max="12582" width="14.5703125" style="340" customWidth="1"/>
    <col min="12583" max="12585" width="10.42578125" style="340" customWidth="1"/>
    <col min="12586" max="12614" width="2.85546875" style="340" customWidth="1"/>
    <col min="12615" max="12809" width="10.28515625" style="340"/>
    <col min="12810" max="12810" width="14" style="340" customWidth="1"/>
    <col min="12811" max="12822" width="0" style="340" hidden="1" customWidth="1"/>
    <col min="12823" max="12831" width="11.5703125" style="340" customWidth="1"/>
    <col min="12832" max="12834" width="0" style="340" hidden="1" customWidth="1"/>
    <col min="12835" max="12835" width="10.140625" style="340" customWidth="1"/>
    <col min="12836" max="12836" width="8.85546875" style="340" customWidth="1"/>
    <col min="12837" max="12837" width="2.140625" style="340" customWidth="1"/>
    <col min="12838" max="12838" width="14.5703125" style="340" customWidth="1"/>
    <col min="12839" max="12841" width="10.42578125" style="340" customWidth="1"/>
    <col min="12842" max="12870" width="2.85546875" style="340" customWidth="1"/>
    <col min="12871" max="13065" width="10.28515625" style="340"/>
    <col min="13066" max="13066" width="14" style="340" customWidth="1"/>
    <col min="13067" max="13078" width="0" style="340" hidden="1" customWidth="1"/>
    <col min="13079" max="13087" width="11.5703125" style="340" customWidth="1"/>
    <col min="13088" max="13090" width="0" style="340" hidden="1" customWidth="1"/>
    <col min="13091" max="13091" width="10.140625" style="340" customWidth="1"/>
    <col min="13092" max="13092" width="8.85546875" style="340" customWidth="1"/>
    <col min="13093" max="13093" width="2.140625" style="340" customWidth="1"/>
    <col min="13094" max="13094" width="14.5703125" style="340" customWidth="1"/>
    <col min="13095" max="13097" width="10.42578125" style="340" customWidth="1"/>
    <col min="13098" max="13126" width="2.85546875" style="340" customWidth="1"/>
    <col min="13127" max="13321" width="10.28515625" style="340"/>
    <col min="13322" max="13322" width="14" style="340" customWidth="1"/>
    <col min="13323" max="13334" width="0" style="340" hidden="1" customWidth="1"/>
    <col min="13335" max="13343" width="11.5703125" style="340" customWidth="1"/>
    <col min="13344" max="13346" width="0" style="340" hidden="1" customWidth="1"/>
    <col min="13347" max="13347" width="10.140625" style="340" customWidth="1"/>
    <col min="13348" max="13348" width="8.85546875" style="340" customWidth="1"/>
    <col min="13349" max="13349" width="2.140625" style="340" customWidth="1"/>
    <col min="13350" max="13350" width="14.5703125" style="340" customWidth="1"/>
    <col min="13351" max="13353" width="10.42578125" style="340" customWidth="1"/>
    <col min="13354" max="13382" width="2.85546875" style="340" customWidth="1"/>
    <col min="13383" max="13577" width="10.28515625" style="340"/>
    <col min="13578" max="13578" width="14" style="340" customWidth="1"/>
    <col min="13579" max="13590" width="0" style="340" hidden="1" customWidth="1"/>
    <col min="13591" max="13599" width="11.5703125" style="340" customWidth="1"/>
    <col min="13600" max="13602" width="0" style="340" hidden="1" customWidth="1"/>
    <col min="13603" max="13603" width="10.140625" style="340" customWidth="1"/>
    <col min="13604" max="13604" width="8.85546875" style="340" customWidth="1"/>
    <col min="13605" max="13605" width="2.140625" style="340" customWidth="1"/>
    <col min="13606" max="13606" width="14.5703125" style="340" customWidth="1"/>
    <col min="13607" max="13609" width="10.42578125" style="340" customWidth="1"/>
    <col min="13610" max="13638" width="2.85546875" style="340" customWidth="1"/>
    <col min="13639" max="13833" width="10.28515625" style="340"/>
    <col min="13834" max="13834" width="14" style="340" customWidth="1"/>
    <col min="13835" max="13846" width="0" style="340" hidden="1" customWidth="1"/>
    <col min="13847" max="13855" width="11.5703125" style="340" customWidth="1"/>
    <col min="13856" max="13858" width="0" style="340" hidden="1" customWidth="1"/>
    <col min="13859" max="13859" width="10.140625" style="340" customWidth="1"/>
    <col min="13860" max="13860" width="8.85546875" style="340" customWidth="1"/>
    <col min="13861" max="13861" width="2.140625" style="340" customWidth="1"/>
    <col min="13862" max="13862" width="14.5703125" style="340" customWidth="1"/>
    <col min="13863" max="13865" width="10.42578125" style="340" customWidth="1"/>
    <col min="13866" max="13894" width="2.85546875" style="340" customWidth="1"/>
    <col min="13895" max="14089" width="10.28515625" style="340"/>
    <col min="14090" max="14090" width="14" style="340" customWidth="1"/>
    <col min="14091" max="14102" width="0" style="340" hidden="1" customWidth="1"/>
    <col min="14103" max="14111" width="11.5703125" style="340" customWidth="1"/>
    <col min="14112" max="14114" width="0" style="340" hidden="1" customWidth="1"/>
    <col min="14115" max="14115" width="10.140625" style="340" customWidth="1"/>
    <col min="14116" max="14116" width="8.85546875" style="340" customWidth="1"/>
    <col min="14117" max="14117" width="2.140625" style="340" customWidth="1"/>
    <col min="14118" max="14118" width="14.5703125" style="340" customWidth="1"/>
    <col min="14119" max="14121" width="10.42578125" style="340" customWidth="1"/>
    <col min="14122" max="14150" width="2.85546875" style="340" customWidth="1"/>
    <col min="14151" max="14345" width="10.28515625" style="340"/>
    <col min="14346" max="14346" width="14" style="340" customWidth="1"/>
    <col min="14347" max="14358" width="0" style="340" hidden="1" customWidth="1"/>
    <col min="14359" max="14367" width="11.5703125" style="340" customWidth="1"/>
    <col min="14368" max="14370" width="0" style="340" hidden="1" customWidth="1"/>
    <col min="14371" max="14371" width="10.140625" style="340" customWidth="1"/>
    <col min="14372" max="14372" width="8.85546875" style="340" customWidth="1"/>
    <col min="14373" max="14373" width="2.140625" style="340" customWidth="1"/>
    <col min="14374" max="14374" width="14.5703125" style="340" customWidth="1"/>
    <col min="14375" max="14377" width="10.42578125" style="340" customWidth="1"/>
    <col min="14378" max="14406" width="2.85546875" style="340" customWidth="1"/>
    <col min="14407" max="14601" width="10.28515625" style="340"/>
    <col min="14602" max="14602" width="14" style="340" customWidth="1"/>
    <col min="14603" max="14614" width="0" style="340" hidden="1" customWidth="1"/>
    <col min="14615" max="14623" width="11.5703125" style="340" customWidth="1"/>
    <col min="14624" max="14626" width="0" style="340" hidden="1" customWidth="1"/>
    <col min="14627" max="14627" width="10.140625" style="340" customWidth="1"/>
    <col min="14628" max="14628" width="8.85546875" style="340" customWidth="1"/>
    <col min="14629" max="14629" width="2.140625" style="340" customWidth="1"/>
    <col min="14630" max="14630" width="14.5703125" style="340" customWidth="1"/>
    <col min="14631" max="14633" width="10.42578125" style="340" customWidth="1"/>
    <col min="14634" max="14662" width="2.85546875" style="340" customWidth="1"/>
    <col min="14663" max="14857" width="10.28515625" style="340"/>
    <col min="14858" max="14858" width="14" style="340" customWidth="1"/>
    <col min="14859" max="14870" width="0" style="340" hidden="1" customWidth="1"/>
    <col min="14871" max="14879" width="11.5703125" style="340" customWidth="1"/>
    <col min="14880" max="14882" width="0" style="340" hidden="1" customWidth="1"/>
    <col min="14883" max="14883" width="10.140625" style="340" customWidth="1"/>
    <col min="14884" max="14884" width="8.85546875" style="340" customWidth="1"/>
    <col min="14885" max="14885" width="2.140625" style="340" customWidth="1"/>
    <col min="14886" max="14886" width="14.5703125" style="340" customWidth="1"/>
    <col min="14887" max="14889" width="10.42578125" style="340" customWidth="1"/>
    <col min="14890" max="14918" width="2.85546875" style="340" customWidth="1"/>
    <col min="14919" max="15113" width="10.28515625" style="340"/>
    <col min="15114" max="15114" width="14" style="340" customWidth="1"/>
    <col min="15115" max="15126" width="0" style="340" hidden="1" customWidth="1"/>
    <col min="15127" max="15135" width="11.5703125" style="340" customWidth="1"/>
    <col min="15136" max="15138" width="0" style="340" hidden="1" customWidth="1"/>
    <col min="15139" max="15139" width="10.140625" style="340" customWidth="1"/>
    <col min="15140" max="15140" width="8.85546875" style="340" customWidth="1"/>
    <col min="15141" max="15141" width="2.140625" style="340" customWidth="1"/>
    <col min="15142" max="15142" width="14.5703125" style="340" customWidth="1"/>
    <col min="15143" max="15145" width="10.42578125" style="340" customWidth="1"/>
    <col min="15146" max="15174" width="2.85546875" style="340" customWidth="1"/>
    <col min="15175" max="15369" width="10.28515625" style="340"/>
    <col min="15370" max="15370" width="14" style="340" customWidth="1"/>
    <col min="15371" max="15382" width="0" style="340" hidden="1" customWidth="1"/>
    <col min="15383" max="15391" width="11.5703125" style="340" customWidth="1"/>
    <col min="15392" max="15394" width="0" style="340" hidden="1" customWidth="1"/>
    <col min="15395" max="15395" width="10.140625" style="340" customWidth="1"/>
    <col min="15396" max="15396" width="8.85546875" style="340" customWidth="1"/>
    <col min="15397" max="15397" width="2.140625" style="340" customWidth="1"/>
    <col min="15398" max="15398" width="14.5703125" style="340" customWidth="1"/>
    <col min="15399" max="15401" width="10.42578125" style="340" customWidth="1"/>
    <col min="15402" max="15430" width="2.85546875" style="340" customWidth="1"/>
    <col min="15431" max="15625" width="10.28515625" style="340"/>
    <col min="15626" max="15626" width="14" style="340" customWidth="1"/>
    <col min="15627" max="15638" width="0" style="340" hidden="1" customWidth="1"/>
    <col min="15639" max="15647" width="11.5703125" style="340" customWidth="1"/>
    <col min="15648" max="15650" width="0" style="340" hidden="1" customWidth="1"/>
    <col min="15651" max="15651" width="10.140625" style="340" customWidth="1"/>
    <col min="15652" max="15652" width="8.85546875" style="340" customWidth="1"/>
    <col min="15653" max="15653" width="2.140625" style="340" customWidth="1"/>
    <col min="15654" max="15654" width="14.5703125" style="340" customWidth="1"/>
    <col min="15655" max="15657" width="10.42578125" style="340" customWidth="1"/>
    <col min="15658" max="15686" width="2.85546875" style="340" customWidth="1"/>
    <col min="15687" max="15881" width="10.28515625" style="340"/>
    <col min="15882" max="15882" width="14" style="340" customWidth="1"/>
    <col min="15883" max="15894" width="0" style="340" hidden="1" customWidth="1"/>
    <col min="15895" max="15903" width="11.5703125" style="340" customWidth="1"/>
    <col min="15904" max="15906" width="0" style="340" hidden="1" customWidth="1"/>
    <col min="15907" max="15907" width="10.140625" style="340" customWidth="1"/>
    <col min="15908" max="15908" width="8.85546875" style="340" customWidth="1"/>
    <col min="15909" max="15909" width="2.140625" style="340" customWidth="1"/>
    <col min="15910" max="15910" width="14.5703125" style="340" customWidth="1"/>
    <col min="15911" max="15913" width="10.42578125" style="340" customWidth="1"/>
    <col min="15914" max="15942" width="2.85546875" style="340" customWidth="1"/>
    <col min="15943" max="16137" width="10.28515625" style="340"/>
    <col min="16138" max="16138" width="14" style="340" customWidth="1"/>
    <col min="16139" max="16150" width="0" style="340" hidden="1" customWidth="1"/>
    <col min="16151" max="16159" width="11.5703125" style="340" customWidth="1"/>
    <col min="16160" max="16162" width="0" style="340" hidden="1" customWidth="1"/>
    <col min="16163" max="16163" width="10.140625" style="340" customWidth="1"/>
    <col min="16164" max="16164" width="8.85546875" style="340" customWidth="1"/>
    <col min="16165" max="16165" width="2.140625" style="340" customWidth="1"/>
    <col min="16166" max="16166" width="14.5703125" style="340" customWidth="1"/>
    <col min="16167" max="16169" width="10.42578125" style="340" customWidth="1"/>
    <col min="16170" max="16198" width="2.85546875" style="340" customWidth="1"/>
    <col min="16199" max="16384" width="10.28515625" style="340"/>
  </cols>
  <sheetData>
    <row r="1" spans="1:78" ht="20.25" customHeight="1">
      <c r="A1" s="1398" t="s">
        <v>1190</v>
      </c>
      <c r="B1" s="1398"/>
      <c r="C1" s="1398"/>
      <c r="D1" s="1398"/>
      <c r="E1" s="1398"/>
      <c r="F1" s="1398"/>
      <c r="G1" s="1398"/>
      <c r="H1" s="1398"/>
      <c r="I1" s="1398"/>
      <c r="J1" s="1398"/>
      <c r="K1" s="1398"/>
      <c r="L1" s="1398"/>
      <c r="M1" s="1398"/>
      <c r="N1" s="1398"/>
      <c r="O1" s="1398"/>
      <c r="P1" s="1398"/>
      <c r="Q1" s="1398"/>
      <c r="R1" s="1398"/>
      <c r="S1" s="1398"/>
      <c r="T1" s="1398"/>
      <c r="U1" s="1398"/>
      <c r="V1" s="1398"/>
      <c r="W1" s="1398"/>
      <c r="X1" s="1398"/>
      <c r="Y1" s="1398"/>
      <c r="Z1" s="1398"/>
      <c r="AA1" s="1398"/>
      <c r="AB1" s="1398"/>
      <c r="AC1" s="1398"/>
      <c r="AD1" s="1398"/>
      <c r="AE1" s="1398"/>
      <c r="AF1" s="1398"/>
      <c r="AG1" s="1398"/>
      <c r="AH1" s="1398"/>
      <c r="AI1" s="1398"/>
      <c r="AJ1" s="1398"/>
    </row>
    <row r="2" spans="1:78" ht="18" customHeight="1">
      <c r="A2" s="1399" t="s">
        <v>1189</v>
      </c>
      <c r="B2" s="1399"/>
      <c r="C2" s="1399"/>
      <c r="D2" s="1399"/>
      <c r="E2" s="1399"/>
      <c r="F2" s="1399"/>
      <c r="G2" s="1399"/>
      <c r="H2" s="1399"/>
      <c r="I2" s="1399"/>
      <c r="J2" s="1399"/>
      <c r="K2" s="1399"/>
      <c r="L2" s="1399"/>
      <c r="M2" s="1399"/>
      <c r="N2" s="1399"/>
      <c r="O2" s="1399"/>
      <c r="P2" s="1399"/>
      <c r="Q2" s="1399"/>
      <c r="R2" s="1399"/>
      <c r="S2" s="1399"/>
      <c r="T2" s="1399"/>
      <c r="U2" s="1399"/>
      <c r="V2" s="1399"/>
      <c r="W2" s="1399"/>
      <c r="X2" s="1399"/>
      <c r="Y2" s="1399"/>
      <c r="Z2" s="1399"/>
      <c r="AA2" s="1399"/>
      <c r="AB2" s="1399"/>
      <c r="AC2" s="1399"/>
      <c r="AD2" s="1399"/>
      <c r="AE2" s="1399"/>
      <c r="AF2" s="1399"/>
      <c r="AG2" s="1399"/>
      <c r="AH2" s="1399"/>
      <c r="AI2" s="1399"/>
      <c r="AJ2" s="1399"/>
    </row>
    <row r="3" spans="1:78" s="345" customFormat="1" ht="15.75" customHeight="1">
      <c r="A3" s="343"/>
      <c r="B3" s="1392">
        <v>2011</v>
      </c>
      <c r="C3" s="1393"/>
      <c r="D3" s="1400"/>
      <c r="E3" s="1393">
        <v>2012</v>
      </c>
      <c r="F3" s="1393"/>
      <c r="G3" s="1393"/>
      <c r="H3" s="1393">
        <v>2013</v>
      </c>
      <c r="I3" s="1393"/>
      <c r="J3" s="1400"/>
      <c r="K3" s="1392">
        <v>2014</v>
      </c>
      <c r="L3" s="1393"/>
      <c r="M3" s="1393"/>
      <c r="N3" s="1392">
        <v>2015</v>
      </c>
      <c r="O3" s="1393"/>
      <c r="P3" s="1393"/>
      <c r="Q3" s="1392">
        <v>2016</v>
      </c>
      <c r="R3" s="1393"/>
      <c r="S3" s="1393"/>
      <c r="T3" s="1392">
        <v>2017</v>
      </c>
      <c r="U3" s="1393"/>
      <c r="V3" s="1393"/>
      <c r="W3" s="1392">
        <v>2018</v>
      </c>
      <c r="X3" s="1393"/>
      <c r="Y3" s="1393"/>
      <c r="Z3" s="1392">
        <v>2019</v>
      </c>
      <c r="AA3" s="1393"/>
      <c r="AB3" s="1393"/>
      <c r="AC3" s="1392">
        <v>2020</v>
      </c>
      <c r="AD3" s="1393"/>
      <c r="AE3" s="1393"/>
      <c r="AF3" s="1392" t="s">
        <v>1188</v>
      </c>
      <c r="AG3" s="1393"/>
      <c r="AH3" s="1393"/>
      <c r="AI3" s="344"/>
      <c r="AJ3" s="1394" t="s">
        <v>691</v>
      </c>
      <c r="BV3" s="346"/>
      <c r="BW3" s="347"/>
      <c r="BX3" s="346"/>
      <c r="BY3" s="346"/>
      <c r="BZ3" s="346"/>
    </row>
    <row r="4" spans="1:78" s="896" customFormat="1" ht="21.75" customHeight="1">
      <c r="A4" s="892"/>
      <c r="B4" s="893" t="s">
        <v>692</v>
      </c>
      <c r="C4" s="894" t="s">
        <v>693</v>
      </c>
      <c r="D4" s="895" t="s">
        <v>694</v>
      </c>
      <c r="E4" s="894" t="s">
        <v>692</v>
      </c>
      <c r="F4" s="894" t="s">
        <v>693</v>
      </c>
      <c r="G4" s="894" t="s">
        <v>694</v>
      </c>
      <c r="H4" s="894" t="s">
        <v>692</v>
      </c>
      <c r="I4" s="894" t="s">
        <v>693</v>
      </c>
      <c r="J4" s="895" t="s">
        <v>694</v>
      </c>
      <c r="K4" s="893" t="s">
        <v>692</v>
      </c>
      <c r="L4" s="894" t="s">
        <v>693</v>
      </c>
      <c r="M4" s="894" t="s">
        <v>694</v>
      </c>
      <c r="N4" s="893" t="s">
        <v>692</v>
      </c>
      <c r="O4" s="894" t="s">
        <v>693</v>
      </c>
      <c r="P4" s="894" t="s">
        <v>694</v>
      </c>
      <c r="Q4" s="893" t="s">
        <v>692</v>
      </c>
      <c r="R4" s="894" t="s">
        <v>693</v>
      </c>
      <c r="S4" s="894" t="s">
        <v>694</v>
      </c>
      <c r="T4" s="893" t="s">
        <v>692</v>
      </c>
      <c r="U4" s="894" t="s">
        <v>693</v>
      </c>
      <c r="V4" s="894" t="s">
        <v>694</v>
      </c>
      <c r="W4" s="893" t="s">
        <v>692</v>
      </c>
      <c r="X4" s="894" t="s">
        <v>693</v>
      </c>
      <c r="Y4" s="894" t="s">
        <v>694</v>
      </c>
      <c r="Z4" s="893" t="s">
        <v>692</v>
      </c>
      <c r="AA4" s="894" t="s">
        <v>693</v>
      </c>
      <c r="AB4" s="894" t="s">
        <v>694</v>
      </c>
      <c r="AC4" s="893" t="s">
        <v>692</v>
      </c>
      <c r="AD4" s="894" t="s">
        <v>693</v>
      </c>
      <c r="AE4" s="894" t="s">
        <v>694</v>
      </c>
      <c r="AF4" s="893" t="s">
        <v>692</v>
      </c>
      <c r="AG4" s="894" t="s">
        <v>693</v>
      </c>
      <c r="AH4" s="894" t="s">
        <v>694</v>
      </c>
      <c r="AI4" s="894"/>
      <c r="AJ4" s="1395"/>
      <c r="BV4" s="897"/>
      <c r="BW4" s="898"/>
      <c r="BX4" s="897"/>
      <c r="BY4" s="897"/>
      <c r="BZ4" s="897"/>
    </row>
    <row r="5" spans="1:78" ht="25.5" customHeight="1">
      <c r="A5" s="348" t="s">
        <v>695</v>
      </c>
      <c r="B5" s="349" t="s">
        <v>696</v>
      </c>
      <c r="C5" s="350" t="s">
        <v>697</v>
      </c>
      <c r="D5" s="351" t="s">
        <v>698</v>
      </c>
      <c r="E5" s="350" t="s">
        <v>696</v>
      </c>
      <c r="F5" s="350" t="s">
        <v>697</v>
      </c>
      <c r="G5" s="352" t="s">
        <v>698</v>
      </c>
      <c r="H5" s="350" t="s">
        <v>696</v>
      </c>
      <c r="I5" s="350" t="s">
        <v>697</v>
      </c>
      <c r="J5" s="351" t="s">
        <v>698</v>
      </c>
      <c r="K5" s="349" t="s">
        <v>696</v>
      </c>
      <c r="L5" s="350" t="s">
        <v>697</v>
      </c>
      <c r="M5" s="352" t="s">
        <v>698</v>
      </c>
      <c r="N5" s="349" t="s">
        <v>696</v>
      </c>
      <c r="O5" s="350" t="s">
        <v>697</v>
      </c>
      <c r="P5" s="352" t="s">
        <v>698</v>
      </c>
      <c r="Q5" s="349" t="s">
        <v>696</v>
      </c>
      <c r="R5" s="350" t="s">
        <v>697</v>
      </c>
      <c r="S5" s="352" t="s">
        <v>698</v>
      </c>
      <c r="T5" s="349" t="s">
        <v>696</v>
      </c>
      <c r="U5" s="350" t="s">
        <v>697</v>
      </c>
      <c r="V5" s="352" t="s">
        <v>698</v>
      </c>
      <c r="W5" s="349" t="s">
        <v>696</v>
      </c>
      <c r="X5" s="350" t="s">
        <v>697</v>
      </c>
      <c r="Y5" s="352" t="s">
        <v>698</v>
      </c>
      <c r="Z5" s="349" t="s">
        <v>696</v>
      </c>
      <c r="AA5" s="350" t="s">
        <v>697</v>
      </c>
      <c r="AB5" s="352" t="s">
        <v>698</v>
      </c>
      <c r="AC5" s="349" t="s">
        <v>696</v>
      </c>
      <c r="AD5" s="350" t="s">
        <v>697</v>
      </c>
      <c r="AE5" s="352" t="s">
        <v>698</v>
      </c>
      <c r="AF5" s="349" t="s">
        <v>696</v>
      </c>
      <c r="AG5" s="350" t="s">
        <v>697</v>
      </c>
      <c r="AH5" s="352" t="s">
        <v>698</v>
      </c>
      <c r="AI5" s="352"/>
      <c r="AJ5" s="1396"/>
    </row>
    <row r="6" spans="1:78" ht="18.75" customHeight="1">
      <c r="A6" s="343" t="s">
        <v>132</v>
      </c>
      <c r="B6" s="353">
        <f t="shared" ref="B6:Y6" si="0">SUM(B7:B18)</f>
        <v>7182</v>
      </c>
      <c r="C6" s="354">
        <f t="shared" si="0"/>
        <v>1137</v>
      </c>
      <c r="D6" s="355">
        <f t="shared" si="0"/>
        <v>6045</v>
      </c>
      <c r="E6" s="354">
        <f t="shared" si="0"/>
        <v>7431</v>
      </c>
      <c r="F6" s="354">
        <f t="shared" si="0"/>
        <v>1135</v>
      </c>
      <c r="G6" s="354">
        <f t="shared" si="0"/>
        <v>6296</v>
      </c>
      <c r="H6" s="354">
        <f t="shared" si="0"/>
        <v>7153</v>
      </c>
      <c r="I6" s="354">
        <f t="shared" si="0"/>
        <v>1120</v>
      </c>
      <c r="J6" s="355">
        <f t="shared" si="0"/>
        <v>6033</v>
      </c>
      <c r="K6" s="353">
        <f t="shared" si="0"/>
        <v>7245</v>
      </c>
      <c r="L6" s="354">
        <f t="shared" si="0"/>
        <v>1143</v>
      </c>
      <c r="M6" s="354">
        <f t="shared" si="0"/>
        <v>6102</v>
      </c>
      <c r="N6" s="353">
        <f t="shared" si="0"/>
        <v>6986</v>
      </c>
      <c r="O6" s="354">
        <f t="shared" si="0"/>
        <v>1130</v>
      </c>
      <c r="P6" s="356">
        <f t="shared" si="0"/>
        <v>5856</v>
      </c>
      <c r="Q6" s="353">
        <f>SUM(Q7:Q18)</f>
        <v>6756</v>
      </c>
      <c r="R6" s="354">
        <f>SUM(R7:R18)</f>
        <v>1226</v>
      </c>
      <c r="S6" s="356">
        <f t="shared" si="0"/>
        <v>5530</v>
      </c>
      <c r="T6" s="353">
        <f t="shared" si="0"/>
        <v>6723</v>
      </c>
      <c r="U6" s="354">
        <f t="shared" si="0"/>
        <v>1241</v>
      </c>
      <c r="V6" s="354">
        <f t="shared" si="0"/>
        <v>5482</v>
      </c>
      <c r="W6" s="353">
        <f t="shared" si="0"/>
        <v>6564</v>
      </c>
      <c r="X6" s="354">
        <f t="shared" si="0"/>
        <v>1216</v>
      </c>
      <c r="Y6" s="354">
        <f t="shared" si="0"/>
        <v>5348</v>
      </c>
      <c r="Z6" s="353">
        <f t="shared" ref="Z6:AB6" si="1">SUM(Z7:Z18)</f>
        <v>6127</v>
      </c>
      <c r="AA6" s="354">
        <f t="shared" si="1"/>
        <v>1041</v>
      </c>
      <c r="AB6" s="354">
        <f t="shared" si="1"/>
        <v>5086</v>
      </c>
      <c r="AC6" s="353">
        <f t="shared" ref="AC6:AE6" si="2">SUM(AC7:AC18)</f>
        <v>6293</v>
      </c>
      <c r="AD6" s="354">
        <f t="shared" si="2"/>
        <v>1275</v>
      </c>
      <c r="AE6" s="354">
        <f t="shared" si="2"/>
        <v>5018</v>
      </c>
      <c r="AF6" s="353">
        <f t="shared" ref="AF6:AH6" si="3">SUM(AF7:AF18)</f>
        <v>5914</v>
      </c>
      <c r="AG6" s="354">
        <f t="shared" si="3"/>
        <v>1552</v>
      </c>
      <c r="AH6" s="354">
        <f t="shared" si="3"/>
        <v>4362</v>
      </c>
      <c r="AI6" s="354"/>
      <c r="AJ6" s="357" t="s">
        <v>699</v>
      </c>
    </row>
    <row r="7" spans="1:78" ht="18.75" customHeight="1">
      <c r="A7" s="358" t="s">
        <v>700</v>
      </c>
      <c r="B7" s="359">
        <v>561</v>
      </c>
      <c r="C7" s="360">
        <v>103</v>
      </c>
      <c r="D7" s="361">
        <f>B7-C7</f>
        <v>458</v>
      </c>
      <c r="E7" s="360">
        <v>623</v>
      </c>
      <c r="F7" s="360">
        <v>87</v>
      </c>
      <c r="G7" s="360">
        <f>E7-F7</f>
        <v>536</v>
      </c>
      <c r="H7" s="360">
        <v>599</v>
      </c>
      <c r="I7" s="360">
        <v>111</v>
      </c>
      <c r="J7" s="361">
        <f>H7-I7</f>
        <v>488</v>
      </c>
      <c r="K7" s="359">
        <v>585</v>
      </c>
      <c r="L7" s="360">
        <v>99</v>
      </c>
      <c r="M7" s="360">
        <f>K7-L7</f>
        <v>486</v>
      </c>
      <c r="N7" s="359">
        <v>517</v>
      </c>
      <c r="O7" s="360">
        <v>94</v>
      </c>
      <c r="P7" s="361">
        <f t="shared" ref="P7:P18" si="4">N7-O7</f>
        <v>423</v>
      </c>
      <c r="Q7" s="359">
        <v>560</v>
      </c>
      <c r="R7" s="360">
        <v>122</v>
      </c>
      <c r="S7" s="361">
        <f t="shared" ref="S7:S18" si="5">Q7-R7</f>
        <v>438</v>
      </c>
      <c r="T7" s="359">
        <v>550</v>
      </c>
      <c r="U7" s="360">
        <v>97</v>
      </c>
      <c r="V7" s="360">
        <f t="shared" ref="V7:V18" si="6">T7-U7</f>
        <v>453</v>
      </c>
      <c r="W7" s="359">
        <v>541</v>
      </c>
      <c r="X7" s="360">
        <v>114</v>
      </c>
      <c r="Y7" s="360">
        <f t="shared" ref="Y7:Y18" si="7">W7-X7</f>
        <v>427</v>
      </c>
      <c r="Z7" s="359">
        <v>526</v>
      </c>
      <c r="AA7" s="360">
        <v>110</v>
      </c>
      <c r="AB7" s="360">
        <f t="shared" ref="AB7:AB18" si="8">Z7-AA7</f>
        <v>416</v>
      </c>
      <c r="AC7" s="359">
        <v>540</v>
      </c>
      <c r="AD7" s="360">
        <v>114</v>
      </c>
      <c r="AE7" s="360">
        <f t="shared" ref="AE7:AE18" si="9">AC7-AD7</f>
        <v>426</v>
      </c>
      <c r="AF7" s="1207">
        <v>444</v>
      </c>
      <c r="AG7" s="68">
        <v>146</v>
      </c>
      <c r="AH7" s="360">
        <f t="shared" ref="AH7:AH18" si="10">AF7-AG7</f>
        <v>298</v>
      </c>
      <c r="AI7" s="360"/>
      <c r="AJ7" s="362" t="s">
        <v>701</v>
      </c>
    </row>
    <row r="8" spans="1:78" ht="18.75" customHeight="1">
      <c r="A8" s="358" t="s">
        <v>702</v>
      </c>
      <c r="B8" s="359">
        <v>473</v>
      </c>
      <c r="C8" s="360">
        <v>76</v>
      </c>
      <c r="D8" s="361">
        <f t="shared" ref="D8:D18" si="11">B8-C8</f>
        <v>397</v>
      </c>
      <c r="E8" s="360">
        <v>584</v>
      </c>
      <c r="F8" s="360">
        <v>96</v>
      </c>
      <c r="G8" s="360">
        <f t="shared" ref="G8:G18" si="12">E8-F8</f>
        <v>488</v>
      </c>
      <c r="H8" s="360">
        <v>542</v>
      </c>
      <c r="I8" s="360">
        <v>89</v>
      </c>
      <c r="J8" s="361">
        <f t="shared" ref="J8:J18" si="13">H8-I8</f>
        <v>453</v>
      </c>
      <c r="K8" s="359">
        <v>570</v>
      </c>
      <c r="L8" s="360">
        <v>91</v>
      </c>
      <c r="M8" s="360">
        <f t="shared" ref="M8:M18" si="14">K8-L8</f>
        <v>479</v>
      </c>
      <c r="N8" s="359">
        <v>496</v>
      </c>
      <c r="O8" s="360">
        <v>91</v>
      </c>
      <c r="P8" s="361">
        <f t="shared" si="4"/>
        <v>405</v>
      </c>
      <c r="Q8" s="359">
        <v>524</v>
      </c>
      <c r="R8" s="360">
        <v>121</v>
      </c>
      <c r="S8" s="361">
        <f t="shared" si="5"/>
        <v>403</v>
      </c>
      <c r="T8" s="359">
        <v>511</v>
      </c>
      <c r="U8" s="360">
        <v>104</v>
      </c>
      <c r="V8" s="360">
        <f t="shared" si="6"/>
        <v>407</v>
      </c>
      <c r="W8" s="359">
        <v>535</v>
      </c>
      <c r="X8" s="360">
        <v>98</v>
      </c>
      <c r="Y8" s="360">
        <f t="shared" si="7"/>
        <v>437</v>
      </c>
      <c r="Z8" s="359">
        <v>449</v>
      </c>
      <c r="AA8" s="360">
        <v>78</v>
      </c>
      <c r="AB8" s="360">
        <f t="shared" si="8"/>
        <v>371</v>
      </c>
      <c r="AC8" s="359">
        <v>548</v>
      </c>
      <c r="AD8" s="360">
        <v>96</v>
      </c>
      <c r="AE8" s="360">
        <f t="shared" si="9"/>
        <v>452</v>
      </c>
      <c r="AF8" s="1207">
        <v>423</v>
      </c>
      <c r="AG8" s="68">
        <v>142</v>
      </c>
      <c r="AH8" s="360">
        <f t="shared" si="10"/>
        <v>281</v>
      </c>
      <c r="AI8" s="360"/>
      <c r="AJ8" s="362" t="s">
        <v>703</v>
      </c>
    </row>
    <row r="9" spans="1:78" ht="18.75" customHeight="1">
      <c r="A9" s="358" t="s">
        <v>704</v>
      </c>
      <c r="B9" s="359">
        <v>566</v>
      </c>
      <c r="C9" s="360">
        <v>92</v>
      </c>
      <c r="D9" s="361">
        <f t="shared" si="11"/>
        <v>474</v>
      </c>
      <c r="E9" s="360">
        <v>568</v>
      </c>
      <c r="F9" s="360">
        <v>102</v>
      </c>
      <c r="G9" s="360">
        <f t="shared" si="12"/>
        <v>466</v>
      </c>
      <c r="H9" s="360">
        <v>597</v>
      </c>
      <c r="I9" s="360">
        <v>103</v>
      </c>
      <c r="J9" s="361">
        <f t="shared" si="13"/>
        <v>494</v>
      </c>
      <c r="K9" s="359">
        <v>649</v>
      </c>
      <c r="L9" s="360">
        <v>102</v>
      </c>
      <c r="M9" s="360">
        <f t="shared" si="14"/>
        <v>547</v>
      </c>
      <c r="N9" s="359">
        <v>538</v>
      </c>
      <c r="O9" s="360">
        <v>107</v>
      </c>
      <c r="P9" s="361">
        <f t="shared" si="4"/>
        <v>431</v>
      </c>
      <c r="Q9" s="359">
        <v>582</v>
      </c>
      <c r="R9" s="360">
        <v>129</v>
      </c>
      <c r="S9" s="361">
        <f t="shared" si="5"/>
        <v>453</v>
      </c>
      <c r="T9" s="359">
        <v>598</v>
      </c>
      <c r="U9" s="360">
        <v>134</v>
      </c>
      <c r="V9" s="360">
        <f t="shared" si="6"/>
        <v>464</v>
      </c>
      <c r="W9" s="359">
        <v>577</v>
      </c>
      <c r="X9" s="360">
        <v>117</v>
      </c>
      <c r="Y9" s="360">
        <f t="shared" si="7"/>
        <v>460</v>
      </c>
      <c r="Z9" s="359">
        <v>539</v>
      </c>
      <c r="AA9" s="360">
        <v>101</v>
      </c>
      <c r="AB9" s="360">
        <f t="shared" si="8"/>
        <v>438</v>
      </c>
      <c r="AC9" s="359">
        <v>485</v>
      </c>
      <c r="AD9" s="360">
        <v>109</v>
      </c>
      <c r="AE9" s="360">
        <f t="shared" si="9"/>
        <v>376</v>
      </c>
      <c r="AF9" s="1207">
        <v>545</v>
      </c>
      <c r="AG9" s="68">
        <v>127</v>
      </c>
      <c r="AH9" s="360">
        <f t="shared" si="10"/>
        <v>418</v>
      </c>
      <c r="AI9" s="360"/>
      <c r="AJ9" s="362" t="s">
        <v>705</v>
      </c>
    </row>
    <row r="10" spans="1:78" ht="18.75" customHeight="1">
      <c r="A10" s="358" t="s">
        <v>706</v>
      </c>
      <c r="B10" s="359">
        <v>584</v>
      </c>
      <c r="C10" s="360">
        <v>79</v>
      </c>
      <c r="D10" s="361">
        <f t="shared" si="11"/>
        <v>505</v>
      </c>
      <c r="E10" s="360">
        <v>582</v>
      </c>
      <c r="F10" s="360">
        <v>115</v>
      </c>
      <c r="G10" s="360">
        <f t="shared" si="12"/>
        <v>467</v>
      </c>
      <c r="H10" s="360">
        <v>519</v>
      </c>
      <c r="I10" s="360">
        <v>87</v>
      </c>
      <c r="J10" s="361">
        <f t="shared" si="13"/>
        <v>432</v>
      </c>
      <c r="K10" s="359">
        <v>577</v>
      </c>
      <c r="L10" s="360">
        <v>101</v>
      </c>
      <c r="M10" s="360">
        <f t="shared" si="14"/>
        <v>476</v>
      </c>
      <c r="N10" s="359">
        <v>599</v>
      </c>
      <c r="O10" s="360">
        <v>114</v>
      </c>
      <c r="P10" s="361">
        <f t="shared" si="4"/>
        <v>485</v>
      </c>
      <c r="Q10" s="359">
        <v>628</v>
      </c>
      <c r="R10" s="360">
        <v>97</v>
      </c>
      <c r="S10" s="361">
        <f t="shared" si="5"/>
        <v>531</v>
      </c>
      <c r="T10" s="359">
        <v>573</v>
      </c>
      <c r="U10" s="360">
        <v>109</v>
      </c>
      <c r="V10" s="360">
        <f t="shared" si="6"/>
        <v>464</v>
      </c>
      <c r="W10" s="359">
        <v>521</v>
      </c>
      <c r="X10" s="360">
        <v>99</v>
      </c>
      <c r="Y10" s="360">
        <f t="shared" si="7"/>
        <v>422</v>
      </c>
      <c r="Z10" s="359">
        <v>477</v>
      </c>
      <c r="AA10" s="360">
        <v>87</v>
      </c>
      <c r="AB10" s="360">
        <f t="shared" si="8"/>
        <v>390</v>
      </c>
      <c r="AC10" s="359">
        <v>541</v>
      </c>
      <c r="AD10" s="360">
        <v>91</v>
      </c>
      <c r="AE10" s="360">
        <f t="shared" si="9"/>
        <v>450</v>
      </c>
      <c r="AF10" s="1207">
        <v>534</v>
      </c>
      <c r="AG10" s="68">
        <v>145</v>
      </c>
      <c r="AH10" s="360">
        <f t="shared" si="10"/>
        <v>389</v>
      </c>
      <c r="AI10" s="360"/>
      <c r="AJ10" s="362" t="s">
        <v>707</v>
      </c>
    </row>
    <row r="11" spans="1:78" ht="18.75" customHeight="1">
      <c r="A11" s="358" t="s">
        <v>709</v>
      </c>
      <c r="B11" s="359">
        <v>617</v>
      </c>
      <c r="C11" s="360">
        <v>99</v>
      </c>
      <c r="D11" s="361">
        <f>B11-C11</f>
        <v>518</v>
      </c>
      <c r="E11" s="360">
        <v>736</v>
      </c>
      <c r="F11" s="360">
        <v>84</v>
      </c>
      <c r="G11" s="360">
        <f t="shared" si="12"/>
        <v>652</v>
      </c>
      <c r="H11" s="360">
        <v>601</v>
      </c>
      <c r="I11" s="360">
        <v>72</v>
      </c>
      <c r="J11" s="361">
        <f t="shared" si="13"/>
        <v>529</v>
      </c>
      <c r="K11" s="359">
        <v>675</v>
      </c>
      <c r="L11" s="360">
        <v>103</v>
      </c>
      <c r="M11" s="360">
        <f t="shared" si="14"/>
        <v>572</v>
      </c>
      <c r="N11" s="359">
        <v>635</v>
      </c>
      <c r="O11" s="360">
        <v>87</v>
      </c>
      <c r="P11" s="361">
        <f t="shared" si="4"/>
        <v>548</v>
      </c>
      <c r="Q11" s="359">
        <v>585</v>
      </c>
      <c r="R11" s="360">
        <v>104</v>
      </c>
      <c r="S11" s="361">
        <f t="shared" si="5"/>
        <v>481</v>
      </c>
      <c r="T11" s="359">
        <v>582</v>
      </c>
      <c r="U11" s="360">
        <v>94</v>
      </c>
      <c r="V11" s="360">
        <f t="shared" si="6"/>
        <v>488</v>
      </c>
      <c r="W11" s="359">
        <v>608</v>
      </c>
      <c r="X11" s="360">
        <v>113</v>
      </c>
      <c r="Y11" s="360">
        <f t="shared" si="7"/>
        <v>495</v>
      </c>
      <c r="Z11" s="359">
        <v>604</v>
      </c>
      <c r="AA11" s="360">
        <v>89</v>
      </c>
      <c r="AB11" s="360">
        <f t="shared" si="8"/>
        <v>515</v>
      </c>
      <c r="AC11" s="359">
        <v>492</v>
      </c>
      <c r="AD11" s="360">
        <v>109</v>
      </c>
      <c r="AE11" s="360">
        <f t="shared" si="9"/>
        <v>383</v>
      </c>
      <c r="AF11" s="1207">
        <v>516</v>
      </c>
      <c r="AG11" s="68">
        <v>191</v>
      </c>
      <c r="AH11" s="360">
        <f t="shared" si="10"/>
        <v>325</v>
      </c>
      <c r="AI11" s="360"/>
      <c r="AJ11" s="362" t="s">
        <v>710</v>
      </c>
    </row>
    <row r="12" spans="1:78" ht="18.75" customHeight="1">
      <c r="A12" s="358" t="s">
        <v>712</v>
      </c>
      <c r="B12" s="359">
        <v>598</v>
      </c>
      <c r="C12" s="360">
        <v>115</v>
      </c>
      <c r="D12" s="361">
        <f t="shared" si="11"/>
        <v>483</v>
      </c>
      <c r="E12" s="360">
        <v>579</v>
      </c>
      <c r="F12" s="360">
        <v>86</v>
      </c>
      <c r="G12" s="360">
        <f t="shared" si="12"/>
        <v>493</v>
      </c>
      <c r="H12" s="360">
        <v>558</v>
      </c>
      <c r="I12" s="360">
        <v>99</v>
      </c>
      <c r="J12" s="361">
        <f t="shared" si="13"/>
        <v>459</v>
      </c>
      <c r="K12" s="359">
        <v>629</v>
      </c>
      <c r="L12" s="360">
        <v>109</v>
      </c>
      <c r="M12" s="360">
        <f t="shared" si="14"/>
        <v>520</v>
      </c>
      <c r="N12" s="359">
        <v>601</v>
      </c>
      <c r="O12" s="360">
        <v>88</v>
      </c>
      <c r="P12" s="361">
        <f t="shared" si="4"/>
        <v>513</v>
      </c>
      <c r="Q12" s="359">
        <v>532</v>
      </c>
      <c r="R12" s="360">
        <v>98</v>
      </c>
      <c r="S12" s="361">
        <f t="shared" si="5"/>
        <v>434</v>
      </c>
      <c r="T12" s="359">
        <v>581</v>
      </c>
      <c r="U12" s="360">
        <v>103</v>
      </c>
      <c r="V12" s="360">
        <f t="shared" si="6"/>
        <v>478</v>
      </c>
      <c r="W12" s="359">
        <v>489</v>
      </c>
      <c r="X12" s="360">
        <v>89</v>
      </c>
      <c r="Y12" s="360">
        <f t="shared" si="7"/>
        <v>400</v>
      </c>
      <c r="Z12" s="359">
        <v>499</v>
      </c>
      <c r="AA12" s="360">
        <v>80</v>
      </c>
      <c r="AB12" s="360">
        <f t="shared" si="8"/>
        <v>419</v>
      </c>
      <c r="AC12" s="359">
        <v>462</v>
      </c>
      <c r="AD12" s="360">
        <v>91</v>
      </c>
      <c r="AE12" s="360">
        <f t="shared" si="9"/>
        <v>371</v>
      </c>
      <c r="AF12" s="1207">
        <v>482</v>
      </c>
      <c r="AG12" s="68">
        <v>161</v>
      </c>
      <c r="AH12" s="360">
        <f t="shared" si="10"/>
        <v>321</v>
      </c>
      <c r="AI12" s="360"/>
      <c r="AJ12" s="362" t="s">
        <v>713</v>
      </c>
    </row>
    <row r="13" spans="1:78" ht="18.75" customHeight="1">
      <c r="A13" s="358" t="s">
        <v>715</v>
      </c>
      <c r="B13" s="359">
        <v>600</v>
      </c>
      <c r="C13" s="360">
        <v>94</v>
      </c>
      <c r="D13" s="361">
        <f t="shared" si="11"/>
        <v>506</v>
      </c>
      <c r="E13" s="360">
        <v>657</v>
      </c>
      <c r="F13" s="360">
        <v>109</v>
      </c>
      <c r="G13" s="360">
        <f t="shared" si="12"/>
        <v>548</v>
      </c>
      <c r="H13" s="360">
        <v>655</v>
      </c>
      <c r="I13" s="360">
        <v>104</v>
      </c>
      <c r="J13" s="361">
        <f t="shared" si="13"/>
        <v>551</v>
      </c>
      <c r="K13" s="359">
        <v>619</v>
      </c>
      <c r="L13" s="360">
        <v>95</v>
      </c>
      <c r="M13" s="360">
        <f t="shared" si="14"/>
        <v>524</v>
      </c>
      <c r="N13" s="359">
        <v>574</v>
      </c>
      <c r="O13" s="360">
        <v>73</v>
      </c>
      <c r="P13" s="361">
        <f t="shared" si="4"/>
        <v>501</v>
      </c>
      <c r="Q13" s="359">
        <v>518</v>
      </c>
      <c r="R13" s="360">
        <v>83</v>
      </c>
      <c r="S13" s="361">
        <f t="shared" si="5"/>
        <v>435</v>
      </c>
      <c r="T13" s="359">
        <v>547</v>
      </c>
      <c r="U13" s="360">
        <v>105</v>
      </c>
      <c r="V13" s="360">
        <f t="shared" si="6"/>
        <v>442</v>
      </c>
      <c r="W13" s="359">
        <v>528</v>
      </c>
      <c r="X13" s="360">
        <v>100</v>
      </c>
      <c r="Y13" s="360">
        <f t="shared" si="7"/>
        <v>428</v>
      </c>
      <c r="Z13" s="359">
        <v>491</v>
      </c>
      <c r="AA13" s="360">
        <v>98</v>
      </c>
      <c r="AB13" s="360">
        <f t="shared" si="8"/>
        <v>393</v>
      </c>
      <c r="AC13" s="359">
        <v>522</v>
      </c>
      <c r="AD13" s="360">
        <v>115</v>
      </c>
      <c r="AE13" s="360">
        <f t="shared" si="9"/>
        <v>407</v>
      </c>
      <c r="AF13" s="1207">
        <v>507</v>
      </c>
      <c r="AG13" s="68">
        <v>93</v>
      </c>
      <c r="AH13" s="360">
        <f t="shared" si="10"/>
        <v>414</v>
      </c>
      <c r="AI13" s="360"/>
      <c r="AJ13" s="362" t="s">
        <v>716</v>
      </c>
    </row>
    <row r="14" spans="1:78" ht="18.75" customHeight="1">
      <c r="A14" s="358" t="s">
        <v>718</v>
      </c>
      <c r="B14" s="359">
        <v>702</v>
      </c>
      <c r="C14" s="360">
        <v>109</v>
      </c>
      <c r="D14" s="361">
        <f t="shared" si="11"/>
        <v>593</v>
      </c>
      <c r="E14" s="360">
        <v>669</v>
      </c>
      <c r="F14" s="360">
        <v>88</v>
      </c>
      <c r="G14" s="360">
        <f t="shared" si="12"/>
        <v>581</v>
      </c>
      <c r="H14" s="360">
        <v>570</v>
      </c>
      <c r="I14" s="360">
        <v>89</v>
      </c>
      <c r="J14" s="361">
        <f t="shared" si="13"/>
        <v>481</v>
      </c>
      <c r="K14" s="359">
        <v>569</v>
      </c>
      <c r="L14" s="360">
        <v>96</v>
      </c>
      <c r="M14" s="360">
        <f t="shared" si="14"/>
        <v>473</v>
      </c>
      <c r="N14" s="359">
        <v>585</v>
      </c>
      <c r="O14" s="360">
        <v>91</v>
      </c>
      <c r="P14" s="361">
        <f t="shared" si="4"/>
        <v>494</v>
      </c>
      <c r="Q14" s="359">
        <v>565</v>
      </c>
      <c r="R14" s="360">
        <v>109</v>
      </c>
      <c r="S14" s="361">
        <f t="shared" si="5"/>
        <v>456</v>
      </c>
      <c r="T14" s="359">
        <v>623</v>
      </c>
      <c r="U14" s="360">
        <v>88</v>
      </c>
      <c r="V14" s="360">
        <f t="shared" si="6"/>
        <v>535</v>
      </c>
      <c r="W14" s="359">
        <v>574</v>
      </c>
      <c r="X14" s="360">
        <v>91</v>
      </c>
      <c r="Y14" s="360">
        <f t="shared" si="7"/>
        <v>483</v>
      </c>
      <c r="Z14" s="359">
        <v>511</v>
      </c>
      <c r="AA14" s="360">
        <v>85</v>
      </c>
      <c r="AB14" s="360">
        <f t="shared" si="8"/>
        <v>426</v>
      </c>
      <c r="AC14" s="359">
        <v>508</v>
      </c>
      <c r="AD14" s="360">
        <v>129</v>
      </c>
      <c r="AE14" s="360">
        <f t="shared" si="9"/>
        <v>379</v>
      </c>
      <c r="AF14" s="1207">
        <v>543</v>
      </c>
      <c r="AG14" s="68">
        <v>70</v>
      </c>
      <c r="AH14" s="360">
        <f t="shared" si="10"/>
        <v>473</v>
      </c>
      <c r="AI14" s="360"/>
      <c r="AJ14" s="362" t="s">
        <v>719</v>
      </c>
    </row>
    <row r="15" spans="1:78" ht="18.75" customHeight="1">
      <c r="A15" s="358" t="s">
        <v>720</v>
      </c>
      <c r="B15" s="359">
        <v>651</v>
      </c>
      <c r="C15" s="360">
        <v>105</v>
      </c>
      <c r="D15" s="361">
        <f t="shared" si="11"/>
        <v>546</v>
      </c>
      <c r="E15" s="360">
        <v>606</v>
      </c>
      <c r="F15" s="360">
        <v>83</v>
      </c>
      <c r="G15" s="360">
        <f t="shared" si="12"/>
        <v>523</v>
      </c>
      <c r="H15" s="360">
        <v>655</v>
      </c>
      <c r="I15" s="360">
        <v>96</v>
      </c>
      <c r="J15" s="361">
        <f t="shared" si="13"/>
        <v>559</v>
      </c>
      <c r="K15" s="359">
        <v>593</v>
      </c>
      <c r="L15" s="360">
        <v>79</v>
      </c>
      <c r="M15" s="360">
        <f t="shared" si="14"/>
        <v>514</v>
      </c>
      <c r="N15" s="359">
        <v>647</v>
      </c>
      <c r="O15" s="360">
        <v>92</v>
      </c>
      <c r="P15" s="361">
        <f t="shared" si="4"/>
        <v>555</v>
      </c>
      <c r="Q15" s="359">
        <v>543</v>
      </c>
      <c r="R15" s="360">
        <v>94</v>
      </c>
      <c r="S15" s="361">
        <f t="shared" si="5"/>
        <v>449</v>
      </c>
      <c r="T15" s="359">
        <v>559</v>
      </c>
      <c r="U15" s="360">
        <v>90</v>
      </c>
      <c r="V15" s="360">
        <f t="shared" si="6"/>
        <v>469</v>
      </c>
      <c r="W15" s="359">
        <v>554</v>
      </c>
      <c r="X15" s="360">
        <v>93</v>
      </c>
      <c r="Y15" s="360">
        <f t="shared" si="7"/>
        <v>461</v>
      </c>
      <c r="Z15" s="359">
        <v>513</v>
      </c>
      <c r="AA15" s="360">
        <v>78</v>
      </c>
      <c r="AB15" s="360">
        <f t="shared" si="8"/>
        <v>435</v>
      </c>
      <c r="AC15" s="359">
        <v>573</v>
      </c>
      <c r="AD15" s="360">
        <v>112</v>
      </c>
      <c r="AE15" s="360">
        <f t="shared" si="9"/>
        <v>461</v>
      </c>
      <c r="AF15" s="1207">
        <v>502</v>
      </c>
      <c r="AG15" s="68">
        <v>70</v>
      </c>
      <c r="AH15" s="360">
        <f t="shared" si="10"/>
        <v>432</v>
      </c>
      <c r="AI15" s="360"/>
      <c r="AJ15" s="362" t="s">
        <v>721</v>
      </c>
    </row>
    <row r="16" spans="1:78" ht="18.75" customHeight="1">
      <c r="A16" s="358" t="s">
        <v>27</v>
      </c>
      <c r="B16" s="359">
        <v>643</v>
      </c>
      <c r="C16" s="360">
        <v>87</v>
      </c>
      <c r="D16" s="361">
        <f t="shared" si="11"/>
        <v>556</v>
      </c>
      <c r="E16" s="360">
        <v>624</v>
      </c>
      <c r="F16" s="360">
        <v>77</v>
      </c>
      <c r="G16" s="360">
        <f t="shared" si="12"/>
        <v>547</v>
      </c>
      <c r="H16" s="360">
        <v>643</v>
      </c>
      <c r="I16" s="360">
        <v>99</v>
      </c>
      <c r="J16" s="361">
        <f t="shared" si="13"/>
        <v>544</v>
      </c>
      <c r="K16" s="359">
        <v>618</v>
      </c>
      <c r="L16" s="360">
        <v>98</v>
      </c>
      <c r="M16" s="360">
        <f t="shared" si="14"/>
        <v>520</v>
      </c>
      <c r="N16" s="359">
        <v>628</v>
      </c>
      <c r="O16" s="360">
        <v>97</v>
      </c>
      <c r="P16" s="361">
        <f t="shared" si="4"/>
        <v>531</v>
      </c>
      <c r="Q16" s="359">
        <v>601</v>
      </c>
      <c r="R16" s="360">
        <v>80</v>
      </c>
      <c r="S16" s="361">
        <f t="shared" si="5"/>
        <v>521</v>
      </c>
      <c r="T16" s="359">
        <v>570</v>
      </c>
      <c r="U16" s="360">
        <v>106</v>
      </c>
      <c r="V16" s="360">
        <f t="shared" si="6"/>
        <v>464</v>
      </c>
      <c r="W16" s="359">
        <v>577</v>
      </c>
      <c r="X16" s="360">
        <v>100</v>
      </c>
      <c r="Y16" s="360">
        <f t="shared" si="7"/>
        <v>477</v>
      </c>
      <c r="Z16" s="359">
        <v>525</v>
      </c>
      <c r="AA16" s="360">
        <v>91</v>
      </c>
      <c r="AB16" s="360">
        <f t="shared" si="8"/>
        <v>434</v>
      </c>
      <c r="AC16" s="359">
        <v>514</v>
      </c>
      <c r="AD16" s="360">
        <v>103</v>
      </c>
      <c r="AE16" s="360">
        <f t="shared" si="9"/>
        <v>411</v>
      </c>
      <c r="AF16" s="1207">
        <v>524</v>
      </c>
      <c r="AG16" s="68">
        <v>80</v>
      </c>
      <c r="AH16" s="360">
        <f t="shared" si="10"/>
        <v>444</v>
      </c>
      <c r="AI16" s="360"/>
      <c r="AJ16" s="362" t="s">
        <v>723</v>
      </c>
      <c r="BV16" s="340"/>
      <c r="BW16" s="340"/>
      <c r="BX16" s="340"/>
      <c r="BY16" s="340"/>
      <c r="BZ16" s="340"/>
    </row>
    <row r="17" spans="1:88" ht="18.75" customHeight="1">
      <c r="A17" s="358" t="s">
        <v>725</v>
      </c>
      <c r="B17" s="359">
        <v>630</v>
      </c>
      <c r="C17" s="360">
        <v>84</v>
      </c>
      <c r="D17" s="361">
        <f t="shared" si="11"/>
        <v>546</v>
      </c>
      <c r="E17" s="360">
        <v>626</v>
      </c>
      <c r="F17" s="360">
        <v>105</v>
      </c>
      <c r="G17" s="360">
        <f t="shared" si="12"/>
        <v>521</v>
      </c>
      <c r="H17" s="360">
        <v>625</v>
      </c>
      <c r="I17" s="360">
        <v>87</v>
      </c>
      <c r="J17" s="361">
        <f t="shared" si="13"/>
        <v>538</v>
      </c>
      <c r="K17" s="359">
        <v>565</v>
      </c>
      <c r="L17" s="360">
        <v>73</v>
      </c>
      <c r="M17" s="360">
        <f t="shared" si="14"/>
        <v>492</v>
      </c>
      <c r="N17" s="359">
        <v>626</v>
      </c>
      <c r="O17" s="360">
        <v>98</v>
      </c>
      <c r="P17" s="361">
        <f t="shared" si="4"/>
        <v>528</v>
      </c>
      <c r="Q17" s="359">
        <v>553</v>
      </c>
      <c r="R17" s="360">
        <v>88</v>
      </c>
      <c r="S17" s="361">
        <f t="shared" si="5"/>
        <v>465</v>
      </c>
      <c r="T17" s="359">
        <v>520</v>
      </c>
      <c r="U17" s="360">
        <v>94</v>
      </c>
      <c r="V17" s="360">
        <f t="shared" si="6"/>
        <v>426</v>
      </c>
      <c r="W17" s="359">
        <v>520</v>
      </c>
      <c r="X17" s="360">
        <v>90</v>
      </c>
      <c r="Y17" s="360">
        <f t="shared" si="7"/>
        <v>430</v>
      </c>
      <c r="Z17" s="359">
        <v>474</v>
      </c>
      <c r="AA17" s="360">
        <v>86</v>
      </c>
      <c r="AB17" s="360">
        <f t="shared" si="8"/>
        <v>388</v>
      </c>
      <c r="AC17" s="359">
        <v>540</v>
      </c>
      <c r="AD17" s="360">
        <v>110</v>
      </c>
      <c r="AE17" s="360">
        <f t="shared" si="9"/>
        <v>430</v>
      </c>
      <c r="AF17" s="1207">
        <v>448</v>
      </c>
      <c r="AG17" s="68">
        <v>146</v>
      </c>
      <c r="AH17" s="360">
        <f t="shared" si="10"/>
        <v>302</v>
      </c>
      <c r="AI17" s="360"/>
      <c r="AJ17" s="362" t="s">
        <v>726</v>
      </c>
    </row>
    <row r="18" spans="1:88" ht="18.75" customHeight="1">
      <c r="A18" s="367" t="s">
        <v>728</v>
      </c>
      <c r="B18" s="368">
        <v>557</v>
      </c>
      <c r="C18" s="369">
        <v>94</v>
      </c>
      <c r="D18" s="370">
        <f t="shared" si="11"/>
        <v>463</v>
      </c>
      <c r="E18" s="369">
        <v>577</v>
      </c>
      <c r="F18" s="369">
        <v>103</v>
      </c>
      <c r="G18" s="369">
        <f t="shared" si="12"/>
        <v>474</v>
      </c>
      <c r="H18" s="369">
        <v>589</v>
      </c>
      <c r="I18" s="369">
        <v>84</v>
      </c>
      <c r="J18" s="370">
        <f t="shared" si="13"/>
        <v>505</v>
      </c>
      <c r="K18" s="368">
        <v>596</v>
      </c>
      <c r="L18" s="369">
        <v>97</v>
      </c>
      <c r="M18" s="369">
        <f t="shared" si="14"/>
        <v>499</v>
      </c>
      <c r="N18" s="368">
        <v>540</v>
      </c>
      <c r="O18" s="369">
        <v>98</v>
      </c>
      <c r="P18" s="370">
        <f t="shared" si="4"/>
        <v>442</v>
      </c>
      <c r="Q18" s="368">
        <v>565</v>
      </c>
      <c r="R18" s="369">
        <v>101</v>
      </c>
      <c r="S18" s="370">
        <f t="shared" si="5"/>
        <v>464</v>
      </c>
      <c r="T18" s="368">
        <v>509</v>
      </c>
      <c r="U18" s="369">
        <v>117</v>
      </c>
      <c r="V18" s="369">
        <f t="shared" si="6"/>
        <v>392</v>
      </c>
      <c r="W18" s="368">
        <v>540</v>
      </c>
      <c r="X18" s="369">
        <v>112</v>
      </c>
      <c r="Y18" s="369">
        <f t="shared" si="7"/>
        <v>428</v>
      </c>
      <c r="Z18" s="368">
        <v>519</v>
      </c>
      <c r="AA18" s="369">
        <v>58</v>
      </c>
      <c r="AB18" s="369">
        <f t="shared" si="8"/>
        <v>461</v>
      </c>
      <c r="AC18" s="368">
        <v>568</v>
      </c>
      <c r="AD18" s="369">
        <v>96</v>
      </c>
      <c r="AE18" s="369">
        <f t="shared" si="9"/>
        <v>472</v>
      </c>
      <c r="AF18" s="1206">
        <v>446</v>
      </c>
      <c r="AG18" s="1208">
        <v>181</v>
      </c>
      <c r="AH18" s="369">
        <f t="shared" si="10"/>
        <v>265</v>
      </c>
      <c r="AI18" s="369"/>
      <c r="AJ18" s="371" t="s">
        <v>729</v>
      </c>
      <c r="AK18" s="958"/>
      <c r="BV18" s="340"/>
      <c r="BW18" s="340"/>
      <c r="BX18" s="340"/>
      <c r="BY18" s="340"/>
      <c r="BZ18" s="340"/>
    </row>
    <row r="19" spans="1:88" ht="21.75" customHeight="1">
      <c r="A19" s="925" t="s">
        <v>755</v>
      </c>
      <c r="B19" s="360"/>
      <c r="C19" s="360"/>
      <c r="D19" s="360"/>
      <c r="E19" s="360"/>
      <c r="F19" s="360"/>
      <c r="G19" s="360"/>
      <c r="H19" s="360"/>
      <c r="I19" s="360"/>
      <c r="J19" s="360"/>
      <c r="K19" s="360"/>
      <c r="L19" s="360"/>
      <c r="M19" s="360"/>
      <c r="N19" s="360"/>
      <c r="O19" s="360"/>
      <c r="P19" s="360"/>
      <c r="Q19" s="360"/>
      <c r="R19" s="360"/>
      <c r="S19" s="360"/>
      <c r="T19" s="360"/>
      <c r="U19" s="360"/>
      <c r="V19" s="360"/>
      <c r="W19" s="360"/>
      <c r="X19" s="360"/>
      <c r="Y19" s="360"/>
      <c r="Z19" s="955"/>
      <c r="AA19" s="955"/>
      <c r="AB19" s="955"/>
      <c r="AC19" s="955"/>
      <c r="AD19" s="955"/>
      <c r="AE19" s="955"/>
      <c r="AF19" s="955"/>
      <c r="AG19" s="955"/>
      <c r="AH19" s="955"/>
      <c r="AI19" s="955"/>
      <c r="AJ19" s="340"/>
      <c r="AK19" s="362" t="s">
        <v>1151</v>
      </c>
      <c r="BV19" s="340"/>
      <c r="BW19" s="340"/>
      <c r="BX19" s="340"/>
      <c r="BY19" s="340"/>
      <c r="BZ19" s="340"/>
    </row>
    <row r="20" spans="1:88" ht="17.25" customHeight="1">
      <c r="A20" s="1211" t="s">
        <v>1191</v>
      </c>
      <c r="B20" s="360"/>
      <c r="C20" s="360"/>
      <c r="D20" s="360"/>
      <c r="E20" s="360"/>
      <c r="F20" s="360"/>
      <c r="G20" s="360"/>
      <c r="H20" s="360"/>
      <c r="I20" s="360"/>
      <c r="J20" s="360"/>
      <c r="K20" s="360"/>
      <c r="L20" s="360"/>
      <c r="M20" s="360"/>
      <c r="N20" s="360"/>
      <c r="O20" s="360"/>
      <c r="P20" s="360"/>
      <c r="Q20" s="360"/>
      <c r="R20" s="360"/>
      <c r="S20" s="360"/>
      <c r="T20" s="360"/>
      <c r="U20" s="360"/>
      <c r="V20" s="360"/>
      <c r="W20" s="360"/>
      <c r="X20" s="360"/>
      <c r="Y20" s="360"/>
      <c r="Z20" s="955"/>
      <c r="AA20" s="955"/>
      <c r="AB20" s="955"/>
      <c r="AC20" s="955"/>
      <c r="AD20" s="955"/>
      <c r="AE20" s="955"/>
      <c r="AF20" s="955"/>
      <c r="AG20" s="955"/>
      <c r="AH20" s="955"/>
      <c r="AI20" s="955"/>
      <c r="AJ20" s="1212" t="s">
        <v>1192</v>
      </c>
      <c r="AK20" s="959"/>
      <c r="BV20" s="340"/>
      <c r="BW20" s="340"/>
      <c r="BX20" s="340"/>
      <c r="BY20" s="340"/>
      <c r="BZ20" s="340"/>
    </row>
    <row r="21" spans="1:88" s="374" customFormat="1" ht="30" customHeight="1">
      <c r="A21" s="1391" t="s">
        <v>1243</v>
      </c>
      <c r="B21" s="1391"/>
      <c r="C21" s="1391"/>
      <c r="D21" s="1391"/>
      <c r="E21" s="1391"/>
      <c r="F21" s="1391"/>
      <c r="G21" s="1391"/>
      <c r="H21" s="1391"/>
      <c r="I21" s="1391"/>
      <c r="J21" s="1391"/>
      <c r="K21" s="1391"/>
      <c r="L21" s="1391"/>
      <c r="M21" s="1391"/>
      <c r="N21" s="1391"/>
      <c r="O21" s="1391"/>
      <c r="P21" s="1391"/>
      <c r="Q21" s="1391"/>
      <c r="R21" s="1391"/>
      <c r="S21" s="1391"/>
      <c r="T21" s="1391"/>
      <c r="U21" s="1391"/>
      <c r="V21" s="1391"/>
      <c r="W21" s="1391"/>
      <c r="X21" s="1391"/>
      <c r="Y21" s="1391"/>
      <c r="Z21" s="1391"/>
      <c r="AA21" s="1391"/>
      <c r="AB21" s="1391"/>
      <c r="AC21" s="1391"/>
      <c r="AD21" s="1391"/>
      <c r="AE21" s="1391"/>
      <c r="AF21" s="1390" t="s">
        <v>1193</v>
      </c>
      <c r="AG21" s="1390"/>
      <c r="AH21" s="1390"/>
      <c r="AI21" s="1390"/>
      <c r="AJ21" s="1390"/>
      <c r="AM21" s="1213"/>
      <c r="AN21" s="1213"/>
      <c r="AO21" s="1213"/>
    </row>
    <row r="22" spans="1:88" ht="16.5">
      <c r="A22" s="372" t="s">
        <v>732</v>
      </c>
      <c r="AJ22" s="1214" t="s">
        <v>760</v>
      </c>
      <c r="AK22" s="376"/>
      <c r="AL22" s="376"/>
      <c r="AP22" s="377"/>
      <c r="AQ22" s="377"/>
      <c r="AR22" s="377"/>
      <c r="AS22" s="377"/>
      <c r="AT22" s="377"/>
      <c r="AU22" s="377"/>
      <c r="AV22" s="377"/>
      <c r="AW22" s="377"/>
      <c r="AX22" s="377"/>
      <c r="AY22" s="377"/>
      <c r="AZ22" s="377"/>
      <c r="BA22" s="377"/>
      <c r="BB22" s="377"/>
      <c r="BC22" s="377"/>
      <c r="BD22" s="377"/>
      <c r="BE22" s="377"/>
      <c r="BF22" s="377"/>
      <c r="BG22" s="377"/>
      <c r="BH22" s="377"/>
      <c r="BI22" s="377"/>
      <c r="BJ22" s="377"/>
      <c r="BK22" s="377"/>
      <c r="BL22" s="377"/>
      <c r="BM22" s="377"/>
      <c r="BN22" s="377"/>
      <c r="BO22" s="377"/>
      <c r="BP22" s="377"/>
      <c r="BQ22" s="377"/>
      <c r="BR22" s="377"/>
      <c r="BS22" s="377"/>
      <c r="BT22" s="377"/>
      <c r="BV22" s="340"/>
      <c r="BW22" s="340"/>
      <c r="BX22" s="340"/>
      <c r="BY22" s="340"/>
      <c r="BZ22" s="340"/>
    </row>
    <row r="23" spans="1:88">
      <c r="AK23" s="376"/>
      <c r="AL23" s="376"/>
      <c r="AM23" s="377"/>
      <c r="AN23" s="377"/>
      <c r="AO23" s="377"/>
      <c r="AP23" s="377"/>
      <c r="AQ23" s="377"/>
      <c r="AR23" s="377"/>
      <c r="AS23" s="377"/>
      <c r="AT23" s="377"/>
      <c r="AU23" s="377"/>
      <c r="AV23" s="377"/>
      <c r="AW23" s="377"/>
      <c r="AX23" s="377"/>
      <c r="AY23" s="377"/>
      <c r="AZ23" s="377"/>
      <c r="BA23" s="377"/>
      <c r="BB23" s="377"/>
      <c r="BC23" s="377"/>
      <c r="BD23" s="377"/>
      <c r="BE23" s="377"/>
      <c r="BF23" s="377"/>
      <c r="BG23" s="377"/>
      <c r="BH23" s="377"/>
      <c r="BI23" s="377"/>
      <c r="BJ23" s="377"/>
      <c r="BK23" s="377"/>
      <c r="BL23" s="377"/>
      <c r="BM23" s="377"/>
      <c r="BN23" s="377"/>
      <c r="BO23" s="377"/>
      <c r="BP23" s="377"/>
      <c r="BQ23" s="377"/>
      <c r="BR23" s="377"/>
      <c r="BS23" s="377"/>
      <c r="BT23" s="377"/>
      <c r="BV23" s="340"/>
      <c r="BW23" s="340"/>
      <c r="BX23" s="340"/>
      <c r="BY23" s="340"/>
      <c r="BZ23" s="340"/>
    </row>
    <row r="24" spans="1:88">
      <c r="AK24" s="376"/>
      <c r="AL24" s="376"/>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7"/>
      <c r="BK24" s="377"/>
      <c r="BL24" s="377"/>
      <c r="BM24" s="377"/>
      <c r="BN24" s="377"/>
      <c r="BO24" s="377"/>
      <c r="BP24" s="377"/>
      <c r="BQ24" s="377"/>
      <c r="BR24" s="377"/>
      <c r="BS24" s="377"/>
      <c r="BT24" s="377"/>
    </row>
    <row r="25" spans="1:88">
      <c r="AK25" s="376"/>
      <c r="AL25" s="376"/>
      <c r="AM25" s="377"/>
      <c r="AN25" s="377"/>
      <c r="AO25" s="377"/>
      <c r="AP25" s="377"/>
      <c r="AQ25" s="377"/>
      <c r="AR25" s="377"/>
      <c r="AS25" s="377"/>
      <c r="AT25" s="377"/>
      <c r="AU25" s="377"/>
      <c r="AV25" s="377"/>
      <c r="AW25" s="377"/>
      <c r="AX25" s="377"/>
      <c r="AY25" s="377"/>
      <c r="AZ25" s="377"/>
      <c r="BA25" s="377"/>
      <c r="BB25" s="377"/>
      <c r="BC25" s="377"/>
      <c r="BD25" s="377"/>
      <c r="BE25" s="377"/>
      <c r="BF25" s="377"/>
      <c r="BG25" s="377"/>
      <c r="BH25" s="377"/>
      <c r="BI25" s="377"/>
      <c r="BJ25" s="377"/>
      <c r="BK25" s="377"/>
      <c r="BL25" s="377"/>
      <c r="BM25" s="377"/>
      <c r="BN25" s="377"/>
      <c r="BO25" s="377"/>
      <c r="BP25" s="377"/>
      <c r="BQ25" s="377"/>
      <c r="BR25" s="377"/>
      <c r="BS25" s="377"/>
      <c r="BT25" s="377"/>
    </row>
    <row r="26" spans="1:88">
      <c r="AK26" s="376"/>
      <c r="AL26" s="376"/>
      <c r="AM26" s="377"/>
      <c r="AN26" s="377"/>
      <c r="AO26" s="377"/>
      <c r="AP26" s="377"/>
      <c r="AQ26" s="377"/>
      <c r="AR26" s="377"/>
      <c r="AS26" s="377"/>
      <c r="AT26" s="377"/>
      <c r="AU26" s="377"/>
      <c r="AV26" s="377"/>
      <c r="AW26" s="377"/>
      <c r="AX26" s="377"/>
      <c r="AY26" s="377"/>
      <c r="AZ26" s="377"/>
      <c r="BA26" s="377"/>
      <c r="BB26" s="377"/>
      <c r="BC26" s="377"/>
      <c r="BD26" s="377"/>
      <c r="BE26" s="377"/>
      <c r="BF26" s="377"/>
      <c r="BG26" s="377"/>
      <c r="BH26" s="377"/>
      <c r="BI26" s="377"/>
      <c r="BJ26" s="377"/>
      <c r="BK26" s="377"/>
      <c r="BL26" s="377"/>
      <c r="BM26" s="377"/>
      <c r="BN26" s="377"/>
      <c r="BO26" s="377"/>
      <c r="BP26" s="377"/>
      <c r="BQ26" s="377"/>
      <c r="BR26" s="377"/>
      <c r="BS26" s="377"/>
      <c r="BT26" s="377"/>
    </row>
    <row r="29" spans="1:88" ht="12">
      <c r="AJ29" s="340"/>
    </row>
    <row r="30" spans="1:88" ht="12">
      <c r="A30" s="378"/>
      <c r="AJ30" s="340"/>
      <c r="BW30" s="363" t="s">
        <v>697</v>
      </c>
    </row>
    <row r="31" spans="1:88" ht="12">
      <c r="AJ31" s="340"/>
      <c r="AM31" s="378"/>
      <c r="AN31" s="378"/>
      <c r="AO31" s="378"/>
      <c r="AP31" s="378"/>
      <c r="AQ31" s="378"/>
      <c r="AR31" s="378"/>
      <c r="AS31" s="378"/>
      <c r="AT31" s="378"/>
      <c r="AU31" s="378"/>
      <c r="AV31" s="378"/>
      <c r="AW31" s="378"/>
      <c r="AX31" s="378"/>
      <c r="AY31" s="378"/>
      <c r="AZ31" s="378"/>
      <c r="BA31" s="378"/>
      <c r="BB31" s="378"/>
      <c r="BC31" s="378"/>
      <c r="BD31" s="378"/>
      <c r="BE31" s="378"/>
      <c r="BF31" s="378"/>
      <c r="BG31" s="378"/>
      <c r="BH31" s="378"/>
      <c r="BI31" s="378"/>
      <c r="BJ31" s="378"/>
      <c r="BK31" s="378"/>
      <c r="BL31" s="378"/>
      <c r="BM31" s="378"/>
      <c r="BN31" s="378"/>
      <c r="BO31" s="378"/>
      <c r="BP31" s="378"/>
      <c r="BQ31" s="378"/>
      <c r="BR31" s="378"/>
      <c r="BS31" s="379"/>
      <c r="BT31" s="379"/>
      <c r="BU31" s="379"/>
      <c r="BV31" s="380"/>
    </row>
    <row r="32" spans="1:88" ht="12">
      <c r="A32" s="381"/>
      <c r="AJ32" s="340"/>
      <c r="CD32" s="341"/>
      <c r="CG32" s="363" t="s">
        <v>696</v>
      </c>
      <c r="CH32" s="341"/>
      <c r="CI32" s="341"/>
      <c r="CJ32" s="341"/>
    </row>
    <row r="33" spans="1:92" s="381" customFormat="1" ht="12">
      <c r="A33" s="382"/>
      <c r="BV33" s="383"/>
      <c r="BW33" s="364"/>
      <c r="BX33" s="364">
        <v>2015</v>
      </c>
      <c r="BY33" s="364">
        <v>2016</v>
      </c>
      <c r="BZ33" s="364">
        <v>2017</v>
      </c>
      <c r="CA33" s="364">
        <v>2018</v>
      </c>
      <c r="CB33" s="364">
        <v>2019</v>
      </c>
      <c r="CC33" s="364">
        <v>2020</v>
      </c>
      <c r="CD33" s="364">
        <v>2021</v>
      </c>
      <c r="CG33" s="364"/>
      <c r="CH33" s="364">
        <v>2015</v>
      </c>
      <c r="CI33" s="364">
        <v>2016</v>
      </c>
      <c r="CJ33" s="364">
        <v>2017</v>
      </c>
      <c r="CK33" s="364">
        <v>2018</v>
      </c>
      <c r="CL33" s="364">
        <v>2019</v>
      </c>
      <c r="CM33" s="364">
        <v>2020</v>
      </c>
      <c r="CN33" s="364">
        <v>2021</v>
      </c>
    </row>
    <row r="34" spans="1:92" ht="12.75">
      <c r="A34" s="382"/>
      <c r="AJ34" s="340"/>
      <c r="BW34" s="365" t="s">
        <v>708</v>
      </c>
      <c r="BX34" s="366">
        <v>94</v>
      </c>
      <c r="BY34" s="366">
        <f>R7</f>
        <v>122</v>
      </c>
      <c r="BZ34" s="366">
        <f>U7</f>
        <v>97</v>
      </c>
      <c r="CA34" s="366">
        <f>X7</f>
        <v>114</v>
      </c>
      <c r="CB34" s="366">
        <f>AA7</f>
        <v>110</v>
      </c>
      <c r="CC34" s="366">
        <f>AD7</f>
        <v>114</v>
      </c>
      <c r="CD34" s="366">
        <f>AG7</f>
        <v>146</v>
      </c>
      <c r="CG34" s="365" t="s">
        <v>708</v>
      </c>
      <c r="CH34" s="366">
        <v>517</v>
      </c>
      <c r="CI34" s="366">
        <f t="shared" ref="CI34:CI45" si="15">Q7</f>
        <v>560</v>
      </c>
      <c r="CJ34" s="366">
        <f t="shared" ref="CJ34:CJ45" si="16">T7</f>
        <v>550</v>
      </c>
      <c r="CK34" s="366">
        <f t="shared" ref="CK34:CK45" si="17">W7</f>
        <v>541</v>
      </c>
      <c r="CL34" s="366">
        <f t="shared" ref="CL34:CL45" si="18">Z7</f>
        <v>526</v>
      </c>
      <c r="CM34" s="366">
        <f t="shared" ref="CM34:CM45" si="19">AC7</f>
        <v>540</v>
      </c>
      <c r="CN34" s="366">
        <f>AF7</f>
        <v>444</v>
      </c>
    </row>
    <row r="35" spans="1:92" ht="12.75">
      <c r="A35" s="382"/>
      <c r="AJ35" s="340"/>
      <c r="BW35" s="365" t="s">
        <v>711</v>
      </c>
      <c r="BX35" s="366">
        <v>91</v>
      </c>
      <c r="BY35" s="366">
        <f t="shared" ref="BY35:BY45" si="20">R8</f>
        <v>121</v>
      </c>
      <c r="BZ35" s="366">
        <f t="shared" ref="BZ35:BZ45" si="21">U8</f>
        <v>104</v>
      </c>
      <c r="CA35" s="366">
        <f t="shared" ref="CA35:CA45" si="22">X8</f>
        <v>98</v>
      </c>
      <c r="CB35" s="366">
        <f>AA8</f>
        <v>78</v>
      </c>
      <c r="CC35" s="366">
        <f t="shared" ref="CC35:CC45" si="23">AD8</f>
        <v>96</v>
      </c>
      <c r="CD35" s="366">
        <f t="shared" ref="CD35:CD45" si="24">AG8</f>
        <v>142</v>
      </c>
      <c r="CG35" s="365" t="s">
        <v>711</v>
      </c>
      <c r="CH35" s="366">
        <v>496</v>
      </c>
      <c r="CI35" s="366">
        <f t="shared" si="15"/>
        <v>524</v>
      </c>
      <c r="CJ35" s="366">
        <f t="shared" si="16"/>
        <v>511</v>
      </c>
      <c r="CK35" s="366">
        <f t="shared" si="17"/>
        <v>535</v>
      </c>
      <c r="CL35" s="366">
        <f t="shared" si="18"/>
        <v>449</v>
      </c>
      <c r="CM35" s="366">
        <f t="shared" si="19"/>
        <v>548</v>
      </c>
      <c r="CN35" s="366">
        <f t="shared" ref="CN35:CN45" si="25">AF8</f>
        <v>423</v>
      </c>
    </row>
    <row r="36" spans="1:92" ht="8.25" customHeight="1">
      <c r="A36" s="382"/>
      <c r="AJ36" s="340"/>
      <c r="BW36" s="365" t="s">
        <v>714</v>
      </c>
      <c r="BX36" s="366">
        <v>107</v>
      </c>
      <c r="BY36" s="366">
        <f t="shared" si="20"/>
        <v>129</v>
      </c>
      <c r="BZ36" s="366">
        <f t="shared" si="21"/>
        <v>134</v>
      </c>
      <c r="CA36" s="366">
        <f t="shared" si="22"/>
        <v>117</v>
      </c>
      <c r="CB36" s="366">
        <f t="shared" ref="CB36:CB45" si="26">AA9</f>
        <v>101</v>
      </c>
      <c r="CC36" s="366">
        <f t="shared" si="23"/>
        <v>109</v>
      </c>
      <c r="CD36" s="366">
        <f t="shared" si="24"/>
        <v>127</v>
      </c>
      <c r="CG36" s="365" t="s">
        <v>714</v>
      </c>
      <c r="CH36" s="366">
        <v>538</v>
      </c>
      <c r="CI36" s="366">
        <f t="shared" si="15"/>
        <v>582</v>
      </c>
      <c r="CJ36" s="366">
        <f t="shared" si="16"/>
        <v>598</v>
      </c>
      <c r="CK36" s="366">
        <f t="shared" si="17"/>
        <v>577</v>
      </c>
      <c r="CL36" s="366">
        <f t="shared" si="18"/>
        <v>539</v>
      </c>
      <c r="CM36" s="366">
        <f t="shared" si="19"/>
        <v>485</v>
      </c>
      <c r="CN36" s="366">
        <f t="shared" si="25"/>
        <v>545</v>
      </c>
    </row>
    <row r="37" spans="1:92">
      <c r="A37" s="382"/>
      <c r="B37" s="1397"/>
      <c r="C37" s="1397"/>
      <c r="D37" s="1397"/>
      <c r="E37" s="384"/>
      <c r="F37" s="1397"/>
      <c r="G37" s="1397"/>
      <c r="H37" s="1397"/>
      <c r="I37" s="1397"/>
      <c r="J37" s="1397"/>
      <c r="K37" s="1397"/>
      <c r="L37" s="1397"/>
      <c r="M37" s="1397"/>
      <c r="N37" s="1397"/>
      <c r="O37" s="1397"/>
      <c r="P37" s="1397"/>
      <c r="Q37" s="1397"/>
      <c r="R37" s="1397"/>
      <c r="S37" s="1397"/>
      <c r="T37" s="1397"/>
      <c r="U37" s="1397"/>
      <c r="V37" s="1397"/>
      <c r="W37" s="1397"/>
      <c r="X37" s="1397"/>
      <c r="Y37" s="1397"/>
      <c r="Z37" s="1397"/>
      <c r="AA37" s="1397"/>
      <c r="AB37" s="1397"/>
      <c r="AC37" s="1397"/>
      <c r="AD37" s="1397"/>
      <c r="AE37" s="1397"/>
      <c r="AF37" s="1397"/>
      <c r="AG37" s="1397"/>
      <c r="AH37" s="1397"/>
      <c r="AI37" s="1397"/>
      <c r="BW37" s="365" t="s">
        <v>717</v>
      </c>
      <c r="BX37" s="366">
        <v>114</v>
      </c>
      <c r="BY37" s="366">
        <f t="shared" si="20"/>
        <v>97</v>
      </c>
      <c r="BZ37" s="366">
        <f t="shared" si="21"/>
        <v>109</v>
      </c>
      <c r="CA37" s="366">
        <f t="shared" si="22"/>
        <v>99</v>
      </c>
      <c r="CB37" s="366">
        <f t="shared" si="26"/>
        <v>87</v>
      </c>
      <c r="CC37" s="366">
        <f t="shared" si="23"/>
        <v>91</v>
      </c>
      <c r="CD37" s="366">
        <f t="shared" si="24"/>
        <v>145</v>
      </c>
      <c r="CG37" s="365" t="s">
        <v>717</v>
      </c>
      <c r="CH37" s="366">
        <v>599</v>
      </c>
      <c r="CI37" s="366">
        <f t="shared" si="15"/>
        <v>628</v>
      </c>
      <c r="CJ37" s="366">
        <f t="shared" si="16"/>
        <v>573</v>
      </c>
      <c r="CK37" s="366">
        <f t="shared" si="17"/>
        <v>521</v>
      </c>
      <c r="CL37" s="366">
        <f t="shared" si="18"/>
        <v>477</v>
      </c>
      <c r="CM37" s="366">
        <f t="shared" si="19"/>
        <v>541</v>
      </c>
      <c r="CN37" s="366">
        <f t="shared" si="25"/>
        <v>534</v>
      </c>
    </row>
    <row r="38" spans="1:92">
      <c r="A38" s="382"/>
      <c r="B38" s="385"/>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BW38" s="365" t="s">
        <v>709</v>
      </c>
      <c r="BX38" s="366">
        <v>87</v>
      </c>
      <c r="BY38" s="366">
        <f t="shared" si="20"/>
        <v>104</v>
      </c>
      <c r="BZ38" s="366">
        <f t="shared" si="21"/>
        <v>94</v>
      </c>
      <c r="CA38" s="366">
        <f t="shared" si="22"/>
        <v>113</v>
      </c>
      <c r="CB38" s="366">
        <f t="shared" si="26"/>
        <v>89</v>
      </c>
      <c r="CC38" s="366">
        <f t="shared" si="23"/>
        <v>109</v>
      </c>
      <c r="CD38" s="366">
        <f t="shared" si="24"/>
        <v>191</v>
      </c>
      <c r="CG38" s="365" t="s">
        <v>709</v>
      </c>
      <c r="CH38" s="366">
        <v>635</v>
      </c>
      <c r="CI38" s="366">
        <f t="shared" si="15"/>
        <v>585</v>
      </c>
      <c r="CJ38" s="366">
        <f t="shared" si="16"/>
        <v>582</v>
      </c>
      <c r="CK38" s="366">
        <f t="shared" si="17"/>
        <v>608</v>
      </c>
      <c r="CL38" s="366">
        <f t="shared" si="18"/>
        <v>604</v>
      </c>
      <c r="CM38" s="366">
        <f t="shared" si="19"/>
        <v>492</v>
      </c>
      <c r="CN38" s="366">
        <f t="shared" si="25"/>
        <v>516</v>
      </c>
    </row>
    <row r="39" spans="1:92">
      <c r="A39" s="382"/>
      <c r="B39" s="386"/>
      <c r="C39" s="386"/>
      <c r="D39" s="387"/>
      <c r="E39" s="387"/>
      <c r="F39" s="386"/>
      <c r="G39" s="386"/>
      <c r="H39" s="387"/>
      <c r="I39" s="386"/>
      <c r="J39" s="386"/>
      <c r="K39" s="387"/>
      <c r="L39" s="386"/>
      <c r="M39" s="386"/>
      <c r="N39" s="387"/>
      <c r="O39" s="386"/>
      <c r="P39" s="386"/>
      <c r="Q39" s="387"/>
      <c r="R39" s="386"/>
      <c r="S39" s="386"/>
      <c r="T39" s="387"/>
      <c r="U39" s="386"/>
      <c r="V39" s="386"/>
      <c r="W39" s="387"/>
      <c r="X39" s="386"/>
      <c r="Y39" s="386"/>
      <c r="Z39" s="387"/>
      <c r="AA39" s="386"/>
      <c r="AB39" s="386"/>
      <c r="AC39" s="387"/>
      <c r="AD39" s="386"/>
      <c r="AE39" s="386"/>
      <c r="AF39" s="387"/>
      <c r="AG39" s="386"/>
      <c r="AH39" s="386"/>
      <c r="AI39" s="386"/>
      <c r="BW39" s="365" t="s">
        <v>722</v>
      </c>
      <c r="BX39" s="366">
        <v>88</v>
      </c>
      <c r="BY39" s="366">
        <f t="shared" si="20"/>
        <v>98</v>
      </c>
      <c r="BZ39" s="366">
        <f t="shared" si="21"/>
        <v>103</v>
      </c>
      <c r="CA39" s="366">
        <f t="shared" si="22"/>
        <v>89</v>
      </c>
      <c r="CB39" s="366">
        <f t="shared" si="26"/>
        <v>80</v>
      </c>
      <c r="CC39" s="366">
        <f t="shared" si="23"/>
        <v>91</v>
      </c>
      <c r="CD39" s="366">
        <f t="shared" si="24"/>
        <v>161</v>
      </c>
      <c r="CG39" s="365" t="s">
        <v>722</v>
      </c>
      <c r="CH39" s="366">
        <v>601</v>
      </c>
      <c r="CI39" s="366">
        <f t="shared" si="15"/>
        <v>532</v>
      </c>
      <c r="CJ39" s="366">
        <f t="shared" si="16"/>
        <v>581</v>
      </c>
      <c r="CK39" s="366">
        <f t="shared" si="17"/>
        <v>489</v>
      </c>
      <c r="CL39" s="366">
        <f t="shared" si="18"/>
        <v>499</v>
      </c>
      <c r="CM39" s="366">
        <f t="shared" si="19"/>
        <v>462</v>
      </c>
      <c r="CN39" s="366">
        <f t="shared" si="25"/>
        <v>482</v>
      </c>
    </row>
    <row r="40" spans="1:92">
      <c r="A40" s="382"/>
      <c r="B40" s="379"/>
      <c r="C40" s="379"/>
      <c r="D40" s="379"/>
      <c r="E40" s="379"/>
      <c r="F40" s="379"/>
      <c r="G40" s="379"/>
      <c r="H40" s="379"/>
      <c r="I40" s="379"/>
      <c r="J40" s="379"/>
      <c r="K40" s="379"/>
      <c r="L40" s="379"/>
      <c r="M40" s="379"/>
      <c r="N40" s="379"/>
      <c r="O40" s="379"/>
      <c r="P40" s="379"/>
      <c r="Q40" s="379"/>
      <c r="R40" s="379"/>
      <c r="S40" s="379"/>
      <c r="T40" s="379"/>
      <c r="U40" s="379"/>
      <c r="V40" s="379"/>
      <c r="W40" s="379"/>
      <c r="X40" s="379"/>
      <c r="Y40" s="379"/>
      <c r="Z40" s="379"/>
      <c r="AA40" s="379"/>
      <c r="AB40" s="379"/>
      <c r="AC40" s="379"/>
      <c r="AD40" s="379"/>
      <c r="AE40" s="379"/>
      <c r="AF40" s="379"/>
      <c r="AG40" s="379"/>
      <c r="AH40" s="379"/>
      <c r="AI40" s="379"/>
      <c r="BW40" s="365" t="s">
        <v>724</v>
      </c>
      <c r="BX40" s="366">
        <v>73</v>
      </c>
      <c r="BY40" s="366">
        <f t="shared" si="20"/>
        <v>83</v>
      </c>
      <c r="BZ40" s="366">
        <f t="shared" si="21"/>
        <v>105</v>
      </c>
      <c r="CA40" s="366">
        <f t="shared" si="22"/>
        <v>100</v>
      </c>
      <c r="CB40" s="366">
        <f t="shared" si="26"/>
        <v>98</v>
      </c>
      <c r="CC40" s="366">
        <f t="shared" si="23"/>
        <v>115</v>
      </c>
      <c r="CD40" s="366">
        <f t="shared" si="24"/>
        <v>93</v>
      </c>
      <c r="CG40" s="365" t="s">
        <v>724</v>
      </c>
      <c r="CH40" s="366">
        <v>574</v>
      </c>
      <c r="CI40" s="366">
        <f t="shared" si="15"/>
        <v>518</v>
      </c>
      <c r="CJ40" s="366">
        <f t="shared" si="16"/>
        <v>547</v>
      </c>
      <c r="CK40" s="366">
        <f t="shared" si="17"/>
        <v>528</v>
      </c>
      <c r="CL40" s="366">
        <f t="shared" si="18"/>
        <v>491</v>
      </c>
      <c r="CM40" s="366">
        <f t="shared" si="19"/>
        <v>522</v>
      </c>
      <c r="CN40" s="366">
        <f t="shared" si="25"/>
        <v>507</v>
      </c>
    </row>
    <row r="41" spans="1:92">
      <c r="A41" s="382"/>
      <c r="B41" s="388"/>
      <c r="C41" s="388"/>
      <c r="D41" s="388"/>
      <c r="E41" s="388"/>
      <c r="F41" s="388"/>
      <c r="G41" s="388"/>
      <c r="H41" s="388"/>
      <c r="I41" s="388"/>
      <c r="J41" s="388"/>
      <c r="K41" s="388"/>
      <c r="L41" s="388"/>
      <c r="M41" s="388"/>
      <c r="N41" s="388"/>
      <c r="O41" s="388"/>
      <c r="P41" s="388"/>
      <c r="Q41" s="388"/>
      <c r="R41" s="388"/>
      <c r="S41" s="388"/>
      <c r="T41" s="388"/>
      <c r="U41" s="388"/>
      <c r="V41" s="388"/>
      <c r="W41" s="388"/>
      <c r="X41" s="388"/>
      <c r="Y41" s="388"/>
      <c r="Z41" s="388"/>
      <c r="AA41" s="388"/>
      <c r="AB41" s="388"/>
      <c r="AC41" s="388"/>
      <c r="AD41" s="388"/>
      <c r="AE41" s="388"/>
      <c r="AF41" s="388"/>
      <c r="AG41" s="388"/>
      <c r="AH41" s="388"/>
      <c r="AI41" s="388"/>
      <c r="BW41" s="365" t="s">
        <v>727</v>
      </c>
      <c r="BX41" s="366">
        <v>91</v>
      </c>
      <c r="BY41" s="366">
        <f t="shared" si="20"/>
        <v>109</v>
      </c>
      <c r="BZ41" s="366">
        <f t="shared" si="21"/>
        <v>88</v>
      </c>
      <c r="CA41" s="366">
        <f t="shared" si="22"/>
        <v>91</v>
      </c>
      <c r="CB41" s="366">
        <f t="shared" si="26"/>
        <v>85</v>
      </c>
      <c r="CC41" s="366">
        <f t="shared" si="23"/>
        <v>129</v>
      </c>
      <c r="CD41" s="366">
        <f t="shared" si="24"/>
        <v>70</v>
      </c>
      <c r="CG41" s="365" t="s">
        <v>727</v>
      </c>
      <c r="CH41" s="366">
        <v>585</v>
      </c>
      <c r="CI41" s="366">
        <f t="shared" si="15"/>
        <v>565</v>
      </c>
      <c r="CJ41" s="366">
        <f t="shared" si="16"/>
        <v>623</v>
      </c>
      <c r="CK41" s="366">
        <f t="shared" si="17"/>
        <v>574</v>
      </c>
      <c r="CL41" s="366">
        <f t="shared" si="18"/>
        <v>511</v>
      </c>
      <c r="CM41" s="366">
        <f t="shared" si="19"/>
        <v>508</v>
      </c>
      <c r="CN41" s="366">
        <f t="shared" si="25"/>
        <v>543</v>
      </c>
    </row>
    <row r="42" spans="1:92">
      <c r="A42" s="382"/>
      <c r="B42" s="388"/>
      <c r="C42" s="388"/>
      <c r="D42" s="388"/>
      <c r="E42" s="388"/>
      <c r="F42" s="388"/>
      <c r="G42" s="388"/>
      <c r="H42" s="388"/>
      <c r="I42" s="388"/>
      <c r="J42" s="388"/>
      <c r="K42" s="388"/>
      <c r="L42" s="388"/>
      <c r="M42" s="388"/>
      <c r="N42" s="388"/>
      <c r="O42" s="388"/>
      <c r="P42" s="388"/>
      <c r="Q42" s="388"/>
      <c r="R42" s="388"/>
      <c r="S42" s="388"/>
      <c r="T42" s="388"/>
      <c r="U42" s="388"/>
      <c r="V42" s="388"/>
      <c r="W42" s="388"/>
      <c r="X42" s="388"/>
      <c r="Y42" s="388"/>
      <c r="Z42" s="388"/>
      <c r="AA42" s="388"/>
      <c r="AB42" s="388"/>
      <c r="AC42" s="388"/>
      <c r="AD42" s="388"/>
      <c r="AE42" s="388"/>
      <c r="AF42" s="388"/>
      <c r="AG42" s="388"/>
      <c r="AH42" s="388"/>
      <c r="AI42" s="388"/>
      <c r="BW42" s="365" t="s">
        <v>730</v>
      </c>
      <c r="BX42" s="366">
        <v>92</v>
      </c>
      <c r="BY42" s="366">
        <f t="shared" si="20"/>
        <v>94</v>
      </c>
      <c r="BZ42" s="366">
        <f t="shared" si="21"/>
        <v>90</v>
      </c>
      <c r="CA42" s="366">
        <f t="shared" si="22"/>
        <v>93</v>
      </c>
      <c r="CB42" s="366">
        <f t="shared" si="26"/>
        <v>78</v>
      </c>
      <c r="CC42" s="366">
        <f t="shared" si="23"/>
        <v>112</v>
      </c>
      <c r="CD42" s="366">
        <f t="shared" si="24"/>
        <v>70</v>
      </c>
      <c r="CG42" s="365" t="s">
        <v>730</v>
      </c>
      <c r="CH42" s="366">
        <v>647</v>
      </c>
      <c r="CI42" s="366">
        <f t="shared" si="15"/>
        <v>543</v>
      </c>
      <c r="CJ42" s="366">
        <f t="shared" si="16"/>
        <v>559</v>
      </c>
      <c r="CK42" s="366">
        <f t="shared" si="17"/>
        <v>554</v>
      </c>
      <c r="CL42" s="366">
        <f t="shared" si="18"/>
        <v>513</v>
      </c>
      <c r="CM42" s="366">
        <f t="shared" si="19"/>
        <v>573</v>
      </c>
      <c r="CN42" s="366">
        <f t="shared" si="25"/>
        <v>502</v>
      </c>
    </row>
    <row r="43" spans="1:92">
      <c r="A43" s="382"/>
      <c r="B43" s="388"/>
      <c r="C43" s="388"/>
      <c r="D43" s="388"/>
      <c r="E43" s="388"/>
      <c r="F43" s="388"/>
      <c r="G43" s="388"/>
      <c r="H43" s="388"/>
      <c r="I43" s="388"/>
      <c r="J43" s="388"/>
      <c r="K43" s="388"/>
      <c r="L43" s="388"/>
      <c r="M43" s="388"/>
      <c r="N43" s="388"/>
      <c r="O43" s="388"/>
      <c r="P43" s="388"/>
      <c r="Q43" s="388"/>
      <c r="R43" s="388"/>
      <c r="S43" s="388"/>
      <c r="T43" s="388"/>
      <c r="U43" s="388"/>
      <c r="V43" s="388"/>
      <c r="W43" s="388"/>
      <c r="X43" s="388"/>
      <c r="Y43" s="388"/>
      <c r="Z43" s="388"/>
      <c r="AA43" s="388"/>
      <c r="AB43" s="388"/>
      <c r="AC43" s="388"/>
      <c r="AD43" s="388"/>
      <c r="AE43" s="388"/>
      <c r="AF43" s="388"/>
      <c r="AG43" s="388"/>
      <c r="AH43" s="388"/>
      <c r="AI43" s="388"/>
      <c r="BW43" s="365" t="s">
        <v>731</v>
      </c>
      <c r="BX43" s="366">
        <v>97</v>
      </c>
      <c r="BY43" s="366">
        <f t="shared" si="20"/>
        <v>80</v>
      </c>
      <c r="BZ43" s="366">
        <f t="shared" si="21"/>
        <v>106</v>
      </c>
      <c r="CA43" s="366">
        <f t="shared" si="22"/>
        <v>100</v>
      </c>
      <c r="CB43" s="366">
        <f t="shared" si="26"/>
        <v>91</v>
      </c>
      <c r="CC43" s="366">
        <f t="shared" si="23"/>
        <v>103</v>
      </c>
      <c r="CD43" s="366">
        <f t="shared" si="24"/>
        <v>80</v>
      </c>
      <c r="CG43" s="365" t="s">
        <v>731</v>
      </c>
      <c r="CH43" s="366">
        <f>N16</f>
        <v>628</v>
      </c>
      <c r="CI43" s="366">
        <f t="shared" si="15"/>
        <v>601</v>
      </c>
      <c r="CJ43" s="366">
        <f t="shared" si="16"/>
        <v>570</v>
      </c>
      <c r="CK43" s="366">
        <f t="shared" si="17"/>
        <v>577</v>
      </c>
      <c r="CL43" s="366">
        <f t="shared" si="18"/>
        <v>525</v>
      </c>
      <c r="CM43" s="366">
        <f t="shared" si="19"/>
        <v>514</v>
      </c>
      <c r="CN43" s="366">
        <f t="shared" si="25"/>
        <v>524</v>
      </c>
    </row>
    <row r="44" spans="1:92">
      <c r="A44" s="382"/>
      <c r="B44" s="388"/>
      <c r="C44" s="388"/>
      <c r="D44" s="388"/>
      <c r="E44" s="388"/>
      <c r="F44" s="388"/>
      <c r="G44" s="388"/>
      <c r="H44" s="388"/>
      <c r="I44" s="388"/>
      <c r="J44" s="388"/>
      <c r="K44" s="388"/>
      <c r="L44" s="388"/>
      <c r="M44" s="388"/>
      <c r="N44" s="388"/>
      <c r="O44" s="388"/>
      <c r="P44" s="388"/>
      <c r="Q44" s="388"/>
      <c r="R44" s="388"/>
      <c r="S44" s="388"/>
      <c r="T44" s="388"/>
      <c r="U44" s="388"/>
      <c r="V44" s="388"/>
      <c r="W44" s="388"/>
      <c r="X44" s="388"/>
      <c r="Y44" s="388"/>
      <c r="Z44" s="388"/>
      <c r="AA44" s="388"/>
      <c r="AB44" s="388"/>
      <c r="AC44" s="388"/>
      <c r="AD44" s="388"/>
      <c r="AE44" s="388"/>
      <c r="AF44" s="388"/>
      <c r="AG44" s="388"/>
      <c r="AH44" s="388"/>
      <c r="AI44" s="388"/>
      <c r="BW44" s="365" t="s">
        <v>734</v>
      </c>
      <c r="BX44" s="366">
        <v>98</v>
      </c>
      <c r="BY44" s="366">
        <f t="shared" si="20"/>
        <v>88</v>
      </c>
      <c r="BZ44" s="366">
        <f t="shared" si="21"/>
        <v>94</v>
      </c>
      <c r="CA44" s="366">
        <f t="shared" si="22"/>
        <v>90</v>
      </c>
      <c r="CB44" s="366">
        <f t="shared" si="26"/>
        <v>86</v>
      </c>
      <c r="CC44" s="366">
        <f t="shared" si="23"/>
        <v>110</v>
      </c>
      <c r="CD44" s="366">
        <f t="shared" si="24"/>
        <v>146</v>
      </c>
      <c r="CG44" s="365" t="s">
        <v>734</v>
      </c>
      <c r="CH44" s="366">
        <v>626</v>
      </c>
      <c r="CI44" s="366">
        <f t="shared" si="15"/>
        <v>553</v>
      </c>
      <c r="CJ44" s="366">
        <f t="shared" si="16"/>
        <v>520</v>
      </c>
      <c r="CK44" s="366">
        <f t="shared" si="17"/>
        <v>520</v>
      </c>
      <c r="CL44" s="366">
        <f t="shared" si="18"/>
        <v>474</v>
      </c>
      <c r="CM44" s="366">
        <f t="shared" si="19"/>
        <v>540</v>
      </c>
      <c r="CN44" s="366">
        <f t="shared" si="25"/>
        <v>448</v>
      </c>
    </row>
    <row r="45" spans="1:92">
      <c r="B45" s="388"/>
      <c r="C45" s="388"/>
      <c r="D45" s="388"/>
      <c r="E45" s="388"/>
      <c r="F45" s="388"/>
      <c r="G45" s="388"/>
      <c r="H45" s="388"/>
      <c r="I45" s="388"/>
      <c r="J45" s="388"/>
      <c r="K45" s="388"/>
      <c r="L45" s="388"/>
      <c r="M45" s="388"/>
      <c r="N45" s="388"/>
      <c r="O45" s="388"/>
      <c r="P45" s="388"/>
      <c r="Q45" s="388"/>
      <c r="R45" s="388"/>
      <c r="S45" s="388"/>
      <c r="T45" s="388"/>
      <c r="U45" s="388"/>
      <c r="V45" s="388"/>
      <c r="W45" s="388"/>
      <c r="X45" s="388"/>
      <c r="Y45" s="388"/>
      <c r="Z45" s="388"/>
      <c r="AA45" s="388"/>
      <c r="AB45" s="388"/>
      <c r="AC45" s="388"/>
      <c r="AD45" s="388"/>
      <c r="AE45" s="388"/>
      <c r="AF45" s="388"/>
      <c r="AG45" s="388"/>
      <c r="AH45" s="388"/>
      <c r="AI45" s="388"/>
      <c r="BW45" s="365" t="s">
        <v>735</v>
      </c>
      <c r="BX45" s="366">
        <v>98</v>
      </c>
      <c r="BY45" s="366">
        <f t="shared" si="20"/>
        <v>101</v>
      </c>
      <c r="BZ45" s="366">
        <f t="shared" si="21"/>
        <v>117</v>
      </c>
      <c r="CA45" s="366">
        <f t="shared" si="22"/>
        <v>112</v>
      </c>
      <c r="CB45" s="366">
        <f t="shared" si="26"/>
        <v>58</v>
      </c>
      <c r="CC45" s="366">
        <f t="shared" si="23"/>
        <v>96</v>
      </c>
      <c r="CD45" s="366">
        <f t="shared" si="24"/>
        <v>181</v>
      </c>
      <c r="CG45" s="365" t="s">
        <v>735</v>
      </c>
      <c r="CH45" s="366">
        <v>540</v>
      </c>
      <c r="CI45" s="366">
        <f t="shared" si="15"/>
        <v>565</v>
      </c>
      <c r="CJ45" s="366">
        <f t="shared" si="16"/>
        <v>509</v>
      </c>
      <c r="CK45" s="366">
        <f t="shared" si="17"/>
        <v>540</v>
      </c>
      <c r="CL45" s="366">
        <f t="shared" si="18"/>
        <v>519</v>
      </c>
      <c r="CM45" s="366">
        <f t="shared" si="19"/>
        <v>568</v>
      </c>
      <c r="CN45" s="366">
        <f t="shared" si="25"/>
        <v>446</v>
      </c>
    </row>
    <row r="46" spans="1:92">
      <c r="B46" s="388"/>
      <c r="C46" s="388"/>
      <c r="D46" s="388"/>
      <c r="E46" s="388"/>
      <c r="F46" s="388"/>
      <c r="G46" s="388"/>
      <c r="H46" s="388"/>
      <c r="I46" s="388"/>
      <c r="J46" s="388"/>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c r="CD46" s="341"/>
      <c r="CE46" s="342"/>
      <c r="CF46" s="341"/>
      <c r="CG46" s="341"/>
      <c r="CH46" s="341"/>
    </row>
    <row r="47" spans="1:92">
      <c r="B47" s="388"/>
      <c r="C47" s="388"/>
      <c r="D47" s="388"/>
      <c r="E47" s="388"/>
      <c r="F47" s="388"/>
      <c r="G47" s="388"/>
      <c r="H47" s="388"/>
      <c r="I47" s="388"/>
      <c r="J47" s="388"/>
      <c r="K47" s="388"/>
      <c r="L47" s="388"/>
      <c r="M47" s="388"/>
      <c r="N47" s="388"/>
      <c r="O47" s="388"/>
      <c r="P47" s="388"/>
      <c r="Q47" s="388"/>
      <c r="R47" s="388"/>
      <c r="S47" s="388"/>
      <c r="T47" s="388"/>
      <c r="U47" s="388"/>
      <c r="V47" s="388"/>
      <c r="W47" s="388"/>
      <c r="X47" s="388"/>
      <c r="Y47" s="388"/>
      <c r="Z47" s="388"/>
      <c r="AA47" s="388"/>
      <c r="AB47" s="388"/>
      <c r="AC47" s="388"/>
      <c r="AD47" s="388"/>
      <c r="AE47" s="388"/>
      <c r="AF47" s="388"/>
      <c r="AG47" s="388"/>
      <c r="AH47" s="388"/>
      <c r="AI47" s="388"/>
      <c r="BW47" s="389"/>
    </row>
    <row r="48" spans="1:92">
      <c r="B48" s="388"/>
      <c r="C48" s="388"/>
      <c r="D48" s="388"/>
      <c r="E48" s="388"/>
      <c r="F48" s="388"/>
      <c r="G48" s="388"/>
      <c r="H48" s="388"/>
      <c r="I48" s="388"/>
      <c r="J48" s="388"/>
      <c r="K48" s="388"/>
      <c r="L48" s="388"/>
      <c r="M48" s="388"/>
      <c r="N48" s="388"/>
      <c r="O48" s="388"/>
      <c r="P48" s="388"/>
      <c r="Q48" s="388"/>
      <c r="R48" s="388"/>
      <c r="S48" s="388"/>
      <c r="T48" s="388"/>
      <c r="U48" s="388"/>
      <c r="V48" s="388"/>
      <c r="W48" s="388"/>
      <c r="X48" s="388"/>
      <c r="Y48" s="388"/>
      <c r="Z48" s="388"/>
      <c r="AA48" s="388"/>
      <c r="AB48" s="388"/>
      <c r="AC48" s="388"/>
      <c r="AD48" s="388"/>
      <c r="AE48" s="388"/>
      <c r="AF48" s="388"/>
      <c r="AG48" s="388"/>
      <c r="AH48" s="388"/>
      <c r="AI48" s="388"/>
      <c r="BW48" s="390"/>
    </row>
    <row r="49" spans="2:75">
      <c r="B49" s="388"/>
      <c r="C49" s="388"/>
      <c r="D49" s="388"/>
      <c r="E49" s="388"/>
      <c r="F49" s="388"/>
      <c r="G49" s="388"/>
      <c r="H49" s="388"/>
      <c r="I49" s="388"/>
      <c r="J49" s="388"/>
      <c r="K49" s="388"/>
      <c r="L49" s="388"/>
      <c r="M49" s="388"/>
      <c r="N49" s="388"/>
      <c r="O49" s="388"/>
      <c r="P49" s="388"/>
      <c r="Q49" s="388"/>
      <c r="R49" s="388"/>
      <c r="S49" s="388"/>
      <c r="T49" s="388"/>
      <c r="U49" s="388"/>
      <c r="V49" s="388"/>
      <c r="W49" s="388"/>
      <c r="X49" s="388"/>
      <c r="Y49" s="388"/>
      <c r="Z49" s="388"/>
      <c r="AA49" s="388"/>
      <c r="AB49" s="388"/>
      <c r="AC49" s="388"/>
      <c r="AD49" s="388"/>
      <c r="AE49" s="388"/>
      <c r="AF49" s="388"/>
      <c r="AG49" s="388"/>
      <c r="AH49" s="388"/>
      <c r="AI49" s="388"/>
      <c r="BW49" s="390"/>
    </row>
    <row r="50" spans="2:75">
      <c r="B50" s="388"/>
      <c r="C50" s="388"/>
      <c r="D50" s="388"/>
      <c r="E50" s="388"/>
      <c r="F50" s="388"/>
      <c r="G50" s="388"/>
      <c r="H50" s="388"/>
      <c r="I50" s="388"/>
      <c r="J50" s="388"/>
      <c r="K50" s="388"/>
      <c r="L50" s="388"/>
      <c r="M50" s="388"/>
      <c r="N50" s="388"/>
      <c r="O50" s="388"/>
      <c r="P50" s="388"/>
      <c r="Q50" s="388"/>
      <c r="R50" s="388"/>
      <c r="S50" s="388"/>
      <c r="T50" s="388"/>
      <c r="U50" s="388"/>
      <c r="V50" s="388"/>
      <c r="W50" s="388"/>
      <c r="X50" s="388"/>
      <c r="Y50" s="388"/>
      <c r="Z50" s="388"/>
      <c r="AA50" s="388"/>
      <c r="AB50" s="388"/>
      <c r="AC50" s="388"/>
      <c r="AD50" s="388"/>
      <c r="AE50" s="388"/>
      <c r="AF50" s="388"/>
      <c r="AG50" s="388"/>
      <c r="AH50" s="388"/>
      <c r="AI50" s="388"/>
      <c r="BW50" s="390"/>
    </row>
    <row r="51" spans="2:75">
      <c r="B51" s="388"/>
      <c r="C51" s="388"/>
      <c r="D51" s="388"/>
      <c r="E51" s="388"/>
      <c r="F51" s="388"/>
      <c r="G51" s="388"/>
      <c r="H51" s="388"/>
      <c r="I51" s="388"/>
      <c r="J51" s="388"/>
      <c r="K51" s="388"/>
      <c r="L51" s="388"/>
      <c r="M51" s="388"/>
      <c r="N51" s="388"/>
      <c r="O51" s="388"/>
      <c r="P51" s="388"/>
      <c r="Q51" s="388"/>
      <c r="R51" s="388"/>
      <c r="S51" s="388"/>
      <c r="T51" s="388"/>
      <c r="U51" s="388"/>
      <c r="V51" s="388"/>
      <c r="W51" s="388"/>
      <c r="X51" s="388"/>
      <c r="Y51" s="388"/>
      <c r="Z51" s="388"/>
      <c r="AA51" s="388"/>
      <c r="AB51" s="388"/>
      <c r="AC51" s="388"/>
      <c r="AD51" s="388"/>
      <c r="AE51" s="388"/>
      <c r="AF51" s="388"/>
      <c r="AG51" s="388"/>
      <c r="AH51" s="388"/>
      <c r="AI51" s="388"/>
      <c r="BW51" s="390"/>
    </row>
    <row r="52" spans="2:75">
      <c r="B52" s="388"/>
      <c r="C52" s="388"/>
      <c r="D52" s="388"/>
      <c r="E52" s="388"/>
      <c r="F52" s="388"/>
      <c r="G52" s="388"/>
      <c r="H52" s="388"/>
      <c r="I52" s="388"/>
      <c r="J52" s="388"/>
      <c r="K52" s="388"/>
      <c r="L52" s="388"/>
      <c r="M52" s="388"/>
      <c r="N52" s="388"/>
      <c r="O52" s="388"/>
      <c r="P52" s="388"/>
      <c r="Q52" s="388"/>
      <c r="R52" s="388"/>
      <c r="S52" s="388"/>
      <c r="T52" s="388"/>
      <c r="U52" s="388"/>
      <c r="V52" s="388"/>
      <c r="W52" s="388"/>
      <c r="X52" s="388"/>
      <c r="Y52" s="388"/>
      <c r="Z52" s="388"/>
      <c r="AA52" s="388"/>
      <c r="AB52" s="388"/>
      <c r="AC52" s="388"/>
      <c r="AD52" s="388"/>
      <c r="AE52" s="388"/>
      <c r="AF52" s="388"/>
      <c r="AG52" s="388"/>
      <c r="AH52" s="388"/>
      <c r="AI52" s="388"/>
      <c r="BW52" s="390"/>
    </row>
    <row r="53" spans="2:75">
      <c r="BW53" s="390"/>
    </row>
    <row r="54" spans="2:75">
      <c r="BW54" s="390"/>
    </row>
    <row r="55" spans="2:75">
      <c r="BW55" s="390"/>
    </row>
    <row r="56" spans="2:75">
      <c r="BW56" s="390"/>
    </row>
    <row r="57" spans="2:75">
      <c r="BW57" s="390"/>
    </row>
    <row r="58" spans="2:75">
      <c r="BW58" s="390"/>
    </row>
    <row r="59" spans="2:75">
      <c r="BW59" s="390"/>
    </row>
  </sheetData>
  <mergeCells count="18">
    <mergeCell ref="A1:AJ1"/>
    <mergeCell ref="A2:AJ2"/>
    <mergeCell ref="B3:D3"/>
    <mergeCell ref="E3:G3"/>
    <mergeCell ref="H3:J3"/>
    <mergeCell ref="K3:M3"/>
    <mergeCell ref="N3:P3"/>
    <mergeCell ref="Q3:S3"/>
    <mergeCell ref="T3:V3"/>
    <mergeCell ref="W3:Y3"/>
    <mergeCell ref="Z3:AB3"/>
    <mergeCell ref="AC3:AE3"/>
    <mergeCell ref="AF21:AJ21"/>
    <mergeCell ref="A21:AE21"/>
    <mergeCell ref="AF3:AH3"/>
    <mergeCell ref="AJ3:AJ5"/>
    <mergeCell ref="B37:D37"/>
    <mergeCell ref="F37:AI37"/>
  </mergeCells>
  <pageMargins left="0.7" right="0.7" top="0.75" bottom="0.75" header="0.3" footer="0.3"/>
  <pageSetup scale="88" orientation="portrait" horizontalDpi="4294967295" verticalDpi="4294967295" r:id="rId1"/>
  <rowBreaks count="1" manualBreakCount="1">
    <brk id="44" max="37" man="1"/>
  </rowBreaks>
  <colBreaks count="1" manualBreakCount="1">
    <brk id="37"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N48"/>
  <sheetViews>
    <sheetView topLeftCell="A4" zoomScale="112" zoomScaleNormal="112" workbookViewId="0">
      <selection activeCell="C30" sqref="C30"/>
    </sheetView>
  </sheetViews>
  <sheetFormatPr defaultColWidth="11.140625" defaultRowHeight="12.75"/>
  <cols>
    <col min="1" max="1" width="15.42578125" style="453" customWidth="1"/>
    <col min="2" max="2" width="1.7109375" style="453" hidden="1" customWidth="1"/>
    <col min="3" max="5" width="10.140625" style="453" customWidth="1"/>
    <col min="6" max="6" width="2.7109375" style="453" customWidth="1"/>
    <col min="7" max="7" width="1.5703125" style="453" customWidth="1"/>
    <col min="8" max="10" width="10.85546875" style="453" customWidth="1"/>
    <col min="11" max="11" width="9.28515625" style="453" customWidth="1"/>
    <col min="12" max="12" width="17.5703125" style="453" customWidth="1"/>
    <col min="13" max="13" width="27.42578125" style="453" customWidth="1"/>
    <col min="14" max="257" width="11.140625" style="453"/>
    <col min="258" max="258" width="18" style="453" customWidth="1"/>
    <col min="259" max="259" width="1.7109375" style="453" customWidth="1"/>
    <col min="260" max="262" width="10.140625" style="453" customWidth="1"/>
    <col min="263" max="263" width="2.7109375" style="453" customWidth="1"/>
    <col min="264" max="264" width="1.5703125" style="453" customWidth="1"/>
    <col min="265" max="267" width="10.85546875" style="453" customWidth="1"/>
    <col min="268" max="268" width="17.5703125" style="453" customWidth="1"/>
    <col min="269" max="269" width="27.42578125" style="453" customWidth="1"/>
    <col min="270" max="513" width="11.140625" style="453"/>
    <col min="514" max="514" width="18" style="453" customWidth="1"/>
    <col min="515" max="515" width="1.7109375" style="453" customWidth="1"/>
    <col min="516" max="518" width="10.140625" style="453" customWidth="1"/>
    <col min="519" max="519" width="2.7109375" style="453" customWidth="1"/>
    <col min="520" max="520" width="1.5703125" style="453" customWidth="1"/>
    <col min="521" max="523" width="10.85546875" style="453" customWidth="1"/>
    <col min="524" max="524" width="17.5703125" style="453" customWidth="1"/>
    <col min="525" max="525" width="27.42578125" style="453" customWidth="1"/>
    <col min="526" max="769" width="11.140625" style="453"/>
    <col min="770" max="770" width="18" style="453" customWidth="1"/>
    <col min="771" max="771" width="1.7109375" style="453" customWidth="1"/>
    <col min="772" max="774" width="10.140625" style="453" customWidth="1"/>
    <col min="775" max="775" width="2.7109375" style="453" customWidth="1"/>
    <col min="776" max="776" width="1.5703125" style="453" customWidth="1"/>
    <col min="777" max="779" width="10.85546875" style="453" customWidth="1"/>
    <col min="780" max="780" width="17.5703125" style="453" customWidth="1"/>
    <col min="781" max="781" width="27.42578125" style="453" customWidth="1"/>
    <col min="782" max="1025" width="11.140625" style="453"/>
    <col min="1026" max="1026" width="18" style="453" customWidth="1"/>
    <col min="1027" max="1027" width="1.7109375" style="453" customWidth="1"/>
    <col min="1028" max="1030" width="10.140625" style="453" customWidth="1"/>
    <col min="1031" max="1031" width="2.7109375" style="453" customWidth="1"/>
    <col min="1032" max="1032" width="1.5703125" style="453" customWidth="1"/>
    <col min="1033" max="1035" width="10.85546875" style="453" customWidth="1"/>
    <col min="1036" max="1036" width="17.5703125" style="453" customWidth="1"/>
    <col min="1037" max="1037" width="27.42578125" style="453" customWidth="1"/>
    <col min="1038" max="1281" width="11.140625" style="453"/>
    <col min="1282" max="1282" width="18" style="453" customWidth="1"/>
    <col min="1283" max="1283" width="1.7109375" style="453" customWidth="1"/>
    <col min="1284" max="1286" width="10.140625" style="453" customWidth="1"/>
    <col min="1287" max="1287" width="2.7109375" style="453" customWidth="1"/>
    <col min="1288" max="1288" width="1.5703125" style="453" customWidth="1"/>
    <col min="1289" max="1291" width="10.85546875" style="453" customWidth="1"/>
    <col min="1292" max="1292" width="17.5703125" style="453" customWidth="1"/>
    <col min="1293" max="1293" width="27.42578125" style="453" customWidth="1"/>
    <col min="1294" max="1537" width="11.140625" style="453"/>
    <col min="1538" max="1538" width="18" style="453" customWidth="1"/>
    <col min="1539" max="1539" width="1.7109375" style="453" customWidth="1"/>
    <col min="1540" max="1542" width="10.140625" style="453" customWidth="1"/>
    <col min="1543" max="1543" width="2.7109375" style="453" customWidth="1"/>
    <col min="1544" max="1544" width="1.5703125" style="453" customWidth="1"/>
    <col min="1545" max="1547" width="10.85546875" style="453" customWidth="1"/>
    <col min="1548" max="1548" width="17.5703125" style="453" customWidth="1"/>
    <col min="1549" max="1549" width="27.42578125" style="453" customWidth="1"/>
    <col min="1550" max="1793" width="11.140625" style="453"/>
    <col min="1794" max="1794" width="18" style="453" customWidth="1"/>
    <col min="1795" max="1795" width="1.7109375" style="453" customWidth="1"/>
    <col min="1796" max="1798" width="10.140625" style="453" customWidth="1"/>
    <col min="1799" max="1799" width="2.7109375" style="453" customWidth="1"/>
    <col min="1800" max="1800" width="1.5703125" style="453" customWidth="1"/>
    <col min="1801" max="1803" width="10.85546875" style="453" customWidth="1"/>
    <col min="1804" max="1804" width="17.5703125" style="453" customWidth="1"/>
    <col min="1805" max="1805" width="27.42578125" style="453" customWidth="1"/>
    <col min="1806" max="2049" width="11.140625" style="453"/>
    <col min="2050" max="2050" width="18" style="453" customWidth="1"/>
    <col min="2051" max="2051" width="1.7109375" style="453" customWidth="1"/>
    <col min="2052" max="2054" width="10.140625" style="453" customWidth="1"/>
    <col min="2055" max="2055" width="2.7109375" style="453" customWidth="1"/>
    <col min="2056" max="2056" width="1.5703125" style="453" customWidth="1"/>
    <col min="2057" max="2059" width="10.85546875" style="453" customWidth="1"/>
    <col min="2060" max="2060" width="17.5703125" style="453" customWidth="1"/>
    <col min="2061" max="2061" width="27.42578125" style="453" customWidth="1"/>
    <col min="2062" max="2305" width="11.140625" style="453"/>
    <col min="2306" max="2306" width="18" style="453" customWidth="1"/>
    <col min="2307" max="2307" width="1.7109375" style="453" customWidth="1"/>
    <col min="2308" max="2310" width="10.140625" style="453" customWidth="1"/>
    <col min="2311" max="2311" width="2.7109375" style="453" customWidth="1"/>
    <col min="2312" max="2312" width="1.5703125" style="453" customWidth="1"/>
    <col min="2313" max="2315" width="10.85546875" style="453" customWidth="1"/>
    <col min="2316" max="2316" width="17.5703125" style="453" customWidth="1"/>
    <col min="2317" max="2317" width="27.42578125" style="453" customWidth="1"/>
    <col min="2318" max="2561" width="11.140625" style="453"/>
    <col min="2562" max="2562" width="18" style="453" customWidth="1"/>
    <col min="2563" max="2563" width="1.7109375" style="453" customWidth="1"/>
    <col min="2564" max="2566" width="10.140625" style="453" customWidth="1"/>
    <col min="2567" max="2567" width="2.7109375" style="453" customWidth="1"/>
    <col min="2568" max="2568" width="1.5703125" style="453" customWidth="1"/>
    <col min="2569" max="2571" width="10.85546875" style="453" customWidth="1"/>
    <col min="2572" max="2572" width="17.5703125" style="453" customWidth="1"/>
    <col min="2573" max="2573" width="27.42578125" style="453" customWidth="1"/>
    <col min="2574" max="2817" width="11.140625" style="453"/>
    <col min="2818" max="2818" width="18" style="453" customWidth="1"/>
    <col min="2819" max="2819" width="1.7109375" style="453" customWidth="1"/>
    <col min="2820" max="2822" width="10.140625" style="453" customWidth="1"/>
    <col min="2823" max="2823" width="2.7109375" style="453" customWidth="1"/>
    <col min="2824" max="2824" width="1.5703125" style="453" customWidth="1"/>
    <col min="2825" max="2827" width="10.85546875" style="453" customWidth="1"/>
    <col min="2828" max="2828" width="17.5703125" style="453" customWidth="1"/>
    <col min="2829" max="2829" width="27.42578125" style="453" customWidth="1"/>
    <col min="2830" max="3073" width="11.140625" style="453"/>
    <col min="3074" max="3074" width="18" style="453" customWidth="1"/>
    <col min="3075" max="3075" width="1.7109375" style="453" customWidth="1"/>
    <col min="3076" max="3078" width="10.140625" style="453" customWidth="1"/>
    <col min="3079" max="3079" width="2.7109375" style="453" customWidth="1"/>
    <col min="3080" max="3080" width="1.5703125" style="453" customWidth="1"/>
    <col min="3081" max="3083" width="10.85546875" style="453" customWidth="1"/>
    <col min="3084" max="3084" width="17.5703125" style="453" customWidth="1"/>
    <col min="3085" max="3085" width="27.42578125" style="453" customWidth="1"/>
    <col min="3086" max="3329" width="11.140625" style="453"/>
    <col min="3330" max="3330" width="18" style="453" customWidth="1"/>
    <col min="3331" max="3331" width="1.7109375" style="453" customWidth="1"/>
    <col min="3332" max="3334" width="10.140625" style="453" customWidth="1"/>
    <col min="3335" max="3335" width="2.7109375" style="453" customWidth="1"/>
    <col min="3336" max="3336" width="1.5703125" style="453" customWidth="1"/>
    <col min="3337" max="3339" width="10.85546875" style="453" customWidth="1"/>
    <col min="3340" max="3340" width="17.5703125" style="453" customWidth="1"/>
    <col min="3341" max="3341" width="27.42578125" style="453" customWidth="1"/>
    <col min="3342" max="3585" width="11.140625" style="453"/>
    <col min="3586" max="3586" width="18" style="453" customWidth="1"/>
    <col min="3587" max="3587" width="1.7109375" style="453" customWidth="1"/>
    <col min="3588" max="3590" width="10.140625" style="453" customWidth="1"/>
    <col min="3591" max="3591" width="2.7109375" style="453" customWidth="1"/>
    <col min="3592" max="3592" width="1.5703125" style="453" customWidth="1"/>
    <col min="3593" max="3595" width="10.85546875" style="453" customWidth="1"/>
    <col min="3596" max="3596" width="17.5703125" style="453" customWidth="1"/>
    <col min="3597" max="3597" width="27.42578125" style="453" customWidth="1"/>
    <col min="3598" max="3841" width="11.140625" style="453"/>
    <col min="3842" max="3842" width="18" style="453" customWidth="1"/>
    <col min="3843" max="3843" width="1.7109375" style="453" customWidth="1"/>
    <col min="3844" max="3846" width="10.140625" style="453" customWidth="1"/>
    <col min="3847" max="3847" width="2.7109375" style="453" customWidth="1"/>
    <col min="3848" max="3848" width="1.5703125" style="453" customWidth="1"/>
    <col min="3849" max="3851" width="10.85546875" style="453" customWidth="1"/>
    <col min="3852" max="3852" width="17.5703125" style="453" customWidth="1"/>
    <col min="3853" max="3853" width="27.42578125" style="453" customWidth="1"/>
    <col min="3854" max="4097" width="11.140625" style="453"/>
    <col min="4098" max="4098" width="18" style="453" customWidth="1"/>
    <col min="4099" max="4099" width="1.7109375" style="453" customWidth="1"/>
    <col min="4100" max="4102" width="10.140625" style="453" customWidth="1"/>
    <col min="4103" max="4103" width="2.7109375" style="453" customWidth="1"/>
    <col min="4104" max="4104" width="1.5703125" style="453" customWidth="1"/>
    <col min="4105" max="4107" width="10.85546875" style="453" customWidth="1"/>
    <col min="4108" max="4108" width="17.5703125" style="453" customWidth="1"/>
    <col min="4109" max="4109" width="27.42578125" style="453" customWidth="1"/>
    <col min="4110" max="4353" width="11.140625" style="453"/>
    <col min="4354" max="4354" width="18" style="453" customWidth="1"/>
    <col min="4355" max="4355" width="1.7109375" style="453" customWidth="1"/>
    <col min="4356" max="4358" width="10.140625" style="453" customWidth="1"/>
    <col min="4359" max="4359" width="2.7109375" style="453" customWidth="1"/>
    <col min="4360" max="4360" width="1.5703125" style="453" customWidth="1"/>
    <col min="4361" max="4363" width="10.85546875" style="453" customWidth="1"/>
    <col min="4364" max="4364" width="17.5703125" style="453" customWidth="1"/>
    <col min="4365" max="4365" width="27.42578125" style="453" customWidth="1"/>
    <col min="4366" max="4609" width="11.140625" style="453"/>
    <col min="4610" max="4610" width="18" style="453" customWidth="1"/>
    <col min="4611" max="4611" width="1.7109375" style="453" customWidth="1"/>
    <col min="4612" max="4614" width="10.140625" style="453" customWidth="1"/>
    <col min="4615" max="4615" width="2.7109375" style="453" customWidth="1"/>
    <col min="4616" max="4616" width="1.5703125" style="453" customWidth="1"/>
    <col min="4617" max="4619" width="10.85546875" style="453" customWidth="1"/>
    <col min="4620" max="4620" width="17.5703125" style="453" customWidth="1"/>
    <col min="4621" max="4621" width="27.42578125" style="453" customWidth="1"/>
    <col min="4622" max="4865" width="11.140625" style="453"/>
    <col min="4866" max="4866" width="18" style="453" customWidth="1"/>
    <col min="4867" max="4867" width="1.7109375" style="453" customWidth="1"/>
    <col min="4868" max="4870" width="10.140625" style="453" customWidth="1"/>
    <col min="4871" max="4871" width="2.7109375" style="453" customWidth="1"/>
    <col min="4872" max="4872" width="1.5703125" style="453" customWidth="1"/>
    <col min="4873" max="4875" width="10.85546875" style="453" customWidth="1"/>
    <col min="4876" max="4876" width="17.5703125" style="453" customWidth="1"/>
    <col min="4877" max="4877" width="27.42578125" style="453" customWidth="1"/>
    <col min="4878" max="5121" width="11.140625" style="453"/>
    <col min="5122" max="5122" width="18" style="453" customWidth="1"/>
    <col min="5123" max="5123" width="1.7109375" style="453" customWidth="1"/>
    <col min="5124" max="5126" width="10.140625" style="453" customWidth="1"/>
    <col min="5127" max="5127" width="2.7109375" style="453" customWidth="1"/>
    <col min="5128" max="5128" width="1.5703125" style="453" customWidth="1"/>
    <col min="5129" max="5131" width="10.85546875" style="453" customWidth="1"/>
    <col min="5132" max="5132" width="17.5703125" style="453" customWidth="1"/>
    <col min="5133" max="5133" width="27.42578125" style="453" customWidth="1"/>
    <col min="5134" max="5377" width="11.140625" style="453"/>
    <col min="5378" max="5378" width="18" style="453" customWidth="1"/>
    <col min="5379" max="5379" width="1.7109375" style="453" customWidth="1"/>
    <col min="5380" max="5382" width="10.140625" style="453" customWidth="1"/>
    <col min="5383" max="5383" width="2.7109375" style="453" customWidth="1"/>
    <col min="5384" max="5384" width="1.5703125" style="453" customWidth="1"/>
    <col min="5385" max="5387" width="10.85546875" style="453" customWidth="1"/>
    <col min="5388" max="5388" width="17.5703125" style="453" customWidth="1"/>
    <col min="5389" max="5389" width="27.42578125" style="453" customWidth="1"/>
    <col min="5390" max="5633" width="11.140625" style="453"/>
    <col min="5634" max="5634" width="18" style="453" customWidth="1"/>
    <col min="5635" max="5635" width="1.7109375" style="453" customWidth="1"/>
    <col min="5636" max="5638" width="10.140625" style="453" customWidth="1"/>
    <col min="5639" max="5639" width="2.7109375" style="453" customWidth="1"/>
    <col min="5640" max="5640" width="1.5703125" style="453" customWidth="1"/>
    <col min="5641" max="5643" width="10.85546875" style="453" customWidth="1"/>
    <col min="5644" max="5644" width="17.5703125" style="453" customWidth="1"/>
    <col min="5645" max="5645" width="27.42578125" style="453" customWidth="1"/>
    <col min="5646" max="5889" width="11.140625" style="453"/>
    <col min="5890" max="5890" width="18" style="453" customWidth="1"/>
    <col min="5891" max="5891" width="1.7109375" style="453" customWidth="1"/>
    <col min="5892" max="5894" width="10.140625" style="453" customWidth="1"/>
    <col min="5895" max="5895" width="2.7109375" style="453" customWidth="1"/>
    <col min="5896" max="5896" width="1.5703125" style="453" customWidth="1"/>
    <col min="5897" max="5899" width="10.85546875" style="453" customWidth="1"/>
    <col min="5900" max="5900" width="17.5703125" style="453" customWidth="1"/>
    <col min="5901" max="5901" width="27.42578125" style="453" customWidth="1"/>
    <col min="5902" max="6145" width="11.140625" style="453"/>
    <col min="6146" max="6146" width="18" style="453" customWidth="1"/>
    <col min="6147" max="6147" width="1.7109375" style="453" customWidth="1"/>
    <col min="6148" max="6150" width="10.140625" style="453" customWidth="1"/>
    <col min="6151" max="6151" width="2.7109375" style="453" customWidth="1"/>
    <col min="6152" max="6152" width="1.5703125" style="453" customWidth="1"/>
    <col min="6153" max="6155" width="10.85546875" style="453" customWidth="1"/>
    <col min="6156" max="6156" width="17.5703125" style="453" customWidth="1"/>
    <col min="6157" max="6157" width="27.42578125" style="453" customWidth="1"/>
    <col min="6158" max="6401" width="11.140625" style="453"/>
    <col min="6402" max="6402" width="18" style="453" customWidth="1"/>
    <col min="6403" max="6403" width="1.7109375" style="453" customWidth="1"/>
    <col min="6404" max="6406" width="10.140625" style="453" customWidth="1"/>
    <col min="6407" max="6407" width="2.7109375" style="453" customWidth="1"/>
    <col min="6408" max="6408" width="1.5703125" style="453" customWidth="1"/>
    <col min="6409" max="6411" width="10.85546875" style="453" customWidth="1"/>
    <col min="6412" max="6412" width="17.5703125" style="453" customWidth="1"/>
    <col min="6413" max="6413" width="27.42578125" style="453" customWidth="1"/>
    <col min="6414" max="6657" width="11.140625" style="453"/>
    <col min="6658" max="6658" width="18" style="453" customWidth="1"/>
    <col min="6659" max="6659" width="1.7109375" style="453" customWidth="1"/>
    <col min="6660" max="6662" width="10.140625" style="453" customWidth="1"/>
    <col min="6663" max="6663" width="2.7109375" style="453" customWidth="1"/>
    <col min="6664" max="6664" width="1.5703125" style="453" customWidth="1"/>
    <col min="6665" max="6667" width="10.85546875" style="453" customWidth="1"/>
    <col min="6668" max="6668" width="17.5703125" style="453" customWidth="1"/>
    <col min="6669" max="6669" width="27.42578125" style="453" customWidth="1"/>
    <col min="6670" max="6913" width="11.140625" style="453"/>
    <col min="6914" max="6914" width="18" style="453" customWidth="1"/>
    <col min="6915" max="6915" width="1.7109375" style="453" customWidth="1"/>
    <col min="6916" max="6918" width="10.140625" style="453" customWidth="1"/>
    <col min="6919" max="6919" width="2.7109375" style="453" customWidth="1"/>
    <col min="6920" max="6920" width="1.5703125" style="453" customWidth="1"/>
    <col min="6921" max="6923" width="10.85546875" style="453" customWidth="1"/>
    <col min="6924" max="6924" width="17.5703125" style="453" customWidth="1"/>
    <col min="6925" max="6925" width="27.42578125" style="453" customWidth="1"/>
    <col min="6926" max="7169" width="11.140625" style="453"/>
    <col min="7170" max="7170" width="18" style="453" customWidth="1"/>
    <col min="7171" max="7171" width="1.7109375" style="453" customWidth="1"/>
    <col min="7172" max="7174" width="10.140625" style="453" customWidth="1"/>
    <col min="7175" max="7175" width="2.7109375" style="453" customWidth="1"/>
    <col min="7176" max="7176" width="1.5703125" style="453" customWidth="1"/>
    <col min="7177" max="7179" width="10.85546875" style="453" customWidth="1"/>
    <col min="7180" max="7180" width="17.5703125" style="453" customWidth="1"/>
    <col min="7181" max="7181" width="27.42578125" style="453" customWidth="1"/>
    <col min="7182" max="7425" width="11.140625" style="453"/>
    <col min="7426" max="7426" width="18" style="453" customWidth="1"/>
    <col min="7427" max="7427" width="1.7109375" style="453" customWidth="1"/>
    <col min="7428" max="7430" width="10.140625" style="453" customWidth="1"/>
    <col min="7431" max="7431" width="2.7109375" style="453" customWidth="1"/>
    <col min="7432" max="7432" width="1.5703125" style="453" customWidth="1"/>
    <col min="7433" max="7435" width="10.85546875" style="453" customWidth="1"/>
    <col min="7436" max="7436" width="17.5703125" style="453" customWidth="1"/>
    <col min="7437" max="7437" width="27.42578125" style="453" customWidth="1"/>
    <col min="7438" max="7681" width="11.140625" style="453"/>
    <col min="7682" max="7682" width="18" style="453" customWidth="1"/>
    <col min="7683" max="7683" width="1.7109375" style="453" customWidth="1"/>
    <col min="7684" max="7686" width="10.140625" style="453" customWidth="1"/>
    <col min="7687" max="7687" width="2.7109375" style="453" customWidth="1"/>
    <col min="7688" max="7688" width="1.5703125" style="453" customWidth="1"/>
    <col min="7689" max="7691" width="10.85546875" style="453" customWidth="1"/>
    <col min="7692" max="7692" width="17.5703125" style="453" customWidth="1"/>
    <col min="7693" max="7693" width="27.42578125" style="453" customWidth="1"/>
    <col min="7694" max="7937" width="11.140625" style="453"/>
    <col min="7938" max="7938" width="18" style="453" customWidth="1"/>
    <col min="7939" max="7939" width="1.7109375" style="453" customWidth="1"/>
    <col min="7940" max="7942" width="10.140625" style="453" customWidth="1"/>
    <col min="7943" max="7943" width="2.7109375" style="453" customWidth="1"/>
    <col min="7944" max="7944" width="1.5703125" style="453" customWidth="1"/>
    <col min="7945" max="7947" width="10.85546875" style="453" customWidth="1"/>
    <col min="7948" max="7948" width="17.5703125" style="453" customWidth="1"/>
    <col min="7949" max="7949" width="27.42578125" style="453" customWidth="1"/>
    <col min="7950" max="8193" width="11.140625" style="453"/>
    <col min="8194" max="8194" width="18" style="453" customWidth="1"/>
    <col min="8195" max="8195" width="1.7109375" style="453" customWidth="1"/>
    <col min="8196" max="8198" width="10.140625" style="453" customWidth="1"/>
    <col min="8199" max="8199" width="2.7109375" style="453" customWidth="1"/>
    <col min="8200" max="8200" width="1.5703125" style="453" customWidth="1"/>
    <col min="8201" max="8203" width="10.85546875" style="453" customWidth="1"/>
    <col min="8204" max="8204" width="17.5703125" style="453" customWidth="1"/>
    <col min="8205" max="8205" width="27.42578125" style="453" customWidth="1"/>
    <col min="8206" max="8449" width="11.140625" style="453"/>
    <col min="8450" max="8450" width="18" style="453" customWidth="1"/>
    <col min="8451" max="8451" width="1.7109375" style="453" customWidth="1"/>
    <col min="8452" max="8454" width="10.140625" style="453" customWidth="1"/>
    <col min="8455" max="8455" width="2.7109375" style="453" customWidth="1"/>
    <col min="8456" max="8456" width="1.5703125" style="453" customWidth="1"/>
    <col min="8457" max="8459" width="10.85546875" style="453" customWidth="1"/>
    <col min="8460" max="8460" width="17.5703125" style="453" customWidth="1"/>
    <col min="8461" max="8461" width="27.42578125" style="453" customWidth="1"/>
    <col min="8462" max="8705" width="11.140625" style="453"/>
    <col min="8706" max="8706" width="18" style="453" customWidth="1"/>
    <col min="8707" max="8707" width="1.7109375" style="453" customWidth="1"/>
    <col min="8708" max="8710" width="10.140625" style="453" customWidth="1"/>
    <col min="8711" max="8711" width="2.7109375" style="453" customWidth="1"/>
    <col min="8712" max="8712" width="1.5703125" style="453" customWidth="1"/>
    <col min="8713" max="8715" width="10.85546875" style="453" customWidth="1"/>
    <col min="8716" max="8716" width="17.5703125" style="453" customWidth="1"/>
    <col min="8717" max="8717" width="27.42578125" style="453" customWidth="1"/>
    <col min="8718" max="8961" width="11.140625" style="453"/>
    <col min="8962" max="8962" width="18" style="453" customWidth="1"/>
    <col min="8963" max="8963" width="1.7109375" style="453" customWidth="1"/>
    <col min="8964" max="8966" width="10.140625" style="453" customWidth="1"/>
    <col min="8967" max="8967" width="2.7109375" style="453" customWidth="1"/>
    <col min="8968" max="8968" width="1.5703125" style="453" customWidth="1"/>
    <col min="8969" max="8971" width="10.85546875" style="453" customWidth="1"/>
    <col min="8972" max="8972" width="17.5703125" style="453" customWidth="1"/>
    <col min="8973" max="8973" width="27.42578125" style="453" customWidth="1"/>
    <col min="8974" max="9217" width="11.140625" style="453"/>
    <col min="9218" max="9218" width="18" style="453" customWidth="1"/>
    <col min="9219" max="9219" width="1.7109375" style="453" customWidth="1"/>
    <col min="9220" max="9222" width="10.140625" style="453" customWidth="1"/>
    <col min="9223" max="9223" width="2.7109375" style="453" customWidth="1"/>
    <col min="9224" max="9224" width="1.5703125" style="453" customWidth="1"/>
    <col min="9225" max="9227" width="10.85546875" style="453" customWidth="1"/>
    <col min="9228" max="9228" width="17.5703125" style="453" customWidth="1"/>
    <col min="9229" max="9229" width="27.42578125" style="453" customWidth="1"/>
    <col min="9230" max="9473" width="11.140625" style="453"/>
    <col min="9474" max="9474" width="18" style="453" customWidth="1"/>
    <col min="9475" max="9475" width="1.7109375" style="453" customWidth="1"/>
    <col min="9476" max="9478" width="10.140625" style="453" customWidth="1"/>
    <col min="9479" max="9479" width="2.7109375" style="453" customWidth="1"/>
    <col min="9480" max="9480" width="1.5703125" style="453" customWidth="1"/>
    <col min="9481" max="9483" width="10.85546875" style="453" customWidth="1"/>
    <col min="9484" max="9484" width="17.5703125" style="453" customWidth="1"/>
    <col min="9485" max="9485" width="27.42578125" style="453" customWidth="1"/>
    <col min="9486" max="9729" width="11.140625" style="453"/>
    <col min="9730" max="9730" width="18" style="453" customWidth="1"/>
    <col min="9731" max="9731" width="1.7109375" style="453" customWidth="1"/>
    <col min="9732" max="9734" width="10.140625" style="453" customWidth="1"/>
    <col min="9735" max="9735" width="2.7109375" style="453" customWidth="1"/>
    <col min="9736" max="9736" width="1.5703125" style="453" customWidth="1"/>
    <col min="9737" max="9739" width="10.85546875" style="453" customWidth="1"/>
    <col min="9740" max="9740" width="17.5703125" style="453" customWidth="1"/>
    <col min="9741" max="9741" width="27.42578125" style="453" customWidth="1"/>
    <col min="9742" max="9985" width="11.140625" style="453"/>
    <col min="9986" max="9986" width="18" style="453" customWidth="1"/>
    <col min="9987" max="9987" width="1.7109375" style="453" customWidth="1"/>
    <col min="9988" max="9990" width="10.140625" style="453" customWidth="1"/>
    <col min="9991" max="9991" width="2.7109375" style="453" customWidth="1"/>
    <col min="9992" max="9992" width="1.5703125" style="453" customWidth="1"/>
    <col min="9993" max="9995" width="10.85546875" style="453" customWidth="1"/>
    <col min="9996" max="9996" width="17.5703125" style="453" customWidth="1"/>
    <col min="9997" max="9997" width="27.42578125" style="453" customWidth="1"/>
    <col min="9998" max="10241" width="11.140625" style="453"/>
    <col min="10242" max="10242" width="18" style="453" customWidth="1"/>
    <col min="10243" max="10243" width="1.7109375" style="453" customWidth="1"/>
    <col min="10244" max="10246" width="10.140625" style="453" customWidth="1"/>
    <col min="10247" max="10247" width="2.7109375" style="453" customWidth="1"/>
    <col min="10248" max="10248" width="1.5703125" style="453" customWidth="1"/>
    <col min="10249" max="10251" width="10.85546875" style="453" customWidth="1"/>
    <col min="10252" max="10252" width="17.5703125" style="453" customWidth="1"/>
    <col min="10253" max="10253" width="27.42578125" style="453" customWidth="1"/>
    <col min="10254" max="10497" width="11.140625" style="453"/>
    <col min="10498" max="10498" width="18" style="453" customWidth="1"/>
    <col min="10499" max="10499" width="1.7109375" style="453" customWidth="1"/>
    <col min="10500" max="10502" width="10.140625" style="453" customWidth="1"/>
    <col min="10503" max="10503" width="2.7109375" style="453" customWidth="1"/>
    <col min="10504" max="10504" width="1.5703125" style="453" customWidth="1"/>
    <col min="10505" max="10507" width="10.85546875" style="453" customWidth="1"/>
    <col min="10508" max="10508" width="17.5703125" style="453" customWidth="1"/>
    <col min="10509" max="10509" width="27.42578125" style="453" customWidth="1"/>
    <col min="10510" max="10753" width="11.140625" style="453"/>
    <col min="10754" max="10754" width="18" style="453" customWidth="1"/>
    <col min="10755" max="10755" width="1.7109375" style="453" customWidth="1"/>
    <col min="10756" max="10758" width="10.140625" style="453" customWidth="1"/>
    <col min="10759" max="10759" width="2.7109375" style="453" customWidth="1"/>
    <col min="10760" max="10760" width="1.5703125" style="453" customWidth="1"/>
    <col min="10761" max="10763" width="10.85546875" style="453" customWidth="1"/>
    <col min="10764" max="10764" width="17.5703125" style="453" customWidth="1"/>
    <col min="10765" max="10765" width="27.42578125" style="453" customWidth="1"/>
    <col min="10766" max="11009" width="11.140625" style="453"/>
    <col min="11010" max="11010" width="18" style="453" customWidth="1"/>
    <col min="11011" max="11011" width="1.7109375" style="453" customWidth="1"/>
    <col min="11012" max="11014" width="10.140625" style="453" customWidth="1"/>
    <col min="11015" max="11015" width="2.7109375" style="453" customWidth="1"/>
    <col min="11016" max="11016" width="1.5703125" style="453" customWidth="1"/>
    <col min="11017" max="11019" width="10.85546875" style="453" customWidth="1"/>
    <col min="11020" max="11020" width="17.5703125" style="453" customWidth="1"/>
    <col min="11021" max="11021" width="27.42578125" style="453" customWidth="1"/>
    <col min="11022" max="11265" width="11.140625" style="453"/>
    <col min="11266" max="11266" width="18" style="453" customWidth="1"/>
    <col min="11267" max="11267" width="1.7109375" style="453" customWidth="1"/>
    <col min="11268" max="11270" width="10.140625" style="453" customWidth="1"/>
    <col min="11271" max="11271" width="2.7109375" style="453" customWidth="1"/>
    <col min="11272" max="11272" width="1.5703125" style="453" customWidth="1"/>
    <col min="11273" max="11275" width="10.85546875" style="453" customWidth="1"/>
    <col min="11276" max="11276" width="17.5703125" style="453" customWidth="1"/>
    <col min="11277" max="11277" width="27.42578125" style="453" customWidth="1"/>
    <col min="11278" max="11521" width="11.140625" style="453"/>
    <col min="11522" max="11522" width="18" style="453" customWidth="1"/>
    <col min="11523" max="11523" width="1.7109375" style="453" customWidth="1"/>
    <col min="11524" max="11526" width="10.140625" style="453" customWidth="1"/>
    <col min="11527" max="11527" width="2.7109375" style="453" customWidth="1"/>
    <col min="11528" max="11528" width="1.5703125" style="453" customWidth="1"/>
    <col min="11529" max="11531" width="10.85546875" style="453" customWidth="1"/>
    <col min="11532" max="11532" width="17.5703125" style="453" customWidth="1"/>
    <col min="11533" max="11533" width="27.42578125" style="453" customWidth="1"/>
    <col min="11534" max="11777" width="11.140625" style="453"/>
    <col min="11778" max="11778" width="18" style="453" customWidth="1"/>
    <col min="11779" max="11779" width="1.7109375" style="453" customWidth="1"/>
    <col min="11780" max="11782" width="10.140625" style="453" customWidth="1"/>
    <col min="11783" max="11783" width="2.7109375" style="453" customWidth="1"/>
    <col min="11784" max="11784" width="1.5703125" style="453" customWidth="1"/>
    <col min="11785" max="11787" width="10.85546875" style="453" customWidth="1"/>
    <col min="11788" max="11788" width="17.5703125" style="453" customWidth="1"/>
    <col min="11789" max="11789" width="27.42578125" style="453" customWidth="1"/>
    <col min="11790" max="12033" width="11.140625" style="453"/>
    <col min="12034" max="12034" width="18" style="453" customWidth="1"/>
    <col min="12035" max="12035" width="1.7109375" style="453" customWidth="1"/>
    <col min="12036" max="12038" width="10.140625" style="453" customWidth="1"/>
    <col min="12039" max="12039" width="2.7109375" style="453" customWidth="1"/>
    <col min="12040" max="12040" width="1.5703125" style="453" customWidth="1"/>
    <col min="12041" max="12043" width="10.85546875" style="453" customWidth="1"/>
    <col min="12044" max="12044" width="17.5703125" style="453" customWidth="1"/>
    <col min="12045" max="12045" width="27.42578125" style="453" customWidth="1"/>
    <col min="12046" max="12289" width="11.140625" style="453"/>
    <col min="12290" max="12290" width="18" style="453" customWidth="1"/>
    <col min="12291" max="12291" width="1.7109375" style="453" customWidth="1"/>
    <col min="12292" max="12294" width="10.140625" style="453" customWidth="1"/>
    <col min="12295" max="12295" width="2.7109375" style="453" customWidth="1"/>
    <col min="12296" max="12296" width="1.5703125" style="453" customWidth="1"/>
    <col min="12297" max="12299" width="10.85546875" style="453" customWidth="1"/>
    <col min="12300" max="12300" width="17.5703125" style="453" customWidth="1"/>
    <col min="12301" max="12301" width="27.42578125" style="453" customWidth="1"/>
    <col min="12302" max="12545" width="11.140625" style="453"/>
    <col min="12546" max="12546" width="18" style="453" customWidth="1"/>
    <col min="12547" max="12547" width="1.7109375" style="453" customWidth="1"/>
    <col min="12548" max="12550" width="10.140625" style="453" customWidth="1"/>
    <col min="12551" max="12551" width="2.7109375" style="453" customWidth="1"/>
    <col min="12552" max="12552" width="1.5703125" style="453" customWidth="1"/>
    <col min="12553" max="12555" width="10.85546875" style="453" customWidth="1"/>
    <col min="12556" max="12556" width="17.5703125" style="453" customWidth="1"/>
    <col min="12557" max="12557" width="27.42578125" style="453" customWidth="1"/>
    <col min="12558" max="12801" width="11.140625" style="453"/>
    <col min="12802" max="12802" width="18" style="453" customWidth="1"/>
    <col min="12803" max="12803" width="1.7109375" style="453" customWidth="1"/>
    <col min="12804" max="12806" width="10.140625" style="453" customWidth="1"/>
    <col min="12807" max="12807" width="2.7109375" style="453" customWidth="1"/>
    <col min="12808" max="12808" width="1.5703125" style="453" customWidth="1"/>
    <col min="12809" max="12811" width="10.85546875" style="453" customWidth="1"/>
    <col min="12812" max="12812" width="17.5703125" style="453" customWidth="1"/>
    <col min="12813" max="12813" width="27.42578125" style="453" customWidth="1"/>
    <col min="12814" max="13057" width="11.140625" style="453"/>
    <col min="13058" max="13058" width="18" style="453" customWidth="1"/>
    <col min="13059" max="13059" width="1.7109375" style="453" customWidth="1"/>
    <col min="13060" max="13062" width="10.140625" style="453" customWidth="1"/>
    <col min="13063" max="13063" width="2.7109375" style="453" customWidth="1"/>
    <col min="13064" max="13064" width="1.5703125" style="453" customWidth="1"/>
    <col min="13065" max="13067" width="10.85546875" style="453" customWidth="1"/>
    <col min="13068" max="13068" width="17.5703125" style="453" customWidth="1"/>
    <col min="13069" max="13069" width="27.42578125" style="453" customWidth="1"/>
    <col min="13070" max="13313" width="11.140625" style="453"/>
    <col min="13314" max="13314" width="18" style="453" customWidth="1"/>
    <col min="13315" max="13315" width="1.7109375" style="453" customWidth="1"/>
    <col min="13316" max="13318" width="10.140625" style="453" customWidth="1"/>
    <col min="13319" max="13319" width="2.7109375" style="453" customWidth="1"/>
    <col min="13320" max="13320" width="1.5703125" style="453" customWidth="1"/>
    <col min="13321" max="13323" width="10.85546875" style="453" customWidth="1"/>
    <col min="13324" max="13324" width="17.5703125" style="453" customWidth="1"/>
    <col min="13325" max="13325" width="27.42578125" style="453" customWidth="1"/>
    <col min="13326" max="13569" width="11.140625" style="453"/>
    <col min="13570" max="13570" width="18" style="453" customWidth="1"/>
    <col min="13571" max="13571" width="1.7109375" style="453" customWidth="1"/>
    <col min="13572" max="13574" width="10.140625" style="453" customWidth="1"/>
    <col min="13575" max="13575" width="2.7109375" style="453" customWidth="1"/>
    <col min="13576" max="13576" width="1.5703125" style="453" customWidth="1"/>
    <col min="13577" max="13579" width="10.85546875" style="453" customWidth="1"/>
    <col min="13580" max="13580" width="17.5703125" style="453" customWidth="1"/>
    <col min="13581" max="13581" width="27.42578125" style="453" customWidth="1"/>
    <col min="13582" max="13825" width="11.140625" style="453"/>
    <col min="13826" max="13826" width="18" style="453" customWidth="1"/>
    <col min="13827" max="13827" width="1.7109375" style="453" customWidth="1"/>
    <col min="13828" max="13830" width="10.140625" style="453" customWidth="1"/>
    <col min="13831" max="13831" width="2.7109375" style="453" customWidth="1"/>
    <col min="13832" max="13832" width="1.5703125" style="453" customWidth="1"/>
    <col min="13833" max="13835" width="10.85546875" style="453" customWidth="1"/>
    <col min="13836" max="13836" width="17.5703125" style="453" customWidth="1"/>
    <col min="13837" max="13837" width="27.42578125" style="453" customWidth="1"/>
    <col min="13838" max="14081" width="11.140625" style="453"/>
    <col min="14082" max="14082" width="18" style="453" customWidth="1"/>
    <col min="14083" max="14083" width="1.7109375" style="453" customWidth="1"/>
    <col min="14084" max="14086" width="10.140625" style="453" customWidth="1"/>
    <col min="14087" max="14087" width="2.7109375" style="453" customWidth="1"/>
    <col min="14088" max="14088" width="1.5703125" style="453" customWidth="1"/>
    <col min="14089" max="14091" width="10.85546875" style="453" customWidth="1"/>
    <col min="14092" max="14092" width="17.5703125" style="453" customWidth="1"/>
    <col min="14093" max="14093" width="27.42578125" style="453" customWidth="1"/>
    <col min="14094" max="14337" width="11.140625" style="453"/>
    <col min="14338" max="14338" width="18" style="453" customWidth="1"/>
    <col min="14339" max="14339" width="1.7109375" style="453" customWidth="1"/>
    <col min="14340" max="14342" width="10.140625" style="453" customWidth="1"/>
    <col min="14343" max="14343" width="2.7109375" style="453" customWidth="1"/>
    <col min="14344" max="14344" width="1.5703125" style="453" customWidth="1"/>
    <col min="14345" max="14347" width="10.85546875" style="453" customWidth="1"/>
    <col min="14348" max="14348" width="17.5703125" style="453" customWidth="1"/>
    <col min="14349" max="14349" width="27.42578125" style="453" customWidth="1"/>
    <col min="14350" max="14593" width="11.140625" style="453"/>
    <col min="14594" max="14594" width="18" style="453" customWidth="1"/>
    <col min="14595" max="14595" width="1.7109375" style="453" customWidth="1"/>
    <col min="14596" max="14598" width="10.140625" style="453" customWidth="1"/>
    <col min="14599" max="14599" width="2.7109375" style="453" customWidth="1"/>
    <col min="14600" max="14600" width="1.5703125" style="453" customWidth="1"/>
    <col min="14601" max="14603" width="10.85546875" style="453" customWidth="1"/>
    <col min="14604" max="14604" width="17.5703125" style="453" customWidth="1"/>
    <col min="14605" max="14605" width="27.42578125" style="453" customWidth="1"/>
    <col min="14606" max="14849" width="11.140625" style="453"/>
    <col min="14850" max="14850" width="18" style="453" customWidth="1"/>
    <col min="14851" max="14851" width="1.7109375" style="453" customWidth="1"/>
    <col min="14852" max="14854" width="10.140625" style="453" customWidth="1"/>
    <col min="14855" max="14855" width="2.7109375" style="453" customWidth="1"/>
    <col min="14856" max="14856" width="1.5703125" style="453" customWidth="1"/>
    <col min="14857" max="14859" width="10.85546875" style="453" customWidth="1"/>
    <col min="14860" max="14860" width="17.5703125" style="453" customWidth="1"/>
    <col min="14861" max="14861" width="27.42578125" style="453" customWidth="1"/>
    <col min="14862" max="15105" width="11.140625" style="453"/>
    <col min="15106" max="15106" width="18" style="453" customWidth="1"/>
    <col min="15107" max="15107" width="1.7109375" style="453" customWidth="1"/>
    <col min="15108" max="15110" width="10.140625" style="453" customWidth="1"/>
    <col min="15111" max="15111" width="2.7109375" style="453" customWidth="1"/>
    <col min="15112" max="15112" width="1.5703125" style="453" customWidth="1"/>
    <col min="15113" max="15115" width="10.85546875" style="453" customWidth="1"/>
    <col min="15116" max="15116" width="17.5703125" style="453" customWidth="1"/>
    <col min="15117" max="15117" width="27.42578125" style="453" customWidth="1"/>
    <col min="15118" max="15361" width="11.140625" style="453"/>
    <col min="15362" max="15362" width="18" style="453" customWidth="1"/>
    <col min="15363" max="15363" width="1.7109375" style="453" customWidth="1"/>
    <col min="15364" max="15366" width="10.140625" style="453" customWidth="1"/>
    <col min="15367" max="15367" width="2.7109375" style="453" customWidth="1"/>
    <col min="15368" max="15368" width="1.5703125" style="453" customWidth="1"/>
    <col min="15369" max="15371" width="10.85546875" style="453" customWidth="1"/>
    <col min="15372" max="15372" width="17.5703125" style="453" customWidth="1"/>
    <col min="15373" max="15373" width="27.42578125" style="453" customWidth="1"/>
    <col min="15374" max="15617" width="11.140625" style="453"/>
    <col min="15618" max="15618" width="18" style="453" customWidth="1"/>
    <col min="15619" max="15619" width="1.7109375" style="453" customWidth="1"/>
    <col min="15620" max="15622" width="10.140625" style="453" customWidth="1"/>
    <col min="15623" max="15623" width="2.7109375" style="453" customWidth="1"/>
    <col min="15624" max="15624" width="1.5703125" style="453" customWidth="1"/>
    <col min="15625" max="15627" width="10.85546875" style="453" customWidth="1"/>
    <col min="15628" max="15628" width="17.5703125" style="453" customWidth="1"/>
    <col min="15629" max="15629" width="27.42578125" style="453" customWidth="1"/>
    <col min="15630" max="15873" width="11.140625" style="453"/>
    <col min="15874" max="15874" width="18" style="453" customWidth="1"/>
    <col min="15875" max="15875" width="1.7109375" style="453" customWidth="1"/>
    <col min="15876" max="15878" width="10.140625" style="453" customWidth="1"/>
    <col min="15879" max="15879" width="2.7109375" style="453" customWidth="1"/>
    <col min="15880" max="15880" width="1.5703125" style="453" customWidth="1"/>
    <col min="15881" max="15883" width="10.85546875" style="453" customWidth="1"/>
    <col min="15884" max="15884" width="17.5703125" style="453" customWidth="1"/>
    <col min="15885" max="15885" width="27.42578125" style="453" customWidth="1"/>
    <col min="15886" max="16129" width="11.140625" style="453"/>
    <col min="16130" max="16130" width="18" style="453" customWidth="1"/>
    <col min="16131" max="16131" width="1.7109375" style="453" customWidth="1"/>
    <col min="16132" max="16134" width="10.140625" style="453" customWidth="1"/>
    <col min="16135" max="16135" width="2.7109375" style="453" customWidth="1"/>
    <col min="16136" max="16136" width="1.5703125" style="453" customWidth="1"/>
    <col min="16137" max="16139" width="10.85546875" style="453" customWidth="1"/>
    <col min="16140" max="16140" width="17.5703125" style="453" customWidth="1"/>
    <col min="16141" max="16141" width="27.42578125" style="453" customWidth="1"/>
    <col min="16142" max="16384" width="11.140625" style="453"/>
  </cols>
  <sheetData>
    <row r="1" spans="1:12" ht="17.25">
      <c r="A1" s="472"/>
      <c r="B1" s="473"/>
      <c r="C1" s="473"/>
      <c r="D1" s="473"/>
      <c r="E1" s="473"/>
      <c r="F1" s="473"/>
      <c r="G1" s="468"/>
      <c r="H1" s="474"/>
      <c r="I1" s="474"/>
      <c r="J1" s="475"/>
      <c r="K1" s="475"/>
      <c r="L1" s="476"/>
    </row>
    <row r="2" spans="1:12" ht="15.75">
      <c r="A2" s="1404" t="s">
        <v>1162</v>
      </c>
      <c r="B2" s="1404"/>
      <c r="C2" s="1404"/>
      <c r="D2" s="1404"/>
      <c r="E2" s="1404"/>
      <c r="F2" s="1404"/>
      <c r="G2" s="1404"/>
      <c r="H2" s="1404"/>
      <c r="I2" s="1404"/>
      <c r="J2" s="1404"/>
      <c r="K2" s="1404"/>
      <c r="L2" s="1404"/>
    </row>
    <row r="3" spans="1:12" ht="15">
      <c r="A3" s="1405" t="s">
        <v>1161</v>
      </c>
      <c r="B3" s="1405"/>
      <c r="C3" s="1405"/>
      <c r="D3" s="1405"/>
      <c r="E3" s="1405"/>
      <c r="F3" s="1405"/>
      <c r="G3" s="1405"/>
      <c r="H3" s="1405"/>
      <c r="I3" s="1405"/>
      <c r="J3" s="1405"/>
      <c r="K3" s="1405"/>
      <c r="L3" s="1405"/>
    </row>
    <row r="4" spans="1:12" ht="15">
      <c r="A4" s="1406" t="s">
        <v>166</v>
      </c>
      <c r="B4" s="454"/>
      <c r="C4" s="1402" t="s">
        <v>696</v>
      </c>
      <c r="D4" s="1402"/>
      <c r="E4" s="1210" t="s">
        <v>692</v>
      </c>
      <c r="F4" s="455"/>
      <c r="G4" s="456"/>
      <c r="H4" s="1402" t="s">
        <v>697</v>
      </c>
      <c r="I4" s="1402"/>
      <c r="J4" s="1403" t="s">
        <v>693</v>
      </c>
      <c r="K4" s="1403"/>
      <c r="L4" s="1408" t="s">
        <v>958</v>
      </c>
    </row>
    <row r="5" spans="1:12" ht="17.25">
      <c r="A5" s="1406"/>
      <c r="B5" s="454"/>
      <c r="C5" s="900" t="s">
        <v>13</v>
      </c>
      <c r="D5" s="900" t="s">
        <v>14</v>
      </c>
      <c r="E5" s="926" t="s">
        <v>15</v>
      </c>
      <c r="F5" s="454"/>
      <c r="G5" s="457"/>
      <c r="H5" s="900" t="s">
        <v>13</v>
      </c>
      <c r="I5" s="900" t="s">
        <v>14</v>
      </c>
      <c r="J5" s="926" t="s">
        <v>15</v>
      </c>
      <c r="K5" s="911" t="s">
        <v>753</v>
      </c>
      <c r="L5" s="1408"/>
    </row>
    <row r="6" spans="1:12">
      <c r="A6" s="1407"/>
      <c r="B6" s="458"/>
      <c r="C6" s="459" t="s">
        <v>21</v>
      </c>
      <c r="D6" s="459" t="s">
        <v>22</v>
      </c>
      <c r="E6" s="460" t="s">
        <v>23</v>
      </c>
      <c r="F6" s="460"/>
      <c r="G6" s="461"/>
      <c r="H6" s="459" t="s">
        <v>21</v>
      </c>
      <c r="I6" s="459" t="s">
        <v>22</v>
      </c>
      <c r="J6" s="460" t="s">
        <v>23</v>
      </c>
      <c r="K6" s="459" t="s">
        <v>752</v>
      </c>
      <c r="L6" s="1409"/>
    </row>
    <row r="7" spans="1:12" ht="15.75">
      <c r="A7" s="1137" t="s">
        <v>1145</v>
      </c>
      <c r="B7" s="1130"/>
      <c r="C7" s="1125">
        <f>SUM(D7:E7)</f>
        <v>5914</v>
      </c>
      <c r="D7" s="1125">
        <f>D8+D9+D31</f>
        <v>2951</v>
      </c>
      <c r="E7" s="1125">
        <f>E8+E9+E31</f>
        <v>2963</v>
      </c>
      <c r="F7" s="1125"/>
      <c r="G7" s="1126"/>
      <c r="H7" s="1125">
        <f>H8+H9+H31</f>
        <v>1552</v>
      </c>
      <c r="I7" s="1125">
        <f>I8+I9+I31</f>
        <v>927</v>
      </c>
      <c r="J7" s="1125">
        <f t="shared" ref="J7:K7" si="0">J8+J9+J31</f>
        <v>623</v>
      </c>
      <c r="K7" s="1125">
        <f t="shared" si="0"/>
        <v>2</v>
      </c>
      <c r="L7" s="1138" t="s">
        <v>170</v>
      </c>
    </row>
    <row r="8" spans="1:12" s="1124" customFormat="1" ht="15.75">
      <c r="A8" s="1137" t="s">
        <v>637</v>
      </c>
      <c r="B8" s="1130"/>
      <c r="C8" s="1127">
        <f>SUM(D8:E8)</f>
        <v>3191</v>
      </c>
      <c r="D8" s="1130">
        <v>1584</v>
      </c>
      <c r="E8" s="1130">
        <v>1607</v>
      </c>
      <c r="F8" s="1128"/>
      <c r="G8" s="1129"/>
      <c r="H8" s="1127">
        <f>I8+J8+K8</f>
        <v>912</v>
      </c>
      <c r="I8" s="1130">
        <v>521</v>
      </c>
      <c r="J8" s="1130">
        <v>391</v>
      </c>
      <c r="K8" s="1128">
        <v>0</v>
      </c>
      <c r="L8" s="1138" t="s">
        <v>638</v>
      </c>
    </row>
    <row r="9" spans="1:12" ht="15.75">
      <c r="A9" s="1137" t="s">
        <v>639</v>
      </c>
      <c r="B9" s="1130"/>
      <c r="C9" s="1127">
        <f>SUM(C10:C29)</f>
        <v>2723</v>
      </c>
      <c r="D9" s="1130">
        <f>SUM(D10:D29)</f>
        <v>1367</v>
      </c>
      <c r="E9" s="1130">
        <f>SUM(E10:E29)</f>
        <v>1356</v>
      </c>
      <c r="F9" s="1130"/>
      <c r="G9" s="1129"/>
      <c r="H9" s="1127">
        <f t="shared" ref="H9:H29" si="1">I9+J9+K9</f>
        <v>639</v>
      </c>
      <c r="I9" s="1130">
        <f>SUM(I10:I29)</f>
        <v>406</v>
      </c>
      <c r="J9" s="1130">
        <f>SUM(J10:J29)</f>
        <v>231</v>
      </c>
      <c r="K9" s="1130">
        <f>SUM(K10:K29)</f>
        <v>2</v>
      </c>
      <c r="L9" s="1138" t="s">
        <v>640</v>
      </c>
    </row>
    <row r="10" spans="1:12" ht="15.75">
      <c r="A10" s="1139" t="s">
        <v>641</v>
      </c>
      <c r="B10" s="1140"/>
      <c r="C10" s="1127">
        <f>SUM(D10:E10)</f>
        <v>133</v>
      </c>
      <c r="D10" s="1131">
        <v>67</v>
      </c>
      <c r="E10" s="1131">
        <v>66</v>
      </c>
      <c r="F10" s="1131"/>
      <c r="G10" s="1132"/>
      <c r="H10" s="1127">
        <f t="shared" si="1"/>
        <v>35</v>
      </c>
      <c r="I10" s="1131">
        <v>26</v>
      </c>
      <c r="J10" s="1131">
        <v>9</v>
      </c>
      <c r="K10" s="1131">
        <v>0</v>
      </c>
      <c r="L10" s="1141" t="s">
        <v>642</v>
      </c>
    </row>
    <row r="11" spans="1:12" ht="15.75">
      <c r="A11" s="1139" t="s">
        <v>643</v>
      </c>
      <c r="B11" s="1142"/>
      <c r="C11" s="1127">
        <f t="shared" ref="C11:C31" si="2">SUM(D11:E11)</f>
        <v>514</v>
      </c>
      <c r="D11" s="1131">
        <v>253</v>
      </c>
      <c r="E11" s="1131">
        <v>261</v>
      </c>
      <c r="F11" s="1133"/>
      <c r="G11" s="1134"/>
      <c r="H11" s="1127">
        <f t="shared" si="1"/>
        <v>86</v>
      </c>
      <c r="I11" s="1131">
        <v>51</v>
      </c>
      <c r="J11" s="1131">
        <v>35</v>
      </c>
      <c r="K11" s="1131">
        <v>0</v>
      </c>
      <c r="L11" s="1141" t="s">
        <v>644</v>
      </c>
    </row>
    <row r="12" spans="1:12" ht="15.75">
      <c r="A12" s="1139" t="s">
        <v>645</v>
      </c>
      <c r="B12" s="1142"/>
      <c r="C12" s="1127">
        <f t="shared" si="2"/>
        <v>118</v>
      </c>
      <c r="D12" s="1131">
        <v>61</v>
      </c>
      <c r="E12" s="1131">
        <v>57</v>
      </c>
      <c r="F12" s="1135"/>
      <c r="G12" s="1134"/>
      <c r="H12" s="1127">
        <f t="shared" si="1"/>
        <v>20</v>
      </c>
      <c r="I12" s="1131">
        <v>11</v>
      </c>
      <c r="J12" s="1131">
        <v>9</v>
      </c>
      <c r="K12" s="1131">
        <v>0</v>
      </c>
      <c r="L12" s="1141" t="s">
        <v>646</v>
      </c>
    </row>
    <row r="13" spans="1:12" ht="15.75">
      <c r="A13" s="1139" t="s">
        <v>647</v>
      </c>
      <c r="B13" s="1143"/>
      <c r="C13" s="1127">
        <f t="shared" si="2"/>
        <v>52</v>
      </c>
      <c r="D13" s="1131">
        <v>31</v>
      </c>
      <c r="E13" s="1131">
        <v>21</v>
      </c>
      <c r="F13" s="1136"/>
      <c r="G13" s="1134"/>
      <c r="H13" s="1127">
        <f t="shared" si="1"/>
        <v>21</v>
      </c>
      <c r="I13" s="1131">
        <v>12</v>
      </c>
      <c r="J13" s="1131">
        <v>9</v>
      </c>
      <c r="K13" s="1131">
        <v>0</v>
      </c>
      <c r="L13" s="1141" t="s">
        <v>648</v>
      </c>
    </row>
    <row r="14" spans="1:12" ht="15.75">
      <c r="A14" s="1139" t="s">
        <v>649</v>
      </c>
      <c r="B14" s="1143"/>
      <c r="C14" s="1127">
        <f t="shared" si="2"/>
        <v>395</v>
      </c>
      <c r="D14" s="1131">
        <v>184</v>
      </c>
      <c r="E14" s="1131">
        <v>211</v>
      </c>
      <c r="F14" s="1136"/>
      <c r="G14" s="1134"/>
      <c r="H14" s="1127">
        <f t="shared" si="1"/>
        <v>42</v>
      </c>
      <c r="I14" s="1131">
        <v>22</v>
      </c>
      <c r="J14" s="1131">
        <v>20</v>
      </c>
      <c r="K14" s="1131">
        <v>0</v>
      </c>
      <c r="L14" s="1141" t="s">
        <v>650</v>
      </c>
    </row>
    <row r="15" spans="1:12" ht="15.75">
      <c r="A15" s="1139" t="s">
        <v>651</v>
      </c>
      <c r="B15" s="1143"/>
      <c r="C15" s="1127">
        <f t="shared" si="2"/>
        <v>97</v>
      </c>
      <c r="D15" s="1131">
        <v>51</v>
      </c>
      <c r="E15" s="1131">
        <v>46</v>
      </c>
      <c r="F15" s="1136"/>
      <c r="G15" s="1134"/>
      <c r="H15" s="1127">
        <f t="shared" si="1"/>
        <v>34</v>
      </c>
      <c r="I15" s="1131">
        <v>19</v>
      </c>
      <c r="J15" s="1131">
        <v>15</v>
      </c>
      <c r="K15" s="1131">
        <v>0</v>
      </c>
      <c r="L15" s="1141" t="s">
        <v>652</v>
      </c>
    </row>
    <row r="16" spans="1:12" ht="15.75">
      <c r="A16" s="1139" t="s">
        <v>653</v>
      </c>
      <c r="B16" s="1142"/>
      <c r="C16" s="1127">
        <f t="shared" si="2"/>
        <v>91</v>
      </c>
      <c r="D16" s="1131">
        <v>44</v>
      </c>
      <c r="E16" s="1131">
        <v>47</v>
      </c>
      <c r="F16" s="1136"/>
      <c r="G16" s="1134"/>
      <c r="H16" s="1127">
        <f t="shared" si="1"/>
        <v>35</v>
      </c>
      <c r="I16" s="1131">
        <v>25</v>
      </c>
      <c r="J16" s="1131">
        <v>10</v>
      </c>
      <c r="K16" s="1131">
        <v>0</v>
      </c>
      <c r="L16" s="1141" t="s">
        <v>654</v>
      </c>
    </row>
    <row r="17" spans="1:14" ht="15.75">
      <c r="A17" s="1139" t="s">
        <v>750</v>
      </c>
      <c r="B17" s="1142"/>
      <c r="C17" s="1127">
        <f t="shared" si="2"/>
        <v>1</v>
      </c>
      <c r="D17" s="1131">
        <v>0</v>
      </c>
      <c r="E17" s="1131">
        <v>1</v>
      </c>
      <c r="F17" s="1136"/>
      <c r="G17" s="1134"/>
      <c r="H17" s="1127">
        <f t="shared" si="1"/>
        <v>34</v>
      </c>
      <c r="I17" s="1131">
        <v>21</v>
      </c>
      <c r="J17" s="1131">
        <v>13</v>
      </c>
      <c r="K17" s="1131">
        <v>0</v>
      </c>
      <c r="L17" s="1141" t="s">
        <v>751</v>
      </c>
      <c r="M17" s="463"/>
      <c r="N17" s="463"/>
    </row>
    <row r="18" spans="1:14" ht="15.75">
      <c r="A18" s="1139" t="s">
        <v>657</v>
      </c>
      <c r="B18" s="1142"/>
      <c r="C18" s="1127">
        <f t="shared" si="2"/>
        <v>28</v>
      </c>
      <c r="D18" s="1131">
        <v>15</v>
      </c>
      <c r="E18" s="1131">
        <v>13</v>
      </c>
      <c r="F18" s="1136"/>
      <c r="G18" s="1134"/>
      <c r="H18" s="1127">
        <f t="shared" si="1"/>
        <v>8</v>
      </c>
      <c r="I18" s="1131">
        <v>7</v>
      </c>
      <c r="J18" s="1131">
        <v>1</v>
      </c>
      <c r="K18" s="1131">
        <v>0</v>
      </c>
      <c r="L18" s="1141" t="s">
        <v>658</v>
      </c>
      <c r="M18" s="462"/>
      <c r="N18" s="462"/>
    </row>
    <row r="19" spans="1:14" ht="15.75">
      <c r="A19" s="1139" t="s">
        <v>659</v>
      </c>
      <c r="B19" s="1142"/>
      <c r="C19" s="1127">
        <f t="shared" si="2"/>
        <v>76</v>
      </c>
      <c r="D19" s="1131">
        <v>35</v>
      </c>
      <c r="E19" s="1131">
        <v>41</v>
      </c>
      <c r="F19" s="1136"/>
      <c r="G19" s="1134"/>
      <c r="H19" s="1127">
        <f t="shared" si="1"/>
        <v>21</v>
      </c>
      <c r="I19" s="1131">
        <v>12</v>
      </c>
      <c r="J19" s="1131">
        <v>9</v>
      </c>
      <c r="K19" s="1131">
        <v>0</v>
      </c>
      <c r="L19" s="1141" t="s">
        <v>660</v>
      </c>
      <c r="M19" s="464"/>
      <c r="N19" s="465"/>
    </row>
    <row r="20" spans="1:14" ht="15.75">
      <c r="A20" s="1139" t="s">
        <v>661</v>
      </c>
      <c r="B20" s="1142"/>
      <c r="C20" s="1127">
        <f t="shared" si="2"/>
        <v>0</v>
      </c>
      <c r="D20" s="1131">
        <v>0</v>
      </c>
      <c r="E20" s="1131">
        <v>0</v>
      </c>
      <c r="F20" s="1136"/>
      <c r="G20" s="1134"/>
      <c r="H20" s="1127">
        <f t="shared" si="1"/>
        <v>3</v>
      </c>
      <c r="I20" s="1131">
        <v>3</v>
      </c>
      <c r="J20" s="1131">
        <v>0</v>
      </c>
      <c r="K20" s="1131">
        <v>0</v>
      </c>
      <c r="L20" s="1141" t="s">
        <v>662</v>
      </c>
      <c r="M20" s="466"/>
      <c r="N20" s="464"/>
    </row>
    <row r="21" spans="1:14" ht="15.75">
      <c r="A21" s="1139" t="s">
        <v>663</v>
      </c>
      <c r="B21" s="1142"/>
      <c r="C21" s="1127">
        <f t="shared" si="2"/>
        <v>31</v>
      </c>
      <c r="D21" s="1131">
        <v>15</v>
      </c>
      <c r="E21" s="1131">
        <v>16</v>
      </c>
      <c r="F21" s="1136"/>
      <c r="G21" s="1134"/>
      <c r="H21" s="1127">
        <f t="shared" si="1"/>
        <v>19</v>
      </c>
      <c r="I21" s="1131">
        <v>12</v>
      </c>
      <c r="J21" s="1131">
        <v>7</v>
      </c>
      <c r="K21" s="1131">
        <v>0</v>
      </c>
      <c r="L21" s="1141" t="s">
        <v>664</v>
      </c>
      <c r="M21" s="466"/>
      <c r="N21" s="467"/>
    </row>
    <row r="22" spans="1:14" ht="15.75">
      <c r="A22" s="1139" t="s">
        <v>665</v>
      </c>
      <c r="B22" s="1142"/>
      <c r="C22" s="1127">
        <f t="shared" si="2"/>
        <v>46</v>
      </c>
      <c r="D22" s="1131">
        <v>22</v>
      </c>
      <c r="E22" s="1131">
        <v>24</v>
      </c>
      <c r="F22" s="1136"/>
      <c r="G22" s="1134"/>
      <c r="H22" s="1127">
        <f t="shared" si="1"/>
        <v>14</v>
      </c>
      <c r="I22" s="1131">
        <v>6</v>
      </c>
      <c r="J22" s="1131">
        <v>6</v>
      </c>
      <c r="K22" s="1131">
        <v>2</v>
      </c>
      <c r="L22" s="1141" t="s">
        <v>666</v>
      </c>
      <c r="M22" s="466"/>
      <c r="N22" s="466"/>
    </row>
    <row r="23" spans="1:14" ht="15.75">
      <c r="A23" s="1139" t="s">
        <v>667</v>
      </c>
      <c r="B23" s="1142"/>
      <c r="C23" s="1127">
        <f t="shared" si="2"/>
        <v>64</v>
      </c>
      <c r="D23" s="1131">
        <v>36</v>
      </c>
      <c r="E23" s="1131">
        <v>28</v>
      </c>
      <c r="F23" s="1136"/>
      <c r="G23" s="1134"/>
      <c r="H23" s="1127">
        <f t="shared" si="1"/>
        <v>11</v>
      </c>
      <c r="I23" s="1131">
        <v>8</v>
      </c>
      <c r="J23" s="1131">
        <v>3</v>
      </c>
      <c r="K23" s="1131">
        <v>0</v>
      </c>
      <c r="L23" s="1141" t="s">
        <v>668</v>
      </c>
      <c r="M23" s="466"/>
      <c r="N23" s="466"/>
    </row>
    <row r="24" spans="1:14" ht="15.75">
      <c r="A24" s="1139" t="s">
        <v>669</v>
      </c>
      <c r="B24" s="1142"/>
      <c r="C24" s="1127">
        <f t="shared" si="2"/>
        <v>56</v>
      </c>
      <c r="D24" s="1131">
        <v>30</v>
      </c>
      <c r="E24" s="1131">
        <v>26</v>
      </c>
      <c r="F24" s="1136"/>
      <c r="G24" s="1134"/>
      <c r="H24" s="1127">
        <f t="shared" si="1"/>
        <v>18</v>
      </c>
      <c r="I24" s="1131">
        <v>11</v>
      </c>
      <c r="J24" s="1131">
        <v>7</v>
      </c>
      <c r="K24" s="1131">
        <v>0</v>
      </c>
      <c r="L24" s="1141" t="s">
        <v>670</v>
      </c>
      <c r="M24" s="466"/>
      <c r="N24" s="466"/>
    </row>
    <row r="25" spans="1:14" ht="15.75">
      <c r="A25" s="1139" t="s">
        <v>671</v>
      </c>
      <c r="B25" s="1142"/>
      <c r="C25" s="1127">
        <f t="shared" si="2"/>
        <v>288</v>
      </c>
      <c r="D25" s="1131">
        <v>156</v>
      </c>
      <c r="E25" s="1131">
        <v>132</v>
      </c>
      <c r="F25" s="1131"/>
      <c r="G25" s="1134"/>
      <c r="H25" s="1127">
        <f t="shared" si="1"/>
        <v>39</v>
      </c>
      <c r="I25" s="1131">
        <v>23</v>
      </c>
      <c r="J25" s="1131">
        <v>16</v>
      </c>
      <c r="K25" s="1131">
        <v>0</v>
      </c>
      <c r="L25" s="1141" t="s">
        <v>672</v>
      </c>
      <c r="M25" s="466"/>
      <c r="N25" s="466"/>
    </row>
    <row r="26" spans="1:14" ht="15.75">
      <c r="A26" s="1139" t="s">
        <v>673</v>
      </c>
      <c r="B26" s="1142"/>
      <c r="C26" s="1127">
        <f t="shared" si="2"/>
        <v>91</v>
      </c>
      <c r="D26" s="1131">
        <v>52</v>
      </c>
      <c r="E26" s="1131">
        <v>39</v>
      </c>
      <c r="F26" s="1136"/>
      <c r="G26" s="1134"/>
      <c r="H26" s="1127">
        <f t="shared" si="1"/>
        <v>28</v>
      </c>
      <c r="I26" s="1131">
        <v>19</v>
      </c>
      <c r="J26" s="1131">
        <v>9</v>
      </c>
      <c r="K26" s="1131">
        <v>0</v>
      </c>
      <c r="L26" s="1141" t="s">
        <v>674</v>
      </c>
      <c r="M26" s="466"/>
      <c r="N26" s="466"/>
    </row>
    <row r="27" spans="1:14" ht="15.75">
      <c r="A27" s="1139" t="s">
        <v>675</v>
      </c>
      <c r="B27" s="1142"/>
      <c r="C27" s="1127">
        <f t="shared" si="2"/>
        <v>176</v>
      </c>
      <c r="D27" s="1131">
        <v>86</v>
      </c>
      <c r="E27" s="1131">
        <v>90</v>
      </c>
      <c r="F27" s="1136"/>
      <c r="G27" s="1134"/>
      <c r="H27" s="1127">
        <f t="shared" si="1"/>
        <v>46</v>
      </c>
      <c r="I27" s="1131">
        <v>32</v>
      </c>
      <c r="J27" s="1131">
        <v>14</v>
      </c>
      <c r="K27" s="1131">
        <v>0</v>
      </c>
      <c r="L27" s="1141" t="s">
        <v>676</v>
      </c>
      <c r="M27" s="466"/>
      <c r="N27" s="466"/>
    </row>
    <row r="28" spans="1:14" ht="15.75">
      <c r="A28" s="1139" t="s">
        <v>677</v>
      </c>
      <c r="B28" s="1142"/>
      <c r="C28" s="1127">
        <f t="shared" si="2"/>
        <v>106</v>
      </c>
      <c r="D28" s="1131">
        <v>54</v>
      </c>
      <c r="E28" s="1131">
        <v>52</v>
      </c>
      <c r="F28" s="1136"/>
      <c r="G28" s="1134"/>
      <c r="H28" s="1127">
        <f t="shared" si="1"/>
        <v>31</v>
      </c>
      <c r="I28" s="1131">
        <v>19</v>
      </c>
      <c r="J28" s="1131">
        <v>12</v>
      </c>
      <c r="K28" s="1131">
        <v>0</v>
      </c>
      <c r="L28" s="1141" t="s">
        <v>678</v>
      </c>
      <c r="M28" s="466"/>
      <c r="N28" s="466"/>
    </row>
    <row r="29" spans="1:14" ht="15.75">
      <c r="A29" s="1139" t="s">
        <v>646</v>
      </c>
      <c r="B29" s="1142"/>
      <c r="C29" s="1127">
        <f>SUM(D29:E29)</f>
        <v>360</v>
      </c>
      <c r="D29" s="1131">
        <v>175</v>
      </c>
      <c r="E29" s="1131">
        <v>185</v>
      </c>
      <c r="F29" s="1136"/>
      <c r="G29" s="1134"/>
      <c r="H29" s="1127">
        <f t="shared" si="1"/>
        <v>94</v>
      </c>
      <c r="I29" s="1131">
        <v>67</v>
      </c>
      <c r="J29" s="1131">
        <v>27</v>
      </c>
      <c r="K29" s="1131">
        <v>0</v>
      </c>
      <c r="L29" s="1141" t="s">
        <v>679</v>
      </c>
      <c r="M29" s="466"/>
      <c r="N29" s="466"/>
    </row>
    <row r="30" spans="1:14" ht="55.5" customHeight="1">
      <c r="A30" s="1215" t="s">
        <v>1146</v>
      </c>
      <c r="B30" s="1216"/>
      <c r="C30" s="1127">
        <f t="shared" si="2"/>
        <v>117</v>
      </c>
      <c r="D30" s="1131">
        <v>55</v>
      </c>
      <c r="E30" s="1131">
        <v>62</v>
      </c>
      <c r="F30" s="1136"/>
      <c r="G30" s="1134"/>
      <c r="H30" s="1127">
        <f>I30+J30+K30</f>
        <v>39</v>
      </c>
      <c r="I30" s="1131">
        <v>25</v>
      </c>
      <c r="J30" s="1131">
        <v>14</v>
      </c>
      <c r="K30" s="1131">
        <v>0</v>
      </c>
      <c r="L30" s="1217" t="s">
        <v>754</v>
      </c>
      <c r="M30" s="466"/>
      <c r="N30" s="466"/>
    </row>
    <row r="31" spans="1:14" ht="14.25" customHeight="1">
      <c r="A31" s="1144" t="s">
        <v>752</v>
      </c>
      <c r="B31" s="1145"/>
      <c r="C31" s="1146">
        <f t="shared" si="2"/>
        <v>0</v>
      </c>
      <c r="D31" s="1147">
        <v>0</v>
      </c>
      <c r="E31" s="1147">
        <v>0</v>
      </c>
      <c r="F31" s="1148"/>
      <c r="G31" s="1149"/>
      <c r="H31" s="1146">
        <f>I31+J31+K31</f>
        <v>1</v>
      </c>
      <c r="I31" s="1147">
        <v>0</v>
      </c>
      <c r="J31" s="1147">
        <v>1</v>
      </c>
      <c r="K31" s="1147">
        <v>0</v>
      </c>
      <c r="L31" s="1150"/>
      <c r="M31" s="466"/>
      <c r="N31" s="466"/>
    </row>
    <row r="32" spans="1:14" ht="15.75">
      <c r="A32" s="1151" t="s">
        <v>755</v>
      </c>
      <c r="B32" s="468"/>
      <c r="C32" s="469"/>
      <c r="D32" s="468"/>
      <c r="E32" s="468"/>
      <c r="F32" s="469"/>
      <c r="G32" s="469"/>
      <c r="H32" s="468"/>
      <c r="I32" s="468"/>
      <c r="J32" s="468"/>
      <c r="K32" s="468"/>
      <c r="L32" s="1152"/>
      <c r="M32" s="466"/>
      <c r="N32" s="466"/>
    </row>
    <row r="33" spans="1:14">
      <c r="A33" s="1401" t="s">
        <v>756</v>
      </c>
      <c r="B33" s="1401"/>
      <c r="C33" s="1401"/>
      <c r="D33" s="1401"/>
      <c r="E33" s="1401"/>
      <c r="F33" s="1401"/>
      <c r="G33" s="1401"/>
      <c r="H33" s="1401"/>
      <c r="I33" s="1401"/>
      <c r="J33" s="1401"/>
      <c r="K33" s="1401"/>
      <c r="L33" s="1401"/>
      <c r="M33" s="466"/>
      <c r="N33" s="465"/>
    </row>
    <row r="34" spans="1:14" ht="17.25">
      <c r="A34" s="1401" t="s">
        <v>1150</v>
      </c>
      <c r="B34" s="1401"/>
      <c r="C34" s="1401"/>
      <c r="D34" s="1401"/>
      <c r="E34" s="1401"/>
      <c r="F34" s="1209"/>
      <c r="G34" s="1410" t="s">
        <v>757</v>
      </c>
      <c r="H34" s="1410"/>
      <c r="I34" s="1410"/>
      <c r="J34" s="1410"/>
      <c r="K34" s="1410"/>
      <c r="L34" s="1410"/>
      <c r="M34" s="466"/>
      <c r="N34" s="466"/>
    </row>
    <row r="35" spans="1:14" ht="14.25">
      <c r="A35" s="470" t="s">
        <v>1149</v>
      </c>
      <c r="B35" s="471"/>
      <c r="C35" s="469"/>
      <c r="D35" s="469"/>
      <c r="E35" s="469"/>
      <c r="F35" s="469"/>
      <c r="G35" s="468"/>
      <c r="H35" s="468"/>
      <c r="I35" s="468"/>
      <c r="J35" s="468"/>
      <c r="K35" s="468"/>
      <c r="L35" s="899" t="s">
        <v>758</v>
      </c>
      <c r="M35" s="466"/>
      <c r="N35" s="466"/>
    </row>
    <row r="36" spans="1:14" ht="16.5">
      <c r="A36" s="470" t="s">
        <v>1147</v>
      </c>
      <c r="L36" s="1153" t="s">
        <v>1148</v>
      </c>
      <c r="M36" s="341"/>
      <c r="N36" s="466"/>
    </row>
    <row r="37" spans="1:14" ht="17.25">
      <c r="A37" s="472" t="s">
        <v>759</v>
      </c>
      <c r="B37" s="473"/>
      <c r="C37" s="473"/>
      <c r="D37" s="473"/>
      <c r="E37" s="473"/>
      <c r="F37" s="473"/>
      <c r="G37" s="468"/>
      <c r="H37" s="474"/>
      <c r="I37" s="474"/>
      <c r="J37" s="475"/>
      <c r="K37" s="475"/>
      <c r="L37" s="476" t="s">
        <v>760</v>
      </c>
      <c r="N37" s="466"/>
    </row>
    <row r="38" spans="1:14" ht="21">
      <c r="M38" s="1218"/>
      <c r="N38" s="466"/>
    </row>
    <row r="39" spans="1:14">
      <c r="M39" s="466"/>
      <c r="N39" s="466"/>
    </row>
    <row r="40" spans="1:14">
      <c r="M40" s="466"/>
      <c r="N40" s="466"/>
    </row>
    <row r="48" spans="1:14">
      <c r="M48" s="466"/>
      <c r="N48" s="466"/>
    </row>
  </sheetData>
  <mergeCells count="10">
    <mergeCell ref="A34:E34"/>
    <mergeCell ref="G34:L34"/>
    <mergeCell ref="A33:L33"/>
    <mergeCell ref="H4:I4"/>
    <mergeCell ref="J4:K4"/>
    <mergeCell ref="C4:D4"/>
    <mergeCell ref="A2:L2"/>
    <mergeCell ref="A3:L3"/>
    <mergeCell ref="A4:A6"/>
    <mergeCell ref="L4:L6"/>
  </mergeCells>
  <pageMargins left="0.7" right="0.7" top="0.75" bottom="0.75" header="0.3" footer="0.3"/>
  <pageSetup paperSize="9" orientation="portrait" r:id="rId1"/>
  <ignoredErrors>
    <ignoredError sqref="C8 C14:C17 H8:H30 C31" unlockedFormula="1"/>
    <ignoredError sqref="D9:E9 C18:C19 C20:C29 C30" formulaRange="1" unlockedFormula="1"/>
    <ignoredError sqref="C9" formula="1" unlockedFormula="1"/>
    <ignoredError sqref="C10:C13" formula="1" formulaRange="1"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BX31"/>
  <sheetViews>
    <sheetView view="pageBreakPreview" zoomScale="96" zoomScaleNormal="68" zoomScaleSheetLayoutView="96" workbookViewId="0">
      <selection activeCell="BC15" sqref="BC15"/>
    </sheetView>
  </sheetViews>
  <sheetFormatPr defaultColWidth="17.85546875" defaultRowHeight="16.5" customHeight="1"/>
  <cols>
    <col min="1" max="1" width="21.7109375" style="396" customWidth="1"/>
    <col min="2" max="2" width="1.7109375" style="396" customWidth="1"/>
    <col min="3" max="3" width="0.85546875" style="396" customWidth="1"/>
    <col min="4" max="7" width="7.140625" style="396" hidden="1" customWidth="1"/>
    <col min="8" max="9" width="0.85546875" style="396" hidden="1" customWidth="1"/>
    <col min="10" max="12" width="8" style="396" hidden="1" customWidth="1"/>
    <col min="13" max="13" width="7.42578125" style="396" hidden="1" customWidth="1"/>
    <col min="14" max="14" width="1.5703125" style="396" hidden="1" customWidth="1"/>
    <col min="15" max="18" width="7.140625" style="396" hidden="1" customWidth="1"/>
    <col min="19" max="19" width="1.7109375" style="396" hidden="1" customWidth="1"/>
    <col min="20" max="23" width="7.140625" style="396" hidden="1" customWidth="1"/>
    <col min="24" max="24" width="1.28515625" style="396" hidden="1" customWidth="1"/>
    <col min="25" max="36" width="8.7109375" style="396" hidden="1" customWidth="1"/>
    <col min="37" max="51" width="8.7109375" style="396" customWidth="1"/>
    <col min="52" max="52" width="8.7109375" style="396" hidden="1" customWidth="1"/>
    <col min="53" max="53" width="45.140625" style="396" customWidth="1"/>
    <col min="54" max="57" width="17.85546875" style="396"/>
    <col min="58" max="66" width="5.42578125" style="396" customWidth="1"/>
    <col min="67" max="71" width="6" style="396" customWidth="1"/>
    <col min="72" max="72" width="6.85546875" style="396" customWidth="1"/>
    <col min="73" max="73" width="5.42578125" style="396" customWidth="1"/>
    <col min="74" max="74" width="6.5703125" style="396" customWidth="1"/>
    <col min="75" max="76" width="7.140625" style="396" customWidth="1"/>
    <col min="77" max="268" width="17.85546875" style="396"/>
    <col min="269" max="269" width="18.7109375" style="396" customWidth="1"/>
    <col min="270" max="270" width="1.7109375" style="396" customWidth="1"/>
    <col min="271" max="271" width="0.85546875" style="396" customWidth="1"/>
    <col min="272" max="292" width="0" style="396" hidden="1" customWidth="1"/>
    <col min="293" max="304" width="8.7109375" style="396" customWidth="1"/>
    <col min="305" max="308" width="0" style="396" hidden="1" customWidth="1"/>
    <col min="309" max="309" width="45.140625" style="396" customWidth="1"/>
    <col min="310" max="313" width="17.85546875" style="396"/>
    <col min="314" max="322" width="5.42578125" style="396" customWidth="1"/>
    <col min="323" max="327" width="6" style="396" customWidth="1"/>
    <col min="328" max="328" width="6.85546875" style="396" customWidth="1"/>
    <col min="329" max="329" width="5.42578125" style="396" customWidth="1"/>
    <col min="330" max="524" width="17.85546875" style="396"/>
    <col min="525" max="525" width="18.7109375" style="396" customWidth="1"/>
    <col min="526" max="526" width="1.7109375" style="396" customWidth="1"/>
    <col min="527" max="527" width="0.85546875" style="396" customWidth="1"/>
    <col min="528" max="548" width="0" style="396" hidden="1" customWidth="1"/>
    <col min="549" max="560" width="8.7109375" style="396" customWidth="1"/>
    <col min="561" max="564" width="0" style="396" hidden="1" customWidth="1"/>
    <col min="565" max="565" width="45.140625" style="396" customWidth="1"/>
    <col min="566" max="569" width="17.85546875" style="396"/>
    <col min="570" max="578" width="5.42578125" style="396" customWidth="1"/>
    <col min="579" max="583" width="6" style="396" customWidth="1"/>
    <col min="584" max="584" width="6.85546875" style="396" customWidth="1"/>
    <col min="585" max="585" width="5.42578125" style="396" customWidth="1"/>
    <col min="586" max="780" width="17.85546875" style="396"/>
    <col min="781" max="781" width="18.7109375" style="396" customWidth="1"/>
    <col min="782" max="782" width="1.7109375" style="396" customWidth="1"/>
    <col min="783" max="783" width="0.85546875" style="396" customWidth="1"/>
    <col min="784" max="804" width="0" style="396" hidden="1" customWidth="1"/>
    <col min="805" max="816" width="8.7109375" style="396" customWidth="1"/>
    <col min="817" max="820" width="0" style="396" hidden="1" customWidth="1"/>
    <col min="821" max="821" width="45.140625" style="396" customWidth="1"/>
    <col min="822" max="825" width="17.85546875" style="396"/>
    <col min="826" max="834" width="5.42578125" style="396" customWidth="1"/>
    <col min="835" max="839" width="6" style="396" customWidth="1"/>
    <col min="840" max="840" width="6.85546875" style="396" customWidth="1"/>
    <col min="841" max="841" width="5.42578125" style="396" customWidth="1"/>
    <col min="842" max="1036" width="17.85546875" style="396"/>
    <col min="1037" max="1037" width="18.7109375" style="396" customWidth="1"/>
    <col min="1038" max="1038" width="1.7109375" style="396" customWidth="1"/>
    <col min="1039" max="1039" width="0.85546875" style="396" customWidth="1"/>
    <col min="1040" max="1060" width="0" style="396" hidden="1" customWidth="1"/>
    <col min="1061" max="1072" width="8.7109375" style="396" customWidth="1"/>
    <col min="1073" max="1076" width="0" style="396" hidden="1" customWidth="1"/>
    <col min="1077" max="1077" width="45.140625" style="396" customWidth="1"/>
    <col min="1078" max="1081" width="17.85546875" style="396"/>
    <col min="1082" max="1090" width="5.42578125" style="396" customWidth="1"/>
    <col min="1091" max="1095" width="6" style="396" customWidth="1"/>
    <col min="1096" max="1096" width="6.85546875" style="396" customWidth="1"/>
    <col min="1097" max="1097" width="5.42578125" style="396" customWidth="1"/>
    <col min="1098" max="1292" width="17.85546875" style="396"/>
    <col min="1293" max="1293" width="18.7109375" style="396" customWidth="1"/>
    <col min="1294" max="1294" width="1.7109375" style="396" customWidth="1"/>
    <col min="1295" max="1295" width="0.85546875" style="396" customWidth="1"/>
    <col min="1296" max="1316" width="0" style="396" hidden="1" customWidth="1"/>
    <col min="1317" max="1328" width="8.7109375" style="396" customWidth="1"/>
    <col min="1329" max="1332" width="0" style="396" hidden="1" customWidth="1"/>
    <col min="1333" max="1333" width="45.140625" style="396" customWidth="1"/>
    <col min="1334" max="1337" width="17.85546875" style="396"/>
    <col min="1338" max="1346" width="5.42578125" style="396" customWidth="1"/>
    <col min="1347" max="1351" width="6" style="396" customWidth="1"/>
    <col min="1352" max="1352" width="6.85546875" style="396" customWidth="1"/>
    <col min="1353" max="1353" width="5.42578125" style="396" customWidth="1"/>
    <col min="1354" max="1548" width="17.85546875" style="396"/>
    <col min="1549" max="1549" width="18.7109375" style="396" customWidth="1"/>
    <col min="1550" max="1550" width="1.7109375" style="396" customWidth="1"/>
    <col min="1551" max="1551" width="0.85546875" style="396" customWidth="1"/>
    <col min="1552" max="1572" width="0" style="396" hidden="1" customWidth="1"/>
    <col min="1573" max="1584" width="8.7109375" style="396" customWidth="1"/>
    <col min="1585" max="1588" width="0" style="396" hidden="1" customWidth="1"/>
    <col min="1589" max="1589" width="45.140625" style="396" customWidth="1"/>
    <col min="1590" max="1593" width="17.85546875" style="396"/>
    <col min="1594" max="1602" width="5.42578125" style="396" customWidth="1"/>
    <col min="1603" max="1607" width="6" style="396" customWidth="1"/>
    <col min="1608" max="1608" width="6.85546875" style="396" customWidth="1"/>
    <col min="1609" max="1609" width="5.42578125" style="396" customWidth="1"/>
    <col min="1610" max="1804" width="17.85546875" style="396"/>
    <col min="1805" max="1805" width="18.7109375" style="396" customWidth="1"/>
    <col min="1806" max="1806" width="1.7109375" style="396" customWidth="1"/>
    <col min="1807" max="1807" width="0.85546875" style="396" customWidth="1"/>
    <col min="1808" max="1828" width="0" style="396" hidden="1" customWidth="1"/>
    <col min="1829" max="1840" width="8.7109375" style="396" customWidth="1"/>
    <col min="1841" max="1844" width="0" style="396" hidden="1" customWidth="1"/>
    <col min="1845" max="1845" width="45.140625" style="396" customWidth="1"/>
    <col min="1846" max="1849" width="17.85546875" style="396"/>
    <col min="1850" max="1858" width="5.42578125" style="396" customWidth="1"/>
    <col min="1859" max="1863" width="6" style="396" customWidth="1"/>
    <col min="1864" max="1864" width="6.85546875" style="396" customWidth="1"/>
    <col min="1865" max="1865" width="5.42578125" style="396" customWidth="1"/>
    <col min="1866" max="2060" width="17.85546875" style="396"/>
    <col min="2061" max="2061" width="18.7109375" style="396" customWidth="1"/>
    <col min="2062" max="2062" width="1.7109375" style="396" customWidth="1"/>
    <col min="2063" max="2063" width="0.85546875" style="396" customWidth="1"/>
    <col min="2064" max="2084" width="0" style="396" hidden="1" customWidth="1"/>
    <col min="2085" max="2096" width="8.7109375" style="396" customWidth="1"/>
    <col min="2097" max="2100" width="0" style="396" hidden="1" customWidth="1"/>
    <col min="2101" max="2101" width="45.140625" style="396" customWidth="1"/>
    <col min="2102" max="2105" width="17.85546875" style="396"/>
    <col min="2106" max="2114" width="5.42578125" style="396" customWidth="1"/>
    <col min="2115" max="2119" width="6" style="396" customWidth="1"/>
    <col min="2120" max="2120" width="6.85546875" style="396" customWidth="1"/>
    <col min="2121" max="2121" width="5.42578125" style="396" customWidth="1"/>
    <col min="2122" max="2316" width="17.85546875" style="396"/>
    <col min="2317" max="2317" width="18.7109375" style="396" customWidth="1"/>
    <col min="2318" max="2318" width="1.7109375" style="396" customWidth="1"/>
    <col min="2319" max="2319" width="0.85546875" style="396" customWidth="1"/>
    <col min="2320" max="2340" width="0" style="396" hidden="1" customWidth="1"/>
    <col min="2341" max="2352" width="8.7109375" style="396" customWidth="1"/>
    <col min="2353" max="2356" width="0" style="396" hidden="1" customWidth="1"/>
    <col min="2357" max="2357" width="45.140625" style="396" customWidth="1"/>
    <col min="2358" max="2361" width="17.85546875" style="396"/>
    <col min="2362" max="2370" width="5.42578125" style="396" customWidth="1"/>
    <col min="2371" max="2375" width="6" style="396" customWidth="1"/>
    <col min="2376" max="2376" width="6.85546875" style="396" customWidth="1"/>
    <col min="2377" max="2377" width="5.42578125" style="396" customWidth="1"/>
    <col min="2378" max="2572" width="17.85546875" style="396"/>
    <col min="2573" max="2573" width="18.7109375" style="396" customWidth="1"/>
    <col min="2574" max="2574" width="1.7109375" style="396" customWidth="1"/>
    <col min="2575" max="2575" width="0.85546875" style="396" customWidth="1"/>
    <col min="2576" max="2596" width="0" style="396" hidden="1" customWidth="1"/>
    <col min="2597" max="2608" width="8.7109375" style="396" customWidth="1"/>
    <col min="2609" max="2612" width="0" style="396" hidden="1" customWidth="1"/>
    <col min="2613" max="2613" width="45.140625" style="396" customWidth="1"/>
    <col min="2614" max="2617" width="17.85546875" style="396"/>
    <col min="2618" max="2626" width="5.42578125" style="396" customWidth="1"/>
    <col min="2627" max="2631" width="6" style="396" customWidth="1"/>
    <col min="2632" max="2632" width="6.85546875" style="396" customWidth="1"/>
    <col min="2633" max="2633" width="5.42578125" style="396" customWidth="1"/>
    <col min="2634" max="2828" width="17.85546875" style="396"/>
    <col min="2829" max="2829" width="18.7109375" style="396" customWidth="1"/>
    <col min="2830" max="2830" width="1.7109375" style="396" customWidth="1"/>
    <col min="2831" max="2831" width="0.85546875" style="396" customWidth="1"/>
    <col min="2832" max="2852" width="0" style="396" hidden="1" customWidth="1"/>
    <col min="2853" max="2864" width="8.7109375" style="396" customWidth="1"/>
    <col min="2865" max="2868" width="0" style="396" hidden="1" customWidth="1"/>
    <col min="2869" max="2869" width="45.140625" style="396" customWidth="1"/>
    <col min="2870" max="2873" width="17.85546875" style="396"/>
    <col min="2874" max="2882" width="5.42578125" style="396" customWidth="1"/>
    <col min="2883" max="2887" width="6" style="396" customWidth="1"/>
    <col min="2888" max="2888" width="6.85546875" style="396" customWidth="1"/>
    <col min="2889" max="2889" width="5.42578125" style="396" customWidth="1"/>
    <col min="2890" max="3084" width="17.85546875" style="396"/>
    <col min="3085" max="3085" width="18.7109375" style="396" customWidth="1"/>
    <col min="3086" max="3086" width="1.7109375" style="396" customWidth="1"/>
    <col min="3087" max="3087" width="0.85546875" style="396" customWidth="1"/>
    <col min="3088" max="3108" width="0" style="396" hidden="1" customWidth="1"/>
    <col min="3109" max="3120" width="8.7109375" style="396" customWidth="1"/>
    <col min="3121" max="3124" width="0" style="396" hidden="1" customWidth="1"/>
    <col min="3125" max="3125" width="45.140625" style="396" customWidth="1"/>
    <col min="3126" max="3129" width="17.85546875" style="396"/>
    <col min="3130" max="3138" width="5.42578125" style="396" customWidth="1"/>
    <col min="3139" max="3143" width="6" style="396" customWidth="1"/>
    <col min="3144" max="3144" width="6.85546875" style="396" customWidth="1"/>
    <col min="3145" max="3145" width="5.42578125" style="396" customWidth="1"/>
    <col min="3146" max="3340" width="17.85546875" style="396"/>
    <col min="3341" max="3341" width="18.7109375" style="396" customWidth="1"/>
    <col min="3342" max="3342" width="1.7109375" style="396" customWidth="1"/>
    <col min="3343" max="3343" width="0.85546875" style="396" customWidth="1"/>
    <col min="3344" max="3364" width="0" style="396" hidden="1" customWidth="1"/>
    <col min="3365" max="3376" width="8.7109375" style="396" customWidth="1"/>
    <col min="3377" max="3380" width="0" style="396" hidden="1" customWidth="1"/>
    <col min="3381" max="3381" width="45.140625" style="396" customWidth="1"/>
    <col min="3382" max="3385" width="17.85546875" style="396"/>
    <col min="3386" max="3394" width="5.42578125" style="396" customWidth="1"/>
    <col min="3395" max="3399" width="6" style="396" customWidth="1"/>
    <col min="3400" max="3400" width="6.85546875" style="396" customWidth="1"/>
    <col min="3401" max="3401" width="5.42578125" style="396" customWidth="1"/>
    <col min="3402" max="3596" width="17.85546875" style="396"/>
    <col min="3597" max="3597" width="18.7109375" style="396" customWidth="1"/>
    <col min="3598" max="3598" width="1.7109375" style="396" customWidth="1"/>
    <col min="3599" max="3599" width="0.85546875" style="396" customWidth="1"/>
    <col min="3600" max="3620" width="0" style="396" hidden="1" customWidth="1"/>
    <col min="3621" max="3632" width="8.7109375" style="396" customWidth="1"/>
    <col min="3633" max="3636" width="0" style="396" hidden="1" customWidth="1"/>
    <col min="3637" max="3637" width="45.140625" style="396" customWidth="1"/>
    <col min="3638" max="3641" width="17.85546875" style="396"/>
    <col min="3642" max="3650" width="5.42578125" style="396" customWidth="1"/>
    <col min="3651" max="3655" width="6" style="396" customWidth="1"/>
    <col min="3656" max="3656" width="6.85546875" style="396" customWidth="1"/>
    <col min="3657" max="3657" width="5.42578125" style="396" customWidth="1"/>
    <col min="3658" max="3852" width="17.85546875" style="396"/>
    <col min="3853" max="3853" width="18.7109375" style="396" customWidth="1"/>
    <col min="3854" max="3854" width="1.7109375" style="396" customWidth="1"/>
    <col min="3855" max="3855" width="0.85546875" style="396" customWidth="1"/>
    <col min="3856" max="3876" width="0" style="396" hidden="1" customWidth="1"/>
    <col min="3877" max="3888" width="8.7109375" style="396" customWidth="1"/>
    <col min="3889" max="3892" width="0" style="396" hidden="1" customWidth="1"/>
    <col min="3893" max="3893" width="45.140625" style="396" customWidth="1"/>
    <col min="3894" max="3897" width="17.85546875" style="396"/>
    <col min="3898" max="3906" width="5.42578125" style="396" customWidth="1"/>
    <col min="3907" max="3911" width="6" style="396" customWidth="1"/>
    <col min="3912" max="3912" width="6.85546875" style="396" customWidth="1"/>
    <col min="3913" max="3913" width="5.42578125" style="396" customWidth="1"/>
    <col min="3914" max="4108" width="17.85546875" style="396"/>
    <col min="4109" max="4109" width="18.7109375" style="396" customWidth="1"/>
    <col min="4110" max="4110" width="1.7109375" style="396" customWidth="1"/>
    <col min="4111" max="4111" width="0.85546875" style="396" customWidth="1"/>
    <col min="4112" max="4132" width="0" style="396" hidden="1" customWidth="1"/>
    <col min="4133" max="4144" width="8.7109375" style="396" customWidth="1"/>
    <col min="4145" max="4148" width="0" style="396" hidden="1" customWidth="1"/>
    <col min="4149" max="4149" width="45.140625" style="396" customWidth="1"/>
    <col min="4150" max="4153" width="17.85546875" style="396"/>
    <col min="4154" max="4162" width="5.42578125" style="396" customWidth="1"/>
    <col min="4163" max="4167" width="6" style="396" customWidth="1"/>
    <col min="4168" max="4168" width="6.85546875" style="396" customWidth="1"/>
    <col min="4169" max="4169" width="5.42578125" style="396" customWidth="1"/>
    <col min="4170" max="4364" width="17.85546875" style="396"/>
    <col min="4365" max="4365" width="18.7109375" style="396" customWidth="1"/>
    <col min="4366" max="4366" width="1.7109375" style="396" customWidth="1"/>
    <col min="4367" max="4367" width="0.85546875" style="396" customWidth="1"/>
    <col min="4368" max="4388" width="0" style="396" hidden="1" customWidth="1"/>
    <col min="4389" max="4400" width="8.7109375" style="396" customWidth="1"/>
    <col min="4401" max="4404" width="0" style="396" hidden="1" customWidth="1"/>
    <col min="4405" max="4405" width="45.140625" style="396" customWidth="1"/>
    <col min="4406" max="4409" width="17.85546875" style="396"/>
    <col min="4410" max="4418" width="5.42578125" style="396" customWidth="1"/>
    <col min="4419" max="4423" width="6" style="396" customWidth="1"/>
    <col min="4424" max="4424" width="6.85546875" style="396" customWidth="1"/>
    <col min="4425" max="4425" width="5.42578125" style="396" customWidth="1"/>
    <col min="4426" max="4620" width="17.85546875" style="396"/>
    <col min="4621" max="4621" width="18.7109375" style="396" customWidth="1"/>
    <col min="4622" max="4622" width="1.7109375" style="396" customWidth="1"/>
    <col min="4623" max="4623" width="0.85546875" style="396" customWidth="1"/>
    <col min="4624" max="4644" width="0" style="396" hidden="1" customWidth="1"/>
    <col min="4645" max="4656" width="8.7109375" style="396" customWidth="1"/>
    <col min="4657" max="4660" width="0" style="396" hidden="1" customWidth="1"/>
    <col min="4661" max="4661" width="45.140625" style="396" customWidth="1"/>
    <col min="4662" max="4665" width="17.85546875" style="396"/>
    <col min="4666" max="4674" width="5.42578125" style="396" customWidth="1"/>
    <col min="4675" max="4679" width="6" style="396" customWidth="1"/>
    <col min="4680" max="4680" width="6.85546875" style="396" customWidth="1"/>
    <col min="4681" max="4681" width="5.42578125" style="396" customWidth="1"/>
    <col min="4682" max="4876" width="17.85546875" style="396"/>
    <col min="4877" max="4877" width="18.7109375" style="396" customWidth="1"/>
    <col min="4878" max="4878" width="1.7109375" style="396" customWidth="1"/>
    <col min="4879" max="4879" width="0.85546875" style="396" customWidth="1"/>
    <col min="4880" max="4900" width="0" style="396" hidden="1" customWidth="1"/>
    <col min="4901" max="4912" width="8.7109375" style="396" customWidth="1"/>
    <col min="4913" max="4916" width="0" style="396" hidden="1" customWidth="1"/>
    <col min="4917" max="4917" width="45.140625" style="396" customWidth="1"/>
    <col min="4918" max="4921" width="17.85546875" style="396"/>
    <col min="4922" max="4930" width="5.42578125" style="396" customWidth="1"/>
    <col min="4931" max="4935" width="6" style="396" customWidth="1"/>
    <col min="4936" max="4936" width="6.85546875" style="396" customWidth="1"/>
    <col min="4937" max="4937" width="5.42578125" style="396" customWidth="1"/>
    <col min="4938" max="5132" width="17.85546875" style="396"/>
    <col min="5133" max="5133" width="18.7109375" style="396" customWidth="1"/>
    <col min="5134" max="5134" width="1.7109375" style="396" customWidth="1"/>
    <col min="5135" max="5135" width="0.85546875" style="396" customWidth="1"/>
    <col min="5136" max="5156" width="0" style="396" hidden="1" customWidth="1"/>
    <col min="5157" max="5168" width="8.7109375" style="396" customWidth="1"/>
    <col min="5169" max="5172" width="0" style="396" hidden="1" customWidth="1"/>
    <col min="5173" max="5173" width="45.140625" style="396" customWidth="1"/>
    <col min="5174" max="5177" width="17.85546875" style="396"/>
    <col min="5178" max="5186" width="5.42578125" style="396" customWidth="1"/>
    <col min="5187" max="5191" width="6" style="396" customWidth="1"/>
    <col min="5192" max="5192" width="6.85546875" style="396" customWidth="1"/>
    <col min="5193" max="5193" width="5.42578125" style="396" customWidth="1"/>
    <col min="5194" max="5388" width="17.85546875" style="396"/>
    <col min="5389" max="5389" width="18.7109375" style="396" customWidth="1"/>
    <col min="5390" max="5390" width="1.7109375" style="396" customWidth="1"/>
    <col min="5391" max="5391" width="0.85546875" style="396" customWidth="1"/>
    <col min="5392" max="5412" width="0" style="396" hidden="1" customWidth="1"/>
    <col min="5413" max="5424" width="8.7109375" style="396" customWidth="1"/>
    <col min="5425" max="5428" width="0" style="396" hidden="1" customWidth="1"/>
    <col min="5429" max="5429" width="45.140625" style="396" customWidth="1"/>
    <col min="5430" max="5433" width="17.85546875" style="396"/>
    <col min="5434" max="5442" width="5.42578125" style="396" customWidth="1"/>
    <col min="5443" max="5447" width="6" style="396" customWidth="1"/>
    <col min="5448" max="5448" width="6.85546875" style="396" customWidth="1"/>
    <col min="5449" max="5449" width="5.42578125" style="396" customWidth="1"/>
    <col min="5450" max="5644" width="17.85546875" style="396"/>
    <col min="5645" max="5645" width="18.7109375" style="396" customWidth="1"/>
    <col min="5646" max="5646" width="1.7109375" style="396" customWidth="1"/>
    <col min="5647" max="5647" width="0.85546875" style="396" customWidth="1"/>
    <col min="5648" max="5668" width="0" style="396" hidden="1" customWidth="1"/>
    <col min="5669" max="5680" width="8.7109375" style="396" customWidth="1"/>
    <col min="5681" max="5684" width="0" style="396" hidden="1" customWidth="1"/>
    <col min="5685" max="5685" width="45.140625" style="396" customWidth="1"/>
    <col min="5686" max="5689" width="17.85546875" style="396"/>
    <col min="5690" max="5698" width="5.42578125" style="396" customWidth="1"/>
    <col min="5699" max="5703" width="6" style="396" customWidth="1"/>
    <col min="5704" max="5704" width="6.85546875" style="396" customWidth="1"/>
    <col min="5705" max="5705" width="5.42578125" style="396" customWidth="1"/>
    <col min="5706" max="5900" width="17.85546875" style="396"/>
    <col min="5901" max="5901" width="18.7109375" style="396" customWidth="1"/>
    <col min="5902" max="5902" width="1.7109375" style="396" customWidth="1"/>
    <col min="5903" max="5903" width="0.85546875" style="396" customWidth="1"/>
    <col min="5904" max="5924" width="0" style="396" hidden="1" customWidth="1"/>
    <col min="5925" max="5936" width="8.7109375" style="396" customWidth="1"/>
    <col min="5937" max="5940" width="0" style="396" hidden="1" customWidth="1"/>
    <col min="5941" max="5941" width="45.140625" style="396" customWidth="1"/>
    <col min="5942" max="5945" width="17.85546875" style="396"/>
    <col min="5946" max="5954" width="5.42578125" style="396" customWidth="1"/>
    <col min="5955" max="5959" width="6" style="396" customWidth="1"/>
    <col min="5960" max="5960" width="6.85546875" style="396" customWidth="1"/>
    <col min="5961" max="5961" width="5.42578125" style="396" customWidth="1"/>
    <col min="5962" max="6156" width="17.85546875" style="396"/>
    <col min="6157" max="6157" width="18.7109375" style="396" customWidth="1"/>
    <col min="6158" max="6158" width="1.7109375" style="396" customWidth="1"/>
    <col min="6159" max="6159" width="0.85546875" style="396" customWidth="1"/>
    <col min="6160" max="6180" width="0" style="396" hidden="1" customWidth="1"/>
    <col min="6181" max="6192" width="8.7109375" style="396" customWidth="1"/>
    <col min="6193" max="6196" width="0" style="396" hidden="1" customWidth="1"/>
    <col min="6197" max="6197" width="45.140625" style="396" customWidth="1"/>
    <col min="6198" max="6201" width="17.85546875" style="396"/>
    <col min="6202" max="6210" width="5.42578125" style="396" customWidth="1"/>
    <col min="6211" max="6215" width="6" style="396" customWidth="1"/>
    <col min="6216" max="6216" width="6.85546875" style="396" customWidth="1"/>
    <col min="6217" max="6217" width="5.42578125" style="396" customWidth="1"/>
    <col min="6218" max="6412" width="17.85546875" style="396"/>
    <col min="6413" max="6413" width="18.7109375" style="396" customWidth="1"/>
    <col min="6414" max="6414" width="1.7109375" style="396" customWidth="1"/>
    <col min="6415" max="6415" width="0.85546875" style="396" customWidth="1"/>
    <col min="6416" max="6436" width="0" style="396" hidden="1" customWidth="1"/>
    <col min="6437" max="6448" width="8.7109375" style="396" customWidth="1"/>
    <col min="6449" max="6452" width="0" style="396" hidden="1" customWidth="1"/>
    <col min="6453" max="6453" width="45.140625" style="396" customWidth="1"/>
    <col min="6454" max="6457" width="17.85546875" style="396"/>
    <col min="6458" max="6466" width="5.42578125" style="396" customWidth="1"/>
    <col min="6467" max="6471" width="6" style="396" customWidth="1"/>
    <col min="6472" max="6472" width="6.85546875" style="396" customWidth="1"/>
    <col min="6473" max="6473" width="5.42578125" style="396" customWidth="1"/>
    <col min="6474" max="6668" width="17.85546875" style="396"/>
    <col min="6669" max="6669" width="18.7109375" style="396" customWidth="1"/>
    <col min="6670" max="6670" width="1.7109375" style="396" customWidth="1"/>
    <col min="6671" max="6671" width="0.85546875" style="396" customWidth="1"/>
    <col min="6672" max="6692" width="0" style="396" hidden="1" customWidth="1"/>
    <col min="6693" max="6704" width="8.7109375" style="396" customWidth="1"/>
    <col min="6705" max="6708" width="0" style="396" hidden="1" customWidth="1"/>
    <col min="6709" max="6709" width="45.140625" style="396" customWidth="1"/>
    <col min="6710" max="6713" width="17.85546875" style="396"/>
    <col min="6714" max="6722" width="5.42578125" style="396" customWidth="1"/>
    <col min="6723" max="6727" width="6" style="396" customWidth="1"/>
    <col min="6728" max="6728" width="6.85546875" style="396" customWidth="1"/>
    <col min="6729" max="6729" width="5.42578125" style="396" customWidth="1"/>
    <col min="6730" max="6924" width="17.85546875" style="396"/>
    <col min="6925" max="6925" width="18.7109375" style="396" customWidth="1"/>
    <col min="6926" max="6926" width="1.7109375" style="396" customWidth="1"/>
    <col min="6927" max="6927" width="0.85546875" style="396" customWidth="1"/>
    <col min="6928" max="6948" width="0" style="396" hidden="1" customWidth="1"/>
    <col min="6949" max="6960" width="8.7109375" style="396" customWidth="1"/>
    <col min="6961" max="6964" width="0" style="396" hidden="1" customWidth="1"/>
    <col min="6965" max="6965" width="45.140625" style="396" customWidth="1"/>
    <col min="6966" max="6969" width="17.85546875" style="396"/>
    <col min="6970" max="6978" width="5.42578125" style="396" customWidth="1"/>
    <col min="6979" max="6983" width="6" style="396" customWidth="1"/>
    <col min="6984" max="6984" width="6.85546875" style="396" customWidth="1"/>
    <col min="6985" max="6985" width="5.42578125" style="396" customWidth="1"/>
    <col min="6986" max="7180" width="17.85546875" style="396"/>
    <col min="7181" max="7181" width="18.7109375" style="396" customWidth="1"/>
    <col min="7182" max="7182" width="1.7109375" style="396" customWidth="1"/>
    <col min="7183" max="7183" width="0.85546875" style="396" customWidth="1"/>
    <col min="7184" max="7204" width="0" style="396" hidden="1" customWidth="1"/>
    <col min="7205" max="7216" width="8.7109375" style="396" customWidth="1"/>
    <col min="7217" max="7220" width="0" style="396" hidden="1" customWidth="1"/>
    <col min="7221" max="7221" width="45.140625" style="396" customWidth="1"/>
    <col min="7222" max="7225" width="17.85546875" style="396"/>
    <col min="7226" max="7234" width="5.42578125" style="396" customWidth="1"/>
    <col min="7235" max="7239" width="6" style="396" customWidth="1"/>
    <col min="7240" max="7240" width="6.85546875" style="396" customWidth="1"/>
    <col min="7241" max="7241" width="5.42578125" style="396" customWidth="1"/>
    <col min="7242" max="7436" width="17.85546875" style="396"/>
    <col min="7437" max="7437" width="18.7109375" style="396" customWidth="1"/>
    <col min="7438" max="7438" width="1.7109375" style="396" customWidth="1"/>
    <col min="7439" max="7439" width="0.85546875" style="396" customWidth="1"/>
    <col min="7440" max="7460" width="0" style="396" hidden="1" customWidth="1"/>
    <col min="7461" max="7472" width="8.7109375" style="396" customWidth="1"/>
    <col min="7473" max="7476" width="0" style="396" hidden="1" customWidth="1"/>
    <col min="7477" max="7477" width="45.140625" style="396" customWidth="1"/>
    <col min="7478" max="7481" width="17.85546875" style="396"/>
    <col min="7482" max="7490" width="5.42578125" style="396" customWidth="1"/>
    <col min="7491" max="7495" width="6" style="396" customWidth="1"/>
    <col min="7496" max="7496" width="6.85546875" style="396" customWidth="1"/>
    <col min="7497" max="7497" width="5.42578125" style="396" customWidth="1"/>
    <col min="7498" max="7692" width="17.85546875" style="396"/>
    <col min="7693" max="7693" width="18.7109375" style="396" customWidth="1"/>
    <col min="7694" max="7694" width="1.7109375" style="396" customWidth="1"/>
    <col min="7695" max="7695" width="0.85546875" style="396" customWidth="1"/>
    <col min="7696" max="7716" width="0" style="396" hidden="1" customWidth="1"/>
    <col min="7717" max="7728" width="8.7109375" style="396" customWidth="1"/>
    <col min="7729" max="7732" width="0" style="396" hidden="1" customWidth="1"/>
    <col min="7733" max="7733" width="45.140625" style="396" customWidth="1"/>
    <col min="7734" max="7737" width="17.85546875" style="396"/>
    <col min="7738" max="7746" width="5.42578125" style="396" customWidth="1"/>
    <col min="7747" max="7751" width="6" style="396" customWidth="1"/>
    <col min="7752" max="7752" width="6.85546875" style="396" customWidth="1"/>
    <col min="7753" max="7753" width="5.42578125" style="396" customWidth="1"/>
    <col min="7754" max="7948" width="17.85546875" style="396"/>
    <col min="7949" max="7949" width="18.7109375" style="396" customWidth="1"/>
    <col min="7950" max="7950" width="1.7109375" style="396" customWidth="1"/>
    <col min="7951" max="7951" width="0.85546875" style="396" customWidth="1"/>
    <col min="7952" max="7972" width="0" style="396" hidden="1" customWidth="1"/>
    <col min="7973" max="7984" width="8.7109375" style="396" customWidth="1"/>
    <col min="7985" max="7988" width="0" style="396" hidden="1" customWidth="1"/>
    <col min="7989" max="7989" width="45.140625" style="396" customWidth="1"/>
    <col min="7990" max="7993" width="17.85546875" style="396"/>
    <col min="7994" max="8002" width="5.42578125" style="396" customWidth="1"/>
    <col min="8003" max="8007" width="6" style="396" customWidth="1"/>
    <col min="8008" max="8008" width="6.85546875" style="396" customWidth="1"/>
    <col min="8009" max="8009" width="5.42578125" style="396" customWidth="1"/>
    <col min="8010" max="8204" width="17.85546875" style="396"/>
    <col min="8205" max="8205" width="18.7109375" style="396" customWidth="1"/>
    <col min="8206" max="8206" width="1.7109375" style="396" customWidth="1"/>
    <col min="8207" max="8207" width="0.85546875" style="396" customWidth="1"/>
    <col min="8208" max="8228" width="0" style="396" hidden="1" customWidth="1"/>
    <col min="8229" max="8240" width="8.7109375" style="396" customWidth="1"/>
    <col min="8241" max="8244" width="0" style="396" hidden="1" customWidth="1"/>
    <col min="8245" max="8245" width="45.140625" style="396" customWidth="1"/>
    <col min="8246" max="8249" width="17.85546875" style="396"/>
    <col min="8250" max="8258" width="5.42578125" style="396" customWidth="1"/>
    <col min="8259" max="8263" width="6" style="396" customWidth="1"/>
    <col min="8264" max="8264" width="6.85546875" style="396" customWidth="1"/>
    <col min="8265" max="8265" width="5.42578125" style="396" customWidth="1"/>
    <col min="8266" max="8460" width="17.85546875" style="396"/>
    <col min="8461" max="8461" width="18.7109375" style="396" customWidth="1"/>
    <col min="8462" max="8462" width="1.7109375" style="396" customWidth="1"/>
    <col min="8463" max="8463" width="0.85546875" style="396" customWidth="1"/>
    <col min="8464" max="8484" width="0" style="396" hidden="1" customWidth="1"/>
    <col min="8485" max="8496" width="8.7109375" style="396" customWidth="1"/>
    <col min="8497" max="8500" width="0" style="396" hidden="1" customWidth="1"/>
    <col min="8501" max="8501" width="45.140625" style="396" customWidth="1"/>
    <col min="8502" max="8505" width="17.85546875" style="396"/>
    <col min="8506" max="8514" width="5.42578125" style="396" customWidth="1"/>
    <col min="8515" max="8519" width="6" style="396" customWidth="1"/>
    <col min="8520" max="8520" width="6.85546875" style="396" customWidth="1"/>
    <col min="8521" max="8521" width="5.42578125" style="396" customWidth="1"/>
    <col min="8522" max="8716" width="17.85546875" style="396"/>
    <col min="8717" max="8717" width="18.7109375" style="396" customWidth="1"/>
    <col min="8718" max="8718" width="1.7109375" style="396" customWidth="1"/>
    <col min="8719" max="8719" width="0.85546875" style="396" customWidth="1"/>
    <col min="8720" max="8740" width="0" style="396" hidden="1" customWidth="1"/>
    <col min="8741" max="8752" width="8.7109375" style="396" customWidth="1"/>
    <col min="8753" max="8756" width="0" style="396" hidden="1" customWidth="1"/>
    <col min="8757" max="8757" width="45.140625" style="396" customWidth="1"/>
    <col min="8758" max="8761" width="17.85546875" style="396"/>
    <col min="8762" max="8770" width="5.42578125" style="396" customWidth="1"/>
    <col min="8771" max="8775" width="6" style="396" customWidth="1"/>
    <col min="8776" max="8776" width="6.85546875" style="396" customWidth="1"/>
    <col min="8777" max="8777" width="5.42578125" style="396" customWidth="1"/>
    <col min="8778" max="8972" width="17.85546875" style="396"/>
    <col min="8973" max="8973" width="18.7109375" style="396" customWidth="1"/>
    <col min="8974" max="8974" width="1.7109375" style="396" customWidth="1"/>
    <col min="8975" max="8975" width="0.85546875" style="396" customWidth="1"/>
    <col min="8976" max="8996" width="0" style="396" hidden="1" customWidth="1"/>
    <col min="8997" max="9008" width="8.7109375" style="396" customWidth="1"/>
    <col min="9009" max="9012" width="0" style="396" hidden="1" customWidth="1"/>
    <col min="9013" max="9013" width="45.140625" style="396" customWidth="1"/>
    <col min="9014" max="9017" width="17.85546875" style="396"/>
    <col min="9018" max="9026" width="5.42578125" style="396" customWidth="1"/>
    <col min="9027" max="9031" width="6" style="396" customWidth="1"/>
    <col min="9032" max="9032" width="6.85546875" style="396" customWidth="1"/>
    <col min="9033" max="9033" width="5.42578125" style="396" customWidth="1"/>
    <col min="9034" max="9228" width="17.85546875" style="396"/>
    <col min="9229" max="9229" width="18.7109375" style="396" customWidth="1"/>
    <col min="9230" max="9230" width="1.7109375" style="396" customWidth="1"/>
    <col min="9231" max="9231" width="0.85546875" style="396" customWidth="1"/>
    <col min="9232" max="9252" width="0" style="396" hidden="1" customWidth="1"/>
    <col min="9253" max="9264" width="8.7109375" style="396" customWidth="1"/>
    <col min="9265" max="9268" width="0" style="396" hidden="1" customWidth="1"/>
    <col min="9269" max="9269" width="45.140625" style="396" customWidth="1"/>
    <col min="9270" max="9273" width="17.85546875" style="396"/>
    <col min="9274" max="9282" width="5.42578125" style="396" customWidth="1"/>
    <col min="9283" max="9287" width="6" style="396" customWidth="1"/>
    <col min="9288" max="9288" width="6.85546875" style="396" customWidth="1"/>
    <col min="9289" max="9289" width="5.42578125" style="396" customWidth="1"/>
    <col min="9290" max="9484" width="17.85546875" style="396"/>
    <col min="9485" max="9485" width="18.7109375" style="396" customWidth="1"/>
    <col min="9486" max="9486" width="1.7109375" style="396" customWidth="1"/>
    <col min="9487" max="9487" width="0.85546875" style="396" customWidth="1"/>
    <col min="9488" max="9508" width="0" style="396" hidden="1" customWidth="1"/>
    <col min="9509" max="9520" width="8.7109375" style="396" customWidth="1"/>
    <col min="9521" max="9524" width="0" style="396" hidden="1" customWidth="1"/>
    <col min="9525" max="9525" width="45.140625" style="396" customWidth="1"/>
    <col min="9526" max="9529" width="17.85546875" style="396"/>
    <col min="9530" max="9538" width="5.42578125" style="396" customWidth="1"/>
    <col min="9539" max="9543" width="6" style="396" customWidth="1"/>
    <col min="9544" max="9544" width="6.85546875" style="396" customWidth="1"/>
    <col min="9545" max="9545" width="5.42578125" style="396" customWidth="1"/>
    <col min="9546" max="9740" width="17.85546875" style="396"/>
    <col min="9741" max="9741" width="18.7109375" style="396" customWidth="1"/>
    <col min="9742" max="9742" width="1.7109375" style="396" customWidth="1"/>
    <col min="9743" max="9743" width="0.85546875" style="396" customWidth="1"/>
    <col min="9744" max="9764" width="0" style="396" hidden="1" customWidth="1"/>
    <col min="9765" max="9776" width="8.7109375" style="396" customWidth="1"/>
    <col min="9777" max="9780" width="0" style="396" hidden="1" customWidth="1"/>
    <col min="9781" max="9781" width="45.140625" style="396" customWidth="1"/>
    <col min="9782" max="9785" width="17.85546875" style="396"/>
    <col min="9786" max="9794" width="5.42578125" style="396" customWidth="1"/>
    <col min="9795" max="9799" width="6" style="396" customWidth="1"/>
    <col min="9800" max="9800" width="6.85546875" style="396" customWidth="1"/>
    <col min="9801" max="9801" width="5.42578125" style="396" customWidth="1"/>
    <col min="9802" max="9996" width="17.85546875" style="396"/>
    <col min="9997" max="9997" width="18.7109375" style="396" customWidth="1"/>
    <col min="9998" max="9998" width="1.7109375" style="396" customWidth="1"/>
    <col min="9999" max="9999" width="0.85546875" style="396" customWidth="1"/>
    <col min="10000" max="10020" width="0" style="396" hidden="1" customWidth="1"/>
    <col min="10021" max="10032" width="8.7109375" style="396" customWidth="1"/>
    <col min="10033" max="10036" width="0" style="396" hidden="1" customWidth="1"/>
    <col min="10037" max="10037" width="45.140625" style="396" customWidth="1"/>
    <col min="10038" max="10041" width="17.85546875" style="396"/>
    <col min="10042" max="10050" width="5.42578125" style="396" customWidth="1"/>
    <col min="10051" max="10055" width="6" style="396" customWidth="1"/>
    <col min="10056" max="10056" width="6.85546875" style="396" customWidth="1"/>
    <col min="10057" max="10057" width="5.42578125" style="396" customWidth="1"/>
    <col min="10058" max="10252" width="17.85546875" style="396"/>
    <col min="10253" max="10253" width="18.7109375" style="396" customWidth="1"/>
    <col min="10254" max="10254" width="1.7109375" style="396" customWidth="1"/>
    <col min="10255" max="10255" width="0.85546875" style="396" customWidth="1"/>
    <col min="10256" max="10276" width="0" style="396" hidden="1" customWidth="1"/>
    <col min="10277" max="10288" width="8.7109375" style="396" customWidth="1"/>
    <col min="10289" max="10292" width="0" style="396" hidden="1" customWidth="1"/>
    <col min="10293" max="10293" width="45.140625" style="396" customWidth="1"/>
    <col min="10294" max="10297" width="17.85546875" style="396"/>
    <col min="10298" max="10306" width="5.42578125" style="396" customWidth="1"/>
    <col min="10307" max="10311" width="6" style="396" customWidth="1"/>
    <col min="10312" max="10312" width="6.85546875" style="396" customWidth="1"/>
    <col min="10313" max="10313" width="5.42578125" style="396" customWidth="1"/>
    <col min="10314" max="10508" width="17.85546875" style="396"/>
    <col min="10509" max="10509" width="18.7109375" style="396" customWidth="1"/>
    <col min="10510" max="10510" width="1.7109375" style="396" customWidth="1"/>
    <col min="10511" max="10511" width="0.85546875" style="396" customWidth="1"/>
    <col min="10512" max="10532" width="0" style="396" hidden="1" customWidth="1"/>
    <col min="10533" max="10544" width="8.7109375" style="396" customWidth="1"/>
    <col min="10545" max="10548" width="0" style="396" hidden="1" customWidth="1"/>
    <col min="10549" max="10549" width="45.140625" style="396" customWidth="1"/>
    <col min="10550" max="10553" width="17.85546875" style="396"/>
    <col min="10554" max="10562" width="5.42578125" style="396" customWidth="1"/>
    <col min="10563" max="10567" width="6" style="396" customWidth="1"/>
    <col min="10568" max="10568" width="6.85546875" style="396" customWidth="1"/>
    <col min="10569" max="10569" width="5.42578125" style="396" customWidth="1"/>
    <col min="10570" max="10764" width="17.85546875" style="396"/>
    <col min="10765" max="10765" width="18.7109375" style="396" customWidth="1"/>
    <col min="10766" max="10766" width="1.7109375" style="396" customWidth="1"/>
    <col min="10767" max="10767" width="0.85546875" style="396" customWidth="1"/>
    <col min="10768" max="10788" width="0" style="396" hidden="1" customWidth="1"/>
    <col min="10789" max="10800" width="8.7109375" style="396" customWidth="1"/>
    <col min="10801" max="10804" width="0" style="396" hidden="1" customWidth="1"/>
    <col min="10805" max="10805" width="45.140625" style="396" customWidth="1"/>
    <col min="10806" max="10809" width="17.85546875" style="396"/>
    <col min="10810" max="10818" width="5.42578125" style="396" customWidth="1"/>
    <col min="10819" max="10823" width="6" style="396" customWidth="1"/>
    <col min="10824" max="10824" width="6.85546875" style="396" customWidth="1"/>
    <col min="10825" max="10825" width="5.42578125" style="396" customWidth="1"/>
    <col min="10826" max="11020" width="17.85546875" style="396"/>
    <col min="11021" max="11021" width="18.7109375" style="396" customWidth="1"/>
    <col min="11022" max="11022" width="1.7109375" style="396" customWidth="1"/>
    <col min="11023" max="11023" width="0.85546875" style="396" customWidth="1"/>
    <col min="11024" max="11044" width="0" style="396" hidden="1" customWidth="1"/>
    <col min="11045" max="11056" width="8.7109375" style="396" customWidth="1"/>
    <col min="11057" max="11060" width="0" style="396" hidden="1" customWidth="1"/>
    <col min="11061" max="11061" width="45.140625" style="396" customWidth="1"/>
    <col min="11062" max="11065" width="17.85546875" style="396"/>
    <col min="11066" max="11074" width="5.42578125" style="396" customWidth="1"/>
    <col min="11075" max="11079" width="6" style="396" customWidth="1"/>
    <col min="11080" max="11080" width="6.85546875" style="396" customWidth="1"/>
    <col min="11081" max="11081" width="5.42578125" style="396" customWidth="1"/>
    <col min="11082" max="11276" width="17.85546875" style="396"/>
    <col min="11277" max="11277" width="18.7109375" style="396" customWidth="1"/>
    <col min="11278" max="11278" width="1.7109375" style="396" customWidth="1"/>
    <col min="11279" max="11279" width="0.85546875" style="396" customWidth="1"/>
    <col min="11280" max="11300" width="0" style="396" hidden="1" customWidth="1"/>
    <col min="11301" max="11312" width="8.7109375" style="396" customWidth="1"/>
    <col min="11313" max="11316" width="0" style="396" hidden="1" customWidth="1"/>
    <col min="11317" max="11317" width="45.140625" style="396" customWidth="1"/>
    <col min="11318" max="11321" width="17.85546875" style="396"/>
    <col min="11322" max="11330" width="5.42578125" style="396" customWidth="1"/>
    <col min="11331" max="11335" width="6" style="396" customWidth="1"/>
    <col min="11336" max="11336" width="6.85546875" style="396" customWidth="1"/>
    <col min="11337" max="11337" width="5.42578125" style="396" customWidth="1"/>
    <col min="11338" max="11532" width="17.85546875" style="396"/>
    <col min="11533" max="11533" width="18.7109375" style="396" customWidth="1"/>
    <col min="11534" max="11534" width="1.7109375" style="396" customWidth="1"/>
    <col min="11535" max="11535" width="0.85546875" style="396" customWidth="1"/>
    <col min="11536" max="11556" width="0" style="396" hidden="1" customWidth="1"/>
    <col min="11557" max="11568" width="8.7109375" style="396" customWidth="1"/>
    <col min="11569" max="11572" width="0" style="396" hidden="1" customWidth="1"/>
    <col min="11573" max="11573" width="45.140625" style="396" customWidth="1"/>
    <col min="11574" max="11577" width="17.85546875" style="396"/>
    <col min="11578" max="11586" width="5.42578125" style="396" customWidth="1"/>
    <col min="11587" max="11591" width="6" style="396" customWidth="1"/>
    <col min="11592" max="11592" width="6.85546875" style="396" customWidth="1"/>
    <col min="11593" max="11593" width="5.42578125" style="396" customWidth="1"/>
    <col min="11594" max="11788" width="17.85546875" style="396"/>
    <col min="11789" max="11789" width="18.7109375" style="396" customWidth="1"/>
    <col min="11790" max="11790" width="1.7109375" style="396" customWidth="1"/>
    <col min="11791" max="11791" width="0.85546875" style="396" customWidth="1"/>
    <col min="11792" max="11812" width="0" style="396" hidden="1" customWidth="1"/>
    <col min="11813" max="11824" width="8.7109375" style="396" customWidth="1"/>
    <col min="11825" max="11828" width="0" style="396" hidden="1" customWidth="1"/>
    <col min="11829" max="11829" width="45.140625" style="396" customWidth="1"/>
    <col min="11830" max="11833" width="17.85546875" style="396"/>
    <col min="11834" max="11842" width="5.42578125" style="396" customWidth="1"/>
    <col min="11843" max="11847" width="6" style="396" customWidth="1"/>
    <col min="11848" max="11848" width="6.85546875" style="396" customWidth="1"/>
    <col min="11849" max="11849" width="5.42578125" style="396" customWidth="1"/>
    <col min="11850" max="12044" width="17.85546875" style="396"/>
    <col min="12045" max="12045" width="18.7109375" style="396" customWidth="1"/>
    <col min="12046" max="12046" width="1.7109375" style="396" customWidth="1"/>
    <col min="12047" max="12047" width="0.85546875" style="396" customWidth="1"/>
    <col min="12048" max="12068" width="0" style="396" hidden="1" customWidth="1"/>
    <col min="12069" max="12080" width="8.7109375" style="396" customWidth="1"/>
    <col min="12081" max="12084" width="0" style="396" hidden="1" customWidth="1"/>
    <col min="12085" max="12085" width="45.140625" style="396" customWidth="1"/>
    <col min="12086" max="12089" width="17.85546875" style="396"/>
    <col min="12090" max="12098" width="5.42578125" style="396" customWidth="1"/>
    <col min="12099" max="12103" width="6" style="396" customWidth="1"/>
    <col min="12104" max="12104" width="6.85546875" style="396" customWidth="1"/>
    <col min="12105" max="12105" width="5.42578125" style="396" customWidth="1"/>
    <col min="12106" max="12300" width="17.85546875" style="396"/>
    <col min="12301" max="12301" width="18.7109375" style="396" customWidth="1"/>
    <col min="12302" max="12302" width="1.7109375" style="396" customWidth="1"/>
    <col min="12303" max="12303" width="0.85546875" style="396" customWidth="1"/>
    <col min="12304" max="12324" width="0" style="396" hidden="1" customWidth="1"/>
    <col min="12325" max="12336" width="8.7109375" style="396" customWidth="1"/>
    <col min="12337" max="12340" width="0" style="396" hidden="1" customWidth="1"/>
    <col min="12341" max="12341" width="45.140625" style="396" customWidth="1"/>
    <col min="12342" max="12345" width="17.85546875" style="396"/>
    <col min="12346" max="12354" width="5.42578125" style="396" customWidth="1"/>
    <col min="12355" max="12359" width="6" style="396" customWidth="1"/>
    <col min="12360" max="12360" width="6.85546875" style="396" customWidth="1"/>
    <col min="12361" max="12361" width="5.42578125" style="396" customWidth="1"/>
    <col min="12362" max="12556" width="17.85546875" style="396"/>
    <col min="12557" max="12557" width="18.7109375" style="396" customWidth="1"/>
    <col min="12558" max="12558" width="1.7109375" style="396" customWidth="1"/>
    <col min="12559" max="12559" width="0.85546875" style="396" customWidth="1"/>
    <col min="12560" max="12580" width="0" style="396" hidden="1" customWidth="1"/>
    <col min="12581" max="12592" width="8.7109375" style="396" customWidth="1"/>
    <col min="12593" max="12596" width="0" style="396" hidden="1" customWidth="1"/>
    <col min="12597" max="12597" width="45.140625" style="396" customWidth="1"/>
    <col min="12598" max="12601" width="17.85546875" style="396"/>
    <col min="12602" max="12610" width="5.42578125" style="396" customWidth="1"/>
    <col min="12611" max="12615" width="6" style="396" customWidth="1"/>
    <col min="12616" max="12616" width="6.85546875" style="396" customWidth="1"/>
    <col min="12617" max="12617" width="5.42578125" style="396" customWidth="1"/>
    <col min="12618" max="12812" width="17.85546875" style="396"/>
    <col min="12813" max="12813" width="18.7109375" style="396" customWidth="1"/>
    <col min="12814" max="12814" width="1.7109375" style="396" customWidth="1"/>
    <col min="12815" max="12815" width="0.85546875" style="396" customWidth="1"/>
    <col min="12816" max="12836" width="0" style="396" hidden="1" customWidth="1"/>
    <col min="12837" max="12848" width="8.7109375" style="396" customWidth="1"/>
    <col min="12849" max="12852" width="0" style="396" hidden="1" customWidth="1"/>
    <col min="12853" max="12853" width="45.140625" style="396" customWidth="1"/>
    <col min="12854" max="12857" width="17.85546875" style="396"/>
    <col min="12858" max="12866" width="5.42578125" style="396" customWidth="1"/>
    <col min="12867" max="12871" width="6" style="396" customWidth="1"/>
    <col min="12872" max="12872" width="6.85546875" style="396" customWidth="1"/>
    <col min="12873" max="12873" width="5.42578125" style="396" customWidth="1"/>
    <col min="12874" max="13068" width="17.85546875" style="396"/>
    <col min="13069" max="13069" width="18.7109375" style="396" customWidth="1"/>
    <col min="13070" max="13070" width="1.7109375" style="396" customWidth="1"/>
    <col min="13071" max="13071" width="0.85546875" style="396" customWidth="1"/>
    <col min="13072" max="13092" width="0" style="396" hidden="1" customWidth="1"/>
    <col min="13093" max="13104" width="8.7109375" style="396" customWidth="1"/>
    <col min="13105" max="13108" width="0" style="396" hidden="1" customWidth="1"/>
    <col min="13109" max="13109" width="45.140625" style="396" customWidth="1"/>
    <col min="13110" max="13113" width="17.85546875" style="396"/>
    <col min="13114" max="13122" width="5.42578125" style="396" customWidth="1"/>
    <col min="13123" max="13127" width="6" style="396" customWidth="1"/>
    <col min="13128" max="13128" width="6.85546875" style="396" customWidth="1"/>
    <col min="13129" max="13129" width="5.42578125" style="396" customWidth="1"/>
    <col min="13130" max="13324" width="17.85546875" style="396"/>
    <col min="13325" max="13325" width="18.7109375" style="396" customWidth="1"/>
    <col min="13326" max="13326" width="1.7109375" style="396" customWidth="1"/>
    <col min="13327" max="13327" width="0.85546875" style="396" customWidth="1"/>
    <col min="13328" max="13348" width="0" style="396" hidden="1" customWidth="1"/>
    <col min="13349" max="13360" width="8.7109375" style="396" customWidth="1"/>
    <col min="13361" max="13364" width="0" style="396" hidden="1" customWidth="1"/>
    <col min="13365" max="13365" width="45.140625" style="396" customWidth="1"/>
    <col min="13366" max="13369" width="17.85546875" style="396"/>
    <col min="13370" max="13378" width="5.42578125" style="396" customWidth="1"/>
    <col min="13379" max="13383" width="6" style="396" customWidth="1"/>
    <col min="13384" max="13384" width="6.85546875" style="396" customWidth="1"/>
    <col min="13385" max="13385" width="5.42578125" style="396" customWidth="1"/>
    <col min="13386" max="13580" width="17.85546875" style="396"/>
    <col min="13581" max="13581" width="18.7109375" style="396" customWidth="1"/>
    <col min="13582" max="13582" width="1.7109375" style="396" customWidth="1"/>
    <col min="13583" max="13583" width="0.85546875" style="396" customWidth="1"/>
    <col min="13584" max="13604" width="0" style="396" hidden="1" customWidth="1"/>
    <col min="13605" max="13616" width="8.7109375" style="396" customWidth="1"/>
    <col min="13617" max="13620" width="0" style="396" hidden="1" customWidth="1"/>
    <col min="13621" max="13621" width="45.140625" style="396" customWidth="1"/>
    <col min="13622" max="13625" width="17.85546875" style="396"/>
    <col min="13626" max="13634" width="5.42578125" style="396" customWidth="1"/>
    <col min="13635" max="13639" width="6" style="396" customWidth="1"/>
    <col min="13640" max="13640" width="6.85546875" style="396" customWidth="1"/>
    <col min="13641" max="13641" width="5.42578125" style="396" customWidth="1"/>
    <col min="13642" max="13836" width="17.85546875" style="396"/>
    <col min="13837" max="13837" width="18.7109375" style="396" customWidth="1"/>
    <col min="13838" max="13838" width="1.7109375" style="396" customWidth="1"/>
    <col min="13839" max="13839" width="0.85546875" style="396" customWidth="1"/>
    <col min="13840" max="13860" width="0" style="396" hidden="1" customWidth="1"/>
    <col min="13861" max="13872" width="8.7109375" style="396" customWidth="1"/>
    <col min="13873" max="13876" width="0" style="396" hidden="1" customWidth="1"/>
    <col min="13877" max="13877" width="45.140625" style="396" customWidth="1"/>
    <col min="13878" max="13881" width="17.85546875" style="396"/>
    <col min="13882" max="13890" width="5.42578125" style="396" customWidth="1"/>
    <col min="13891" max="13895" width="6" style="396" customWidth="1"/>
    <col min="13896" max="13896" width="6.85546875" style="396" customWidth="1"/>
    <col min="13897" max="13897" width="5.42578125" style="396" customWidth="1"/>
    <col min="13898" max="14092" width="17.85546875" style="396"/>
    <col min="14093" max="14093" width="18.7109375" style="396" customWidth="1"/>
    <col min="14094" max="14094" width="1.7109375" style="396" customWidth="1"/>
    <col min="14095" max="14095" width="0.85546875" style="396" customWidth="1"/>
    <col min="14096" max="14116" width="0" style="396" hidden="1" customWidth="1"/>
    <col min="14117" max="14128" width="8.7109375" style="396" customWidth="1"/>
    <col min="14129" max="14132" width="0" style="396" hidden="1" customWidth="1"/>
    <col min="14133" max="14133" width="45.140625" style="396" customWidth="1"/>
    <col min="14134" max="14137" width="17.85546875" style="396"/>
    <col min="14138" max="14146" width="5.42578125" style="396" customWidth="1"/>
    <col min="14147" max="14151" width="6" style="396" customWidth="1"/>
    <col min="14152" max="14152" width="6.85546875" style="396" customWidth="1"/>
    <col min="14153" max="14153" width="5.42578125" style="396" customWidth="1"/>
    <col min="14154" max="14348" width="17.85546875" style="396"/>
    <col min="14349" max="14349" width="18.7109375" style="396" customWidth="1"/>
    <col min="14350" max="14350" width="1.7109375" style="396" customWidth="1"/>
    <col min="14351" max="14351" width="0.85546875" style="396" customWidth="1"/>
    <col min="14352" max="14372" width="0" style="396" hidden="1" customWidth="1"/>
    <col min="14373" max="14384" width="8.7109375" style="396" customWidth="1"/>
    <col min="14385" max="14388" width="0" style="396" hidden="1" customWidth="1"/>
    <col min="14389" max="14389" width="45.140625" style="396" customWidth="1"/>
    <col min="14390" max="14393" width="17.85546875" style="396"/>
    <col min="14394" max="14402" width="5.42578125" style="396" customWidth="1"/>
    <col min="14403" max="14407" width="6" style="396" customWidth="1"/>
    <col min="14408" max="14408" width="6.85546875" style="396" customWidth="1"/>
    <col min="14409" max="14409" width="5.42578125" style="396" customWidth="1"/>
    <col min="14410" max="14604" width="17.85546875" style="396"/>
    <col min="14605" max="14605" width="18.7109375" style="396" customWidth="1"/>
    <col min="14606" max="14606" width="1.7109375" style="396" customWidth="1"/>
    <col min="14607" max="14607" width="0.85546875" style="396" customWidth="1"/>
    <col min="14608" max="14628" width="0" style="396" hidden="1" customWidth="1"/>
    <col min="14629" max="14640" width="8.7109375" style="396" customWidth="1"/>
    <col min="14641" max="14644" width="0" style="396" hidden="1" customWidth="1"/>
    <col min="14645" max="14645" width="45.140625" style="396" customWidth="1"/>
    <col min="14646" max="14649" width="17.85546875" style="396"/>
    <col min="14650" max="14658" width="5.42578125" style="396" customWidth="1"/>
    <col min="14659" max="14663" width="6" style="396" customWidth="1"/>
    <col min="14664" max="14664" width="6.85546875" style="396" customWidth="1"/>
    <col min="14665" max="14665" width="5.42578125" style="396" customWidth="1"/>
    <col min="14666" max="14860" width="17.85546875" style="396"/>
    <col min="14861" max="14861" width="18.7109375" style="396" customWidth="1"/>
    <col min="14862" max="14862" width="1.7109375" style="396" customWidth="1"/>
    <col min="14863" max="14863" width="0.85546875" style="396" customWidth="1"/>
    <col min="14864" max="14884" width="0" style="396" hidden="1" customWidth="1"/>
    <col min="14885" max="14896" width="8.7109375" style="396" customWidth="1"/>
    <col min="14897" max="14900" width="0" style="396" hidden="1" customWidth="1"/>
    <col min="14901" max="14901" width="45.140625" style="396" customWidth="1"/>
    <col min="14902" max="14905" width="17.85546875" style="396"/>
    <col min="14906" max="14914" width="5.42578125" style="396" customWidth="1"/>
    <col min="14915" max="14919" width="6" style="396" customWidth="1"/>
    <col min="14920" max="14920" width="6.85546875" style="396" customWidth="1"/>
    <col min="14921" max="14921" width="5.42578125" style="396" customWidth="1"/>
    <col min="14922" max="15116" width="17.85546875" style="396"/>
    <col min="15117" max="15117" width="18.7109375" style="396" customWidth="1"/>
    <col min="15118" max="15118" width="1.7109375" style="396" customWidth="1"/>
    <col min="15119" max="15119" width="0.85546875" style="396" customWidth="1"/>
    <col min="15120" max="15140" width="0" style="396" hidden="1" customWidth="1"/>
    <col min="15141" max="15152" width="8.7109375" style="396" customWidth="1"/>
    <col min="15153" max="15156" width="0" style="396" hidden="1" customWidth="1"/>
    <col min="15157" max="15157" width="45.140625" style="396" customWidth="1"/>
    <col min="15158" max="15161" width="17.85546875" style="396"/>
    <col min="15162" max="15170" width="5.42578125" style="396" customWidth="1"/>
    <col min="15171" max="15175" width="6" style="396" customWidth="1"/>
    <col min="15176" max="15176" width="6.85546875" style="396" customWidth="1"/>
    <col min="15177" max="15177" width="5.42578125" style="396" customWidth="1"/>
    <col min="15178" max="15372" width="17.85546875" style="396"/>
    <col min="15373" max="15373" width="18.7109375" style="396" customWidth="1"/>
    <col min="15374" max="15374" width="1.7109375" style="396" customWidth="1"/>
    <col min="15375" max="15375" width="0.85546875" style="396" customWidth="1"/>
    <col min="15376" max="15396" width="0" style="396" hidden="1" customWidth="1"/>
    <col min="15397" max="15408" width="8.7109375" style="396" customWidth="1"/>
    <col min="15409" max="15412" width="0" style="396" hidden="1" customWidth="1"/>
    <col min="15413" max="15413" width="45.140625" style="396" customWidth="1"/>
    <col min="15414" max="15417" width="17.85546875" style="396"/>
    <col min="15418" max="15426" width="5.42578125" style="396" customWidth="1"/>
    <col min="15427" max="15431" width="6" style="396" customWidth="1"/>
    <col min="15432" max="15432" width="6.85546875" style="396" customWidth="1"/>
    <col min="15433" max="15433" width="5.42578125" style="396" customWidth="1"/>
    <col min="15434" max="15628" width="17.85546875" style="396"/>
    <col min="15629" max="15629" width="18.7109375" style="396" customWidth="1"/>
    <col min="15630" max="15630" width="1.7109375" style="396" customWidth="1"/>
    <col min="15631" max="15631" width="0.85546875" style="396" customWidth="1"/>
    <col min="15632" max="15652" width="0" style="396" hidden="1" customWidth="1"/>
    <col min="15653" max="15664" width="8.7109375" style="396" customWidth="1"/>
    <col min="15665" max="15668" width="0" style="396" hidden="1" customWidth="1"/>
    <col min="15669" max="15669" width="45.140625" style="396" customWidth="1"/>
    <col min="15670" max="15673" width="17.85546875" style="396"/>
    <col min="15674" max="15682" width="5.42578125" style="396" customWidth="1"/>
    <col min="15683" max="15687" width="6" style="396" customWidth="1"/>
    <col min="15688" max="15688" width="6.85546875" style="396" customWidth="1"/>
    <col min="15689" max="15689" width="5.42578125" style="396" customWidth="1"/>
    <col min="15690" max="15884" width="17.85546875" style="396"/>
    <col min="15885" max="15885" width="18.7109375" style="396" customWidth="1"/>
    <col min="15886" max="15886" width="1.7109375" style="396" customWidth="1"/>
    <col min="15887" max="15887" width="0.85546875" style="396" customWidth="1"/>
    <col min="15888" max="15908" width="0" style="396" hidden="1" customWidth="1"/>
    <col min="15909" max="15920" width="8.7109375" style="396" customWidth="1"/>
    <col min="15921" max="15924" width="0" style="396" hidden="1" customWidth="1"/>
    <col min="15925" max="15925" width="45.140625" style="396" customWidth="1"/>
    <col min="15926" max="15929" width="17.85546875" style="396"/>
    <col min="15930" max="15938" width="5.42578125" style="396" customWidth="1"/>
    <col min="15939" max="15943" width="6" style="396" customWidth="1"/>
    <col min="15944" max="15944" width="6.85546875" style="396" customWidth="1"/>
    <col min="15945" max="15945" width="5.42578125" style="396" customWidth="1"/>
    <col min="15946" max="16140" width="17.85546875" style="396"/>
    <col min="16141" max="16141" width="18.7109375" style="396" customWidth="1"/>
    <col min="16142" max="16142" width="1.7109375" style="396" customWidth="1"/>
    <col min="16143" max="16143" width="0.85546875" style="396" customWidth="1"/>
    <col min="16144" max="16164" width="0" style="396" hidden="1" customWidth="1"/>
    <col min="16165" max="16176" width="8.7109375" style="396" customWidth="1"/>
    <col min="16177" max="16180" width="0" style="396" hidden="1" customWidth="1"/>
    <col min="16181" max="16181" width="45.140625" style="396" customWidth="1"/>
    <col min="16182" max="16185" width="17.85546875" style="396"/>
    <col min="16186" max="16194" width="5.42578125" style="396" customWidth="1"/>
    <col min="16195" max="16199" width="6" style="396" customWidth="1"/>
    <col min="16200" max="16200" width="6.85546875" style="396" customWidth="1"/>
    <col min="16201" max="16201" width="5.42578125" style="396" customWidth="1"/>
    <col min="16202" max="16384" width="17.85546875" style="396"/>
  </cols>
  <sheetData>
    <row r="1" spans="1:57" ht="15.75">
      <c r="A1" s="1414" t="s">
        <v>1187</v>
      </c>
      <c r="B1" s="1414"/>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c r="AD1" s="1414"/>
      <c r="AE1" s="1414"/>
      <c r="AF1" s="1414"/>
      <c r="AG1" s="1414"/>
      <c r="AH1" s="1414"/>
      <c r="AI1" s="1414"/>
      <c r="AJ1" s="1414"/>
      <c r="AK1" s="1414"/>
      <c r="AL1" s="1414"/>
      <c r="AM1" s="1414"/>
      <c r="AN1" s="1414"/>
      <c r="AO1" s="1414"/>
      <c r="AP1" s="1414"/>
      <c r="AQ1" s="1414"/>
      <c r="AR1" s="1414"/>
      <c r="AS1" s="1414"/>
      <c r="AT1" s="1414"/>
      <c r="AU1" s="1414"/>
      <c r="AV1" s="1414"/>
      <c r="AW1" s="1414"/>
      <c r="AX1" s="1414"/>
      <c r="AY1" s="1414"/>
      <c r="AZ1" s="1414"/>
      <c r="BA1" s="1414"/>
    </row>
    <row r="2" spans="1:57" ht="21.75" customHeight="1">
      <c r="A2" s="1415" t="s">
        <v>1186</v>
      </c>
      <c r="B2" s="1415"/>
      <c r="C2" s="1415"/>
      <c r="D2" s="1415"/>
      <c r="E2" s="1415"/>
      <c r="F2" s="1415"/>
      <c r="G2" s="1415"/>
      <c r="H2" s="1415"/>
      <c r="I2" s="1415"/>
      <c r="J2" s="1415"/>
      <c r="K2" s="1415"/>
      <c r="L2" s="1415"/>
      <c r="M2" s="1415"/>
      <c r="N2" s="1415"/>
      <c r="O2" s="1415"/>
      <c r="P2" s="1415"/>
      <c r="Q2" s="1415"/>
      <c r="R2" s="1415"/>
      <c r="S2" s="1415"/>
      <c r="T2" s="1415"/>
      <c r="U2" s="1415"/>
      <c r="V2" s="1415"/>
      <c r="W2" s="1415"/>
      <c r="X2" s="1415"/>
      <c r="Y2" s="1415"/>
      <c r="Z2" s="1415"/>
      <c r="AA2" s="1415"/>
      <c r="AB2" s="1415"/>
      <c r="AC2" s="1415"/>
      <c r="AD2" s="1415"/>
      <c r="AE2" s="1415"/>
      <c r="AF2" s="1415"/>
      <c r="AG2" s="1415"/>
      <c r="AH2" s="1415"/>
      <c r="AI2" s="1415"/>
      <c r="AJ2" s="1415"/>
      <c r="AK2" s="1415"/>
      <c r="AL2" s="1415"/>
      <c r="AM2" s="1415"/>
      <c r="AN2" s="1415"/>
      <c r="AO2" s="1415"/>
      <c r="AP2" s="1415"/>
      <c r="AQ2" s="1415"/>
      <c r="AR2" s="1415"/>
      <c r="AS2" s="1415"/>
      <c r="AT2" s="1415"/>
      <c r="AU2" s="1415"/>
      <c r="AV2" s="1415"/>
      <c r="AW2" s="1415"/>
      <c r="AX2" s="1415"/>
      <c r="AY2" s="1415"/>
      <c r="AZ2" s="1415"/>
      <c r="BA2" s="1415"/>
    </row>
    <row r="3" spans="1:57" s="400" customFormat="1" ht="15" customHeight="1">
      <c r="A3" s="1416" t="s">
        <v>736</v>
      </c>
      <c r="B3" s="397"/>
      <c r="C3" s="398"/>
      <c r="D3" s="1418">
        <v>2011</v>
      </c>
      <c r="E3" s="1418"/>
      <c r="F3" s="1418"/>
      <c r="G3" s="1418"/>
      <c r="H3" s="398"/>
      <c r="I3" s="399"/>
      <c r="J3" s="1418">
        <v>2012</v>
      </c>
      <c r="K3" s="1418"/>
      <c r="L3" s="1418"/>
      <c r="M3" s="1418"/>
      <c r="N3" s="398"/>
      <c r="O3" s="1418">
        <v>2013</v>
      </c>
      <c r="P3" s="1418"/>
      <c r="Q3" s="1418"/>
      <c r="R3" s="1418"/>
      <c r="S3" s="398"/>
      <c r="T3" s="1418">
        <v>2014</v>
      </c>
      <c r="U3" s="1418"/>
      <c r="V3" s="1418"/>
      <c r="W3" s="1418"/>
      <c r="X3" s="398"/>
      <c r="Y3" s="1419">
        <v>2015</v>
      </c>
      <c r="Z3" s="1418"/>
      <c r="AA3" s="1418"/>
      <c r="AB3" s="1418"/>
      <c r="AC3" s="1419">
        <v>2016</v>
      </c>
      <c r="AD3" s="1418"/>
      <c r="AE3" s="1418"/>
      <c r="AF3" s="1418"/>
      <c r="AG3" s="1419">
        <v>2017</v>
      </c>
      <c r="AH3" s="1418"/>
      <c r="AI3" s="1418"/>
      <c r="AJ3" s="1418"/>
      <c r="AK3" s="1419">
        <v>2018</v>
      </c>
      <c r="AL3" s="1418"/>
      <c r="AM3" s="1418"/>
      <c r="AN3" s="1418"/>
      <c r="AO3" s="1419">
        <v>2019</v>
      </c>
      <c r="AP3" s="1418"/>
      <c r="AQ3" s="1418"/>
      <c r="AR3" s="1418"/>
      <c r="AS3" s="1419">
        <v>2020</v>
      </c>
      <c r="AT3" s="1418"/>
      <c r="AU3" s="1418"/>
      <c r="AV3" s="1418"/>
      <c r="AW3" s="1419" t="s">
        <v>1195</v>
      </c>
      <c r="AX3" s="1418"/>
      <c r="AY3" s="1418"/>
      <c r="AZ3" s="1418"/>
      <c r="BA3" s="1411" t="s">
        <v>737</v>
      </c>
    </row>
    <row r="4" spans="1:57" s="400" customFormat="1" ht="21" customHeight="1">
      <c r="A4" s="1417"/>
      <c r="B4" s="401"/>
      <c r="C4" s="401"/>
      <c r="D4" s="401" t="s">
        <v>169</v>
      </c>
      <c r="E4" s="401" t="s">
        <v>637</v>
      </c>
      <c r="F4" s="401" t="s">
        <v>639</v>
      </c>
      <c r="G4" s="401" t="s">
        <v>738</v>
      </c>
      <c r="H4" s="401"/>
      <c r="I4" s="402"/>
      <c r="J4" s="403" t="s">
        <v>169</v>
      </c>
      <c r="K4" s="403" t="s">
        <v>637</v>
      </c>
      <c r="L4" s="403" t="s">
        <v>639</v>
      </c>
      <c r="M4" s="403" t="s">
        <v>738</v>
      </c>
      <c r="N4" s="403"/>
      <c r="O4" s="404" t="s">
        <v>169</v>
      </c>
      <c r="P4" s="404" t="s">
        <v>637</v>
      </c>
      <c r="Q4" s="404" t="s">
        <v>639</v>
      </c>
      <c r="R4" s="404" t="s">
        <v>738</v>
      </c>
      <c r="S4" s="404"/>
      <c r="T4" s="404" t="s">
        <v>169</v>
      </c>
      <c r="U4" s="404" t="s">
        <v>637</v>
      </c>
      <c r="V4" s="404" t="s">
        <v>639</v>
      </c>
      <c r="W4" s="404" t="s">
        <v>738</v>
      </c>
      <c r="X4" s="404"/>
      <c r="Y4" s="405" t="s">
        <v>169</v>
      </c>
      <c r="Z4" s="404" t="s">
        <v>637</v>
      </c>
      <c r="AA4" s="404" t="s">
        <v>639</v>
      </c>
      <c r="AB4" s="404" t="s">
        <v>738</v>
      </c>
      <c r="AC4" s="405" t="s">
        <v>169</v>
      </c>
      <c r="AD4" s="404" t="s">
        <v>637</v>
      </c>
      <c r="AE4" s="404" t="s">
        <v>639</v>
      </c>
      <c r="AF4" s="404" t="s">
        <v>738</v>
      </c>
      <c r="AG4" s="405" t="s">
        <v>169</v>
      </c>
      <c r="AH4" s="404" t="s">
        <v>637</v>
      </c>
      <c r="AI4" s="404" t="s">
        <v>639</v>
      </c>
      <c r="AJ4" s="404" t="s">
        <v>738</v>
      </c>
      <c r="AK4" s="405" t="s">
        <v>169</v>
      </c>
      <c r="AL4" s="404" t="s">
        <v>637</v>
      </c>
      <c r="AM4" s="404" t="s">
        <v>639</v>
      </c>
      <c r="AN4" s="404" t="s">
        <v>738</v>
      </c>
      <c r="AO4" s="405" t="s">
        <v>169</v>
      </c>
      <c r="AP4" s="404" t="s">
        <v>637</v>
      </c>
      <c r="AQ4" s="404" t="s">
        <v>639</v>
      </c>
      <c r="AR4" s="404" t="s">
        <v>738</v>
      </c>
      <c r="AS4" s="405" t="s">
        <v>169</v>
      </c>
      <c r="AT4" s="404" t="s">
        <v>637</v>
      </c>
      <c r="AU4" s="404" t="s">
        <v>639</v>
      </c>
      <c r="AV4" s="404" t="s">
        <v>738</v>
      </c>
      <c r="AW4" s="405" t="s">
        <v>169</v>
      </c>
      <c r="AX4" s="404" t="s">
        <v>637</v>
      </c>
      <c r="AY4" s="404" t="s">
        <v>639</v>
      </c>
      <c r="AZ4" s="404" t="s">
        <v>738</v>
      </c>
      <c r="BA4" s="1412"/>
    </row>
    <row r="5" spans="1:57" s="410" customFormat="1" ht="15.75">
      <c r="A5" s="406" t="s">
        <v>739</v>
      </c>
      <c r="B5" s="407"/>
      <c r="C5" s="408"/>
      <c r="D5" s="408">
        <f>SUM(D6:D7)</f>
        <v>7182</v>
      </c>
      <c r="E5" s="408">
        <f>SUM(E6:E7)</f>
        <v>3989</v>
      </c>
      <c r="F5" s="408">
        <f>SUM(F6:F7)</f>
        <v>3156</v>
      </c>
      <c r="G5" s="408">
        <f>SUM(G6:G7)</f>
        <v>37</v>
      </c>
      <c r="H5" s="408"/>
      <c r="I5" s="409"/>
      <c r="J5" s="408">
        <f t="shared" ref="J5:R5" si="0">SUM(J6:J7)</f>
        <v>7431</v>
      </c>
      <c r="K5" s="408">
        <f t="shared" si="0"/>
        <v>4460</v>
      </c>
      <c r="L5" s="408">
        <f t="shared" si="0"/>
        <v>2676</v>
      </c>
      <c r="M5" s="408">
        <f t="shared" si="0"/>
        <v>295</v>
      </c>
      <c r="N5" s="408"/>
      <c r="O5" s="408">
        <f t="shared" si="0"/>
        <v>7153</v>
      </c>
      <c r="P5" s="408">
        <f t="shared" si="0"/>
        <v>4698</v>
      </c>
      <c r="Q5" s="408">
        <f t="shared" si="0"/>
        <v>2172</v>
      </c>
      <c r="R5" s="408">
        <f t="shared" si="0"/>
        <v>283</v>
      </c>
      <c r="S5" s="408"/>
      <c r="T5" s="408">
        <f>SUM(T6:T7)</f>
        <v>7245</v>
      </c>
      <c r="U5" s="408">
        <f>SUM(U6:U7)</f>
        <v>4740</v>
      </c>
      <c r="V5" s="408">
        <f>SUM(V6:V7)</f>
        <v>2160</v>
      </c>
      <c r="W5" s="408">
        <f>SUM(W6:W7)</f>
        <v>345</v>
      </c>
      <c r="X5" s="408"/>
      <c r="Y5" s="409">
        <f>SUM(Y6:Y7)</f>
        <v>6986</v>
      </c>
      <c r="Z5" s="408">
        <f>SUM(Z6:Z7)</f>
        <v>4390</v>
      </c>
      <c r="AA5" s="408">
        <f>SUM(AA6:AA7)</f>
        <v>2223</v>
      </c>
      <c r="AB5" s="408">
        <f>SUM(AB6:AB7)</f>
        <v>373</v>
      </c>
      <c r="AC5" s="409">
        <f t="shared" ref="AC5:AC11" si="1">SUM(AD5:AF5)</f>
        <v>6756</v>
      </c>
      <c r="AD5" s="408">
        <f>SUM(AD6:AD7)</f>
        <v>4265</v>
      </c>
      <c r="AE5" s="408">
        <f>SUM(AE6:AE7)</f>
        <v>2147</v>
      </c>
      <c r="AF5" s="408">
        <f>SUM(AF6:AF7)</f>
        <v>344</v>
      </c>
      <c r="AG5" s="500">
        <f t="shared" ref="AG5:AG11" si="2">SUM(AH5:AJ5)</f>
        <v>6723</v>
      </c>
      <c r="AH5" s="499">
        <f>SUM(AH6:AH7)</f>
        <v>4180</v>
      </c>
      <c r="AI5" s="499">
        <f>SUM(AI6:AI7)</f>
        <v>2194</v>
      </c>
      <c r="AJ5" s="499">
        <f>SUM(AJ6:AJ7)</f>
        <v>349</v>
      </c>
      <c r="AK5" s="500">
        <f>SUM(AL5:AN5)</f>
        <v>6564</v>
      </c>
      <c r="AL5" s="499">
        <f>SUM(AL6:AL8)</f>
        <v>4265</v>
      </c>
      <c r="AM5" s="499">
        <f>SUM(AM6:AM8)</f>
        <v>2039</v>
      </c>
      <c r="AN5" s="499">
        <f>SUM(AN6:AN8)</f>
        <v>260</v>
      </c>
      <c r="AO5" s="500">
        <f>SUM(AP5:AR5)</f>
        <v>6127</v>
      </c>
      <c r="AP5" s="499">
        <f>SUM(AP6:AP7)</f>
        <v>4254</v>
      </c>
      <c r="AQ5" s="499">
        <f>SUM(AQ6:AQ8)</f>
        <v>1842</v>
      </c>
      <c r="AR5" s="499">
        <f>SUM(AR6:AR7)</f>
        <v>31</v>
      </c>
      <c r="AS5" s="500">
        <f>SUM(AT5:AV5)</f>
        <v>6293</v>
      </c>
      <c r="AT5" s="499">
        <f>SUM(AT6:AT7)</f>
        <v>3151</v>
      </c>
      <c r="AU5" s="499">
        <f>SUM(AU6:AU8)</f>
        <v>3068</v>
      </c>
      <c r="AV5" s="499">
        <f>SUM(AV6:AV7)</f>
        <v>74</v>
      </c>
      <c r="AW5" s="500">
        <f>SUM(AX5:AZ5)</f>
        <v>5914</v>
      </c>
      <c r="AX5" s="499">
        <f>SUM(AX6:AX7)</f>
        <v>3191</v>
      </c>
      <c r="AY5" s="499">
        <f>SUM(AY6:AY8)</f>
        <v>2723</v>
      </c>
      <c r="AZ5" s="499">
        <f>SUM(AZ6:AZ7)</f>
        <v>0</v>
      </c>
      <c r="BA5" s="901" t="s">
        <v>740</v>
      </c>
      <c r="BB5" s="391"/>
      <c r="BC5" s="391"/>
      <c r="BD5" s="391"/>
      <c r="BE5" s="391"/>
    </row>
    <row r="6" spans="1:57" s="417" customFormat="1" ht="15.75">
      <c r="A6" s="411" t="s">
        <v>741</v>
      </c>
      <c r="B6" s="412"/>
      <c r="C6" s="413"/>
      <c r="D6" s="414">
        <f>SUM(E6:G6)</f>
        <v>3797</v>
      </c>
      <c r="E6" s="413">
        <v>2048</v>
      </c>
      <c r="F6" s="413">
        <v>1723</v>
      </c>
      <c r="G6" s="415">
        <v>26</v>
      </c>
      <c r="H6" s="415"/>
      <c r="I6" s="416"/>
      <c r="J6" s="415">
        <v>3890</v>
      </c>
      <c r="K6" s="415">
        <v>2300</v>
      </c>
      <c r="L6" s="415">
        <v>1414</v>
      </c>
      <c r="M6" s="415">
        <v>176</v>
      </c>
      <c r="N6" s="415"/>
      <c r="O6" s="415">
        <f>SUM(P6:R6)</f>
        <v>3720</v>
      </c>
      <c r="P6" s="415">
        <v>2456</v>
      </c>
      <c r="Q6" s="415">
        <v>1118</v>
      </c>
      <c r="R6" s="415">
        <v>146</v>
      </c>
      <c r="S6" s="415"/>
      <c r="T6" s="415">
        <f>SUM(U6:W6)</f>
        <v>3706</v>
      </c>
      <c r="U6" s="415">
        <v>2434</v>
      </c>
      <c r="V6" s="415">
        <v>1092</v>
      </c>
      <c r="W6" s="415">
        <v>180</v>
      </c>
      <c r="X6" s="415"/>
      <c r="Y6" s="416">
        <f>SUM(Z6:AB6)</f>
        <v>3530</v>
      </c>
      <c r="Z6" s="415">
        <v>2205</v>
      </c>
      <c r="AA6" s="415">
        <v>1138</v>
      </c>
      <c r="AB6" s="415">
        <v>187</v>
      </c>
      <c r="AC6" s="416">
        <f t="shared" si="1"/>
        <v>3390</v>
      </c>
      <c r="AD6" s="415">
        <v>2153</v>
      </c>
      <c r="AE6" s="415">
        <v>1068</v>
      </c>
      <c r="AF6" s="415">
        <v>169</v>
      </c>
      <c r="AG6" s="960">
        <f t="shared" si="2"/>
        <v>3403</v>
      </c>
      <c r="AH6" s="980">
        <v>2151</v>
      </c>
      <c r="AI6" s="980">
        <v>1097</v>
      </c>
      <c r="AJ6" s="980">
        <v>155</v>
      </c>
      <c r="AK6" s="960">
        <f t="shared" ref="AK6:AK10" si="3">SUM(AL6:AN6)</f>
        <v>3411</v>
      </c>
      <c r="AL6" s="980">
        <v>2229</v>
      </c>
      <c r="AM6" s="980">
        <v>1039</v>
      </c>
      <c r="AN6" s="980">
        <v>143</v>
      </c>
      <c r="AO6" s="960">
        <f>SUM(AP6:AR6)</f>
        <v>3088</v>
      </c>
      <c r="AP6" s="980">
        <v>2151</v>
      </c>
      <c r="AQ6" s="980">
        <v>922</v>
      </c>
      <c r="AR6" s="980">
        <v>15</v>
      </c>
      <c r="AS6" s="960">
        <f>SUM(AT6:AV6)</f>
        <v>3204</v>
      </c>
      <c r="AT6" s="980">
        <v>1590</v>
      </c>
      <c r="AU6" s="980">
        <v>1580</v>
      </c>
      <c r="AV6" s="980">
        <v>34</v>
      </c>
      <c r="AW6" s="960">
        <f>SUM(AX6:AZ6)</f>
        <v>2951</v>
      </c>
      <c r="AX6" s="980">
        <v>1584</v>
      </c>
      <c r="AY6" s="980">
        <v>1367</v>
      </c>
      <c r="AZ6" s="1182">
        <v>0</v>
      </c>
      <c r="BA6" s="902" t="s">
        <v>742</v>
      </c>
      <c r="BB6" s="391"/>
      <c r="BC6" s="392"/>
      <c r="BD6" s="392"/>
      <c r="BE6" s="392"/>
    </row>
    <row r="7" spans="1:57" s="417" customFormat="1" ht="15.75">
      <c r="A7" s="411" t="s">
        <v>743</v>
      </c>
      <c r="B7" s="412"/>
      <c r="C7" s="413"/>
      <c r="D7" s="414">
        <f>SUM(E7:G7)</f>
        <v>3385</v>
      </c>
      <c r="E7" s="413">
        <v>1941</v>
      </c>
      <c r="F7" s="413">
        <v>1433</v>
      </c>
      <c r="G7" s="415">
        <v>11</v>
      </c>
      <c r="H7" s="415"/>
      <c r="I7" s="416"/>
      <c r="J7" s="415">
        <v>3541</v>
      </c>
      <c r="K7" s="415">
        <v>2160</v>
      </c>
      <c r="L7" s="415">
        <v>1262</v>
      </c>
      <c r="M7" s="415">
        <v>119</v>
      </c>
      <c r="N7" s="415"/>
      <c r="O7" s="415">
        <f>SUM(P7:R7)</f>
        <v>3433</v>
      </c>
      <c r="P7" s="415">
        <v>2242</v>
      </c>
      <c r="Q7" s="415">
        <v>1054</v>
      </c>
      <c r="R7" s="415">
        <v>137</v>
      </c>
      <c r="S7" s="415"/>
      <c r="T7" s="415">
        <f>SUM(U7:W7)</f>
        <v>3539</v>
      </c>
      <c r="U7" s="415">
        <v>2306</v>
      </c>
      <c r="V7" s="415">
        <v>1068</v>
      </c>
      <c r="W7" s="415">
        <v>165</v>
      </c>
      <c r="X7" s="415"/>
      <c r="Y7" s="416">
        <f>SUM(Z7:AB7)</f>
        <v>3456</v>
      </c>
      <c r="Z7" s="415">
        <v>2185</v>
      </c>
      <c r="AA7" s="415">
        <v>1085</v>
      </c>
      <c r="AB7" s="415">
        <v>186</v>
      </c>
      <c r="AC7" s="416">
        <f t="shared" si="1"/>
        <v>3366</v>
      </c>
      <c r="AD7" s="415">
        <v>2112</v>
      </c>
      <c r="AE7" s="415">
        <v>1079</v>
      </c>
      <c r="AF7" s="415">
        <v>175</v>
      </c>
      <c r="AG7" s="960">
        <f t="shared" si="2"/>
        <v>3320</v>
      </c>
      <c r="AH7" s="980">
        <v>2029</v>
      </c>
      <c r="AI7" s="980">
        <v>1097</v>
      </c>
      <c r="AJ7" s="980">
        <v>194</v>
      </c>
      <c r="AK7" s="960">
        <f t="shared" si="3"/>
        <v>3152</v>
      </c>
      <c r="AL7" s="980">
        <v>2035</v>
      </c>
      <c r="AM7" s="980">
        <v>1000</v>
      </c>
      <c r="AN7" s="980">
        <v>117</v>
      </c>
      <c r="AO7" s="960">
        <f>SUM(AP7:AR7)</f>
        <v>3038</v>
      </c>
      <c r="AP7" s="980">
        <v>2103</v>
      </c>
      <c r="AQ7" s="980">
        <v>919</v>
      </c>
      <c r="AR7" s="980">
        <v>16</v>
      </c>
      <c r="AS7" s="960">
        <f>SUM(AT7:AV7)</f>
        <v>3089</v>
      </c>
      <c r="AT7" s="980">
        <v>1561</v>
      </c>
      <c r="AU7" s="980">
        <v>1488</v>
      </c>
      <c r="AV7" s="980">
        <v>40</v>
      </c>
      <c r="AW7" s="960">
        <f>SUM(AX7:AZ7)</f>
        <v>2963</v>
      </c>
      <c r="AX7" s="980">
        <v>1607</v>
      </c>
      <c r="AY7" s="980">
        <v>1356</v>
      </c>
      <c r="AZ7" s="1182"/>
      <c r="BA7" s="902" t="s">
        <v>744</v>
      </c>
      <c r="BB7" s="391"/>
      <c r="BC7" s="392"/>
      <c r="BD7" s="392"/>
      <c r="BE7" s="392"/>
    </row>
    <row r="8" spans="1:57" s="417" customFormat="1" ht="15.75">
      <c r="A8" s="411" t="s">
        <v>752</v>
      </c>
      <c r="B8" s="412"/>
      <c r="C8" s="413"/>
      <c r="D8" s="414"/>
      <c r="E8" s="413"/>
      <c r="F8" s="413"/>
      <c r="G8" s="415"/>
      <c r="H8" s="415"/>
      <c r="I8" s="416"/>
      <c r="J8" s="415"/>
      <c r="K8" s="415"/>
      <c r="L8" s="415"/>
      <c r="M8" s="415"/>
      <c r="N8" s="415"/>
      <c r="O8" s="415"/>
      <c r="P8" s="415"/>
      <c r="Q8" s="415"/>
      <c r="R8" s="415"/>
      <c r="S8" s="415"/>
      <c r="T8" s="415"/>
      <c r="U8" s="415"/>
      <c r="V8" s="415"/>
      <c r="W8" s="415"/>
      <c r="X8" s="415"/>
      <c r="Y8" s="416"/>
      <c r="Z8" s="415"/>
      <c r="AA8" s="415"/>
      <c r="AB8" s="415"/>
      <c r="AC8" s="416"/>
      <c r="AD8" s="415"/>
      <c r="AE8" s="415"/>
      <c r="AF8" s="415"/>
      <c r="AG8" s="961" t="s">
        <v>187</v>
      </c>
      <c r="AH8" s="962" t="s">
        <v>187</v>
      </c>
      <c r="AI8" s="962" t="s">
        <v>187</v>
      </c>
      <c r="AJ8" s="963" t="s">
        <v>187</v>
      </c>
      <c r="AK8" s="980">
        <f t="shared" si="3"/>
        <v>1</v>
      </c>
      <c r="AL8" s="980">
        <v>1</v>
      </c>
      <c r="AM8" s="980">
        <v>0</v>
      </c>
      <c r="AN8" s="964">
        <v>0</v>
      </c>
      <c r="AO8" s="965">
        <f>SUM(AP8:AR8)</f>
        <v>1</v>
      </c>
      <c r="AP8" s="966">
        <v>0</v>
      </c>
      <c r="AQ8" s="966">
        <v>1</v>
      </c>
      <c r="AR8" s="966">
        <v>0</v>
      </c>
      <c r="AS8" s="965" t="s">
        <v>187</v>
      </c>
      <c r="AT8" s="966" t="s">
        <v>187</v>
      </c>
      <c r="AU8" s="966" t="s">
        <v>187</v>
      </c>
      <c r="AV8" s="966" t="s">
        <v>187</v>
      </c>
      <c r="AW8" s="965" t="s">
        <v>187</v>
      </c>
      <c r="AX8" s="966" t="s">
        <v>187</v>
      </c>
      <c r="AY8" s="966" t="s">
        <v>187</v>
      </c>
      <c r="AZ8" s="966" t="s">
        <v>187</v>
      </c>
      <c r="BA8" s="902"/>
      <c r="BB8" s="391"/>
      <c r="BC8" s="392"/>
      <c r="BD8" s="392"/>
      <c r="BE8" s="392"/>
    </row>
    <row r="9" spans="1:57" s="410" customFormat="1" ht="15.75">
      <c r="A9" s="997" t="s">
        <v>745</v>
      </c>
      <c r="B9" s="418"/>
      <c r="C9" s="419"/>
      <c r="D9" s="419">
        <v>65</v>
      </c>
      <c r="E9" s="419">
        <v>41</v>
      </c>
      <c r="F9" s="419">
        <v>20</v>
      </c>
      <c r="G9" s="419">
        <v>4</v>
      </c>
      <c r="H9" s="419"/>
      <c r="I9" s="420"/>
      <c r="J9" s="419">
        <v>66</v>
      </c>
      <c r="K9" s="419">
        <v>46</v>
      </c>
      <c r="L9" s="419">
        <v>18</v>
      </c>
      <c r="M9" s="419">
        <v>2</v>
      </c>
      <c r="N9" s="419"/>
      <c r="O9" s="419">
        <f t="shared" ref="O9:W9" si="4">SUM(O10:O11)</f>
        <v>46</v>
      </c>
      <c r="P9" s="419">
        <f t="shared" si="4"/>
        <v>24</v>
      </c>
      <c r="Q9" s="419">
        <f t="shared" si="4"/>
        <v>15</v>
      </c>
      <c r="R9" s="419">
        <f t="shared" si="4"/>
        <v>7</v>
      </c>
      <c r="S9" s="419"/>
      <c r="T9" s="419">
        <f t="shared" si="4"/>
        <v>59</v>
      </c>
      <c r="U9" s="419">
        <f t="shared" si="4"/>
        <v>40</v>
      </c>
      <c r="V9" s="419">
        <f t="shared" si="4"/>
        <v>10</v>
      </c>
      <c r="W9" s="419">
        <f t="shared" si="4"/>
        <v>9</v>
      </c>
      <c r="X9" s="419"/>
      <c r="Y9" s="420">
        <f>SUM(Y10:Y11)</f>
        <v>63</v>
      </c>
      <c r="Z9" s="419">
        <f>SUM(Z10:Z11)</f>
        <v>43</v>
      </c>
      <c r="AA9" s="419">
        <f>SUM(AA10:AA11)</f>
        <v>13</v>
      </c>
      <c r="AB9" s="419">
        <f>SUM(AB10:AB11)</f>
        <v>7</v>
      </c>
      <c r="AC9" s="420">
        <f t="shared" si="1"/>
        <v>53</v>
      </c>
      <c r="AD9" s="419">
        <f>SUM(AD10:AD11)</f>
        <v>35</v>
      </c>
      <c r="AE9" s="419">
        <f>SUM(AE10:AE11)</f>
        <v>14</v>
      </c>
      <c r="AF9" s="419">
        <f>SUM(AF10:AF11)</f>
        <v>4</v>
      </c>
      <c r="AG9" s="967">
        <f t="shared" si="2"/>
        <v>64</v>
      </c>
      <c r="AH9" s="968">
        <f>SUM(AH10:AH11)</f>
        <v>44</v>
      </c>
      <c r="AI9" s="968">
        <f>SUM(AI10:AI11)</f>
        <v>14</v>
      </c>
      <c r="AJ9" s="968">
        <f>SUM(AJ10:AJ11)</f>
        <v>6</v>
      </c>
      <c r="AK9" s="967">
        <f>SUM(AL9:AN9)</f>
        <v>46</v>
      </c>
      <c r="AL9" s="968">
        <f>SUM(AL10:AL12)</f>
        <v>32</v>
      </c>
      <c r="AM9" s="968">
        <f>SUM(AM10:AM12)</f>
        <v>12</v>
      </c>
      <c r="AN9" s="968">
        <f>SUM(AN10:AN12)</f>
        <v>2</v>
      </c>
      <c r="AO9" s="967">
        <f>SUM(AP11:AR11)</f>
        <v>20</v>
      </c>
      <c r="AP9" s="968">
        <f>SUM(AP10:AP11)</f>
        <v>24</v>
      </c>
      <c r="AQ9" s="968">
        <f>SUM(AQ10:AQ11)</f>
        <v>8</v>
      </c>
      <c r="AR9" s="968">
        <f>SUM(AR10:AR11)</f>
        <v>11</v>
      </c>
      <c r="AS9" s="967">
        <f>SUM(AT9:AV9)</f>
        <v>45</v>
      </c>
      <c r="AT9" s="968">
        <f>SUM(AT10:AT12)</f>
        <v>36</v>
      </c>
      <c r="AU9" s="968">
        <f t="shared" ref="AU9:AV9" si="5">SUM(AU10:AU12)</f>
        <v>7</v>
      </c>
      <c r="AV9" s="968">
        <f t="shared" si="5"/>
        <v>2</v>
      </c>
      <c r="AW9" s="967">
        <f>SUM(AX9:AZ9)</f>
        <v>97</v>
      </c>
      <c r="AX9" s="968">
        <f>SUM(AX10:AX12)</f>
        <v>77</v>
      </c>
      <c r="AY9" s="968">
        <f t="shared" ref="AY9:AZ9" si="6">SUM(AY10:AY12)</f>
        <v>20</v>
      </c>
      <c r="AZ9" s="968">
        <f t="shared" si="6"/>
        <v>0</v>
      </c>
      <c r="BA9" s="901" t="s">
        <v>746</v>
      </c>
      <c r="BB9" s="391"/>
      <c r="BC9" s="393"/>
      <c r="BD9" s="393"/>
      <c r="BE9" s="393"/>
    </row>
    <row r="10" spans="1:57" s="410" customFormat="1" ht="15.75">
      <c r="A10" s="411" t="s">
        <v>741</v>
      </c>
      <c r="B10" s="421"/>
      <c r="C10" s="422"/>
      <c r="D10" s="422">
        <v>37</v>
      </c>
      <c r="E10" s="422">
        <v>20</v>
      </c>
      <c r="F10" s="422">
        <v>13</v>
      </c>
      <c r="G10" s="422">
        <v>4</v>
      </c>
      <c r="H10" s="422"/>
      <c r="I10" s="423"/>
      <c r="J10" s="422">
        <v>40</v>
      </c>
      <c r="K10" s="422">
        <v>30</v>
      </c>
      <c r="L10" s="422">
        <v>8</v>
      </c>
      <c r="M10" s="422">
        <v>2</v>
      </c>
      <c r="N10" s="422"/>
      <c r="O10" s="422">
        <f>SUM(P10:R10)</f>
        <v>29</v>
      </c>
      <c r="P10" s="422">
        <v>16</v>
      </c>
      <c r="Q10" s="422">
        <v>9</v>
      </c>
      <c r="R10" s="422">
        <v>4</v>
      </c>
      <c r="S10" s="422"/>
      <c r="T10" s="422">
        <f>SUM(U10:W10)</f>
        <v>32</v>
      </c>
      <c r="U10" s="422">
        <v>23</v>
      </c>
      <c r="V10" s="422">
        <v>6</v>
      </c>
      <c r="W10" s="422">
        <v>3</v>
      </c>
      <c r="X10" s="422"/>
      <c r="Y10" s="423">
        <f>SUM(Z10:AB10)</f>
        <v>34</v>
      </c>
      <c r="Z10" s="422">
        <v>25</v>
      </c>
      <c r="AA10" s="422">
        <v>6</v>
      </c>
      <c r="AB10" s="422">
        <v>3</v>
      </c>
      <c r="AC10" s="423">
        <f t="shared" si="1"/>
        <v>21</v>
      </c>
      <c r="AD10" s="422">
        <v>17</v>
      </c>
      <c r="AE10" s="422">
        <v>2</v>
      </c>
      <c r="AF10" s="422">
        <v>2</v>
      </c>
      <c r="AG10" s="969">
        <f t="shared" si="2"/>
        <v>42</v>
      </c>
      <c r="AH10" s="981">
        <v>31</v>
      </c>
      <c r="AI10" s="981">
        <v>7</v>
      </c>
      <c r="AJ10" s="981">
        <v>4</v>
      </c>
      <c r="AK10" s="969">
        <f t="shared" si="3"/>
        <v>24</v>
      </c>
      <c r="AL10" s="981">
        <v>19</v>
      </c>
      <c r="AM10" s="981">
        <v>4</v>
      </c>
      <c r="AN10" s="981">
        <v>1</v>
      </c>
      <c r="AO10" s="969">
        <f>SUM(AP10:AR10)</f>
        <v>23</v>
      </c>
      <c r="AP10" s="981">
        <v>11</v>
      </c>
      <c r="AQ10" s="981">
        <v>4</v>
      </c>
      <c r="AR10" s="981">
        <v>8</v>
      </c>
      <c r="AS10" s="969">
        <f t="shared" ref="AS10:AS12" si="7">SUM(AT10:AV10)</f>
        <v>12</v>
      </c>
      <c r="AT10" s="981">
        <v>9</v>
      </c>
      <c r="AU10" s="981">
        <v>2</v>
      </c>
      <c r="AV10" s="981">
        <v>1</v>
      </c>
      <c r="AW10" s="969">
        <f t="shared" ref="AW10:AW12" si="8">SUM(AX10:AZ10)</f>
        <v>60</v>
      </c>
      <c r="AX10" s="981">
        <v>46</v>
      </c>
      <c r="AY10" s="981">
        <v>14</v>
      </c>
      <c r="AZ10" s="1183">
        <v>0</v>
      </c>
      <c r="BA10" s="902" t="s">
        <v>742</v>
      </c>
      <c r="BB10" s="391"/>
      <c r="BC10" s="391"/>
      <c r="BD10" s="391"/>
      <c r="BE10" s="391"/>
    </row>
    <row r="11" spans="1:57" s="410" customFormat="1" ht="15.75">
      <c r="A11" s="411" t="s">
        <v>743</v>
      </c>
      <c r="B11" s="421"/>
      <c r="C11" s="422"/>
      <c r="D11" s="422">
        <v>28</v>
      </c>
      <c r="E11" s="422">
        <v>21</v>
      </c>
      <c r="F11" s="422">
        <v>7</v>
      </c>
      <c r="G11" s="422">
        <v>0</v>
      </c>
      <c r="H11" s="422"/>
      <c r="I11" s="423"/>
      <c r="J11" s="422">
        <v>26</v>
      </c>
      <c r="K11" s="422">
        <v>16</v>
      </c>
      <c r="L11" s="422">
        <v>10</v>
      </c>
      <c r="M11" s="422">
        <v>0</v>
      </c>
      <c r="N11" s="422"/>
      <c r="O11" s="422">
        <f>SUM(P11:R11)</f>
        <v>17</v>
      </c>
      <c r="P11" s="422">
        <v>8</v>
      </c>
      <c r="Q11" s="422">
        <v>6</v>
      </c>
      <c r="R11" s="422">
        <v>3</v>
      </c>
      <c r="S11" s="422"/>
      <c r="T11" s="422">
        <f>SUM(U11:W11)</f>
        <v>27</v>
      </c>
      <c r="U11" s="422">
        <v>17</v>
      </c>
      <c r="V11" s="422">
        <v>4</v>
      </c>
      <c r="W11" s="422">
        <v>6</v>
      </c>
      <c r="X11" s="422"/>
      <c r="Y11" s="423">
        <f>SUM(Z11:AB11)</f>
        <v>29</v>
      </c>
      <c r="Z11" s="422">
        <v>18</v>
      </c>
      <c r="AA11" s="422">
        <v>7</v>
      </c>
      <c r="AB11" s="422">
        <v>4</v>
      </c>
      <c r="AC11" s="423">
        <f t="shared" si="1"/>
        <v>32</v>
      </c>
      <c r="AD11" s="422">
        <v>18</v>
      </c>
      <c r="AE11" s="422">
        <v>12</v>
      </c>
      <c r="AF11" s="422">
        <v>2</v>
      </c>
      <c r="AG11" s="969">
        <f t="shared" si="2"/>
        <v>22</v>
      </c>
      <c r="AH11" s="981">
        <v>13</v>
      </c>
      <c r="AI11" s="981">
        <v>7</v>
      </c>
      <c r="AJ11" s="981">
        <v>2</v>
      </c>
      <c r="AK11" s="969">
        <f>SUM(AL11:AN11)</f>
        <v>21</v>
      </c>
      <c r="AL11" s="981">
        <v>13</v>
      </c>
      <c r="AM11" s="981">
        <v>7</v>
      </c>
      <c r="AN11" s="981">
        <v>1</v>
      </c>
      <c r="AO11" s="969">
        <f>SUM(AR14:AR14)</f>
        <v>0</v>
      </c>
      <c r="AP11" s="981">
        <v>13</v>
      </c>
      <c r="AQ11" s="981">
        <v>4</v>
      </c>
      <c r="AR11" s="981">
        <v>3</v>
      </c>
      <c r="AS11" s="969">
        <f t="shared" si="7"/>
        <v>11</v>
      </c>
      <c r="AT11" s="981">
        <v>10</v>
      </c>
      <c r="AU11" s="981">
        <v>0</v>
      </c>
      <c r="AV11" s="981">
        <v>1</v>
      </c>
      <c r="AW11" s="969">
        <f t="shared" si="8"/>
        <v>35</v>
      </c>
      <c r="AX11" s="981">
        <v>31</v>
      </c>
      <c r="AY11" s="981">
        <v>4</v>
      </c>
      <c r="AZ11" s="1183">
        <v>0</v>
      </c>
      <c r="BA11" s="902" t="s">
        <v>744</v>
      </c>
      <c r="BB11" s="391"/>
      <c r="BC11" s="394"/>
      <c r="BD11" s="394"/>
      <c r="BE11" s="394"/>
    </row>
    <row r="12" spans="1:57" s="410" customFormat="1" ht="15.75">
      <c r="A12" s="411" t="s">
        <v>752</v>
      </c>
      <c r="B12" s="421"/>
      <c r="C12" s="422"/>
      <c r="D12" s="422"/>
      <c r="E12" s="422"/>
      <c r="F12" s="422"/>
      <c r="G12" s="422"/>
      <c r="H12" s="422"/>
      <c r="I12" s="423"/>
      <c r="J12" s="422"/>
      <c r="K12" s="422"/>
      <c r="L12" s="422"/>
      <c r="M12" s="422"/>
      <c r="N12" s="422"/>
      <c r="O12" s="422"/>
      <c r="P12" s="422"/>
      <c r="Q12" s="422"/>
      <c r="R12" s="422"/>
      <c r="S12" s="422"/>
      <c r="T12" s="422"/>
      <c r="U12" s="422"/>
      <c r="V12" s="422"/>
      <c r="W12" s="422"/>
      <c r="X12" s="422"/>
      <c r="Y12" s="423"/>
      <c r="Z12" s="422"/>
      <c r="AA12" s="422"/>
      <c r="AB12" s="422"/>
      <c r="AC12" s="423"/>
      <c r="AD12" s="422"/>
      <c r="AE12" s="422"/>
      <c r="AF12" s="422"/>
      <c r="AG12" s="961" t="s">
        <v>187</v>
      </c>
      <c r="AH12" s="962" t="s">
        <v>187</v>
      </c>
      <c r="AI12" s="962" t="s">
        <v>187</v>
      </c>
      <c r="AJ12" s="963" t="s">
        <v>187</v>
      </c>
      <c r="AK12" s="969">
        <f>SUM(AL12:AN12)</f>
        <v>1</v>
      </c>
      <c r="AL12" s="964">
        <v>0</v>
      </c>
      <c r="AM12" s="970">
        <v>1</v>
      </c>
      <c r="AN12" s="971">
        <v>0</v>
      </c>
      <c r="AO12" s="961" t="s">
        <v>187</v>
      </c>
      <c r="AP12" s="962" t="s">
        <v>187</v>
      </c>
      <c r="AQ12" s="962" t="s">
        <v>187</v>
      </c>
      <c r="AR12" s="962" t="s">
        <v>187</v>
      </c>
      <c r="AS12" s="969">
        <f t="shared" si="7"/>
        <v>22</v>
      </c>
      <c r="AT12" s="981">
        <v>17</v>
      </c>
      <c r="AU12" s="981">
        <v>5</v>
      </c>
      <c r="AV12" s="981">
        <v>0</v>
      </c>
      <c r="AW12" s="969">
        <f t="shared" si="8"/>
        <v>2</v>
      </c>
      <c r="AX12" s="981">
        <v>0</v>
      </c>
      <c r="AY12" s="981">
        <v>2</v>
      </c>
      <c r="AZ12" s="1183">
        <v>0</v>
      </c>
      <c r="BA12" s="902"/>
      <c r="BB12" s="391"/>
      <c r="BC12" s="394"/>
      <c r="BD12" s="394"/>
      <c r="BE12" s="394"/>
    </row>
    <row r="13" spans="1:57" s="410" customFormat="1" ht="15.75">
      <c r="A13" s="427" t="s">
        <v>1119</v>
      </c>
      <c r="B13" s="424"/>
      <c r="C13" s="425"/>
      <c r="D13" s="425"/>
      <c r="E13" s="425"/>
      <c r="F13" s="425"/>
      <c r="G13" s="425"/>
      <c r="H13" s="425"/>
      <c r="I13" s="426"/>
      <c r="J13" s="425"/>
      <c r="K13" s="425"/>
      <c r="L13" s="425"/>
      <c r="M13" s="425"/>
      <c r="N13" s="425"/>
      <c r="O13" s="425"/>
      <c r="P13" s="425"/>
      <c r="Q13" s="425"/>
      <c r="R13" s="425"/>
      <c r="S13" s="425"/>
      <c r="T13" s="425"/>
      <c r="U13" s="425"/>
      <c r="V13" s="425"/>
      <c r="W13" s="425"/>
      <c r="X13" s="425"/>
      <c r="Y13" s="426"/>
      <c r="Z13" s="425"/>
      <c r="AA13" s="425"/>
      <c r="AB13" s="425"/>
      <c r="AC13" s="426"/>
      <c r="AD13" s="425"/>
      <c r="AE13" s="425"/>
      <c r="AF13" s="425"/>
      <c r="AG13" s="972"/>
      <c r="AH13" s="973"/>
      <c r="AI13" s="973"/>
      <c r="AJ13" s="973"/>
      <c r="AK13" s="972"/>
      <c r="AL13" s="973"/>
      <c r="AM13" s="973"/>
      <c r="AN13" s="973"/>
      <c r="AO13" s="972"/>
      <c r="AP13" s="973"/>
      <c r="AQ13" s="973"/>
      <c r="AR13" s="973"/>
      <c r="AS13" s="972"/>
      <c r="AT13" s="973"/>
      <c r="AU13" s="973"/>
      <c r="AV13" s="973"/>
      <c r="AW13" s="972"/>
      <c r="AX13" s="973"/>
      <c r="AY13" s="973"/>
      <c r="AZ13" s="973"/>
      <c r="BA13" s="901" t="s">
        <v>747</v>
      </c>
      <c r="BB13" s="391"/>
      <c r="BC13" s="394"/>
      <c r="BD13" s="394"/>
      <c r="BE13" s="394"/>
    </row>
    <row r="14" spans="1:57" s="410" customFormat="1" ht="15.75">
      <c r="A14" s="427" t="s">
        <v>1120</v>
      </c>
      <c r="B14" s="424"/>
      <c r="C14" s="428"/>
      <c r="D14" s="425">
        <v>9</v>
      </c>
      <c r="E14" s="425">
        <v>10</v>
      </c>
      <c r="F14" s="425">
        <v>6</v>
      </c>
      <c r="G14" s="428" t="s">
        <v>187</v>
      </c>
      <c r="H14" s="428"/>
      <c r="I14" s="429"/>
      <c r="J14" s="425">
        <f t="shared" ref="J14:M16" si="9">J9/J5*1000</f>
        <v>8.8817117480823562</v>
      </c>
      <c r="K14" s="425">
        <f t="shared" si="9"/>
        <v>10.31390134529148</v>
      </c>
      <c r="L14" s="425">
        <f t="shared" si="9"/>
        <v>6.7264573991031398</v>
      </c>
      <c r="M14" s="425">
        <f t="shared" si="9"/>
        <v>6.7796610169491522</v>
      </c>
      <c r="N14" s="425"/>
      <c r="O14" s="425">
        <f t="shared" ref="O14:R16" si="10">O9/O5*1000</f>
        <v>6.430868167202572</v>
      </c>
      <c r="P14" s="425">
        <f t="shared" si="10"/>
        <v>5.1085568326947639</v>
      </c>
      <c r="Q14" s="425">
        <f t="shared" si="10"/>
        <v>6.9060773480662982</v>
      </c>
      <c r="R14" s="425">
        <f t="shared" si="10"/>
        <v>24.734982332155475</v>
      </c>
      <c r="S14" s="425"/>
      <c r="T14" s="425">
        <f t="shared" ref="T14:W16" si="11">T9/T5*1000</f>
        <v>8.1435472739820565</v>
      </c>
      <c r="U14" s="425">
        <f t="shared" si="11"/>
        <v>8.4388185654008439</v>
      </c>
      <c r="V14" s="425">
        <f t="shared" si="11"/>
        <v>4.6296296296296298</v>
      </c>
      <c r="W14" s="425">
        <f t="shared" si="11"/>
        <v>26.086956521739129</v>
      </c>
      <c r="X14" s="425"/>
      <c r="Y14" s="426">
        <v>9.0180360721442892</v>
      </c>
      <c r="Z14" s="425">
        <v>9.7949886104783594</v>
      </c>
      <c r="AA14" s="425">
        <v>5.8479532163742682</v>
      </c>
      <c r="AB14" s="425">
        <v>18.766756032171582</v>
      </c>
      <c r="AC14" s="426">
        <f>AC9/AC5*1000</f>
        <v>7.8448786264061576</v>
      </c>
      <c r="AD14" s="425">
        <f>AD9/AD5*1000</f>
        <v>8.2063305978898011</v>
      </c>
      <c r="AE14" s="425">
        <f>AE9/AE5*1000</f>
        <v>6.5207265952491849</v>
      </c>
      <c r="AF14" s="425">
        <v>0</v>
      </c>
      <c r="AG14" s="972">
        <f t="shared" ref="AG14:AI16" si="12">AG9/AG5*1000</f>
        <v>9.519559720362933</v>
      </c>
      <c r="AH14" s="973">
        <f t="shared" si="12"/>
        <v>10.526315789473683</v>
      </c>
      <c r="AI14" s="973">
        <f t="shared" si="12"/>
        <v>6.381039197812215</v>
      </c>
      <c r="AJ14" s="963" t="s">
        <v>187</v>
      </c>
      <c r="AK14" s="972">
        <f t="shared" ref="AK14:AM16" si="13">AK9/AK5*1000</f>
        <v>7.0079219987812307</v>
      </c>
      <c r="AL14" s="973">
        <f t="shared" si="13"/>
        <v>7.5029308323563892</v>
      </c>
      <c r="AM14" s="973">
        <f t="shared" si="13"/>
        <v>5.8852378616969103</v>
      </c>
      <c r="AN14" s="963" t="s">
        <v>187</v>
      </c>
      <c r="AO14" s="972">
        <f t="shared" ref="AO14:AU16" si="14">AO9/AO5*1000</f>
        <v>3.2642402480822592</v>
      </c>
      <c r="AP14" s="973">
        <f t="shared" si="14"/>
        <v>5.6417489421720735</v>
      </c>
      <c r="AQ14" s="973">
        <f t="shared" si="14"/>
        <v>4.3431053203040175</v>
      </c>
      <c r="AR14" s="962" t="s">
        <v>187</v>
      </c>
      <c r="AS14" s="972">
        <f t="shared" si="14"/>
        <v>7.1508024789448585</v>
      </c>
      <c r="AT14" s="973">
        <f t="shared" si="14"/>
        <v>11.424944462075532</v>
      </c>
      <c r="AU14" s="973">
        <f t="shared" si="14"/>
        <v>2.2816166883963493</v>
      </c>
      <c r="AV14" s="962" t="s">
        <v>187</v>
      </c>
      <c r="AW14" s="972">
        <f t="shared" ref="AW14:AY16" si="15">AW9/AW5*1000</f>
        <v>16.401758539059859</v>
      </c>
      <c r="AX14" s="973">
        <f t="shared" si="15"/>
        <v>24.13036665622062</v>
      </c>
      <c r="AY14" s="973">
        <f t="shared" si="15"/>
        <v>7.3448402497245686</v>
      </c>
      <c r="AZ14" s="962" t="s">
        <v>187</v>
      </c>
      <c r="BA14" s="901" t="s">
        <v>748</v>
      </c>
      <c r="BB14" s="395"/>
      <c r="BC14" s="395"/>
      <c r="BD14" s="395"/>
      <c r="BE14" s="395"/>
    </row>
    <row r="15" spans="1:57" s="417" customFormat="1" ht="15.75">
      <c r="A15" s="411" t="s">
        <v>741</v>
      </c>
      <c r="B15" s="430"/>
      <c r="C15" s="431"/>
      <c r="D15" s="432">
        <v>10</v>
      </c>
      <c r="E15" s="432">
        <v>10</v>
      </c>
      <c r="F15" s="432">
        <v>8</v>
      </c>
      <c r="G15" s="431" t="s">
        <v>187</v>
      </c>
      <c r="H15" s="431"/>
      <c r="I15" s="433"/>
      <c r="J15" s="432">
        <f t="shared" si="9"/>
        <v>10.282776349614394</v>
      </c>
      <c r="K15" s="432">
        <f t="shared" si="9"/>
        <v>13.043478260869565</v>
      </c>
      <c r="L15" s="432">
        <f t="shared" si="9"/>
        <v>5.6577086280056577</v>
      </c>
      <c r="M15" s="432">
        <f t="shared" si="9"/>
        <v>11.363636363636363</v>
      </c>
      <c r="N15" s="432"/>
      <c r="O15" s="432">
        <f t="shared" si="10"/>
        <v>7.7956989247311821</v>
      </c>
      <c r="P15" s="432">
        <f t="shared" si="10"/>
        <v>6.5146579804560263</v>
      </c>
      <c r="Q15" s="432">
        <f t="shared" si="10"/>
        <v>8.0500894454382834</v>
      </c>
      <c r="R15" s="432">
        <f t="shared" si="10"/>
        <v>27.397260273972602</v>
      </c>
      <c r="S15" s="432"/>
      <c r="T15" s="432">
        <f t="shared" si="11"/>
        <v>8.6346465191581228</v>
      </c>
      <c r="U15" s="432">
        <f t="shared" si="11"/>
        <v>9.449465899753493</v>
      </c>
      <c r="V15" s="432">
        <f t="shared" si="11"/>
        <v>5.4945054945054945</v>
      </c>
      <c r="W15" s="432">
        <f t="shared" si="11"/>
        <v>16.666666666666668</v>
      </c>
      <c r="X15" s="432"/>
      <c r="Y15" s="434">
        <v>9.6317280453257794</v>
      </c>
      <c r="Z15" s="432">
        <v>11.337868480725623</v>
      </c>
      <c r="AA15" s="432">
        <v>5.272407732864675</v>
      </c>
      <c r="AB15" s="432">
        <v>16.042780748663102</v>
      </c>
      <c r="AC15" s="434">
        <f>AC10/AC6*1000</f>
        <v>6.1946902654867255</v>
      </c>
      <c r="AD15" s="432">
        <v>7.8959591267998146</v>
      </c>
      <c r="AE15" s="432">
        <v>1.8726591760299625</v>
      </c>
      <c r="AF15" s="432">
        <v>0</v>
      </c>
      <c r="AG15" s="974">
        <f t="shared" si="12"/>
        <v>12.342051131354687</v>
      </c>
      <c r="AH15" s="975">
        <f t="shared" si="12"/>
        <v>14.411901441190144</v>
      </c>
      <c r="AI15" s="975">
        <f t="shared" si="12"/>
        <v>6.381039197812215</v>
      </c>
      <c r="AJ15" s="963" t="s">
        <v>187</v>
      </c>
      <c r="AK15" s="974">
        <f t="shared" si="13"/>
        <v>7.0360598065083559</v>
      </c>
      <c r="AL15" s="975">
        <f t="shared" si="13"/>
        <v>8.5240017945266935</v>
      </c>
      <c r="AM15" s="975">
        <f t="shared" si="13"/>
        <v>3.8498556304138596</v>
      </c>
      <c r="AN15" s="963" t="s">
        <v>187</v>
      </c>
      <c r="AO15" s="974">
        <f t="shared" si="14"/>
        <v>7.4481865284974091</v>
      </c>
      <c r="AP15" s="975">
        <f t="shared" si="14"/>
        <v>5.1139005113900513</v>
      </c>
      <c r="AQ15" s="975">
        <f t="shared" si="14"/>
        <v>4.3383947939262475</v>
      </c>
      <c r="AR15" s="962" t="s">
        <v>187</v>
      </c>
      <c r="AS15" s="974">
        <v>3.7453183520599249</v>
      </c>
      <c r="AT15" s="975">
        <v>5.6603773584905657</v>
      </c>
      <c r="AU15" s="975">
        <v>1.2658227848101267</v>
      </c>
      <c r="AV15" s="962" t="s">
        <v>187</v>
      </c>
      <c r="AW15" s="974">
        <v>3.7453183520599249</v>
      </c>
      <c r="AX15" s="975">
        <f t="shared" si="15"/>
        <v>29.040404040404042</v>
      </c>
      <c r="AY15" s="975">
        <f t="shared" si="15"/>
        <v>10.241404535479152</v>
      </c>
      <c r="AZ15" s="1184"/>
      <c r="BA15" s="902" t="s">
        <v>742</v>
      </c>
      <c r="BB15" s="435"/>
      <c r="BC15" s="395"/>
      <c r="BD15" s="395"/>
      <c r="BE15" s="1413"/>
    </row>
    <row r="16" spans="1:57" s="417" customFormat="1" ht="15.75">
      <c r="A16" s="436" t="s">
        <v>743</v>
      </c>
      <c r="B16" s="437"/>
      <c r="C16" s="438"/>
      <c r="D16" s="439">
        <v>8</v>
      </c>
      <c r="E16" s="439">
        <v>11</v>
      </c>
      <c r="F16" s="439">
        <v>5</v>
      </c>
      <c r="G16" s="438" t="s">
        <v>187</v>
      </c>
      <c r="H16" s="438"/>
      <c r="I16" s="440"/>
      <c r="J16" s="439">
        <f t="shared" si="9"/>
        <v>7.3425585992657449</v>
      </c>
      <c r="K16" s="439">
        <f t="shared" si="9"/>
        <v>7.4074074074074074</v>
      </c>
      <c r="L16" s="439">
        <f t="shared" si="9"/>
        <v>7.9239302694136295</v>
      </c>
      <c r="M16" s="439">
        <f t="shared" si="9"/>
        <v>0</v>
      </c>
      <c r="N16" s="439"/>
      <c r="O16" s="439">
        <f t="shared" si="10"/>
        <v>4.9519370812700263</v>
      </c>
      <c r="P16" s="439">
        <f t="shared" si="10"/>
        <v>3.568242640499554</v>
      </c>
      <c r="Q16" s="439">
        <f t="shared" si="10"/>
        <v>5.6925996204933584</v>
      </c>
      <c r="R16" s="439">
        <f t="shared" si="10"/>
        <v>21.897810218978105</v>
      </c>
      <c r="S16" s="439"/>
      <c r="T16" s="439">
        <f t="shared" si="11"/>
        <v>7.6292738061599321</v>
      </c>
      <c r="U16" s="439">
        <f t="shared" si="11"/>
        <v>7.3720728534258457</v>
      </c>
      <c r="V16" s="439">
        <f t="shared" si="11"/>
        <v>3.7453183520599249</v>
      </c>
      <c r="W16" s="439">
        <f t="shared" si="11"/>
        <v>36.36363636363636</v>
      </c>
      <c r="X16" s="439"/>
      <c r="Y16" s="441">
        <v>8.3912037037037042</v>
      </c>
      <c r="Z16" s="439">
        <v>8.2379862700228834</v>
      </c>
      <c r="AA16" s="439">
        <v>6.4516129032258061</v>
      </c>
      <c r="AB16" s="439">
        <v>21.505376344086024</v>
      </c>
      <c r="AC16" s="441">
        <f>AC11/AC7*1000</f>
        <v>9.5068330362448012</v>
      </c>
      <c r="AD16" s="439">
        <v>8.5227272727272716</v>
      </c>
      <c r="AE16" s="439">
        <v>11.121408711770158</v>
      </c>
      <c r="AF16" s="439">
        <v>0</v>
      </c>
      <c r="AG16" s="976">
        <f t="shared" si="12"/>
        <v>6.6265060240963853</v>
      </c>
      <c r="AH16" s="977">
        <f t="shared" si="12"/>
        <v>6.4070970921636272</v>
      </c>
      <c r="AI16" s="977">
        <f t="shared" si="12"/>
        <v>6.381039197812215</v>
      </c>
      <c r="AJ16" s="978" t="s">
        <v>187</v>
      </c>
      <c r="AK16" s="976">
        <f t="shared" si="13"/>
        <v>6.6624365482233499</v>
      </c>
      <c r="AL16" s="977">
        <f t="shared" si="13"/>
        <v>6.3882063882063882</v>
      </c>
      <c r="AM16" s="977">
        <f t="shared" si="13"/>
        <v>7</v>
      </c>
      <c r="AN16" s="978" t="s">
        <v>187</v>
      </c>
      <c r="AO16" s="976">
        <f t="shared" si="14"/>
        <v>0</v>
      </c>
      <c r="AP16" s="977">
        <f t="shared" si="14"/>
        <v>6.1816452686638135</v>
      </c>
      <c r="AQ16" s="977">
        <f t="shared" si="14"/>
        <v>4.3525571273122958</v>
      </c>
      <c r="AR16" s="979" t="s">
        <v>187</v>
      </c>
      <c r="AS16" s="976">
        <v>3.5610229847847199</v>
      </c>
      <c r="AT16" s="977">
        <v>6.4061499039077514</v>
      </c>
      <c r="AU16" s="977">
        <v>0</v>
      </c>
      <c r="AV16" s="979" t="s">
        <v>187</v>
      </c>
      <c r="AW16" s="976">
        <v>3.5610229847847199</v>
      </c>
      <c r="AX16" s="977">
        <f t="shared" si="15"/>
        <v>19.290603609209708</v>
      </c>
      <c r="AY16" s="977">
        <f t="shared" si="15"/>
        <v>2.9498525073746311</v>
      </c>
      <c r="AZ16" s="1185"/>
      <c r="BA16" s="903" t="s">
        <v>744</v>
      </c>
      <c r="BB16" s="395"/>
      <c r="BC16" s="395"/>
      <c r="BD16" s="395"/>
      <c r="BE16" s="1413"/>
    </row>
    <row r="17" spans="1:76" s="443" customFormat="1" ht="18.75">
      <c r="A17" s="1162" t="s">
        <v>1246</v>
      </c>
      <c r="B17" s="442"/>
      <c r="C17" s="442"/>
      <c r="D17" s="442"/>
      <c r="E17" s="442"/>
      <c r="F17" s="442"/>
      <c r="G17" s="442"/>
      <c r="H17" s="442"/>
      <c r="I17" s="442"/>
      <c r="J17" s="442"/>
      <c r="K17" s="442"/>
      <c r="L17" s="442"/>
      <c r="M17" s="442"/>
      <c r="N17" s="442"/>
      <c r="O17" s="442"/>
      <c r="P17" s="442"/>
      <c r="Q17" s="442"/>
      <c r="R17" s="442"/>
      <c r="S17" s="442"/>
      <c r="T17" s="442"/>
      <c r="U17" s="442"/>
      <c r="V17" s="442"/>
      <c r="W17" s="442"/>
      <c r="X17" s="442"/>
      <c r="Y17" s="442"/>
      <c r="Z17" s="442"/>
      <c r="AA17" s="442"/>
      <c r="AB17" s="442"/>
      <c r="AR17" s="956"/>
      <c r="AV17" s="956"/>
      <c r="AZ17" s="956"/>
      <c r="BA17" s="1165" t="s">
        <v>1247</v>
      </c>
      <c r="BB17" s="395"/>
      <c r="BC17" s="395"/>
      <c r="BD17" s="395"/>
      <c r="BE17" s="1413"/>
      <c r="BF17" s="444"/>
      <c r="BG17" s="444"/>
      <c r="BH17" s="444"/>
      <c r="BI17" s="444"/>
    </row>
    <row r="18" spans="1:76" s="446" customFormat="1" ht="18.75">
      <c r="A18" s="1163" t="s">
        <v>1201</v>
      </c>
      <c r="B18" s="445"/>
      <c r="C18" s="445"/>
      <c r="D18" s="445"/>
      <c r="E18" s="445"/>
      <c r="F18" s="445"/>
      <c r="G18" s="445"/>
      <c r="H18" s="445"/>
      <c r="I18" s="445"/>
      <c r="BA18" s="1166" t="s">
        <v>1194</v>
      </c>
      <c r="BB18" s="445"/>
      <c r="BC18" s="445"/>
      <c r="BD18" s="445"/>
      <c r="BE18" s="445"/>
    </row>
    <row r="19" spans="1:76" ht="21">
      <c r="A19" s="1164" t="s">
        <v>732</v>
      </c>
      <c r="BA19" s="373" t="s">
        <v>733</v>
      </c>
    </row>
    <row r="20" spans="1:76" ht="12.75">
      <c r="A20" s="346"/>
      <c r="BA20" s="447"/>
      <c r="BF20" s="448"/>
      <c r="BG20" s="448">
        <v>2004</v>
      </c>
      <c r="BH20" s="448">
        <v>2005</v>
      </c>
      <c r="BI20" s="448">
        <v>2006</v>
      </c>
      <c r="BJ20" s="448">
        <v>2007</v>
      </c>
      <c r="BK20" s="448">
        <v>2008</v>
      </c>
      <c r="BL20" s="448">
        <v>2009</v>
      </c>
      <c r="BM20" s="396">
        <v>2010</v>
      </c>
      <c r="BN20" s="396">
        <v>2011</v>
      </c>
      <c r="BO20" s="448">
        <v>2012</v>
      </c>
      <c r="BP20" s="396">
        <v>2013</v>
      </c>
      <c r="BQ20" s="396">
        <v>2014</v>
      </c>
      <c r="BR20" s="448">
        <v>2015</v>
      </c>
      <c r="BS20" s="396">
        <v>2016</v>
      </c>
      <c r="BT20" s="396">
        <v>2017</v>
      </c>
      <c r="BU20" s="396">
        <v>2018</v>
      </c>
      <c r="BV20" s="396">
        <v>2019</v>
      </c>
      <c r="BW20" s="396">
        <v>2020</v>
      </c>
      <c r="BX20" s="396">
        <v>2021</v>
      </c>
    </row>
    <row r="21" spans="1:76" ht="12.75">
      <c r="BF21" s="448" t="s">
        <v>637</v>
      </c>
      <c r="BG21" s="449">
        <v>10</v>
      </c>
      <c r="BH21" s="450">
        <v>12</v>
      </c>
      <c r="BI21" s="450">
        <v>13</v>
      </c>
      <c r="BJ21" s="450">
        <v>9.0820629257216989</v>
      </c>
      <c r="BK21" s="450">
        <v>12</v>
      </c>
      <c r="BL21" s="450">
        <v>14</v>
      </c>
      <c r="BM21" s="450">
        <v>11</v>
      </c>
      <c r="BN21" s="424">
        <v>10</v>
      </c>
      <c r="BO21" s="424">
        <v>10</v>
      </c>
      <c r="BP21" s="450">
        <f>P14</f>
        <v>5.1085568326947639</v>
      </c>
      <c r="BQ21" s="450">
        <f>U14</f>
        <v>8.4388185654008439</v>
      </c>
      <c r="BR21" s="450">
        <v>9.7949886104783594</v>
      </c>
      <c r="BS21" s="450">
        <f>AD14</f>
        <v>8.2063305978898011</v>
      </c>
      <c r="BT21" s="450">
        <f>AH14</f>
        <v>10.526315789473683</v>
      </c>
      <c r="BU21" s="450">
        <f>AL14</f>
        <v>7.5029308323563892</v>
      </c>
      <c r="BV21" s="450">
        <f>AP14</f>
        <v>5.6417489421720735</v>
      </c>
      <c r="BW21" s="450">
        <f>AT14</f>
        <v>11.424944462075532</v>
      </c>
      <c r="BX21" s="450">
        <f>AX14</f>
        <v>24.13036665622062</v>
      </c>
    </row>
    <row r="22" spans="1:76" ht="12.75">
      <c r="BF22" s="448" t="s">
        <v>639</v>
      </c>
      <c r="BG22" s="451">
        <v>18</v>
      </c>
      <c r="BH22" s="450">
        <v>12</v>
      </c>
      <c r="BI22" s="450">
        <v>18</v>
      </c>
      <c r="BJ22" s="450">
        <v>10.900745840504877</v>
      </c>
      <c r="BK22" s="450">
        <v>10</v>
      </c>
      <c r="BL22" s="450">
        <v>8</v>
      </c>
      <c r="BM22" s="450">
        <v>10</v>
      </c>
      <c r="BN22" s="424">
        <v>6</v>
      </c>
      <c r="BO22" s="424">
        <v>7</v>
      </c>
      <c r="BP22" s="450">
        <f>Q14</f>
        <v>6.9060773480662982</v>
      </c>
      <c r="BQ22" s="450">
        <f>V14</f>
        <v>4.6296296296296298</v>
      </c>
      <c r="BR22" s="450">
        <v>5.84795321637427</v>
      </c>
      <c r="BS22" s="450">
        <f>AE14</f>
        <v>6.5207265952491849</v>
      </c>
      <c r="BT22" s="450">
        <f>AI14</f>
        <v>6.381039197812215</v>
      </c>
      <c r="BU22" s="450">
        <f>AM14</f>
        <v>5.8852378616969103</v>
      </c>
      <c r="BV22" s="450">
        <f>AQ14</f>
        <v>4.3431053203040175</v>
      </c>
      <c r="BW22" s="450">
        <f>AU14</f>
        <v>2.2816166883963493</v>
      </c>
      <c r="BX22" s="450">
        <f>AY14</f>
        <v>7.3448402497245686</v>
      </c>
    </row>
    <row r="23" spans="1:76" ht="12.75">
      <c r="BS23" s="450"/>
    </row>
    <row r="24" spans="1:76" ht="16.5" customHeight="1">
      <c r="B24" s="341"/>
      <c r="C24" s="341"/>
      <c r="D24" s="341"/>
      <c r="E24" s="341"/>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J24" s="452"/>
    </row>
    <row r="25" spans="1:76" ht="16.5" customHeight="1">
      <c r="BJ25" s="452"/>
    </row>
    <row r="26" spans="1:76" ht="16.5" customHeight="1">
      <c r="BB26" s="448"/>
      <c r="BC26" s="448"/>
      <c r="BD26" s="448"/>
      <c r="BE26" s="448"/>
      <c r="BF26" s="448"/>
      <c r="BG26" s="448"/>
      <c r="BH26" s="448"/>
      <c r="BI26" s="450"/>
      <c r="BJ26" s="452"/>
    </row>
    <row r="27" spans="1:76" ht="16.5" customHeight="1">
      <c r="BJ27" s="452"/>
    </row>
    <row r="28" spans="1:76" ht="16.5" customHeight="1">
      <c r="BJ28" s="452"/>
    </row>
    <row r="29" spans="1:76" ht="16.5" customHeight="1">
      <c r="BJ29" s="452"/>
    </row>
    <row r="30" spans="1:76" ht="16.5" customHeight="1">
      <c r="BJ30" s="452"/>
    </row>
    <row r="31" spans="1:76" ht="16.5" customHeight="1">
      <c r="BI31" s="452"/>
      <c r="BJ31" s="452"/>
    </row>
  </sheetData>
  <mergeCells count="16">
    <mergeCell ref="BA3:BA4"/>
    <mergeCell ref="BE15:BE17"/>
    <mergeCell ref="A1:BA1"/>
    <mergeCell ref="A2:BA2"/>
    <mergeCell ref="A3:A4"/>
    <mergeCell ref="D3:G3"/>
    <mergeCell ref="J3:M3"/>
    <mergeCell ref="O3:R3"/>
    <mergeCell ref="T3:W3"/>
    <mergeCell ref="Y3:AB3"/>
    <mergeCell ref="AC3:AF3"/>
    <mergeCell ref="AG3:AJ3"/>
    <mergeCell ref="AK3:AN3"/>
    <mergeCell ref="AO3:AR3"/>
    <mergeCell ref="AS3:AV3"/>
    <mergeCell ref="AW3:AZ3"/>
  </mergeCells>
  <pageMargins left="0.7" right="0.7" top="0.75" bottom="0.75" header="0.3" footer="0.3"/>
  <pageSetup paperSize="9" scale="37" orientation="portrait" r:id="rId1"/>
  <colBreaks count="1" manualBreakCount="1">
    <brk id="53" max="42" man="1"/>
  </colBreaks>
  <ignoredErrors>
    <ignoredError sqref="Y9:AF9 Y13:AF13 AY5 AG13:AJ13 AG9:AJ9 AG7:AY8 AG12:AJ12 AK9:AY9 AG14:AY16 AK13:AY13 AG5:AO5 AG6:AO6 AW6:AY6 AW5:AX5" formula="1"/>
    <ignoredError sqref="Y10:AF11 AG10:AJ11 AK10:AY11 AK12:AY12" formula="1" unlockedFormula="1"/>
    <ignoredError sqref="AP5:AV5 AP6:AV6" formula="1" formulaRange="1"/>
  </ignoredError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E49"/>
  <sheetViews>
    <sheetView topLeftCell="A28" workbookViewId="0">
      <selection activeCell="Y16" sqref="Y16"/>
    </sheetView>
  </sheetViews>
  <sheetFormatPr defaultColWidth="11.140625" defaultRowHeight="12.75"/>
  <cols>
    <col min="1" max="1" width="16.5703125" style="494" customWidth="1"/>
    <col min="2" max="3" width="10.42578125" style="494" hidden="1" customWidth="1"/>
    <col min="4" max="4" width="12" style="494" hidden="1" customWidth="1"/>
    <col min="5" max="5" width="9.140625" style="494" hidden="1" customWidth="1"/>
    <col min="6" max="20" width="9.140625" style="494" customWidth="1"/>
    <col min="21" max="21" width="20.28515625" style="494" customWidth="1"/>
    <col min="22" max="22" width="1.140625" style="494" customWidth="1"/>
    <col min="23" max="259" width="11.140625" style="494"/>
    <col min="260" max="260" width="16.5703125" style="494" customWidth="1"/>
    <col min="261" max="264" width="0" style="494" hidden="1" customWidth="1"/>
    <col min="265" max="275" width="9.140625" style="494" customWidth="1"/>
    <col min="276" max="276" width="0" style="494" hidden="1" customWidth="1"/>
    <col min="277" max="277" width="26.140625" style="494" customWidth="1"/>
    <col min="278" max="278" width="1.140625" style="494" customWidth="1"/>
    <col min="279" max="515" width="11.140625" style="494"/>
    <col min="516" max="516" width="16.5703125" style="494" customWidth="1"/>
    <col min="517" max="520" width="0" style="494" hidden="1" customWidth="1"/>
    <col min="521" max="531" width="9.140625" style="494" customWidth="1"/>
    <col min="532" max="532" width="0" style="494" hidden="1" customWidth="1"/>
    <col min="533" max="533" width="26.140625" style="494" customWidth="1"/>
    <col min="534" max="534" width="1.140625" style="494" customWidth="1"/>
    <col min="535" max="771" width="11.140625" style="494"/>
    <col min="772" max="772" width="16.5703125" style="494" customWidth="1"/>
    <col min="773" max="776" width="0" style="494" hidden="1" customWidth="1"/>
    <col min="777" max="787" width="9.140625" style="494" customWidth="1"/>
    <col min="788" max="788" width="0" style="494" hidden="1" customWidth="1"/>
    <col min="789" max="789" width="26.140625" style="494" customWidth="1"/>
    <col min="790" max="790" width="1.140625" style="494" customWidth="1"/>
    <col min="791" max="1027" width="11.140625" style="494"/>
    <col min="1028" max="1028" width="16.5703125" style="494" customWidth="1"/>
    <col min="1029" max="1032" width="0" style="494" hidden="1" customWidth="1"/>
    <col min="1033" max="1043" width="9.140625" style="494" customWidth="1"/>
    <col min="1044" max="1044" width="0" style="494" hidden="1" customWidth="1"/>
    <col min="1045" max="1045" width="26.140625" style="494" customWidth="1"/>
    <col min="1046" max="1046" width="1.140625" style="494" customWidth="1"/>
    <col min="1047" max="1283" width="11.140625" style="494"/>
    <col min="1284" max="1284" width="16.5703125" style="494" customWidth="1"/>
    <col min="1285" max="1288" width="0" style="494" hidden="1" customWidth="1"/>
    <col min="1289" max="1299" width="9.140625" style="494" customWidth="1"/>
    <col min="1300" max="1300" width="0" style="494" hidden="1" customWidth="1"/>
    <col min="1301" max="1301" width="26.140625" style="494" customWidth="1"/>
    <col min="1302" max="1302" width="1.140625" style="494" customWidth="1"/>
    <col min="1303" max="1539" width="11.140625" style="494"/>
    <col min="1540" max="1540" width="16.5703125" style="494" customWidth="1"/>
    <col min="1541" max="1544" width="0" style="494" hidden="1" customWidth="1"/>
    <col min="1545" max="1555" width="9.140625" style="494" customWidth="1"/>
    <col min="1556" max="1556" width="0" style="494" hidden="1" customWidth="1"/>
    <col min="1557" max="1557" width="26.140625" style="494" customWidth="1"/>
    <col min="1558" max="1558" width="1.140625" style="494" customWidth="1"/>
    <col min="1559" max="1795" width="11.140625" style="494"/>
    <col min="1796" max="1796" width="16.5703125" style="494" customWidth="1"/>
    <col min="1797" max="1800" width="0" style="494" hidden="1" customWidth="1"/>
    <col min="1801" max="1811" width="9.140625" style="494" customWidth="1"/>
    <col min="1812" max="1812" width="0" style="494" hidden="1" customWidth="1"/>
    <col min="1813" max="1813" width="26.140625" style="494" customWidth="1"/>
    <col min="1814" max="1814" width="1.140625" style="494" customWidth="1"/>
    <col min="1815" max="2051" width="11.140625" style="494"/>
    <col min="2052" max="2052" width="16.5703125" style="494" customWidth="1"/>
    <col min="2053" max="2056" width="0" style="494" hidden="1" customWidth="1"/>
    <col min="2057" max="2067" width="9.140625" style="494" customWidth="1"/>
    <col min="2068" max="2068" width="0" style="494" hidden="1" customWidth="1"/>
    <col min="2069" max="2069" width="26.140625" style="494" customWidth="1"/>
    <col min="2070" max="2070" width="1.140625" style="494" customWidth="1"/>
    <col min="2071" max="2307" width="11.140625" style="494"/>
    <col min="2308" max="2308" width="16.5703125" style="494" customWidth="1"/>
    <col min="2309" max="2312" width="0" style="494" hidden="1" customWidth="1"/>
    <col min="2313" max="2323" width="9.140625" style="494" customWidth="1"/>
    <col min="2324" max="2324" width="0" style="494" hidden="1" customWidth="1"/>
    <col min="2325" max="2325" width="26.140625" style="494" customWidth="1"/>
    <col min="2326" max="2326" width="1.140625" style="494" customWidth="1"/>
    <col min="2327" max="2563" width="11.140625" style="494"/>
    <col min="2564" max="2564" width="16.5703125" style="494" customWidth="1"/>
    <col min="2565" max="2568" width="0" style="494" hidden="1" customWidth="1"/>
    <col min="2569" max="2579" width="9.140625" style="494" customWidth="1"/>
    <col min="2580" max="2580" width="0" style="494" hidden="1" customWidth="1"/>
    <col min="2581" max="2581" width="26.140625" style="494" customWidth="1"/>
    <col min="2582" max="2582" width="1.140625" style="494" customWidth="1"/>
    <col min="2583" max="2819" width="11.140625" style="494"/>
    <col min="2820" max="2820" width="16.5703125" style="494" customWidth="1"/>
    <col min="2821" max="2824" width="0" style="494" hidden="1" customWidth="1"/>
    <col min="2825" max="2835" width="9.140625" style="494" customWidth="1"/>
    <col min="2836" max="2836" width="0" style="494" hidden="1" customWidth="1"/>
    <col min="2837" max="2837" width="26.140625" style="494" customWidth="1"/>
    <col min="2838" max="2838" width="1.140625" style="494" customWidth="1"/>
    <col min="2839" max="3075" width="11.140625" style="494"/>
    <col min="3076" max="3076" width="16.5703125" style="494" customWidth="1"/>
    <col min="3077" max="3080" width="0" style="494" hidden="1" customWidth="1"/>
    <col min="3081" max="3091" width="9.140625" style="494" customWidth="1"/>
    <col min="3092" max="3092" width="0" style="494" hidden="1" customWidth="1"/>
    <col min="3093" max="3093" width="26.140625" style="494" customWidth="1"/>
    <col min="3094" max="3094" width="1.140625" style="494" customWidth="1"/>
    <col min="3095" max="3331" width="11.140625" style="494"/>
    <col min="3332" max="3332" width="16.5703125" style="494" customWidth="1"/>
    <col min="3333" max="3336" width="0" style="494" hidden="1" customWidth="1"/>
    <col min="3337" max="3347" width="9.140625" style="494" customWidth="1"/>
    <col min="3348" max="3348" width="0" style="494" hidden="1" customWidth="1"/>
    <col min="3349" max="3349" width="26.140625" style="494" customWidth="1"/>
    <col min="3350" max="3350" width="1.140625" style="494" customWidth="1"/>
    <col min="3351" max="3587" width="11.140625" style="494"/>
    <col min="3588" max="3588" width="16.5703125" style="494" customWidth="1"/>
    <col min="3589" max="3592" width="0" style="494" hidden="1" customWidth="1"/>
    <col min="3593" max="3603" width="9.140625" style="494" customWidth="1"/>
    <col min="3604" max="3604" width="0" style="494" hidden="1" customWidth="1"/>
    <col min="3605" max="3605" width="26.140625" style="494" customWidth="1"/>
    <col min="3606" max="3606" width="1.140625" style="494" customWidth="1"/>
    <col min="3607" max="3843" width="11.140625" style="494"/>
    <col min="3844" max="3844" width="16.5703125" style="494" customWidth="1"/>
    <col min="3845" max="3848" width="0" style="494" hidden="1" customWidth="1"/>
    <col min="3849" max="3859" width="9.140625" style="494" customWidth="1"/>
    <col min="3860" max="3860" width="0" style="494" hidden="1" customWidth="1"/>
    <col min="3861" max="3861" width="26.140625" style="494" customWidth="1"/>
    <col min="3862" max="3862" width="1.140625" style="494" customWidth="1"/>
    <col min="3863" max="4099" width="11.140625" style="494"/>
    <col min="4100" max="4100" width="16.5703125" style="494" customWidth="1"/>
    <col min="4101" max="4104" width="0" style="494" hidden="1" customWidth="1"/>
    <col min="4105" max="4115" width="9.140625" style="494" customWidth="1"/>
    <col min="4116" max="4116" width="0" style="494" hidden="1" customWidth="1"/>
    <col min="4117" max="4117" width="26.140625" style="494" customWidth="1"/>
    <col min="4118" max="4118" width="1.140625" style="494" customWidth="1"/>
    <col min="4119" max="4355" width="11.140625" style="494"/>
    <col min="4356" max="4356" width="16.5703125" style="494" customWidth="1"/>
    <col min="4357" max="4360" width="0" style="494" hidden="1" customWidth="1"/>
    <col min="4361" max="4371" width="9.140625" style="494" customWidth="1"/>
    <col min="4372" max="4372" width="0" style="494" hidden="1" customWidth="1"/>
    <col min="4373" max="4373" width="26.140625" style="494" customWidth="1"/>
    <col min="4374" max="4374" width="1.140625" style="494" customWidth="1"/>
    <col min="4375" max="4611" width="11.140625" style="494"/>
    <col min="4612" max="4612" width="16.5703125" style="494" customWidth="1"/>
    <col min="4613" max="4616" width="0" style="494" hidden="1" customWidth="1"/>
    <col min="4617" max="4627" width="9.140625" style="494" customWidth="1"/>
    <col min="4628" max="4628" width="0" style="494" hidden="1" customWidth="1"/>
    <col min="4629" max="4629" width="26.140625" style="494" customWidth="1"/>
    <col min="4630" max="4630" width="1.140625" style="494" customWidth="1"/>
    <col min="4631" max="4867" width="11.140625" style="494"/>
    <col min="4868" max="4868" width="16.5703125" style="494" customWidth="1"/>
    <col min="4869" max="4872" width="0" style="494" hidden="1" customWidth="1"/>
    <col min="4873" max="4883" width="9.140625" style="494" customWidth="1"/>
    <col min="4884" max="4884" width="0" style="494" hidden="1" customWidth="1"/>
    <col min="4885" max="4885" width="26.140625" style="494" customWidth="1"/>
    <col min="4886" max="4886" width="1.140625" style="494" customWidth="1"/>
    <col min="4887" max="5123" width="11.140625" style="494"/>
    <col min="5124" max="5124" width="16.5703125" style="494" customWidth="1"/>
    <col min="5125" max="5128" width="0" style="494" hidden="1" customWidth="1"/>
    <col min="5129" max="5139" width="9.140625" style="494" customWidth="1"/>
    <col min="5140" max="5140" width="0" style="494" hidden="1" customWidth="1"/>
    <col min="5141" max="5141" width="26.140625" style="494" customWidth="1"/>
    <col min="5142" max="5142" width="1.140625" style="494" customWidth="1"/>
    <col min="5143" max="5379" width="11.140625" style="494"/>
    <col min="5380" max="5380" width="16.5703125" style="494" customWidth="1"/>
    <col min="5381" max="5384" width="0" style="494" hidden="1" customWidth="1"/>
    <col min="5385" max="5395" width="9.140625" style="494" customWidth="1"/>
    <col min="5396" max="5396" width="0" style="494" hidden="1" customWidth="1"/>
    <col min="5397" max="5397" width="26.140625" style="494" customWidth="1"/>
    <col min="5398" max="5398" width="1.140625" style="494" customWidth="1"/>
    <col min="5399" max="5635" width="11.140625" style="494"/>
    <col min="5636" max="5636" width="16.5703125" style="494" customWidth="1"/>
    <col min="5637" max="5640" width="0" style="494" hidden="1" customWidth="1"/>
    <col min="5641" max="5651" width="9.140625" style="494" customWidth="1"/>
    <col min="5652" max="5652" width="0" style="494" hidden="1" customWidth="1"/>
    <col min="5653" max="5653" width="26.140625" style="494" customWidth="1"/>
    <col min="5654" max="5654" width="1.140625" style="494" customWidth="1"/>
    <col min="5655" max="5891" width="11.140625" style="494"/>
    <col min="5892" max="5892" width="16.5703125" style="494" customWidth="1"/>
    <col min="5893" max="5896" width="0" style="494" hidden="1" customWidth="1"/>
    <col min="5897" max="5907" width="9.140625" style="494" customWidth="1"/>
    <col min="5908" max="5908" width="0" style="494" hidden="1" customWidth="1"/>
    <col min="5909" max="5909" width="26.140625" style="494" customWidth="1"/>
    <col min="5910" max="5910" width="1.140625" style="494" customWidth="1"/>
    <col min="5911" max="6147" width="11.140625" style="494"/>
    <col min="6148" max="6148" width="16.5703125" style="494" customWidth="1"/>
    <col min="6149" max="6152" width="0" style="494" hidden="1" customWidth="1"/>
    <col min="6153" max="6163" width="9.140625" style="494" customWidth="1"/>
    <col min="6164" max="6164" width="0" style="494" hidden="1" customWidth="1"/>
    <col min="6165" max="6165" width="26.140625" style="494" customWidth="1"/>
    <col min="6166" max="6166" width="1.140625" style="494" customWidth="1"/>
    <col min="6167" max="6403" width="11.140625" style="494"/>
    <col min="6404" max="6404" width="16.5703125" style="494" customWidth="1"/>
    <col min="6405" max="6408" width="0" style="494" hidden="1" customWidth="1"/>
    <col min="6409" max="6419" width="9.140625" style="494" customWidth="1"/>
    <col min="6420" max="6420" width="0" style="494" hidden="1" customWidth="1"/>
    <col min="6421" max="6421" width="26.140625" style="494" customWidth="1"/>
    <col min="6422" max="6422" width="1.140625" style="494" customWidth="1"/>
    <col min="6423" max="6659" width="11.140625" style="494"/>
    <col min="6660" max="6660" width="16.5703125" style="494" customWidth="1"/>
    <col min="6661" max="6664" width="0" style="494" hidden="1" customWidth="1"/>
    <col min="6665" max="6675" width="9.140625" style="494" customWidth="1"/>
    <col min="6676" max="6676" width="0" style="494" hidden="1" customWidth="1"/>
    <col min="6677" max="6677" width="26.140625" style="494" customWidth="1"/>
    <col min="6678" max="6678" width="1.140625" style="494" customWidth="1"/>
    <col min="6679" max="6915" width="11.140625" style="494"/>
    <col min="6916" max="6916" width="16.5703125" style="494" customWidth="1"/>
    <col min="6917" max="6920" width="0" style="494" hidden="1" customWidth="1"/>
    <col min="6921" max="6931" width="9.140625" style="494" customWidth="1"/>
    <col min="6932" max="6932" width="0" style="494" hidden="1" customWidth="1"/>
    <col min="6933" max="6933" width="26.140625" style="494" customWidth="1"/>
    <col min="6934" max="6934" width="1.140625" style="494" customWidth="1"/>
    <col min="6935" max="7171" width="11.140625" style="494"/>
    <col min="7172" max="7172" width="16.5703125" style="494" customWidth="1"/>
    <col min="7173" max="7176" width="0" style="494" hidden="1" customWidth="1"/>
    <col min="7177" max="7187" width="9.140625" style="494" customWidth="1"/>
    <col min="7188" max="7188" width="0" style="494" hidden="1" customWidth="1"/>
    <col min="7189" max="7189" width="26.140625" style="494" customWidth="1"/>
    <col min="7190" max="7190" width="1.140625" style="494" customWidth="1"/>
    <col min="7191" max="7427" width="11.140625" style="494"/>
    <col min="7428" max="7428" width="16.5703125" style="494" customWidth="1"/>
    <col min="7429" max="7432" width="0" style="494" hidden="1" customWidth="1"/>
    <col min="7433" max="7443" width="9.140625" style="494" customWidth="1"/>
    <col min="7444" max="7444" width="0" style="494" hidden="1" customWidth="1"/>
    <col min="7445" max="7445" width="26.140625" style="494" customWidth="1"/>
    <col min="7446" max="7446" width="1.140625" style="494" customWidth="1"/>
    <col min="7447" max="7683" width="11.140625" style="494"/>
    <col min="7684" max="7684" width="16.5703125" style="494" customWidth="1"/>
    <col min="7685" max="7688" width="0" style="494" hidden="1" customWidth="1"/>
    <col min="7689" max="7699" width="9.140625" style="494" customWidth="1"/>
    <col min="7700" max="7700" width="0" style="494" hidden="1" customWidth="1"/>
    <col min="7701" max="7701" width="26.140625" style="494" customWidth="1"/>
    <col min="7702" max="7702" width="1.140625" style="494" customWidth="1"/>
    <col min="7703" max="7939" width="11.140625" style="494"/>
    <col min="7940" max="7940" width="16.5703125" style="494" customWidth="1"/>
    <col min="7941" max="7944" width="0" style="494" hidden="1" customWidth="1"/>
    <col min="7945" max="7955" width="9.140625" style="494" customWidth="1"/>
    <col min="7956" max="7956" width="0" style="494" hidden="1" customWidth="1"/>
    <col min="7957" max="7957" width="26.140625" style="494" customWidth="1"/>
    <col min="7958" max="7958" width="1.140625" style="494" customWidth="1"/>
    <col min="7959" max="8195" width="11.140625" style="494"/>
    <col min="8196" max="8196" width="16.5703125" style="494" customWidth="1"/>
    <col min="8197" max="8200" width="0" style="494" hidden="1" customWidth="1"/>
    <col min="8201" max="8211" width="9.140625" style="494" customWidth="1"/>
    <col min="8212" max="8212" width="0" style="494" hidden="1" customWidth="1"/>
    <col min="8213" max="8213" width="26.140625" style="494" customWidth="1"/>
    <col min="8214" max="8214" width="1.140625" style="494" customWidth="1"/>
    <col min="8215" max="8451" width="11.140625" style="494"/>
    <col min="8452" max="8452" width="16.5703125" style="494" customWidth="1"/>
    <col min="8453" max="8456" width="0" style="494" hidden="1" customWidth="1"/>
    <col min="8457" max="8467" width="9.140625" style="494" customWidth="1"/>
    <col min="8468" max="8468" width="0" style="494" hidden="1" customWidth="1"/>
    <col min="8469" max="8469" width="26.140625" style="494" customWidth="1"/>
    <col min="8470" max="8470" width="1.140625" style="494" customWidth="1"/>
    <col min="8471" max="8707" width="11.140625" style="494"/>
    <col min="8708" max="8708" width="16.5703125" style="494" customWidth="1"/>
    <col min="8709" max="8712" width="0" style="494" hidden="1" customWidth="1"/>
    <col min="8713" max="8723" width="9.140625" style="494" customWidth="1"/>
    <col min="8724" max="8724" width="0" style="494" hidden="1" customWidth="1"/>
    <col min="8725" max="8725" width="26.140625" style="494" customWidth="1"/>
    <col min="8726" max="8726" width="1.140625" style="494" customWidth="1"/>
    <col min="8727" max="8963" width="11.140625" style="494"/>
    <col min="8964" max="8964" width="16.5703125" style="494" customWidth="1"/>
    <col min="8965" max="8968" width="0" style="494" hidden="1" customWidth="1"/>
    <col min="8969" max="8979" width="9.140625" style="494" customWidth="1"/>
    <col min="8980" max="8980" width="0" style="494" hidden="1" customWidth="1"/>
    <col min="8981" max="8981" width="26.140625" style="494" customWidth="1"/>
    <col min="8982" max="8982" width="1.140625" style="494" customWidth="1"/>
    <col min="8983" max="9219" width="11.140625" style="494"/>
    <col min="9220" max="9220" width="16.5703125" style="494" customWidth="1"/>
    <col min="9221" max="9224" width="0" style="494" hidden="1" customWidth="1"/>
    <col min="9225" max="9235" width="9.140625" style="494" customWidth="1"/>
    <col min="9236" max="9236" width="0" style="494" hidden="1" customWidth="1"/>
    <col min="9237" max="9237" width="26.140625" style="494" customWidth="1"/>
    <col min="9238" max="9238" width="1.140625" style="494" customWidth="1"/>
    <col min="9239" max="9475" width="11.140625" style="494"/>
    <col min="9476" max="9476" width="16.5703125" style="494" customWidth="1"/>
    <col min="9477" max="9480" width="0" style="494" hidden="1" customWidth="1"/>
    <col min="9481" max="9491" width="9.140625" style="494" customWidth="1"/>
    <col min="9492" max="9492" width="0" style="494" hidden="1" customWidth="1"/>
    <col min="9493" max="9493" width="26.140625" style="494" customWidth="1"/>
    <col min="9494" max="9494" width="1.140625" style="494" customWidth="1"/>
    <col min="9495" max="9731" width="11.140625" style="494"/>
    <col min="9732" max="9732" width="16.5703125" style="494" customWidth="1"/>
    <col min="9733" max="9736" width="0" style="494" hidden="1" customWidth="1"/>
    <col min="9737" max="9747" width="9.140625" style="494" customWidth="1"/>
    <col min="9748" max="9748" width="0" style="494" hidden="1" customWidth="1"/>
    <col min="9749" max="9749" width="26.140625" style="494" customWidth="1"/>
    <col min="9750" max="9750" width="1.140625" style="494" customWidth="1"/>
    <col min="9751" max="9987" width="11.140625" style="494"/>
    <col min="9988" max="9988" width="16.5703125" style="494" customWidth="1"/>
    <col min="9989" max="9992" width="0" style="494" hidden="1" customWidth="1"/>
    <col min="9993" max="10003" width="9.140625" style="494" customWidth="1"/>
    <col min="10004" max="10004" width="0" style="494" hidden="1" customWidth="1"/>
    <col min="10005" max="10005" width="26.140625" style="494" customWidth="1"/>
    <col min="10006" max="10006" width="1.140625" style="494" customWidth="1"/>
    <col min="10007" max="10243" width="11.140625" style="494"/>
    <col min="10244" max="10244" width="16.5703125" style="494" customWidth="1"/>
    <col min="10245" max="10248" width="0" style="494" hidden="1" customWidth="1"/>
    <col min="10249" max="10259" width="9.140625" style="494" customWidth="1"/>
    <col min="10260" max="10260" width="0" style="494" hidden="1" customWidth="1"/>
    <col min="10261" max="10261" width="26.140625" style="494" customWidth="1"/>
    <col min="10262" max="10262" width="1.140625" style="494" customWidth="1"/>
    <col min="10263" max="10499" width="11.140625" style="494"/>
    <col min="10500" max="10500" width="16.5703125" style="494" customWidth="1"/>
    <col min="10501" max="10504" width="0" style="494" hidden="1" customWidth="1"/>
    <col min="10505" max="10515" width="9.140625" style="494" customWidth="1"/>
    <col min="10516" max="10516" width="0" style="494" hidden="1" customWidth="1"/>
    <col min="10517" max="10517" width="26.140625" style="494" customWidth="1"/>
    <col min="10518" max="10518" width="1.140625" style="494" customWidth="1"/>
    <col min="10519" max="10755" width="11.140625" style="494"/>
    <col min="10756" max="10756" width="16.5703125" style="494" customWidth="1"/>
    <col min="10757" max="10760" width="0" style="494" hidden="1" customWidth="1"/>
    <col min="10761" max="10771" width="9.140625" style="494" customWidth="1"/>
    <col min="10772" max="10772" width="0" style="494" hidden="1" customWidth="1"/>
    <col min="10773" max="10773" width="26.140625" style="494" customWidth="1"/>
    <col min="10774" max="10774" width="1.140625" style="494" customWidth="1"/>
    <col min="10775" max="11011" width="11.140625" style="494"/>
    <col min="11012" max="11012" width="16.5703125" style="494" customWidth="1"/>
    <col min="11013" max="11016" width="0" style="494" hidden="1" customWidth="1"/>
    <col min="11017" max="11027" width="9.140625" style="494" customWidth="1"/>
    <col min="11028" max="11028" width="0" style="494" hidden="1" customWidth="1"/>
    <col min="11029" max="11029" width="26.140625" style="494" customWidth="1"/>
    <col min="11030" max="11030" width="1.140625" style="494" customWidth="1"/>
    <col min="11031" max="11267" width="11.140625" style="494"/>
    <col min="11268" max="11268" width="16.5703125" style="494" customWidth="1"/>
    <col min="11269" max="11272" width="0" style="494" hidden="1" customWidth="1"/>
    <col min="11273" max="11283" width="9.140625" style="494" customWidth="1"/>
    <col min="11284" max="11284" width="0" style="494" hidden="1" customWidth="1"/>
    <col min="11285" max="11285" width="26.140625" style="494" customWidth="1"/>
    <col min="11286" max="11286" width="1.140625" style="494" customWidth="1"/>
    <col min="11287" max="11523" width="11.140625" style="494"/>
    <col min="11524" max="11524" width="16.5703125" style="494" customWidth="1"/>
    <col min="11525" max="11528" width="0" style="494" hidden="1" customWidth="1"/>
    <col min="11529" max="11539" width="9.140625" style="494" customWidth="1"/>
    <col min="11540" max="11540" width="0" style="494" hidden="1" customWidth="1"/>
    <col min="11541" max="11541" width="26.140625" style="494" customWidth="1"/>
    <col min="11542" max="11542" width="1.140625" style="494" customWidth="1"/>
    <col min="11543" max="11779" width="11.140625" style="494"/>
    <col min="11780" max="11780" width="16.5703125" style="494" customWidth="1"/>
    <col min="11781" max="11784" width="0" style="494" hidden="1" customWidth="1"/>
    <col min="11785" max="11795" width="9.140625" style="494" customWidth="1"/>
    <col min="11796" max="11796" width="0" style="494" hidden="1" customWidth="1"/>
    <col min="11797" max="11797" width="26.140625" style="494" customWidth="1"/>
    <col min="11798" max="11798" width="1.140625" style="494" customWidth="1"/>
    <col min="11799" max="12035" width="11.140625" style="494"/>
    <col min="12036" max="12036" width="16.5703125" style="494" customWidth="1"/>
    <col min="12037" max="12040" width="0" style="494" hidden="1" customWidth="1"/>
    <col min="12041" max="12051" width="9.140625" style="494" customWidth="1"/>
    <col min="12052" max="12052" width="0" style="494" hidden="1" customWidth="1"/>
    <col min="12053" max="12053" width="26.140625" style="494" customWidth="1"/>
    <col min="12054" max="12054" width="1.140625" style="494" customWidth="1"/>
    <col min="12055" max="12291" width="11.140625" style="494"/>
    <col min="12292" max="12292" width="16.5703125" style="494" customWidth="1"/>
    <col min="12293" max="12296" width="0" style="494" hidden="1" customWidth="1"/>
    <col min="12297" max="12307" width="9.140625" style="494" customWidth="1"/>
    <col min="12308" max="12308" width="0" style="494" hidden="1" customWidth="1"/>
    <col min="12309" max="12309" width="26.140625" style="494" customWidth="1"/>
    <col min="12310" max="12310" width="1.140625" style="494" customWidth="1"/>
    <col min="12311" max="12547" width="11.140625" style="494"/>
    <col min="12548" max="12548" width="16.5703125" style="494" customWidth="1"/>
    <col min="12549" max="12552" width="0" style="494" hidden="1" customWidth="1"/>
    <col min="12553" max="12563" width="9.140625" style="494" customWidth="1"/>
    <col min="12564" max="12564" width="0" style="494" hidden="1" customWidth="1"/>
    <col min="12565" max="12565" width="26.140625" style="494" customWidth="1"/>
    <col min="12566" max="12566" width="1.140625" style="494" customWidth="1"/>
    <col min="12567" max="12803" width="11.140625" style="494"/>
    <col min="12804" max="12804" width="16.5703125" style="494" customWidth="1"/>
    <col min="12805" max="12808" width="0" style="494" hidden="1" customWidth="1"/>
    <col min="12809" max="12819" width="9.140625" style="494" customWidth="1"/>
    <col min="12820" max="12820" width="0" style="494" hidden="1" customWidth="1"/>
    <col min="12821" max="12821" width="26.140625" style="494" customWidth="1"/>
    <col min="12822" max="12822" width="1.140625" style="494" customWidth="1"/>
    <col min="12823" max="13059" width="11.140625" style="494"/>
    <col min="13060" max="13060" width="16.5703125" style="494" customWidth="1"/>
    <col min="13061" max="13064" width="0" style="494" hidden="1" customWidth="1"/>
    <col min="13065" max="13075" width="9.140625" style="494" customWidth="1"/>
    <col min="13076" max="13076" width="0" style="494" hidden="1" customWidth="1"/>
    <col min="13077" max="13077" width="26.140625" style="494" customWidth="1"/>
    <col min="13078" max="13078" width="1.140625" style="494" customWidth="1"/>
    <col min="13079" max="13315" width="11.140625" style="494"/>
    <col min="13316" max="13316" width="16.5703125" style="494" customWidth="1"/>
    <col min="13317" max="13320" width="0" style="494" hidden="1" customWidth="1"/>
    <col min="13321" max="13331" width="9.140625" style="494" customWidth="1"/>
    <col min="13332" max="13332" width="0" style="494" hidden="1" customWidth="1"/>
    <col min="13333" max="13333" width="26.140625" style="494" customWidth="1"/>
    <col min="13334" max="13334" width="1.140625" style="494" customWidth="1"/>
    <col min="13335" max="13571" width="11.140625" style="494"/>
    <col min="13572" max="13572" width="16.5703125" style="494" customWidth="1"/>
    <col min="13573" max="13576" width="0" style="494" hidden="1" customWidth="1"/>
    <col min="13577" max="13587" width="9.140625" style="494" customWidth="1"/>
    <col min="13588" max="13588" width="0" style="494" hidden="1" customWidth="1"/>
    <col min="13589" max="13589" width="26.140625" style="494" customWidth="1"/>
    <col min="13590" max="13590" width="1.140625" style="494" customWidth="1"/>
    <col min="13591" max="13827" width="11.140625" style="494"/>
    <col min="13828" max="13828" width="16.5703125" style="494" customWidth="1"/>
    <col min="13829" max="13832" width="0" style="494" hidden="1" customWidth="1"/>
    <col min="13833" max="13843" width="9.140625" style="494" customWidth="1"/>
    <col min="13844" max="13844" width="0" style="494" hidden="1" customWidth="1"/>
    <col min="13845" max="13845" width="26.140625" style="494" customWidth="1"/>
    <col min="13846" max="13846" width="1.140625" style="494" customWidth="1"/>
    <col min="13847" max="14083" width="11.140625" style="494"/>
    <col min="14084" max="14084" width="16.5703125" style="494" customWidth="1"/>
    <col min="14085" max="14088" width="0" style="494" hidden="1" customWidth="1"/>
    <col min="14089" max="14099" width="9.140625" style="494" customWidth="1"/>
    <col min="14100" max="14100" width="0" style="494" hidden="1" customWidth="1"/>
    <col min="14101" max="14101" width="26.140625" style="494" customWidth="1"/>
    <col min="14102" max="14102" width="1.140625" style="494" customWidth="1"/>
    <col min="14103" max="14339" width="11.140625" style="494"/>
    <col min="14340" max="14340" width="16.5703125" style="494" customWidth="1"/>
    <col min="14341" max="14344" width="0" style="494" hidden="1" customWidth="1"/>
    <col min="14345" max="14355" width="9.140625" style="494" customWidth="1"/>
    <col min="14356" max="14356" width="0" style="494" hidden="1" customWidth="1"/>
    <col min="14357" max="14357" width="26.140625" style="494" customWidth="1"/>
    <col min="14358" max="14358" width="1.140625" style="494" customWidth="1"/>
    <col min="14359" max="14595" width="11.140625" style="494"/>
    <col min="14596" max="14596" width="16.5703125" style="494" customWidth="1"/>
    <col min="14597" max="14600" width="0" style="494" hidden="1" customWidth="1"/>
    <col min="14601" max="14611" width="9.140625" style="494" customWidth="1"/>
    <col min="14612" max="14612" width="0" style="494" hidden="1" customWidth="1"/>
    <col min="14613" max="14613" width="26.140625" style="494" customWidth="1"/>
    <col min="14614" max="14614" width="1.140625" style="494" customWidth="1"/>
    <col min="14615" max="14851" width="11.140625" style="494"/>
    <col min="14852" max="14852" width="16.5703125" style="494" customWidth="1"/>
    <col min="14853" max="14856" width="0" style="494" hidden="1" customWidth="1"/>
    <col min="14857" max="14867" width="9.140625" style="494" customWidth="1"/>
    <col min="14868" max="14868" width="0" style="494" hidden="1" customWidth="1"/>
    <col min="14869" max="14869" width="26.140625" style="494" customWidth="1"/>
    <col min="14870" max="14870" width="1.140625" style="494" customWidth="1"/>
    <col min="14871" max="15107" width="11.140625" style="494"/>
    <col min="15108" max="15108" width="16.5703125" style="494" customWidth="1"/>
    <col min="15109" max="15112" width="0" style="494" hidden="1" customWidth="1"/>
    <col min="15113" max="15123" width="9.140625" style="494" customWidth="1"/>
    <col min="15124" max="15124" width="0" style="494" hidden="1" customWidth="1"/>
    <col min="15125" max="15125" width="26.140625" style="494" customWidth="1"/>
    <col min="15126" max="15126" width="1.140625" style="494" customWidth="1"/>
    <col min="15127" max="15363" width="11.140625" style="494"/>
    <col min="15364" max="15364" width="16.5703125" style="494" customWidth="1"/>
    <col min="15365" max="15368" width="0" style="494" hidden="1" customWidth="1"/>
    <col min="15369" max="15379" width="9.140625" style="494" customWidth="1"/>
    <col min="15380" max="15380" width="0" style="494" hidden="1" customWidth="1"/>
    <col min="15381" max="15381" width="26.140625" style="494" customWidth="1"/>
    <col min="15382" max="15382" width="1.140625" style="494" customWidth="1"/>
    <col min="15383" max="15619" width="11.140625" style="494"/>
    <col min="15620" max="15620" width="16.5703125" style="494" customWidth="1"/>
    <col min="15621" max="15624" width="0" style="494" hidden="1" customWidth="1"/>
    <col min="15625" max="15635" width="9.140625" style="494" customWidth="1"/>
    <col min="15636" max="15636" width="0" style="494" hidden="1" customWidth="1"/>
    <col min="15637" max="15637" width="26.140625" style="494" customWidth="1"/>
    <col min="15638" max="15638" width="1.140625" style="494" customWidth="1"/>
    <col min="15639" max="15875" width="11.140625" style="494"/>
    <col min="15876" max="15876" width="16.5703125" style="494" customWidth="1"/>
    <col min="15877" max="15880" width="0" style="494" hidden="1" customWidth="1"/>
    <col min="15881" max="15891" width="9.140625" style="494" customWidth="1"/>
    <col min="15892" max="15892" width="0" style="494" hidden="1" customWidth="1"/>
    <col min="15893" max="15893" width="26.140625" style="494" customWidth="1"/>
    <col min="15894" max="15894" width="1.140625" style="494" customWidth="1"/>
    <col min="15895" max="16131" width="11.140625" style="494"/>
    <col min="16132" max="16132" width="16.5703125" style="494" customWidth="1"/>
    <col min="16133" max="16136" width="0" style="494" hidden="1" customWidth="1"/>
    <col min="16137" max="16147" width="9.140625" style="494" customWidth="1"/>
    <col min="16148" max="16148" width="0" style="494" hidden="1" customWidth="1"/>
    <col min="16149" max="16149" width="26.140625" style="494" customWidth="1"/>
    <col min="16150" max="16150" width="1.140625" style="494" customWidth="1"/>
    <col min="16151" max="16384" width="11.140625" style="494"/>
  </cols>
  <sheetData>
    <row r="1" spans="1:31" s="477" customFormat="1" ht="15.75">
      <c r="A1" s="1421" t="s">
        <v>1245</v>
      </c>
      <c r="B1" s="1421"/>
      <c r="C1" s="1421"/>
      <c r="D1" s="1421"/>
      <c r="E1" s="1421"/>
      <c r="F1" s="1421"/>
      <c r="G1" s="1421"/>
      <c r="H1" s="1421"/>
      <c r="I1" s="1421"/>
      <c r="J1" s="1421"/>
      <c r="K1" s="1421"/>
      <c r="L1" s="1421"/>
      <c r="M1" s="1421"/>
      <c r="N1" s="1421"/>
      <c r="O1" s="1421"/>
      <c r="P1" s="1421"/>
      <c r="Q1" s="1421"/>
      <c r="R1" s="1421"/>
      <c r="S1" s="1421"/>
      <c r="T1" s="1421"/>
      <c r="U1" s="1421"/>
    </row>
    <row r="2" spans="1:31" s="478" customFormat="1" ht="15">
      <c r="A2" s="1422" t="s">
        <v>1244</v>
      </c>
      <c r="B2" s="1422"/>
      <c r="C2" s="1422"/>
      <c r="D2" s="1422"/>
      <c r="E2" s="1422"/>
      <c r="F2" s="1422"/>
      <c r="G2" s="1422"/>
      <c r="H2" s="1422"/>
      <c r="I2" s="1422"/>
      <c r="J2" s="1422"/>
      <c r="K2" s="1422"/>
      <c r="L2" s="1422"/>
      <c r="M2" s="1422"/>
      <c r="N2" s="1422"/>
      <c r="O2" s="1422"/>
      <c r="P2" s="1422"/>
      <c r="Q2" s="1422"/>
      <c r="R2" s="1422"/>
      <c r="S2" s="1422"/>
      <c r="T2" s="1422"/>
      <c r="U2" s="1422"/>
      <c r="W2" s="477"/>
      <c r="X2" s="477"/>
      <c r="Y2" s="477"/>
      <c r="Z2" s="477"/>
      <c r="AA2" s="477"/>
      <c r="AB2" s="477"/>
      <c r="AC2" s="477"/>
      <c r="AD2" s="477"/>
    </row>
    <row r="3" spans="1:31" s="478" customFormat="1" ht="15.75">
      <c r="A3" s="479" t="s">
        <v>761</v>
      </c>
      <c r="B3" s="480" t="s">
        <v>762</v>
      </c>
      <c r="C3" s="480">
        <v>2004</v>
      </c>
      <c r="D3" s="480">
        <v>2005</v>
      </c>
      <c r="E3" s="481">
        <v>2006</v>
      </c>
      <c r="F3" s="480" t="s">
        <v>763</v>
      </c>
      <c r="G3" s="480" t="s">
        <v>764</v>
      </c>
      <c r="H3" s="480" t="s">
        <v>765</v>
      </c>
      <c r="I3" s="481">
        <v>2010</v>
      </c>
      <c r="J3" s="481">
        <v>2011</v>
      </c>
      <c r="K3" s="481">
        <v>2012</v>
      </c>
      <c r="L3" s="481">
        <v>2013</v>
      </c>
      <c r="M3" s="481">
        <v>2014</v>
      </c>
      <c r="N3" s="481">
        <v>2015</v>
      </c>
      <c r="O3" s="481">
        <v>2016</v>
      </c>
      <c r="P3" s="481">
        <v>2017</v>
      </c>
      <c r="Q3" s="480">
        <v>2018</v>
      </c>
      <c r="R3" s="480">
        <v>2019</v>
      </c>
      <c r="S3" s="480">
        <v>2020</v>
      </c>
      <c r="T3" s="480" t="s">
        <v>1196</v>
      </c>
      <c r="U3" s="904" t="s">
        <v>766</v>
      </c>
      <c r="W3" s="477"/>
      <c r="X3" s="477"/>
      <c r="Y3" s="477"/>
      <c r="Z3" s="477"/>
      <c r="AA3" s="477"/>
      <c r="AB3" s="477"/>
      <c r="AC3" s="477"/>
      <c r="AD3" s="477"/>
    </row>
    <row r="4" spans="1:31" s="478" customFormat="1" ht="15.75">
      <c r="A4" s="482" t="s">
        <v>21</v>
      </c>
      <c r="B4" s="483"/>
      <c r="C4" s="483"/>
      <c r="D4" s="483"/>
      <c r="E4" s="483"/>
      <c r="F4" s="483"/>
      <c r="G4" s="483"/>
      <c r="H4" s="483"/>
      <c r="I4" s="483"/>
      <c r="J4" s="483"/>
      <c r="K4" s="483"/>
      <c r="L4" s="483"/>
      <c r="M4" s="483"/>
      <c r="N4" s="483"/>
      <c r="O4" s="483"/>
      <c r="P4" s="483"/>
      <c r="Q4" s="483"/>
      <c r="R4" s="483"/>
      <c r="S4" s="483"/>
      <c r="T4" s="483"/>
      <c r="U4" s="905" t="s">
        <v>767</v>
      </c>
      <c r="W4" s="477"/>
      <c r="X4" s="477"/>
      <c r="Y4" s="477"/>
      <c r="Z4" s="477"/>
      <c r="AA4" s="477"/>
      <c r="AB4" s="477"/>
      <c r="AC4" s="477"/>
      <c r="AD4" s="477"/>
    </row>
    <row r="5" spans="1:31" s="478" customFormat="1" ht="15.75">
      <c r="A5" s="482" t="s">
        <v>768</v>
      </c>
      <c r="B5" s="484">
        <f t="shared" ref="B5:H5" si="0">SUM(B6:B12)</f>
        <v>1022</v>
      </c>
      <c r="C5" s="484">
        <f t="shared" si="0"/>
        <v>1007</v>
      </c>
      <c r="D5" s="484">
        <f t="shared" si="0"/>
        <v>1015</v>
      </c>
      <c r="E5" s="484">
        <f t="shared" si="0"/>
        <v>1083</v>
      </c>
      <c r="F5" s="484">
        <f>SUM(F6:F12)</f>
        <v>1126</v>
      </c>
      <c r="G5" s="484">
        <f t="shared" si="0"/>
        <v>1090</v>
      </c>
      <c r="H5" s="484">
        <f t="shared" si="0"/>
        <v>1164</v>
      </c>
      <c r="I5" s="484">
        <v>1105</v>
      </c>
      <c r="J5" s="484">
        <v>1137</v>
      </c>
      <c r="K5" s="485">
        <v>1135</v>
      </c>
      <c r="L5" s="485">
        <f>L14+L23</f>
        <v>1120</v>
      </c>
      <c r="M5" s="485">
        <f>M14+M23</f>
        <v>1143</v>
      </c>
      <c r="N5" s="485">
        <f>N14+N23</f>
        <v>1130</v>
      </c>
      <c r="O5" s="485">
        <f>SUM(O14+O23)</f>
        <v>1226</v>
      </c>
      <c r="P5" s="485">
        <f>SUM(P14+P23)</f>
        <v>1241</v>
      </c>
      <c r="Q5" s="485">
        <f>SUM(Q14+Q23)+Q31+Q32</f>
        <v>1216</v>
      </c>
      <c r="R5" s="485">
        <v>1041</v>
      </c>
      <c r="S5" s="485">
        <f>S14+S23+S34</f>
        <v>1275</v>
      </c>
      <c r="T5" s="485">
        <f>T14+T23+T34</f>
        <v>1552</v>
      </c>
      <c r="U5" s="905" t="s">
        <v>769</v>
      </c>
      <c r="W5" s="477"/>
      <c r="X5" s="477"/>
    </row>
    <row r="6" spans="1:31" s="478" customFormat="1" ht="15.75">
      <c r="A6" s="486" t="s">
        <v>770</v>
      </c>
      <c r="B6" s="487">
        <f t="shared" ref="B6:D12" si="1">SUM(B15+B24)</f>
        <v>72</v>
      </c>
      <c r="C6" s="487">
        <f t="shared" si="1"/>
        <v>76</v>
      </c>
      <c r="D6" s="487">
        <f t="shared" si="1"/>
        <v>67</v>
      </c>
      <c r="E6" s="487">
        <v>93</v>
      </c>
      <c r="F6" s="487">
        <f>F15+F24</f>
        <v>66</v>
      </c>
      <c r="G6" s="487">
        <v>76</v>
      </c>
      <c r="H6" s="487">
        <v>81</v>
      </c>
      <c r="I6" s="487">
        <v>78</v>
      </c>
      <c r="J6" s="487">
        <v>65</v>
      </c>
      <c r="K6" s="487">
        <v>66</v>
      </c>
      <c r="L6" s="487">
        <v>46</v>
      </c>
      <c r="M6" s="487">
        <v>59</v>
      </c>
      <c r="N6" s="487">
        <v>63</v>
      </c>
      <c r="O6" s="487">
        <f t="shared" ref="O6:O11" si="2">O15+O24</f>
        <v>53</v>
      </c>
      <c r="P6" s="487">
        <v>64</v>
      </c>
      <c r="Q6" s="487">
        <f t="shared" ref="Q6:Q12" si="3">SUM(Q15+Q24)</f>
        <v>45</v>
      </c>
      <c r="R6" s="487">
        <v>43</v>
      </c>
      <c r="S6" s="487">
        <f t="shared" ref="S6:T12" si="4">S15+S24+S35</f>
        <v>45</v>
      </c>
      <c r="T6" s="487">
        <f t="shared" si="4"/>
        <v>96</v>
      </c>
      <c r="U6" s="906" t="s">
        <v>771</v>
      </c>
      <c r="W6" s="477"/>
      <c r="X6" s="477"/>
      <c r="Y6" s="477"/>
      <c r="Z6" s="477"/>
      <c r="AA6" s="477"/>
      <c r="AB6" s="477"/>
      <c r="AC6" s="477"/>
      <c r="AD6" s="477"/>
    </row>
    <row r="7" spans="1:31" s="478" customFormat="1" ht="18.75">
      <c r="A7" s="486" t="s">
        <v>772</v>
      </c>
      <c r="B7" s="487">
        <f t="shared" si="1"/>
        <v>23</v>
      </c>
      <c r="C7" s="487">
        <f t="shared" si="1"/>
        <v>39</v>
      </c>
      <c r="D7" s="487">
        <f t="shared" si="1"/>
        <v>20</v>
      </c>
      <c r="E7" s="487">
        <v>15</v>
      </c>
      <c r="F7" s="487">
        <f t="shared" ref="F7:F12" si="5">F16+F25</f>
        <v>10</v>
      </c>
      <c r="G7" s="487">
        <v>20</v>
      </c>
      <c r="H7" s="487">
        <v>10</v>
      </c>
      <c r="I7" s="487">
        <v>11</v>
      </c>
      <c r="J7" s="487">
        <v>16</v>
      </c>
      <c r="K7" s="487">
        <v>18</v>
      </c>
      <c r="L7" s="487">
        <v>21</v>
      </c>
      <c r="M7" s="487">
        <v>15</v>
      </c>
      <c r="N7" s="487">
        <v>13</v>
      </c>
      <c r="O7" s="487">
        <f t="shared" si="2"/>
        <v>10</v>
      </c>
      <c r="P7" s="487">
        <v>8</v>
      </c>
      <c r="Q7" s="487">
        <f t="shared" si="3"/>
        <v>9</v>
      </c>
      <c r="R7" s="487">
        <v>7</v>
      </c>
      <c r="S7" s="487">
        <f t="shared" si="4"/>
        <v>4</v>
      </c>
      <c r="T7" s="487">
        <f t="shared" si="4"/>
        <v>7</v>
      </c>
      <c r="U7" s="912" t="s">
        <v>773</v>
      </c>
      <c r="W7" s="477"/>
      <c r="X7" s="477"/>
      <c r="Y7" s="477"/>
      <c r="Z7" s="477"/>
      <c r="AA7" s="477"/>
      <c r="AB7" s="477"/>
      <c r="AC7" s="477"/>
      <c r="AD7" s="477"/>
    </row>
    <row r="8" spans="1:31" s="478" customFormat="1" ht="18.75">
      <c r="A8" s="486" t="s">
        <v>774</v>
      </c>
      <c r="B8" s="487">
        <f t="shared" si="1"/>
        <v>27</v>
      </c>
      <c r="C8" s="487">
        <f t="shared" si="1"/>
        <v>36</v>
      </c>
      <c r="D8" s="487">
        <f t="shared" si="1"/>
        <v>25</v>
      </c>
      <c r="E8" s="487">
        <v>30</v>
      </c>
      <c r="F8" s="487">
        <f t="shared" si="5"/>
        <v>22</v>
      </c>
      <c r="G8" s="487">
        <v>23</v>
      </c>
      <c r="H8" s="487">
        <v>24</v>
      </c>
      <c r="I8" s="487">
        <v>20</v>
      </c>
      <c r="J8" s="487">
        <v>19</v>
      </c>
      <c r="K8" s="487">
        <v>14</v>
      </c>
      <c r="L8" s="487">
        <v>13</v>
      </c>
      <c r="M8" s="487">
        <v>8</v>
      </c>
      <c r="N8" s="487">
        <v>19</v>
      </c>
      <c r="O8" s="487">
        <f t="shared" si="2"/>
        <v>15</v>
      </c>
      <c r="P8" s="487">
        <v>13</v>
      </c>
      <c r="Q8" s="487">
        <f t="shared" si="3"/>
        <v>7</v>
      </c>
      <c r="R8" s="487">
        <v>5</v>
      </c>
      <c r="S8" s="487">
        <f t="shared" si="4"/>
        <v>6</v>
      </c>
      <c r="T8" s="487">
        <f t="shared" si="4"/>
        <v>12</v>
      </c>
      <c r="U8" s="912" t="s">
        <v>775</v>
      </c>
      <c r="W8" s="477"/>
      <c r="X8" s="477"/>
    </row>
    <row r="9" spans="1:31" s="478" customFormat="1" ht="18.75">
      <c r="A9" s="486" t="s">
        <v>776</v>
      </c>
      <c r="B9" s="487">
        <f t="shared" si="1"/>
        <v>102</v>
      </c>
      <c r="C9" s="487">
        <f t="shared" si="1"/>
        <v>107</v>
      </c>
      <c r="D9" s="487">
        <f t="shared" si="1"/>
        <v>72</v>
      </c>
      <c r="E9" s="487">
        <v>89</v>
      </c>
      <c r="F9" s="487">
        <f t="shared" si="5"/>
        <v>98</v>
      </c>
      <c r="G9" s="487">
        <v>104</v>
      </c>
      <c r="H9" s="487">
        <v>96</v>
      </c>
      <c r="I9" s="487">
        <v>100</v>
      </c>
      <c r="J9" s="487">
        <v>88</v>
      </c>
      <c r="K9" s="487">
        <v>85</v>
      </c>
      <c r="L9" s="487">
        <v>109</v>
      </c>
      <c r="M9" s="487">
        <v>102</v>
      </c>
      <c r="N9" s="487">
        <v>83</v>
      </c>
      <c r="O9" s="487">
        <f t="shared" si="2"/>
        <v>92</v>
      </c>
      <c r="P9" s="487">
        <v>121</v>
      </c>
      <c r="Q9" s="487">
        <f t="shared" si="3"/>
        <v>113</v>
      </c>
      <c r="R9" s="487">
        <v>101</v>
      </c>
      <c r="S9" s="487">
        <f t="shared" si="4"/>
        <v>136</v>
      </c>
      <c r="T9" s="487">
        <f t="shared" si="4"/>
        <v>144</v>
      </c>
      <c r="U9" s="912" t="s">
        <v>777</v>
      </c>
      <c r="W9" s="477"/>
      <c r="X9" s="477"/>
      <c r="Y9" s="477"/>
      <c r="Z9" s="477"/>
      <c r="AA9" s="477"/>
      <c r="AB9" s="477"/>
      <c r="AC9" s="477"/>
      <c r="AD9" s="477"/>
    </row>
    <row r="10" spans="1:31" s="478" customFormat="1" ht="18.75">
      <c r="A10" s="486" t="s">
        <v>778</v>
      </c>
      <c r="B10" s="487">
        <f t="shared" si="1"/>
        <v>219</v>
      </c>
      <c r="C10" s="487">
        <f t="shared" si="1"/>
        <v>184</v>
      </c>
      <c r="D10" s="487">
        <f t="shared" si="1"/>
        <v>190</v>
      </c>
      <c r="E10" s="487">
        <v>213</v>
      </c>
      <c r="F10" s="487">
        <f t="shared" si="5"/>
        <v>179</v>
      </c>
      <c r="G10" s="487">
        <v>182</v>
      </c>
      <c r="H10" s="487">
        <v>163</v>
      </c>
      <c r="I10" s="487">
        <v>195</v>
      </c>
      <c r="J10" s="487">
        <v>157</v>
      </c>
      <c r="K10" s="487">
        <v>213</v>
      </c>
      <c r="L10" s="487">
        <v>190</v>
      </c>
      <c r="M10" s="487">
        <v>211</v>
      </c>
      <c r="N10" s="487">
        <v>181</v>
      </c>
      <c r="O10" s="487">
        <f t="shared" si="2"/>
        <v>197</v>
      </c>
      <c r="P10" s="487">
        <v>222</v>
      </c>
      <c r="Q10" s="487">
        <f t="shared" si="3"/>
        <v>226</v>
      </c>
      <c r="R10" s="487">
        <v>200</v>
      </c>
      <c r="S10" s="487">
        <f t="shared" si="4"/>
        <v>254</v>
      </c>
      <c r="T10" s="487">
        <f t="shared" si="4"/>
        <v>304</v>
      </c>
      <c r="U10" s="912" t="s">
        <v>779</v>
      </c>
      <c r="W10" s="477"/>
      <c r="X10" s="477"/>
      <c r="Y10" s="477"/>
      <c r="Z10" s="477"/>
      <c r="AA10" s="477"/>
      <c r="AB10" s="477"/>
      <c r="AC10" s="477"/>
      <c r="AD10" s="477"/>
    </row>
    <row r="11" spans="1:31" s="478" customFormat="1" ht="18" customHeight="1">
      <c r="A11" s="486" t="s">
        <v>780</v>
      </c>
      <c r="B11" s="487">
        <f t="shared" si="1"/>
        <v>579</v>
      </c>
      <c r="C11" s="487">
        <f t="shared" si="1"/>
        <v>558</v>
      </c>
      <c r="D11" s="487">
        <f t="shared" si="1"/>
        <v>641</v>
      </c>
      <c r="E11" s="487">
        <v>643</v>
      </c>
      <c r="F11" s="487">
        <f t="shared" si="5"/>
        <v>751</v>
      </c>
      <c r="G11" s="487">
        <v>685</v>
      </c>
      <c r="H11" s="487">
        <v>790</v>
      </c>
      <c r="I11" s="487">
        <v>701</v>
      </c>
      <c r="J11" s="487">
        <v>792</v>
      </c>
      <c r="K11" s="487">
        <v>739</v>
      </c>
      <c r="L11" s="487">
        <v>741</v>
      </c>
      <c r="M11" s="487">
        <v>748</v>
      </c>
      <c r="N11" s="487">
        <v>771</v>
      </c>
      <c r="O11" s="487">
        <f t="shared" si="2"/>
        <v>859</v>
      </c>
      <c r="P11" s="487">
        <v>813</v>
      </c>
      <c r="Q11" s="487">
        <f t="shared" si="3"/>
        <v>812</v>
      </c>
      <c r="R11" s="487">
        <v>685</v>
      </c>
      <c r="S11" s="487">
        <f t="shared" si="4"/>
        <v>781</v>
      </c>
      <c r="T11" s="487">
        <f t="shared" si="4"/>
        <v>979</v>
      </c>
      <c r="U11" s="906" t="s">
        <v>781</v>
      </c>
      <c r="W11" s="477"/>
      <c r="X11" s="477"/>
    </row>
    <row r="12" spans="1:31" s="478" customFormat="1" ht="16.5" customHeight="1">
      <c r="A12" s="990" t="s">
        <v>782</v>
      </c>
      <c r="B12" s="984">
        <f>B30</f>
        <v>0</v>
      </c>
      <c r="C12" s="984">
        <f>SUM(C21+C30)</f>
        <v>7</v>
      </c>
      <c r="D12" s="984">
        <f t="shared" si="1"/>
        <v>0</v>
      </c>
      <c r="E12" s="984">
        <v>0</v>
      </c>
      <c r="F12" s="984">
        <f t="shared" si="5"/>
        <v>0</v>
      </c>
      <c r="G12" s="984">
        <v>0</v>
      </c>
      <c r="H12" s="984">
        <v>0</v>
      </c>
      <c r="I12" s="984">
        <v>0</v>
      </c>
      <c r="J12" s="984">
        <v>0</v>
      </c>
      <c r="K12" s="984">
        <v>0</v>
      </c>
      <c r="L12" s="984">
        <v>0</v>
      </c>
      <c r="M12" s="984">
        <v>0</v>
      </c>
      <c r="N12" s="984">
        <v>0</v>
      </c>
      <c r="O12" s="984">
        <f>O21+O30</f>
        <v>0</v>
      </c>
      <c r="P12" s="984">
        <v>0</v>
      </c>
      <c r="Q12" s="984">
        <f t="shared" si="3"/>
        <v>2</v>
      </c>
      <c r="R12" s="984">
        <v>0</v>
      </c>
      <c r="S12" s="984">
        <f t="shared" si="4"/>
        <v>49</v>
      </c>
      <c r="T12" s="984">
        <f t="shared" si="4"/>
        <v>10</v>
      </c>
      <c r="U12" s="985" t="s">
        <v>783</v>
      </c>
      <c r="W12" s="477"/>
      <c r="X12" s="477"/>
      <c r="Y12" s="477"/>
      <c r="Z12" s="477"/>
      <c r="AA12" s="477"/>
      <c r="AB12" s="477"/>
      <c r="AC12" s="477"/>
      <c r="AD12" s="477"/>
    </row>
    <row r="13" spans="1:31" s="490" customFormat="1" ht="15.75">
      <c r="A13" s="482" t="s">
        <v>22</v>
      </c>
      <c r="B13" s="488"/>
      <c r="C13" s="488"/>
      <c r="D13" s="488"/>
      <c r="E13" s="488"/>
      <c r="F13" s="488"/>
      <c r="G13" s="488"/>
      <c r="H13" s="488"/>
      <c r="I13" s="488"/>
      <c r="J13" s="488"/>
      <c r="K13" s="489"/>
      <c r="L13" s="489"/>
      <c r="M13" s="489"/>
      <c r="N13" s="489"/>
      <c r="O13" s="489"/>
      <c r="P13" s="489"/>
      <c r="Q13" s="489"/>
      <c r="R13" s="489"/>
      <c r="S13" s="489"/>
      <c r="T13" s="489"/>
      <c r="U13" s="905" t="s">
        <v>14</v>
      </c>
      <c r="W13" s="477"/>
      <c r="X13" s="477"/>
      <c r="Y13" s="477"/>
      <c r="Z13" s="477"/>
      <c r="AA13" s="477"/>
      <c r="AB13" s="477"/>
      <c r="AC13" s="477"/>
      <c r="AD13" s="477"/>
      <c r="AE13" s="478"/>
    </row>
    <row r="14" spans="1:31" s="490" customFormat="1" ht="15.75">
      <c r="A14" s="482" t="s">
        <v>768</v>
      </c>
      <c r="B14" s="484">
        <f>SUM(B15:B20)</f>
        <v>590</v>
      </c>
      <c r="C14" s="484">
        <f t="shared" ref="C14:N14" si="6">SUM(C15:C21)</f>
        <v>577</v>
      </c>
      <c r="D14" s="484">
        <f t="shared" si="6"/>
        <v>606</v>
      </c>
      <c r="E14" s="484">
        <f t="shared" si="6"/>
        <v>648</v>
      </c>
      <c r="F14" s="484">
        <f t="shared" si="6"/>
        <v>690</v>
      </c>
      <c r="G14" s="484">
        <f t="shared" si="6"/>
        <v>643</v>
      </c>
      <c r="H14" s="484">
        <f t="shared" si="6"/>
        <v>676</v>
      </c>
      <c r="I14" s="484">
        <f t="shared" si="6"/>
        <v>660</v>
      </c>
      <c r="J14" s="484">
        <f t="shared" si="6"/>
        <v>686</v>
      </c>
      <c r="K14" s="484">
        <f>SUM(K15:K21)</f>
        <v>656</v>
      </c>
      <c r="L14" s="484">
        <f t="shared" si="6"/>
        <v>649</v>
      </c>
      <c r="M14" s="484">
        <f t="shared" si="6"/>
        <v>663</v>
      </c>
      <c r="N14" s="484">
        <f t="shared" si="6"/>
        <v>666</v>
      </c>
      <c r="O14" s="484">
        <f>SUM(O15:O21)</f>
        <v>658</v>
      </c>
      <c r="P14" s="484">
        <f>SUM(P15:P21)</f>
        <v>750</v>
      </c>
      <c r="Q14" s="484">
        <f>SUM(Q15:Q21)</f>
        <v>716</v>
      </c>
      <c r="R14" s="484">
        <v>633</v>
      </c>
      <c r="S14" s="484">
        <f>SUM(S15:S21)</f>
        <v>713</v>
      </c>
      <c r="T14" s="484">
        <f>SUM(T15:T21)</f>
        <v>927</v>
      </c>
      <c r="U14" s="905" t="s">
        <v>769</v>
      </c>
      <c r="W14" s="477"/>
      <c r="X14" s="477"/>
    </row>
    <row r="15" spans="1:31" s="490" customFormat="1" ht="15.75">
      <c r="A15" s="486" t="s">
        <v>770</v>
      </c>
      <c r="B15" s="491">
        <v>41</v>
      </c>
      <c r="C15" s="491">
        <v>42</v>
      </c>
      <c r="D15" s="491">
        <v>32</v>
      </c>
      <c r="E15" s="491">
        <v>54</v>
      </c>
      <c r="F15" s="491">
        <v>47</v>
      </c>
      <c r="G15" s="491">
        <v>38</v>
      </c>
      <c r="H15" s="491">
        <v>42</v>
      </c>
      <c r="I15" s="491">
        <v>45</v>
      </c>
      <c r="J15" s="491">
        <v>37</v>
      </c>
      <c r="K15" s="487">
        <v>40</v>
      </c>
      <c r="L15" s="487">
        <v>29</v>
      </c>
      <c r="M15" s="487">
        <v>32</v>
      </c>
      <c r="N15" s="487">
        <v>34</v>
      </c>
      <c r="O15" s="487">
        <v>21</v>
      </c>
      <c r="P15" s="487">
        <v>42</v>
      </c>
      <c r="Q15" s="487">
        <v>24</v>
      </c>
      <c r="R15" s="487">
        <v>23</v>
      </c>
      <c r="S15" s="487">
        <v>12</v>
      </c>
      <c r="T15" s="1226">
        <v>59</v>
      </c>
      <c r="U15" s="906" t="s">
        <v>771</v>
      </c>
      <c r="W15" s="477"/>
      <c r="X15" s="477"/>
    </row>
    <row r="16" spans="1:31" s="490" customFormat="1" ht="18.75">
      <c r="A16" s="486" t="s">
        <v>772</v>
      </c>
      <c r="B16" s="491">
        <v>18</v>
      </c>
      <c r="C16" s="491">
        <v>20</v>
      </c>
      <c r="D16" s="491">
        <v>8</v>
      </c>
      <c r="E16" s="491">
        <v>9</v>
      </c>
      <c r="F16" s="491">
        <v>5</v>
      </c>
      <c r="G16" s="491">
        <v>10</v>
      </c>
      <c r="H16" s="491">
        <v>5</v>
      </c>
      <c r="I16" s="491">
        <v>5</v>
      </c>
      <c r="J16" s="491">
        <v>9</v>
      </c>
      <c r="K16" s="487">
        <v>15</v>
      </c>
      <c r="L16" s="487">
        <v>11</v>
      </c>
      <c r="M16" s="487">
        <v>6</v>
      </c>
      <c r="N16" s="487">
        <v>8</v>
      </c>
      <c r="O16" s="487">
        <v>5</v>
      </c>
      <c r="P16" s="487">
        <v>5</v>
      </c>
      <c r="Q16" s="487">
        <v>4</v>
      </c>
      <c r="R16" s="487">
        <v>6</v>
      </c>
      <c r="S16" s="487">
        <v>1</v>
      </c>
      <c r="T16" s="1226">
        <v>3</v>
      </c>
      <c r="U16" s="912" t="s">
        <v>773</v>
      </c>
      <c r="W16" s="477"/>
      <c r="X16" s="477"/>
    </row>
    <row r="17" spans="1:21" s="490" customFormat="1" ht="18.75">
      <c r="A17" s="486" t="s">
        <v>774</v>
      </c>
      <c r="B17" s="491">
        <v>18</v>
      </c>
      <c r="C17" s="491">
        <v>21</v>
      </c>
      <c r="D17" s="491">
        <v>16</v>
      </c>
      <c r="E17" s="491">
        <v>17</v>
      </c>
      <c r="F17" s="491">
        <v>12</v>
      </c>
      <c r="G17" s="491">
        <v>13</v>
      </c>
      <c r="H17" s="491">
        <v>14</v>
      </c>
      <c r="I17" s="491">
        <v>14</v>
      </c>
      <c r="J17" s="491">
        <v>10</v>
      </c>
      <c r="K17" s="487">
        <v>6</v>
      </c>
      <c r="L17" s="487">
        <v>7</v>
      </c>
      <c r="M17" s="487">
        <v>6</v>
      </c>
      <c r="N17" s="487">
        <v>10</v>
      </c>
      <c r="O17" s="487">
        <v>11</v>
      </c>
      <c r="P17" s="487">
        <v>4</v>
      </c>
      <c r="Q17" s="487">
        <v>3</v>
      </c>
      <c r="R17" s="487">
        <v>2</v>
      </c>
      <c r="S17" s="487">
        <v>3</v>
      </c>
      <c r="T17" s="1226">
        <v>4</v>
      </c>
      <c r="U17" s="912" t="s">
        <v>775</v>
      </c>
    </row>
    <row r="18" spans="1:21" s="490" customFormat="1" ht="18.75">
      <c r="A18" s="486" t="s">
        <v>776</v>
      </c>
      <c r="B18" s="491">
        <v>62</v>
      </c>
      <c r="C18" s="491">
        <v>60</v>
      </c>
      <c r="D18" s="491">
        <v>42</v>
      </c>
      <c r="E18" s="491">
        <v>62</v>
      </c>
      <c r="F18" s="491">
        <v>65</v>
      </c>
      <c r="G18" s="491">
        <v>63</v>
      </c>
      <c r="H18" s="491">
        <v>61</v>
      </c>
      <c r="I18" s="491">
        <v>64</v>
      </c>
      <c r="J18" s="491">
        <v>56</v>
      </c>
      <c r="K18" s="487">
        <v>45</v>
      </c>
      <c r="L18" s="487">
        <v>66</v>
      </c>
      <c r="M18" s="487">
        <v>71</v>
      </c>
      <c r="N18" s="487">
        <v>52</v>
      </c>
      <c r="O18" s="487">
        <v>52</v>
      </c>
      <c r="P18" s="487">
        <v>81</v>
      </c>
      <c r="Q18" s="487">
        <v>76</v>
      </c>
      <c r="R18" s="487">
        <v>57</v>
      </c>
      <c r="S18" s="487">
        <v>100</v>
      </c>
      <c r="T18" s="1226">
        <v>108</v>
      </c>
      <c r="U18" s="912" t="s">
        <v>777</v>
      </c>
    </row>
    <row r="19" spans="1:21" s="490" customFormat="1" ht="18.75">
      <c r="A19" s="486" t="s">
        <v>778</v>
      </c>
      <c r="B19" s="491">
        <v>117</v>
      </c>
      <c r="C19" s="491">
        <v>115</v>
      </c>
      <c r="D19" s="491">
        <v>116</v>
      </c>
      <c r="E19" s="491">
        <v>123</v>
      </c>
      <c r="F19" s="491">
        <v>98</v>
      </c>
      <c r="G19" s="491">
        <v>114</v>
      </c>
      <c r="H19" s="491">
        <v>94</v>
      </c>
      <c r="I19" s="491">
        <v>125</v>
      </c>
      <c r="J19" s="491">
        <v>99</v>
      </c>
      <c r="K19" s="487">
        <v>127</v>
      </c>
      <c r="L19" s="487">
        <v>121</v>
      </c>
      <c r="M19" s="487">
        <v>131</v>
      </c>
      <c r="N19" s="487">
        <v>129</v>
      </c>
      <c r="O19" s="487">
        <v>113</v>
      </c>
      <c r="P19" s="487">
        <v>143</v>
      </c>
      <c r="Q19" s="487">
        <v>136</v>
      </c>
      <c r="R19" s="487">
        <v>134</v>
      </c>
      <c r="S19" s="487">
        <v>154</v>
      </c>
      <c r="T19" s="1226">
        <v>184</v>
      </c>
      <c r="U19" s="912" t="s">
        <v>779</v>
      </c>
    </row>
    <row r="20" spans="1:21" ht="15.75">
      <c r="A20" s="486" t="s">
        <v>780</v>
      </c>
      <c r="B20" s="492">
        <v>334</v>
      </c>
      <c r="C20" s="492">
        <v>318</v>
      </c>
      <c r="D20" s="492">
        <v>392</v>
      </c>
      <c r="E20" s="492">
        <v>383</v>
      </c>
      <c r="F20" s="492">
        <v>463</v>
      </c>
      <c r="G20" s="492">
        <v>405</v>
      </c>
      <c r="H20" s="492">
        <v>460</v>
      </c>
      <c r="I20" s="492">
        <v>407</v>
      </c>
      <c r="J20" s="492">
        <v>475</v>
      </c>
      <c r="K20" s="493">
        <v>423</v>
      </c>
      <c r="L20" s="493">
        <v>415</v>
      </c>
      <c r="M20" s="493">
        <v>417</v>
      </c>
      <c r="N20" s="493">
        <v>433</v>
      </c>
      <c r="O20" s="493">
        <v>456</v>
      </c>
      <c r="P20" s="493">
        <v>475</v>
      </c>
      <c r="Q20" s="493">
        <v>471</v>
      </c>
      <c r="R20" s="493">
        <v>411</v>
      </c>
      <c r="S20" s="493">
        <v>412</v>
      </c>
      <c r="T20" s="1225">
        <v>559</v>
      </c>
      <c r="U20" s="906" t="s">
        <v>781</v>
      </c>
    </row>
    <row r="21" spans="1:21" ht="18" customHeight="1">
      <c r="A21" s="990" t="s">
        <v>782</v>
      </c>
      <c r="B21" s="986">
        <v>0</v>
      </c>
      <c r="C21" s="986">
        <v>1</v>
      </c>
      <c r="D21" s="986">
        <v>0</v>
      </c>
      <c r="E21" s="986">
        <v>0</v>
      </c>
      <c r="F21" s="986">
        <v>0</v>
      </c>
      <c r="G21" s="986">
        <v>0</v>
      </c>
      <c r="H21" s="986">
        <v>0</v>
      </c>
      <c r="I21" s="986">
        <v>0</v>
      </c>
      <c r="J21" s="986">
        <v>0</v>
      </c>
      <c r="K21" s="987">
        <v>0</v>
      </c>
      <c r="L21" s="987">
        <v>0</v>
      </c>
      <c r="M21" s="987">
        <v>0</v>
      </c>
      <c r="N21" s="987">
        <v>0</v>
      </c>
      <c r="O21" s="987">
        <v>0</v>
      </c>
      <c r="P21" s="987">
        <v>0</v>
      </c>
      <c r="Q21" s="987">
        <v>2</v>
      </c>
      <c r="R21" s="987">
        <v>0</v>
      </c>
      <c r="S21" s="987">
        <v>31</v>
      </c>
      <c r="T21" s="1227">
        <v>10</v>
      </c>
      <c r="U21" s="985" t="s">
        <v>783</v>
      </c>
    </row>
    <row r="22" spans="1:21" ht="15.75">
      <c r="A22" s="482" t="s">
        <v>23</v>
      </c>
      <c r="B22" s="495"/>
      <c r="C22" s="495"/>
      <c r="D22" s="495"/>
      <c r="E22" s="495"/>
      <c r="F22" s="495"/>
      <c r="G22" s="495"/>
      <c r="H22" s="495"/>
      <c r="I22" s="495"/>
      <c r="J22" s="495"/>
      <c r="K22" s="496"/>
      <c r="L22" s="496"/>
      <c r="M22" s="496"/>
      <c r="N22" s="496"/>
      <c r="O22" s="496"/>
      <c r="P22" s="496"/>
      <c r="Q22" s="496"/>
      <c r="R22" s="496"/>
      <c r="S22" s="496"/>
      <c r="T22" s="496"/>
      <c r="U22" s="905" t="s">
        <v>15</v>
      </c>
    </row>
    <row r="23" spans="1:21" ht="15.75">
      <c r="A23" s="482" t="s">
        <v>768</v>
      </c>
      <c r="B23" s="484">
        <f>SUM(B24:B30)</f>
        <v>432</v>
      </c>
      <c r="C23" s="484">
        <f>SUM(C24:C30)</f>
        <v>430</v>
      </c>
      <c r="D23" s="484">
        <f>SUM(D24:D30)</f>
        <v>409</v>
      </c>
      <c r="E23" s="484">
        <f>SUM(E24:E30)</f>
        <v>435</v>
      </c>
      <c r="F23" s="484">
        <f>SUM(F24:F30)</f>
        <v>436</v>
      </c>
      <c r="G23" s="484">
        <f t="shared" ref="G23:N23" si="7">SUM(G24:G30)</f>
        <v>447</v>
      </c>
      <c r="H23" s="484">
        <f t="shared" si="7"/>
        <v>488</v>
      </c>
      <c r="I23" s="484">
        <f t="shared" si="7"/>
        <v>445</v>
      </c>
      <c r="J23" s="484">
        <f t="shared" si="7"/>
        <v>451</v>
      </c>
      <c r="K23" s="484">
        <f t="shared" si="7"/>
        <v>479</v>
      </c>
      <c r="L23" s="484">
        <f t="shared" si="7"/>
        <v>471</v>
      </c>
      <c r="M23" s="484">
        <f t="shared" si="7"/>
        <v>480</v>
      </c>
      <c r="N23" s="484">
        <f t="shared" si="7"/>
        <v>464</v>
      </c>
      <c r="O23" s="484">
        <f>SUM(O24:O30)</f>
        <v>568</v>
      </c>
      <c r="P23" s="484">
        <f>SUM(P24:P30)</f>
        <v>491</v>
      </c>
      <c r="Q23" s="484">
        <f>SUM(Q24:Q30)</f>
        <v>498</v>
      </c>
      <c r="R23" s="484">
        <v>408</v>
      </c>
      <c r="S23" s="484">
        <f>SUM(S24:S30)</f>
        <v>526</v>
      </c>
      <c r="T23" s="484">
        <f>SUM(T24:T30)</f>
        <v>623</v>
      </c>
      <c r="U23" s="905" t="s">
        <v>769</v>
      </c>
    </row>
    <row r="24" spans="1:21" ht="15.75">
      <c r="A24" s="486" t="s">
        <v>770</v>
      </c>
      <c r="B24" s="492">
        <v>31</v>
      </c>
      <c r="C24" s="492">
        <v>34</v>
      </c>
      <c r="D24" s="492">
        <v>35</v>
      </c>
      <c r="E24" s="492">
        <v>39</v>
      </c>
      <c r="F24" s="492">
        <v>19</v>
      </c>
      <c r="G24" s="492">
        <v>38</v>
      </c>
      <c r="H24" s="492">
        <v>39</v>
      </c>
      <c r="I24" s="492">
        <v>33</v>
      </c>
      <c r="J24" s="492">
        <v>28</v>
      </c>
      <c r="K24" s="493">
        <v>26</v>
      </c>
      <c r="L24" s="493">
        <v>17</v>
      </c>
      <c r="M24" s="493">
        <v>27</v>
      </c>
      <c r="N24" s="493">
        <v>29</v>
      </c>
      <c r="O24" s="493">
        <v>32</v>
      </c>
      <c r="P24" s="493">
        <v>22</v>
      </c>
      <c r="Q24" s="493">
        <v>21</v>
      </c>
      <c r="R24" s="493">
        <v>20</v>
      </c>
      <c r="S24" s="493">
        <v>11</v>
      </c>
      <c r="T24" s="1225">
        <v>35</v>
      </c>
      <c r="U24" s="906" t="s">
        <v>771</v>
      </c>
    </row>
    <row r="25" spans="1:21" ht="18.75">
      <c r="A25" s="486" t="s">
        <v>772</v>
      </c>
      <c r="B25" s="492">
        <v>5</v>
      </c>
      <c r="C25" s="492">
        <v>19</v>
      </c>
      <c r="D25" s="492">
        <v>12</v>
      </c>
      <c r="E25" s="492">
        <v>6</v>
      </c>
      <c r="F25" s="492">
        <v>5</v>
      </c>
      <c r="G25" s="492">
        <v>10</v>
      </c>
      <c r="H25" s="492">
        <v>5</v>
      </c>
      <c r="I25" s="492">
        <v>6</v>
      </c>
      <c r="J25" s="492">
        <v>7</v>
      </c>
      <c r="K25" s="493">
        <v>3</v>
      </c>
      <c r="L25" s="493">
        <v>10</v>
      </c>
      <c r="M25" s="493">
        <v>9</v>
      </c>
      <c r="N25" s="493">
        <v>5</v>
      </c>
      <c r="O25" s="493">
        <v>5</v>
      </c>
      <c r="P25" s="493">
        <v>3</v>
      </c>
      <c r="Q25" s="493">
        <v>5</v>
      </c>
      <c r="R25" s="493">
        <v>1</v>
      </c>
      <c r="S25" s="493">
        <v>3</v>
      </c>
      <c r="T25" s="1225">
        <v>4</v>
      </c>
      <c r="U25" s="912" t="s">
        <v>773</v>
      </c>
    </row>
    <row r="26" spans="1:21" ht="18.75">
      <c r="A26" s="486" t="s">
        <v>774</v>
      </c>
      <c r="B26" s="492">
        <v>9</v>
      </c>
      <c r="C26" s="492">
        <v>15</v>
      </c>
      <c r="D26" s="492">
        <v>9</v>
      </c>
      <c r="E26" s="492">
        <v>13</v>
      </c>
      <c r="F26" s="492">
        <v>10</v>
      </c>
      <c r="G26" s="492">
        <v>10</v>
      </c>
      <c r="H26" s="492">
        <v>10</v>
      </c>
      <c r="I26" s="492">
        <v>6</v>
      </c>
      <c r="J26" s="492">
        <v>9</v>
      </c>
      <c r="K26" s="493">
        <v>8</v>
      </c>
      <c r="L26" s="493">
        <v>6</v>
      </c>
      <c r="M26" s="493">
        <v>2</v>
      </c>
      <c r="N26" s="493">
        <v>9</v>
      </c>
      <c r="O26" s="493">
        <v>4</v>
      </c>
      <c r="P26" s="493">
        <v>9</v>
      </c>
      <c r="Q26" s="493">
        <v>4</v>
      </c>
      <c r="R26" s="493">
        <v>3</v>
      </c>
      <c r="S26" s="493">
        <v>3</v>
      </c>
      <c r="T26" s="1225">
        <v>8</v>
      </c>
      <c r="U26" s="912" t="s">
        <v>775</v>
      </c>
    </row>
    <row r="27" spans="1:21" ht="18.75">
      <c r="A27" s="486" t="s">
        <v>776</v>
      </c>
      <c r="B27" s="492">
        <v>40</v>
      </c>
      <c r="C27" s="492">
        <v>47</v>
      </c>
      <c r="D27" s="492">
        <v>30</v>
      </c>
      <c r="E27" s="492">
        <v>27</v>
      </c>
      <c r="F27" s="492">
        <v>33</v>
      </c>
      <c r="G27" s="492">
        <v>41</v>
      </c>
      <c r="H27" s="492">
        <v>35</v>
      </c>
      <c r="I27" s="492">
        <v>36</v>
      </c>
      <c r="J27" s="492">
        <v>32</v>
      </c>
      <c r="K27" s="493">
        <v>40</v>
      </c>
      <c r="L27" s="493">
        <v>43</v>
      </c>
      <c r="M27" s="493">
        <v>31</v>
      </c>
      <c r="N27" s="493">
        <v>31</v>
      </c>
      <c r="O27" s="493">
        <v>40</v>
      </c>
      <c r="P27" s="493">
        <v>40</v>
      </c>
      <c r="Q27" s="493">
        <v>37</v>
      </c>
      <c r="R27" s="493">
        <v>44</v>
      </c>
      <c r="S27" s="493">
        <v>36</v>
      </c>
      <c r="T27" s="1225">
        <v>36</v>
      </c>
      <c r="U27" s="912" t="s">
        <v>777</v>
      </c>
    </row>
    <row r="28" spans="1:21" ht="18.75">
      <c r="A28" s="486" t="s">
        <v>778</v>
      </c>
      <c r="B28" s="492">
        <v>102</v>
      </c>
      <c r="C28" s="492">
        <v>69</v>
      </c>
      <c r="D28" s="492">
        <v>74</v>
      </c>
      <c r="E28" s="492">
        <v>90</v>
      </c>
      <c r="F28" s="492">
        <v>81</v>
      </c>
      <c r="G28" s="492">
        <v>68</v>
      </c>
      <c r="H28" s="492">
        <v>69</v>
      </c>
      <c r="I28" s="492">
        <v>70</v>
      </c>
      <c r="J28" s="492">
        <v>58</v>
      </c>
      <c r="K28" s="493">
        <v>86</v>
      </c>
      <c r="L28" s="493">
        <v>69</v>
      </c>
      <c r="M28" s="493">
        <v>80</v>
      </c>
      <c r="N28" s="493">
        <v>52</v>
      </c>
      <c r="O28" s="493">
        <v>84</v>
      </c>
      <c r="P28" s="493">
        <v>79</v>
      </c>
      <c r="Q28" s="493">
        <v>90</v>
      </c>
      <c r="R28" s="493">
        <v>66</v>
      </c>
      <c r="S28" s="493">
        <v>100</v>
      </c>
      <c r="T28" s="1225">
        <v>120</v>
      </c>
      <c r="U28" s="912" t="s">
        <v>779</v>
      </c>
    </row>
    <row r="29" spans="1:21" ht="15.75">
      <c r="A29" s="486" t="s">
        <v>780</v>
      </c>
      <c r="B29" s="492">
        <v>245</v>
      </c>
      <c r="C29" s="492">
        <v>240</v>
      </c>
      <c r="D29" s="492">
        <v>249</v>
      </c>
      <c r="E29" s="492">
        <v>260</v>
      </c>
      <c r="F29" s="492">
        <v>288</v>
      </c>
      <c r="G29" s="492">
        <v>280</v>
      </c>
      <c r="H29" s="492">
        <v>330</v>
      </c>
      <c r="I29" s="492">
        <v>294</v>
      </c>
      <c r="J29" s="492">
        <v>317</v>
      </c>
      <c r="K29" s="493">
        <v>316</v>
      </c>
      <c r="L29" s="493">
        <v>326</v>
      </c>
      <c r="M29" s="493">
        <v>331</v>
      </c>
      <c r="N29" s="493">
        <v>338</v>
      </c>
      <c r="O29" s="493">
        <v>403</v>
      </c>
      <c r="P29" s="493">
        <v>338</v>
      </c>
      <c r="Q29" s="493">
        <v>341</v>
      </c>
      <c r="R29" s="493">
        <v>274</v>
      </c>
      <c r="S29" s="493">
        <v>369</v>
      </c>
      <c r="T29" s="1225">
        <v>420</v>
      </c>
      <c r="U29" s="906" t="s">
        <v>781</v>
      </c>
    </row>
    <row r="30" spans="1:21" ht="15.75" customHeight="1">
      <c r="A30" s="990" t="s">
        <v>782</v>
      </c>
      <c r="B30" s="988">
        <v>0</v>
      </c>
      <c r="C30" s="988">
        <v>6</v>
      </c>
      <c r="D30" s="989">
        <v>0</v>
      </c>
      <c r="E30" s="989">
        <v>0</v>
      </c>
      <c r="F30" s="986">
        <v>0</v>
      </c>
      <c r="G30" s="986">
        <v>0</v>
      </c>
      <c r="H30" s="986">
        <v>0</v>
      </c>
      <c r="I30" s="986">
        <v>0</v>
      </c>
      <c r="J30" s="986">
        <v>0</v>
      </c>
      <c r="K30" s="987">
        <v>0</v>
      </c>
      <c r="L30" s="987">
        <v>0</v>
      </c>
      <c r="M30" s="987">
        <v>0</v>
      </c>
      <c r="N30" s="987"/>
      <c r="O30" s="986">
        <v>0</v>
      </c>
      <c r="P30" s="987">
        <v>0</v>
      </c>
      <c r="Q30" s="987">
        <v>0</v>
      </c>
      <c r="R30" s="987">
        <v>0</v>
      </c>
      <c r="S30" s="987">
        <v>4</v>
      </c>
      <c r="T30" s="1227">
        <v>0</v>
      </c>
      <c r="U30" s="985" t="s">
        <v>783</v>
      </c>
    </row>
    <row r="31" spans="1:21" ht="12.75" customHeight="1">
      <c r="A31" s="486" t="s">
        <v>1121</v>
      </c>
      <c r="B31" s="982"/>
      <c r="C31" s="982"/>
      <c r="D31" s="983"/>
      <c r="E31" s="983"/>
      <c r="F31" s="991" t="s">
        <v>187</v>
      </c>
      <c r="G31" s="991" t="s">
        <v>187</v>
      </c>
      <c r="H31" s="991" t="s">
        <v>187</v>
      </c>
      <c r="I31" s="991" t="s">
        <v>187</v>
      </c>
      <c r="J31" s="991" t="s">
        <v>187</v>
      </c>
      <c r="K31" s="991" t="s">
        <v>187</v>
      </c>
      <c r="L31" s="991" t="s">
        <v>187</v>
      </c>
      <c r="M31" s="991" t="s">
        <v>187</v>
      </c>
      <c r="N31" s="991" t="s">
        <v>187</v>
      </c>
      <c r="O31" s="991" t="s">
        <v>187</v>
      </c>
      <c r="P31" s="991" t="s">
        <v>187</v>
      </c>
      <c r="Q31" s="493">
        <v>1</v>
      </c>
      <c r="R31" s="991" t="s">
        <v>187</v>
      </c>
      <c r="S31" s="991" t="s">
        <v>187</v>
      </c>
      <c r="T31" s="991" t="s">
        <v>187</v>
      </c>
      <c r="U31" s="992" t="s">
        <v>1123</v>
      </c>
    </row>
    <row r="32" spans="1:21" ht="18" customHeight="1">
      <c r="A32" s="990" t="s">
        <v>1122</v>
      </c>
      <c r="B32" s="986"/>
      <c r="C32" s="986"/>
      <c r="D32" s="986"/>
      <c r="E32" s="986"/>
      <c r="F32" s="987" t="s">
        <v>187</v>
      </c>
      <c r="G32" s="987" t="s">
        <v>187</v>
      </c>
      <c r="H32" s="987" t="s">
        <v>187</v>
      </c>
      <c r="I32" s="987" t="s">
        <v>187</v>
      </c>
      <c r="J32" s="987" t="s">
        <v>187</v>
      </c>
      <c r="K32" s="987" t="s">
        <v>187</v>
      </c>
      <c r="L32" s="987" t="s">
        <v>187</v>
      </c>
      <c r="M32" s="987" t="s">
        <v>187</v>
      </c>
      <c r="N32" s="987" t="s">
        <v>187</v>
      </c>
      <c r="O32" s="987" t="s">
        <v>187</v>
      </c>
      <c r="P32" s="987" t="s">
        <v>187</v>
      </c>
      <c r="Q32" s="987">
        <v>1</v>
      </c>
      <c r="R32" s="987" t="s">
        <v>187</v>
      </c>
      <c r="S32" s="987" t="s">
        <v>187</v>
      </c>
      <c r="T32" s="987" t="s">
        <v>187</v>
      </c>
      <c r="U32" s="1158" t="s">
        <v>1124</v>
      </c>
    </row>
    <row r="33" spans="1:21" ht="21">
      <c r="A33" s="482" t="s">
        <v>1152</v>
      </c>
      <c r="B33" s="495"/>
      <c r="C33" s="495"/>
      <c r="D33" s="495"/>
      <c r="E33" s="495"/>
      <c r="F33" s="991"/>
      <c r="G33" s="991"/>
      <c r="H33" s="991"/>
      <c r="I33" s="991"/>
      <c r="J33" s="991"/>
      <c r="K33" s="991"/>
      <c r="L33" s="991"/>
      <c r="M33" s="991"/>
      <c r="N33" s="991"/>
      <c r="O33" s="991"/>
      <c r="P33" s="991"/>
      <c r="Q33" s="493"/>
      <c r="R33" s="991"/>
      <c r="S33" s="496"/>
      <c r="T33" s="496"/>
      <c r="U33" s="1159" t="s">
        <v>1123</v>
      </c>
    </row>
    <row r="34" spans="1:21" ht="15.75">
      <c r="A34" s="482" t="s">
        <v>768</v>
      </c>
      <c r="B34" s="484"/>
      <c r="C34" s="484"/>
      <c r="D34" s="484"/>
      <c r="E34" s="484"/>
      <c r="F34" s="991" t="s">
        <v>187</v>
      </c>
      <c r="G34" s="991" t="s">
        <v>187</v>
      </c>
      <c r="H34" s="991" t="s">
        <v>187</v>
      </c>
      <c r="I34" s="991" t="s">
        <v>187</v>
      </c>
      <c r="J34" s="991" t="s">
        <v>187</v>
      </c>
      <c r="K34" s="991" t="s">
        <v>187</v>
      </c>
      <c r="L34" s="991" t="s">
        <v>187</v>
      </c>
      <c r="M34" s="991" t="s">
        <v>187</v>
      </c>
      <c r="N34" s="991" t="s">
        <v>187</v>
      </c>
      <c r="O34" s="991" t="s">
        <v>187</v>
      </c>
      <c r="P34" s="991" t="s">
        <v>187</v>
      </c>
      <c r="Q34" s="1201">
        <v>1</v>
      </c>
      <c r="R34" s="991" t="s">
        <v>187</v>
      </c>
      <c r="S34" s="484">
        <f>SUM(S35:S41)</f>
        <v>36</v>
      </c>
      <c r="T34" s="484">
        <f>SUM(T35:T41)</f>
        <v>2</v>
      </c>
      <c r="U34" s="905" t="s">
        <v>769</v>
      </c>
    </row>
    <row r="35" spans="1:21" ht="15.75">
      <c r="A35" s="486" t="s">
        <v>770</v>
      </c>
      <c r="B35" s="492"/>
      <c r="C35" s="492"/>
      <c r="D35" s="492"/>
      <c r="E35" s="492"/>
      <c r="F35" s="991" t="s">
        <v>187</v>
      </c>
      <c r="G35" s="991" t="s">
        <v>187</v>
      </c>
      <c r="H35" s="991" t="s">
        <v>187</v>
      </c>
      <c r="I35" s="991" t="s">
        <v>187</v>
      </c>
      <c r="J35" s="991" t="s">
        <v>187</v>
      </c>
      <c r="K35" s="991" t="s">
        <v>187</v>
      </c>
      <c r="L35" s="991" t="s">
        <v>187</v>
      </c>
      <c r="M35" s="991" t="s">
        <v>187</v>
      </c>
      <c r="N35" s="991" t="s">
        <v>187</v>
      </c>
      <c r="O35" s="991" t="s">
        <v>187</v>
      </c>
      <c r="P35" s="991" t="s">
        <v>187</v>
      </c>
      <c r="Q35" s="991" t="s">
        <v>187</v>
      </c>
      <c r="R35" s="991" t="s">
        <v>187</v>
      </c>
      <c r="S35" s="493">
        <v>22</v>
      </c>
      <c r="T35" s="1225">
        <v>2</v>
      </c>
      <c r="U35" s="906" t="s">
        <v>771</v>
      </c>
    </row>
    <row r="36" spans="1:21" ht="18.75">
      <c r="A36" s="486" t="s">
        <v>772</v>
      </c>
      <c r="B36" s="492"/>
      <c r="C36" s="492"/>
      <c r="D36" s="492"/>
      <c r="E36" s="492"/>
      <c r="F36" s="991" t="s">
        <v>187</v>
      </c>
      <c r="G36" s="991" t="s">
        <v>187</v>
      </c>
      <c r="H36" s="991" t="s">
        <v>187</v>
      </c>
      <c r="I36" s="991" t="s">
        <v>187</v>
      </c>
      <c r="J36" s="991" t="s">
        <v>187</v>
      </c>
      <c r="K36" s="991" t="s">
        <v>187</v>
      </c>
      <c r="L36" s="991" t="s">
        <v>187</v>
      </c>
      <c r="M36" s="991" t="s">
        <v>187</v>
      </c>
      <c r="N36" s="991" t="s">
        <v>187</v>
      </c>
      <c r="O36" s="991" t="s">
        <v>187</v>
      </c>
      <c r="P36" s="991" t="s">
        <v>187</v>
      </c>
      <c r="Q36" s="991" t="s">
        <v>187</v>
      </c>
      <c r="R36" s="991" t="s">
        <v>187</v>
      </c>
      <c r="S36" s="493">
        <v>0</v>
      </c>
      <c r="T36" s="1225">
        <v>0</v>
      </c>
      <c r="U36" s="912" t="s">
        <v>773</v>
      </c>
    </row>
    <row r="37" spans="1:21" ht="18.75">
      <c r="A37" s="486" t="s">
        <v>774</v>
      </c>
      <c r="B37" s="492"/>
      <c r="C37" s="492"/>
      <c r="D37" s="492"/>
      <c r="E37" s="492"/>
      <c r="F37" s="991" t="s">
        <v>187</v>
      </c>
      <c r="G37" s="991" t="s">
        <v>187</v>
      </c>
      <c r="H37" s="991" t="s">
        <v>187</v>
      </c>
      <c r="I37" s="991" t="s">
        <v>187</v>
      </c>
      <c r="J37" s="991" t="s">
        <v>187</v>
      </c>
      <c r="K37" s="991" t="s">
        <v>187</v>
      </c>
      <c r="L37" s="991" t="s">
        <v>187</v>
      </c>
      <c r="M37" s="991" t="s">
        <v>187</v>
      </c>
      <c r="N37" s="991" t="s">
        <v>187</v>
      </c>
      <c r="O37" s="991" t="s">
        <v>187</v>
      </c>
      <c r="P37" s="991" t="s">
        <v>187</v>
      </c>
      <c r="Q37" s="991" t="s">
        <v>187</v>
      </c>
      <c r="R37" s="991" t="s">
        <v>187</v>
      </c>
      <c r="S37" s="493">
        <v>0</v>
      </c>
      <c r="T37" s="1225">
        <v>0</v>
      </c>
      <c r="U37" s="912" t="s">
        <v>775</v>
      </c>
    </row>
    <row r="38" spans="1:21" ht="18.75">
      <c r="A38" s="486" t="s">
        <v>776</v>
      </c>
      <c r="B38" s="492"/>
      <c r="C38" s="492"/>
      <c r="D38" s="492"/>
      <c r="E38" s="492"/>
      <c r="F38" s="991" t="s">
        <v>187</v>
      </c>
      <c r="G38" s="991" t="s">
        <v>187</v>
      </c>
      <c r="H38" s="991" t="s">
        <v>187</v>
      </c>
      <c r="I38" s="991" t="s">
        <v>187</v>
      </c>
      <c r="J38" s="991" t="s">
        <v>187</v>
      </c>
      <c r="K38" s="991" t="s">
        <v>187</v>
      </c>
      <c r="L38" s="991" t="s">
        <v>187</v>
      </c>
      <c r="M38" s="991" t="s">
        <v>187</v>
      </c>
      <c r="N38" s="991" t="s">
        <v>187</v>
      </c>
      <c r="O38" s="991" t="s">
        <v>187</v>
      </c>
      <c r="P38" s="991" t="s">
        <v>187</v>
      </c>
      <c r="Q38" s="991" t="s">
        <v>187</v>
      </c>
      <c r="R38" s="991" t="s">
        <v>187</v>
      </c>
      <c r="S38" s="493">
        <v>0</v>
      </c>
      <c r="T38" s="1225">
        <v>0</v>
      </c>
      <c r="U38" s="912" t="s">
        <v>777</v>
      </c>
    </row>
    <row r="39" spans="1:21" ht="18.75">
      <c r="A39" s="486" t="s">
        <v>778</v>
      </c>
      <c r="B39" s="492"/>
      <c r="C39" s="492"/>
      <c r="D39" s="492"/>
      <c r="E39" s="492"/>
      <c r="F39" s="991" t="s">
        <v>187</v>
      </c>
      <c r="G39" s="991" t="s">
        <v>187</v>
      </c>
      <c r="H39" s="991" t="s">
        <v>187</v>
      </c>
      <c r="I39" s="991" t="s">
        <v>187</v>
      </c>
      <c r="J39" s="991" t="s">
        <v>187</v>
      </c>
      <c r="K39" s="991" t="s">
        <v>187</v>
      </c>
      <c r="L39" s="991" t="s">
        <v>187</v>
      </c>
      <c r="M39" s="991" t="s">
        <v>187</v>
      </c>
      <c r="N39" s="991" t="s">
        <v>187</v>
      </c>
      <c r="O39" s="991" t="s">
        <v>187</v>
      </c>
      <c r="P39" s="991" t="s">
        <v>187</v>
      </c>
      <c r="Q39" s="991" t="s">
        <v>187</v>
      </c>
      <c r="R39" s="991" t="s">
        <v>187</v>
      </c>
      <c r="S39" s="493">
        <v>0</v>
      </c>
      <c r="T39" s="1225">
        <v>0</v>
      </c>
      <c r="U39" s="912" t="s">
        <v>779</v>
      </c>
    </row>
    <row r="40" spans="1:21" ht="15.75">
      <c r="A40" s="486" t="s">
        <v>780</v>
      </c>
      <c r="B40" s="492"/>
      <c r="C40" s="492"/>
      <c r="D40" s="492"/>
      <c r="E40" s="492"/>
      <c r="F40" s="991" t="s">
        <v>187</v>
      </c>
      <c r="G40" s="991" t="s">
        <v>187</v>
      </c>
      <c r="H40" s="991" t="s">
        <v>187</v>
      </c>
      <c r="I40" s="991" t="s">
        <v>187</v>
      </c>
      <c r="J40" s="991" t="s">
        <v>187</v>
      </c>
      <c r="K40" s="991" t="s">
        <v>187</v>
      </c>
      <c r="L40" s="991" t="s">
        <v>187</v>
      </c>
      <c r="M40" s="991" t="s">
        <v>187</v>
      </c>
      <c r="N40" s="991" t="s">
        <v>187</v>
      </c>
      <c r="O40" s="991" t="s">
        <v>187</v>
      </c>
      <c r="P40" s="991" t="s">
        <v>187</v>
      </c>
      <c r="Q40" s="991" t="s">
        <v>187</v>
      </c>
      <c r="R40" s="991" t="s">
        <v>187</v>
      </c>
      <c r="S40" s="493">
        <v>0</v>
      </c>
      <c r="T40" s="1225">
        <v>0</v>
      </c>
      <c r="U40" s="906" t="s">
        <v>781</v>
      </c>
    </row>
    <row r="41" spans="1:21" ht="12.75" customHeight="1">
      <c r="A41" s="1154" t="s">
        <v>782</v>
      </c>
      <c r="B41" s="497"/>
      <c r="C41" s="497"/>
      <c r="D41" s="498"/>
      <c r="E41" s="498"/>
      <c r="F41" s="1232" t="s">
        <v>187</v>
      </c>
      <c r="G41" s="1232" t="s">
        <v>187</v>
      </c>
      <c r="H41" s="1232" t="s">
        <v>187</v>
      </c>
      <c r="I41" s="1232" t="s">
        <v>187</v>
      </c>
      <c r="J41" s="1232" t="s">
        <v>187</v>
      </c>
      <c r="K41" s="1232" t="s">
        <v>187</v>
      </c>
      <c r="L41" s="1232" t="s">
        <v>187</v>
      </c>
      <c r="M41" s="1232" t="s">
        <v>187</v>
      </c>
      <c r="N41" s="1232" t="s">
        <v>187</v>
      </c>
      <c r="O41" s="1232" t="s">
        <v>187</v>
      </c>
      <c r="P41" s="1232" t="s">
        <v>187</v>
      </c>
      <c r="Q41" s="1232" t="s">
        <v>187</v>
      </c>
      <c r="R41" s="1232" t="s">
        <v>187</v>
      </c>
      <c r="S41" s="1155">
        <v>14</v>
      </c>
      <c r="T41" s="1228">
        <v>0</v>
      </c>
      <c r="U41" s="1156" t="s">
        <v>783</v>
      </c>
    </row>
    <row r="42" spans="1:21">
      <c r="A42" s="1423" t="s">
        <v>1080</v>
      </c>
      <c r="B42" s="1423"/>
      <c r="C42" s="1423"/>
      <c r="D42" s="1423"/>
      <c r="E42" s="1423"/>
      <c r="F42" s="1423"/>
      <c r="G42" s="1423"/>
      <c r="H42" s="1423"/>
      <c r="I42" s="1423"/>
      <c r="J42" s="1423"/>
      <c r="K42" s="1423"/>
      <c r="L42" s="1423"/>
      <c r="M42" s="1423"/>
      <c r="N42" s="1423"/>
      <c r="O42" s="1423"/>
      <c r="P42" s="1423"/>
      <c r="Q42" s="1423"/>
      <c r="R42" s="1423"/>
      <c r="S42" s="1423"/>
      <c r="T42" s="1423"/>
      <c r="U42" s="1423"/>
    </row>
    <row r="43" spans="1:21">
      <c r="A43" s="1420" t="s">
        <v>784</v>
      </c>
      <c r="B43" s="1420"/>
      <c r="C43" s="1420"/>
      <c r="D43" s="1420"/>
      <c r="E43" s="1420"/>
      <c r="F43" s="1420"/>
      <c r="G43" s="1420"/>
      <c r="H43" s="1420"/>
      <c r="I43" s="1420"/>
      <c r="J43" s="1420"/>
      <c r="K43" s="1420"/>
      <c r="L43" s="1420"/>
      <c r="M43" s="1420"/>
      <c r="N43" s="1420"/>
      <c r="O43" s="1420"/>
      <c r="P43" s="1420"/>
      <c r="Q43" s="1420"/>
      <c r="R43" s="1420"/>
      <c r="S43" s="1420"/>
      <c r="T43" s="1420"/>
      <c r="U43" s="1420"/>
    </row>
    <row r="44" spans="1:21">
      <c r="A44" s="1420" t="s">
        <v>1153</v>
      </c>
      <c r="B44" s="1420"/>
      <c r="C44" s="1420"/>
      <c r="D44" s="1420"/>
      <c r="E44" s="1420"/>
      <c r="F44" s="1420"/>
      <c r="G44" s="1420"/>
      <c r="H44" s="1420"/>
      <c r="I44" s="1420"/>
      <c r="J44" s="1420"/>
      <c r="K44" s="1420"/>
      <c r="L44" s="1420"/>
      <c r="M44" s="1420"/>
      <c r="N44" s="1420"/>
      <c r="O44" s="1420"/>
      <c r="P44" s="1420"/>
      <c r="Q44" s="1420"/>
      <c r="R44" s="1420"/>
      <c r="S44" s="1420"/>
      <c r="T44" s="1420"/>
      <c r="U44" s="1420"/>
    </row>
    <row r="45" spans="1:21">
      <c r="A45" s="1420" t="s">
        <v>1197</v>
      </c>
      <c r="B45" s="1420"/>
      <c r="C45" s="1420"/>
      <c r="D45" s="1420"/>
      <c r="E45" s="1420"/>
      <c r="F45" s="1420"/>
      <c r="G45" s="1420"/>
      <c r="H45" s="1420"/>
      <c r="I45" s="1420"/>
      <c r="J45" s="1420"/>
      <c r="K45" s="1420"/>
      <c r="L45" s="1420"/>
      <c r="M45" s="1420"/>
      <c r="N45" s="1420"/>
      <c r="O45" s="1420"/>
      <c r="P45" s="1420"/>
      <c r="Q45" s="1420"/>
      <c r="R45" s="1420"/>
      <c r="S45" s="1420"/>
      <c r="T45" s="1420"/>
      <c r="U45" s="1420"/>
    </row>
    <row r="46" spans="1:21">
      <c r="A46" s="1420" t="s">
        <v>1154</v>
      </c>
      <c r="B46" s="1420"/>
      <c r="C46" s="1420"/>
      <c r="D46" s="1420"/>
      <c r="E46" s="1420"/>
      <c r="F46" s="1420"/>
      <c r="G46" s="1420"/>
      <c r="H46" s="1420"/>
      <c r="I46" s="1420"/>
      <c r="J46" s="1420"/>
      <c r="K46" s="1420"/>
      <c r="L46" s="1420"/>
      <c r="M46" s="1420"/>
      <c r="N46" s="1420"/>
      <c r="O46" s="1420"/>
      <c r="P46" s="1420"/>
      <c r="Q46" s="1420"/>
      <c r="R46" s="1420"/>
      <c r="S46" s="1420"/>
      <c r="T46" s="1420"/>
      <c r="U46" s="1420"/>
    </row>
    <row r="47" spans="1:21">
      <c r="A47" s="1420" t="s">
        <v>1155</v>
      </c>
      <c r="B47" s="1420"/>
      <c r="C47" s="1420"/>
      <c r="D47" s="1420"/>
      <c r="E47" s="1420"/>
      <c r="F47" s="1420"/>
      <c r="G47" s="1420"/>
      <c r="H47" s="1420"/>
      <c r="I47" s="1420"/>
      <c r="J47" s="1420"/>
      <c r="K47" s="1420"/>
      <c r="L47" s="1420"/>
      <c r="M47" s="1420"/>
      <c r="N47" s="1420"/>
      <c r="O47" s="1420"/>
      <c r="P47" s="1420"/>
      <c r="Q47" s="1420"/>
      <c r="R47" s="1420"/>
      <c r="S47" s="1420"/>
      <c r="T47" s="1420"/>
      <c r="U47" s="1420"/>
    </row>
    <row r="48" spans="1:21">
      <c r="A48" s="1420"/>
      <c r="B48" s="1420"/>
      <c r="C48" s="1420"/>
      <c r="D48" s="1420"/>
      <c r="E48" s="1420"/>
      <c r="F48" s="1420"/>
      <c r="G48" s="1420"/>
      <c r="H48" s="1420"/>
      <c r="I48" s="1420"/>
      <c r="J48" s="1420"/>
      <c r="K48" s="1420"/>
      <c r="L48" s="1420"/>
      <c r="M48" s="1420"/>
      <c r="N48" s="1420"/>
      <c r="O48" s="1420"/>
      <c r="P48" s="1420"/>
      <c r="Q48" s="1420"/>
      <c r="R48" s="1420"/>
      <c r="S48" s="1420"/>
      <c r="T48" s="1420"/>
      <c r="U48" s="1420"/>
    </row>
    <row r="49" spans="1:21">
      <c r="A49" s="1420"/>
      <c r="B49" s="1420" t="s">
        <v>749</v>
      </c>
      <c r="C49" s="1420"/>
      <c r="D49" s="1420"/>
      <c r="E49" s="1420"/>
      <c r="F49" s="1420"/>
      <c r="G49" s="1420"/>
      <c r="H49" s="1420"/>
      <c r="I49" s="1420"/>
      <c r="J49" s="1420"/>
      <c r="K49" s="1420"/>
      <c r="L49" s="1420"/>
      <c r="M49" s="1420"/>
      <c r="N49" s="1420"/>
      <c r="O49" s="1420"/>
      <c r="P49" s="1420"/>
      <c r="Q49" s="1420"/>
      <c r="R49" s="1420"/>
      <c r="S49" s="1420"/>
      <c r="T49" s="1420"/>
      <c r="U49" s="1420"/>
    </row>
  </sheetData>
  <mergeCells count="10">
    <mergeCell ref="A44:U44"/>
    <mergeCell ref="A1:U1"/>
    <mergeCell ref="A2:U2"/>
    <mergeCell ref="A42:U42"/>
    <mergeCell ref="A43:U43"/>
    <mergeCell ref="A45:U45"/>
    <mergeCell ref="A46:U46"/>
    <mergeCell ref="A47:U47"/>
    <mergeCell ref="A48:U48"/>
    <mergeCell ref="A49:U49"/>
  </mergeCells>
  <pageMargins left="0.7" right="0.7" top="0.75" bottom="0.75" header="0.3" footer="0.3"/>
  <pageSetup paperSize="9" orientation="portrait" horizontalDpi="4294967295" verticalDpi="4294967295" r:id="rId1"/>
  <ignoredErrors>
    <ignoredError sqref="F6:T12" unlocked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V28"/>
  <sheetViews>
    <sheetView workbookViewId="0">
      <selection activeCell="AA13" sqref="AA13"/>
    </sheetView>
  </sheetViews>
  <sheetFormatPr defaultRowHeight="15"/>
  <cols>
    <col min="1" max="1" width="19.140625" style="68" customWidth="1"/>
    <col min="2" max="4" width="8.140625" style="68" hidden="1" customWidth="1"/>
    <col min="5" max="14" width="8.140625" style="68" customWidth="1"/>
    <col min="15" max="20" width="8.5703125" style="68" customWidth="1"/>
    <col min="21" max="21" width="24" style="68" customWidth="1"/>
    <col min="22" max="258" width="9.140625" style="68"/>
    <col min="259" max="259" width="19.140625" style="68" customWidth="1"/>
    <col min="260" max="262" width="0" style="68" hidden="1" customWidth="1"/>
    <col min="263" max="272" width="8.140625" style="68" customWidth="1"/>
    <col min="273" max="274" width="8.5703125" style="68" customWidth="1"/>
    <col min="275" max="275" width="0" style="68" hidden="1" customWidth="1"/>
    <col min="276" max="276" width="22.7109375" style="68" customWidth="1"/>
    <col min="277" max="514" width="9.140625" style="68"/>
    <col min="515" max="515" width="19.140625" style="68" customWidth="1"/>
    <col min="516" max="518" width="0" style="68" hidden="1" customWidth="1"/>
    <col min="519" max="528" width="8.140625" style="68" customWidth="1"/>
    <col min="529" max="530" width="8.5703125" style="68" customWidth="1"/>
    <col min="531" max="531" width="0" style="68" hidden="1" customWidth="1"/>
    <col min="532" max="532" width="22.7109375" style="68" customWidth="1"/>
    <col min="533" max="770" width="9.140625" style="68"/>
    <col min="771" max="771" width="19.140625" style="68" customWidth="1"/>
    <col min="772" max="774" width="0" style="68" hidden="1" customWidth="1"/>
    <col min="775" max="784" width="8.140625" style="68" customWidth="1"/>
    <col min="785" max="786" width="8.5703125" style="68" customWidth="1"/>
    <col min="787" max="787" width="0" style="68" hidden="1" customWidth="1"/>
    <col min="788" max="788" width="22.7109375" style="68" customWidth="1"/>
    <col min="789" max="1026" width="9.140625" style="68"/>
    <col min="1027" max="1027" width="19.140625" style="68" customWidth="1"/>
    <col min="1028" max="1030" width="0" style="68" hidden="1" customWidth="1"/>
    <col min="1031" max="1040" width="8.140625" style="68" customWidth="1"/>
    <col min="1041" max="1042" width="8.5703125" style="68" customWidth="1"/>
    <col min="1043" max="1043" width="0" style="68" hidden="1" customWidth="1"/>
    <col min="1044" max="1044" width="22.7109375" style="68" customWidth="1"/>
    <col min="1045" max="1282" width="9.140625" style="68"/>
    <col min="1283" max="1283" width="19.140625" style="68" customWidth="1"/>
    <col min="1284" max="1286" width="0" style="68" hidden="1" customWidth="1"/>
    <col min="1287" max="1296" width="8.140625" style="68" customWidth="1"/>
    <col min="1297" max="1298" width="8.5703125" style="68" customWidth="1"/>
    <col min="1299" max="1299" width="0" style="68" hidden="1" customWidth="1"/>
    <col min="1300" max="1300" width="22.7109375" style="68" customWidth="1"/>
    <col min="1301" max="1538" width="9.140625" style="68"/>
    <col min="1539" max="1539" width="19.140625" style="68" customWidth="1"/>
    <col min="1540" max="1542" width="0" style="68" hidden="1" customWidth="1"/>
    <col min="1543" max="1552" width="8.140625" style="68" customWidth="1"/>
    <col min="1553" max="1554" width="8.5703125" style="68" customWidth="1"/>
    <col min="1555" max="1555" width="0" style="68" hidden="1" customWidth="1"/>
    <col min="1556" max="1556" width="22.7109375" style="68" customWidth="1"/>
    <col min="1557" max="1794" width="9.140625" style="68"/>
    <col min="1795" max="1795" width="19.140625" style="68" customWidth="1"/>
    <col min="1796" max="1798" width="0" style="68" hidden="1" customWidth="1"/>
    <col min="1799" max="1808" width="8.140625" style="68" customWidth="1"/>
    <col min="1809" max="1810" width="8.5703125" style="68" customWidth="1"/>
    <col min="1811" max="1811" width="0" style="68" hidden="1" customWidth="1"/>
    <col min="1812" max="1812" width="22.7109375" style="68" customWidth="1"/>
    <col min="1813" max="2050" width="9.140625" style="68"/>
    <col min="2051" max="2051" width="19.140625" style="68" customWidth="1"/>
    <col min="2052" max="2054" width="0" style="68" hidden="1" customWidth="1"/>
    <col min="2055" max="2064" width="8.140625" style="68" customWidth="1"/>
    <col min="2065" max="2066" width="8.5703125" style="68" customWidth="1"/>
    <col min="2067" max="2067" width="0" style="68" hidden="1" customWidth="1"/>
    <col min="2068" max="2068" width="22.7109375" style="68" customWidth="1"/>
    <col min="2069" max="2306" width="9.140625" style="68"/>
    <col min="2307" max="2307" width="19.140625" style="68" customWidth="1"/>
    <col min="2308" max="2310" width="0" style="68" hidden="1" customWidth="1"/>
    <col min="2311" max="2320" width="8.140625" style="68" customWidth="1"/>
    <col min="2321" max="2322" width="8.5703125" style="68" customWidth="1"/>
    <col min="2323" max="2323" width="0" style="68" hidden="1" customWidth="1"/>
    <col min="2324" max="2324" width="22.7109375" style="68" customWidth="1"/>
    <col min="2325" max="2562" width="9.140625" style="68"/>
    <col min="2563" max="2563" width="19.140625" style="68" customWidth="1"/>
    <col min="2564" max="2566" width="0" style="68" hidden="1" customWidth="1"/>
    <col min="2567" max="2576" width="8.140625" style="68" customWidth="1"/>
    <col min="2577" max="2578" width="8.5703125" style="68" customWidth="1"/>
    <col min="2579" max="2579" width="0" style="68" hidden="1" customWidth="1"/>
    <col min="2580" max="2580" width="22.7109375" style="68" customWidth="1"/>
    <col min="2581" max="2818" width="9.140625" style="68"/>
    <col min="2819" max="2819" width="19.140625" style="68" customWidth="1"/>
    <col min="2820" max="2822" width="0" style="68" hidden="1" customWidth="1"/>
    <col min="2823" max="2832" width="8.140625" style="68" customWidth="1"/>
    <col min="2833" max="2834" width="8.5703125" style="68" customWidth="1"/>
    <col min="2835" max="2835" width="0" style="68" hidden="1" customWidth="1"/>
    <col min="2836" max="2836" width="22.7109375" style="68" customWidth="1"/>
    <col min="2837" max="3074" width="9.140625" style="68"/>
    <col min="3075" max="3075" width="19.140625" style="68" customWidth="1"/>
    <col min="3076" max="3078" width="0" style="68" hidden="1" customWidth="1"/>
    <col min="3079" max="3088" width="8.140625" style="68" customWidth="1"/>
    <col min="3089" max="3090" width="8.5703125" style="68" customWidth="1"/>
    <col min="3091" max="3091" width="0" style="68" hidden="1" customWidth="1"/>
    <col min="3092" max="3092" width="22.7109375" style="68" customWidth="1"/>
    <col min="3093" max="3330" width="9.140625" style="68"/>
    <col min="3331" max="3331" width="19.140625" style="68" customWidth="1"/>
    <col min="3332" max="3334" width="0" style="68" hidden="1" customWidth="1"/>
    <col min="3335" max="3344" width="8.140625" style="68" customWidth="1"/>
    <col min="3345" max="3346" width="8.5703125" style="68" customWidth="1"/>
    <col min="3347" max="3347" width="0" style="68" hidden="1" customWidth="1"/>
    <col min="3348" max="3348" width="22.7109375" style="68" customWidth="1"/>
    <col min="3349" max="3586" width="9.140625" style="68"/>
    <col min="3587" max="3587" width="19.140625" style="68" customWidth="1"/>
    <col min="3588" max="3590" width="0" style="68" hidden="1" customWidth="1"/>
    <col min="3591" max="3600" width="8.140625" style="68" customWidth="1"/>
    <col min="3601" max="3602" width="8.5703125" style="68" customWidth="1"/>
    <col min="3603" max="3603" width="0" style="68" hidden="1" customWidth="1"/>
    <col min="3604" max="3604" width="22.7109375" style="68" customWidth="1"/>
    <col min="3605" max="3842" width="9.140625" style="68"/>
    <col min="3843" max="3843" width="19.140625" style="68" customWidth="1"/>
    <col min="3844" max="3846" width="0" style="68" hidden="1" customWidth="1"/>
    <col min="3847" max="3856" width="8.140625" style="68" customWidth="1"/>
    <col min="3857" max="3858" width="8.5703125" style="68" customWidth="1"/>
    <col min="3859" max="3859" width="0" style="68" hidden="1" customWidth="1"/>
    <col min="3860" max="3860" width="22.7109375" style="68" customWidth="1"/>
    <col min="3861" max="4098" width="9.140625" style="68"/>
    <col min="4099" max="4099" width="19.140625" style="68" customWidth="1"/>
    <col min="4100" max="4102" width="0" style="68" hidden="1" customWidth="1"/>
    <col min="4103" max="4112" width="8.140625" style="68" customWidth="1"/>
    <col min="4113" max="4114" width="8.5703125" style="68" customWidth="1"/>
    <col min="4115" max="4115" width="0" style="68" hidden="1" customWidth="1"/>
    <col min="4116" max="4116" width="22.7109375" style="68" customWidth="1"/>
    <col min="4117" max="4354" width="9.140625" style="68"/>
    <col min="4355" max="4355" width="19.140625" style="68" customWidth="1"/>
    <col min="4356" max="4358" width="0" style="68" hidden="1" customWidth="1"/>
    <col min="4359" max="4368" width="8.140625" style="68" customWidth="1"/>
    <col min="4369" max="4370" width="8.5703125" style="68" customWidth="1"/>
    <col min="4371" max="4371" width="0" style="68" hidden="1" customWidth="1"/>
    <col min="4372" max="4372" width="22.7109375" style="68" customWidth="1"/>
    <col min="4373" max="4610" width="9.140625" style="68"/>
    <col min="4611" max="4611" width="19.140625" style="68" customWidth="1"/>
    <col min="4612" max="4614" width="0" style="68" hidden="1" customWidth="1"/>
    <col min="4615" max="4624" width="8.140625" style="68" customWidth="1"/>
    <col min="4625" max="4626" width="8.5703125" style="68" customWidth="1"/>
    <col min="4627" max="4627" width="0" style="68" hidden="1" customWidth="1"/>
    <col min="4628" max="4628" width="22.7109375" style="68" customWidth="1"/>
    <col min="4629" max="4866" width="9.140625" style="68"/>
    <col min="4867" max="4867" width="19.140625" style="68" customWidth="1"/>
    <col min="4868" max="4870" width="0" style="68" hidden="1" customWidth="1"/>
    <col min="4871" max="4880" width="8.140625" style="68" customWidth="1"/>
    <col min="4881" max="4882" width="8.5703125" style="68" customWidth="1"/>
    <col min="4883" max="4883" width="0" style="68" hidden="1" customWidth="1"/>
    <col min="4884" max="4884" width="22.7109375" style="68" customWidth="1"/>
    <col min="4885" max="5122" width="9.140625" style="68"/>
    <col min="5123" max="5123" width="19.140625" style="68" customWidth="1"/>
    <col min="5124" max="5126" width="0" style="68" hidden="1" customWidth="1"/>
    <col min="5127" max="5136" width="8.140625" style="68" customWidth="1"/>
    <col min="5137" max="5138" width="8.5703125" style="68" customWidth="1"/>
    <col min="5139" max="5139" width="0" style="68" hidden="1" customWidth="1"/>
    <col min="5140" max="5140" width="22.7109375" style="68" customWidth="1"/>
    <col min="5141" max="5378" width="9.140625" style="68"/>
    <col min="5379" max="5379" width="19.140625" style="68" customWidth="1"/>
    <col min="5380" max="5382" width="0" style="68" hidden="1" customWidth="1"/>
    <col min="5383" max="5392" width="8.140625" style="68" customWidth="1"/>
    <col min="5393" max="5394" width="8.5703125" style="68" customWidth="1"/>
    <col min="5395" max="5395" width="0" style="68" hidden="1" customWidth="1"/>
    <col min="5396" max="5396" width="22.7109375" style="68" customWidth="1"/>
    <col min="5397" max="5634" width="9.140625" style="68"/>
    <col min="5635" max="5635" width="19.140625" style="68" customWidth="1"/>
    <col min="5636" max="5638" width="0" style="68" hidden="1" customWidth="1"/>
    <col min="5639" max="5648" width="8.140625" style="68" customWidth="1"/>
    <col min="5649" max="5650" width="8.5703125" style="68" customWidth="1"/>
    <col min="5651" max="5651" width="0" style="68" hidden="1" customWidth="1"/>
    <col min="5652" max="5652" width="22.7109375" style="68" customWidth="1"/>
    <col min="5653" max="5890" width="9.140625" style="68"/>
    <col min="5891" max="5891" width="19.140625" style="68" customWidth="1"/>
    <col min="5892" max="5894" width="0" style="68" hidden="1" customWidth="1"/>
    <col min="5895" max="5904" width="8.140625" style="68" customWidth="1"/>
    <col min="5905" max="5906" width="8.5703125" style="68" customWidth="1"/>
    <col min="5907" max="5907" width="0" style="68" hidden="1" customWidth="1"/>
    <col min="5908" max="5908" width="22.7109375" style="68" customWidth="1"/>
    <col min="5909" max="6146" width="9.140625" style="68"/>
    <col min="6147" max="6147" width="19.140625" style="68" customWidth="1"/>
    <col min="6148" max="6150" width="0" style="68" hidden="1" customWidth="1"/>
    <col min="6151" max="6160" width="8.140625" style="68" customWidth="1"/>
    <col min="6161" max="6162" width="8.5703125" style="68" customWidth="1"/>
    <col min="6163" max="6163" width="0" style="68" hidden="1" customWidth="1"/>
    <col min="6164" max="6164" width="22.7109375" style="68" customWidth="1"/>
    <col min="6165" max="6402" width="9.140625" style="68"/>
    <col min="6403" max="6403" width="19.140625" style="68" customWidth="1"/>
    <col min="6404" max="6406" width="0" style="68" hidden="1" customWidth="1"/>
    <col min="6407" max="6416" width="8.140625" style="68" customWidth="1"/>
    <col min="6417" max="6418" width="8.5703125" style="68" customWidth="1"/>
    <col min="6419" max="6419" width="0" style="68" hidden="1" customWidth="1"/>
    <col min="6420" max="6420" width="22.7109375" style="68" customWidth="1"/>
    <col min="6421" max="6658" width="9.140625" style="68"/>
    <col min="6659" max="6659" width="19.140625" style="68" customWidth="1"/>
    <col min="6660" max="6662" width="0" style="68" hidden="1" customWidth="1"/>
    <col min="6663" max="6672" width="8.140625" style="68" customWidth="1"/>
    <col min="6673" max="6674" width="8.5703125" style="68" customWidth="1"/>
    <col min="6675" max="6675" width="0" style="68" hidden="1" customWidth="1"/>
    <col min="6676" max="6676" width="22.7109375" style="68" customWidth="1"/>
    <col min="6677" max="6914" width="9.140625" style="68"/>
    <col min="6915" max="6915" width="19.140625" style="68" customWidth="1"/>
    <col min="6916" max="6918" width="0" style="68" hidden="1" customWidth="1"/>
    <col min="6919" max="6928" width="8.140625" style="68" customWidth="1"/>
    <col min="6929" max="6930" width="8.5703125" style="68" customWidth="1"/>
    <col min="6931" max="6931" width="0" style="68" hidden="1" customWidth="1"/>
    <col min="6932" max="6932" width="22.7109375" style="68" customWidth="1"/>
    <col min="6933" max="7170" width="9.140625" style="68"/>
    <col min="7171" max="7171" width="19.140625" style="68" customWidth="1"/>
    <col min="7172" max="7174" width="0" style="68" hidden="1" customWidth="1"/>
    <col min="7175" max="7184" width="8.140625" style="68" customWidth="1"/>
    <col min="7185" max="7186" width="8.5703125" style="68" customWidth="1"/>
    <col min="7187" max="7187" width="0" style="68" hidden="1" customWidth="1"/>
    <col min="7188" max="7188" width="22.7109375" style="68" customWidth="1"/>
    <col min="7189" max="7426" width="9.140625" style="68"/>
    <col min="7427" max="7427" width="19.140625" style="68" customWidth="1"/>
    <col min="7428" max="7430" width="0" style="68" hidden="1" customWidth="1"/>
    <col min="7431" max="7440" width="8.140625" style="68" customWidth="1"/>
    <col min="7441" max="7442" width="8.5703125" style="68" customWidth="1"/>
    <col min="7443" max="7443" width="0" style="68" hidden="1" customWidth="1"/>
    <col min="7444" max="7444" width="22.7109375" style="68" customWidth="1"/>
    <col min="7445" max="7682" width="9.140625" style="68"/>
    <col min="7683" max="7683" width="19.140625" style="68" customWidth="1"/>
    <col min="7684" max="7686" width="0" style="68" hidden="1" customWidth="1"/>
    <col min="7687" max="7696" width="8.140625" style="68" customWidth="1"/>
    <col min="7697" max="7698" width="8.5703125" style="68" customWidth="1"/>
    <col min="7699" max="7699" width="0" style="68" hidden="1" customWidth="1"/>
    <col min="7700" max="7700" width="22.7109375" style="68" customWidth="1"/>
    <col min="7701" max="7938" width="9.140625" style="68"/>
    <col min="7939" max="7939" width="19.140625" style="68" customWidth="1"/>
    <col min="7940" max="7942" width="0" style="68" hidden="1" customWidth="1"/>
    <col min="7943" max="7952" width="8.140625" style="68" customWidth="1"/>
    <col min="7953" max="7954" width="8.5703125" style="68" customWidth="1"/>
    <col min="7955" max="7955" width="0" style="68" hidden="1" customWidth="1"/>
    <col min="7956" max="7956" width="22.7109375" style="68" customWidth="1"/>
    <col min="7957" max="8194" width="9.140625" style="68"/>
    <col min="8195" max="8195" width="19.140625" style="68" customWidth="1"/>
    <col min="8196" max="8198" width="0" style="68" hidden="1" customWidth="1"/>
    <col min="8199" max="8208" width="8.140625" style="68" customWidth="1"/>
    <col min="8209" max="8210" width="8.5703125" style="68" customWidth="1"/>
    <col min="8211" max="8211" width="0" style="68" hidden="1" customWidth="1"/>
    <col min="8212" max="8212" width="22.7109375" style="68" customWidth="1"/>
    <col min="8213" max="8450" width="9.140625" style="68"/>
    <col min="8451" max="8451" width="19.140625" style="68" customWidth="1"/>
    <col min="8452" max="8454" width="0" style="68" hidden="1" customWidth="1"/>
    <col min="8455" max="8464" width="8.140625" style="68" customWidth="1"/>
    <col min="8465" max="8466" width="8.5703125" style="68" customWidth="1"/>
    <col min="8467" max="8467" width="0" style="68" hidden="1" customWidth="1"/>
    <col min="8468" max="8468" width="22.7109375" style="68" customWidth="1"/>
    <col min="8469" max="8706" width="9.140625" style="68"/>
    <col min="8707" max="8707" width="19.140625" style="68" customWidth="1"/>
    <col min="8708" max="8710" width="0" style="68" hidden="1" customWidth="1"/>
    <col min="8711" max="8720" width="8.140625" style="68" customWidth="1"/>
    <col min="8721" max="8722" width="8.5703125" style="68" customWidth="1"/>
    <col min="8723" max="8723" width="0" style="68" hidden="1" customWidth="1"/>
    <col min="8724" max="8724" width="22.7109375" style="68" customWidth="1"/>
    <col min="8725" max="8962" width="9.140625" style="68"/>
    <col min="8963" max="8963" width="19.140625" style="68" customWidth="1"/>
    <col min="8964" max="8966" width="0" style="68" hidden="1" customWidth="1"/>
    <col min="8967" max="8976" width="8.140625" style="68" customWidth="1"/>
    <col min="8977" max="8978" width="8.5703125" style="68" customWidth="1"/>
    <col min="8979" max="8979" width="0" style="68" hidden="1" customWidth="1"/>
    <col min="8980" max="8980" width="22.7109375" style="68" customWidth="1"/>
    <col min="8981" max="9218" width="9.140625" style="68"/>
    <col min="9219" max="9219" width="19.140625" style="68" customWidth="1"/>
    <col min="9220" max="9222" width="0" style="68" hidden="1" customWidth="1"/>
    <col min="9223" max="9232" width="8.140625" style="68" customWidth="1"/>
    <col min="9233" max="9234" width="8.5703125" style="68" customWidth="1"/>
    <col min="9235" max="9235" width="0" style="68" hidden="1" customWidth="1"/>
    <col min="9236" max="9236" width="22.7109375" style="68" customWidth="1"/>
    <col min="9237" max="9474" width="9.140625" style="68"/>
    <col min="9475" max="9475" width="19.140625" style="68" customWidth="1"/>
    <col min="9476" max="9478" width="0" style="68" hidden="1" customWidth="1"/>
    <col min="9479" max="9488" width="8.140625" style="68" customWidth="1"/>
    <col min="9489" max="9490" width="8.5703125" style="68" customWidth="1"/>
    <col min="9491" max="9491" width="0" style="68" hidden="1" customWidth="1"/>
    <col min="9492" max="9492" width="22.7109375" style="68" customWidth="1"/>
    <col min="9493" max="9730" width="9.140625" style="68"/>
    <col min="9731" max="9731" width="19.140625" style="68" customWidth="1"/>
    <col min="9732" max="9734" width="0" style="68" hidden="1" customWidth="1"/>
    <col min="9735" max="9744" width="8.140625" style="68" customWidth="1"/>
    <col min="9745" max="9746" width="8.5703125" style="68" customWidth="1"/>
    <col min="9747" max="9747" width="0" style="68" hidden="1" customWidth="1"/>
    <col min="9748" max="9748" width="22.7109375" style="68" customWidth="1"/>
    <col min="9749" max="9986" width="9.140625" style="68"/>
    <col min="9987" max="9987" width="19.140625" style="68" customWidth="1"/>
    <col min="9988" max="9990" width="0" style="68" hidden="1" customWidth="1"/>
    <col min="9991" max="10000" width="8.140625" style="68" customWidth="1"/>
    <col min="10001" max="10002" width="8.5703125" style="68" customWidth="1"/>
    <col min="10003" max="10003" width="0" style="68" hidden="1" customWidth="1"/>
    <col min="10004" max="10004" width="22.7109375" style="68" customWidth="1"/>
    <col min="10005" max="10242" width="9.140625" style="68"/>
    <col min="10243" max="10243" width="19.140625" style="68" customWidth="1"/>
    <col min="10244" max="10246" width="0" style="68" hidden="1" customWidth="1"/>
    <col min="10247" max="10256" width="8.140625" style="68" customWidth="1"/>
    <col min="10257" max="10258" width="8.5703125" style="68" customWidth="1"/>
    <col min="10259" max="10259" width="0" style="68" hidden="1" customWidth="1"/>
    <col min="10260" max="10260" width="22.7109375" style="68" customWidth="1"/>
    <col min="10261" max="10498" width="9.140625" style="68"/>
    <col min="10499" max="10499" width="19.140625" style="68" customWidth="1"/>
    <col min="10500" max="10502" width="0" style="68" hidden="1" customWidth="1"/>
    <col min="10503" max="10512" width="8.140625" style="68" customWidth="1"/>
    <col min="10513" max="10514" width="8.5703125" style="68" customWidth="1"/>
    <col min="10515" max="10515" width="0" style="68" hidden="1" customWidth="1"/>
    <col min="10516" max="10516" width="22.7109375" style="68" customWidth="1"/>
    <col min="10517" max="10754" width="9.140625" style="68"/>
    <col min="10755" max="10755" width="19.140625" style="68" customWidth="1"/>
    <col min="10756" max="10758" width="0" style="68" hidden="1" customWidth="1"/>
    <col min="10759" max="10768" width="8.140625" style="68" customWidth="1"/>
    <col min="10769" max="10770" width="8.5703125" style="68" customWidth="1"/>
    <col min="10771" max="10771" width="0" style="68" hidden="1" customWidth="1"/>
    <col min="10772" max="10772" width="22.7109375" style="68" customWidth="1"/>
    <col min="10773" max="11010" width="9.140625" style="68"/>
    <col min="11011" max="11011" width="19.140625" style="68" customWidth="1"/>
    <col min="11012" max="11014" width="0" style="68" hidden="1" customWidth="1"/>
    <col min="11015" max="11024" width="8.140625" style="68" customWidth="1"/>
    <col min="11025" max="11026" width="8.5703125" style="68" customWidth="1"/>
    <col min="11027" max="11027" width="0" style="68" hidden="1" customWidth="1"/>
    <col min="11028" max="11028" width="22.7109375" style="68" customWidth="1"/>
    <col min="11029" max="11266" width="9.140625" style="68"/>
    <col min="11267" max="11267" width="19.140625" style="68" customWidth="1"/>
    <col min="11268" max="11270" width="0" style="68" hidden="1" customWidth="1"/>
    <col min="11271" max="11280" width="8.140625" style="68" customWidth="1"/>
    <col min="11281" max="11282" width="8.5703125" style="68" customWidth="1"/>
    <col min="11283" max="11283" width="0" style="68" hidden="1" customWidth="1"/>
    <col min="11284" max="11284" width="22.7109375" style="68" customWidth="1"/>
    <col min="11285" max="11522" width="9.140625" style="68"/>
    <col min="11523" max="11523" width="19.140625" style="68" customWidth="1"/>
    <col min="11524" max="11526" width="0" style="68" hidden="1" customWidth="1"/>
    <col min="11527" max="11536" width="8.140625" style="68" customWidth="1"/>
    <col min="11537" max="11538" width="8.5703125" style="68" customWidth="1"/>
    <col min="11539" max="11539" width="0" style="68" hidden="1" customWidth="1"/>
    <col min="11540" max="11540" width="22.7109375" style="68" customWidth="1"/>
    <col min="11541" max="11778" width="9.140625" style="68"/>
    <col min="11779" max="11779" width="19.140625" style="68" customWidth="1"/>
    <col min="11780" max="11782" width="0" style="68" hidden="1" customWidth="1"/>
    <col min="11783" max="11792" width="8.140625" style="68" customWidth="1"/>
    <col min="11793" max="11794" width="8.5703125" style="68" customWidth="1"/>
    <col min="11795" max="11795" width="0" style="68" hidden="1" customWidth="1"/>
    <col min="11796" max="11796" width="22.7109375" style="68" customWidth="1"/>
    <col min="11797" max="12034" width="9.140625" style="68"/>
    <col min="12035" max="12035" width="19.140625" style="68" customWidth="1"/>
    <col min="12036" max="12038" width="0" style="68" hidden="1" customWidth="1"/>
    <col min="12039" max="12048" width="8.140625" style="68" customWidth="1"/>
    <col min="12049" max="12050" width="8.5703125" style="68" customWidth="1"/>
    <col min="12051" max="12051" width="0" style="68" hidden="1" customWidth="1"/>
    <col min="12052" max="12052" width="22.7109375" style="68" customWidth="1"/>
    <col min="12053" max="12290" width="9.140625" style="68"/>
    <col min="12291" max="12291" width="19.140625" style="68" customWidth="1"/>
    <col min="12292" max="12294" width="0" style="68" hidden="1" customWidth="1"/>
    <col min="12295" max="12304" width="8.140625" style="68" customWidth="1"/>
    <col min="12305" max="12306" width="8.5703125" style="68" customWidth="1"/>
    <col min="12307" max="12307" width="0" style="68" hidden="1" customWidth="1"/>
    <col min="12308" max="12308" width="22.7109375" style="68" customWidth="1"/>
    <col min="12309" max="12546" width="9.140625" style="68"/>
    <col min="12547" max="12547" width="19.140625" style="68" customWidth="1"/>
    <col min="12548" max="12550" width="0" style="68" hidden="1" customWidth="1"/>
    <col min="12551" max="12560" width="8.140625" style="68" customWidth="1"/>
    <col min="12561" max="12562" width="8.5703125" style="68" customWidth="1"/>
    <col min="12563" max="12563" width="0" style="68" hidden="1" customWidth="1"/>
    <col min="12564" max="12564" width="22.7109375" style="68" customWidth="1"/>
    <col min="12565" max="12802" width="9.140625" style="68"/>
    <col min="12803" max="12803" width="19.140625" style="68" customWidth="1"/>
    <col min="12804" max="12806" width="0" style="68" hidden="1" customWidth="1"/>
    <col min="12807" max="12816" width="8.140625" style="68" customWidth="1"/>
    <col min="12817" max="12818" width="8.5703125" style="68" customWidth="1"/>
    <col min="12819" max="12819" width="0" style="68" hidden="1" customWidth="1"/>
    <col min="12820" max="12820" width="22.7109375" style="68" customWidth="1"/>
    <col min="12821" max="13058" width="9.140625" style="68"/>
    <col min="13059" max="13059" width="19.140625" style="68" customWidth="1"/>
    <col min="13060" max="13062" width="0" style="68" hidden="1" customWidth="1"/>
    <col min="13063" max="13072" width="8.140625" style="68" customWidth="1"/>
    <col min="13073" max="13074" width="8.5703125" style="68" customWidth="1"/>
    <col min="13075" max="13075" width="0" style="68" hidden="1" customWidth="1"/>
    <col min="13076" max="13076" width="22.7109375" style="68" customWidth="1"/>
    <col min="13077" max="13314" width="9.140625" style="68"/>
    <col min="13315" max="13315" width="19.140625" style="68" customWidth="1"/>
    <col min="13316" max="13318" width="0" style="68" hidden="1" customWidth="1"/>
    <col min="13319" max="13328" width="8.140625" style="68" customWidth="1"/>
    <col min="13329" max="13330" width="8.5703125" style="68" customWidth="1"/>
    <col min="13331" max="13331" width="0" style="68" hidden="1" customWidth="1"/>
    <col min="13332" max="13332" width="22.7109375" style="68" customWidth="1"/>
    <col min="13333" max="13570" width="9.140625" style="68"/>
    <col min="13571" max="13571" width="19.140625" style="68" customWidth="1"/>
    <col min="13572" max="13574" width="0" style="68" hidden="1" customWidth="1"/>
    <col min="13575" max="13584" width="8.140625" style="68" customWidth="1"/>
    <col min="13585" max="13586" width="8.5703125" style="68" customWidth="1"/>
    <col min="13587" max="13587" width="0" style="68" hidden="1" customWidth="1"/>
    <col min="13588" max="13588" width="22.7109375" style="68" customWidth="1"/>
    <col min="13589" max="13826" width="9.140625" style="68"/>
    <col min="13827" max="13827" width="19.140625" style="68" customWidth="1"/>
    <col min="13828" max="13830" width="0" style="68" hidden="1" customWidth="1"/>
    <col min="13831" max="13840" width="8.140625" style="68" customWidth="1"/>
    <col min="13841" max="13842" width="8.5703125" style="68" customWidth="1"/>
    <col min="13843" max="13843" width="0" style="68" hidden="1" customWidth="1"/>
    <col min="13844" max="13844" width="22.7109375" style="68" customWidth="1"/>
    <col min="13845" max="14082" width="9.140625" style="68"/>
    <col min="14083" max="14083" width="19.140625" style="68" customWidth="1"/>
    <col min="14084" max="14086" width="0" style="68" hidden="1" customWidth="1"/>
    <col min="14087" max="14096" width="8.140625" style="68" customWidth="1"/>
    <col min="14097" max="14098" width="8.5703125" style="68" customWidth="1"/>
    <col min="14099" max="14099" width="0" style="68" hidden="1" customWidth="1"/>
    <col min="14100" max="14100" width="22.7109375" style="68" customWidth="1"/>
    <col min="14101" max="14338" width="9.140625" style="68"/>
    <col min="14339" max="14339" width="19.140625" style="68" customWidth="1"/>
    <col min="14340" max="14342" width="0" style="68" hidden="1" customWidth="1"/>
    <col min="14343" max="14352" width="8.140625" style="68" customWidth="1"/>
    <col min="14353" max="14354" width="8.5703125" style="68" customWidth="1"/>
    <col min="14355" max="14355" width="0" style="68" hidden="1" customWidth="1"/>
    <col min="14356" max="14356" width="22.7109375" style="68" customWidth="1"/>
    <col min="14357" max="14594" width="9.140625" style="68"/>
    <col min="14595" max="14595" width="19.140625" style="68" customWidth="1"/>
    <col min="14596" max="14598" width="0" style="68" hidden="1" customWidth="1"/>
    <col min="14599" max="14608" width="8.140625" style="68" customWidth="1"/>
    <col min="14609" max="14610" width="8.5703125" style="68" customWidth="1"/>
    <col min="14611" max="14611" width="0" style="68" hidden="1" customWidth="1"/>
    <col min="14612" max="14612" width="22.7109375" style="68" customWidth="1"/>
    <col min="14613" max="14850" width="9.140625" style="68"/>
    <col min="14851" max="14851" width="19.140625" style="68" customWidth="1"/>
    <col min="14852" max="14854" width="0" style="68" hidden="1" customWidth="1"/>
    <col min="14855" max="14864" width="8.140625" style="68" customWidth="1"/>
    <col min="14865" max="14866" width="8.5703125" style="68" customWidth="1"/>
    <col min="14867" max="14867" width="0" style="68" hidden="1" customWidth="1"/>
    <col min="14868" max="14868" width="22.7109375" style="68" customWidth="1"/>
    <col min="14869" max="15106" width="9.140625" style="68"/>
    <col min="15107" max="15107" width="19.140625" style="68" customWidth="1"/>
    <col min="15108" max="15110" width="0" style="68" hidden="1" customWidth="1"/>
    <col min="15111" max="15120" width="8.140625" style="68" customWidth="1"/>
    <col min="15121" max="15122" width="8.5703125" style="68" customWidth="1"/>
    <col min="15123" max="15123" width="0" style="68" hidden="1" customWidth="1"/>
    <col min="15124" max="15124" width="22.7109375" style="68" customWidth="1"/>
    <col min="15125" max="15362" width="9.140625" style="68"/>
    <col min="15363" max="15363" width="19.140625" style="68" customWidth="1"/>
    <col min="15364" max="15366" width="0" style="68" hidden="1" customWidth="1"/>
    <col min="15367" max="15376" width="8.140625" style="68" customWidth="1"/>
    <col min="15377" max="15378" width="8.5703125" style="68" customWidth="1"/>
    <col min="15379" max="15379" width="0" style="68" hidden="1" customWidth="1"/>
    <col min="15380" max="15380" width="22.7109375" style="68" customWidth="1"/>
    <col min="15381" max="15618" width="9.140625" style="68"/>
    <col min="15619" max="15619" width="19.140625" style="68" customWidth="1"/>
    <col min="15620" max="15622" width="0" style="68" hidden="1" customWidth="1"/>
    <col min="15623" max="15632" width="8.140625" style="68" customWidth="1"/>
    <col min="15633" max="15634" width="8.5703125" style="68" customWidth="1"/>
    <col min="15635" max="15635" width="0" style="68" hidden="1" customWidth="1"/>
    <col min="15636" max="15636" width="22.7109375" style="68" customWidth="1"/>
    <col min="15637" max="15874" width="9.140625" style="68"/>
    <col min="15875" max="15875" width="19.140625" style="68" customWidth="1"/>
    <col min="15876" max="15878" width="0" style="68" hidden="1" customWidth="1"/>
    <col min="15879" max="15888" width="8.140625" style="68" customWidth="1"/>
    <col min="15889" max="15890" width="8.5703125" style="68" customWidth="1"/>
    <col min="15891" max="15891" width="0" style="68" hidden="1" customWidth="1"/>
    <col min="15892" max="15892" width="22.7109375" style="68" customWidth="1"/>
    <col min="15893" max="16130" width="9.140625" style="68"/>
    <col min="16131" max="16131" width="19.140625" style="68" customWidth="1"/>
    <col min="16132" max="16134" width="0" style="68" hidden="1" customWidth="1"/>
    <col min="16135" max="16144" width="8.140625" style="68" customWidth="1"/>
    <col min="16145" max="16146" width="8.5703125" style="68" customWidth="1"/>
    <col min="16147" max="16147" width="0" style="68" hidden="1" customWidth="1"/>
    <col min="16148" max="16148" width="22.7109375" style="68" customWidth="1"/>
    <col min="16149" max="16384" width="9.140625" style="68"/>
  </cols>
  <sheetData>
    <row r="1" spans="1:22" ht="18">
      <c r="A1" s="1424" t="s">
        <v>1200</v>
      </c>
      <c r="B1" s="1424"/>
      <c r="C1" s="1424"/>
      <c r="D1" s="1424"/>
      <c r="E1" s="1424"/>
      <c r="F1" s="1424"/>
      <c r="G1" s="1424"/>
      <c r="H1" s="1424"/>
      <c r="I1" s="1424"/>
      <c r="J1" s="1424"/>
      <c r="K1" s="1424"/>
      <c r="L1" s="1424"/>
      <c r="M1" s="1424"/>
      <c r="N1" s="1424"/>
      <c r="O1" s="1424"/>
      <c r="P1" s="1424"/>
      <c r="Q1" s="1424"/>
      <c r="R1" s="1424"/>
      <c r="S1" s="1424"/>
      <c r="T1" s="1424"/>
      <c r="U1" s="1424"/>
      <c r="V1" s="998"/>
    </row>
    <row r="2" spans="1:22">
      <c r="A2" s="1425" t="s">
        <v>1199</v>
      </c>
      <c r="B2" s="1425"/>
      <c r="C2" s="1425"/>
      <c r="D2" s="1425"/>
      <c r="E2" s="1425"/>
      <c r="F2" s="1425"/>
      <c r="G2" s="1425"/>
      <c r="H2" s="1425"/>
      <c r="I2" s="1425"/>
      <c r="J2" s="1425"/>
      <c r="K2" s="1425"/>
      <c r="L2" s="1425"/>
      <c r="M2" s="1425"/>
      <c r="N2" s="1425"/>
      <c r="O2" s="1425"/>
      <c r="P2" s="1425"/>
      <c r="Q2" s="1425"/>
      <c r="R2" s="1425"/>
      <c r="S2" s="1425"/>
      <c r="T2" s="1425"/>
      <c r="U2" s="1425"/>
      <c r="V2" s="998"/>
    </row>
    <row r="3" spans="1:22">
      <c r="A3" s="999"/>
      <c r="B3" s="999"/>
      <c r="C3" s="999"/>
      <c r="D3" s="999"/>
      <c r="E3" s="999"/>
      <c r="F3" s="999"/>
      <c r="G3" s="999"/>
      <c r="H3" s="999"/>
      <c r="I3" s="999"/>
      <c r="J3" s="999"/>
      <c r="K3" s="999"/>
      <c r="L3" s="1000"/>
      <c r="M3" s="1000"/>
      <c r="N3" s="1000"/>
      <c r="O3" s="1000"/>
      <c r="P3" s="1000"/>
      <c r="Q3" s="1000"/>
      <c r="R3" s="1000"/>
      <c r="S3" s="1000"/>
      <c r="T3" s="1000"/>
      <c r="U3" s="999"/>
      <c r="V3" s="998"/>
    </row>
    <row r="4" spans="1:22">
      <c r="A4" s="1001" t="s">
        <v>785</v>
      </c>
      <c r="B4" s="1002">
        <v>2003</v>
      </c>
      <c r="C4" s="1002">
        <v>2004</v>
      </c>
      <c r="D4" s="1002">
        <v>2005</v>
      </c>
      <c r="E4" s="1002">
        <v>2006</v>
      </c>
      <c r="F4" s="1002">
        <v>2007</v>
      </c>
      <c r="G4" s="1002">
        <v>2008</v>
      </c>
      <c r="H4" s="1002">
        <v>2009</v>
      </c>
      <c r="I4" s="1002">
        <v>2010</v>
      </c>
      <c r="J4" s="1002">
        <v>2011</v>
      </c>
      <c r="K4" s="1002">
        <v>2012</v>
      </c>
      <c r="L4" s="1002">
        <v>2013</v>
      </c>
      <c r="M4" s="1002">
        <v>2014</v>
      </c>
      <c r="N4" s="1002">
        <v>2015</v>
      </c>
      <c r="O4" s="1002">
        <v>2016</v>
      </c>
      <c r="P4" s="1002">
        <v>2017</v>
      </c>
      <c r="Q4" s="1003">
        <v>2018</v>
      </c>
      <c r="R4" s="1003">
        <v>2019</v>
      </c>
      <c r="S4" s="1003">
        <v>2020</v>
      </c>
      <c r="T4" s="1003" t="s">
        <v>1198</v>
      </c>
      <c r="U4" s="1004" t="s">
        <v>786</v>
      </c>
      <c r="V4" s="998"/>
    </row>
    <row r="5" spans="1:22" ht="15.75">
      <c r="A5" s="1005" t="s">
        <v>21</v>
      </c>
      <c r="B5" s="1006">
        <f>SUM(B6:B8)</f>
        <v>72</v>
      </c>
      <c r="C5" s="1006">
        <f>SUM(C6:C8)</f>
        <v>76</v>
      </c>
      <c r="D5" s="1006">
        <f>SUM(D6:D8)</f>
        <v>67</v>
      </c>
      <c r="E5" s="1006">
        <f>E10+E15</f>
        <v>92</v>
      </c>
      <c r="F5" s="1006">
        <f t="shared" ref="F5:P5" si="0">F10+F15</f>
        <v>66</v>
      </c>
      <c r="G5" s="1006">
        <f t="shared" si="0"/>
        <v>76</v>
      </c>
      <c r="H5" s="1006">
        <f t="shared" si="0"/>
        <v>81</v>
      </c>
      <c r="I5" s="1006">
        <f t="shared" si="0"/>
        <v>78</v>
      </c>
      <c r="J5" s="1006">
        <f t="shared" si="0"/>
        <v>65</v>
      </c>
      <c r="K5" s="1006">
        <f t="shared" si="0"/>
        <v>66</v>
      </c>
      <c r="L5" s="1006">
        <f t="shared" si="0"/>
        <v>46</v>
      </c>
      <c r="M5" s="1006">
        <f t="shared" si="0"/>
        <v>59</v>
      </c>
      <c r="N5" s="1006">
        <f t="shared" si="0"/>
        <v>63</v>
      </c>
      <c r="O5" s="1006">
        <f t="shared" si="0"/>
        <v>53</v>
      </c>
      <c r="P5" s="1006">
        <f t="shared" si="0"/>
        <v>64</v>
      </c>
      <c r="Q5" s="1006">
        <f>Q10+Q15</f>
        <v>45</v>
      </c>
      <c r="R5" s="1006">
        <v>43</v>
      </c>
      <c r="S5" s="1006">
        <v>45</v>
      </c>
      <c r="T5" s="1006">
        <f>SUM(T6:T9)</f>
        <v>97</v>
      </c>
      <c r="U5" s="1007" t="s">
        <v>769</v>
      </c>
      <c r="V5" s="998"/>
    </row>
    <row r="6" spans="1:22" ht="15.75">
      <c r="A6" s="1008" t="s">
        <v>787</v>
      </c>
      <c r="B6" s="1009">
        <f t="shared" ref="B6:D8" si="1">SUM(B11+B16)</f>
        <v>44</v>
      </c>
      <c r="C6" s="1009">
        <f t="shared" si="1"/>
        <v>47</v>
      </c>
      <c r="D6" s="1009">
        <f t="shared" si="1"/>
        <v>40</v>
      </c>
      <c r="E6" s="1010">
        <f>E11+E16</f>
        <v>51</v>
      </c>
      <c r="F6" s="1010">
        <f t="shared" ref="F6:P6" si="2">F11+F16</f>
        <v>41</v>
      </c>
      <c r="G6" s="1010">
        <f t="shared" si="2"/>
        <v>41</v>
      </c>
      <c r="H6" s="1010">
        <f t="shared" si="2"/>
        <v>51</v>
      </c>
      <c r="I6" s="1010">
        <f t="shared" si="2"/>
        <v>44</v>
      </c>
      <c r="J6" s="1010">
        <f t="shared" si="2"/>
        <v>41</v>
      </c>
      <c r="K6" s="1010">
        <f t="shared" si="2"/>
        <v>33</v>
      </c>
      <c r="L6" s="1010">
        <f t="shared" si="2"/>
        <v>22</v>
      </c>
      <c r="M6" s="1010">
        <f t="shared" si="2"/>
        <v>33</v>
      </c>
      <c r="N6" s="1010">
        <f t="shared" si="2"/>
        <v>29</v>
      </c>
      <c r="O6" s="1010">
        <f t="shared" si="2"/>
        <v>28</v>
      </c>
      <c r="P6" s="1010">
        <f t="shared" si="2"/>
        <v>45</v>
      </c>
      <c r="Q6" s="1010">
        <v>30</v>
      </c>
      <c r="R6" s="1010">
        <v>14</v>
      </c>
      <c r="S6" s="1010">
        <f>S11+S16+S21</f>
        <v>17</v>
      </c>
      <c r="T6" s="1010">
        <f>T11+T16+T21</f>
        <v>63</v>
      </c>
      <c r="U6" s="1011" t="s">
        <v>788</v>
      </c>
      <c r="V6" s="998"/>
    </row>
    <row r="7" spans="1:22" ht="15.75">
      <c r="A7" s="1012" t="s">
        <v>789</v>
      </c>
      <c r="B7" s="1009">
        <f t="shared" si="1"/>
        <v>5</v>
      </c>
      <c r="C7" s="1009">
        <f t="shared" si="1"/>
        <v>5</v>
      </c>
      <c r="D7" s="1009">
        <f t="shared" si="1"/>
        <v>6</v>
      </c>
      <c r="E7" s="1010">
        <f>E12+E17</f>
        <v>16</v>
      </c>
      <c r="F7" s="1010">
        <f t="shared" ref="F7:P7" si="3">F12+F17</f>
        <v>6</v>
      </c>
      <c r="G7" s="1010">
        <f t="shared" si="3"/>
        <v>15</v>
      </c>
      <c r="H7" s="1010">
        <f t="shared" si="3"/>
        <v>8</v>
      </c>
      <c r="I7" s="1010">
        <f t="shared" si="3"/>
        <v>14</v>
      </c>
      <c r="J7" s="1010">
        <f t="shared" si="3"/>
        <v>8</v>
      </c>
      <c r="K7" s="1010">
        <f t="shared" si="3"/>
        <v>11</v>
      </c>
      <c r="L7" s="1010">
        <f t="shared" si="3"/>
        <v>7</v>
      </c>
      <c r="M7" s="1010">
        <f t="shared" si="3"/>
        <v>4</v>
      </c>
      <c r="N7" s="1010">
        <f t="shared" si="3"/>
        <v>8</v>
      </c>
      <c r="O7" s="1010">
        <f t="shared" si="3"/>
        <v>8</v>
      </c>
      <c r="P7" s="1010">
        <f t="shared" si="3"/>
        <v>6</v>
      </c>
      <c r="Q7" s="1010">
        <f>Q12+Q17</f>
        <v>3</v>
      </c>
      <c r="R7" s="1010">
        <v>4</v>
      </c>
      <c r="S7" s="1010">
        <f>S12+S17+S22</f>
        <v>6</v>
      </c>
      <c r="T7" s="1010">
        <f t="shared" ref="T7:T9" si="4">T12+T17+T22</f>
        <v>10</v>
      </c>
      <c r="U7" s="1011" t="s">
        <v>790</v>
      </c>
      <c r="V7" s="998"/>
    </row>
    <row r="8" spans="1:22" ht="15.75">
      <c r="A8" s="1012" t="s">
        <v>791</v>
      </c>
      <c r="B8" s="1009">
        <f t="shared" si="1"/>
        <v>23</v>
      </c>
      <c r="C8" s="1009">
        <f t="shared" si="1"/>
        <v>24</v>
      </c>
      <c r="D8" s="1009">
        <f t="shared" si="1"/>
        <v>21</v>
      </c>
      <c r="E8" s="1010">
        <f>E13+E18</f>
        <v>25</v>
      </c>
      <c r="F8" s="1010">
        <f t="shared" ref="F8:P8" si="5">F13+F18</f>
        <v>19</v>
      </c>
      <c r="G8" s="1010">
        <f t="shared" si="5"/>
        <v>20</v>
      </c>
      <c r="H8" s="1010">
        <f t="shared" si="5"/>
        <v>22</v>
      </c>
      <c r="I8" s="1010">
        <f t="shared" si="5"/>
        <v>20</v>
      </c>
      <c r="J8" s="1010">
        <f t="shared" si="5"/>
        <v>16</v>
      </c>
      <c r="K8" s="1010">
        <f t="shared" si="5"/>
        <v>22</v>
      </c>
      <c r="L8" s="1010">
        <f t="shared" si="5"/>
        <v>17</v>
      </c>
      <c r="M8" s="1010">
        <f t="shared" si="5"/>
        <v>22</v>
      </c>
      <c r="N8" s="1010">
        <f t="shared" si="5"/>
        <v>26</v>
      </c>
      <c r="O8" s="1010">
        <f t="shared" si="5"/>
        <v>17</v>
      </c>
      <c r="P8" s="1010">
        <f t="shared" si="5"/>
        <v>13</v>
      </c>
      <c r="Q8" s="1010">
        <f>Q13+Q18</f>
        <v>13</v>
      </c>
      <c r="R8" s="1010">
        <v>15</v>
      </c>
      <c r="S8" s="1010">
        <f>S13+S18+S23</f>
        <v>15</v>
      </c>
      <c r="T8" s="1010">
        <f t="shared" si="4"/>
        <v>23</v>
      </c>
      <c r="U8" s="1013" t="s">
        <v>792</v>
      </c>
      <c r="V8" s="998"/>
    </row>
    <row r="9" spans="1:22" ht="18.75">
      <c r="A9" s="1012" t="s">
        <v>752</v>
      </c>
      <c r="B9" s="1009"/>
      <c r="C9" s="1009"/>
      <c r="D9" s="1009"/>
      <c r="E9" s="789" t="s">
        <v>187</v>
      </c>
      <c r="F9" s="789" t="s">
        <v>187</v>
      </c>
      <c r="G9" s="789" t="s">
        <v>187</v>
      </c>
      <c r="H9" s="789" t="s">
        <v>187</v>
      </c>
      <c r="I9" s="789" t="s">
        <v>187</v>
      </c>
      <c r="J9" s="789" t="s">
        <v>187</v>
      </c>
      <c r="K9" s="789" t="s">
        <v>187</v>
      </c>
      <c r="L9" s="789" t="s">
        <v>187</v>
      </c>
      <c r="M9" s="789" t="s">
        <v>187</v>
      </c>
      <c r="N9" s="789" t="s">
        <v>187</v>
      </c>
      <c r="O9" s="789" t="s">
        <v>187</v>
      </c>
      <c r="P9" s="789" t="s">
        <v>187</v>
      </c>
      <c r="Q9" s="789" t="s">
        <v>187</v>
      </c>
      <c r="R9" s="1231">
        <v>10</v>
      </c>
      <c r="S9" s="1231">
        <f>S14+S19+S24</f>
        <v>7</v>
      </c>
      <c r="T9" s="1231">
        <f t="shared" si="4"/>
        <v>1</v>
      </c>
      <c r="U9" s="1014" t="s">
        <v>753</v>
      </c>
      <c r="V9" s="998"/>
    </row>
    <row r="10" spans="1:22" ht="15.75">
      <c r="A10" s="1005" t="s">
        <v>22</v>
      </c>
      <c r="B10" s="1006">
        <f t="shared" ref="B10:J10" si="6">SUM(B11:B13)</f>
        <v>41</v>
      </c>
      <c r="C10" s="1006">
        <f t="shared" si="6"/>
        <v>42</v>
      </c>
      <c r="D10" s="1006">
        <f t="shared" si="6"/>
        <v>32</v>
      </c>
      <c r="E10" s="1006">
        <f t="shared" si="6"/>
        <v>54</v>
      </c>
      <c r="F10" s="1006">
        <f t="shared" si="6"/>
        <v>47</v>
      </c>
      <c r="G10" s="1006">
        <f t="shared" si="6"/>
        <v>38</v>
      </c>
      <c r="H10" s="1006">
        <f t="shared" si="6"/>
        <v>42</v>
      </c>
      <c r="I10" s="1006">
        <f t="shared" si="6"/>
        <v>45</v>
      </c>
      <c r="J10" s="1006">
        <f t="shared" si="6"/>
        <v>37</v>
      </c>
      <c r="K10" s="1006">
        <f>SUM(K11:K13)</f>
        <v>40</v>
      </c>
      <c r="L10" s="1006">
        <f>SUM(L11:L13)</f>
        <v>29</v>
      </c>
      <c r="M10" s="1006">
        <f>SUM(M11:M13)</f>
        <v>32</v>
      </c>
      <c r="N10" s="1006">
        <v>34</v>
      </c>
      <c r="O10" s="1006">
        <v>21</v>
      </c>
      <c r="P10" s="1006">
        <f>SUM(P11:P13)</f>
        <v>42</v>
      </c>
      <c r="Q10" s="1006">
        <f>SUM(Q11:Q13)</f>
        <v>24</v>
      </c>
      <c r="R10" s="1006">
        <v>23</v>
      </c>
      <c r="S10" s="1006">
        <v>12</v>
      </c>
      <c r="T10" s="1006">
        <f>SUM(T11:T14)</f>
        <v>60</v>
      </c>
      <c r="U10" s="1007" t="s">
        <v>14</v>
      </c>
      <c r="V10" s="998"/>
    </row>
    <row r="11" spans="1:22" ht="15.75">
      <c r="A11" s="1008" t="s">
        <v>787</v>
      </c>
      <c r="B11" s="1010">
        <v>25</v>
      </c>
      <c r="C11" s="1010">
        <v>26</v>
      </c>
      <c r="D11" s="1010">
        <v>19</v>
      </c>
      <c r="E11" s="1010">
        <v>33</v>
      </c>
      <c r="F11" s="1010">
        <v>26</v>
      </c>
      <c r="G11" s="1010">
        <v>22</v>
      </c>
      <c r="H11" s="1010">
        <v>25</v>
      </c>
      <c r="I11" s="1010">
        <v>25</v>
      </c>
      <c r="J11" s="1010">
        <v>23</v>
      </c>
      <c r="K11" s="1010">
        <v>19</v>
      </c>
      <c r="L11" s="1010">
        <v>14</v>
      </c>
      <c r="M11" s="1010">
        <v>21</v>
      </c>
      <c r="N11" s="1010">
        <v>21</v>
      </c>
      <c r="O11" s="1010">
        <v>9</v>
      </c>
      <c r="P11" s="1010">
        <v>29</v>
      </c>
      <c r="Q11" s="1010">
        <v>14</v>
      </c>
      <c r="R11" s="1010">
        <v>8</v>
      </c>
      <c r="S11" s="1010">
        <v>0</v>
      </c>
      <c r="T11" s="1010">
        <v>39</v>
      </c>
      <c r="U11" s="1011" t="s">
        <v>788</v>
      </c>
      <c r="V11" s="998"/>
    </row>
    <row r="12" spans="1:22" ht="15.75">
      <c r="A12" s="1012" t="s">
        <v>793</v>
      </c>
      <c r="B12" s="1010">
        <v>3</v>
      </c>
      <c r="C12" s="1010">
        <v>4</v>
      </c>
      <c r="D12" s="1010">
        <v>4</v>
      </c>
      <c r="E12" s="1010">
        <v>7</v>
      </c>
      <c r="F12" s="1010">
        <v>5</v>
      </c>
      <c r="G12" s="1010">
        <v>6</v>
      </c>
      <c r="H12" s="1010">
        <v>4</v>
      </c>
      <c r="I12" s="1010">
        <v>9</v>
      </c>
      <c r="J12" s="1010">
        <v>3</v>
      </c>
      <c r="K12" s="1010">
        <v>8</v>
      </c>
      <c r="L12" s="1010">
        <v>4</v>
      </c>
      <c r="M12" s="1010">
        <v>1</v>
      </c>
      <c r="N12" s="1010">
        <v>4</v>
      </c>
      <c r="O12" s="1010">
        <v>3</v>
      </c>
      <c r="P12" s="1010">
        <v>3</v>
      </c>
      <c r="Q12" s="1010">
        <v>2</v>
      </c>
      <c r="R12" s="1010">
        <v>1</v>
      </c>
      <c r="S12" s="1010">
        <v>2</v>
      </c>
      <c r="T12" s="1010">
        <v>5</v>
      </c>
      <c r="U12" s="1013" t="s">
        <v>794</v>
      </c>
      <c r="V12" s="998"/>
    </row>
    <row r="13" spans="1:22" ht="15.75">
      <c r="A13" s="1012" t="s">
        <v>791</v>
      </c>
      <c r="B13" s="1010">
        <v>13</v>
      </c>
      <c r="C13" s="1010">
        <v>12</v>
      </c>
      <c r="D13" s="1010">
        <v>9</v>
      </c>
      <c r="E13" s="1010">
        <v>14</v>
      </c>
      <c r="F13" s="1010">
        <v>16</v>
      </c>
      <c r="G13" s="1010">
        <v>10</v>
      </c>
      <c r="H13" s="1010">
        <v>13</v>
      </c>
      <c r="I13" s="1010">
        <v>11</v>
      </c>
      <c r="J13" s="1010">
        <v>11</v>
      </c>
      <c r="K13" s="1010">
        <v>13</v>
      </c>
      <c r="L13" s="1010">
        <v>11</v>
      </c>
      <c r="M13" s="1010">
        <v>10</v>
      </c>
      <c r="N13" s="1010">
        <v>9</v>
      </c>
      <c r="O13" s="1010">
        <v>9</v>
      </c>
      <c r="P13" s="1010">
        <v>10</v>
      </c>
      <c r="Q13" s="1010">
        <v>8</v>
      </c>
      <c r="R13" s="1010">
        <v>9</v>
      </c>
      <c r="S13" s="1010">
        <v>9</v>
      </c>
      <c r="T13" s="1010">
        <v>15</v>
      </c>
      <c r="U13" s="1013" t="s">
        <v>792</v>
      </c>
      <c r="V13" s="998"/>
    </row>
    <row r="14" spans="1:22" ht="18.75">
      <c r="A14" s="1012" t="s">
        <v>752</v>
      </c>
      <c r="B14" s="1010"/>
      <c r="C14" s="1010"/>
      <c r="D14" s="1010"/>
      <c r="E14" s="789" t="s">
        <v>187</v>
      </c>
      <c r="F14" s="789" t="s">
        <v>187</v>
      </c>
      <c r="G14" s="789" t="s">
        <v>187</v>
      </c>
      <c r="H14" s="789" t="s">
        <v>187</v>
      </c>
      <c r="I14" s="789" t="s">
        <v>187</v>
      </c>
      <c r="J14" s="789" t="s">
        <v>187</v>
      </c>
      <c r="K14" s="789" t="s">
        <v>187</v>
      </c>
      <c r="L14" s="789" t="s">
        <v>187</v>
      </c>
      <c r="M14" s="789" t="s">
        <v>187</v>
      </c>
      <c r="N14" s="789" t="s">
        <v>187</v>
      </c>
      <c r="O14" s="789" t="s">
        <v>187</v>
      </c>
      <c r="P14" s="789" t="s">
        <v>187</v>
      </c>
      <c r="Q14" s="789" t="s">
        <v>187</v>
      </c>
      <c r="R14" s="1231">
        <v>5</v>
      </c>
      <c r="S14" s="1231">
        <v>1</v>
      </c>
      <c r="T14" s="1231">
        <v>1</v>
      </c>
      <c r="U14" s="1014" t="s">
        <v>753</v>
      </c>
      <c r="V14" s="998"/>
    </row>
    <row r="15" spans="1:22" ht="15.75">
      <c r="A15" s="1005" t="s">
        <v>23</v>
      </c>
      <c r="B15" s="1006">
        <f t="shared" ref="B15:J15" si="7">SUM(B16:B18)</f>
        <v>31</v>
      </c>
      <c r="C15" s="1006">
        <f t="shared" si="7"/>
        <v>34</v>
      </c>
      <c r="D15" s="1006">
        <f t="shared" si="7"/>
        <v>35</v>
      </c>
      <c r="E15" s="1006">
        <f t="shared" si="7"/>
        <v>38</v>
      </c>
      <c r="F15" s="1006">
        <f t="shared" si="7"/>
        <v>19</v>
      </c>
      <c r="G15" s="1006">
        <f t="shared" si="7"/>
        <v>38</v>
      </c>
      <c r="H15" s="1006">
        <f t="shared" si="7"/>
        <v>39</v>
      </c>
      <c r="I15" s="1006">
        <f t="shared" si="7"/>
        <v>33</v>
      </c>
      <c r="J15" s="1006">
        <f t="shared" si="7"/>
        <v>28</v>
      </c>
      <c r="K15" s="1006">
        <f>SUM(K16:K18)</f>
        <v>26</v>
      </c>
      <c r="L15" s="1006">
        <f>SUM(L16:L18)</f>
        <v>17</v>
      </c>
      <c r="M15" s="1006">
        <f>SUM(M16:M18)</f>
        <v>27</v>
      </c>
      <c r="N15" s="1006">
        <v>29</v>
      </c>
      <c r="O15" s="1006">
        <v>32</v>
      </c>
      <c r="P15" s="1006">
        <f>SUM(P16:P18)</f>
        <v>22</v>
      </c>
      <c r="Q15" s="1006">
        <f>SUM(Q16:Q18)</f>
        <v>21</v>
      </c>
      <c r="R15" s="1006">
        <v>20</v>
      </c>
      <c r="S15" s="1006">
        <v>11</v>
      </c>
      <c r="T15" s="1006">
        <f>SUM(T16:T19)</f>
        <v>35</v>
      </c>
      <c r="U15" s="1007" t="s">
        <v>15</v>
      </c>
      <c r="V15" s="998"/>
    </row>
    <row r="16" spans="1:22" ht="15.75">
      <c r="A16" s="1008" t="s">
        <v>787</v>
      </c>
      <c r="B16" s="1010">
        <v>19</v>
      </c>
      <c r="C16" s="1010">
        <v>21</v>
      </c>
      <c r="D16" s="1010">
        <v>21</v>
      </c>
      <c r="E16" s="1010">
        <v>18</v>
      </c>
      <c r="F16" s="1010">
        <v>15</v>
      </c>
      <c r="G16" s="1010">
        <v>19</v>
      </c>
      <c r="H16" s="1010">
        <v>26</v>
      </c>
      <c r="I16" s="1010">
        <v>19</v>
      </c>
      <c r="J16" s="1010">
        <v>18</v>
      </c>
      <c r="K16" s="1010">
        <v>14</v>
      </c>
      <c r="L16" s="1010">
        <v>8</v>
      </c>
      <c r="M16" s="1010">
        <v>12</v>
      </c>
      <c r="N16" s="1010">
        <v>8</v>
      </c>
      <c r="O16" s="1010">
        <v>19</v>
      </c>
      <c r="P16" s="1010">
        <v>16</v>
      </c>
      <c r="Q16" s="1010">
        <v>15</v>
      </c>
      <c r="R16" s="1010">
        <v>6</v>
      </c>
      <c r="S16" s="1010">
        <v>3</v>
      </c>
      <c r="T16" s="1010">
        <v>22</v>
      </c>
      <c r="U16" s="1011" t="s">
        <v>788</v>
      </c>
      <c r="V16" s="998"/>
    </row>
    <row r="17" spans="1:22" ht="15.75">
      <c r="A17" s="1012" t="s">
        <v>793</v>
      </c>
      <c r="B17" s="1010">
        <v>2</v>
      </c>
      <c r="C17" s="1010">
        <v>1</v>
      </c>
      <c r="D17" s="1010">
        <v>2</v>
      </c>
      <c r="E17" s="1010">
        <v>9</v>
      </c>
      <c r="F17" s="1010">
        <v>1</v>
      </c>
      <c r="G17" s="1010">
        <v>9</v>
      </c>
      <c r="H17" s="1010">
        <v>4</v>
      </c>
      <c r="I17" s="1010">
        <v>5</v>
      </c>
      <c r="J17" s="1010">
        <v>5</v>
      </c>
      <c r="K17" s="1010">
        <v>3</v>
      </c>
      <c r="L17" s="1010">
        <v>3</v>
      </c>
      <c r="M17" s="1010">
        <v>3</v>
      </c>
      <c r="N17" s="1010">
        <v>4</v>
      </c>
      <c r="O17" s="1010">
        <v>5</v>
      </c>
      <c r="P17" s="1010">
        <v>3</v>
      </c>
      <c r="Q17" s="1010">
        <v>1</v>
      </c>
      <c r="R17" s="1010">
        <v>3</v>
      </c>
      <c r="S17" s="1010">
        <v>2</v>
      </c>
      <c r="T17" s="1010">
        <v>5</v>
      </c>
      <c r="U17" s="1013" t="s">
        <v>794</v>
      </c>
      <c r="V17" s="998"/>
    </row>
    <row r="18" spans="1:22" ht="15.75">
      <c r="A18" s="1012" t="s">
        <v>791</v>
      </c>
      <c r="B18" s="1010">
        <v>10</v>
      </c>
      <c r="C18" s="1010">
        <v>12</v>
      </c>
      <c r="D18" s="1010">
        <v>12</v>
      </c>
      <c r="E18" s="1010">
        <v>11</v>
      </c>
      <c r="F18" s="1010">
        <v>3</v>
      </c>
      <c r="G18" s="1010">
        <v>10</v>
      </c>
      <c r="H18" s="1010">
        <v>9</v>
      </c>
      <c r="I18" s="1010">
        <v>9</v>
      </c>
      <c r="J18" s="1010">
        <v>5</v>
      </c>
      <c r="K18" s="1010">
        <v>9</v>
      </c>
      <c r="L18" s="1010">
        <v>6</v>
      </c>
      <c r="M18" s="1010">
        <v>12</v>
      </c>
      <c r="N18" s="1010">
        <v>17</v>
      </c>
      <c r="O18" s="1010">
        <v>8</v>
      </c>
      <c r="P18" s="1010">
        <v>3</v>
      </c>
      <c r="Q18" s="1010">
        <v>5</v>
      </c>
      <c r="R18" s="1010">
        <v>6</v>
      </c>
      <c r="S18" s="1010">
        <v>6</v>
      </c>
      <c r="T18" s="1010">
        <v>8</v>
      </c>
      <c r="U18" s="1013" t="s">
        <v>792</v>
      </c>
      <c r="V18" s="998"/>
    </row>
    <row r="19" spans="1:22" ht="18.75">
      <c r="A19" s="1015" t="s">
        <v>752</v>
      </c>
      <c r="B19" s="1016"/>
      <c r="C19" s="1016"/>
      <c r="D19" s="1016"/>
      <c r="E19" s="957" t="s">
        <v>187</v>
      </c>
      <c r="F19" s="957" t="s">
        <v>187</v>
      </c>
      <c r="G19" s="957" t="s">
        <v>187</v>
      </c>
      <c r="H19" s="957" t="s">
        <v>187</v>
      </c>
      <c r="I19" s="957" t="s">
        <v>187</v>
      </c>
      <c r="J19" s="957" t="s">
        <v>187</v>
      </c>
      <c r="K19" s="957" t="s">
        <v>187</v>
      </c>
      <c r="L19" s="957" t="s">
        <v>187</v>
      </c>
      <c r="M19" s="957" t="s">
        <v>187</v>
      </c>
      <c r="N19" s="957" t="s">
        <v>187</v>
      </c>
      <c r="O19" s="957" t="s">
        <v>187</v>
      </c>
      <c r="P19" s="957" t="s">
        <v>187</v>
      </c>
      <c r="Q19" s="957" t="s">
        <v>187</v>
      </c>
      <c r="R19" s="1016">
        <v>5</v>
      </c>
      <c r="S19" s="1016">
        <v>0</v>
      </c>
      <c r="T19" s="1016">
        <v>0</v>
      </c>
      <c r="U19" s="1017" t="s">
        <v>753</v>
      </c>
      <c r="V19" s="998"/>
    </row>
    <row r="20" spans="1:22" ht="15.75">
      <c r="A20" s="1005" t="s">
        <v>1152</v>
      </c>
      <c r="B20" s="1006"/>
      <c r="C20" s="1006"/>
      <c r="D20" s="1006"/>
      <c r="E20" s="1160" t="s">
        <v>187</v>
      </c>
      <c r="F20" s="1160" t="s">
        <v>187</v>
      </c>
      <c r="G20" s="1160" t="s">
        <v>187</v>
      </c>
      <c r="H20" s="1160" t="s">
        <v>187</v>
      </c>
      <c r="I20" s="1160" t="s">
        <v>187</v>
      </c>
      <c r="J20" s="1160" t="s">
        <v>187</v>
      </c>
      <c r="K20" s="1160" t="s">
        <v>187</v>
      </c>
      <c r="L20" s="1160" t="s">
        <v>187</v>
      </c>
      <c r="M20" s="1160" t="s">
        <v>187</v>
      </c>
      <c r="N20" s="1160" t="s">
        <v>187</v>
      </c>
      <c r="O20" s="1160" t="s">
        <v>187</v>
      </c>
      <c r="P20" s="1160" t="s">
        <v>187</v>
      </c>
      <c r="Q20" s="1160" t="s">
        <v>187</v>
      </c>
      <c r="R20" s="1160" t="s">
        <v>187</v>
      </c>
      <c r="S20" s="1006">
        <v>22</v>
      </c>
      <c r="T20" s="1006">
        <f>SUM(T21:T24)</f>
        <v>2</v>
      </c>
      <c r="U20" s="1007" t="s">
        <v>1123</v>
      </c>
      <c r="V20" s="998"/>
    </row>
    <row r="21" spans="1:22" ht="15.75">
      <c r="A21" s="1008" t="s">
        <v>787</v>
      </c>
      <c r="B21" s="1010"/>
      <c r="C21" s="1010"/>
      <c r="D21" s="1010"/>
      <c r="E21" s="1161" t="s">
        <v>187</v>
      </c>
      <c r="F21" s="1161" t="s">
        <v>187</v>
      </c>
      <c r="G21" s="1161" t="s">
        <v>187</v>
      </c>
      <c r="H21" s="1161" t="s">
        <v>187</v>
      </c>
      <c r="I21" s="1161" t="s">
        <v>187</v>
      </c>
      <c r="J21" s="1161" t="s">
        <v>187</v>
      </c>
      <c r="K21" s="1161" t="s">
        <v>187</v>
      </c>
      <c r="L21" s="1161" t="s">
        <v>187</v>
      </c>
      <c r="M21" s="1161" t="s">
        <v>187</v>
      </c>
      <c r="N21" s="1161" t="s">
        <v>187</v>
      </c>
      <c r="O21" s="1161" t="s">
        <v>187</v>
      </c>
      <c r="P21" s="1161" t="s">
        <v>187</v>
      </c>
      <c r="Q21" s="1161" t="s">
        <v>187</v>
      </c>
      <c r="R21" s="1161" t="s">
        <v>187</v>
      </c>
      <c r="S21" s="1010">
        <v>14</v>
      </c>
      <c r="T21" s="1010">
        <v>2</v>
      </c>
      <c r="U21" s="1011" t="s">
        <v>788</v>
      </c>
      <c r="V21" s="998"/>
    </row>
    <row r="22" spans="1:22" ht="15.75">
      <c r="A22" s="1012" t="s">
        <v>1157</v>
      </c>
      <c r="B22" s="1010"/>
      <c r="C22" s="1010"/>
      <c r="D22" s="1010"/>
      <c r="E22" s="1161" t="s">
        <v>187</v>
      </c>
      <c r="F22" s="1161" t="s">
        <v>187</v>
      </c>
      <c r="G22" s="1161" t="s">
        <v>187</v>
      </c>
      <c r="H22" s="1161" t="s">
        <v>187</v>
      </c>
      <c r="I22" s="1161" t="s">
        <v>187</v>
      </c>
      <c r="J22" s="1161" t="s">
        <v>187</v>
      </c>
      <c r="K22" s="1161" t="s">
        <v>187</v>
      </c>
      <c r="L22" s="1161" t="s">
        <v>187</v>
      </c>
      <c r="M22" s="1161" t="s">
        <v>187</v>
      </c>
      <c r="N22" s="1161" t="s">
        <v>187</v>
      </c>
      <c r="O22" s="1161" t="s">
        <v>187</v>
      </c>
      <c r="P22" s="1161" t="s">
        <v>187</v>
      </c>
      <c r="Q22" s="1161" t="s">
        <v>187</v>
      </c>
      <c r="R22" s="1161" t="s">
        <v>187</v>
      </c>
      <c r="S22" s="1010">
        <v>2</v>
      </c>
      <c r="T22" s="1010">
        <v>0</v>
      </c>
      <c r="U22" s="1013" t="s">
        <v>794</v>
      </c>
      <c r="V22" s="998"/>
    </row>
    <row r="23" spans="1:22" ht="15.75">
      <c r="A23" s="1012" t="s">
        <v>1158</v>
      </c>
      <c r="B23" s="1010"/>
      <c r="C23" s="1010"/>
      <c r="D23" s="1010"/>
      <c r="E23" s="1161" t="s">
        <v>187</v>
      </c>
      <c r="F23" s="1161" t="s">
        <v>187</v>
      </c>
      <c r="G23" s="1161" t="s">
        <v>187</v>
      </c>
      <c r="H23" s="1161" t="s">
        <v>187</v>
      </c>
      <c r="I23" s="1161" t="s">
        <v>187</v>
      </c>
      <c r="J23" s="1161" t="s">
        <v>187</v>
      </c>
      <c r="K23" s="1161" t="s">
        <v>187</v>
      </c>
      <c r="L23" s="1161" t="s">
        <v>187</v>
      </c>
      <c r="M23" s="1161" t="s">
        <v>187</v>
      </c>
      <c r="N23" s="1161" t="s">
        <v>187</v>
      </c>
      <c r="O23" s="1161" t="s">
        <v>187</v>
      </c>
      <c r="P23" s="1161" t="s">
        <v>187</v>
      </c>
      <c r="Q23" s="1161" t="s">
        <v>187</v>
      </c>
      <c r="R23" s="1161" t="s">
        <v>187</v>
      </c>
      <c r="S23" s="1010">
        <v>0</v>
      </c>
      <c r="T23" s="1010">
        <v>0</v>
      </c>
      <c r="U23" s="1013" t="s">
        <v>792</v>
      </c>
      <c r="V23" s="998"/>
    </row>
    <row r="24" spans="1:22" ht="18.75">
      <c r="A24" s="1015" t="s">
        <v>1156</v>
      </c>
      <c r="B24" s="1016"/>
      <c r="C24" s="1016"/>
      <c r="D24" s="1016"/>
      <c r="E24" s="1230" t="s">
        <v>187</v>
      </c>
      <c r="F24" s="1230" t="s">
        <v>187</v>
      </c>
      <c r="G24" s="1230" t="s">
        <v>187</v>
      </c>
      <c r="H24" s="1230" t="s">
        <v>187</v>
      </c>
      <c r="I24" s="1230" t="s">
        <v>187</v>
      </c>
      <c r="J24" s="1230" t="s">
        <v>187</v>
      </c>
      <c r="K24" s="1230" t="s">
        <v>187</v>
      </c>
      <c r="L24" s="1230" t="s">
        <v>187</v>
      </c>
      <c r="M24" s="1230" t="s">
        <v>187</v>
      </c>
      <c r="N24" s="1230" t="s">
        <v>187</v>
      </c>
      <c r="O24" s="1230" t="s">
        <v>187</v>
      </c>
      <c r="P24" s="1230" t="s">
        <v>187</v>
      </c>
      <c r="Q24" s="1230" t="s">
        <v>187</v>
      </c>
      <c r="R24" s="1230" t="s">
        <v>187</v>
      </c>
      <c r="S24" s="1229">
        <v>6</v>
      </c>
      <c r="T24" s="1016">
        <v>0</v>
      </c>
      <c r="U24" s="1017" t="s">
        <v>753</v>
      </c>
      <c r="V24" s="998"/>
    </row>
    <row r="25" spans="1:22" ht="17.25">
      <c r="A25" s="1018" t="s">
        <v>1159</v>
      </c>
      <c r="E25" s="1019"/>
      <c r="U25" s="1020" t="s">
        <v>1248</v>
      </c>
    </row>
    <row r="26" spans="1:22" ht="18">
      <c r="A26" s="1157" t="s">
        <v>1143</v>
      </c>
      <c r="E26" s="1019"/>
      <c r="U26" s="1022" t="s">
        <v>760</v>
      </c>
    </row>
    <row r="27" spans="1:22">
      <c r="A27" s="1021" t="s">
        <v>759</v>
      </c>
      <c r="E27" s="1019"/>
    </row>
    <row r="28" spans="1:22">
      <c r="E28" s="1019"/>
    </row>
  </sheetData>
  <mergeCells count="2">
    <mergeCell ref="A1:U1"/>
    <mergeCell ref="A2:U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3:P34"/>
  <sheetViews>
    <sheetView workbookViewId="0">
      <selection activeCell="T23" sqref="T23"/>
    </sheetView>
  </sheetViews>
  <sheetFormatPr defaultColWidth="11.140625" defaultRowHeight="12.75"/>
  <cols>
    <col min="1" max="1" width="19.42578125" style="501" customWidth="1"/>
    <col min="2" max="4" width="9.28515625" style="501" customWidth="1"/>
    <col min="5" max="5" width="8.7109375" style="501" customWidth="1"/>
    <col min="6" max="8" width="9.28515625" style="501" customWidth="1"/>
    <col min="9" max="9" width="8.7109375" style="501" customWidth="1"/>
    <col min="10" max="12" width="9.28515625" style="501" customWidth="1"/>
    <col min="13" max="13" width="8.5703125" style="501" customWidth="1"/>
    <col min="14" max="16" width="9.28515625" style="501" customWidth="1"/>
    <col min="17" max="251" width="11.140625" style="501"/>
    <col min="252" max="252" width="19.42578125" style="501" customWidth="1"/>
    <col min="253" max="253" width="8.7109375" style="501" customWidth="1"/>
    <col min="254" max="255" width="8" style="501" customWidth="1"/>
    <col min="256" max="256" width="2.42578125" style="501" customWidth="1"/>
    <col min="257" max="257" width="8" style="501" customWidth="1"/>
    <col min="258" max="258" width="8.5703125" style="501" customWidth="1"/>
    <col min="259" max="259" width="8" style="501" customWidth="1"/>
    <col min="260" max="260" width="2.42578125" style="501" customWidth="1"/>
    <col min="261" max="261" width="9" style="501" customWidth="1"/>
    <col min="262" max="263" width="8" style="501" customWidth="1"/>
    <col min="264" max="264" width="2.42578125" style="501" customWidth="1"/>
    <col min="265" max="265" width="9.28515625" style="501" customWidth="1"/>
    <col min="266" max="267" width="8" style="501" customWidth="1"/>
    <col min="268" max="268" width="1.28515625" style="501" customWidth="1"/>
    <col min="269" max="269" width="8" style="501" customWidth="1"/>
    <col min="270" max="507" width="11.140625" style="501"/>
    <col min="508" max="508" width="19.42578125" style="501" customWidth="1"/>
    <col min="509" max="509" width="8.7109375" style="501" customWidth="1"/>
    <col min="510" max="511" width="8" style="501" customWidth="1"/>
    <col min="512" max="512" width="2.42578125" style="501" customWidth="1"/>
    <col min="513" max="513" width="8" style="501" customWidth="1"/>
    <col min="514" max="514" width="8.5703125" style="501" customWidth="1"/>
    <col min="515" max="515" width="8" style="501" customWidth="1"/>
    <col min="516" max="516" width="2.42578125" style="501" customWidth="1"/>
    <col min="517" max="517" width="9" style="501" customWidth="1"/>
    <col min="518" max="519" width="8" style="501" customWidth="1"/>
    <col min="520" max="520" width="2.42578125" style="501" customWidth="1"/>
    <col min="521" max="521" width="9.28515625" style="501" customWidth="1"/>
    <col min="522" max="523" width="8" style="501" customWidth="1"/>
    <col min="524" max="524" width="1.28515625" style="501" customWidth="1"/>
    <col min="525" max="525" width="8" style="501" customWidth="1"/>
    <col min="526" max="763" width="11.140625" style="501"/>
    <col min="764" max="764" width="19.42578125" style="501" customWidth="1"/>
    <col min="765" max="765" width="8.7109375" style="501" customWidth="1"/>
    <col min="766" max="767" width="8" style="501" customWidth="1"/>
    <col min="768" max="768" width="2.42578125" style="501" customWidth="1"/>
    <col min="769" max="769" width="8" style="501" customWidth="1"/>
    <col min="770" max="770" width="8.5703125" style="501" customWidth="1"/>
    <col min="771" max="771" width="8" style="501" customWidth="1"/>
    <col min="772" max="772" width="2.42578125" style="501" customWidth="1"/>
    <col min="773" max="773" width="9" style="501" customWidth="1"/>
    <col min="774" max="775" width="8" style="501" customWidth="1"/>
    <col min="776" max="776" width="2.42578125" style="501" customWidth="1"/>
    <col min="777" max="777" width="9.28515625" style="501" customWidth="1"/>
    <col min="778" max="779" width="8" style="501" customWidth="1"/>
    <col min="780" max="780" width="1.28515625" style="501" customWidth="1"/>
    <col min="781" max="781" width="8" style="501" customWidth="1"/>
    <col min="782" max="1019" width="11.140625" style="501"/>
    <col min="1020" max="1020" width="19.42578125" style="501" customWidth="1"/>
    <col min="1021" max="1021" width="8.7109375" style="501" customWidth="1"/>
    <col min="1022" max="1023" width="8" style="501" customWidth="1"/>
    <col min="1024" max="1024" width="2.42578125" style="501" customWidth="1"/>
    <col min="1025" max="1025" width="8" style="501" customWidth="1"/>
    <col min="1026" max="1026" width="8.5703125" style="501" customWidth="1"/>
    <col min="1027" max="1027" width="8" style="501" customWidth="1"/>
    <col min="1028" max="1028" width="2.42578125" style="501" customWidth="1"/>
    <col min="1029" max="1029" width="9" style="501" customWidth="1"/>
    <col min="1030" max="1031" width="8" style="501" customWidth="1"/>
    <col min="1032" max="1032" width="2.42578125" style="501" customWidth="1"/>
    <col min="1033" max="1033" width="9.28515625" style="501" customWidth="1"/>
    <col min="1034" max="1035" width="8" style="501" customWidth="1"/>
    <col min="1036" max="1036" width="1.28515625" style="501" customWidth="1"/>
    <col min="1037" max="1037" width="8" style="501" customWidth="1"/>
    <col min="1038" max="1275" width="11.140625" style="501"/>
    <col min="1276" max="1276" width="19.42578125" style="501" customWidth="1"/>
    <col min="1277" max="1277" width="8.7109375" style="501" customWidth="1"/>
    <col min="1278" max="1279" width="8" style="501" customWidth="1"/>
    <col min="1280" max="1280" width="2.42578125" style="501" customWidth="1"/>
    <col min="1281" max="1281" width="8" style="501" customWidth="1"/>
    <col min="1282" max="1282" width="8.5703125" style="501" customWidth="1"/>
    <col min="1283" max="1283" width="8" style="501" customWidth="1"/>
    <col min="1284" max="1284" width="2.42578125" style="501" customWidth="1"/>
    <col min="1285" max="1285" width="9" style="501" customWidth="1"/>
    <col min="1286" max="1287" width="8" style="501" customWidth="1"/>
    <col min="1288" max="1288" width="2.42578125" style="501" customWidth="1"/>
    <col min="1289" max="1289" width="9.28515625" style="501" customWidth="1"/>
    <col min="1290" max="1291" width="8" style="501" customWidth="1"/>
    <col min="1292" max="1292" width="1.28515625" style="501" customWidth="1"/>
    <col min="1293" max="1293" width="8" style="501" customWidth="1"/>
    <col min="1294" max="1531" width="11.140625" style="501"/>
    <col min="1532" max="1532" width="19.42578125" style="501" customWidth="1"/>
    <col min="1533" max="1533" width="8.7109375" style="501" customWidth="1"/>
    <col min="1534" max="1535" width="8" style="501" customWidth="1"/>
    <col min="1536" max="1536" width="2.42578125" style="501" customWidth="1"/>
    <col min="1537" max="1537" width="8" style="501" customWidth="1"/>
    <col min="1538" max="1538" width="8.5703125" style="501" customWidth="1"/>
    <col min="1539" max="1539" width="8" style="501" customWidth="1"/>
    <col min="1540" max="1540" width="2.42578125" style="501" customWidth="1"/>
    <col min="1541" max="1541" width="9" style="501" customWidth="1"/>
    <col min="1542" max="1543" width="8" style="501" customWidth="1"/>
    <col min="1544" max="1544" width="2.42578125" style="501" customWidth="1"/>
    <col min="1545" max="1545" width="9.28515625" style="501" customWidth="1"/>
    <col min="1546" max="1547" width="8" style="501" customWidth="1"/>
    <col min="1548" max="1548" width="1.28515625" style="501" customWidth="1"/>
    <col min="1549" max="1549" width="8" style="501" customWidth="1"/>
    <col min="1550" max="1787" width="11.140625" style="501"/>
    <col min="1788" max="1788" width="19.42578125" style="501" customWidth="1"/>
    <col min="1789" max="1789" width="8.7109375" style="501" customWidth="1"/>
    <col min="1790" max="1791" width="8" style="501" customWidth="1"/>
    <col min="1792" max="1792" width="2.42578125" style="501" customWidth="1"/>
    <col min="1793" max="1793" width="8" style="501" customWidth="1"/>
    <col min="1794" max="1794" width="8.5703125" style="501" customWidth="1"/>
    <col min="1795" max="1795" width="8" style="501" customWidth="1"/>
    <col min="1796" max="1796" width="2.42578125" style="501" customWidth="1"/>
    <col min="1797" max="1797" width="9" style="501" customWidth="1"/>
    <col min="1798" max="1799" width="8" style="501" customWidth="1"/>
    <col min="1800" max="1800" width="2.42578125" style="501" customWidth="1"/>
    <col min="1801" max="1801" width="9.28515625" style="501" customWidth="1"/>
    <col min="1802" max="1803" width="8" style="501" customWidth="1"/>
    <col min="1804" max="1804" width="1.28515625" style="501" customWidth="1"/>
    <col min="1805" max="1805" width="8" style="501" customWidth="1"/>
    <col min="1806" max="2043" width="11.140625" style="501"/>
    <col min="2044" max="2044" width="19.42578125" style="501" customWidth="1"/>
    <col min="2045" max="2045" width="8.7109375" style="501" customWidth="1"/>
    <col min="2046" max="2047" width="8" style="501" customWidth="1"/>
    <col min="2048" max="2048" width="2.42578125" style="501" customWidth="1"/>
    <col min="2049" max="2049" width="8" style="501" customWidth="1"/>
    <col min="2050" max="2050" width="8.5703125" style="501" customWidth="1"/>
    <col min="2051" max="2051" width="8" style="501" customWidth="1"/>
    <col min="2052" max="2052" width="2.42578125" style="501" customWidth="1"/>
    <col min="2053" max="2053" width="9" style="501" customWidth="1"/>
    <col min="2054" max="2055" width="8" style="501" customWidth="1"/>
    <col min="2056" max="2056" width="2.42578125" style="501" customWidth="1"/>
    <col min="2057" max="2057" width="9.28515625" style="501" customWidth="1"/>
    <col min="2058" max="2059" width="8" style="501" customWidth="1"/>
    <col min="2060" max="2060" width="1.28515625" style="501" customWidth="1"/>
    <col min="2061" max="2061" width="8" style="501" customWidth="1"/>
    <col min="2062" max="2299" width="11.140625" style="501"/>
    <col min="2300" max="2300" width="19.42578125" style="501" customWidth="1"/>
    <col min="2301" max="2301" width="8.7109375" style="501" customWidth="1"/>
    <col min="2302" max="2303" width="8" style="501" customWidth="1"/>
    <col min="2304" max="2304" width="2.42578125" style="501" customWidth="1"/>
    <col min="2305" max="2305" width="8" style="501" customWidth="1"/>
    <col min="2306" max="2306" width="8.5703125" style="501" customWidth="1"/>
    <col min="2307" max="2307" width="8" style="501" customWidth="1"/>
    <col min="2308" max="2308" width="2.42578125" style="501" customWidth="1"/>
    <col min="2309" max="2309" width="9" style="501" customWidth="1"/>
    <col min="2310" max="2311" width="8" style="501" customWidth="1"/>
    <col min="2312" max="2312" width="2.42578125" style="501" customWidth="1"/>
    <col min="2313" max="2313" width="9.28515625" style="501" customWidth="1"/>
    <col min="2314" max="2315" width="8" style="501" customWidth="1"/>
    <col min="2316" max="2316" width="1.28515625" style="501" customWidth="1"/>
    <col min="2317" max="2317" width="8" style="501" customWidth="1"/>
    <col min="2318" max="2555" width="11.140625" style="501"/>
    <col min="2556" max="2556" width="19.42578125" style="501" customWidth="1"/>
    <col min="2557" max="2557" width="8.7109375" style="501" customWidth="1"/>
    <col min="2558" max="2559" width="8" style="501" customWidth="1"/>
    <col min="2560" max="2560" width="2.42578125" style="501" customWidth="1"/>
    <col min="2561" max="2561" width="8" style="501" customWidth="1"/>
    <col min="2562" max="2562" width="8.5703125" style="501" customWidth="1"/>
    <col min="2563" max="2563" width="8" style="501" customWidth="1"/>
    <col min="2564" max="2564" width="2.42578125" style="501" customWidth="1"/>
    <col min="2565" max="2565" width="9" style="501" customWidth="1"/>
    <col min="2566" max="2567" width="8" style="501" customWidth="1"/>
    <col min="2568" max="2568" width="2.42578125" style="501" customWidth="1"/>
    <col min="2569" max="2569" width="9.28515625" style="501" customWidth="1"/>
    <col min="2570" max="2571" width="8" style="501" customWidth="1"/>
    <col min="2572" max="2572" width="1.28515625" style="501" customWidth="1"/>
    <col min="2573" max="2573" width="8" style="501" customWidth="1"/>
    <col min="2574" max="2811" width="11.140625" style="501"/>
    <col min="2812" max="2812" width="19.42578125" style="501" customWidth="1"/>
    <col min="2813" max="2813" width="8.7109375" style="501" customWidth="1"/>
    <col min="2814" max="2815" width="8" style="501" customWidth="1"/>
    <col min="2816" max="2816" width="2.42578125" style="501" customWidth="1"/>
    <col min="2817" max="2817" width="8" style="501" customWidth="1"/>
    <col min="2818" max="2818" width="8.5703125" style="501" customWidth="1"/>
    <col min="2819" max="2819" width="8" style="501" customWidth="1"/>
    <col min="2820" max="2820" width="2.42578125" style="501" customWidth="1"/>
    <col min="2821" max="2821" width="9" style="501" customWidth="1"/>
    <col min="2822" max="2823" width="8" style="501" customWidth="1"/>
    <col min="2824" max="2824" width="2.42578125" style="501" customWidth="1"/>
    <col min="2825" max="2825" width="9.28515625" style="501" customWidth="1"/>
    <col min="2826" max="2827" width="8" style="501" customWidth="1"/>
    <col min="2828" max="2828" width="1.28515625" style="501" customWidth="1"/>
    <col min="2829" max="2829" width="8" style="501" customWidth="1"/>
    <col min="2830" max="3067" width="11.140625" style="501"/>
    <col min="3068" max="3068" width="19.42578125" style="501" customWidth="1"/>
    <col min="3069" max="3069" width="8.7109375" style="501" customWidth="1"/>
    <col min="3070" max="3071" width="8" style="501" customWidth="1"/>
    <col min="3072" max="3072" width="2.42578125" style="501" customWidth="1"/>
    <col min="3073" max="3073" width="8" style="501" customWidth="1"/>
    <col min="3074" max="3074" width="8.5703125" style="501" customWidth="1"/>
    <col min="3075" max="3075" width="8" style="501" customWidth="1"/>
    <col min="3076" max="3076" width="2.42578125" style="501" customWidth="1"/>
    <col min="3077" max="3077" width="9" style="501" customWidth="1"/>
    <col min="3078" max="3079" width="8" style="501" customWidth="1"/>
    <col min="3080" max="3080" width="2.42578125" style="501" customWidth="1"/>
    <col min="3081" max="3081" width="9.28515625" style="501" customWidth="1"/>
    <col min="3082" max="3083" width="8" style="501" customWidth="1"/>
    <col min="3084" max="3084" width="1.28515625" style="501" customWidth="1"/>
    <col min="3085" max="3085" width="8" style="501" customWidth="1"/>
    <col min="3086" max="3323" width="11.140625" style="501"/>
    <col min="3324" max="3324" width="19.42578125" style="501" customWidth="1"/>
    <col min="3325" max="3325" width="8.7109375" style="501" customWidth="1"/>
    <col min="3326" max="3327" width="8" style="501" customWidth="1"/>
    <col min="3328" max="3328" width="2.42578125" style="501" customWidth="1"/>
    <col min="3329" max="3329" width="8" style="501" customWidth="1"/>
    <col min="3330" max="3330" width="8.5703125" style="501" customWidth="1"/>
    <col min="3331" max="3331" width="8" style="501" customWidth="1"/>
    <col min="3332" max="3332" width="2.42578125" style="501" customWidth="1"/>
    <col min="3333" max="3333" width="9" style="501" customWidth="1"/>
    <col min="3334" max="3335" width="8" style="501" customWidth="1"/>
    <col min="3336" max="3336" width="2.42578125" style="501" customWidth="1"/>
    <col min="3337" max="3337" width="9.28515625" style="501" customWidth="1"/>
    <col min="3338" max="3339" width="8" style="501" customWidth="1"/>
    <col min="3340" max="3340" width="1.28515625" style="501" customWidth="1"/>
    <col min="3341" max="3341" width="8" style="501" customWidth="1"/>
    <col min="3342" max="3579" width="11.140625" style="501"/>
    <col min="3580" max="3580" width="19.42578125" style="501" customWidth="1"/>
    <col min="3581" max="3581" width="8.7109375" style="501" customWidth="1"/>
    <col min="3582" max="3583" width="8" style="501" customWidth="1"/>
    <col min="3584" max="3584" width="2.42578125" style="501" customWidth="1"/>
    <col min="3585" max="3585" width="8" style="501" customWidth="1"/>
    <col min="3586" max="3586" width="8.5703125" style="501" customWidth="1"/>
    <col min="3587" max="3587" width="8" style="501" customWidth="1"/>
    <col min="3588" max="3588" width="2.42578125" style="501" customWidth="1"/>
    <col min="3589" max="3589" width="9" style="501" customWidth="1"/>
    <col min="3590" max="3591" width="8" style="501" customWidth="1"/>
    <col min="3592" max="3592" width="2.42578125" style="501" customWidth="1"/>
    <col min="3593" max="3593" width="9.28515625" style="501" customWidth="1"/>
    <col min="3594" max="3595" width="8" style="501" customWidth="1"/>
    <col min="3596" max="3596" width="1.28515625" style="501" customWidth="1"/>
    <col min="3597" max="3597" width="8" style="501" customWidth="1"/>
    <col min="3598" max="3835" width="11.140625" style="501"/>
    <col min="3836" max="3836" width="19.42578125" style="501" customWidth="1"/>
    <col min="3837" max="3837" width="8.7109375" style="501" customWidth="1"/>
    <col min="3838" max="3839" width="8" style="501" customWidth="1"/>
    <col min="3840" max="3840" width="2.42578125" style="501" customWidth="1"/>
    <col min="3841" max="3841" width="8" style="501" customWidth="1"/>
    <col min="3842" max="3842" width="8.5703125" style="501" customWidth="1"/>
    <col min="3843" max="3843" width="8" style="501" customWidth="1"/>
    <col min="3844" max="3844" width="2.42578125" style="501" customWidth="1"/>
    <col min="3845" max="3845" width="9" style="501" customWidth="1"/>
    <col min="3846" max="3847" width="8" style="501" customWidth="1"/>
    <col min="3848" max="3848" width="2.42578125" style="501" customWidth="1"/>
    <col min="3849" max="3849" width="9.28515625" style="501" customWidth="1"/>
    <col min="3850" max="3851" width="8" style="501" customWidth="1"/>
    <col min="3852" max="3852" width="1.28515625" style="501" customWidth="1"/>
    <col min="3853" max="3853" width="8" style="501" customWidth="1"/>
    <col min="3854" max="4091" width="11.140625" style="501"/>
    <col min="4092" max="4092" width="19.42578125" style="501" customWidth="1"/>
    <col min="4093" max="4093" width="8.7109375" style="501" customWidth="1"/>
    <col min="4094" max="4095" width="8" style="501" customWidth="1"/>
    <col min="4096" max="4096" width="2.42578125" style="501" customWidth="1"/>
    <col min="4097" max="4097" width="8" style="501" customWidth="1"/>
    <col min="4098" max="4098" width="8.5703125" style="501" customWidth="1"/>
    <col min="4099" max="4099" width="8" style="501" customWidth="1"/>
    <col min="4100" max="4100" width="2.42578125" style="501" customWidth="1"/>
    <col min="4101" max="4101" width="9" style="501" customWidth="1"/>
    <col min="4102" max="4103" width="8" style="501" customWidth="1"/>
    <col min="4104" max="4104" width="2.42578125" style="501" customWidth="1"/>
    <col min="4105" max="4105" width="9.28515625" style="501" customWidth="1"/>
    <col min="4106" max="4107" width="8" style="501" customWidth="1"/>
    <col min="4108" max="4108" width="1.28515625" style="501" customWidth="1"/>
    <col min="4109" max="4109" width="8" style="501" customWidth="1"/>
    <col min="4110" max="4347" width="11.140625" style="501"/>
    <col min="4348" max="4348" width="19.42578125" style="501" customWidth="1"/>
    <col min="4349" max="4349" width="8.7109375" style="501" customWidth="1"/>
    <col min="4350" max="4351" width="8" style="501" customWidth="1"/>
    <col min="4352" max="4352" width="2.42578125" style="501" customWidth="1"/>
    <col min="4353" max="4353" width="8" style="501" customWidth="1"/>
    <col min="4354" max="4354" width="8.5703125" style="501" customWidth="1"/>
    <col min="4355" max="4355" width="8" style="501" customWidth="1"/>
    <col min="4356" max="4356" width="2.42578125" style="501" customWidth="1"/>
    <col min="4357" max="4357" width="9" style="501" customWidth="1"/>
    <col min="4358" max="4359" width="8" style="501" customWidth="1"/>
    <col min="4360" max="4360" width="2.42578125" style="501" customWidth="1"/>
    <col min="4361" max="4361" width="9.28515625" style="501" customWidth="1"/>
    <col min="4362" max="4363" width="8" style="501" customWidth="1"/>
    <col min="4364" max="4364" width="1.28515625" style="501" customWidth="1"/>
    <col min="4365" max="4365" width="8" style="501" customWidth="1"/>
    <col min="4366" max="4603" width="11.140625" style="501"/>
    <col min="4604" max="4604" width="19.42578125" style="501" customWidth="1"/>
    <col min="4605" max="4605" width="8.7109375" style="501" customWidth="1"/>
    <col min="4606" max="4607" width="8" style="501" customWidth="1"/>
    <col min="4608" max="4608" width="2.42578125" style="501" customWidth="1"/>
    <col min="4609" max="4609" width="8" style="501" customWidth="1"/>
    <col min="4610" max="4610" width="8.5703125" style="501" customWidth="1"/>
    <col min="4611" max="4611" width="8" style="501" customWidth="1"/>
    <col min="4612" max="4612" width="2.42578125" style="501" customWidth="1"/>
    <col min="4613" max="4613" width="9" style="501" customWidth="1"/>
    <col min="4614" max="4615" width="8" style="501" customWidth="1"/>
    <col min="4616" max="4616" width="2.42578125" style="501" customWidth="1"/>
    <col min="4617" max="4617" width="9.28515625" style="501" customWidth="1"/>
    <col min="4618" max="4619" width="8" style="501" customWidth="1"/>
    <col min="4620" max="4620" width="1.28515625" style="501" customWidth="1"/>
    <col min="4621" max="4621" width="8" style="501" customWidth="1"/>
    <col min="4622" max="4859" width="11.140625" style="501"/>
    <col min="4860" max="4860" width="19.42578125" style="501" customWidth="1"/>
    <col min="4861" max="4861" width="8.7109375" style="501" customWidth="1"/>
    <col min="4862" max="4863" width="8" style="501" customWidth="1"/>
    <col min="4864" max="4864" width="2.42578125" style="501" customWidth="1"/>
    <col min="4865" max="4865" width="8" style="501" customWidth="1"/>
    <col min="4866" max="4866" width="8.5703125" style="501" customWidth="1"/>
    <col min="4867" max="4867" width="8" style="501" customWidth="1"/>
    <col min="4868" max="4868" width="2.42578125" style="501" customWidth="1"/>
    <col min="4869" max="4869" width="9" style="501" customWidth="1"/>
    <col min="4870" max="4871" width="8" style="501" customWidth="1"/>
    <col min="4872" max="4872" width="2.42578125" style="501" customWidth="1"/>
    <col min="4873" max="4873" width="9.28515625" style="501" customWidth="1"/>
    <col min="4874" max="4875" width="8" style="501" customWidth="1"/>
    <col min="4876" max="4876" width="1.28515625" style="501" customWidth="1"/>
    <col min="4877" max="4877" width="8" style="501" customWidth="1"/>
    <col min="4878" max="5115" width="11.140625" style="501"/>
    <col min="5116" max="5116" width="19.42578125" style="501" customWidth="1"/>
    <col min="5117" max="5117" width="8.7109375" style="501" customWidth="1"/>
    <col min="5118" max="5119" width="8" style="501" customWidth="1"/>
    <col min="5120" max="5120" width="2.42578125" style="501" customWidth="1"/>
    <col min="5121" max="5121" width="8" style="501" customWidth="1"/>
    <col min="5122" max="5122" width="8.5703125" style="501" customWidth="1"/>
    <col min="5123" max="5123" width="8" style="501" customWidth="1"/>
    <col min="5124" max="5124" width="2.42578125" style="501" customWidth="1"/>
    <col min="5125" max="5125" width="9" style="501" customWidth="1"/>
    <col min="5126" max="5127" width="8" style="501" customWidth="1"/>
    <col min="5128" max="5128" width="2.42578125" style="501" customWidth="1"/>
    <col min="5129" max="5129" width="9.28515625" style="501" customWidth="1"/>
    <col min="5130" max="5131" width="8" style="501" customWidth="1"/>
    <col min="5132" max="5132" width="1.28515625" style="501" customWidth="1"/>
    <col min="5133" max="5133" width="8" style="501" customWidth="1"/>
    <col min="5134" max="5371" width="11.140625" style="501"/>
    <col min="5372" max="5372" width="19.42578125" style="501" customWidth="1"/>
    <col min="5373" max="5373" width="8.7109375" style="501" customWidth="1"/>
    <col min="5374" max="5375" width="8" style="501" customWidth="1"/>
    <col min="5376" max="5376" width="2.42578125" style="501" customWidth="1"/>
    <col min="5377" max="5377" width="8" style="501" customWidth="1"/>
    <col min="5378" max="5378" width="8.5703125" style="501" customWidth="1"/>
    <col min="5379" max="5379" width="8" style="501" customWidth="1"/>
    <col min="5380" max="5380" width="2.42578125" style="501" customWidth="1"/>
    <col min="5381" max="5381" width="9" style="501" customWidth="1"/>
    <col min="5382" max="5383" width="8" style="501" customWidth="1"/>
    <col min="5384" max="5384" width="2.42578125" style="501" customWidth="1"/>
    <col min="5385" max="5385" width="9.28515625" style="501" customWidth="1"/>
    <col min="5386" max="5387" width="8" style="501" customWidth="1"/>
    <col min="5388" max="5388" width="1.28515625" style="501" customWidth="1"/>
    <col min="5389" max="5389" width="8" style="501" customWidth="1"/>
    <col min="5390" max="5627" width="11.140625" style="501"/>
    <col min="5628" max="5628" width="19.42578125" style="501" customWidth="1"/>
    <col min="5629" max="5629" width="8.7109375" style="501" customWidth="1"/>
    <col min="5630" max="5631" width="8" style="501" customWidth="1"/>
    <col min="5632" max="5632" width="2.42578125" style="501" customWidth="1"/>
    <col min="5633" max="5633" width="8" style="501" customWidth="1"/>
    <col min="5634" max="5634" width="8.5703125" style="501" customWidth="1"/>
    <col min="5635" max="5635" width="8" style="501" customWidth="1"/>
    <col min="5636" max="5636" width="2.42578125" style="501" customWidth="1"/>
    <col min="5637" max="5637" width="9" style="501" customWidth="1"/>
    <col min="5638" max="5639" width="8" style="501" customWidth="1"/>
    <col min="5640" max="5640" width="2.42578125" style="501" customWidth="1"/>
    <col min="5641" max="5641" width="9.28515625" style="501" customWidth="1"/>
    <col min="5642" max="5643" width="8" style="501" customWidth="1"/>
    <col min="5644" max="5644" width="1.28515625" style="501" customWidth="1"/>
    <col min="5645" max="5645" width="8" style="501" customWidth="1"/>
    <col min="5646" max="5883" width="11.140625" style="501"/>
    <col min="5884" max="5884" width="19.42578125" style="501" customWidth="1"/>
    <col min="5885" max="5885" width="8.7109375" style="501" customWidth="1"/>
    <col min="5886" max="5887" width="8" style="501" customWidth="1"/>
    <col min="5888" max="5888" width="2.42578125" style="501" customWidth="1"/>
    <col min="5889" max="5889" width="8" style="501" customWidth="1"/>
    <col min="5890" max="5890" width="8.5703125" style="501" customWidth="1"/>
    <col min="5891" max="5891" width="8" style="501" customWidth="1"/>
    <col min="5892" max="5892" width="2.42578125" style="501" customWidth="1"/>
    <col min="5893" max="5893" width="9" style="501" customWidth="1"/>
    <col min="5894" max="5895" width="8" style="501" customWidth="1"/>
    <col min="5896" max="5896" width="2.42578125" style="501" customWidth="1"/>
    <col min="5897" max="5897" width="9.28515625" style="501" customWidth="1"/>
    <col min="5898" max="5899" width="8" style="501" customWidth="1"/>
    <col min="5900" max="5900" width="1.28515625" style="501" customWidth="1"/>
    <col min="5901" max="5901" width="8" style="501" customWidth="1"/>
    <col min="5902" max="6139" width="11.140625" style="501"/>
    <col min="6140" max="6140" width="19.42578125" style="501" customWidth="1"/>
    <col min="6141" max="6141" width="8.7109375" style="501" customWidth="1"/>
    <col min="6142" max="6143" width="8" style="501" customWidth="1"/>
    <col min="6144" max="6144" width="2.42578125" style="501" customWidth="1"/>
    <col min="6145" max="6145" width="8" style="501" customWidth="1"/>
    <col min="6146" max="6146" width="8.5703125" style="501" customWidth="1"/>
    <col min="6147" max="6147" width="8" style="501" customWidth="1"/>
    <col min="6148" max="6148" width="2.42578125" style="501" customWidth="1"/>
    <col min="6149" max="6149" width="9" style="501" customWidth="1"/>
    <col min="6150" max="6151" width="8" style="501" customWidth="1"/>
    <col min="6152" max="6152" width="2.42578125" style="501" customWidth="1"/>
    <col min="6153" max="6153" width="9.28515625" style="501" customWidth="1"/>
    <col min="6154" max="6155" width="8" style="501" customWidth="1"/>
    <col min="6156" max="6156" width="1.28515625" style="501" customWidth="1"/>
    <col min="6157" max="6157" width="8" style="501" customWidth="1"/>
    <col min="6158" max="6395" width="11.140625" style="501"/>
    <col min="6396" max="6396" width="19.42578125" style="501" customWidth="1"/>
    <col min="6397" max="6397" width="8.7109375" style="501" customWidth="1"/>
    <col min="6398" max="6399" width="8" style="501" customWidth="1"/>
    <col min="6400" max="6400" width="2.42578125" style="501" customWidth="1"/>
    <col min="6401" max="6401" width="8" style="501" customWidth="1"/>
    <col min="6402" max="6402" width="8.5703125" style="501" customWidth="1"/>
    <col min="6403" max="6403" width="8" style="501" customWidth="1"/>
    <col min="6404" max="6404" width="2.42578125" style="501" customWidth="1"/>
    <col min="6405" max="6405" width="9" style="501" customWidth="1"/>
    <col min="6406" max="6407" width="8" style="501" customWidth="1"/>
    <col min="6408" max="6408" width="2.42578125" style="501" customWidth="1"/>
    <col min="6409" max="6409" width="9.28515625" style="501" customWidth="1"/>
    <col min="6410" max="6411" width="8" style="501" customWidth="1"/>
    <col min="6412" max="6412" width="1.28515625" style="501" customWidth="1"/>
    <col min="6413" max="6413" width="8" style="501" customWidth="1"/>
    <col min="6414" max="6651" width="11.140625" style="501"/>
    <col min="6652" max="6652" width="19.42578125" style="501" customWidth="1"/>
    <col min="6653" max="6653" width="8.7109375" style="501" customWidth="1"/>
    <col min="6654" max="6655" width="8" style="501" customWidth="1"/>
    <col min="6656" max="6656" width="2.42578125" style="501" customWidth="1"/>
    <col min="6657" max="6657" width="8" style="501" customWidth="1"/>
    <col min="6658" max="6658" width="8.5703125" style="501" customWidth="1"/>
    <col min="6659" max="6659" width="8" style="501" customWidth="1"/>
    <col min="6660" max="6660" width="2.42578125" style="501" customWidth="1"/>
    <col min="6661" max="6661" width="9" style="501" customWidth="1"/>
    <col min="6662" max="6663" width="8" style="501" customWidth="1"/>
    <col min="6664" max="6664" width="2.42578125" style="501" customWidth="1"/>
    <col min="6665" max="6665" width="9.28515625" style="501" customWidth="1"/>
    <col min="6666" max="6667" width="8" style="501" customWidth="1"/>
    <col min="6668" max="6668" width="1.28515625" style="501" customWidth="1"/>
    <col min="6669" max="6669" width="8" style="501" customWidth="1"/>
    <col min="6670" max="6907" width="11.140625" style="501"/>
    <col min="6908" max="6908" width="19.42578125" style="501" customWidth="1"/>
    <col min="6909" max="6909" width="8.7109375" style="501" customWidth="1"/>
    <col min="6910" max="6911" width="8" style="501" customWidth="1"/>
    <col min="6912" max="6912" width="2.42578125" style="501" customWidth="1"/>
    <col min="6913" max="6913" width="8" style="501" customWidth="1"/>
    <col min="6914" max="6914" width="8.5703125" style="501" customWidth="1"/>
    <col min="6915" max="6915" width="8" style="501" customWidth="1"/>
    <col min="6916" max="6916" width="2.42578125" style="501" customWidth="1"/>
    <col min="6917" max="6917" width="9" style="501" customWidth="1"/>
    <col min="6918" max="6919" width="8" style="501" customWidth="1"/>
    <col min="6920" max="6920" width="2.42578125" style="501" customWidth="1"/>
    <col min="6921" max="6921" width="9.28515625" style="501" customWidth="1"/>
    <col min="6922" max="6923" width="8" style="501" customWidth="1"/>
    <col min="6924" max="6924" width="1.28515625" style="501" customWidth="1"/>
    <col min="6925" max="6925" width="8" style="501" customWidth="1"/>
    <col min="6926" max="7163" width="11.140625" style="501"/>
    <col min="7164" max="7164" width="19.42578125" style="501" customWidth="1"/>
    <col min="7165" max="7165" width="8.7109375" style="501" customWidth="1"/>
    <col min="7166" max="7167" width="8" style="501" customWidth="1"/>
    <col min="7168" max="7168" width="2.42578125" style="501" customWidth="1"/>
    <col min="7169" max="7169" width="8" style="501" customWidth="1"/>
    <col min="7170" max="7170" width="8.5703125" style="501" customWidth="1"/>
    <col min="7171" max="7171" width="8" style="501" customWidth="1"/>
    <col min="7172" max="7172" width="2.42578125" style="501" customWidth="1"/>
    <col min="7173" max="7173" width="9" style="501" customWidth="1"/>
    <col min="7174" max="7175" width="8" style="501" customWidth="1"/>
    <col min="7176" max="7176" width="2.42578125" style="501" customWidth="1"/>
    <col min="7177" max="7177" width="9.28515625" style="501" customWidth="1"/>
    <col min="7178" max="7179" width="8" style="501" customWidth="1"/>
    <col min="7180" max="7180" width="1.28515625" style="501" customWidth="1"/>
    <col min="7181" max="7181" width="8" style="501" customWidth="1"/>
    <col min="7182" max="7419" width="11.140625" style="501"/>
    <col min="7420" max="7420" width="19.42578125" style="501" customWidth="1"/>
    <col min="7421" max="7421" width="8.7109375" style="501" customWidth="1"/>
    <col min="7422" max="7423" width="8" style="501" customWidth="1"/>
    <col min="7424" max="7424" width="2.42578125" style="501" customWidth="1"/>
    <col min="7425" max="7425" width="8" style="501" customWidth="1"/>
    <col min="7426" max="7426" width="8.5703125" style="501" customWidth="1"/>
    <col min="7427" max="7427" width="8" style="501" customWidth="1"/>
    <col min="7428" max="7428" width="2.42578125" style="501" customWidth="1"/>
    <col min="7429" max="7429" width="9" style="501" customWidth="1"/>
    <col min="7430" max="7431" width="8" style="501" customWidth="1"/>
    <col min="7432" max="7432" width="2.42578125" style="501" customWidth="1"/>
    <col min="7433" max="7433" width="9.28515625" style="501" customWidth="1"/>
    <col min="7434" max="7435" width="8" style="501" customWidth="1"/>
    <col min="7436" max="7436" width="1.28515625" style="501" customWidth="1"/>
    <col min="7437" max="7437" width="8" style="501" customWidth="1"/>
    <col min="7438" max="7675" width="11.140625" style="501"/>
    <col min="7676" max="7676" width="19.42578125" style="501" customWidth="1"/>
    <col min="7677" max="7677" width="8.7109375" style="501" customWidth="1"/>
    <col min="7678" max="7679" width="8" style="501" customWidth="1"/>
    <col min="7680" max="7680" width="2.42578125" style="501" customWidth="1"/>
    <col min="7681" max="7681" width="8" style="501" customWidth="1"/>
    <col min="7682" max="7682" width="8.5703125" style="501" customWidth="1"/>
    <col min="7683" max="7683" width="8" style="501" customWidth="1"/>
    <col min="7684" max="7684" width="2.42578125" style="501" customWidth="1"/>
    <col min="7685" max="7685" width="9" style="501" customWidth="1"/>
    <col min="7686" max="7687" width="8" style="501" customWidth="1"/>
    <col min="7688" max="7688" width="2.42578125" style="501" customWidth="1"/>
    <col min="7689" max="7689" width="9.28515625" style="501" customWidth="1"/>
    <col min="7690" max="7691" width="8" style="501" customWidth="1"/>
    <col min="7692" max="7692" width="1.28515625" style="501" customWidth="1"/>
    <col min="7693" max="7693" width="8" style="501" customWidth="1"/>
    <col min="7694" max="7931" width="11.140625" style="501"/>
    <col min="7932" max="7932" width="19.42578125" style="501" customWidth="1"/>
    <col min="7933" max="7933" width="8.7109375" style="501" customWidth="1"/>
    <col min="7934" max="7935" width="8" style="501" customWidth="1"/>
    <col min="7936" max="7936" width="2.42578125" style="501" customWidth="1"/>
    <col min="7937" max="7937" width="8" style="501" customWidth="1"/>
    <col min="7938" max="7938" width="8.5703125" style="501" customWidth="1"/>
    <col min="7939" max="7939" width="8" style="501" customWidth="1"/>
    <col min="7940" max="7940" width="2.42578125" style="501" customWidth="1"/>
    <col min="7941" max="7941" width="9" style="501" customWidth="1"/>
    <col min="7942" max="7943" width="8" style="501" customWidth="1"/>
    <col min="7944" max="7944" width="2.42578125" style="501" customWidth="1"/>
    <col min="7945" max="7945" width="9.28515625" style="501" customWidth="1"/>
    <col min="7946" max="7947" width="8" style="501" customWidth="1"/>
    <col min="7948" max="7948" width="1.28515625" style="501" customWidth="1"/>
    <col min="7949" max="7949" width="8" style="501" customWidth="1"/>
    <col min="7950" max="8187" width="11.140625" style="501"/>
    <col min="8188" max="8188" width="19.42578125" style="501" customWidth="1"/>
    <col min="8189" max="8189" width="8.7109375" style="501" customWidth="1"/>
    <col min="8190" max="8191" width="8" style="501" customWidth="1"/>
    <col min="8192" max="8192" width="2.42578125" style="501" customWidth="1"/>
    <col min="8193" max="8193" width="8" style="501" customWidth="1"/>
    <col min="8194" max="8194" width="8.5703125" style="501" customWidth="1"/>
    <col min="8195" max="8195" width="8" style="501" customWidth="1"/>
    <col min="8196" max="8196" width="2.42578125" style="501" customWidth="1"/>
    <col min="8197" max="8197" width="9" style="501" customWidth="1"/>
    <col min="8198" max="8199" width="8" style="501" customWidth="1"/>
    <col min="8200" max="8200" width="2.42578125" style="501" customWidth="1"/>
    <col min="8201" max="8201" width="9.28515625" style="501" customWidth="1"/>
    <col min="8202" max="8203" width="8" style="501" customWidth="1"/>
    <col min="8204" max="8204" width="1.28515625" style="501" customWidth="1"/>
    <col min="8205" max="8205" width="8" style="501" customWidth="1"/>
    <col min="8206" max="8443" width="11.140625" style="501"/>
    <col min="8444" max="8444" width="19.42578125" style="501" customWidth="1"/>
    <col min="8445" max="8445" width="8.7109375" style="501" customWidth="1"/>
    <col min="8446" max="8447" width="8" style="501" customWidth="1"/>
    <col min="8448" max="8448" width="2.42578125" style="501" customWidth="1"/>
    <col min="8449" max="8449" width="8" style="501" customWidth="1"/>
    <col min="8450" max="8450" width="8.5703125" style="501" customWidth="1"/>
    <col min="8451" max="8451" width="8" style="501" customWidth="1"/>
    <col min="8452" max="8452" width="2.42578125" style="501" customWidth="1"/>
    <col min="8453" max="8453" width="9" style="501" customWidth="1"/>
    <col min="8454" max="8455" width="8" style="501" customWidth="1"/>
    <col min="8456" max="8456" width="2.42578125" style="501" customWidth="1"/>
    <col min="8457" max="8457" width="9.28515625" style="501" customWidth="1"/>
    <col min="8458" max="8459" width="8" style="501" customWidth="1"/>
    <col min="8460" max="8460" width="1.28515625" style="501" customWidth="1"/>
    <col min="8461" max="8461" width="8" style="501" customWidth="1"/>
    <col min="8462" max="8699" width="11.140625" style="501"/>
    <col min="8700" max="8700" width="19.42578125" style="501" customWidth="1"/>
    <col min="8701" max="8701" width="8.7109375" style="501" customWidth="1"/>
    <col min="8702" max="8703" width="8" style="501" customWidth="1"/>
    <col min="8704" max="8704" width="2.42578125" style="501" customWidth="1"/>
    <col min="8705" max="8705" width="8" style="501" customWidth="1"/>
    <col min="8706" max="8706" width="8.5703125" style="501" customWidth="1"/>
    <col min="8707" max="8707" width="8" style="501" customWidth="1"/>
    <col min="8708" max="8708" width="2.42578125" style="501" customWidth="1"/>
    <col min="8709" max="8709" width="9" style="501" customWidth="1"/>
    <col min="8710" max="8711" width="8" style="501" customWidth="1"/>
    <col min="8712" max="8712" width="2.42578125" style="501" customWidth="1"/>
    <col min="8713" max="8713" width="9.28515625" style="501" customWidth="1"/>
    <col min="8714" max="8715" width="8" style="501" customWidth="1"/>
    <col min="8716" max="8716" width="1.28515625" style="501" customWidth="1"/>
    <col min="8717" max="8717" width="8" style="501" customWidth="1"/>
    <col min="8718" max="8955" width="11.140625" style="501"/>
    <col min="8956" max="8956" width="19.42578125" style="501" customWidth="1"/>
    <col min="8957" max="8957" width="8.7109375" style="501" customWidth="1"/>
    <col min="8958" max="8959" width="8" style="501" customWidth="1"/>
    <col min="8960" max="8960" width="2.42578125" style="501" customWidth="1"/>
    <col min="8961" max="8961" width="8" style="501" customWidth="1"/>
    <col min="8962" max="8962" width="8.5703125" style="501" customWidth="1"/>
    <col min="8963" max="8963" width="8" style="501" customWidth="1"/>
    <col min="8964" max="8964" width="2.42578125" style="501" customWidth="1"/>
    <col min="8965" max="8965" width="9" style="501" customWidth="1"/>
    <col min="8966" max="8967" width="8" style="501" customWidth="1"/>
    <col min="8968" max="8968" width="2.42578125" style="501" customWidth="1"/>
    <col min="8969" max="8969" width="9.28515625" style="501" customWidth="1"/>
    <col min="8970" max="8971" width="8" style="501" customWidth="1"/>
    <col min="8972" max="8972" width="1.28515625" style="501" customWidth="1"/>
    <col min="8973" max="8973" width="8" style="501" customWidth="1"/>
    <col min="8974" max="9211" width="11.140625" style="501"/>
    <col min="9212" max="9212" width="19.42578125" style="501" customWidth="1"/>
    <col min="9213" max="9213" width="8.7109375" style="501" customWidth="1"/>
    <col min="9214" max="9215" width="8" style="501" customWidth="1"/>
    <col min="9216" max="9216" width="2.42578125" style="501" customWidth="1"/>
    <col min="9217" max="9217" width="8" style="501" customWidth="1"/>
    <col min="9218" max="9218" width="8.5703125" style="501" customWidth="1"/>
    <col min="9219" max="9219" width="8" style="501" customWidth="1"/>
    <col min="9220" max="9220" width="2.42578125" style="501" customWidth="1"/>
    <col min="9221" max="9221" width="9" style="501" customWidth="1"/>
    <col min="9222" max="9223" width="8" style="501" customWidth="1"/>
    <col min="9224" max="9224" width="2.42578125" style="501" customWidth="1"/>
    <col min="9225" max="9225" width="9.28515625" style="501" customWidth="1"/>
    <col min="9226" max="9227" width="8" style="501" customWidth="1"/>
    <col min="9228" max="9228" width="1.28515625" style="501" customWidth="1"/>
    <col min="9229" max="9229" width="8" style="501" customWidth="1"/>
    <col min="9230" max="9467" width="11.140625" style="501"/>
    <col min="9468" max="9468" width="19.42578125" style="501" customWidth="1"/>
    <col min="9469" max="9469" width="8.7109375" style="501" customWidth="1"/>
    <col min="9470" max="9471" width="8" style="501" customWidth="1"/>
    <col min="9472" max="9472" width="2.42578125" style="501" customWidth="1"/>
    <col min="9473" max="9473" width="8" style="501" customWidth="1"/>
    <col min="9474" max="9474" width="8.5703125" style="501" customWidth="1"/>
    <col min="9475" max="9475" width="8" style="501" customWidth="1"/>
    <col min="9476" max="9476" width="2.42578125" style="501" customWidth="1"/>
    <col min="9477" max="9477" width="9" style="501" customWidth="1"/>
    <col min="9478" max="9479" width="8" style="501" customWidth="1"/>
    <col min="9480" max="9480" width="2.42578125" style="501" customWidth="1"/>
    <col min="9481" max="9481" width="9.28515625" style="501" customWidth="1"/>
    <col min="9482" max="9483" width="8" style="501" customWidth="1"/>
    <col min="9484" max="9484" width="1.28515625" style="501" customWidth="1"/>
    <col min="9485" max="9485" width="8" style="501" customWidth="1"/>
    <col min="9486" max="9723" width="11.140625" style="501"/>
    <col min="9724" max="9724" width="19.42578125" style="501" customWidth="1"/>
    <col min="9725" max="9725" width="8.7109375" style="501" customWidth="1"/>
    <col min="9726" max="9727" width="8" style="501" customWidth="1"/>
    <col min="9728" max="9728" width="2.42578125" style="501" customWidth="1"/>
    <col min="9729" max="9729" width="8" style="501" customWidth="1"/>
    <col min="9730" max="9730" width="8.5703125" style="501" customWidth="1"/>
    <col min="9731" max="9731" width="8" style="501" customWidth="1"/>
    <col min="9732" max="9732" width="2.42578125" style="501" customWidth="1"/>
    <col min="9733" max="9733" width="9" style="501" customWidth="1"/>
    <col min="9734" max="9735" width="8" style="501" customWidth="1"/>
    <col min="9736" max="9736" width="2.42578125" style="501" customWidth="1"/>
    <col min="9737" max="9737" width="9.28515625" style="501" customWidth="1"/>
    <col min="9738" max="9739" width="8" style="501" customWidth="1"/>
    <col min="9740" max="9740" width="1.28515625" style="501" customWidth="1"/>
    <col min="9741" max="9741" width="8" style="501" customWidth="1"/>
    <col min="9742" max="9979" width="11.140625" style="501"/>
    <col min="9980" max="9980" width="19.42578125" style="501" customWidth="1"/>
    <col min="9981" max="9981" width="8.7109375" style="501" customWidth="1"/>
    <col min="9982" max="9983" width="8" style="501" customWidth="1"/>
    <col min="9984" max="9984" width="2.42578125" style="501" customWidth="1"/>
    <col min="9985" max="9985" width="8" style="501" customWidth="1"/>
    <col min="9986" max="9986" width="8.5703125" style="501" customWidth="1"/>
    <col min="9987" max="9987" width="8" style="501" customWidth="1"/>
    <col min="9988" max="9988" width="2.42578125" style="501" customWidth="1"/>
    <col min="9989" max="9989" width="9" style="501" customWidth="1"/>
    <col min="9990" max="9991" width="8" style="501" customWidth="1"/>
    <col min="9992" max="9992" width="2.42578125" style="501" customWidth="1"/>
    <col min="9993" max="9993" width="9.28515625" style="501" customWidth="1"/>
    <col min="9994" max="9995" width="8" style="501" customWidth="1"/>
    <col min="9996" max="9996" width="1.28515625" style="501" customWidth="1"/>
    <col min="9997" max="9997" width="8" style="501" customWidth="1"/>
    <col min="9998" max="10235" width="11.140625" style="501"/>
    <col min="10236" max="10236" width="19.42578125" style="501" customWidth="1"/>
    <col min="10237" max="10237" width="8.7109375" style="501" customWidth="1"/>
    <col min="10238" max="10239" width="8" style="501" customWidth="1"/>
    <col min="10240" max="10240" width="2.42578125" style="501" customWidth="1"/>
    <col min="10241" max="10241" width="8" style="501" customWidth="1"/>
    <col min="10242" max="10242" width="8.5703125" style="501" customWidth="1"/>
    <col min="10243" max="10243" width="8" style="501" customWidth="1"/>
    <col min="10244" max="10244" width="2.42578125" style="501" customWidth="1"/>
    <col min="10245" max="10245" width="9" style="501" customWidth="1"/>
    <col min="10246" max="10247" width="8" style="501" customWidth="1"/>
    <col min="10248" max="10248" width="2.42578125" style="501" customWidth="1"/>
    <col min="10249" max="10249" width="9.28515625" style="501" customWidth="1"/>
    <col min="10250" max="10251" width="8" style="501" customWidth="1"/>
    <col min="10252" max="10252" width="1.28515625" style="501" customWidth="1"/>
    <col min="10253" max="10253" width="8" style="501" customWidth="1"/>
    <col min="10254" max="10491" width="11.140625" style="501"/>
    <col min="10492" max="10492" width="19.42578125" style="501" customWidth="1"/>
    <col min="10493" max="10493" width="8.7109375" style="501" customWidth="1"/>
    <col min="10494" max="10495" width="8" style="501" customWidth="1"/>
    <col min="10496" max="10496" width="2.42578125" style="501" customWidth="1"/>
    <col min="10497" max="10497" width="8" style="501" customWidth="1"/>
    <col min="10498" max="10498" width="8.5703125" style="501" customWidth="1"/>
    <col min="10499" max="10499" width="8" style="501" customWidth="1"/>
    <col min="10500" max="10500" width="2.42578125" style="501" customWidth="1"/>
    <col min="10501" max="10501" width="9" style="501" customWidth="1"/>
    <col min="10502" max="10503" width="8" style="501" customWidth="1"/>
    <col min="10504" max="10504" width="2.42578125" style="501" customWidth="1"/>
    <col min="10505" max="10505" width="9.28515625" style="501" customWidth="1"/>
    <col min="10506" max="10507" width="8" style="501" customWidth="1"/>
    <col min="10508" max="10508" width="1.28515625" style="501" customWidth="1"/>
    <col min="10509" max="10509" width="8" style="501" customWidth="1"/>
    <col min="10510" max="10747" width="11.140625" style="501"/>
    <col min="10748" max="10748" width="19.42578125" style="501" customWidth="1"/>
    <col min="10749" max="10749" width="8.7109375" style="501" customWidth="1"/>
    <col min="10750" max="10751" width="8" style="501" customWidth="1"/>
    <col min="10752" max="10752" width="2.42578125" style="501" customWidth="1"/>
    <col min="10753" max="10753" width="8" style="501" customWidth="1"/>
    <col min="10754" max="10754" width="8.5703125" style="501" customWidth="1"/>
    <col min="10755" max="10755" width="8" style="501" customWidth="1"/>
    <col min="10756" max="10756" width="2.42578125" style="501" customWidth="1"/>
    <col min="10757" max="10757" width="9" style="501" customWidth="1"/>
    <col min="10758" max="10759" width="8" style="501" customWidth="1"/>
    <col min="10760" max="10760" width="2.42578125" style="501" customWidth="1"/>
    <col min="10761" max="10761" width="9.28515625" style="501" customWidth="1"/>
    <col min="10762" max="10763" width="8" style="501" customWidth="1"/>
    <col min="10764" max="10764" width="1.28515625" style="501" customWidth="1"/>
    <col min="10765" max="10765" width="8" style="501" customWidth="1"/>
    <col min="10766" max="11003" width="11.140625" style="501"/>
    <col min="11004" max="11004" width="19.42578125" style="501" customWidth="1"/>
    <col min="11005" max="11005" width="8.7109375" style="501" customWidth="1"/>
    <col min="11006" max="11007" width="8" style="501" customWidth="1"/>
    <col min="11008" max="11008" width="2.42578125" style="501" customWidth="1"/>
    <col min="11009" max="11009" width="8" style="501" customWidth="1"/>
    <col min="11010" max="11010" width="8.5703125" style="501" customWidth="1"/>
    <col min="11011" max="11011" width="8" style="501" customWidth="1"/>
    <col min="11012" max="11012" width="2.42578125" style="501" customWidth="1"/>
    <col min="11013" max="11013" width="9" style="501" customWidth="1"/>
    <col min="11014" max="11015" width="8" style="501" customWidth="1"/>
    <col min="11016" max="11016" width="2.42578125" style="501" customWidth="1"/>
    <col min="11017" max="11017" width="9.28515625" style="501" customWidth="1"/>
    <col min="11018" max="11019" width="8" style="501" customWidth="1"/>
    <col min="11020" max="11020" width="1.28515625" style="501" customWidth="1"/>
    <col min="11021" max="11021" width="8" style="501" customWidth="1"/>
    <col min="11022" max="11259" width="11.140625" style="501"/>
    <col min="11260" max="11260" width="19.42578125" style="501" customWidth="1"/>
    <col min="11261" max="11261" width="8.7109375" style="501" customWidth="1"/>
    <col min="11262" max="11263" width="8" style="501" customWidth="1"/>
    <col min="11264" max="11264" width="2.42578125" style="501" customWidth="1"/>
    <col min="11265" max="11265" width="8" style="501" customWidth="1"/>
    <col min="11266" max="11266" width="8.5703125" style="501" customWidth="1"/>
    <col min="11267" max="11267" width="8" style="501" customWidth="1"/>
    <col min="11268" max="11268" width="2.42578125" style="501" customWidth="1"/>
    <col min="11269" max="11269" width="9" style="501" customWidth="1"/>
    <col min="11270" max="11271" width="8" style="501" customWidth="1"/>
    <col min="11272" max="11272" width="2.42578125" style="501" customWidth="1"/>
    <col min="11273" max="11273" width="9.28515625" style="501" customWidth="1"/>
    <col min="11274" max="11275" width="8" style="501" customWidth="1"/>
    <col min="11276" max="11276" width="1.28515625" style="501" customWidth="1"/>
    <col min="11277" max="11277" width="8" style="501" customWidth="1"/>
    <col min="11278" max="11515" width="11.140625" style="501"/>
    <col min="11516" max="11516" width="19.42578125" style="501" customWidth="1"/>
    <col min="11517" max="11517" width="8.7109375" style="501" customWidth="1"/>
    <col min="11518" max="11519" width="8" style="501" customWidth="1"/>
    <col min="11520" max="11520" width="2.42578125" style="501" customWidth="1"/>
    <col min="11521" max="11521" width="8" style="501" customWidth="1"/>
    <col min="11522" max="11522" width="8.5703125" style="501" customWidth="1"/>
    <col min="11523" max="11523" width="8" style="501" customWidth="1"/>
    <col min="11524" max="11524" width="2.42578125" style="501" customWidth="1"/>
    <col min="11525" max="11525" width="9" style="501" customWidth="1"/>
    <col min="11526" max="11527" width="8" style="501" customWidth="1"/>
    <col min="11528" max="11528" width="2.42578125" style="501" customWidth="1"/>
    <col min="11529" max="11529" width="9.28515625" style="501" customWidth="1"/>
    <col min="11530" max="11531" width="8" style="501" customWidth="1"/>
    <col min="11532" max="11532" width="1.28515625" style="501" customWidth="1"/>
    <col min="11533" max="11533" width="8" style="501" customWidth="1"/>
    <col min="11534" max="11771" width="11.140625" style="501"/>
    <col min="11772" max="11772" width="19.42578125" style="501" customWidth="1"/>
    <col min="11773" max="11773" width="8.7109375" style="501" customWidth="1"/>
    <col min="11774" max="11775" width="8" style="501" customWidth="1"/>
    <col min="11776" max="11776" width="2.42578125" style="501" customWidth="1"/>
    <col min="11777" max="11777" width="8" style="501" customWidth="1"/>
    <col min="11778" max="11778" width="8.5703125" style="501" customWidth="1"/>
    <col min="11779" max="11779" width="8" style="501" customWidth="1"/>
    <col min="11780" max="11780" width="2.42578125" style="501" customWidth="1"/>
    <col min="11781" max="11781" width="9" style="501" customWidth="1"/>
    <col min="11782" max="11783" width="8" style="501" customWidth="1"/>
    <col min="11784" max="11784" width="2.42578125" style="501" customWidth="1"/>
    <col min="11785" max="11785" width="9.28515625" style="501" customWidth="1"/>
    <col min="11786" max="11787" width="8" style="501" customWidth="1"/>
    <col min="11788" max="11788" width="1.28515625" style="501" customWidth="1"/>
    <col min="11789" max="11789" width="8" style="501" customWidth="1"/>
    <col min="11790" max="12027" width="11.140625" style="501"/>
    <col min="12028" max="12028" width="19.42578125" style="501" customWidth="1"/>
    <col min="12029" max="12029" width="8.7109375" style="501" customWidth="1"/>
    <col min="12030" max="12031" width="8" style="501" customWidth="1"/>
    <col min="12032" max="12032" width="2.42578125" style="501" customWidth="1"/>
    <col min="12033" max="12033" width="8" style="501" customWidth="1"/>
    <col min="12034" max="12034" width="8.5703125" style="501" customWidth="1"/>
    <col min="12035" max="12035" width="8" style="501" customWidth="1"/>
    <col min="12036" max="12036" width="2.42578125" style="501" customWidth="1"/>
    <col min="12037" max="12037" width="9" style="501" customWidth="1"/>
    <col min="12038" max="12039" width="8" style="501" customWidth="1"/>
    <col min="12040" max="12040" width="2.42578125" style="501" customWidth="1"/>
    <col min="12041" max="12041" width="9.28515625" style="501" customWidth="1"/>
    <col min="12042" max="12043" width="8" style="501" customWidth="1"/>
    <col min="12044" max="12044" width="1.28515625" style="501" customWidth="1"/>
    <col min="12045" max="12045" width="8" style="501" customWidth="1"/>
    <col min="12046" max="12283" width="11.140625" style="501"/>
    <col min="12284" max="12284" width="19.42578125" style="501" customWidth="1"/>
    <col min="12285" max="12285" width="8.7109375" style="501" customWidth="1"/>
    <col min="12286" max="12287" width="8" style="501" customWidth="1"/>
    <col min="12288" max="12288" width="2.42578125" style="501" customWidth="1"/>
    <col min="12289" max="12289" width="8" style="501" customWidth="1"/>
    <col min="12290" max="12290" width="8.5703125" style="501" customWidth="1"/>
    <col min="12291" max="12291" width="8" style="501" customWidth="1"/>
    <col min="12292" max="12292" width="2.42578125" style="501" customWidth="1"/>
    <col min="12293" max="12293" width="9" style="501" customWidth="1"/>
    <col min="12294" max="12295" width="8" style="501" customWidth="1"/>
    <col min="12296" max="12296" width="2.42578125" style="501" customWidth="1"/>
    <col min="12297" max="12297" width="9.28515625" style="501" customWidth="1"/>
    <col min="12298" max="12299" width="8" style="501" customWidth="1"/>
    <col min="12300" max="12300" width="1.28515625" style="501" customWidth="1"/>
    <col min="12301" max="12301" width="8" style="501" customWidth="1"/>
    <col min="12302" max="12539" width="11.140625" style="501"/>
    <col min="12540" max="12540" width="19.42578125" style="501" customWidth="1"/>
    <col min="12541" max="12541" width="8.7109375" style="501" customWidth="1"/>
    <col min="12542" max="12543" width="8" style="501" customWidth="1"/>
    <col min="12544" max="12544" width="2.42578125" style="501" customWidth="1"/>
    <col min="12545" max="12545" width="8" style="501" customWidth="1"/>
    <col min="12546" max="12546" width="8.5703125" style="501" customWidth="1"/>
    <col min="12547" max="12547" width="8" style="501" customWidth="1"/>
    <col min="12548" max="12548" width="2.42578125" style="501" customWidth="1"/>
    <col min="12549" max="12549" width="9" style="501" customWidth="1"/>
    <col min="12550" max="12551" width="8" style="501" customWidth="1"/>
    <col min="12552" max="12552" width="2.42578125" style="501" customWidth="1"/>
    <col min="12553" max="12553" width="9.28515625" style="501" customWidth="1"/>
    <col min="12554" max="12555" width="8" style="501" customWidth="1"/>
    <col min="12556" max="12556" width="1.28515625" style="501" customWidth="1"/>
    <col min="12557" max="12557" width="8" style="501" customWidth="1"/>
    <col min="12558" max="12795" width="11.140625" style="501"/>
    <col min="12796" max="12796" width="19.42578125" style="501" customWidth="1"/>
    <col min="12797" max="12797" width="8.7109375" style="501" customWidth="1"/>
    <col min="12798" max="12799" width="8" style="501" customWidth="1"/>
    <col min="12800" max="12800" width="2.42578125" style="501" customWidth="1"/>
    <col min="12801" max="12801" width="8" style="501" customWidth="1"/>
    <col min="12802" max="12802" width="8.5703125" style="501" customWidth="1"/>
    <col min="12803" max="12803" width="8" style="501" customWidth="1"/>
    <col min="12804" max="12804" width="2.42578125" style="501" customWidth="1"/>
    <col min="12805" max="12805" width="9" style="501" customWidth="1"/>
    <col min="12806" max="12807" width="8" style="501" customWidth="1"/>
    <col min="12808" max="12808" width="2.42578125" style="501" customWidth="1"/>
    <col min="12809" max="12809" width="9.28515625" style="501" customWidth="1"/>
    <col min="12810" max="12811" width="8" style="501" customWidth="1"/>
    <col min="12812" max="12812" width="1.28515625" style="501" customWidth="1"/>
    <col min="12813" max="12813" width="8" style="501" customWidth="1"/>
    <col min="12814" max="13051" width="11.140625" style="501"/>
    <col min="13052" max="13052" width="19.42578125" style="501" customWidth="1"/>
    <col min="13053" max="13053" width="8.7109375" style="501" customWidth="1"/>
    <col min="13054" max="13055" width="8" style="501" customWidth="1"/>
    <col min="13056" max="13056" width="2.42578125" style="501" customWidth="1"/>
    <col min="13057" max="13057" width="8" style="501" customWidth="1"/>
    <col min="13058" max="13058" width="8.5703125" style="501" customWidth="1"/>
    <col min="13059" max="13059" width="8" style="501" customWidth="1"/>
    <col min="13060" max="13060" width="2.42578125" style="501" customWidth="1"/>
    <col min="13061" max="13061" width="9" style="501" customWidth="1"/>
    <col min="13062" max="13063" width="8" style="501" customWidth="1"/>
    <col min="13064" max="13064" width="2.42578125" style="501" customWidth="1"/>
    <col min="13065" max="13065" width="9.28515625" style="501" customWidth="1"/>
    <col min="13066" max="13067" width="8" style="501" customWidth="1"/>
    <col min="13068" max="13068" width="1.28515625" style="501" customWidth="1"/>
    <col min="13069" max="13069" width="8" style="501" customWidth="1"/>
    <col min="13070" max="13307" width="11.140625" style="501"/>
    <col min="13308" max="13308" width="19.42578125" style="501" customWidth="1"/>
    <col min="13309" max="13309" width="8.7109375" style="501" customWidth="1"/>
    <col min="13310" max="13311" width="8" style="501" customWidth="1"/>
    <col min="13312" max="13312" width="2.42578125" style="501" customWidth="1"/>
    <col min="13313" max="13313" width="8" style="501" customWidth="1"/>
    <col min="13314" max="13314" width="8.5703125" style="501" customWidth="1"/>
    <col min="13315" max="13315" width="8" style="501" customWidth="1"/>
    <col min="13316" max="13316" width="2.42578125" style="501" customWidth="1"/>
    <col min="13317" max="13317" width="9" style="501" customWidth="1"/>
    <col min="13318" max="13319" width="8" style="501" customWidth="1"/>
    <col min="13320" max="13320" width="2.42578125" style="501" customWidth="1"/>
    <col min="13321" max="13321" width="9.28515625" style="501" customWidth="1"/>
    <col min="13322" max="13323" width="8" style="501" customWidth="1"/>
    <col min="13324" max="13324" width="1.28515625" style="501" customWidth="1"/>
    <col min="13325" max="13325" width="8" style="501" customWidth="1"/>
    <col min="13326" max="13563" width="11.140625" style="501"/>
    <col min="13564" max="13564" width="19.42578125" style="501" customWidth="1"/>
    <col min="13565" max="13565" width="8.7109375" style="501" customWidth="1"/>
    <col min="13566" max="13567" width="8" style="501" customWidth="1"/>
    <col min="13568" max="13568" width="2.42578125" style="501" customWidth="1"/>
    <col min="13569" max="13569" width="8" style="501" customWidth="1"/>
    <col min="13570" max="13570" width="8.5703125" style="501" customWidth="1"/>
    <col min="13571" max="13571" width="8" style="501" customWidth="1"/>
    <col min="13572" max="13572" width="2.42578125" style="501" customWidth="1"/>
    <col min="13573" max="13573" width="9" style="501" customWidth="1"/>
    <col min="13574" max="13575" width="8" style="501" customWidth="1"/>
    <col min="13576" max="13576" width="2.42578125" style="501" customWidth="1"/>
    <col min="13577" max="13577" width="9.28515625" style="501" customWidth="1"/>
    <col min="13578" max="13579" width="8" style="501" customWidth="1"/>
    <col min="13580" max="13580" width="1.28515625" style="501" customWidth="1"/>
    <col min="13581" max="13581" width="8" style="501" customWidth="1"/>
    <col min="13582" max="13819" width="11.140625" style="501"/>
    <col min="13820" max="13820" width="19.42578125" style="501" customWidth="1"/>
    <col min="13821" max="13821" width="8.7109375" style="501" customWidth="1"/>
    <col min="13822" max="13823" width="8" style="501" customWidth="1"/>
    <col min="13824" max="13824" width="2.42578125" style="501" customWidth="1"/>
    <col min="13825" max="13825" width="8" style="501" customWidth="1"/>
    <col min="13826" max="13826" width="8.5703125" style="501" customWidth="1"/>
    <col min="13827" max="13827" width="8" style="501" customWidth="1"/>
    <col min="13828" max="13828" width="2.42578125" style="501" customWidth="1"/>
    <col min="13829" max="13829" width="9" style="501" customWidth="1"/>
    <col min="13830" max="13831" width="8" style="501" customWidth="1"/>
    <col min="13832" max="13832" width="2.42578125" style="501" customWidth="1"/>
    <col min="13833" max="13833" width="9.28515625" style="501" customWidth="1"/>
    <col min="13834" max="13835" width="8" style="501" customWidth="1"/>
    <col min="13836" max="13836" width="1.28515625" style="501" customWidth="1"/>
    <col min="13837" max="13837" width="8" style="501" customWidth="1"/>
    <col min="13838" max="14075" width="11.140625" style="501"/>
    <col min="14076" max="14076" width="19.42578125" style="501" customWidth="1"/>
    <col min="14077" max="14077" width="8.7109375" style="501" customWidth="1"/>
    <col min="14078" max="14079" width="8" style="501" customWidth="1"/>
    <col min="14080" max="14080" width="2.42578125" style="501" customWidth="1"/>
    <col min="14081" max="14081" width="8" style="501" customWidth="1"/>
    <col min="14082" max="14082" width="8.5703125" style="501" customWidth="1"/>
    <col min="14083" max="14083" width="8" style="501" customWidth="1"/>
    <col min="14084" max="14084" width="2.42578125" style="501" customWidth="1"/>
    <col min="14085" max="14085" width="9" style="501" customWidth="1"/>
    <col min="14086" max="14087" width="8" style="501" customWidth="1"/>
    <col min="14088" max="14088" width="2.42578125" style="501" customWidth="1"/>
    <col min="14089" max="14089" width="9.28515625" style="501" customWidth="1"/>
    <col min="14090" max="14091" width="8" style="501" customWidth="1"/>
    <col min="14092" max="14092" width="1.28515625" style="501" customWidth="1"/>
    <col min="14093" max="14093" width="8" style="501" customWidth="1"/>
    <col min="14094" max="14331" width="11.140625" style="501"/>
    <col min="14332" max="14332" width="19.42578125" style="501" customWidth="1"/>
    <col min="14333" max="14333" width="8.7109375" style="501" customWidth="1"/>
    <col min="14334" max="14335" width="8" style="501" customWidth="1"/>
    <col min="14336" max="14336" width="2.42578125" style="501" customWidth="1"/>
    <col min="14337" max="14337" width="8" style="501" customWidth="1"/>
    <col min="14338" max="14338" width="8.5703125" style="501" customWidth="1"/>
    <col min="14339" max="14339" width="8" style="501" customWidth="1"/>
    <col min="14340" max="14340" width="2.42578125" style="501" customWidth="1"/>
    <col min="14341" max="14341" width="9" style="501" customWidth="1"/>
    <col min="14342" max="14343" width="8" style="501" customWidth="1"/>
    <col min="14344" max="14344" width="2.42578125" style="501" customWidth="1"/>
    <col min="14345" max="14345" width="9.28515625" style="501" customWidth="1"/>
    <col min="14346" max="14347" width="8" style="501" customWidth="1"/>
    <col min="14348" max="14348" width="1.28515625" style="501" customWidth="1"/>
    <col min="14349" max="14349" width="8" style="501" customWidth="1"/>
    <col min="14350" max="14587" width="11.140625" style="501"/>
    <col min="14588" max="14588" width="19.42578125" style="501" customWidth="1"/>
    <col min="14589" max="14589" width="8.7109375" style="501" customWidth="1"/>
    <col min="14590" max="14591" width="8" style="501" customWidth="1"/>
    <col min="14592" max="14592" width="2.42578125" style="501" customWidth="1"/>
    <col min="14593" max="14593" width="8" style="501" customWidth="1"/>
    <col min="14594" max="14594" width="8.5703125" style="501" customWidth="1"/>
    <col min="14595" max="14595" width="8" style="501" customWidth="1"/>
    <col min="14596" max="14596" width="2.42578125" style="501" customWidth="1"/>
    <col min="14597" max="14597" width="9" style="501" customWidth="1"/>
    <col min="14598" max="14599" width="8" style="501" customWidth="1"/>
    <col min="14600" max="14600" width="2.42578125" style="501" customWidth="1"/>
    <col min="14601" max="14601" width="9.28515625" style="501" customWidth="1"/>
    <col min="14602" max="14603" width="8" style="501" customWidth="1"/>
    <col min="14604" max="14604" width="1.28515625" style="501" customWidth="1"/>
    <col min="14605" max="14605" width="8" style="501" customWidth="1"/>
    <col min="14606" max="14843" width="11.140625" style="501"/>
    <col min="14844" max="14844" width="19.42578125" style="501" customWidth="1"/>
    <col min="14845" max="14845" width="8.7109375" style="501" customWidth="1"/>
    <col min="14846" max="14847" width="8" style="501" customWidth="1"/>
    <col min="14848" max="14848" width="2.42578125" style="501" customWidth="1"/>
    <col min="14849" max="14849" width="8" style="501" customWidth="1"/>
    <col min="14850" max="14850" width="8.5703125" style="501" customWidth="1"/>
    <col min="14851" max="14851" width="8" style="501" customWidth="1"/>
    <col min="14852" max="14852" width="2.42578125" style="501" customWidth="1"/>
    <col min="14853" max="14853" width="9" style="501" customWidth="1"/>
    <col min="14854" max="14855" width="8" style="501" customWidth="1"/>
    <col min="14856" max="14856" width="2.42578125" style="501" customWidth="1"/>
    <col min="14857" max="14857" width="9.28515625" style="501" customWidth="1"/>
    <col min="14858" max="14859" width="8" style="501" customWidth="1"/>
    <col min="14860" max="14860" width="1.28515625" style="501" customWidth="1"/>
    <col min="14861" max="14861" width="8" style="501" customWidth="1"/>
    <col min="14862" max="15099" width="11.140625" style="501"/>
    <col min="15100" max="15100" width="19.42578125" style="501" customWidth="1"/>
    <col min="15101" max="15101" width="8.7109375" style="501" customWidth="1"/>
    <col min="15102" max="15103" width="8" style="501" customWidth="1"/>
    <col min="15104" max="15104" width="2.42578125" style="501" customWidth="1"/>
    <col min="15105" max="15105" width="8" style="501" customWidth="1"/>
    <col min="15106" max="15106" width="8.5703125" style="501" customWidth="1"/>
    <col min="15107" max="15107" width="8" style="501" customWidth="1"/>
    <col min="15108" max="15108" width="2.42578125" style="501" customWidth="1"/>
    <col min="15109" max="15109" width="9" style="501" customWidth="1"/>
    <col min="15110" max="15111" width="8" style="501" customWidth="1"/>
    <col min="15112" max="15112" width="2.42578125" style="501" customWidth="1"/>
    <col min="15113" max="15113" width="9.28515625" style="501" customWidth="1"/>
    <col min="15114" max="15115" width="8" style="501" customWidth="1"/>
    <col min="15116" max="15116" width="1.28515625" style="501" customWidth="1"/>
    <col min="15117" max="15117" width="8" style="501" customWidth="1"/>
    <col min="15118" max="15355" width="11.140625" style="501"/>
    <col min="15356" max="15356" width="19.42578125" style="501" customWidth="1"/>
    <col min="15357" max="15357" width="8.7109375" style="501" customWidth="1"/>
    <col min="15358" max="15359" width="8" style="501" customWidth="1"/>
    <col min="15360" max="15360" width="2.42578125" style="501" customWidth="1"/>
    <col min="15361" max="15361" width="8" style="501" customWidth="1"/>
    <col min="15362" max="15362" width="8.5703125" style="501" customWidth="1"/>
    <col min="15363" max="15363" width="8" style="501" customWidth="1"/>
    <col min="15364" max="15364" width="2.42578125" style="501" customWidth="1"/>
    <col min="15365" max="15365" width="9" style="501" customWidth="1"/>
    <col min="15366" max="15367" width="8" style="501" customWidth="1"/>
    <col min="15368" max="15368" width="2.42578125" style="501" customWidth="1"/>
    <col min="15369" max="15369" width="9.28515625" style="501" customWidth="1"/>
    <col min="15370" max="15371" width="8" style="501" customWidth="1"/>
    <col min="15372" max="15372" width="1.28515625" style="501" customWidth="1"/>
    <col min="15373" max="15373" width="8" style="501" customWidth="1"/>
    <col min="15374" max="15611" width="11.140625" style="501"/>
    <col min="15612" max="15612" width="19.42578125" style="501" customWidth="1"/>
    <col min="15613" max="15613" width="8.7109375" style="501" customWidth="1"/>
    <col min="15614" max="15615" width="8" style="501" customWidth="1"/>
    <col min="15616" max="15616" width="2.42578125" style="501" customWidth="1"/>
    <col min="15617" max="15617" width="8" style="501" customWidth="1"/>
    <col min="15618" max="15618" width="8.5703125" style="501" customWidth="1"/>
    <col min="15619" max="15619" width="8" style="501" customWidth="1"/>
    <col min="15620" max="15620" width="2.42578125" style="501" customWidth="1"/>
    <col min="15621" max="15621" width="9" style="501" customWidth="1"/>
    <col min="15622" max="15623" width="8" style="501" customWidth="1"/>
    <col min="15624" max="15624" width="2.42578125" style="501" customWidth="1"/>
    <col min="15625" max="15625" width="9.28515625" style="501" customWidth="1"/>
    <col min="15626" max="15627" width="8" style="501" customWidth="1"/>
    <col min="15628" max="15628" width="1.28515625" style="501" customWidth="1"/>
    <col min="15629" max="15629" width="8" style="501" customWidth="1"/>
    <col min="15630" max="15867" width="11.140625" style="501"/>
    <col min="15868" max="15868" width="19.42578125" style="501" customWidth="1"/>
    <col min="15869" max="15869" width="8.7109375" style="501" customWidth="1"/>
    <col min="15870" max="15871" width="8" style="501" customWidth="1"/>
    <col min="15872" max="15872" width="2.42578125" style="501" customWidth="1"/>
    <col min="15873" max="15873" width="8" style="501" customWidth="1"/>
    <col min="15874" max="15874" width="8.5703125" style="501" customWidth="1"/>
    <col min="15875" max="15875" width="8" style="501" customWidth="1"/>
    <col min="15876" max="15876" width="2.42578125" style="501" customWidth="1"/>
    <col min="15877" max="15877" width="9" style="501" customWidth="1"/>
    <col min="15878" max="15879" width="8" style="501" customWidth="1"/>
    <col min="15880" max="15880" width="2.42578125" style="501" customWidth="1"/>
    <col min="15881" max="15881" width="9.28515625" style="501" customWidth="1"/>
    <col min="15882" max="15883" width="8" style="501" customWidth="1"/>
    <col min="15884" max="15884" width="1.28515625" style="501" customWidth="1"/>
    <col min="15885" max="15885" width="8" style="501" customWidth="1"/>
    <col min="15886" max="16123" width="11.140625" style="501"/>
    <col min="16124" max="16124" width="19.42578125" style="501" customWidth="1"/>
    <col min="16125" max="16125" width="8.7109375" style="501" customWidth="1"/>
    <col min="16126" max="16127" width="8" style="501" customWidth="1"/>
    <col min="16128" max="16128" width="2.42578125" style="501" customWidth="1"/>
    <col min="16129" max="16129" width="8" style="501" customWidth="1"/>
    <col min="16130" max="16130" width="8.5703125" style="501" customWidth="1"/>
    <col min="16131" max="16131" width="8" style="501" customWidth="1"/>
    <col min="16132" max="16132" width="2.42578125" style="501" customWidth="1"/>
    <col min="16133" max="16133" width="9" style="501" customWidth="1"/>
    <col min="16134" max="16135" width="8" style="501" customWidth="1"/>
    <col min="16136" max="16136" width="2.42578125" style="501" customWidth="1"/>
    <col min="16137" max="16137" width="9.28515625" style="501" customWidth="1"/>
    <col min="16138" max="16139" width="8" style="501" customWidth="1"/>
    <col min="16140" max="16140" width="1.28515625" style="501" customWidth="1"/>
    <col min="16141" max="16141" width="8" style="501" customWidth="1"/>
    <col min="16142" max="16384" width="11.140625" style="501"/>
  </cols>
  <sheetData>
    <row r="3" spans="1:16" s="913" customFormat="1" ht="21">
      <c r="A3" s="1426" t="s">
        <v>1164</v>
      </c>
      <c r="B3" s="1426"/>
      <c r="C3" s="1426"/>
      <c r="D3" s="1426"/>
      <c r="E3" s="1426"/>
      <c r="F3" s="1426"/>
      <c r="G3" s="1426"/>
      <c r="H3" s="1426"/>
      <c r="I3" s="1426"/>
      <c r="J3" s="1426"/>
      <c r="K3" s="1426"/>
      <c r="L3" s="1426"/>
      <c r="M3" s="1426"/>
      <c r="N3" s="1426"/>
      <c r="O3" s="1426"/>
      <c r="P3" s="1426"/>
    </row>
    <row r="4" spans="1:16" s="914" customFormat="1" ht="15">
      <c r="A4" s="1427" t="s">
        <v>1163</v>
      </c>
      <c r="B4" s="1427"/>
      <c r="C4" s="1427"/>
      <c r="D4" s="1427"/>
      <c r="E4" s="1427"/>
      <c r="F4" s="1427"/>
      <c r="G4" s="1427"/>
      <c r="H4" s="1427"/>
      <c r="I4" s="1427"/>
      <c r="J4" s="1427"/>
      <c r="K4" s="1427"/>
      <c r="L4" s="1427"/>
      <c r="M4" s="1427"/>
      <c r="N4" s="1427"/>
      <c r="O4" s="1427"/>
      <c r="P4" s="1427"/>
    </row>
    <row r="5" spans="1:16">
      <c r="A5" s="502"/>
      <c r="B5" s="503"/>
      <c r="C5" s="503"/>
      <c r="D5" s="504"/>
      <c r="E5" s="504"/>
      <c r="F5" s="831"/>
      <c r="G5" s="831"/>
      <c r="H5" s="505"/>
      <c r="I5" s="504"/>
      <c r="J5" s="503"/>
      <c r="K5" s="503"/>
      <c r="L5" s="504"/>
      <c r="M5" s="504"/>
      <c r="N5" s="503"/>
      <c r="O5" s="503"/>
      <c r="P5" s="504"/>
    </row>
    <row r="6" spans="1:16" s="913" customFormat="1" ht="21.75" customHeight="1">
      <c r="A6" s="1428" t="s">
        <v>795</v>
      </c>
      <c r="B6" s="1431" t="s">
        <v>169</v>
      </c>
      <c r="C6" s="1431"/>
      <c r="D6" s="1431"/>
      <c r="E6" s="1432"/>
      <c r="F6" s="1431" t="s">
        <v>637</v>
      </c>
      <c r="G6" s="1431"/>
      <c r="H6" s="1431"/>
      <c r="I6" s="1431"/>
      <c r="J6" s="1433" t="s">
        <v>639</v>
      </c>
      <c r="K6" s="1431"/>
      <c r="L6" s="1431"/>
      <c r="M6" s="1432"/>
      <c r="N6" s="1431" t="s">
        <v>738</v>
      </c>
      <c r="O6" s="1431"/>
      <c r="P6" s="1431"/>
    </row>
    <row r="7" spans="1:16" s="1171" customFormat="1" ht="24" customHeight="1">
      <c r="A7" s="1429"/>
      <c r="B7" s="1175" t="s">
        <v>796</v>
      </c>
      <c r="C7" s="1175" t="s">
        <v>22</v>
      </c>
      <c r="D7" s="1175" t="s">
        <v>23</v>
      </c>
      <c r="E7" s="1176" t="s">
        <v>1156</v>
      </c>
      <c r="F7" s="1175" t="s">
        <v>21</v>
      </c>
      <c r="G7" s="1175" t="s">
        <v>22</v>
      </c>
      <c r="H7" s="1175" t="s">
        <v>23</v>
      </c>
      <c r="I7" s="1176" t="s">
        <v>1156</v>
      </c>
      <c r="J7" s="1177" t="s">
        <v>21</v>
      </c>
      <c r="K7" s="1175" t="s">
        <v>22</v>
      </c>
      <c r="L7" s="1175" t="s">
        <v>23</v>
      </c>
      <c r="M7" s="1176" t="s">
        <v>1156</v>
      </c>
      <c r="N7" s="1175" t="s">
        <v>21</v>
      </c>
      <c r="O7" s="1175" t="s">
        <v>22</v>
      </c>
      <c r="P7" s="1175" t="s">
        <v>23</v>
      </c>
    </row>
    <row r="8" spans="1:16" s="914" customFormat="1" ht="17.25" customHeight="1">
      <c r="A8" s="502" t="s">
        <v>799</v>
      </c>
      <c r="B8" s="1172">
        <f t="shared" ref="B8:I8" si="0">SUM(B13:B29)</f>
        <v>1554</v>
      </c>
      <c r="C8" s="1172">
        <f t="shared" si="0"/>
        <v>927</v>
      </c>
      <c r="D8" s="1172">
        <f t="shared" si="0"/>
        <v>623</v>
      </c>
      <c r="E8" s="1173">
        <f t="shared" si="0"/>
        <v>4</v>
      </c>
      <c r="F8" s="1172">
        <f t="shared" si="0"/>
        <v>914</v>
      </c>
      <c r="G8" s="1172">
        <f t="shared" si="0"/>
        <v>521</v>
      </c>
      <c r="H8" s="1172">
        <f t="shared" si="0"/>
        <v>391</v>
      </c>
      <c r="I8" s="1172">
        <f t="shared" si="0"/>
        <v>2</v>
      </c>
      <c r="J8" s="1174">
        <f t="shared" ref="J8:P8" si="1">SUM(J13:J29)</f>
        <v>639</v>
      </c>
      <c r="K8" s="1172">
        <f t="shared" si="1"/>
        <v>406</v>
      </c>
      <c r="L8" s="1172">
        <f t="shared" si="1"/>
        <v>231</v>
      </c>
      <c r="M8" s="1173">
        <f t="shared" si="1"/>
        <v>2</v>
      </c>
      <c r="N8" s="1172">
        <f t="shared" si="1"/>
        <v>1</v>
      </c>
      <c r="O8" s="1172">
        <f t="shared" si="1"/>
        <v>0</v>
      </c>
      <c r="P8" s="1172">
        <f t="shared" si="1"/>
        <v>1</v>
      </c>
    </row>
    <row r="9" spans="1:16" s="1240" customFormat="1" ht="17.25" customHeight="1">
      <c r="A9" s="1168" t="s">
        <v>787</v>
      </c>
      <c r="B9" s="1169">
        <f>SUM(C9:E9)</f>
        <v>65</v>
      </c>
      <c r="C9" s="1169">
        <f t="shared" ref="C9:E23" si="2">G9+K9+O9</f>
        <v>39</v>
      </c>
      <c r="D9" s="1169">
        <f t="shared" si="2"/>
        <v>22</v>
      </c>
      <c r="E9" s="1233">
        <f t="shared" si="2"/>
        <v>4</v>
      </c>
      <c r="F9" s="1169">
        <f>SUM(G9:I9)</f>
        <v>54</v>
      </c>
      <c r="G9" s="1234">
        <v>33</v>
      </c>
      <c r="H9" s="1234">
        <v>19</v>
      </c>
      <c r="I9" s="1233">
        <f t="shared" ref="I9:I12" si="3">M9+Q9+U9</f>
        <v>2</v>
      </c>
      <c r="J9" s="1170">
        <f>SUM(K9:M9)</f>
        <v>11</v>
      </c>
      <c r="K9" s="1234">
        <v>6</v>
      </c>
      <c r="L9" s="1234">
        <v>3</v>
      </c>
      <c r="M9" s="1235">
        <v>2</v>
      </c>
      <c r="N9" s="1169">
        <f t="shared" ref="N9:N29" si="4">SUM(O9:P9)</f>
        <v>0</v>
      </c>
      <c r="O9" s="1234">
        <v>0</v>
      </c>
      <c r="P9" s="1234">
        <v>0</v>
      </c>
    </row>
    <row r="10" spans="1:16" s="1240" customFormat="1" ht="17.25" customHeight="1">
      <c r="A10" s="1168" t="s">
        <v>789</v>
      </c>
      <c r="B10" s="1169">
        <f>SUM(C10:E10)</f>
        <v>10</v>
      </c>
      <c r="C10" s="1169">
        <f t="shared" si="2"/>
        <v>5</v>
      </c>
      <c r="D10" s="1169">
        <f t="shared" si="2"/>
        <v>5</v>
      </c>
      <c r="E10" s="1233">
        <f t="shared" si="2"/>
        <v>0</v>
      </c>
      <c r="F10" s="1169">
        <f>SUM(G10:I10)</f>
        <v>9</v>
      </c>
      <c r="G10" s="1234">
        <v>4</v>
      </c>
      <c r="H10" s="1234">
        <v>5</v>
      </c>
      <c r="I10" s="1233">
        <f t="shared" si="3"/>
        <v>0</v>
      </c>
      <c r="J10" s="1170">
        <f>SUM(K10:L10)</f>
        <v>1</v>
      </c>
      <c r="K10" s="1234">
        <v>1</v>
      </c>
      <c r="L10" s="1234">
        <v>0</v>
      </c>
      <c r="M10" s="1235">
        <v>0</v>
      </c>
      <c r="N10" s="1169">
        <f t="shared" si="4"/>
        <v>0</v>
      </c>
      <c r="O10" s="1234">
        <v>0</v>
      </c>
      <c r="P10" s="1234">
        <v>0</v>
      </c>
    </row>
    <row r="11" spans="1:16" s="1240" customFormat="1" ht="17.25" customHeight="1">
      <c r="A11" s="1168" t="s">
        <v>800</v>
      </c>
      <c r="B11" s="1169">
        <f>SUM(C11:E11)</f>
        <v>23</v>
      </c>
      <c r="C11" s="1169">
        <f t="shared" si="2"/>
        <v>15</v>
      </c>
      <c r="D11" s="1169">
        <f t="shared" si="2"/>
        <v>8</v>
      </c>
      <c r="E11" s="1233">
        <f t="shared" si="2"/>
        <v>0</v>
      </c>
      <c r="F11" s="1169">
        <f>SUM(G11:I11)</f>
        <v>16</v>
      </c>
      <c r="G11" s="1234">
        <v>9</v>
      </c>
      <c r="H11" s="1234">
        <v>7</v>
      </c>
      <c r="I11" s="1233">
        <f t="shared" si="3"/>
        <v>0</v>
      </c>
      <c r="J11" s="1170">
        <f>SUM(K11:L11)</f>
        <v>7</v>
      </c>
      <c r="K11" s="1234">
        <v>6</v>
      </c>
      <c r="L11" s="1234">
        <v>1</v>
      </c>
      <c r="M11" s="1235">
        <v>0</v>
      </c>
      <c r="N11" s="1169">
        <f t="shared" si="4"/>
        <v>0</v>
      </c>
      <c r="O11" s="1234">
        <v>0</v>
      </c>
      <c r="P11" s="1234">
        <v>0</v>
      </c>
    </row>
    <row r="12" spans="1:16" s="1240" customFormat="1" ht="17.25" customHeight="1">
      <c r="A12" s="1168" t="s">
        <v>752</v>
      </c>
      <c r="B12" s="1169">
        <f>SUM(C12:E12)</f>
        <v>1</v>
      </c>
      <c r="C12" s="1169">
        <f t="shared" si="2"/>
        <v>1</v>
      </c>
      <c r="D12" s="1169">
        <f t="shared" si="2"/>
        <v>0</v>
      </c>
      <c r="E12" s="1233">
        <f t="shared" si="2"/>
        <v>0</v>
      </c>
      <c r="F12" s="1169">
        <f>SUM(G12:I12)</f>
        <v>0</v>
      </c>
      <c r="G12" s="1234">
        <v>0</v>
      </c>
      <c r="H12" s="1234">
        <v>0</v>
      </c>
      <c r="I12" s="1233">
        <f t="shared" si="3"/>
        <v>0</v>
      </c>
      <c r="J12" s="1170">
        <f>SUM(K12:M12)</f>
        <v>1</v>
      </c>
      <c r="K12" s="1234">
        <v>1</v>
      </c>
      <c r="L12" s="1234">
        <v>0</v>
      </c>
      <c r="M12" s="1235">
        <v>0</v>
      </c>
      <c r="N12" s="1169">
        <f t="shared" si="4"/>
        <v>0</v>
      </c>
      <c r="O12" s="1234">
        <v>0</v>
      </c>
      <c r="P12" s="1234">
        <v>0</v>
      </c>
    </row>
    <row r="13" spans="1:16" s="914" customFormat="1" ht="17.25" customHeight="1">
      <c r="A13" s="1168" t="s">
        <v>136</v>
      </c>
      <c r="B13" s="1172">
        <f>SUM(C13:E13)</f>
        <v>99</v>
      </c>
      <c r="C13" s="1236">
        <f>SUM(C9:C12)</f>
        <v>60</v>
      </c>
      <c r="D13" s="1236">
        <f>SUM(D9:D12)</f>
        <v>35</v>
      </c>
      <c r="E13" s="1173">
        <f t="shared" si="2"/>
        <v>4</v>
      </c>
      <c r="F13" s="1172">
        <f>SUM(G13:I13)</f>
        <v>79</v>
      </c>
      <c r="G13" s="1236">
        <f>SUM(G9:G12)</f>
        <v>46</v>
      </c>
      <c r="H13" s="1236">
        <f>SUM(H9:H12)</f>
        <v>31</v>
      </c>
      <c r="I13" s="1236">
        <f>SUM(I9:I12)</f>
        <v>2</v>
      </c>
      <c r="J13" s="1174">
        <f>SUM(K13:M13)</f>
        <v>20</v>
      </c>
      <c r="K13" s="1236">
        <f>SUM(K9:K12)</f>
        <v>14</v>
      </c>
      <c r="L13" s="1236">
        <f>SUM(L9:L12)</f>
        <v>4</v>
      </c>
      <c r="M13" s="1237">
        <f>SUM(M9:M12)</f>
        <v>2</v>
      </c>
      <c r="N13" s="1172">
        <f t="shared" si="4"/>
        <v>0</v>
      </c>
      <c r="O13" s="1236">
        <f>SUM(O9:O12)</f>
        <v>0</v>
      </c>
      <c r="P13" s="1236">
        <f>SUM(P9:P12)</f>
        <v>0</v>
      </c>
    </row>
    <row r="14" spans="1:16" s="1240" customFormat="1" ht="17.25" customHeight="1">
      <c r="A14" s="1241" t="s">
        <v>138</v>
      </c>
      <c r="B14" s="1169">
        <f t="shared" ref="B14:B29" si="5">SUM(C14:E14)</f>
        <v>7</v>
      </c>
      <c r="C14" s="1169">
        <f t="shared" ref="C14:E29" si="6">G14+K14+O14</f>
        <v>3</v>
      </c>
      <c r="D14" s="1169">
        <f t="shared" si="6"/>
        <v>4</v>
      </c>
      <c r="E14" s="1233">
        <f t="shared" si="2"/>
        <v>0</v>
      </c>
      <c r="F14" s="1169">
        <f t="shared" ref="F14:F28" si="7">SUM(G14:H14)</f>
        <v>2</v>
      </c>
      <c r="G14" s="1234">
        <v>0</v>
      </c>
      <c r="H14" s="1234">
        <v>2</v>
      </c>
      <c r="I14" s="1233">
        <f t="shared" ref="I14:I29" si="8">M14+Q14+U14</f>
        <v>0</v>
      </c>
      <c r="J14" s="1170">
        <f t="shared" ref="J14:J29" si="9">SUM(K14:L14)</f>
        <v>5</v>
      </c>
      <c r="K14" s="1234">
        <v>3</v>
      </c>
      <c r="L14" s="1234">
        <v>2</v>
      </c>
      <c r="M14" s="1233">
        <f t="shared" ref="M14:M29" si="10">Q14+U14+Y14</f>
        <v>0</v>
      </c>
      <c r="N14" s="1169">
        <f t="shared" si="4"/>
        <v>0</v>
      </c>
      <c r="O14" s="1234">
        <v>0</v>
      </c>
      <c r="P14" s="1234">
        <v>0</v>
      </c>
    </row>
    <row r="15" spans="1:16" s="1240" customFormat="1" ht="17.25" customHeight="1">
      <c r="A15" s="1241" t="s">
        <v>135</v>
      </c>
      <c r="B15" s="1169">
        <f t="shared" si="5"/>
        <v>5</v>
      </c>
      <c r="C15" s="1169">
        <f t="shared" si="6"/>
        <v>1</v>
      </c>
      <c r="D15" s="1169">
        <f t="shared" si="6"/>
        <v>4</v>
      </c>
      <c r="E15" s="1233">
        <f t="shared" si="2"/>
        <v>0</v>
      </c>
      <c r="F15" s="1169">
        <f t="shared" si="7"/>
        <v>2</v>
      </c>
      <c r="G15" s="1234">
        <v>0</v>
      </c>
      <c r="H15" s="1234">
        <v>2</v>
      </c>
      <c r="I15" s="1233">
        <f t="shared" si="8"/>
        <v>0</v>
      </c>
      <c r="J15" s="1170">
        <f t="shared" si="9"/>
        <v>3</v>
      </c>
      <c r="K15" s="1234">
        <v>1</v>
      </c>
      <c r="L15" s="1234">
        <v>2</v>
      </c>
      <c r="M15" s="1233">
        <f t="shared" si="10"/>
        <v>0</v>
      </c>
      <c r="N15" s="1169">
        <f t="shared" si="4"/>
        <v>0</v>
      </c>
      <c r="O15" s="1234">
        <v>0</v>
      </c>
      <c r="P15" s="1234">
        <v>0</v>
      </c>
    </row>
    <row r="16" spans="1:16" s="1240" customFormat="1" ht="17.25" customHeight="1">
      <c r="A16" s="1241" t="s">
        <v>137</v>
      </c>
      <c r="B16" s="1169">
        <f t="shared" si="5"/>
        <v>7</v>
      </c>
      <c r="C16" s="1169">
        <f t="shared" si="6"/>
        <v>3</v>
      </c>
      <c r="D16" s="1169">
        <f>H16+L16+P16</f>
        <v>4</v>
      </c>
      <c r="E16" s="1233">
        <f t="shared" si="2"/>
        <v>0</v>
      </c>
      <c r="F16" s="1169">
        <f t="shared" si="7"/>
        <v>5</v>
      </c>
      <c r="G16" s="1234">
        <v>2</v>
      </c>
      <c r="H16" s="1234">
        <v>3</v>
      </c>
      <c r="I16" s="1233">
        <f t="shared" si="8"/>
        <v>0</v>
      </c>
      <c r="J16" s="1170">
        <f t="shared" si="9"/>
        <v>2</v>
      </c>
      <c r="K16" s="1234">
        <v>1</v>
      </c>
      <c r="L16" s="1169">
        <v>1</v>
      </c>
      <c r="M16" s="1233">
        <f t="shared" si="10"/>
        <v>0</v>
      </c>
      <c r="N16" s="1169">
        <f t="shared" si="4"/>
        <v>0</v>
      </c>
      <c r="O16" s="1234">
        <v>0</v>
      </c>
      <c r="P16" s="1234">
        <v>0</v>
      </c>
    </row>
    <row r="17" spans="1:16" s="1240" customFormat="1" ht="17.25" customHeight="1">
      <c r="A17" s="1241" t="s">
        <v>139</v>
      </c>
      <c r="B17" s="1169">
        <f t="shared" si="5"/>
        <v>9</v>
      </c>
      <c r="C17" s="1169">
        <f>G17+K17+O17</f>
        <v>7</v>
      </c>
      <c r="D17" s="1169">
        <f>H17+L17+P17</f>
        <v>2</v>
      </c>
      <c r="E17" s="1233">
        <f t="shared" si="2"/>
        <v>0</v>
      </c>
      <c r="F17" s="1169">
        <f t="shared" si="7"/>
        <v>3</v>
      </c>
      <c r="G17" s="1234">
        <v>1</v>
      </c>
      <c r="H17" s="1234">
        <v>2</v>
      </c>
      <c r="I17" s="1233">
        <f t="shared" si="8"/>
        <v>0</v>
      </c>
      <c r="J17" s="1170">
        <f>SUM(K17:L17)</f>
        <v>6</v>
      </c>
      <c r="K17" s="1234">
        <v>6</v>
      </c>
      <c r="L17" s="1234">
        <v>0</v>
      </c>
      <c r="M17" s="1233">
        <f t="shared" si="10"/>
        <v>0</v>
      </c>
      <c r="N17" s="1169">
        <f t="shared" si="4"/>
        <v>0</v>
      </c>
      <c r="O17" s="1234">
        <v>0</v>
      </c>
      <c r="P17" s="1234">
        <v>0</v>
      </c>
    </row>
    <row r="18" spans="1:16" s="1240" customFormat="1" ht="17.25" customHeight="1">
      <c r="A18" s="1241" t="s">
        <v>141</v>
      </c>
      <c r="B18" s="1169">
        <f t="shared" si="5"/>
        <v>18</v>
      </c>
      <c r="C18" s="1169">
        <f t="shared" si="6"/>
        <v>16</v>
      </c>
      <c r="D18" s="1169">
        <f t="shared" si="6"/>
        <v>2</v>
      </c>
      <c r="E18" s="1233">
        <f t="shared" si="2"/>
        <v>0</v>
      </c>
      <c r="F18" s="1169">
        <f t="shared" si="7"/>
        <v>12</v>
      </c>
      <c r="G18" s="1234">
        <v>10</v>
      </c>
      <c r="H18" s="1234">
        <v>2</v>
      </c>
      <c r="I18" s="1233">
        <f t="shared" si="8"/>
        <v>0</v>
      </c>
      <c r="J18" s="1170">
        <f t="shared" si="9"/>
        <v>6</v>
      </c>
      <c r="K18" s="1234">
        <v>6</v>
      </c>
      <c r="L18" s="1234">
        <v>0</v>
      </c>
      <c r="M18" s="1233">
        <f t="shared" si="10"/>
        <v>0</v>
      </c>
      <c r="N18" s="1169">
        <f t="shared" si="4"/>
        <v>0</v>
      </c>
      <c r="O18" s="1234">
        <v>0</v>
      </c>
      <c r="P18" s="1234">
        <v>0</v>
      </c>
    </row>
    <row r="19" spans="1:16" s="1240" customFormat="1" ht="17.25" customHeight="1">
      <c r="A19" s="1241" t="s">
        <v>1116</v>
      </c>
      <c r="B19" s="1169">
        <f t="shared" si="5"/>
        <v>22</v>
      </c>
      <c r="C19" s="1169">
        <f t="shared" si="6"/>
        <v>15</v>
      </c>
      <c r="D19" s="1169">
        <f t="shared" si="6"/>
        <v>7</v>
      </c>
      <c r="E19" s="1233">
        <f t="shared" si="2"/>
        <v>0</v>
      </c>
      <c r="F19" s="1169">
        <f t="shared" si="7"/>
        <v>17</v>
      </c>
      <c r="G19" s="1234">
        <v>11</v>
      </c>
      <c r="H19" s="1169">
        <v>6</v>
      </c>
      <c r="I19" s="1233">
        <f t="shared" si="8"/>
        <v>0</v>
      </c>
      <c r="J19" s="1170">
        <f t="shared" si="9"/>
        <v>5</v>
      </c>
      <c r="K19" s="1234">
        <v>4</v>
      </c>
      <c r="L19" s="1234">
        <v>1</v>
      </c>
      <c r="M19" s="1233">
        <f t="shared" si="10"/>
        <v>0</v>
      </c>
      <c r="N19" s="1169">
        <f t="shared" si="4"/>
        <v>0</v>
      </c>
      <c r="O19" s="1234">
        <v>0</v>
      </c>
      <c r="P19" s="1234">
        <v>0</v>
      </c>
    </row>
    <row r="20" spans="1:16" s="1240" customFormat="1" ht="17.25" customHeight="1">
      <c r="A20" s="1241" t="s">
        <v>144</v>
      </c>
      <c r="B20" s="1169">
        <f t="shared" si="5"/>
        <v>32</v>
      </c>
      <c r="C20" s="1169">
        <f t="shared" si="6"/>
        <v>25</v>
      </c>
      <c r="D20" s="1169">
        <f t="shared" si="6"/>
        <v>7</v>
      </c>
      <c r="E20" s="1233">
        <f t="shared" si="2"/>
        <v>0</v>
      </c>
      <c r="F20" s="1169">
        <f t="shared" si="7"/>
        <v>20</v>
      </c>
      <c r="G20" s="1234">
        <v>13</v>
      </c>
      <c r="H20" s="1234">
        <v>7</v>
      </c>
      <c r="I20" s="1233">
        <f t="shared" si="8"/>
        <v>0</v>
      </c>
      <c r="J20" s="1170">
        <f t="shared" si="9"/>
        <v>12</v>
      </c>
      <c r="K20" s="1234">
        <v>12</v>
      </c>
      <c r="L20" s="1234">
        <v>0</v>
      </c>
      <c r="M20" s="1233">
        <f t="shared" si="10"/>
        <v>0</v>
      </c>
      <c r="N20" s="1169">
        <f t="shared" si="4"/>
        <v>0</v>
      </c>
      <c r="O20" s="1234">
        <v>0</v>
      </c>
      <c r="P20" s="1234">
        <v>0</v>
      </c>
    </row>
    <row r="21" spans="1:16" s="1240" customFormat="1" ht="17.25" customHeight="1">
      <c r="A21" s="1241" t="s">
        <v>145</v>
      </c>
      <c r="B21" s="1169">
        <f t="shared" si="5"/>
        <v>23</v>
      </c>
      <c r="C21" s="1169">
        <f t="shared" si="6"/>
        <v>21</v>
      </c>
      <c r="D21" s="1169">
        <f t="shared" si="6"/>
        <v>2</v>
      </c>
      <c r="E21" s="1233">
        <f t="shared" si="2"/>
        <v>0</v>
      </c>
      <c r="F21" s="1169">
        <f t="shared" si="7"/>
        <v>18</v>
      </c>
      <c r="G21" s="1234">
        <v>16</v>
      </c>
      <c r="H21" s="1234">
        <v>2</v>
      </c>
      <c r="I21" s="1233">
        <f t="shared" si="8"/>
        <v>0</v>
      </c>
      <c r="J21" s="1170">
        <f t="shared" si="9"/>
        <v>5</v>
      </c>
      <c r="K21" s="1234">
        <v>5</v>
      </c>
      <c r="L21" s="1234">
        <v>0</v>
      </c>
      <c r="M21" s="1233">
        <f t="shared" si="10"/>
        <v>0</v>
      </c>
      <c r="N21" s="1169">
        <f t="shared" si="4"/>
        <v>0</v>
      </c>
      <c r="O21" s="1234">
        <v>0</v>
      </c>
      <c r="P21" s="1234">
        <v>0</v>
      </c>
    </row>
    <row r="22" spans="1:16" s="1240" customFormat="1" ht="17.25" customHeight="1">
      <c r="A22" s="1241" t="s">
        <v>1117</v>
      </c>
      <c r="B22" s="1169">
        <f t="shared" si="5"/>
        <v>40</v>
      </c>
      <c r="C22" s="1169">
        <f t="shared" si="6"/>
        <v>24</v>
      </c>
      <c r="D22" s="1169">
        <f t="shared" si="6"/>
        <v>16</v>
      </c>
      <c r="E22" s="1233">
        <f t="shared" si="2"/>
        <v>0</v>
      </c>
      <c r="F22" s="1169">
        <f t="shared" si="7"/>
        <v>27</v>
      </c>
      <c r="G22" s="1234">
        <v>15</v>
      </c>
      <c r="H22" s="1234">
        <v>12</v>
      </c>
      <c r="I22" s="1233">
        <f t="shared" si="8"/>
        <v>0</v>
      </c>
      <c r="J22" s="1170">
        <f t="shared" si="9"/>
        <v>13</v>
      </c>
      <c r="K22" s="1234">
        <v>9</v>
      </c>
      <c r="L22" s="1234">
        <v>4</v>
      </c>
      <c r="M22" s="1233">
        <f t="shared" si="10"/>
        <v>0</v>
      </c>
      <c r="N22" s="1169">
        <f t="shared" si="4"/>
        <v>0</v>
      </c>
      <c r="O22" s="1234">
        <v>0</v>
      </c>
      <c r="P22" s="1234">
        <v>0</v>
      </c>
    </row>
    <row r="23" spans="1:16" s="1240" customFormat="1" ht="17.25" customHeight="1">
      <c r="A23" s="1241" t="s">
        <v>147</v>
      </c>
      <c r="B23" s="1169">
        <f t="shared" si="5"/>
        <v>45</v>
      </c>
      <c r="C23" s="1169">
        <f t="shared" si="6"/>
        <v>35</v>
      </c>
      <c r="D23" s="1169">
        <f t="shared" si="6"/>
        <v>10</v>
      </c>
      <c r="E23" s="1233">
        <f t="shared" si="2"/>
        <v>0</v>
      </c>
      <c r="F23" s="1169">
        <f t="shared" si="7"/>
        <v>30</v>
      </c>
      <c r="G23" s="1234">
        <v>23</v>
      </c>
      <c r="H23" s="1234">
        <v>7</v>
      </c>
      <c r="I23" s="1233">
        <f t="shared" si="8"/>
        <v>0</v>
      </c>
      <c r="J23" s="1170">
        <f t="shared" si="9"/>
        <v>15</v>
      </c>
      <c r="K23" s="1234">
        <v>12</v>
      </c>
      <c r="L23" s="1234">
        <v>3</v>
      </c>
      <c r="M23" s="1233">
        <f t="shared" si="10"/>
        <v>0</v>
      </c>
      <c r="N23" s="1169">
        <f t="shared" si="4"/>
        <v>0</v>
      </c>
      <c r="O23" s="1234">
        <v>0</v>
      </c>
      <c r="P23" s="1234">
        <v>0</v>
      </c>
    </row>
    <row r="24" spans="1:16" s="1240" customFormat="1" ht="17.25" customHeight="1">
      <c r="A24" s="1241" t="s">
        <v>148</v>
      </c>
      <c r="B24" s="1169">
        <f t="shared" si="5"/>
        <v>54</v>
      </c>
      <c r="C24" s="1169">
        <f t="shared" si="6"/>
        <v>38</v>
      </c>
      <c r="D24" s="1169">
        <f t="shared" si="6"/>
        <v>16</v>
      </c>
      <c r="E24" s="1233">
        <f t="shared" si="6"/>
        <v>0</v>
      </c>
      <c r="F24" s="1169">
        <f t="shared" si="7"/>
        <v>39</v>
      </c>
      <c r="G24" s="1234">
        <v>29</v>
      </c>
      <c r="H24" s="1234">
        <v>10</v>
      </c>
      <c r="I24" s="1233">
        <f t="shared" si="8"/>
        <v>0</v>
      </c>
      <c r="J24" s="1170">
        <f t="shared" si="9"/>
        <v>15</v>
      </c>
      <c r="K24" s="1234">
        <v>9</v>
      </c>
      <c r="L24" s="1234">
        <v>6</v>
      </c>
      <c r="M24" s="1233">
        <f t="shared" si="10"/>
        <v>0</v>
      </c>
      <c r="N24" s="1169">
        <f t="shared" si="4"/>
        <v>0</v>
      </c>
      <c r="O24" s="1234">
        <v>0</v>
      </c>
      <c r="P24" s="1234">
        <v>0</v>
      </c>
    </row>
    <row r="25" spans="1:16" s="1240" customFormat="1" ht="17.25" customHeight="1">
      <c r="A25" s="1241" t="s">
        <v>149</v>
      </c>
      <c r="B25" s="1169">
        <f t="shared" si="5"/>
        <v>83</v>
      </c>
      <c r="C25" s="1169">
        <f t="shared" si="6"/>
        <v>45</v>
      </c>
      <c r="D25" s="1169">
        <f t="shared" si="6"/>
        <v>38</v>
      </c>
      <c r="E25" s="1233">
        <f t="shared" si="6"/>
        <v>0</v>
      </c>
      <c r="F25" s="1169">
        <f t="shared" si="7"/>
        <v>62</v>
      </c>
      <c r="G25" s="1234">
        <v>33</v>
      </c>
      <c r="H25" s="1234">
        <v>29</v>
      </c>
      <c r="I25" s="1233">
        <f t="shared" si="8"/>
        <v>0</v>
      </c>
      <c r="J25" s="1170">
        <f t="shared" si="9"/>
        <v>21</v>
      </c>
      <c r="K25" s="1234">
        <v>12</v>
      </c>
      <c r="L25" s="1234">
        <v>9</v>
      </c>
      <c r="M25" s="1233">
        <f t="shared" si="10"/>
        <v>0</v>
      </c>
      <c r="N25" s="1169">
        <f t="shared" si="4"/>
        <v>0</v>
      </c>
      <c r="O25" s="1234">
        <v>0</v>
      </c>
      <c r="P25" s="1234">
        <v>0</v>
      </c>
    </row>
    <row r="26" spans="1:16" s="1240" customFormat="1" ht="17.25" customHeight="1">
      <c r="A26" s="1241" t="s">
        <v>150</v>
      </c>
      <c r="B26" s="1169">
        <f t="shared" si="5"/>
        <v>122</v>
      </c>
      <c r="C26" s="1169">
        <f t="shared" si="6"/>
        <v>66</v>
      </c>
      <c r="D26" s="1169">
        <f t="shared" si="6"/>
        <v>56</v>
      </c>
      <c r="E26" s="1233">
        <f t="shared" si="6"/>
        <v>0</v>
      </c>
      <c r="F26" s="1169">
        <f t="shared" si="7"/>
        <v>90</v>
      </c>
      <c r="G26" s="1169">
        <v>45</v>
      </c>
      <c r="H26" s="1234">
        <v>45</v>
      </c>
      <c r="I26" s="1233">
        <f t="shared" si="8"/>
        <v>0</v>
      </c>
      <c r="J26" s="1170">
        <f t="shared" si="9"/>
        <v>32</v>
      </c>
      <c r="K26" s="1169">
        <v>21</v>
      </c>
      <c r="L26" s="1234">
        <v>11</v>
      </c>
      <c r="M26" s="1233">
        <f t="shared" si="10"/>
        <v>0</v>
      </c>
      <c r="N26" s="1169">
        <f t="shared" si="4"/>
        <v>0</v>
      </c>
      <c r="O26" s="1234">
        <v>0</v>
      </c>
      <c r="P26" s="1234">
        <v>0</v>
      </c>
    </row>
    <row r="27" spans="1:16" s="1240" customFormat="1" ht="17.25" customHeight="1">
      <c r="A27" s="1241" t="s">
        <v>151</v>
      </c>
      <c r="B27" s="1169">
        <f t="shared" si="5"/>
        <v>106</v>
      </c>
      <c r="C27" s="1169">
        <f t="shared" si="6"/>
        <v>61</v>
      </c>
      <c r="D27" s="1169">
        <f t="shared" si="6"/>
        <v>45</v>
      </c>
      <c r="E27" s="1233">
        <f t="shared" si="6"/>
        <v>0</v>
      </c>
      <c r="F27" s="1169">
        <f t="shared" si="7"/>
        <v>67</v>
      </c>
      <c r="G27" s="1234">
        <v>39</v>
      </c>
      <c r="H27" s="1234">
        <v>28</v>
      </c>
      <c r="I27" s="1233">
        <f t="shared" si="8"/>
        <v>0</v>
      </c>
      <c r="J27" s="1170">
        <f t="shared" si="9"/>
        <v>39</v>
      </c>
      <c r="K27" s="1234">
        <v>22</v>
      </c>
      <c r="L27" s="1169">
        <v>17</v>
      </c>
      <c r="M27" s="1233">
        <f t="shared" si="10"/>
        <v>0</v>
      </c>
      <c r="N27" s="1169">
        <f t="shared" si="4"/>
        <v>0</v>
      </c>
      <c r="O27" s="1234">
        <v>0</v>
      </c>
      <c r="P27" s="1234">
        <v>0</v>
      </c>
    </row>
    <row r="28" spans="1:16" s="1240" customFormat="1" ht="17.25" customHeight="1">
      <c r="A28" s="1241" t="s">
        <v>1118</v>
      </c>
      <c r="B28" s="1169">
        <f t="shared" si="5"/>
        <v>873</v>
      </c>
      <c r="C28" s="1169">
        <f t="shared" si="6"/>
        <v>498</v>
      </c>
      <c r="D28" s="1169">
        <f t="shared" si="6"/>
        <v>375</v>
      </c>
      <c r="E28" s="1233">
        <f t="shared" si="6"/>
        <v>0</v>
      </c>
      <c r="F28" s="1169">
        <f t="shared" si="7"/>
        <v>432</v>
      </c>
      <c r="G28" s="1169">
        <v>229</v>
      </c>
      <c r="H28" s="1169">
        <v>203</v>
      </c>
      <c r="I28" s="1233">
        <f t="shared" si="8"/>
        <v>0</v>
      </c>
      <c r="J28" s="1170">
        <f t="shared" si="9"/>
        <v>440</v>
      </c>
      <c r="K28" s="1169">
        <v>269</v>
      </c>
      <c r="L28" s="1234">
        <v>171</v>
      </c>
      <c r="M28" s="1233">
        <f t="shared" si="10"/>
        <v>0</v>
      </c>
      <c r="N28" s="1169">
        <f t="shared" si="4"/>
        <v>1</v>
      </c>
      <c r="O28" s="1234">
        <v>0</v>
      </c>
      <c r="P28" s="1234">
        <v>1</v>
      </c>
    </row>
    <row r="29" spans="1:16" s="1240" customFormat="1" ht="17.25" customHeight="1">
      <c r="A29" s="1168" t="s">
        <v>752</v>
      </c>
      <c r="B29" s="1178">
        <f t="shared" si="5"/>
        <v>9</v>
      </c>
      <c r="C29" s="1178">
        <f t="shared" si="6"/>
        <v>9</v>
      </c>
      <c r="D29" s="1178">
        <f t="shared" si="6"/>
        <v>0</v>
      </c>
      <c r="E29" s="1238">
        <v>0</v>
      </c>
      <c r="F29" s="1178">
        <f>SUM(G29:I29)</f>
        <v>9</v>
      </c>
      <c r="G29" s="1178">
        <v>9</v>
      </c>
      <c r="H29" s="1239">
        <v>0</v>
      </c>
      <c r="I29" s="1233">
        <f t="shared" si="8"/>
        <v>0</v>
      </c>
      <c r="J29" s="1179">
        <f t="shared" si="9"/>
        <v>0</v>
      </c>
      <c r="K29" s="1239">
        <v>0</v>
      </c>
      <c r="L29" s="1239">
        <v>0</v>
      </c>
      <c r="M29" s="1238">
        <f t="shared" si="10"/>
        <v>0</v>
      </c>
      <c r="N29" s="1178">
        <f t="shared" si="4"/>
        <v>0</v>
      </c>
      <c r="O29" s="1239">
        <v>0</v>
      </c>
      <c r="P29" s="1239">
        <v>0</v>
      </c>
    </row>
    <row r="30" spans="1:16">
      <c r="A30" s="1434" t="s">
        <v>1160</v>
      </c>
      <c r="B30" s="1434"/>
      <c r="C30" s="1434"/>
      <c r="D30" s="1434"/>
      <c r="E30" s="1434"/>
      <c r="F30" s="1434"/>
      <c r="G30" s="1434"/>
      <c r="H30" s="1434"/>
      <c r="I30" s="1434"/>
      <c r="J30" s="1434"/>
      <c r="K30" s="1434"/>
      <c r="L30" s="1430"/>
    </row>
    <row r="31" spans="1:16">
      <c r="A31" s="1430" t="s">
        <v>1201</v>
      </c>
      <c r="B31" s="1430"/>
      <c r="C31" s="1430"/>
      <c r="D31" s="1430"/>
      <c r="E31" s="1430"/>
      <c r="F31" s="1430"/>
      <c r="G31" s="1430"/>
      <c r="H31" s="1430"/>
      <c r="I31" s="1430"/>
      <c r="J31" s="1430"/>
      <c r="K31" s="1430"/>
      <c r="L31" s="1430"/>
    </row>
    <row r="32" spans="1:16">
      <c r="A32" s="1180" t="s">
        <v>759</v>
      </c>
    </row>
    <row r="33" spans="1:1">
      <c r="A33" s="1181" t="s">
        <v>1144</v>
      </c>
    </row>
    <row r="34" spans="1:1">
      <c r="A34" s="1167"/>
    </row>
  </sheetData>
  <mergeCells count="9">
    <mergeCell ref="A3:P3"/>
    <mergeCell ref="A4:P4"/>
    <mergeCell ref="A6:A7"/>
    <mergeCell ref="A31:L31"/>
    <mergeCell ref="N6:P6"/>
    <mergeCell ref="B6:E6"/>
    <mergeCell ref="F6:I6"/>
    <mergeCell ref="J6:M6"/>
    <mergeCell ref="A30:L30"/>
  </mergeCells>
  <pageMargins left="0.7" right="0.7" top="0.75" bottom="0.75" header="0.3" footer="0.3"/>
  <ignoredErrors>
    <ignoredError sqref="C14:F28 J14:J29 N14:N29 C29:D29 F29" formula="1"/>
    <ignoredError sqref="J10:J11" formulaRange="1"/>
    <ignoredError sqref="C13:P13" formula="1" unlocked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BN197"/>
  <sheetViews>
    <sheetView topLeftCell="A184" zoomScale="118" zoomScaleNormal="118" workbookViewId="0">
      <selection activeCell="H4" sqref="H4"/>
    </sheetView>
  </sheetViews>
  <sheetFormatPr defaultRowHeight="15"/>
  <cols>
    <col min="1" max="1" width="11.85546875" style="68" customWidth="1"/>
    <col min="2" max="18" width="9.85546875" style="68" customWidth="1"/>
    <col min="19" max="25" width="8.85546875" style="68" customWidth="1"/>
    <col min="26" max="26" width="10.28515625" style="68" customWidth="1"/>
    <col min="27" max="32" width="8.85546875" style="68" customWidth="1"/>
    <col min="33" max="262" width="9.140625" style="68"/>
    <col min="263" max="263" width="11.85546875" style="68" customWidth="1"/>
    <col min="264" max="280" width="8.85546875" style="68" customWidth="1"/>
    <col min="281" max="518" width="9.140625" style="68"/>
    <col min="519" max="519" width="11.85546875" style="68" customWidth="1"/>
    <col min="520" max="536" width="8.85546875" style="68" customWidth="1"/>
    <col min="537" max="774" width="9.140625" style="68"/>
    <col min="775" max="775" width="11.85546875" style="68" customWidth="1"/>
    <col min="776" max="792" width="8.85546875" style="68" customWidth="1"/>
    <col min="793" max="1030" width="9.140625" style="68"/>
    <col min="1031" max="1031" width="11.85546875" style="68" customWidth="1"/>
    <col min="1032" max="1048" width="8.85546875" style="68" customWidth="1"/>
    <col min="1049" max="1286" width="9.140625" style="68"/>
    <col min="1287" max="1287" width="11.85546875" style="68" customWidth="1"/>
    <col min="1288" max="1304" width="8.85546875" style="68" customWidth="1"/>
    <col min="1305" max="1542" width="9.140625" style="68"/>
    <col min="1543" max="1543" width="11.85546875" style="68" customWidth="1"/>
    <col min="1544" max="1560" width="8.85546875" style="68" customWidth="1"/>
    <col min="1561" max="1798" width="9.140625" style="68"/>
    <col min="1799" max="1799" width="11.85546875" style="68" customWidth="1"/>
    <col min="1800" max="1816" width="8.85546875" style="68" customWidth="1"/>
    <col min="1817" max="2054" width="9.140625" style="68"/>
    <col min="2055" max="2055" width="11.85546875" style="68" customWidth="1"/>
    <col min="2056" max="2072" width="8.85546875" style="68" customWidth="1"/>
    <col min="2073" max="2310" width="9.140625" style="68"/>
    <col min="2311" max="2311" width="11.85546875" style="68" customWidth="1"/>
    <col min="2312" max="2328" width="8.85546875" style="68" customWidth="1"/>
    <col min="2329" max="2566" width="9.140625" style="68"/>
    <col min="2567" max="2567" width="11.85546875" style="68" customWidth="1"/>
    <col min="2568" max="2584" width="8.85546875" style="68" customWidth="1"/>
    <col min="2585" max="2822" width="9.140625" style="68"/>
    <col min="2823" max="2823" width="11.85546875" style="68" customWidth="1"/>
    <col min="2824" max="2840" width="8.85546875" style="68" customWidth="1"/>
    <col min="2841" max="3078" width="9.140625" style="68"/>
    <col min="3079" max="3079" width="11.85546875" style="68" customWidth="1"/>
    <col min="3080" max="3096" width="8.85546875" style="68" customWidth="1"/>
    <col min="3097" max="3334" width="9.140625" style="68"/>
    <col min="3335" max="3335" width="11.85546875" style="68" customWidth="1"/>
    <col min="3336" max="3352" width="8.85546875" style="68" customWidth="1"/>
    <col min="3353" max="3590" width="9.140625" style="68"/>
    <col min="3591" max="3591" width="11.85546875" style="68" customWidth="1"/>
    <col min="3592" max="3608" width="8.85546875" style="68" customWidth="1"/>
    <col min="3609" max="3846" width="9.140625" style="68"/>
    <col min="3847" max="3847" width="11.85546875" style="68" customWidth="1"/>
    <col min="3848" max="3864" width="8.85546875" style="68" customWidth="1"/>
    <col min="3865" max="4102" width="9.140625" style="68"/>
    <col min="4103" max="4103" width="11.85546875" style="68" customWidth="1"/>
    <col min="4104" max="4120" width="8.85546875" style="68" customWidth="1"/>
    <col min="4121" max="4358" width="9.140625" style="68"/>
    <col min="4359" max="4359" width="11.85546875" style="68" customWidth="1"/>
    <col min="4360" max="4376" width="8.85546875" style="68" customWidth="1"/>
    <col min="4377" max="4614" width="9.140625" style="68"/>
    <col min="4615" max="4615" width="11.85546875" style="68" customWidth="1"/>
    <col min="4616" max="4632" width="8.85546875" style="68" customWidth="1"/>
    <col min="4633" max="4870" width="9.140625" style="68"/>
    <col min="4871" max="4871" width="11.85546875" style="68" customWidth="1"/>
    <col min="4872" max="4888" width="8.85546875" style="68" customWidth="1"/>
    <col min="4889" max="5126" width="9.140625" style="68"/>
    <col min="5127" max="5127" width="11.85546875" style="68" customWidth="1"/>
    <col min="5128" max="5144" width="8.85546875" style="68" customWidth="1"/>
    <col min="5145" max="5382" width="9.140625" style="68"/>
    <col min="5383" max="5383" width="11.85546875" style="68" customWidth="1"/>
    <col min="5384" max="5400" width="8.85546875" style="68" customWidth="1"/>
    <col min="5401" max="5638" width="9.140625" style="68"/>
    <col min="5639" max="5639" width="11.85546875" style="68" customWidth="1"/>
    <col min="5640" max="5656" width="8.85546875" style="68" customWidth="1"/>
    <col min="5657" max="5894" width="9.140625" style="68"/>
    <col min="5895" max="5895" width="11.85546875" style="68" customWidth="1"/>
    <col min="5896" max="5912" width="8.85546875" style="68" customWidth="1"/>
    <col min="5913" max="6150" width="9.140625" style="68"/>
    <col min="6151" max="6151" width="11.85546875" style="68" customWidth="1"/>
    <col min="6152" max="6168" width="8.85546875" style="68" customWidth="1"/>
    <col min="6169" max="6406" width="9.140625" style="68"/>
    <col min="6407" max="6407" width="11.85546875" style="68" customWidth="1"/>
    <col min="6408" max="6424" width="8.85546875" style="68" customWidth="1"/>
    <col min="6425" max="6662" width="9.140625" style="68"/>
    <col min="6663" max="6663" width="11.85546875" style="68" customWidth="1"/>
    <col min="6664" max="6680" width="8.85546875" style="68" customWidth="1"/>
    <col min="6681" max="6918" width="9.140625" style="68"/>
    <col min="6919" max="6919" width="11.85546875" style="68" customWidth="1"/>
    <col min="6920" max="6936" width="8.85546875" style="68" customWidth="1"/>
    <col min="6937" max="7174" width="9.140625" style="68"/>
    <col min="7175" max="7175" width="11.85546875" style="68" customWidth="1"/>
    <col min="7176" max="7192" width="8.85546875" style="68" customWidth="1"/>
    <col min="7193" max="7430" width="9.140625" style="68"/>
    <col min="7431" max="7431" width="11.85546875" style="68" customWidth="1"/>
    <col min="7432" max="7448" width="8.85546875" style="68" customWidth="1"/>
    <col min="7449" max="7686" width="9.140625" style="68"/>
    <col min="7687" max="7687" width="11.85546875" style="68" customWidth="1"/>
    <col min="7688" max="7704" width="8.85546875" style="68" customWidth="1"/>
    <col min="7705" max="7942" width="9.140625" style="68"/>
    <col min="7943" max="7943" width="11.85546875" style="68" customWidth="1"/>
    <col min="7944" max="7960" width="8.85546875" style="68" customWidth="1"/>
    <col min="7961" max="8198" width="9.140625" style="68"/>
    <col min="8199" max="8199" width="11.85546875" style="68" customWidth="1"/>
    <col min="8200" max="8216" width="8.85546875" style="68" customWidth="1"/>
    <col min="8217" max="8454" width="9.140625" style="68"/>
    <col min="8455" max="8455" width="11.85546875" style="68" customWidth="1"/>
    <col min="8456" max="8472" width="8.85546875" style="68" customWidth="1"/>
    <col min="8473" max="8710" width="9.140625" style="68"/>
    <col min="8711" max="8711" width="11.85546875" style="68" customWidth="1"/>
    <col min="8712" max="8728" width="8.85546875" style="68" customWidth="1"/>
    <col min="8729" max="8966" width="9.140625" style="68"/>
    <col min="8967" max="8967" width="11.85546875" style="68" customWidth="1"/>
    <col min="8968" max="8984" width="8.85546875" style="68" customWidth="1"/>
    <col min="8985" max="9222" width="9.140625" style="68"/>
    <col min="9223" max="9223" width="11.85546875" style="68" customWidth="1"/>
    <col min="9224" max="9240" width="8.85546875" style="68" customWidth="1"/>
    <col min="9241" max="9478" width="9.140625" style="68"/>
    <col min="9479" max="9479" width="11.85546875" style="68" customWidth="1"/>
    <col min="9480" max="9496" width="8.85546875" style="68" customWidth="1"/>
    <col min="9497" max="9734" width="9.140625" style="68"/>
    <col min="9735" max="9735" width="11.85546875" style="68" customWidth="1"/>
    <col min="9736" max="9752" width="8.85546875" style="68" customWidth="1"/>
    <col min="9753" max="9990" width="9.140625" style="68"/>
    <col min="9991" max="9991" width="11.85546875" style="68" customWidth="1"/>
    <col min="9992" max="10008" width="8.85546875" style="68" customWidth="1"/>
    <col min="10009" max="10246" width="9.140625" style="68"/>
    <col min="10247" max="10247" width="11.85546875" style="68" customWidth="1"/>
    <col min="10248" max="10264" width="8.85546875" style="68" customWidth="1"/>
    <col min="10265" max="10502" width="9.140625" style="68"/>
    <col min="10503" max="10503" width="11.85546875" style="68" customWidth="1"/>
    <col min="10504" max="10520" width="8.85546875" style="68" customWidth="1"/>
    <col min="10521" max="10758" width="9.140625" style="68"/>
    <col min="10759" max="10759" width="11.85546875" style="68" customWidth="1"/>
    <col min="10760" max="10776" width="8.85546875" style="68" customWidth="1"/>
    <col min="10777" max="11014" width="9.140625" style="68"/>
    <col min="11015" max="11015" width="11.85546875" style="68" customWidth="1"/>
    <col min="11016" max="11032" width="8.85546875" style="68" customWidth="1"/>
    <col min="11033" max="11270" width="9.140625" style="68"/>
    <col min="11271" max="11271" width="11.85546875" style="68" customWidth="1"/>
    <col min="11272" max="11288" width="8.85546875" style="68" customWidth="1"/>
    <col min="11289" max="11526" width="9.140625" style="68"/>
    <col min="11527" max="11527" width="11.85546875" style="68" customWidth="1"/>
    <col min="11528" max="11544" width="8.85546875" style="68" customWidth="1"/>
    <col min="11545" max="11782" width="9.140625" style="68"/>
    <col min="11783" max="11783" width="11.85546875" style="68" customWidth="1"/>
    <col min="11784" max="11800" width="8.85546875" style="68" customWidth="1"/>
    <col min="11801" max="12038" width="9.140625" style="68"/>
    <col min="12039" max="12039" width="11.85546875" style="68" customWidth="1"/>
    <col min="12040" max="12056" width="8.85546875" style="68" customWidth="1"/>
    <col min="12057" max="12294" width="9.140625" style="68"/>
    <col min="12295" max="12295" width="11.85546875" style="68" customWidth="1"/>
    <col min="12296" max="12312" width="8.85546875" style="68" customWidth="1"/>
    <col min="12313" max="12550" width="9.140625" style="68"/>
    <col min="12551" max="12551" width="11.85546875" style="68" customWidth="1"/>
    <col min="12552" max="12568" width="8.85546875" style="68" customWidth="1"/>
    <col min="12569" max="12806" width="9.140625" style="68"/>
    <col min="12807" max="12807" width="11.85546875" style="68" customWidth="1"/>
    <col min="12808" max="12824" width="8.85546875" style="68" customWidth="1"/>
    <col min="12825" max="13062" width="9.140625" style="68"/>
    <col min="13063" max="13063" width="11.85546875" style="68" customWidth="1"/>
    <col min="13064" max="13080" width="8.85546875" style="68" customWidth="1"/>
    <col min="13081" max="13318" width="9.140625" style="68"/>
    <col min="13319" max="13319" width="11.85546875" style="68" customWidth="1"/>
    <col min="13320" max="13336" width="8.85546875" style="68" customWidth="1"/>
    <col min="13337" max="13574" width="9.140625" style="68"/>
    <col min="13575" max="13575" width="11.85546875" style="68" customWidth="1"/>
    <col min="13576" max="13592" width="8.85546875" style="68" customWidth="1"/>
    <col min="13593" max="13830" width="9.140625" style="68"/>
    <col min="13831" max="13831" width="11.85546875" style="68" customWidth="1"/>
    <col min="13832" max="13848" width="8.85546875" style="68" customWidth="1"/>
    <col min="13849" max="14086" width="9.140625" style="68"/>
    <col min="14087" max="14087" width="11.85546875" style="68" customWidth="1"/>
    <col min="14088" max="14104" width="8.85546875" style="68" customWidth="1"/>
    <col min="14105" max="14342" width="9.140625" style="68"/>
    <col min="14343" max="14343" width="11.85546875" style="68" customWidth="1"/>
    <col min="14344" max="14360" width="8.85546875" style="68" customWidth="1"/>
    <col min="14361" max="14598" width="9.140625" style="68"/>
    <col min="14599" max="14599" width="11.85546875" style="68" customWidth="1"/>
    <col min="14600" max="14616" width="8.85546875" style="68" customWidth="1"/>
    <col min="14617" max="14854" width="9.140625" style="68"/>
    <col min="14855" max="14855" width="11.85546875" style="68" customWidth="1"/>
    <col min="14856" max="14872" width="8.85546875" style="68" customWidth="1"/>
    <col min="14873" max="15110" width="9.140625" style="68"/>
    <col min="15111" max="15111" width="11.85546875" style="68" customWidth="1"/>
    <col min="15112" max="15128" width="8.85546875" style="68" customWidth="1"/>
    <col min="15129" max="15366" width="9.140625" style="68"/>
    <col min="15367" max="15367" width="11.85546875" style="68" customWidth="1"/>
    <col min="15368" max="15384" width="8.85546875" style="68" customWidth="1"/>
    <col min="15385" max="15622" width="9.140625" style="68"/>
    <col min="15623" max="15623" width="11.85546875" style="68" customWidth="1"/>
    <col min="15624" max="15640" width="8.85546875" style="68" customWidth="1"/>
    <col min="15641" max="15878" width="9.140625" style="68"/>
    <col min="15879" max="15879" width="11.85546875" style="68" customWidth="1"/>
    <col min="15880" max="15896" width="8.85546875" style="68" customWidth="1"/>
    <col min="15897" max="16134" width="9.140625" style="68"/>
    <col min="16135" max="16135" width="11.85546875" style="68" customWidth="1"/>
    <col min="16136" max="16152" width="8.85546875" style="68" customWidth="1"/>
    <col min="16153" max="16376" width="9.140625" style="68"/>
    <col min="16377" max="16384" width="9.140625" style="68" customWidth="1"/>
  </cols>
  <sheetData>
    <row r="1" spans="1:66" ht="19.5">
      <c r="A1" s="1436" t="s">
        <v>845</v>
      </c>
      <c r="B1" s="1436"/>
      <c r="C1" s="1436"/>
      <c r="D1" s="1436"/>
      <c r="E1" s="1436"/>
      <c r="F1" s="1436"/>
      <c r="G1" s="1436"/>
      <c r="H1" s="1436"/>
      <c r="I1" s="1436"/>
      <c r="J1" s="1436"/>
      <c r="K1" s="1436"/>
      <c r="L1" s="1436"/>
      <c r="M1" s="1436"/>
      <c r="N1" s="1436"/>
      <c r="O1" s="1436"/>
      <c r="P1" s="1436"/>
      <c r="Q1" s="1436"/>
      <c r="R1" s="1436"/>
      <c r="S1" s="749"/>
      <c r="T1" s="749"/>
      <c r="U1" s="749"/>
      <c r="V1" s="749"/>
      <c r="W1" s="749"/>
      <c r="X1" s="749"/>
      <c r="Y1" s="749"/>
      <c r="Z1" s="749"/>
      <c r="AA1" s="749"/>
      <c r="AB1" s="749"/>
      <c r="AC1" s="749"/>
      <c r="AD1" s="749"/>
      <c r="AE1" s="749"/>
      <c r="AF1" s="749"/>
    </row>
    <row r="2" spans="1:66" ht="15.75">
      <c r="A2" s="1437" t="s">
        <v>846</v>
      </c>
      <c r="B2" s="1437"/>
      <c r="C2" s="1437"/>
      <c r="D2" s="1437"/>
      <c r="E2" s="1437"/>
      <c r="F2" s="1437"/>
      <c r="G2" s="1437"/>
      <c r="H2" s="1437"/>
      <c r="I2" s="1437"/>
      <c r="J2" s="1437"/>
      <c r="K2" s="1437"/>
      <c r="L2" s="1437"/>
      <c r="M2" s="1437"/>
      <c r="N2" s="1437"/>
      <c r="O2" s="1437"/>
      <c r="P2" s="1437"/>
      <c r="Q2" s="1437"/>
      <c r="R2" s="1437"/>
      <c r="S2" s="546"/>
      <c r="T2" s="546"/>
      <c r="U2" s="546"/>
      <c r="V2" s="546"/>
      <c r="W2" s="546"/>
      <c r="X2" s="546"/>
      <c r="Y2" s="546"/>
      <c r="Z2" s="546"/>
      <c r="AA2" s="546"/>
      <c r="AB2" s="546"/>
      <c r="AC2" s="546"/>
      <c r="AD2" s="546"/>
      <c r="AE2" s="546"/>
      <c r="AF2" s="546"/>
    </row>
    <row r="3" spans="1:66" ht="7.5" customHeight="1">
      <c r="A3" s="546"/>
      <c r="B3" s="554"/>
      <c r="C3" s="554"/>
      <c r="D3" s="554"/>
      <c r="E3" s="554"/>
      <c r="F3" s="554"/>
      <c r="G3" s="554"/>
      <c r="H3" s="554"/>
      <c r="I3" s="554"/>
      <c r="J3" s="554"/>
      <c r="K3" s="554"/>
      <c r="L3" s="554"/>
      <c r="M3" s="554"/>
      <c r="N3" s="554"/>
      <c r="O3" s="554"/>
      <c r="P3" s="554"/>
      <c r="Q3" s="554"/>
      <c r="R3" s="554"/>
      <c r="S3" s="546"/>
      <c r="T3" s="546"/>
      <c r="U3" s="546"/>
      <c r="V3" s="546"/>
      <c r="W3" s="546"/>
      <c r="X3" s="546"/>
      <c r="Y3" s="546"/>
      <c r="Z3" s="546"/>
      <c r="AA3" s="546"/>
      <c r="AB3" s="546"/>
      <c r="AC3" s="546"/>
      <c r="AD3" s="546"/>
      <c r="AE3" s="546"/>
      <c r="AF3" s="546"/>
    </row>
    <row r="4" spans="1:66" ht="18.75">
      <c r="A4" s="536" t="s">
        <v>801</v>
      </c>
      <c r="B4" s="507"/>
      <c r="C4" s="508"/>
      <c r="D4" s="508"/>
      <c r="E4" s="508"/>
      <c r="F4" s="508"/>
      <c r="G4" s="508"/>
      <c r="H4" s="508"/>
      <c r="I4" s="508"/>
      <c r="J4" s="508"/>
      <c r="K4" s="508"/>
      <c r="L4" s="508"/>
      <c r="M4" s="508"/>
      <c r="N4" s="508"/>
      <c r="O4" s="508"/>
      <c r="P4" s="508"/>
      <c r="Q4" s="537"/>
      <c r="R4" s="538" t="s">
        <v>857</v>
      </c>
      <c r="S4" s="508"/>
      <c r="T4" s="508"/>
      <c r="U4" s="508"/>
      <c r="V4" s="508"/>
      <c r="W4" s="508"/>
      <c r="X4" s="508"/>
      <c r="Y4" s="508"/>
      <c r="Z4" s="508"/>
      <c r="AA4" s="508"/>
      <c r="AB4" s="508"/>
      <c r="AC4" s="508"/>
      <c r="AD4" s="508"/>
      <c r="AE4" s="508"/>
      <c r="AF4" s="508"/>
      <c r="AG4" s="508"/>
      <c r="AH4" s="508"/>
      <c r="AI4" s="508"/>
      <c r="AJ4" s="508"/>
      <c r="AK4" s="528"/>
      <c r="AL4" s="528"/>
      <c r="AM4" s="528"/>
      <c r="AN4" s="528"/>
      <c r="AO4" s="508"/>
      <c r="AV4" s="1438"/>
      <c r="AW4" s="1438"/>
      <c r="AX4" s="1439"/>
      <c r="AY4" s="1439"/>
      <c r="AZ4" s="1439"/>
      <c r="BE4" s="509"/>
    </row>
    <row r="5" spans="1:66" s="512" customFormat="1">
      <c r="A5" s="510" t="s">
        <v>802</v>
      </c>
      <c r="B5" s="511">
        <v>2014</v>
      </c>
      <c r="C5" s="511">
        <v>2015</v>
      </c>
      <c r="D5" s="511">
        <v>2016</v>
      </c>
      <c r="E5" s="511">
        <v>2017</v>
      </c>
      <c r="F5" s="511">
        <v>2018</v>
      </c>
      <c r="G5" s="511">
        <v>2019</v>
      </c>
      <c r="H5" s="511">
        <v>2020</v>
      </c>
      <c r="I5" s="511">
        <v>2021</v>
      </c>
      <c r="J5" s="511">
        <v>2022</v>
      </c>
      <c r="K5" s="511">
        <v>2023</v>
      </c>
      <c r="L5" s="511">
        <v>2024</v>
      </c>
      <c r="M5" s="511">
        <v>2025</v>
      </c>
      <c r="N5" s="511">
        <v>2026</v>
      </c>
      <c r="O5" s="511">
        <v>2027</v>
      </c>
      <c r="P5" s="511">
        <v>2028</v>
      </c>
      <c r="Q5" s="511">
        <v>2029</v>
      </c>
      <c r="R5" s="511">
        <v>2030</v>
      </c>
      <c r="S5" s="513"/>
      <c r="T5" s="513"/>
      <c r="U5" s="513"/>
      <c r="V5" s="513"/>
      <c r="W5" s="513"/>
      <c r="X5" s="513"/>
      <c r="Y5" s="513"/>
      <c r="Z5" s="513"/>
      <c r="AA5" s="513"/>
      <c r="AB5" s="513"/>
      <c r="AC5" s="513"/>
      <c r="AD5" s="513"/>
      <c r="AE5" s="513"/>
      <c r="AF5" s="513"/>
      <c r="AH5" s="513"/>
      <c r="AI5" s="518"/>
      <c r="AJ5" s="518"/>
      <c r="AK5" s="529"/>
      <c r="AL5" s="529"/>
      <c r="AM5" s="529"/>
      <c r="AN5" s="529"/>
      <c r="AO5" s="513"/>
      <c r="AQ5" s="1440" t="s">
        <v>1184</v>
      </c>
      <c r="AR5" s="1441"/>
      <c r="AS5" s="1442" t="s">
        <v>1185</v>
      </c>
      <c r="AT5" s="1442"/>
      <c r="AU5" s="513"/>
      <c r="AV5" s="514"/>
      <c r="AW5" s="513"/>
      <c r="AX5" s="513"/>
      <c r="AY5" s="513"/>
      <c r="AZ5" s="513"/>
      <c r="BA5" s="513"/>
      <c r="BB5" s="513"/>
      <c r="BC5" s="513"/>
      <c r="BD5" s="513"/>
      <c r="BE5" s="515"/>
      <c r="BF5" s="513"/>
      <c r="BG5" s="513"/>
      <c r="BH5" s="513"/>
      <c r="BI5" s="513"/>
      <c r="BJ5" s="513"/>
      <c r="BK5" s="513"/>
      <c r="BL5" s="513"/>
      <c r="BM5" s="513"/>
      <c r="BN5" s="513"/>
    </row>
    <row r="6" spans="1:66">
      <c r="A6" s="508" t="s">
        <v>21</v>
      </c>
      <c r="B6" s="516">
        <f>SUM(B7:B23)</f>
        <v>437534.99999999994</v>
      </c>
      <c r="C6" s="516">
        <f t="shared" ref="C6:R6" si="0">SUM(C7:C23)</f>
        <v>454434.03481256991</v>
      </c>
      <c r="D6" s="516">
        <f t="shared" si="0"/>
        <v>472425.99802255211</v>
      </c>
      <c r="E6" s="516">
        <f t="shared" si="0"/>
        <v>491588.87801226816</v>
      </c>
      <c r="F6" s="516">
        <f t="shared" si="0"/>
        <v>512037.63178813196</v>
      </c>
      <c r="G6" s="516">
        <f t="shared" si="0"/>
        <v>533941.44321453234</v>
      </c>
      <c r="H6" s="516">
        <f t="shared" si="0"/>
        <v>557426.11356369965</v>
      </c>
      <c r="I6" s="516">
        <f t="shared" si="0"/>
        <v>568361.82131875481</v>
      </c>
      <c r="J6" s="516">
        <f t="shared" si="0"/>
        <v>579329.75573012535</v>
      </c>
      <c r="K6" s="516">
        <f t="shared" si="0"/>
        <v>590297.09826576011</v>
      </c>
      <c r="L6" s="516">
        <f t="shared" si="0"/>
        <v>601269.11123155965</v>
      </c>
      <c r="M6" s="516">
        <f t="shared" si="0"/>
        <v>612226.13982566737</v>
      </c>
      <c r="N6" s="516">
        <f t="shared" si="0"/>
        <v>623137.61424497259</v>
      </c>
      <c r="O6" s="516">
        <f t="shared" si="0"/>
        <v>634097.05184515193</v>
      </c>
      <c r="P6" s="516">
        <f t="shared" si="0"/>
        <v>645096.0593556111</v>
      </c>
      <c r="Q6" s="516">
        <f t="shared" si="0"/>
        <v>656177.33515072183</v>
      </c>
      <c r="R6" s="516">
        <f t="shared" si="0"/>
        <v>667303.67157878657</v>
      </c>
      <c r="S6" s="516"/>
      <c r="T6" s="516"/>
      <c r="U6" s="516"/>
      <c r="V6" s="516"/>
      <c r="W6" s="516"/>
      <c r="X6" s="516"/>
      <c r="Y6" s="516"/>
      <c r="Z6" s="516"/>
      <c r="AA6" s="516"/>
      <c r="AB6" s="516"/>
      <c r="AC6" s="516"/>
      <c r="AD6" s="516"/>
      <c r="AE6" s="516"/>
      <c r="AF6" s="516"/>
      <c r="AH6" s="517"/>
      <c r="AI6" s="518"/>
      <c r="AJ6" s="518"/>
      <c r="AK6" s="529"/>
      <c r="AL6" s="529"/>
      <c r="AM6" s="529"/>
      <c r="AN6" s="529"/>
      <c r="AO6" s="517"/>
      <c r="AQ6" s="68" t="s">
        <v>22</v>
      </c>
      <c r="AR6" s="68" t="s">
        <v>23</v>
      </c>
      <c r="AS6" s="68" t="s">
        <v>22</v>
      </c>
      <c r="AT6" s="68" t="s">
        <v>23</v>
      </c>
      <c r="AV6" s="517"/>
      <c r="AW6" s="517"/>
      <c r="AX6" s="517"/>
      <c r="AY6" s="517"/>
      <c r="AZ6" s="517"/>
      <c r="BA6" s="517"/>
      <c r="BB6" s="517"/>
      <c r="BC6" s="517"/>
      <c r="BD6" s="517"/>
      <c r="BE6" s="518"/>
      <c r="BF6" s="517"/>
      <c r="BG6" s="517"/>
      <c r="BH6" s="517"/>
      <c r="BI6" s="517"/>
      <c r="BJ6" s="517"/>
      <c r="BK6" s="517"/>
      <c r="BL6" s="517"/>
      <c r="BM6" s="517"/>
      <c r="BN6" s="517"/>
    </row>
    <row r="7" spans="1:66">
      <c r="A7" s="518" t="s">
        <v>803</v>
      </c>
      <c r="B7" s="519">
        <v>36688.504627705508</v>
      </c>
      <c r="C7" s="519">
        <v>37031.585171329352</v>
      </c>
      <c r="D7" s="519">
        <v>37356.021938771781</v>
      </c>
      <c r="E7" s="519">
        <v>37674.798604506577</v>
      </c>
      <c r="F7" s="519">
        <v>38453.002288310563</v>
      </c>
      <c r="G7" s="519">
        <v>39280.834434473414</v>
      </c>
      <c r="H7" s="519">
        <v>39410.622835177928</v>
      </c>
      <c r="I7" s="519">
        <v>39352.808287864333</v>
      </c>
      <c r="J7" s="519">
        <v>39223.985914507386</v>
      </c>
      <c r="K7" s="519">
        <v>38989.18083710198</v>
      </c>
      <c r="L7" s="519">
        <v>38647.418813740784</v>
      </c>
      <c r="M7" s="519">
        <v>38209.726254720663</v>
      </c>
      <c r="N7" s="519">
        <v>37714.130239056838</v>
      </c>
      <c r="O7" s="519">
        <v>37193.658531415174</v>
      </c>
      <c r="P7" s="519">
        <v>36702.339599473351</v>
      </c>
      <c r="Q7" s="519">
        <v>36282.202631721419</v>
      </c>
      <c r="R7" s="519">
        <v>35939.277555713277</v>
      </c>
      <c r="S7" s="519"/>
      <c r="T7" s="519"/>
      <c r="U7" s="519"/>
      <c r="V7" s="519"/>
      <c r="W7" s="519"/>
      <c r="X7" s="519"/>
      <c r="Y7" s="519"/>
      <c r="Z7" s="529"/>
      <c r="AA7" s="529"/>
      <c r="AB7" s="529"/>
      <c r="AC7" s="529"/>
      <c r="AE7" s="519"/>
      <c r="AF7" s="519"/>
      <c r="AH7" s="517"/>
      <c r="AI7" s="518"/>
      <c r="AJ7" s="518"/>
      <c r="AK7" s="529"/>
      <c r="AL7" s="529"/>
      <c r="AM7" s="529"/>
      <c r="AN7" s="529"/>
      <c r="AO7" s="517"/>
      <c r="AP7" s="68" t="s">
        <v>804</v>
      </c>
      <c r="AQ7" s="523">
        <v>-19560.693639508645</v>
      </c>
      <c r="AR7" s="517">
        <v>18043.693639508645</v>
      </c>
      <c r="AS7" s="523">
        <v>-948.03184013465068</v>
      </c>
      <c r="AT7" s="517">
        <v>671.56679535544902</v>
      </c>
      <c r="AU7" s="523"/>
      <c r="AV7" s="517"/>
      <c r="AW7" s="517"/>
      <c r="AX7" s="517"/>
      <c r="AY7" s="517"/>
      <c r="AZ7" s="517"/>
      <c r="BA7" s="517"/>
      <c r="BB7" s="517"/>
      <c r="BC7" s="517"/>
      <c r="BD7" s="517"/>
      <c r="BE7" s="518"/>
      <c r="BF7" s="517"/>
      <c r="BG7" s="517"/>
      <c r="BH7" s="517"/>
      <c r="BI7" s="517"/>
      <c r="BJ7" s="517"/>
      <c r="BK7" s="517"/>
      <c r="BL7" s="517"/>
      <c r="BM7" s="517"/>
      <c r="BN7" s="517"/>
    </row>
    <row r="8" spans="1:66">
      <c r="A8" s="518" t="s">
        <v>805</v>
      </c>
      <c r="B8" s="519">
        <v>32229.701091328527</v>
      </c>
      <c r="C8" s="519">
        <v>34131.47012640824</v>
      </c>
      <c r="D8" s="519">
        <v>35566.250616025864</v>
      </c>
      <c r="E8" s="519">
        <v>36568.569291281106</v>
      </c>
      <c r="F8" s="519">
        <v>36606.00827142255</v>
      </c>
      <c r="G8" s="519">
        <v>36258.210888842455</v>
      </c>
      <c r="H8" s="519">
        <v>36586.888126685553</v>
      </c>
      <c r="I8" s="519">
        <v>36836.954668962957</v>
      </c>
      <c r="J8" s="519">
        <v>37072.554702796231</v>
      </c>
      <c r="K8" s="519">
        <v>37754.701738580014</v>
      </c>
      <c r="L8" s="519">
        <v>38475.409628857655</v>
      </c>
      <c r="M8" s="519">
        <v>38487.692576986294</v>
      </c>
      <c r="N8" s="519">
        <v>38419.565146021247</v>
      </c>
      <c r="O8" s="519">
        <v>38279.042267825484</v>
      </c>
      <c r="P8" s="519">
        <v>38032.13925240979</v>
      </c>
      <c r="Q8" s="519">
        <v>37680.871797509448</v>
      </c>
      <c r="R8" s="519">
        <v>37231.255998403474</v>
      </c>
      <c r="S8" s="519"/>
      <c r="T8" s="519"/>
      <c r="U8" s="519"/>
      <c r="V8" s="519"/>
      <c r="W8" s="519"/>
      <c r="X8" s="519"/>
      <c r="Y8" s="520"/>
      <c r="Z8" s="529"/>
      <c r="AA8" s="529"/>
      <c r="AB8" s="529"/>
      <c r="AC8" s="529"/>
      <c r="AE8" s="519"/>
      <c r="AF8" s="519"/>
      <c r="AH8" s="517"/>
      <c r="AI8" s="518"/>
      <c r="AJ8" s="518"/>
      <c r="AK8" s="529"/>
      <c r="AL8" s="529"/>
      <c r="AM8" s="529"/>
      <c r="AN8" s="529"/>
      <c r="AO8" s="517"/>
      <c r="AP8" s="68" t="s">
        <v>806</v>
      </c>
      <c r="AQ8" s="523">
        <v>-18909.156065847743</v>
      </c>
      <c r="AR8" s="517">
        <v>17296.231213169547</v>
      </c>
      <c r="AS8" s="523">
        <v>-549.51237032776214</v>
      </c>
      <c r="AT8" s="517">
        <v>317.655053451181</v>
      </c>
      <c r="AU8" s="523"/>
      <c r="AV8" s="517"/>
      <c r="AW8" s="517"/>
      <c r="AX8" s="517"/>
      <c r="AY8" s="517"/>
      <c r="AZ8" s="517"/>
      <c r="BA8" s="517"/>
      <c r="BB8" s="517"/>
      <c r="BC8" s="517"/>
      <c r="BD8" s="517"/>
      <c r="BE8" s="518"/>
      <c r="BF8" s="517"/>
      <c r="BG8" s="517"/>
      <c r="BH8" s="517"/>
      <c r="BI8" s="517"/>
      <c r="BJ8" s="517"/>
      <c r="BK8" s="517"/>
      <c r="BL8" s="517"/>
      <c r="BM8" s="517"/>
      <c r="BN8" s="517"/>
    </row>
    <row r="9" spans="1:66">
      <c r="A9" s="518" t="s">
        <v>807</v>
      </c>
      <c r="B9" s="519">
        <v>26423.84721465968</v>
      </c>
      <c r="C9" s="519">
        <v>26230.019090437643</v>
      </c>
      <c r="D9" s="519">
        <v>26696.926874769597</v>
      </c>
      <c r="E9" s="519">
        <v>27989.857868103336</v>
      </c>
      <c r="F9" s="519">
        <v>29978.12957501259</v>
      </c>
      <c r="G9" s="519">
        <v>32049.092880489094</v>
      </c>
      <c r="H9" s="519">
        <v>33941.135560280156</v>
      </c>
      <c r="I9" s="519">
        <v>35335.768224442392</v>
      </c>
      <c r="J9" s="519">
        <v>36290.695623565371</v>
      </c>
      <c r="K9" s="519">
        <v>36274.925225555584</v>
      </c>
      <c r="L9" s="519">
        <v>35868.464687545806</v>
      </c>
      <c r="M9" s="519">
        <v>36135.321860689968</v>
      </c>
      <c r="N9" s="519">
        <v>36367.504795079578</v>
      </c>
      <c r="O9" s="519">
        <v>36595.02174478471</v>
      </c>
      <c r="P9" s="519">
        <v>37267.881173022746</v>
      </c>
      <c r="Q9" s="519">
        <v>37978.091757458104</v>
      </c>
      <c r="R9" s="519">
        <v>37985.662395636187</v>
      </c>
      <c r="S9" s="519"/>
      <c r="T9" s="519"/>
      <c r="U9" s="519"/>
      <c r="V9" s="519"/>
      <c r="W9" s="519"/>
      <c r="X9" s="519"/>
      <c r="Y9" s="518"/>
      <c r="Z9" s="529"/>
      <c r="AA9" s="529"/>
      <c r="AB9" s="529"/>
      <c r="AC9" s="529"/>
      <c r="AE9" s="519"/>
      <c r="AF9" s="519"/>
      <c r="AH9" s="517"/>
      <c r="AI9" s="518"/>
      <c r="AJ9" s="518"/>
      <c r="AK9" s="529"/>
      <c r="AL9" s="529"/>
      <c r="AM9" s="529"/>
      <c r="AN9" s="529"/>
      <c r="AO9" s="517"/>
      <c r="AP9" s="68" t="s">
        <v>808</v>
      </c>
      <c r="AQ9" s="523">
        <v>-18626.924852678196</v>
      </c>
      <c r="AR9" s="517">
        <v>17190.924852678196</v>
      </c>
      <c r="AS9" s="523">
        <v>-312.93067267088156</v>
      </c>
      <c r="AT9" s="517">
        <v>159.91524553809484</v>
      </c>
      <c r="AU9" s="523"/>
      <c r="AV9" s="517"/>
      <c r="AW9" s="517"/>
      <c r="AX9" s="517"/>
      <c r="AY9" s="517"/>
      <c r="AZ9" s="517"/>
      <c r="BA9" s="517"/>
      <c r="BB9" s="517"/>
      <c r="BC9" s="517"/>
      <c r="BD9" s="517"/>
      <c r="BE9" s="518"/>
      <c r="BF9" s="517"/>
      <c r="BG9" s="517"/>
      <c r="BH9" s="517"/>
      <c r="BI9" s="517"/>
      <c r="BJ9" s="517"/>
      <c r="BK9" s="517"/>
      <c r="BL9" s="517"/>
      <c r="BM9" s="517"/>
      <c r="BN9" s="517"/>
    </row>
    <row r="10" spans="1:66">
      <c r="A10" s="518" t="s">
        <v>809</v>
      </c>
      <c r="B10" s="519">
        <v>32729.004027873285</v>
      </c>
      <c r="C10" s="519">
        <v>32460.990125990771</v>
      </c>
      <c r="D10" s="519">
        <v>31787.481819796667</v>
      </c>
      <c r="E10" s="519">
        <v>30810.591343301203</v>
      </c>
      <c r="F10" s="519">
        <v>30201.651907664593</v>
      </c>
      <c r="G10" s="519">
        <v>30262.240910788965</v>
      </c>
      <c r="H10" s="519">
        <v>30386.205587073615</v>
      </c>
      <c r="I10" s="519">
        <v>30938.342097544857</v>
      </c>
      <c r="J10" s="519">
        <v>32315.241710771923</v>
      </c>
      <c r="K10" s="519">
        <v>34379.975049730099</v>
      </c>
      <c r="L10" s="519">
        <v>36533.614542995951</v>
      </c>
      <c r="M10" s="519">
        <v>38506.234470924428</v>
      </c>
      <c r="N10" s="519">
        <v>40015.911013007382</v>
      </c>
      <c r="O10" s="519">
        <v>41085.722296443506</v>
      </c>
      <c r="P10" s="519">
        <v>41189.748445950943</v>
      </c>
      <c r="Q10" s="519">
        <v>40907.071634854139</v>
      </c>
      <c r="R10" s="519">
        <v>41303.776137477653</v>
      </c>
      <c r="S10" s="519"/>
      <c r="T10" s="519"/>
      <c r="U10" s="519"/>
      <c r="V10" s="519"/>
      <c r="W10" s="519"/>
      <c r="X10" s="519"/>
      <c r="Y10" s="518"/>
      <c r="Z10" s="529"/>
      <c r="AA10" s="529"/>
      <c r="AB10" s="529"/>
      <c r="AC10" s="529"/>
      <c r="AE10" s="519"/>
      <c r="AF10" s="519"/>
      <c r="AH10" s="517"/>
      <c r="AI10" s="518"/>
      <c r="AJ10" s="518"/>
      <c r="AK10" s="529"/>
      <c r="AL10" s="529"/>
      <c r="AM10" s="529"/>
      <c r="AN10" s="529"/>
      <c r="AO10" s="517"/>
      <c r="AP10" s="68" t="s">
        <v>810</v>
      </c>
      <c r="AQ10" s="523">
        <v>-15233.727780061274</v>
      </c>
      <c r="AR10" s="517">
        <v>13627.786100442858</v>
      </c>
      <c r="AS10" s="523">
        <v>-3178.6027639746471</v>
      </c>
      <c r="AT10" s="517">
        <v>275.12506629314436</v>
      </c>
      <c r="AU10" s="523"/>
      <c r="AV10" s="517"/>
      <c r="AW10" s="517"/>
      <c r="AX10" s="517"/>
      <c r="AY10" s="517"/>
      <c r="AZ10" s="517"/>
      <c r="BA10" s="517"/>
      <c r="BB10" s="517"/>
      <c r="BC10" s="517"/>
      <c r="BD10" s="517"/>
      <c r="BE10" s="518"/>
      <c r="BF10" s="517"/>
      <c r="BG10" s="517"/>
      <c r="BH10" s="517"/>
      <c r="BI10" s="517"/>
      <c r="BJ10" s="517"/>
      <c r="BK10" s="517"/>
      <c r="BL10" s="517"/>
      <c r="BM10" s="517"/>
      <c r="BN10" s="517"/>
    </row>
    <row r="11" spans="1:66">
      <c r="A11" s="518" t="s">
        <v>811</v>
      </c>
      <c r="B11" s="519">
        <v>53501.891548001629</v>
      </c>
      <c r="C11" s="519">
        <v>54502.965918589514</v>
      </c>
      <c r="D11" s="519">
        <v>56199.328968211594</v>
      </c>
      <c r="E11" s="519">
        <v>58456.690963791101</v>
      </c>
      <c r="F11" s="519">
        <v>60420.829919488788</v>
      </c>
      <c r="G11" s="519">
        <v>62433.808926615071</v>
      </c>
      <c r="H11" s="519">
        <v>65005.21633672071</v>
      </c>
      <c r="I11" s="519">
        <v>64990.274493862875</v>
      </c>
      <c r="J11" s="519">
        <v>64684.978564228681</v>
      </c>
      <c r="K11" s="519">
        <v>64741.904834279587</v>
      </c>
      <c r="L11" s="519">
        <v>65465.644258325381</v>
      </c>
      <c r="M11" s="519">
        <v>66240.802831925714</v>
      </c>
      <c r="N11" s="519">
        <v>67697.001974799306</v>
      </c>
      <c r="O11" s="519">
        <v>70007.878923482785</v>
      </c>
      <c r="P11" s="519">
        <v>73023.087133987574</v>
      </c>
      <c r="Q11" s="519">
        <v>76160.296694709396</v>
      </c>
      <c r="R11" s="519">
        <v>79132.194749851551</v>
      </c>
      <c r="S11" s="519"/>
      <c r="T11" s="519"/>
      <c r="U11" s="519"/>
      <c r="V11" s="519"/>
      <c r="W11" s="519"/>
      <c r="X11" s="519"/>
      <c r="Y11" s="518"/>
      <c r="Z11" s="529"/>
      <c r="AA11" s="529"/>
      <c r="AB11" s="529"/>
      <c r="AC11" s="529"/>
      <c r="AE11" s="519"/>
      <c r="AF11" s="519"/>
      <c r="AH11" s="517"/>
      <c r="AI11" s="507"/>
      <c r="AJ11" s="507"/>
      <c r="AK11" s="529"/>
      <c r="AL11" s="529"/>
      <c r="AM11" s="529"/>
      <c r="AN11" s="529"/>
      <c r="AO11" s="517"/>
      <c r="AP11" s="68" t="s">
        <v>812</v>
      </c>
      <c r="AQ11" s="523">
        <v>-18531.454221774042</v>
      </c>
      <c r="AR11" s="517">
        <v>13805.994107127819</v>
      </c>
      <c r="AS11" s="523">
        <v>-30534.189784332331</v>
      </c>
      <c r="AT11" s="517">
        <v>1813.3404509944885</v>
      </c>
      <c r="AU11" s="523"/>
      <c r="AV11" s="517"/>
      <c r="AW11" s="517"/>
      <c r="AX11" s="517"/>
      <c r="AY11" s="517"/>
      <c r="AZ11" s="517"/>
      <c r="BA11" s="517"/>
      <c r="BB11" s="517"/>
      <c r="BC11" s="517"/>
      <c r="BD11" s="517"/>
      <c r="BE11" s="518"/>
      <c r="BF11" s="517"/>
      <c r="BG11" s="517"/>
      <c r="BH11" s="517"/>
      <c r="BI11" s="517"/>
      <c r="BJ11" s="517"/>
      <c r="BK11" s="517"/>
      <c r="BL11" s="517"/>
      <c r="BM11" s="517"/>
      <c r="BN11" s="517"/>
    </row>
    <row r="12" spans="1:66">
      <c r="A12" s="518" t="s">
        <v>813</v>
      </c>
      <c r="B12" s="519">
        <v>66812.378759372426</v>
      </c>
      <c r="C12" s="519">
        <v>69521.15142067695</v>
      </c>
      <c r="D12" s="519">
        <v>72448.996920584003</v>
      </c>
      <c r="E12" s="519">
        <v>75541.880123291543</v>
      </c>
      <c r="F12" s="519">
        <v>79313.228316987617</v>
      </c>
      <c r="G12" s="519">
        <v>83190.295241071712</v>
      </c>
      <c r="H12" s="519">
        <v>87321.563395316101</v>
      </c>
      <c r="I12" s="519">
        <v>88355.038599904146</v>
      </c>
      <c r="J12" s="519">
        <v>89780.091426231753</v>
      </c>
      <c r="K12" s="519">
        <v>90721.625136680494</v>
      </c>
      <c r="L12" s="519">
        <v>91489.565928593773</v>
      </c>
      <c r="M12" s="519">
        <v>92573.86351668938</v>
      </c>
      <c r="N12" s="519">
        <v>93262.491730263631</v>
      </c>
      <c r="O12" s="519">
        <v>93671.449125563056</v>
      </c>
      <c r="P12" s="519">
        <v>94465.759613708316</v>
      </c>
      <c r="Q12" s="519">
        <v>95944.473104565754</v>
      </c>
      <c r="R12" s="519">
        <v>97492.666166971685</v>
      </c>
      <c r="S12" s="519"/>
      <c r="T12" s="519"/>
      <c r="U12" s="519"/>
      <c r="V12" s="519"/>
      <c r="W12" s="519"/>
      <c r="X12" s="519"/>
      <c r="Y12" s="518"/>
      <c r="Z12" s="529"/>
      <c r="AA12" s="529"/>
      <c r="AB12" s="529"/>
      <c r="AC12" s="529"/>
      <c r="AE12" s="519"/>
      <c r="AF12" s="519"/>
      <c r="AH12" s="517"/>
      <c r="AI12" s="507"/>
      <c r="AJ12" s="507"/>
      <c r="AK12" s="529"/>
      <c r="AL12" s="529"/>
      <c r="AM12" s="529"/>
      <c r="AN12" s="529"/>
      <c r="AO12" s="517"/>
      <c r="AP12" s="68" t="s">
        <v>814</v>
      </c>
      <c r="AQ12" s="523">
        <v>-19147.737740784945</v>
      </c>
      <c r="AR12" s="517">
        <v>16444.809185259397</v>
      </c>
      <c r="AS12" s="523">
        <v>-49738.12991567835</v>
      </c>
      <c r="AT12" s="517">
        <v>4449.4145845090516</v>
      </c>
      <c r="AU12" s="523"/>
      <c r="AV12" s="517"/>
      <c r="AX12" s="517"/>
      <c r="AY12" s="517"/>
      <c r="AZ12" s="517"/>
      <c r="BA12" s="517"/>
      <c r="BB12" s="517"/>
      <c r="BC12" s="517"/>
      <c r="BD12" s="517"/>
      <c r="BE12" s="507"/>
      <c r="BF12" s="517"/>
      <c r="BG12" s="517"/>
      <c r="BH12" s="517"/>
      <c r="BI12" s="517"/>
      <c r="BJ12" s="517"/>
      <c r="BK12" s="517"/>
      <c r="BL12" s="517"/>
      <c r="BM12" s="517"/>
      <c r="BN12" s="517"/>
    </row>
    <row r="13" spans="1:66">
      <c r="A13" s="507" t="s">
        <v>815</v>
      </c>
      <c r="B13" s="519">
        <v>51004.997807518157</v>
      </c>
      <c r="C13" s="519">
        <v>55276.832967394905</v>
      </c>
      <c r="D13" s="519">
        <v>59535.206614446914</v>
      </c>
      <c r="E13" s="519">
        <v>63001.50838456412</v>
      </c>
      <c r="F13" s="519">
        <v>67074.584659251646</v>
      </c>
      <c r="G13" s="519">
        <v>70756.99686048241</v>
      </c>
      <c r="H13" s="519">
        <v>73949.30690846128</v>
      </c>
      <c r="I13" s="519">
        <v>74497.781531244444</v>
      </c>
      <c r="J13" s="519">
        <v>74889.475440507769</v>
      </c>
      <c r="K13" s="519">
        <v>75600.028892448434</v>
      </c>
      <c r="L13" s="519">
        <v>76014.098399549228</v>
      </c>
      <c r="M13" s="519">
        <v>76238.357143375921</v>
      </c>
      <c r="N13" s="519">
        <v>77000.495397858263</v>
      </c>
      <c r="O13" s="519">
        <v>78141.220963320346</v>
      </c>
      <c r="P13" s="519">
        <v>78790.259611533838</v>
      </c>
      <c r="Q13" s="519">
        <v>79266.355542073958</v>
      </c>
      <c r="R13" s="519">
        <v>80040.271850265039</v>
      </c>
      <c r="S13" s="519"/>
      <c r="T13" s="519"/>
      <c r="U13" s="519"/>
      <c r="V13" s="519"/>
      <c r="W13" s="519"/>
      <c r="X13" s="519"/>
      <c r="Y13" s="518"/>
      <c r="Z13" s="529"/>
      <c r="AA13" s="529"/>
      <c r="AB13" s="529"/>
      <c r="AC13" s="529"/>
      <c r="AE13" s="519"/>
      <c r="AF13" s="519"/>
      <c r="AH13" s="517"/>
      <c r="AI13" s="507"/>
      <c r="AJ13" s="507"/>
      <c r="AK13" s="529"/>
      <c r="AL13" s="529"/>
      <c r="AM13" s="529"/>
      <c r="AN13" s="529"/>
      <c r="AO13" s="517"/>
      <c r="AP13" s="68" t="s">
        <v>816</v>
      </c>
      <c r="AQ13" s="523">
        <v>-18103.57074086916</v>
      </c>
      <c r="AR13" s="517">
        <v>18337.17337946015</v>
      </c>
      <c r="AS13" s="523">
        <v>-34889.215995591774</v>
      </c>
      <c r="AT13" s="517">
        <v>3559.5153245866859</v>
      </c>
      <c r="AU13" s="523"/>
      <c r="AV13" s="517"/>
      <c r="AX13" s="517"/>
      <c r="AY13" s="517"/>
      <c r="AZ13" s="517"/>
      <c r="BA13" s="517"/>
      <c r="BB13" s="517"/>
      <c r="BC13" s="517"/>
      <c r="BD13" s="517"/>
      <c r="BE13" s="507"/>
      <c r="BF13" s="517"/>
      <c r="BG13" s="517"/>
      <c r="BH13" s="517"/>
      <c r="BI13" s="517"/>
      <c r="BJ13" s="517"/>
      <c r="BK13" s="517"/>
      <c r="BL13" s="517"/>
      <c r="BM13" s="517"/>
      <c r="BN13" s="517"/>
    </row>
    <row r="14" spans="1:66">
      <c r="A14" s="507" t="s">
        <v>817</v>
      </c>
      <c r="B14" s="519">
        <v>35561.410765171429</v>
      </c>
      <c r="C14" s="519">
        <v>38206.56084243286</v>
      </c>
      <c r="D14" s="519">
        <v>40678.409964861647</v>
      </c>
      <c r="E14" s="519">
        <v>44218.996816034371</v>
      </c>
      <c r="F14" s="519">
        <v>47700.939755161264</v>
      </c>
      <c r="G14" s="519">
        <v>51484.602901486091</v>
      </c>
      <c r="H14" s="519">
        <v>55859.27968457737</v>
      </c>
      <c r="I14" s="519">
        <v>58360.425812280111</v>
      </c>
      <c r="J14" s="519">
        <v>59833.744260957727</v>
      </c>
      <c r="K14" s="519">
        <v>61662.645564627092</v>
      </c>
      <c r="L14" s="519">
        <v>62819.550679782202</v>
      </c>
      <c r="M14" s="519">
        <v>63174.891250024331</v>
      </c>
      <c r="N14" s="519">
        <v>63452.109877411975</v>
      </c>
      <c r="O14" s="519">
        <v>63571.66040070117</v>
      </c>
      <c r="P14" s="519">
        <v>63997.008180651443</v>
      </c>
      <c r="Q14" s="519">
        <v>64118.630392576393</v>
      </c>
      <c r="R14" s="519">
        <v>64047.016326323304</v>
      </c>
      <c r="S14" s="519"/>
      <c r="T14" s="519"/>
      <c r="U14" s="519"/>
      <c r="V14" s="519"/>
      <c r="W14" s="519"/>
      <c r="X14" s="519"/>
      <c r="Y14" s="518"/>
      <c r="Z14" s="529"/>
      <c r="AA14" s="529"/>
      <c r="AB14" s="529"/>
      <c r="AC14" s="529"/>
      <c r="AE14" s="519"/>
      <c r="AF14" s="519"/>
      <c r="AH14" s="517"/>
      <c r="AI14" s="507"/>
      <c r="AJ14" s="507"/>
      <c r="AK14" s="529"/>
      <c r="AL14" s="529"/>
      <c r="AM14" s="529"/>
      <c r="AN14" s="529"/>
      <c r="AO14" s="517"/>
      <c r="AP14" s="68" t="s">
        <v>818</v>
      </c>
      <c r="AQ14" s="523">
        <v>-16967.594434025934</v>
      </c>
      <c r="AR14" s="517">
        <v>18143.393050221428</v>
      </c>
      <c r="AS14" s="523">
        <v>-22351.796096156264</v>
      </c>
      <c r="AT14" s="517">
        <v>2370.9606805540952</v>
      </c>
      <c r="AU14" s="523"/>
      <c r="AV14" s="517"/>
      <c r="AX14" s="517"/>
      <c r="AY14" s="517"/>
      <c r="AZ14" s="517"/>
      <c r="BA14" s="517"/>
      <c r="BB14" s="517"/>
      <c r="BC14" s="517"/>
      <c r="BD14" s="517"/>
      <c r="BE14" s="507"/>
      <c r="BF14" s="517"/>
      <c r="BG14" s="517"/>
      <c r="BH14" s="517"/>
      <c r="BI14" s="517"/>
      <c r="BJ14" s="517"/>
      <c r="BK14" s="517"/>
      <c r="BL14" s="517"/>
      <c r="BM14" s="517"/>
      <c r="BN14" s="517"/>
    </row>
    <row r="15" spans="1:66">
      <c r="A15" s="507" t="s">
        <v>819</v>
      </c>
      <c r="B15" s="519">
        <v>27675.317185186352</v>
      </c>
      <c r="C15" s="519">
        <v>28900.509945283578</v>
      </c>
      <c r="D15" s="519">
        <v>30516.487201256932</v>
      </c>
      <c r="E15" s="519">
        <v>31841.531093177939</v>
      </c>
      <c r="F15" s="519">
        <v>33465.898512841646</v>
      </c>
      <c r="G15" s="519">
        <v>35540.923580856455</v>
      </c>
      <c r="H15" s="519">
        <v>38203.130900330922</v>
      </c>
      <c r="I15" s="519">
        <v>39532.644317375263</v>
      </c>
      <c r="J15" s="519">
        <v>41779.278143365475</v>
      </c>
      <c r="K15" s="519">
        <v>43809.28942041986</v>
      </c>
      <c r="L15" s="519">
        <v>45953.941719907627</v>
      </c>
      <c r="M15" s="519">
        <v>48480.505308322419</v>
      </c>
      <c r="N15" s="519">
        <v>50790.257317370371</v>
      </c>
      <c r="O15" s="519">
        <v>52074.481918379708</v>
      </c>
      <c r="P15" s="519">
        <v>53706.470501141768</v>
      </c>
      <c r="Q15" s="519">
        <v>54664.52185729616</v>
      </c>
      <c r="R15" s="519">
        <v>54818.94236837529</v>
      </c>
      <c r="S15" s="519"/>
      <c r="T15" s="519"/>
      <c r="U15" s="519"/>
      <c r="V15" s="519"/>
      <c r="W15" s="519"/>
      <c r="X15" s="519"/>
      <c r="Y15" s="507"/>
      <c r="Z15" s="529"/>
      <c r="AA15" s="529"/>
      <c r="AB15" s="523"/>
      <c r="AC15" s="523"/>
      <c r="AE15" s="519"/>
      <c r="AF15" s="519"/>
      <c r="AH15" s="517"/>
      <c r="AI15" s="507"/>
      <c r="AJ15" s="507"/>
      <c r="AK15" s="529"/>
      <c r="AL15" s="529"/>
      <c r="AM15" s="529"/>
      <c r="AN15" s="529"/>
      <c r="AO15" s="517"/>
      <c r="AP15" s="68" t="s">
        <v>820</v>
      </c>
      <c r="AQ15" s="523">
        <v>-12800.981956379317</v>
      </c>
      <c r="AR15" s="517">
        <v>13724.236984373683</v>
      </c>
      <c r="AS15" s="523">
        <v>-13911.005511113181</v>
      </c>
      <c r="AT15" s="517">
        <v>1343.0536914992945</v>
      </c>
      <c r="AU15" s="523"/>
      <c r="AV15" s="517"/>
      <c r="AX15" s="517"/>
      <c r="AY15" s="517"/>
      <c r="AZ15" s="517"/>
      <c r="BA15" s="517"/>
      <c r="BB15" s="517"/>
      <c r="BC15" s="517"/>
      <c r="BD15" s="517"/>
      <c r="BE15" s="507"/>
      <c r="BF15" s="517"/>
      <c r="BG15" s="517"/>
      <c r="BH15" s="517"/>
      <c r="BI15" s="517"/>
      <c r="BJ15" s="517"/>
      <c r="BK15" s="517"/>
      <c r="BL15" s="517"/>
      <c r="BM15" s="517"/>
      <c r="BN15" s="517"/>
    </row>
    <row r="16" spans="1:66">
      <c r="A16" s="507" t="s">
        <v>821</v>
      </c>
      <c r="B16" s="519">
        <v>22038.528598589248</v>
      </c>
      <c r="C16" s="519">
        <v>22651.333784540129</v>
      </c>
      <c r="D16" s="519">
        <v>23801.547974434401</v>
      </c>
      <c r="E16" s="519">
        <v>25238.541910561355</v>
      </c>
      <c r="F16" s="519">
        <v>25955.25023310072</v>
      </c>
      <c r="G16" s="519">
        <v>26892.230760810147</v>
      </c>
      <c r="H16" s="519">
        <v>28073.730005659148</v>
      </c>
      <c r="I16" s="519">
        <v>28970.47457168324</v>
      </c>
      <c r="J16" s="519">
        <v>29475.131876181025</v>
      </c>
      <c r="K16" s="519">
        <v>30187.852148250171</v>
      </c>
      <c r="L16" s="519">
        <v>31231.789434475359</v>
      </c>
      <c r="M16" s="519">
        <v>32735.101695948262</v>
      </c>
      <c r="N16" s="519">
        <v>33923.950907753591</v>
      </c>
      <c r="O16" s="519">
        <v>36024.503160983899</v>
      </c>
      <c r="P16" s="519">
        <v>37904.928767347417</v>
      </c>
      <c r="Q16" s="519">
        <v>39892.402366434937</v>
      </c>
      <c r="R16" s="519">
        <v>42262.103035713219</v>
      </c>
      <c r="S16" s="519"/>
      <c r="T16" s="519"/>
      <c r="U16" s="519"/>
      <c r="V16" s="519"/>
      <c r="W16" s="519"/>
      <c r="X16" s="519"/>
      <c r="Y16" s="507"/>
      <c r="Z16" s="523"/>
      <c r="AA16" s="523"/>
      <c r="AB16" s="523"/>
      <c r="AC16" s="523"/>
      <c r="AE16" s="519"/>
      <c r="AF16" s="519"/>
      <c r="AH16" s="517"/>
      <c r="AI16" s="507"/>
      <c r="AJ16" s="507"/>
      <c r="AK16" s="529"/>
      <c r="AL16" s="529"/>
      <c r="AM16" s="529"/>
      <c r="AN16" s="529"/>
      <c r="AO16" s="517"/>
      <c r="AP16" s="68" t="s">
        <v>822</v>
      </c>
      <c r="AQ16" s="523">
        <v>-10051.213412884959</v>
      </c>
      <c r="AR16" s="517">
        <v>10599.924852678196</v>
      </c>
      <c r="AS16" s="523">
        <v>-7943.6550177202716</v>
      </c>
      <c r="AT16" s="517">
        <v>880.33859289759903</v>
      </c>
      <c r="AU16" s="523"/>
      <c r="AV16" s="517"/>
      <c r="AX16" s="517"/>
      <c r="AY16" s="517"/>
      <c r="AZ16" s="517"/>
      <c r="BA16" s="517"/>
      <c r="BB16" s="517"/>
      <c r="BC16" s="517"/>
      <c r="BD16" s="517"/>
      <c r="BE16" s="507"/>
      <c r="BF16" s="517"/>
      <c r="BG16" s="517"/>
      <c r="BH16" s="517"/>
      <c r="BI16" s="517"/>
      <c r="BJ16" s="517"/>
      <c r="BK16" s="517"/>
      <c r="BL16" s="517"/>
      <c r="BM16" s="517"/>
      <c r="BN16" s="517"/>
    </row>
    <row r="17" spans="1:66">
      <c r="A17" s="507" t="s">
        <v>823</v>
      </c>
      <c r="B17" s="519">
        <v>17143.669658910429</v>
      </c>
      <c r="C17" s="519">
        <v>17990.75821957997</v>
      </c>
      <c r="D17" s="519">
        <v>18274.587545903865</v>
      </c>
      <c r="E17" s="519">
        <v>18652.735143190326</v>
      </c>
      <c r="F17" s="519">
        <v>19526.048949895681</v>
      </c>
      <c r="G17" s="519">
        <v>20613.675762325056</v>
      </c>
      <c r="H17" s="519">
        <v>21126.092648337049</v>
      </c>
      <c r="I17" s="519">
        <v>21838.765320420796</v>
      </c>
      <c r="J17" s="519">
        <v>22776.380409405021</v>
      </c>
      <c r="K17" s="519">
        <v>22938.012775633244</v>
      </c>
      <c r="L17" s="519">
        <v>23262.73918436504</v>
      </c>
      <c r="M17" s="519">
        <v>23753.638354257768</v>
      </c>
      <c r="N17" s="519">
        <v>24537.791007082495</v>
      </c>
      <c r="O17" s="519">
        <v>24944.279918705499</v>
      </c>
      <c r="P17" s="519">
        <v>25545.189971367461</v>
      </c>
      <c r="Q17" s="519">
        <v>26477.608207293564</v>
      </c>
      <c r="R17" s="519">
        <v>27854.623883668257</v>
      </c>
      <c r="S17" s="519"/>
      <c r="T17" s="519"/>
      <c r="U17" s="519"/>
      <c r="V17" s="519"/>
      <c r="W17" s="519"/>
      <c r="X17" s="519"/>
      <c r="Y17" s="507"/>
      <c r="Z17" s="523"/>
      <c r="AA17" s="523"/>
      <c r="AB17" s="534"/>
      <c r="AC17" s="534"/>
      <c r="AE17" s="519"/>
      <c r="AF17" s="519"/>
      <c r="AH17" s="517"/>
      <c r="AI17" s="507"/>
      <c r="AJ17" s="507"/>
      <c r="AK17" s="529"/>
      <c r="AL17" s="529"/>
      <c r="AM17" s="529"/>
      <c r="AN17" s="529"/>
      <c r="AO17" s="517"/>
      <c r="AP17" s="68" t="s">
        <v>824</v>
      </c>
      <c r="AQ17" s="523">
        <v>-8969.2713682624035</v>
      </c>
      <c r="AR17" s="517">
        <v>9576.3121316954894</v>
      </c>
      <c r="AS17" s="523">
        <v>-3755.601796111865</v>
      </c>
      <c r="AT17" s="517">
        <v>475.19511333525975</v>
      </c>
      <c r="AU17" s="523"/>
      <c r="AV17" s="517"/>
      <c r="AX17" s="517"/>
      <c r="AY17" s="517"/>
      <c r="AZ17" s="517"/>
      <c r="BA17" s="517"/>
      <c r="BB17" s="517"/>
      <c r="BC17" s="517"/>
      <c r="BD17" s="517"/>
      <c r="BE17" s="507"/>
      <c r="BF17" s="517"/>
      <c r="BG17" s="517"/>
      <c r="BH17" s="517"/>
      <c r="BI17" s="517"/>
      <c r="BJ17" s="517"/>
      <c r="BK17" s="517"/>
      <c r="BL17" s="517"/>
      <c r="BM17" s="517"/>
      <c r="BN17" s="517"/>
    </row>
    <row r="18" spans="1:66">
      <c r="A18" s="507" t="s">
        <v>825</v>
      </c>
      <c r="B18" s="519">
        <v>12554.896489432478</v>
      </c>
      <c r="C18" s="519">
        <v>13577.596296204392</v>
      </c>
      <c r="D18" s="519">
        <v>14492.543450490453</v>
      </c>
      <c r="E18" s="519">
        <v>15229.803860938384</v>
      </c>
      <c r="F18" s="519">
        <v>15638.555227587151</v>
      </c>
      <c r="G18" s="519">
        <v>15752.09879087292</v>
      </c>
      <c r="H18" s="519">
        <v>16507.872316072826</v>
      </c>
      <c r="I18" s="519">
        <v>16577.631841814349</v>
      </c>
      <c r="J18" s="519">
        <v>16714.632542793923</v>
      </c>
      <c r="K18" s="519">
        <v>17304.906019209378</v>
      </c>
      <c r="L18" s="519">
        <v>18075.484675954754</v>
      </c>
      <c r="M18" s="519">
        <v>18251.401743115963</v>
      </c>
      <c r="N18" s="519">
        <v>18888.691296988578</v>
      </c>
      <c r="O18" s="519">
        <v>19751.388281631094</v>
      </c>
      <c r="P18" s="519">
        <v>19852.528530967211</v>
      </c>
      <c r="Q18" s="519">
        <v>20117.148791451273</v>
      </c>
      <c r="R18" s="519">
        <v>20534.28674531103</v>
      </c>
      <c r="S18" s="519"/>
      <c r="T18" s="519"/>
      <c r="U18" s="519"/>
      <c r="V18" s="519"/>
      <c r="W18" s="519"/>
      <c r="X18" s="519"/>
      <c r="Y18" s="507"/>
      <c r="Z18" s="534"/>
      <c r="AA18" s="534"/>
      <c r="AB18" s="529"/>
      <c r="AC18" s="529"/>
      <c r="AE18" s="519"/>
      <c r="AF18" s="519"/>
      <c r="AH18" s="517"/>
      <c r="AI18" s="507"/>
      <c r="AJ18" s="507"/>
      <c r="AK18" s="529"/>
      <c r="AL18" s="529"/>
      <c r="AM18" s="529"/>
      <c r="AN18" s="529"/>
      <c r="AO18" s="517"/>
      <c r="AP18" s="68" t="s">
        <v>826</v>
      </c>
      <c r="AQ18" s="523">
        <v>-7270.248405113909</v>
      </c>
      <c r="AR18" s="517">
        <v>7695.6936395086468</v>
      </c>
      <c r="AS18" s="523">
        <v>-1480.2182518382865</v>
      </c>
      <c r="AT18" s="517">
        <v>268.47224633308036</v>
      </c>
      <c r="AU18" s="523"/>
      <c r="AV18" s="517"/>
      <c r="AX18" s="517"/>
      <c r="AY18" s="517"/>
      <c r="AZ18" s="517"/>
      <c r="BA18" s="517"/>
      <c r="BB18" s="517"/>
      <c r="BC18" s="517"/>
      <c r="BD18" s="517"/>
      <c r="BE18" s="507"/>
      <c r="BF18" s="517"/>
      <c r="BG18" s="517"/>
      <c r="BH18" s="517"/>
      <c r="BI18" s="517"/>
      <c r="BJ18" s="517"/>
      <c r="BK18" s="517"/>
      <c r="BL18" s="517"/>
      <c r="BM18" s="517"/>
      <c r="BN18" s="517"/>
    </row>
    <row r="19" spans="1:66">
      <c r="A19" s="507" t="s">
        <v>827</v>
      </c>
      <c r="B19" s="519">
        <v>6563.4808796883444</v>
      </c>
      <c r="C19" s="519">
        <v>7069.0017113689464</v>
      </c>
      <c r="D19" s="519">
        <v>7999.4692631275966</v>
      </c>
      <c r="E19" s="519">
        <v>9043.2930908599756</v>
      </c>
      <c r="F19" s="519">
        <v>10164.925678316586</v>
      </c>
      <c r="G19" s="519">
        <v>11508.866948031653</v>
      </c>
      <c r="H19" s="519">
        <v>12457.669246569612</v>
      </c>
      <c r="I19" s="519">
        <v>13246.945520216905</v>
      </c>
      <c r="J19" s="519">
        <v>13866.712964956167</v>
      </c>
      <c r="K19" s="519">
        <v>14151.984098867815</v>
      </c>
      <c r="L19" s="519">
        <v>14143.771759142281</v>
      </c>
      <c r="M19" s="519">
        <v>14747.089110216619</v>
      </c>
      <c r="N19" s="519">
        <v>14800.949652118627</v>
      </c>
      <c r="O19" s="519">
        <v>14917.367229023788</v>
      </c>
      <c r="P19" s="519">
        <v>15464.356038030417</v>
      </c>
      <c r="Q19" s="519">
        <v>16190.930638158676</v>
      </c>
      <c r="R19" s="519">
        <v>16341.105959579016</v>
      </c>
      <c r="S19" s="519"/>
      <c r="T19" s="519"/>
      <c r="U19" s="519"/>
      <c r="V19" s="519"/>
      <c r="W19" s="519"/>
      <c r="X19" s="519"/>
      <c r="Y19" s="507"/>
      <c r="Z19" s="529"/>
      <c r="AA19" s="529"/>
      <c r="AB19" s="529"/>
      <c r="AC19" s="529"/>
      <c r="AE19" s="519"/>
      <c r="AF19" s="519"/>
      <c r="AH19" s="517"/>
      <c r="AI19" s="507"/>
      <c r="AJ19" s="507"/>
      <c r="AK19" s="529"/>
      <c r="AL19" s="529"/>
      <c r="AM19" s="529"/>
      <c r="AN19" s="529"/>
      <c r="AO19" s="517"/>
      <c r="AP19" s="68" t="s">
        <v>828</v>
      </c>
      <c r="AQ19" s="523">
        <v>-6535.6588906157886</v>
      </c>
      <c r="AR19" s="517">
        <v>6659.6936395086468</v>
      </c>
      <c r="AS19" s="523">
        <v>-554.13497487487928</v>
      </c>
      <c r="AT19" s="517">
        <v>117.22545995685222</v>
      </c>
      <c r="AU19" s="523"/>
      <c r="AV19" s="517"/>
      <c r="AX19" s="517"/>
      <c r="AY19" s="517"/>
      <c r="AZ19" s="517"/>
      <c r="BA19" s="517"/>
      <c r="BB19" s="517"/>
      <c r="BC19" s="517"/>
      <c r="BD19" s="517"/>
      <c r="BE19" s="507"/>
      <c r="BF19" s="517"/>
      <c r="BG19" s="517"/>
      <c r="BH19" s="517"/>
      <c r="BI19" s="517"/>
      <c r="BJ19" s="517"/>
      <c r="BK19" s="517"/>
      <c r="BL19" s="517"/>
      <c r="BM19" s="517"/>
      <c r="BN19" s="517"/>
    </row>
    <row r="20" spans="1:66">
      <c r="A20" s="507" t="s">
        <v>829</v>
      </c>
      <c r="B20" s="519">
        <v>4976.3943411769242</v>
      </c>
      <c r="C20" s="519">
        <v>5178.6884989958762</v>
      </c>
      <c r="D20" s="519">
        <v>5270.3987753567335</v>
      </c>
      <c r="E20" s="519">
        <v>5431.6718075220042</v>
      </c>
      <c r="F20" s="519">
        <v>5579.6695942186461</v>
      </c>
      <c r="G20" s="519">
        <v>5837.5711096234572</v>
      </c>
      <c r="H20" s="519">
        <v>6308.5740870508289</v>
      </c>
      <c r="I20" s="519">
        <v>7140.6512671316195</v>
      </c>
      <c r="J20" s="519">
        <v>8078.9089333727488</v>
      </c>
      <c r="K20" s="519">
        <v>9082.3516897442187</v>
      </c>
      <c r="L20" s="519">
        <v>10300.984257686468</v>
      </c>
      <c r="M20" s="519">
        <v>11136.811479108399</v>
      </c>
      <c r="N20" s="519">
        <v>11873.838319461922</v>
      </c>
      <c r="O20" s="519">
        <v>12452.069870895008</v>
      </c>
      <c r="P20" s="519">
        <v>12717.511355485231</v>
      </c>
      <c r="Q20" s="519">
        <v>12712.168128555835</v>
      </c>
      <c r="R20" s="519">
        <v>13284.045682076488</v>
      </c>
      <c r="S20" s="519"/>
      <c r="T20" s="519"/>
      <c r="U20" s="519"/>
      <c r="V20" s="519"/>
      <c r="W20" s="519"/>
      <c r="X20" s="519"/>
      <c r="Y20" s="507"/>
      <c r="Z20" s="529"/>
      <c r="AA20" s="529"/>
      <c r="AB20" s="529"/>
      <c r="AC20" s="529"/>
      <c r="AE20" s="519"/>
      <c r="AF20" s="519"/>
      <c r="AH20" s="517"/>
      <c r="AK20" s="517"/>
      <c r="AL20" s="517"/>
      <c r="AM20" s="517"/>
      <c r="AN20" s="517"/>
      <c r="AO20" s="517"/>
      <c r="AP20" s="68" t="s">
        <v>830</v>
      </c>
      <c r="AQ20" s="523">
        <v>-3987.7109531210526</v>
      </c>
      <c r="AR20" s="517">
        <v>3851</v>
      </c>
      <c r="AS20" s="523">
        <v>-197.5747773467894</v>
      </c>
      <c r="AT20" s="517">
        <v>42.623202904906734</v>
      </c>
      <c r="AU20" s="523"/>
      <c r="AV20" s="517"/>
      <c r="AX20" s="517"/>
      <c r="AY20" s="517"/>
      <c r="AZ20" s="517"/>
      <c r="BA20" s="517"/>
      <c r="BB20" s="517"/>
      <c r="BC20" s="517"/>
      <c r="BD20" s="517"/>
      <c r="BE20" s="507"/>
      <c r="BF20" s="517"/>
      <c r="BG20" s="517"/>
      <c r="BH20" s="517"/>
      <c r="BI20" s="517"/>
      <c r="BJ20" s="517"/>
      <c r="BK20" s="517"/>
      <c r="BL20" s="517"/>
      <c r="BM20" s="517"/>
      <c r="BN20" s="517"/>
    </row>
    <row r="21" spans="1:66">
      <c r="A21" s="507" t="s">
        <v>831</v>
      </c>
      <c r="B21" s="519">
        <v>4884.7949582244364</v>
      </c>
      <c r="C21" s="519">
        <v>4695.0580794319949</v>
      </c>
      <c r="D21" s="519">
        <v>4531.9487520044586</v>
      </c>
      <c r="E21" s="519">
        <v>4367.5321556576419</v>
      </c>
      <c r="F21" s="519">
        <v>4281.8803035068113</v>
      </c>
      <c r="G21" s="519">
        <v>4247.0727601723238</v>
      </c>
      <c r="H21" s="519">
        <v>4432.1974353940968</v>
      </c>
      <c r="I21" s="519">
        <v>4506.232918056101</v>
      </c>
      <c r="J21" s="519">
        <v>4641.3457180752666</v>
      </c>
      <c r="K21" s="519">
        <v>4771.5378052287697</v>
      </c>
      <c r="L21" s="519">
        <v>4985.8111994876481</v>
      </c>
      <c r="M21" s="519">
        <v>5400.1679722961098</v>
      </c>
      <c r="N21" s="519">
        <v>6156.6102478834782</v>
      </c>
      <c r="O21" s="519">
        <v>7007.1402046095709</v>
      </c>
      <c r="P21" s="519">
        <v>7909.7600763443825</v>
      </c>
      <c r="Q21" s="519">
        <v>8998.4721538829326</v>
      </c>
      <c r="R21" s="519">
        <v>9751.2787863962039</v>
      </c>
      <c r="S21" s="519"/>
      <c r="T21" s="519"/>
      <c r="U21" s="519"/>
      <c r="V21" s="519"/>
      <c r="W21" s="519"/>
      <c r="X21" s="519"/>
      <c r="Y21" s="507"/>
      <c r="Z21" s="529"/>
      <c r="AA21" s="529"/>
      <c r="AB21" s="529"/>
      <c r="AC21" s="529"/>
      <c r="AE21" s="519"/>
      <c r="AF21" s="519"/>
      <c r="AH21" s="517"/>
      <c r="AI21" s="507"/>
      <c r="AJ21" s="507"/>
      <c r="AK21" s="529"/>
      <c r="AL21" s="529"/>
      <c r="AM21" s="529"/>
      <c r="AN21" s="529"/>
      <c r="AO21" s="517"/>
      <c r="AP21" s="68" t="s">
        <v>832</v>
      </c>
      <c r="AQ21" s="523">
        <v>-2241.2369843736842</v>
      </c>
      <c r="AR21" s="517">
        <v>2293.2312131695489</v>
      </c>
      <c r="AS21" s="523">
        <v>-94.097883754957962</v>
      </c>
      <c r="AT21" s="517">
        <v>12.779636777075076</v>
      </c>
      <c r="AU21" s="523"/>
      <c r="AV21" s="517"/>
      <c r="AX21" s="517"/>
      <c r="AY21" s="517"/>
      <c r="AZ21" s="517"/>
      <c r="BA21" s="517"/>
      <c r="BB21" s="517"/>
      <c r="BC21" s="517"/>
      <c r="BD21" s="517"/>
      <c r="BE21" s="507"/>
      <c r="BF21" s="517"/>
      <c r="BG21" s="517"/>
      <c r="BH21" s="517"/>
      <c r="BI21" s="517"/>
      <c r="BJ21" s="517"/>
      <c r="BK21" s="517"/>
      <c r="BL21" s="517"/>
      <c r="BM21" s="517"/>
      <c r="BN21" s="517"/>
    </row>
    <row r="22" spans="1:66">
      <c r="A22" s="507" t="s">
        <v>833</v>
      </c>
      <c r="B22" s="519">
        <v>3733.2165120949157</v>
      </c>
      <c r="C22" s="519">
        <v>3799.843380466139</v>
      </c>
      <c r="D22" s="519">
        <v>3855.6309657967145</v>
      </c>
      <c r="E22" s="519">
        <v>3918.595897357683</v>
      </c>
      <c r="F22" s="519">
        <v>3864.7565461320892</v>
      </c>
      <c r="G22" s="519">
        <v>3820.1332078026767</v>
      </c>
      <c r="H22" s="519">
        <v>3679.7483049795746</v>
      </c>
      <c r="I22" s="519">
        <v>3550.558012219512</v>
      </c>
      <c r="J22" s="519">
        <v>3427.3883752117263</v>
      </c>
      <c r="K22" s="519">
        <v>3358.2399210187282</v>
      </c>
      <c r="L22" s="519">
        <v>3338.1131901552531</v>
      </c>
      <c r="M22" s="519">
        <v>3496.0087369316843</v>
      </c>
      <c r="N22" s="519">
        <v>3562.927129806259</v>
      </c>
      <c r="O22" s="519">
        <v>3676.868951746259</v>
      </c>
      <c r="P22" s="519">
        <v>3794.834800598434</v>
      </c>
      <c r="Q22" s="519">
        <v>3982.8252894688735</v>
      </c>
      <c r="R22" s="519">
        <v>4344.8410471125899</v>
      </c>
      <c r="S22" s="519"/>
      <c r="T22" s="519"/>
      <c r="U22" s="519"/>
      <c r="V22" s="519"/>
      <c r="W22" s="519"/>
      <c r="X22" s="519"/>
      <c r="Y22" s="507"/>
      <c r="Z22" s="529"/>
      <c r="AA22" s="529"/>
      <c r="AB22" s="529"/>
      <c r="AC22" s="529"/>
      <c r="AE22" s="519"/>
      <c r="AF22" s="519"/>
      <c r="AH22" s="517"/>
      <c r="AI22" s="521"/>
      <c r="AJ22" s="521"/>
      <c r="AK22" s="530"/>
      <c r="AL22" s="530"/>
      <c r="AM22" s="530"/>
      <c r="AN22" s="530"/>
      <c r="AO22" s="517"/>
      <c r="AP22" s="68" t="s">
        <v>834</v>
      </c>
      <c r="AQ22" s="523">
        <v>-3955.1560658477447</v>
      </c>
      <c r="AR22" s="517">
        <v>3857.2312131695489</v>
      </c>
      <c r="AS22" s="523">
        <v>-87.810413601658809</v>
      </c>
      <c r="AT22" s="517">
        <v>6.3998057899879131</v>
      </c>
      <c r="AU22" s="533"/>
      <c r="AV22" s="517"/>
      <c r="AX22" s="517"/>
      <c r="AY22" s="517"/>
      <c r="AZ22" s="517"/>
      <c r="BA22" s="517"/>
      <c r="BB22" s="517"/>
      <c r="BC22" s="517"/>
      <c r="BD22" s="517"/>
      <c r="BE22" s="507"/>
      <c r="BF22" s="517"/>
      <c r="BG22" s="517"/>
      <c r="BH22" s="517"/>
      <c r="BI22" s="517"/>
      <c r="BJ22" s="517"/>
      <c r="BK22" s="517"/>
      <c r="BL22" s="517"/>
      <c r="BM22" s="517"/>
      <c r="BN22" s="517"/>
    </row>
    <row r="23" spans="1:66">
      <c r="A23" s="521" t="s">
        <v>835</v>
      </c>
      <c r="B23" s="522">
        <v>3012.9655350662219</v>
      </c>
      <c r="C23" s="522">
        <v>3209.6692334386162</v>
      </c>
      <c r="D23" s="522">
        <v>3414.7603767129431</v>
      </c>
      <c r="E23" s="522">
        <v>3602.2796581294174</v>
      </c>
      <c r="F23" s="522">
        <v>3812.2720492329472</v>
      </c>
      <c r="G23" s="522">
        <v>4012.7872497884164</v>
      </c>
      <c r="H23" s="522">
        <v>4176.8801850129657</v>
      </c>
      <c r="I23" s="522">
        <v>4330.5238337308037</v>
      </c>
      <c r="J23" s="522">
        <v>4479.2091231972145</v>
      </c>
      <c r="K23" s="522">
        <v>4567.9371083846981</v>
      </c>
      <c r="L23" s="522">
        <v>4662.7088709944246</v>
      </c>
      <c r="M23" s="522">
        <v>4658.5255201334494</v>
      </c>
      <c r="N23" s="522">
        <v>4673.388193009092</v>
      </c>
      <c r="O23" s="522">
        <v>4703.2980556409038</v>
      </c>
      <c r="P23" s="522">
        <v>4732.2563035906742</v>
      </c>
      <c r="Q23" s="522">
        <v>4803.2641627109424</v>
      </c>
      <c r="R23" s="522">
        <v>4940.3228899124642</v>
      </c>
      <c r="S23" s="519"/>
      <c r="T23" s="519"/>
      <c r="U23" s="519"/>
      <c r="V23" s="519"/>
      <c r="W23" s="519"/>
      <c r="X23" s="519"/>
      <c r="Z23" s="517"/>
      <c r="AA23" s="517"/>
      <c r="AB23" s="517"/>
      <c r="AC23" s="517"/>
      <c r="AE23" s="519"/>
      <c r="AF23" s="519"/>
      <c r="AH23" s="517"/>
      <c r="AI23" s="507"/>
      <c r="AJ23" s="517"/>
      <c r="AK23" s="517"/>
      <c r="AL23" s="517"/>
      <c r="AM23" s="523"/>
      <c r="AN23" s="517"/>
      <c r="AO23" s="517"/>
      <c r="AP23" s="68" t="s">
        <v>836</v>
      </c>
      <c r="AQ23" s="523">
        <f>SUM(AQ7:AQ22)</f>
        <v>-200892.33751214881</v>
      </c>
      <c r="AR23" s="523">
        <f>SUM(AR7:AR22)</f>
        <v>191147.32920197179</v>
      </c>
      <c r="AS23" s="523">
        <f>SUM(AS7:AS22)</f>
        <v>-170526.50806522858</v>
      </c>
      <c r="AT23" s="523">
        <f>SUM(AT7:AT22)</f>
        <v>16763.580950776242</v>
      </c>
      <c r="AV23" s="517"/>
      <c r="AX23" s="517"/>
      <c r="AY23" s="517"/>
      <c r="AZ23" s="517"/>
      <c r="BA23" s="517"/>
      <c r="BB23" s="517"/>
      <c r="BC23" s="517"/>
      <c r="BD23" s="517"/>
      <c r="BF23" s="517"/>
      <c r="BG23" s="517"/>
      <c r="BH23" s="517"/>
      <c r="BI23" s="517"/>
      <c r="BJ23" s="517"/>
      <c r="BK23" s="517"/>
      <c r="BL23" s="517"/>
      <c r="BM23" s="517"/>
      <c r="BN23" s="517"/>
    </row>
    <row r="24" spans="1:66">
      <c r="B24" s="523"/>
      <c r="C24" s="523"/>
      <c r="D24" s="523"/>
      <c r="E24" s="523"/>
      <c r="F24" s="523"/>
      <c r="G24" s="523"/>
      <c r="H24" s="523"/>
      <c r="I24" s="523"/>
      <c r="J24" s="523"/>
      <c r="K24" s="523"/>
      <c r="L24" s="523"/>
      <c r="M24" s="523"/>
      <c r="N24" s="523"/>
      <c r="O24" s="523"/>
      <c r="P24" s="523"/>
      <c r="Q24" s="523"/>
      <c r="R24" s="523"/>
      <c r="S24" s="523"/>
      <c r="T24" s="523"/>
      <c r="U24" s="523"/>
      <c r="V24" s="523"/>
      <c r="W24" s="523"/>
      <c r="X24" s="523"/>
      <c r="Y24" s="523"/>
      <c r="Z24" s="529"/>
      <c r="AA24" s="529"/>
      <c r="AB24" s="529"/>
      <c r="AC24" s="529"/>
      <c r="AE24" s="523"/>
      <c r="AF24" s="523"/>
      <c r="AH24" s="517"/>
      <c r="AJ24" s="517"/>
      <c r="AK24" s="517"/>
      <c r="AL24" s="517"/>
      <c r="AN24" s="517"/>
      <c r="AO24" s="517"/>
      <c r="AP24" s="517"/>
      <c r="AQ24" s="517"/>
      <c r="AR24" s="517"/>
      <c r="AS24" s="517"/>
      <c r="AT24" s="517"/>
      <c r="AU24" s="517"/>
      <c r="AV24" s="517"/>
      <c r="AX24" s="517"/>
      <c r="AY24" s="517"/>
      <c r="AZ24" s="517"/>
      <c r="BA24" s="517"/>
      <c r="BB24" s="517"/>
      <c r="BC24" s="517"/>
      <c r="BD24" s="517"/>
      <c r="BE24" s="506"/>
      <c r="BF24" s="517"/>
      <c r="BG24" s="517"/>
      <c r="BH24" s="517"/>
      <c r="BI24" s="517"/>
      <c r="BJ24" s="517"/>
      <c r="BK24" s="517"/>
      <c r="BL24" s="517"/>
      <c r="BM24" s="517"/>
      <c r="BN24" s="517"/>
    </row>
    <row r="25" spans="1:66">
      <c r="A25" s="506"/>
      <c r="B25" s="523"/>
      <c r="C25" s="523"/>
      <c r="D25" s="523"/>
      <c r="E25" s="523"/>
      <c r="F25" s="523"/>
      <c r="G25" s="523"/>
      <c r="H25" s="523"/>
      <c r="I25" s="523"/>
      <c r="J25" s="523"/>
      <c r="K25" s="523"/>
      <c r="L25" s="523"/>
      <c r="M25" s="523"/>
      <c r="N25" s="523"/>
      <c r="O25" s="523"/>
      <c r="P25" s="523"/>
      <c r="Q25" s="523"/>
      <c r="R25" s="523"/>
      <c r="S25" s="523"/>
      <c r="T25" s="523"/>
      <c r="U25" s="523"/>
      <c r="V25" s="523"/>
      <c r="W25" s="523"/>
      <c r="X25" s="523"/>
      <c r="Y25" s="523"/>
      <c r="Z25" s="529"/>
      <c r="AA25" s="529"/>
      <c r="AB25" s="529"/>
      <c r="AC25" s="529"/>
      <c r="AD25" s="523"/>
      <c r="AE25" s="523"/>
      <c r="AF25" s="523"/>
      <c r="AH25" s="517"/>
      <c r="AI25" s="507"/>
      <c r="AJ25" s="517"/>
      <c r="AK25" s="517"/>
      <c r="AL25" s="517"/>
      <c r="AN25" s="517"/>
      <c r="AO25" s="517"/>
      <c r="AP25" s="517"/>
      <c r="AQ25" s="517"/>
      <c r="AR25" s="517"/>
      <c r="AS25" s="517"/>
      <c r="AT25" s="517"/>
      <c r="AU25" s="517"/>
      <c r="AV25" s="517"/>
      <c r="AX25" s="517"/>
      <c r="AY25" s="517"/>
      <c r="AZ25" s="517"/>
      <c r="BA25" s="517"/>
      <c r="BB25" s="517"/>
      <c r="BC25" s="517"/>
      <c r="BD25" s="517"/>
      <c r="BG25" s="517"/>
      <c r="BH25" s="517"/>
      <c r="BI25" s="517"/>
      <c r="BJ25" s="517"/>
      <c r="BK25" s="517"/>
      <c r="BL25" s="517"/>
      <c r="BM25" s="517"/>
      <c r="BN25" s="517"/>
    </row>
    <row r="26" spans="1:66">
      <c r="A26" s="524" t="s">
        <v>837</v>
      </c>
      <c r="B26" s="525">
        <f>SUM(B27:B43)</f>
        <v>261708.64336125585</v>
      </c>
      <c r="C26" s="525">
        <f t="shared" ref="C26:R26" si="1">SUM(C27:C43)</f>
        <v>274606.88528707461</v>
      </c>
      <c r="D26" s="525">
        <f t="shared" si="1"/>
        <v>288501.98346805398</v>
      </c>
      <c r="E26" s="525">
        <f t="shared" si="1"/>
        <v>303477.73872504593</v>
      </c>
      <c r="F26" s="525">
        <f t="shared" si="1"/>
        <v>319662.84963689483</v>
      </c>
      <c r="G26" s="525">
        <f t="shared" si="1"/>
        <v>337167.05816533882</v>
      </c>
      <c r="H26" s="525">
        <f t="shared" si="1"/>
        <v>356149.41575310129</v>
      </c>
      <c r="I26" s="525">
        <f t="shared" si="1"/>
        <v>363750.28704979067</v>
      </c>
      <c r="J26" s="525">
        <f t="shared" si="1"/>
        <v>371418.84557737724</v>
      </c>
      <c r="K26" s="525">
        <f t="shared" si="1"/>
        <v>379135.00566837197</v>
      </c>
      <c r="L26" s="525">
        <f t="shared" si="1"/>
        <v>386911.75572201586</v>
      </c>
      <c r="M26" s="525">
        <f t="shared" si="1"/>
        <v>394739.16008692939</v>
      </c>
      <c r="N26" s="525">
        <f t="shared" si="1"/>
        <v>402610.36099162122</v>
      </c>
      <c r="O26" s="525">
        <f t="shared" si="1"/>
        <v>410549.5805240742</v>
      </c>
      <c r="P26" s="525">
        <f t="shared" si="1"/>
        <v>418572.1226616592</v>
      </c>
      <c r="Q26" s="525">
        <f t="shared" si="1"/>
        <v>426713.37535265094</v>
      </c>
      <c r="R26" s="525">
        <f t="shared" si="1"/>
        <v>434923.81265066349</v>
      </c>
      <c r="S26" s="516"/>
      <c r="T26" s="516"/>
      <c r="U26" s="516"/>
      <c r="V26" s="516"/>
      <c r="W26" s="516"/>
      <c r="X26" s="516"/>
      <c r="Y26" s="516"/>
      <c r="Z26" s="516"/>
      <c r="AA26" s="516"/>
      <c r="AB26" s="516"/>
      <c r="AC26" s="516"/>
      <c r="AD26" s="516"/>
      <c r="AE26" s="516"/>
      <c r="AF26" s="516"/>
      <c r="AH26" s="517"/>
      <c r="AJ26" s="517"/>
      <c r="AK26" s="517"/>
      <c r="AL26" s="517"/>
      <c r="AN26" s="517"/>
      <c r="AO26" s="517"/>
      <c r="AP26" s="517"/>
      <c r="AQ26" s="517"/>
      <c r="AR26" s="517"/>
      <c r="AS26" s="517"/>
      <c r="AT26" s="517"/>
      <c r="AU26" s="517"/>
      <c r="AV26" s="517"/>
      <c r="AX26" s="517"/>
      <c r="AY26" s="517"/>
      <c r="AZ26" s="517"/>
      <c r="BA26" s="517"/>
      <c r="BB26" s="517"/>
      <c r="BC26" s="517"/>
      <c r="BD26" s="517"/>
      <c r="BG26" s="517"/>
      <c r="BH26" s="517"/>
      <c r="BI26" s="517"/>
      <c r="BJ26" s="517"/>
      <c r="BK26" s="517"/>
      <c r="BL26" s="517"/>
      <c r="BM26" s="517"/>
      <c r="BN26" s="517"/>
    </row>
    <row r="27" spans="1:66" s="312" customFormat="1">
      <c r="A27" s="520" t="s">
        <v>803</v>
      </c>
      <c r="B27" s="519">
        <v>19247.916018377269</v>
      </c>
      <c r="C27" s="519">
        <v>19508.045813245772</v>
      </c>
      <c r="D27" s="519">
        <v>19579.651917131185</v>
      </c>
      <c r="E27" s="519">
        <v>19708.310114393014</v>
      </c>
      <c r="F27" s="519">
        <v>20095.656740838236</v>
      </c>
      <c r="G27" s="519">
        <v>20540.395051858792</v>
      </c>
      <c r="H27" s="519">
        <v>20612.302260308905</v>
      </c>
      <c r="I27" s="519">
        <v>20578.223693183423</v>
      </c>
      <c r="J27" s="519">
        <v>20508.725479643297</v>
      </c>
      <c r="K27" s="519">
        <v>20383.822313905279</v>
      </c>
      <c r="L27" s="519">
        <v>20200.529262237731</v>
      </c>
      <c r="M27" s="519">
        <v>19968.861772380889</v>
      </c>
      <c r="N27" s="519">
        <v>19706.835683205645</v>
      </c>
      <c r="O27" s="519">
        <v>19433.467234616892</v>
      </c>
      <c r="P27" s="519">
        <v>19173.773077707618</v>
      </c>
      <c r="Q27" s="519">
        <v>18951.770285170103</v>
      </c>
      <c r="R27" s="519">
        <v>18770.476361970734</v>
      </c>
      <c r="S27" s="519"/>
      <c r="T27" s="519"/>
      <c r="U27" s="519"/>
      <c r="V27" s="519"/>
      <c r="W27" s="519"/>
      <c r="X27" s="519"/>
      <c r="Y27" s="519"/>
      <c r="Z27" s="519"/>
      <c r="AA27" s="519"/>
      <c r="AB27" s="519"/>
      <c r="AC27" s="519"/>
      <c r="AD27" s="519"/>
      <c r="AE27" s="519"/>
      <c r="AF27" s="519"/>
      <c r="AH27" s="517"/>
      <c r="AI27" s="507"/>
      <c r="AJ27" s="517"/>
      <c r="AK27" s="517"/>
      <c r="AL27" s="517"/>
      <c r="AN27" s="517"/>
      <c r="AO27" s="517"/>
      <c r="AP27" s="517"/>
      <c r="AQ27" s="517"/>
      <c r="AR27" s="517"/>
      <c r="AS27" s="517"/>
      <c r="AT27" s="517"/>
      <c r="AU27" s="517"/>
      <c r="AV27" s="517"/>
      <c r="AX27" s="517"/>
      <c r="AY27" s="517"/>
      <c r="AZ27" s="517"/>
      <c r="BA27" s="517"/>
      <c r="BB27" s="517"/>
      <c r="BC27" s="517"/>
      <c r="BD27" s="517"/>
      <c r="BG27" s="517"/>
      <c r="BH27" s="517"/>
      <c r="BI27" s="517"/>
      <c r="BJ27" s="517"/>
      <c r="BK27" s="517"/>
      <c r="BL27" s="517"/>
      <c r="BM27" s="517"/>
      <c r="BN27" s="517"/>
    </row>
    <row r="28" spans="1:66">
      <c r="A28" s="518" t="s">
        <v>805</v>
      </c>
      <c r="B28" s="519">
        <v>16551.870612207542</v>
      </c>
      <c r="C28" s="519">
        <v>17516.1727626047</v>
      </c>
      <c r="D28" s="519">
        <v>18435.651435697957</v>
      </c>
      <c r="E28" s="519">
        <v>19060.640435816425</v>
      </c>
      <c r="F28" s="519">
        <v>19138.508666593265</v>
      </c>
      <c r="G28" s="519">
        <v>19087.663822201968</v>
      </c>
      <c r="H28" s="519">
        <v>19344.556466798349</v>
      </c>
      <c r="I28" s="519">
        <v>19377.942932532249</v>
      </c>
      <c r="J28" s="519">
        <v>19458.668436175503</v>
      </c>
      <c r="K28" s="519">
        <v>19791.741564673313</v>
      </c>
      <c r="L28" s="519">
        <v>20175.171122459982</v>
      </c>
      <c r="M28" s="519">
        <v>20180.9661369676</v>
      </c>
      <c r="N28" s="519">
        <v>20143.135864274205</v>
      </c>
      <c r="O28" s="519">
        <v>20066.689794895014</v>
      </c>
      <c r="P28" s="519">
        <v>19935.637659720367</v>
      </c>
      <c r="Q28" s="519">
        <v>19750.98943610405</v>
      </c>
      <c r="R28" s="519">
        <v>19512.755354105815</v>
      </c>
      <c r="S28" s="519"/>
      <c r="T28" s="519"/>
      <c r="U28" s="519"/>
      <c r="V28" s="519"/>
      <c r="W28" s="519"/>
      <c r="X28" s="519"/>
      <c r="Y28" s="519"/>
      <c r="Z28" s="519"/>
      <c r="AA28" s="519"/>
      <c r="AB28" s="519"/>
      <c r="AC28" s="519"/>
      <c r="AD28" s="519"/>
      <c r="AE28" s="519"/>
      <c r="AF28" s="519"/>
      <c r="AH28" s="517"/>
      <c r="AJ28" s="517"/>
      <c r="AK28" s="517"/>
      <c r="AL28" s="517"/>
      <c r="AN28" s="517"/>
      <c r="AO28" s="517"/>
      <c r="AP28" s="517"/>
      <c r="AQ28" s="517"/>
      <c r="AR28" s="517"/>
      <c r="AS28" s="517"/>
      <c r="AT28" s="517"/>
      <c r="AU28" s="517"/>
      <c r="AV28" s="517"/>
      <c r="AX28" s="517"/>
      <c r="AY28" s="517"/>
      <c r="AZ28" s="517"/>
      <c r="BA28" s="517"/>
      <c r="BB28" s="517"/>
      <c r="BC28" s="517"/>
      <c r="BD28" s="517"/>
      <c r="BG28" s="517"/>
      <c r="BH28" s="517"/>
      <c r="BI28" s="517"/>
      <c r="BJ28" s="517"/>
      <c r="BK28" s="517"/>
      <c r="BL28" s="517"/>
      <c r="BM28" s="517"/>
      <c r="BN28" s="517"/>
    </row>
    <row r="29" spans="1:66">
      <c r="A29" s="518" t="s">
        <v>807</v>
      </c>
      <c r="B29" s="519">
        <v>13640.364136086817</v>
      </c>
      <c r="C29" s="519">
        <v>13507.650656053596</v>
      </c>
      <c r="D29" s="519">
        <v>13738.746909370946</v>
      </c>
      <c r="E29" s="519">
        <v>14399.843008573516</v>
      </c>
      <c r="F29" s="519">
        <v>15434.149054742806</v>
      </c>
      <c r="G29" s="519">
        <v>16488.897239569185</v>
      </c>
      <c r="H29" s="519">
        <v>17446.344168485706</v>
      </c>
      <c r="I29" s="519">
        <v>18344.002843609123</v>
      </c>
      <c r="J29" s="519">
        <v>18939.855525349078</v>
      </c>
      <c r="K29" s="519">
        <v>18986.907128334169</v>
      </c>
      <c r="L29" s="519">
        <v>18898.16269169507</v>
      </c>
      <c r="M29" s="519">
        <v>19115.627382218619</v>
      </c>
      <c r="N29" s="519">
        <v>19139.306497581827</v>
      </c>
      <c r="O29" s="519">
        <v>19218.205469667791</v>
      </c>
      <c r="P29" s="519">
        <v>19548.329867965658</v>
      </c>
      <c r="Q29" s="519">
        <v>19924.685403056679</v>
      </c>
      <c r="R29" s="519">
        <v>19926.277930188615</v>
      </c>
      <c r="S29" s="519"/>
      <c r="T29" s="519"/>
      <c r="U29" s="519"/>
      <c r="V29" s="519"/>
      <c r="W29" s="519"/>
      <c r="X29" s="519"/>
      <c r="Y29" s="519"/>
      <c r="Z29" s="519"/>
      <c r="AA29" s="519"/>
      <c r="AB29" s="519"/>
      <c r="AC29" s="519"/>
      <c r="AD29" s="519"/>
      <c r="AE29" s="519"/>
      <c r="AF29" s="519"/>
      <c r="AH29" s="517"/>
      <c r="AI29" s="507"/>
      <c r="AJ29" s="517"/>
      <c r="AK29" s="517"/>
      <c r="AL29" s="517"/>
      <c r="AN29" s="517"/>
      <c r="AO29" s="517"/>
      <c r="AP29" s="517"/>
      <c r="AQ29" s="517"/>
      <c r="AR29" s="517"/>
      <c r="AS29" s="517"/>
      <c r="AT29" s="517"/>
      <c r="AU29" s="517"/>
      <c r="AV29" s="517"/>
      <c r="AX29" s="517"/>
      <c r="AY29" s="517"/>
      <c r="AZ29" s="517"/>
      <c r="BA29" s="517"/>
      <c r="BB29" s="517"/>
      <c r="BC29" s="517"/>
      <c r="BD29" s="517"/>
      <c r="BG29" s="517"/>
      <c r="BH29" s="517"/>
      <c r="BI29" s="517"/>
      <c r="BJ29" s="517"/>
      <c r="BK29" s="517"/>
      <c r="BL29" s="517"/>
      <c r="BM29" s="517"/>
      <c r="BN29" s="517"/>
    </row>
    <row r="30" spans="1:66">
      <c r="A30" s="518" t="s">
        <v>809</v>
      </c>
      <c r="B30" s="519">
        <v>17363.376148933858</v>
      </c>
      <c r="C30" s="519">
        <v>17600.255815120032</v>
      </c>
      <c r="D30" s="519">
        <v>17478.026054095844</v>
      </c>
      <c r="E30" s="519">
        <v>17160.631324871891</v>
      </c>
      <c r="F30" s="519">
        <v>16981.21947330613</v>
      </c>
      <c r="G30" s="519">
        <v>17187.163093149647</v>
      </c>
      <c r="H30" s="519">
        <v>17354.083132880449</v>
      </c>
      <c r="I30" s="519">
        <v>17667.424553974266</v>
      </c>
      <c r="J30" s="519">
        <v>18412.330544035922</v>
      </c>
      <c r="K30" s="519">
        <v>19531.866668520561</v>
      </c>
      <c r="L30" s="519">
        <v>20667.100169620131</v>
      </c>
      <c r="M30" s="519">
        <v>21714.100009156376</v>
      </c>
      <c r="N30" s="519">
        <v>22715.93691257144</v>
      </c>
      <c r="O30" s="519">
        <v>23421.683414044121</v>
      </c>
      <c r="P30" s="519">
        <v>23580.41390276068</v>
      </c>
      <c r="Q30" s="519">
        <v>23609.204670369665</v>
      </c>
      <c r="R30" s="519">
        <v>23949.133959651121</v>
      </c>
      <c r="S30" s="519"/>
      <c r="T30" s="519"/>
      <c r="U30" s="519"/>
      <c r="V30" s="519"/>
      <c r="W30" s="519"/>
      <c r="X30" s="519"/>
      <c r="Y30" s="519"/>
      <c r="Z30" s="519"/>
      <c r="AA30" s="519"/>
      <c r="AB30" s="519"/>
      <c r="AC30" s="519"/>
      <c r="AD30" s="519"/>
      <c r="AE30" s="519"/>
      <c r="AF30" s="519"/>
      <c r="AH30" s="517"/>
      <c r="AJ30" s="517"/>
      <c r="AK30" s="517"/>
      <c r="AL30" s="517"/>
      <c r="AN30" s="517"/>
      <c r="AO30" s="517"/>
      <c r="AP30" s="517"/>
      <c r="AQ30" s="517"/>
      <c r="AR30" s="517"/>
      <c r="AS30" s="517"/>
      <c r="AT30" s="517"/>
      <c r="AU30" s="517"/>
      <c r="AV30" s="517"/>
      <c r="AW30" s="517"/>
      <c r="AX30" s="517"/>
      <c r="AY30" s="517"/>
      <c r="AZ30" s="517"/>
      <c r="BA30" s="517"/>
      <c r="BB30" s="517"/>
      <c r="BC30" s="517"/>
      <c r="BD30" s="517"/>
      <c r="BG30" s="517"/>
      <c r="BH30" s="517"/>
      <c r="BI30" s="517"/>
      <c r="BJ30" s="517"/>
      <c r="BK30" s="517"/>
      <c r="BL30" s="517"/>
      <c r="BM30" s="517"/>
      <c r="BN30" s="517"/>
    </row>
    <row r="31" spans="1:66">
      <c r="A31" s="518" t="s">
        <v>811</v>
      </c>
      <c r="B31" s="519">
        <v>34679.244823730041</v>
      </c>
      <c r="C31" s="519">
        <v>36159.544937477229</v>
      </c>
      <c r="D31" s="519">
        <v>38156.551929380847</v>
      </c>
      <c r="E31" s="519">
        <v>40584.871919982921</v>
      </c>
      <c r="F31" s="519">
        <v>42928.062883492734</v>
      </c>
      <c r="G31" s="519">
        <v>45324.839795137967</v>
      </c>
      <c r="H31" s="519">
        <v>48242.301350602982</v>
      </c>
      <c r="I31" s="519">
        <v>48748.767307105241</v>
      </c>
      <c r="J31" s="519">
        <v>49065.644006106377</v>
      </c>
      <c r="K31" s="519">
        <v>49516.476332463106</v>
      </c>
      <c r="L31" s="519">
        <v>50353.823040438889</v>
      </c>
      <c r="M31" s="519">
        <v>51141.257106800404</v>
      </c>
      <c r="N31" s="519">
        <v>52312.3660929053</v>
      </c>
      <c r="O31" s="519">
        <v>53937.752516010027</v>
      </c>
      <c r="P31" s="519">
        <v>55953.034230032543</v>
      </c>
      <c r="Q31" s="519">
        <v>58019.844816010838</v>
      </c>
      <c r="R31" s="519">
        <v>60010.833982504184</v>
      </c>
      <c r="S31" s="519"/>
      <c r="T31" s="519"/>
      <c r="U31" s="519"/>
      <c r="V31" s="519"/>
      <c r="W31" s="519"/>
      <c r="X31" s="519"/>
      <c r="Y31" s="519"/>
      <c r="Z31" s="519"/>
      <c r="AA31" s="519"/>
      <c r="AB31" s="519"/>
      <c r="AC31" s="519"/>
      <c r="AD31" s="519"/>
      <c r="AE31" s="519"/>
      <c r="AF31" s="519"/>
      <c r="AH31" s="517"/>
      <c r="AI31" s="507"/>
      <c r="AJ31" s="517"/>
      <c r="AK31" s="517"/>
      <c r="AL31" s="517"/>
      <c r="AN31" s="517"/>
      <c r="AO31" s="517"/>
      <c r="AV31" s="517"/>
      <c r="AW31" s="517"/>
      <c r="AX31" s="517"/>
      <c r="AY31" s="517"/>
      <c r="AZ31" s="517"/>
      <c r="BA31" s="517"/>
      <c r="BB31" s="517"/>
      <c r="BC31" s="517"/>
      <c r="BD31" s="517"/>
      <c r="BG31" s="517"/>
      <c r="BH31" s="517"/>
      <c r="BI31" s="517"/>
      <c r="BJ31" s="517"/>
      <c r="BK31" s="517"/>
      <c r="BL31" s="517"/>
      <c r="BM31" s="517"/>
      <c r="BN31" s="517"/>
    </row>
    <row r="32" spans="1:66">
      <c r="A32" s="518" t="s">
        <v>813</v>
      </c>
      <c r="B32" s="519">
        <v>45081.580666470618</v>
      </c>
      <c r="C32" s="519">
        <v>47750.691834477664</v>
      </c>
      <c r="D32" s="519">
        <v>50709.121106438331</v>
      </c>
      <c r="E32" s="519">
        <v>53842.129620086969</v>
      </c>
      <c r="F32" s="519">
        <v>57577.156713420234</v>
      </c>
      <c r="G32" s="519">
        <v>61625.154063263573</v>
      </c>
      <c r="H32" s="519">
        <v>65934.954962450371</v>
      </c>
      <c r="I32" s="519">
        <v>67273.515175459863</v>
      </c>
      <c r="J32" s="519">
        <v>68885.867656463291</v>
      </c>
      <c r="K32" s="519">
        <v>70225.845081402746</v>
      </c>
      <c r="L32" s="519">
        <v>71416.301272305544</v>
      </c>
      <c r="M32" s="519">
        <v>72895.111734359438</v>
      </c>
      <c r="N32" s="519">
        <v>74027.174206629919</v>
      </c>
      <c r="O32" s="519">
        <v>74983.409226767166</v>
      </c>
      <c r="P32" s="519">
        <v>76093.760710056842</v>
      </c>
      <c r="Q32" s="519">
        <v>77604.196543180064</v>
      </c>
      <c r="R32" s="519">
        <v>79081.709193055896</v>
      </c>
      <c r="S32" s="519"/>
      <c r="T32" s="519"/>
      <c r="U32" s="519"/>
      <c r="V32" s="519"/>
      <c r="W32" s="519"/>
      <c r="X32" s="519"/>
      <c r="Y32" s="519"/>
      <c r="Z32" s="519"/>
      <c r="AA32" s="519"/>
      <c r="AB32" s="519"/>
      <c r="AC32" s="519"/>
      <c r="AD32" s="519"/>
      <c r="AE32" s="519"/>
      <c r="AF32" s="519"/>
      <c r="AH32" s="517"/>
      <c r="AI32" s="517"/>
      <c r="AJ32" s="517"/>
      <c r="AK32" s="517"/>
      <c r="AL32" s="517"/>
      <c r="AN32" s="517"/>
      <c r="AO32" s="517"/>
      <c r="AQ32" s="312" t="s">
        <v>838</v>
      </c>
      <c r="AS32" s="312" t="s">
        <v>839</v>
      </c>
      <c r="AU32" s="506"/>
      <c r="AV32" s="517"/>
      <c r="AX32" s="517"/>
      <c r="AY32" s="517"/>
      <c r="AZ32" s="517"/>
      <c r="BA32" s="517"/>
      <c r="BB32" s="517"/>
      <c r="BC32" s="517"/>
      <c r="BD32" s="517"/>
      <c r="BG32" s="517"/>
      <c r="BH32" s="517"/>
      <c r="BI32" s="517"/>
      <c r="BJ32" s="517"/>
      <c r="BK32" s="517"/>
      <c r="BL32" s="517"/>
      <c r="BM32" s="517"/>
      <c r="BN32" s="517"/>
    </row>
    <row r="33" spans="1:66">
      <c r="A33" s="518" t="s">
        <v>815</v>
      </c>
      <c r="B33" s="519">
        <v>33516.767865001559</v>
      </c>
      <c r="C33" s="519">
        <v>36401.012274095352</v>
      </c>
      <c r="D33" s="519">
        <v>39415.210904690743</v>
      </c>
      <c r="E33" s="519">
        <v>42279.590933175161</v>
      </c>
      <c r="F33" s="519">
        <v>45530.608917092577</v>
      </c>
      <c r="G33" s="519">
        <v>48501.18517953714</v>
      </c>
      <c r="H33" s="519">
        <v>51582.962841817265</v>
      </c>
      <c r="I33" s="519">
        <v>52346.367928627587</v>
      </c>
      <c r="J33" s="519">
        <v>52992.786736460934</v>
      </c>
      <c r="K33" s="519">
        <v>53908.803650754147</v>
      </c>
      <c r="L33" s="519">
        <v>54769.017897890422</v>
      </c>
      <c r="M33" s="519">
        <v>55483.043922141871</v>
      </c>
      <c r="N33" s="519">
        <v>56565.511772187165</v>
      </c>
      <c r="O33" s="519">
        <v>57906.067497447439</v>
      </c>
      <c r="P33" s="519">
        <v>58965.37355448999</v>
      </c>
      <c r="Q33" s="519">
        <v>59876.109223755513</v>
      </c>
      <c r="R33" s="519">
        <v>61059.971036871168</v>
      </c>
      <c r="S33" s="519"/>
      <c r="T33" s="519"/>
      <c r="U33" s="519"/>
      <c r="V33" s="519"/>
      <c r="W33" s="519"/>
      <c r="X33" s="519"/>
      <c r="Y33" s="519"/>
      <c r="Z33" s="519"/>
      <c r="AA33" s="519"/>
      <c r="AB33" s="519"/>
      <c r="AC33" s="519"/>
      <c r="AD33" s="519"/>
      <c r="AE33" s="519"/>
      <c r="AF33" s="519"/>
      <c r="AH33" s="517"/>
      <c r="AI33" s="517"/>
      <c r="AJ33" s="517"/>
      <c r="AK33" s="517"/>
      <c r="AL33" s="517"/>
      <c r="AN33" s="517"/>
      <c r="AO33" s="517"/>
      <c r="AQ33" s="68" t="s">
        <v>22</v>
      </c>
      <c r="AR33" s="68" t="s">
        <v>23</v>
      </c>
      <c r="AS33" s="68" t="s">
        <v>22</v>
      </c>
      <c r="AT33" s="68" t="s">
        <v>23</v>
      </c>
      <c r="AV33" s="517"/>
      <c r="AX33" s="517"/>
      <c r="AY33" s="517"/>
      <c r="AZ33" s="517"/>
      <c r="BA33" s="517"/>
      <c r="BB33" s="517"/>
      <c r="BC33" s="517"/>
      <c r="BD33" s="517"/>
      <c r="BG33" s="517"/>
      <c r="BH33" s="517"/>
      <c r="BI33" s="517"/>
      <c r="BJ33" s="517"/>
      <c r="BK33" s="517"/>
      <c r="BL33" s="517"/>
      <c r="BM33" s="517"/>
      <c r="BN33" s="517"/>
    </row>
    <row r="34" spans="1:66">
      <c r="A34" s="507" t="s">
        <v>817</v>
      </c>
      <c r="B34" s="519">
        <v>22941.660755021738</v>
      </c>
      <c r="C34" s="519">
        <v>24757.135049346594</v>
      </c>
      <c r="D34" s="519">
        <v>26531.604549444281</v>
      </c>
      <c r="E34" s="519">
        <v>28824.667732741789</v>
      </c>
      <c r="F34" s="519">
        <v>31212.351311870829</v>
      </c>
      <c r="G34" s="519">
        <v>33870.260392659831</v>
      </c>
      <c r="H34" s="519">
        <v>36843.744423041368</v>
      </c>
      <c r="I34" s="519">
        <v>38262.211689822536</v>
      </c>
      <c r="J34" s="519">
        <v>39319.390530182194</v>
      </c>
      <c r="K34" s="519">
        <v>40528.654483334132</v>
      </c>
      <c r="L34" s="519">
        <v>41207.386574025004</v>
      </c>
      <c r="M34" s="519">
        <v>41708.979553434641</v>
      </c>
      <c r="N34" s="519">
        <v>42222.836146195172</v>
      </c>
      <c r="O34" s="519">
        <v>42613.369303684325</v>
      </c>
      <c r="P34" s="519">
        <v>43269.002463752331</v>
      </c>
      <c r="Q34" s="519">
        <v>43859.169817045891</v>
      </c>
      <c r="R34" s="519">
        <v>44299.316580096682</v>
      </c>
      <c r="S34" s="519"/>
      <c r="T34" s="519"/>
      <c r="U34" s="519"/>
      <c r="V34" s="519"/>
      <c r="W34" s="519"/>
      <c r="X34" s="519"/>
      <c r="Y34" s="519"/>
      <c r="Z34" s="519"/>
      <c r="AA34" s="519"/>
      <c r="AB34" s="519"/>
      <c r="AC34" s="519"/>
      <c r="AD34" s="519"/>
      <c r="AE34" s="519"/>
      <c r="AF34" s="519"/>
      <c r="AH34" s="517"/>
      <c r="AI34" s="517"/>
      <c r="AJ34" s="517"/>
      <c r="AK34" s="517"/>
      <c r="AL34" s="517"/>
      <c r="AN34" s="517"/>
      <c r="AO34" s="517"/>
      <c r="AP34" s="68" t="s">
        <v>804</v>
      </c>
      <c r="AQ34" s="68">
        <v>-17612.54765760661</v>
      </c>
      <c r="AR34" s="517">
        <v>16348.547657606612</v>
      </c>
      <c r="AS34" s="68">
        <v>-1157.9287043641234</v>
      </c>
      <c r="AT34" s="517">
        <v>820.25353613593177</v>
      </c>
      <c r="AV34" s="517"/>
      <c r="AX34" s="517"/>
      <c r="AY34" s="517"/>
      <c r="AZ34" s="517"/>
      <c r="BA34" s="517"/>
      <c r="BB34" s="517"/>
      <c r="BC34" s="517"/>
      <c r="BD34" s="517"/>
      <c r="BG34" s="517"/>
      <c r="BH34" s="517"/>
      <c r="BI34" s="517"/>
      <c r="BJ34" s="517"/>
      <c r="BK34" s="517"/>
      <c r="BL34" s="517"/>
      <c r="BM34" s="517"/>
      <c r="BN34" s="517"/>
    </row>
    <row r="35" spans="1:66">
      <c r="A35" s="507" t="s">
        <v>819</v>
      </c>
      <c r="B35" s="519">
        <v>17017.181677575853</v>
      </c>
      <c r="C35" s="519">
        <v>17969.266599363618</v>
      </c>
      <c r="D35" s="519">
        <v>19166.371098022249</v>
      </c>
      <c r="E35" s="519">
        <v>20249.961435704252</v>
      </c>
      <c r="F35" s="519">
        <v>21481.392839826236</v>
      </c>
      <c r="G35" s="519">
        <v>22994.002958449346</v>
      </c>
      <c r="H35" s="519">
        <v>24838.21514344923</v>
      </c>
      <c r="I35" s="519">
        <v>25582.956140955437</v>
      </c>
      <c r="J35" s="519">
        <v>26711.987467492498</v>
      </c>
      <c r="K35" s="519">
        <v>27785.545139958573</v>
      </c>
      <c r="L35" s="519">
        <v>28969.871171939973</v>
      </c>
      <c r="M35" s="519">
        <v>30277.213726094702</v>
      </c>
      <c r="N35" s="519">
        <v>31527.827270408794</v>
      </c>
      <c r="O35" s="519">
        <v>32413.972738423916</v>
      </c>
      <c r="P35" s="519">
        <v>33451.917693537049</v>
      </c>
      <c r="Q35" s="519">
        <v>33950.936497476003</v>
      </c>
      <c r="R35" s="519">
        <v>34271.310483056659</v>
      </c>
      <c r="S35" s="519"/>
      <c r="T35" s="519"/>
      <c r="U35" s="519"/>
      <c r="V35" s="519"/>
      <c r="W35" s="519"/>
      <c r="X35" s="519"/>
      <c r="Y35" s="519"/>
      <c r="Z35" s="519"/>
      <c r="AA35" s="519"/>
      <c r="AB35" s="519"/>
      <c r="AC35" s="519"/>
      <c r="AD35" s="519"/>
      <c r="AE35" s="519"/>
      <c r="AF35" s="519"/>
      <c r="AH35" s="517"/>
      <c r="AI35" s="517"/>
      <c r="AJ35" s="517"/>
      <c r="AK35" s="517"/>
      <c r="AL35" s="517"/>
      <c r="AN35" s="517"/>
      <c r="AO35" s="517"/>
      <c r="AP35" s="68" t="s">
        <v>806</v>
      </c>
      <c r="AQ35" s="68">
        <v>-18841.579429344354</v>
      </c>
      <c r="AR35" s="517">
        <v>17330.51588586887</v>
      </c>
      <c r="AS35" s="68">
        <v>-671.17592476146115</v>
      </c>
      <c r="AT35" s="517">
        <v>387.98475842878872</v>
      </c>
      <c r="AV35" s="517"/>
      <c r="AX35" s="517"/>
      <c r="AY35" s="517"/>
      <c r="AZ35" s="517"/>
      <c r="BA35" s="517"/>
      <c r="BB35" s="517"/>
      <c r="BC35" s="517"/>
      <c r="BD35" s="517"/>
      <c r="BG35" s="517"/>
      <c r="BH35" s="517"/>
      <c r="BI35" s="517"/>
      <c r="BJ35" s="517"/>
      <c r="BK35" s="517"/>
      <c r="BL35" s="517"/>
      <c r="BM35" s="517"/>
      <c r="BN35" s="517"/>
    </row>
    <row r="36" spans="1:66">
      <c r="A36" s="507" t="s">
        <v>821</v>
      </c>
      <c r="B36" s="519">
        <v>12893.951554047318</v>
      </c>
      <c r="C36" s="519">
        <v>13315.317236503342</v>
      </c>
      <c r="D36" s="519">
        <v>14063.00580167374</v>
      </c>
      <c r="E36" s="519">
        <v>14944.853298592003</v>
      </c>
      <c r="F36" s="519">
        <v>15489.203445764431</v>
      </c>
      <c r="G36" s="519">
        <v>16219.960998415074</v>
      </c>
      <c r="H36" s="519">
        <v>17123.650727759035</v>
      </c>
      <c r="I36" s="519">
        <v>17661.073159313615</v>
      </c>
      <c r="J36" s="519">
        <v>17994.868430605231</v>
      </c>
      <c r="K36" s="519">
        <v>18390.173099802232</v>
      </c>
      <c r="L36" s="519">
        <v>18961.127196391109</v>
      </c>
      <c r="M36" s="519">
        <v>19743.874309430856</v>
      </c>
      <c r="N36" s="519">
        <v>20360.561678051417</v>
      </c>
      <c r="O36" s="519">
        <v>21357.34028425334</v>
      </c>
      <c r="P36" s="519">
        <v>22294.364948067123</v>
      </c>
      <c r="Q36" s="519">
        <v>23334.794425132299</v>
      </c>
      <c r="R36" s="519">
        <v>24500.791506757767</v>
      </c>
      <c r="S36" s="519"/>
      <c r="T36" s="519"/>
      <c r="U36" s="519"/>
      <c r="V36" s="519"/>
      <c r="W36" s="519"/>
      <c r="X36" s="519"/>
      <c r="Y36" s="519"/>
      <c r="Z36" s="519"/>
      <c r="AA36" s="519"/>
      <c r="AB36" s="519"/>
      <c r="AC36" s="519"/>
      <c r="AD36" s="519"/>
      <c r="AE36" s="519"/>
      <c r="AF36" s="519"/>
      <c r="AH36" s="517"/>
      <c r="AI36" s="517"/>
      <c r="AJ36" s="517"/>
      <c r="AK36" s="517"/>
      <c r="AL36" s="517"/>
      <c r="AN36" s="517"/>
      <c r="AO36" s="517"/>
      <c r="AP36" s="68" t="s">
        <v>808</v>
      </c>
      <c r="AQ36" s="68">
        <v>-19544.063543475484</v>
      </c>
      <c r="AR36" s="517">
        <v>17864.063543475484</v>
      </c>
      <c r="AS36" s="68">
        <v>-382.21438671313183</v>
      </c>
      <c r="AT36" s="517">
        <v>195.32092197208985</v>
      </c>
      <c r="AV36" s="517"/>
      <c r="AX36" s="517"/>
      <c r="AY36" s="517"/>
      <c r="AZ36" s="517"/>
      <c r="BA36" s="517"/>
      <c r="BB36" s="517"/>
      <c r="BC36" s="517"/>
      <c r="BD36" s="517"/>
      <c r="BG36" s="517"/>
      <c r="BH36" s="517"/>
      <c r="BI36" s="517"/>
      <c r="BJ36" s="517"/>
      <c r="BK36" s="517"/>
      <c r="BL36" s="517"/>
      <c r="BM36" s="517"/>
      <c r="BN36" s="517"/>
    </row>
    <row r="37" spans="1:66">
      <c r="A37" s="507" t="s">
        <v>823</v>
      </c>
      <c r="B37" s="519">
        <v>9553.5960568562841</v>
      </c>
      <c r="C37" s="519">
        <v>10024.331079562722</v>
      </c>
      <c r="D37" s="519">
        <v>10135.056006703073</v>
      </c>
      <c r="E37" s="519">
        <v>10426.059579943734</v>
      </c>
      <c r="F37" s="519">
        <v>10966.870618969318</v>
      </c>
      <c r="G37" s="519">
        <v>11616.283254085942</v>
      </c>
      <c r="H37" s="519">
        <v>11939.3848121227</v>
      </c>
      <c r="I37" s="519">
        <v>12293.306674298692</v>
      </c>
      <c r="J37" s="519">
        <v>12724.873164374269</v>
      </c>
      <c r="K37" s="519">
        <v>12769.151595809204</v>
      </c>
      <c r="L37" s="519">
        <v>12946.210995709895</v>
      </c>
      <c r="M37" s="519">
        <v>13225.122148463339</v>
      </c>
      <c r="N37" s="519">
        <v>13660.957640482411</v>
      </c>
      <c r="O37" s="519">
        <v>13902.791906090682</v>
      </c>
      <c r="P37" s="519">
        <v>14196.701274575831</v>
      </c>
      <c r="Q37" s="519">
        <v>14666.76401844143</v>
      </c>
      <c r="R37" s="519">
        <v>15339.060402887628</v>
      </c>
      <c r="S37" s="519"/>
      <c r="T37" s="519"/>
      <c r="U37" s="519"/>
      <c r="V37" s="519"/>
      <c r="W37" s="519"/>
      <c r="X37" s="519"/>
      <c r="Y37" s="519"/>
      <c r="Z37" s="519"/>
      <c r="AA37" s="519"/>
      <c r="AB37" s="519"/>
      <c r="AC37" s="519"/>
      <c r="AD37" s="519"/>
      <c r="AE37" s="519"/>
      <c r="AF37" s="519"/>
      <c r="AH37" s="517"/>
      <c r="AI37" s="517"/>
      <c r="AJ37" s="517"/>
      <c r="AK37" s="517"/>
      <c r="AL37" s="517"/>
      <c r="AN37" s="517"/>
      <c r="AO37" s="517"/>
      <c r="AP37" s="68" t="s">
        <v>810</v>
      </c>
      <c r="AQ37" s="68">
        <v>-20066.779776636948</v>
      </c>
      <c r="AR37" s="517">
        <v>17018.603663017082</v>
      </c>
      <c r="AS37" s="68">
        <v>-3882.3541830141735</v>
      </c>
      <c r="AT37" s="517">
        <v>336.03851480944616</v>
      </c>
      <c r="AV37" s="517"/>
      <c r="AX37" s="517"/>
      <c r="AY37" s="517"/>
      <c r="AZ37" s="517"/>
      <c r="BA37" s="517"/>
      <c r="BB37" s="517"/>
      <c r="BC37" s="517"/>
      <c r="BD37" s="517"/>
      <c r="BG37" s="517"/>
      <c r="BH37" s="517"/>
      <c r="BI37" s="517"/>
      <c r="BJ37" s="517"/>
      <c r="BK37" s="517"/>
      <c r="BL37" s="517"/>
      <c r="BM37" s="517"/>
      <c r="BN37" s="517"/>
    </row>
    <row r="38" spans="1:66">
      <c r="A38" s="507" t="s">
        <v>825</v>
      </c>
      <c r="B38" s="519">
        <v>6774.7416870567504</v>
      </c>
      <c r="C38" s="519">
        <v>7273.6222617446774</v>
      </c>
      <c r="D38" s="519">
        <v>7779.1978610718061</v>
      </c>
      <c r="E38" s="519">
        <v>8104.371298551423</v>
      </c>
      <c r="F38" s="519">
        <v>8295.1400305452607</v>
      </c>
      <c r="G38" s="519">
        <v>8366.6061018553119</v>
      </c>
      <c r="H38" s="519">
        <v>8753.9871370897272</v>
      </c>
      <c r="I38" s="519">
        <v>8674.1893562795431</v>
      </c>
      <c r="J38" s="519">
        <v>8750.466656952196</v>
      </c>
      <c r="K38" s="519">
        <v>9039.8464321262873</v>
      </c>
      <c r="L38" s="519">
        <v>9407.3567729456445</v>
      </c>
      <c r="M38" s="519">
        <v>9429.0264864753826</v>
      </c>
      <c r="N38" s="519">
        <v>9718.8851139517283</v>
      </c>
      <c r="O38" s="519">
        <v>10086.962949497169</v>
      </c>
      <c r="P38" s="519">
        <v>10076.291059312782</v>
      </c>
      <c r="Q38" s="519">
        <v>10198.90130135992</v>
      </c>
      <c r="R38" s="519">
        <v>10410.826345543739</v>
      </c>
      <c r="S38" s="519"/>
      <c r="T38" s="519"/>
      <c r="U38" s="519"/>
      <c r="V38" s="519"/>
      <c r="W38" s="519"/>
      <c r="X38" s="519"/>
      <c r="Y38" s="519"/>
      <c r="Z38" s="519"/>
      <c r="AA38" s="519"/>
      <c r="AB38" s="519"/>
      <c r="AC38" s="519"/>
      <c r="AD38" s="519"/>
      <c r="AE38" s="519"/>
      <c r="AF38" s="519"/>
      <c r="AH38" s="517"/>
      <c r="AI38" s="517"/>
      <c r="AJ38" s="517"/>
      <c r="AK38" s="517"/>
      <c r="AL38" s="517"/>
      <c r="AN38" s="517"/>
      <c r="AO38" s="517"/>
      <c r="AP38" s="68" t="s">
        <v>812</v>
      </c>
      <c r="AQ38" s="68">
        <v>-22716.290361734587</v>
      </c>
      <c r="AR38" s="517">
        <v>16906.541739019292</v>
      </c>
      <c r="AS38" s="68">
        <v>-37294.543620769597</v>
      </c>
      <c r="AT38" s="517">
        <v>2214.8190283280746</v>
      </c>
      <c r="AV38" s="517"/>
      <c r="AX38" s="517"/>
      <c r="AY38" s="517"/>
      <c r="AZ38" s="517"/>
      <c r="BA38" s="517"/>
      <c r="BB38" s="517"/>
      <c r="BC38" s="517"/>
      <c r="BD38" s="517"/>
      <c r="BG38" s="517"/>
      <c r="BH38" s="517"/>
      <c r="BI38" s="517"/>
      <c r="BJ38" s="517"/>
      <c r="BK38" s="517"/>
      <c r="BL38" s="517"/>
      <c r="BM38" s="517"/>
      <c r="BN38" s="517"/>
    </row>
    <row r="39" spans="1:66">
      <c r="A39" s="507" t="s">
        <v>827</v>
      </c>
      <c r="B39" s="519">
        <v>3596.2838233890025</v>
      </c>
      <c r="C39" s="519">
        <v>3866.2894816296548</v>
      </c>
      <c r="D39" s="519">
        <v>4317.5628825447566</v>
      </c>
      <c r="E39" s="519">
        <v>4833.4423374405742</v>
      </c>
      <c r="F39" s="519">
        <v>5371.3015969415364</v>
      </c>
      <c r="G39" s="519">
        <v>6004.5535744567205</v>
      </c>
      <c r="H39" s="519">
        <v>6449.6544611487561</v>
      </c>
      <c r="I39" s="519">
        <v>6859.0155245972683</v>
      </c>
      <c r="J39" s="519">
        <v>7089.7938654906675</v>
      </c>
      <c r="K39" s="519">
        <v>7178.000128787</v>
      </c>
      <c r="L39" s="519">
        <v>7147.6452310702607</v>
      </c>
      <c r="M39" s="519">
        <v>7409.7403674832103</v>
      </c>
      <c r="N39" s="519">
        <v>7318.2970188371855</v>
      </c>
      <c r="O39" s="519">
        <v>7371.3269589034153</v>
      </c>
      <c r="P39" s="519">
        <v>7628.8422618904997</v>
      </c>
      <c r="Q39" s="519">
        <v>7961.8553101127836</v>
      </c>
      <c r="R39" s="519">
        <v>7965.3788018545092</v>
      </c>
      <c r="S39" s="519"/>
      <c r="T39" s="519"/>
      <c r="U39" s="519"/>
      <c r="V39" s="519"/>
      <c r="W39" s="519"/>
      <c r="X39" s="519"/>
      <c r="Y39" s="519"/>
      <c r="Z39" s="519"/>
      <c r="AA39" s="519"/>
      <c r="AB39" s="519"/>
      <c r="AC39" s="519"/>
      <c r="AD39" s="519"/>
      <c r="AE39" s="519"/>
      <c r="AF39" s="519"/>
      <c r="AH39" s="517"/>
      <c r="AI39" s="517"/>
      <c r="AJ39" s="517"/>
      <c r="AK39" s="517"/>
      <c r="AL39" s="517"/>
      <c r="AN39" s="517"/>
      <c r="AO39" s="517"/>
      <c r="AP39" s="68" t="s">
        <v>814</v>
      </c>
      <c r="AQ39" s="68">
        <v>-18331.420128317488</v>
      </c>
      <c r="AR39" s="517">
        <v>12976.429728198351</v>
      </c>
      <c r="AS39" s="68">
        <v>-60750.289064738405</v>
      </c>
      <c r="AT39" s="517">
        <v>5434.5272457174424</v>
      </c>
      <c r="AV39" s="517"/>
      <c r="AX39" s="517"/>
      <c r="AY39" s="517"/>
      <c r="AZ39" s="517"/>
      <c r="BA39" s="517"/>
      <c r="BB39" s="517"/>
      <c r="BC39" s="517"/>
      <c r="BD39" s="517"/>
      <c r="BG39" s="517"/>
      <c r="BH39" s="517"/>
      <c r="BI39" s="517"/>
      <c r="BJ39" s="517"/>
      <c r="BK39" s="517"/>
      <c r="BL39" s="517"/>
      <c r="BM39" s="517"/>
      <c r="BN39" s="517"/>
    </row>
    <row r="40" spans="1:66">
      <c r="A40" s="507" t="s">
        <v>829</v>
      </c>
      <c r="B40" s="519">
        <v>2537.1430781083895</v>
      </c>
      <c r="C40" s="519">
        <v>2673.0970501620818</v>
      </c>
      <c r="D40" s="519">
        <v>2726.221021272278</v>
      </c>
      <c r="E40" s="519">
        <v>2806.6357440892525</v>
      </c>
      <c r="F40" s="519">
        <v>2933.4746104192927</v>
      </c>
      <c r="G40" s="519">
        <v>3105.8849789024202</v>
      </c>
      <c r="H40" s="519">
        <v>3351.0296422812175</v>
      </c>
      <c r="I40" s="519">
        <v>3742.0804348560691</v>
      </c>
      <c r="J40" s="519">
        <v>4185.2857304678419</v>
      </c>
      <c r="K40" s="519">
        <v>4647.6494753206371</v>
      </c>
      <c r="L40" s="519">
        <v>5200.1757164375704</v>
      </c>
      <c r="M40" s="519">
        <v>5571.868604237261</v>
      </c>
      <c r="N40" s="519">
        <v>5947.7323951761809</v>
      </c>
      <c r="O40" s="519">
        <v>6153.7714544585597</v>
      </c>
      <c r="P40" s="519">
        <v>6231.9902588155537</v>
      </c>
      <c r="Q40" s="519">
        <v>6205.3933993554629</v>
      </c>
      <c r="R40" s="519">
        <v>6445.9855844868143</v>
      </c>
      <c r="S40" s="519"/>
      <c r="T40" s="519"/>
      <c r="U40" s="519"/>
      <c r="V40" s="519"/>
      <c r="W40" s="519"/>
      <c r="X40" s="519"/>
      <c r="Y40" s="519"/>
      <c r="Z40" s="519"/>
      <c r="AA40" s="519"/>
      <c r="AB40" s="519"/>
      <c r="AC40" s="519"/>
      <c r="AD40" s="519"/>
      <c r="AE40" s="519"/>
      <c r="AF40" s="519"/>
      <c r="AH40" s="517"/>
      <c r="AI40" s="517"/>
      <c r="AJ40" s="517"/>
      <c r="AK40" s="517"/>
      <c r="AL40" s="517"/>
      <c r="AN40" s="517"/>
      <c r="AO40" s="517"/>
      <c r="AP40" s="68" t="s">
        <v>816</v>
      </c>
      <c r="AQ40" s="68">
        <v>-18446.18638980946</v>
      </c>
      <c r="AR40" s="517">
        <v>14632.698978230304</v>
      </c>
      <c r="AS40" s="68">
        <v>-42613.784647061708</v>
      </c>
      <c r="AT40" s="517">
        <v>4347.6018351635703</v>
      </c>
      <c r="AV40" s="517"/>
      <c r="AX40" s="517"/>
      <c r="AY40" s="517"/>
      <c r="AZ40" s="517"/>
      <c r="BA40" s="517"/>
      <c r="BB40" s="517"/>
      <c r="BC40" s="517"/>
      <c r="BD40" s="517"/>
      <c r="BG40" s="517"/>
      <c r="BH40" s="517"/>
      <c r="BI40" s="517"/>
      <c r="BJ40" s="517"/>
      <c r="BK40" s="517"/>
      <c r="BL40" s="517"/>
      <c r="BM40" s="517"/>
      <c r="BN40" s="517"/>
    </row>
    <row r="41" spans="1:66">
      <c r="A41" s="507" t="s">
        <v>831</v>
      </c>
      <c r="B41" s="519">
        <v>2516.1234028164249</v>
      </c>
      <c r="C41" s="519">
        <v>2407.6585294682563</v>
      </c>
      <c r="D41" s="519">
        <v>2267.7467200853812</v>
      </c>
      <c r="E41" s="519">
        <v>2169.4453751712358</v>
      </c>
      <c r="F41" s="519">
        <v>2137.8179119225415</v>
      </c>
      <c r="G41" s="519">
        <v>2110.9343964791551</v>
      </c>
      <c r="H41" s="519">
        <v>2231.8722426542217</v>
      </c>
      <c r="I41" s="519">
        <v>2271.5691974414185</v>
      </c>
      <c r="J41" s="519">
        <v>2335.334868128642</v>
      </c>
      <c r="K41" s="519">
        <v>2442.1710059142169</v>
      </c>
      <c r="L41" s="519">
        <v>2583.0794066350591</v>
      </c>
      <c r="M41" s="519">
        <v>2791.0619119047856</v>
      </c>
      <c r="N41" s="519">
        <v>3140.1204102808551</v>
      </c>
      <c r="O41" s="519">
        <v>3534.2568384614674</v>
      </c>
      <c r="P41" s="519">
        <v>3944.4731825129884</v>
      </c>
      <c r="Q41" s="519">
        <v>4433.7714791286799</v>
      </c>
      <c r="R41" s="519">
        <v>4763.1538169195283</v>
      </c>
      <c r="S41" s="519"/>
      <c r="T41" s="519"/>
      <c r="U41" s="519"/>
      <c r="V41" s="519"/>
      <c r="W41" s="519"/>
      <c r="X41" s="519"/>
      <c r="Y41" s="519"/>
      <c r="Z41" s="519"/>
      <c r="AA41" s="519"/>
      <c r="AB41" s="519"/>
      <c r="AC41" s="519"/>
      <c r="AD41" s="519"/>
      <c r="AE41" s="519"/>
      <c r="AF41" s="519"/>
      <c r="AH41" s="517"/>
      <c r="AI41" s="517"/>
      <c r="AJ41" s="517"/>
      <c r="AK41" s="517"/>
      <c r="AL41" s="517"/>
      <c r="AN41" s="517"/>
      <c r="AO41" s="517"/>
      <c r="AP41" s="68" t="s">
        <v>818</v>
      </c>
      <c r="AQ41" s="68">
        <v>-16998.77117841769</v>
      </c>
      <c r="AR41" s="517">
        <v>16851.801831508539</v>
      </c>
      <c r="AS41" s="68">
        <v>-27300.545401678988</v>
      </c>
      <c r="AT41" s="517">
        <v>2895.8979147180862</v>
      </c>
      <c r="AV41" s="517"/>
      <c r="AX41" s="517"/>
      <c r="AY41" s="517"/>
      <c r="AZ41" s="517"/>
      <c r="BA41" s="517"/>
      <c r="BB41" s="517"/>
      <c r="BC41" s="517"/>
      <c r="BD41" s="517"/>
      <c r="BG41" s="517"/>
      <c r="BH41" s="517"/>
      <c r="BI41" s="517"/>
      <c r="BJ41" s="517"/>
      <c r="BK41" s="517"/>
      <c r="BL41" s="517"/>
      <c r="BM41" s="517"/>
      <c r="BN41" s="517"/>
    </row>
    <row r="42" spans="1:66">
      <c r="A42" s="507" t="s">
        <v>833</v>
      </c>
      <c r="B42" s="519">
        <v>1982.216512094916</v>
      </c>
      <c r="C42" s="519">
        <v>1961.8170395176655</v>
      </c>
      <c r="D42" s="519">
        <v>2010.5775900542012</v>
      </c>
      <c r="E42" s="519">
        <v>2038.5147746990135</v>
      </c>
      <c r="F42" s="519">
        <v>1957.6469456771738</v>
      </c>
      <c r="G42" s="519">
        <v>1903.9943794193521</v>
      </c>
      <c r="H42" s="519">
        <v>1831.5794787764848</v>
      </c>
      <c r="I42" s="519">
        <v>1721.3583980256326</v>
      </c>
      <c r="J42" s="519">
        <v>1647.1571620421769</v>
      </c>
      <c r="K42" s="519">
        <v>1618.9762765265202</v>
      </c>
      <c r="L42" s="519">
        <v>1597.8162600685869</v>
      </c>
      <c r="M42" s="519">
        <v>1696.6776444764319</v>
      </c>
      <c r="N42" s="519">
        <v>1733.5609751132292</v>
      </c>
      <c r="O42" s="519">
        <v>1784.466811242854</v>
      </c>
      <c r="P42" s="519">
        <v>1876.3957263842758</v>
      </c>
      <c r="Q42" s="519">
        <v>1997.3483086749907</v>
      </c>
      <c r="R42" s="519">
        <v>2177.3251612437202</v>
      </c>
      <c r="S42" s="519"/>
      <c r="T42" s="519"/>
      <c r="U42" s="519"/>
      <c r="V42" s="519"/>
      <c r="W42" s="519"/>
      <c r="X42" s="519"/>
      <c r="Y42" s="519"/>
      <c r="Z42" s="519"/>
      <c r="AA42" s="519"/>
      <c r="AB42" s="519"/>
      <c r="AC42" s="519"/>
      <c r="AD42" s="519"/>
      <c r="AE42" s="519"/>
      <c r="AF42" s="519"/>
      <c r="AH42" s="517"/>
      <c r="AI42" s="517"/>
      <c r="AJ42" s="517"/>
      <c r="AK42" s="517"/>
      <c r="AL42" s="517"/>
      <c r="AM42" s="517"/>
      <c r="AN42" s="517"/>
      <c r="AO42" s="517"/>
      <c r="AP42" s="68" t="s">
        <v>820</v>
      </c>
      <c r="AQ42" s="68">
        <v>-17280.369983001696</v>
      </c>
      <c r="AR42" s="517">
        <v>18907.222402164189</v>
      </c>
      <c r="AS42" s="68">
        <v>-16990.940500054967</v>
      </c>
      <c r="AT42" s="517">
        <v>1640.4094831544364</v>
      </c>
      <c r="AV42" s="517"/>
      <c r="AX42" s="517"/>
      <c r="AY42" s="517"/>
      <c r="AZ42" s="517"/>
      <c r="BA42" s="517"/>
      <c r="BB42" s="517"/>
      <c r="BC42" s="517"/>
      <c r="BD42" s="517"/>
      <c r="BG42" s="517"/>
      <c r="BH42" s="517"/>
      <c r="BI42" s="517"/>
      <c r="BJ42" s="517"/>
      <c r="BK42" s="517"/>
      <c r="BL42" s="517"/>
      <c r="BM42" s="517"/>
      <c r="BN42" s="517"/>
    </row>
    <row r="43" spans="1:66">
      <c r="A43" s="521" t="s">
        <v>835</v>
      </c>
      <c r="B43" s="522">
        <v>1814.6245434814682</v>
      </c>
      <c r="C43" s="522">
        <v>1914.9768667016108</v>
      </c>
      <c r="D43" s="522">
        <v>1991.6796803763345</v>
      </c>
      <c r="E43" s="522">
        <v>2043.7697912127001</v>
      </c>
      <c r="F43" s="522">
        <v>2132.2878754721996</v>
      </c>
      <c r="G43" s="522">
        <v>2219.2788858974022</v>
      </c>
      <c r="H43" s="522">
        <v>2268.7925014344401</v>
      </c>
      <c r="I43" s="522">
        <v>2346.2820397087721</v>
      </c>
      <c r="J43" s="522">
        <v>2395.8093174072264</v>
      </c>
      <c r="K43" s="522">
        <v>2389.3752907398034</v>
      </c>
      <c r="L43" s="522">
        <v>2410.9809401449902</v>
      </c>
      <c r="M43" s="522">
        <v>2386.6272709036821</v>
      </c>
      <c r="N43" s="522">
        <v>2369.3153137686654</v>
      </c>
      <c r="O43" s="522">
        <v>2364.0461256100507</v>
      </c>
      <c r="P43" s="522">
        <v>2351.8207900770553</v>
      </c>
      <c r="Q43" s="522">
        <v>2367.640418276565</v>
      </c>
      <c r="R43" s="522">
        <v>2439.5061494688839</v>
      </c>
      <c r="S43" s="519"/>
      <c r="T43" s="519"/>
      <c r="U43" s="519"/>
      <c r="V43" s="519"/>
      <c r="W43" s="519"/>
      <c r="X43" s="519"/>
      <c r="Y43" s="519"/>
      <c r="Z43" s="519"/>
      <c r="AA43" s="519"/>
      <c r="AB43" s="519"/>
      <c r="AC43" s="519"/>
      <c r="AD43" s="519"/>
      <c r="AE43" s="519"/>
      <c r="AF43" s="519"/>
      <c r="AH43" s="517"/>
      <c r="AI43" s="517"/>
      <c r="AJ43" s="517"/>
      <c r="AK43" s="517"/>
      <c r="AL43" s="517"/>
      <c r="AM43" s="517"/>
      <c r="AN43" s="517"/>
      <c r="AO43" s="517"/>
      <c r="AP43" s="68" t="s">
        <v>822</v>
      </c>
      <c r="AQ43" s="68">
        <v>-14798.389358241351</v>
      </c>
      <c r="AR43" s="517">
        <v>16686.063543475484</v>
      </c>
      <c r="AS43" s="68">
        <v>-9702.4021485164158</v>
      </c>
      <c r="AT43" s="517">
        <v>1075.2479854799701</v>
      </c>
      <c r="AV43" s="517"/>
      <c r="AX43" s="517"/>
      <c r="AY43" s="517"/>
      <c r="AZ43" s="517"/>
      <c r="BA43" s="517"/>
      <c r="BB43" s="517"/>
      <c r="BC43" s="517"/>
      <c r="BD43" s="517"/>
      <c r="BG43" s="517"/>
      <c r="BH43" s="517"/>
      <c r="BI43" s="517"/>
      <c r="BJ43" s="517"/>
      <c r="BK43" s="517"/>
      <c r="BL43" s="517"/>
      <c r="BM43" s="517"/>
      <c r="BN43" s="517"/>
    </row>
    <row r="44" spans="1:66">
      <c r="B44" s="523"/>
      <c r="C44" s="523"/>
      <c r="D44" s="523"/>
      <c r="E44" s="523"/>
      <c r="F44" s="523"/>
      <c r="G44" s="523"/>
      <c r="H44" s="523"/>
      <c r="I44" s="523"/>
      <c r="J44" s="523"/>
      <c r="K44" s="523"/>
      <c r="L44" s="523"/>
      <c r="M44" s="523"/>
      <c r="N44" s="523"/>
      <c r="O44" s="523"/>
      <c r="P44" s="523"/>
      <c r="Q44" s="523"/>
      <c r="R44" s="523"/>
      <c r="S44" s="523"/>
      <c r="T44" s="523"/>
      <c r="U44" s="523"/>
      <c r="V44" s="523"/>
      <c r="W44" s="523"/>
      <c r="X44" s="523"/>
      <c r="Y44" s="523"/>
      <c r="Z44" s="523"/>
      <c r="AA44" s="523"/>
      <c r="AB44" s="523"/>
      <c r="AC44" s="523"/>
      <c r="AD44" s="523"/>
      <c r="AE44" s="523"/>
      <c r="AF44" s="523"/>
      <c r="AH44" s="517"/>
      <c r="AI44" s="517"/>
      <c r="AJ44" s="517"/>
      <c r="AK44" s="517"/>
      <c r="AL44" s="517"/>
      <c r="AM44" s="517"/>
      <c r="AN44" s="517"/>
      <c r="AO44" s="517"/>
      <c r="AP44" s="68" t="s">
        <v>824</v>
      </c>
      <c r="AQ44" s="68">
        <v>-10751.958010565308</v>
      </c>
      <c r="AR44" s="517">
        <v>11935.158858688706</v>
      </c>
      <c r="AS44" s="68">
        <v>-4587.1023923223202</v>
      </c>
      <c r="AT44" s="517">
        <v>580.40462209192083</v>
      </c>
      <c r="AV44" s="517"/>
      <c r="AX44" s="517"/>
      <c r="AY44" s="517"/>
      <c r="AZ44" s="517"/>
      <c r="BA44" s="517"/>
      <c r="BB44" s="517"/>
      <c r="BC44" s="517"/>
      <c r="BD44" s="517"/>
      <c r="BG44" s="517"/>
      <c r="BH44" s="517"/>
      <c r="BI44" s="517"/>
      <c r="BJ44" s="517"/>
      <c r="BK44" s="517"/>
      <c r="BL44" s="517"/>
      <c r="BM44" s="517"/>
      <c r="BN44" s="517"/>
    </row>
    <row r="45" spans="1:66">
      <c r="A45" s="506"/>
      <c r="B45" s="523"/>
      <c r="C45" s="523"/>
      <c r="D45" s="523"/>
      <c r="E45" s="523"/>
      <c r="F45" s="523"/>
      <c r="G45" s="523"/>
      <c r="H45" s="523"/>
      <c r="I45" s="523"/>
      <c r="J45" s="523"/>
      <c r="K45" s="523"/>
      <c r="L45" s="523"/>
      <c r="M45" s="523"/>
      <c r="N45" s="523"/>
      <c r="O45" s="523"/>
      <c r="P45" s="523"/>
      <c r="Q45" s="523"/>
      <c r="R45" s="523"/>
      <c r="S45" s="523"/>
      <c r="T45" s="523"/>
      <c r="U45" s="523"/>
      <c r="V45" s="523"/>
      <c r="W45" s="523"/>
      <c r="X45" s="523"/>
      <c r="Y45" s="523"/>
      <c r="Z45" s="523"/>
      <c r="AA45" s="523"/>
      <c r="AB45" s="523"/>
      <c r="AC45" s="523"/>
      <c r="AD45" s="523"/>
      <c r="AE45" s="523"/>
      <c r="AF45" s="523"/>
      <c r="AH45" s="517"/>
      <c r="AI45" s="517"/>
      <c r="AJ45" s="517"/>
      <c r="AK45" s="517"/>
      <c r="AL45" s="517"/>
      <c r="AM45" s="517"/>
      <c r="AN45" s="517"/>
      <c r="AO45" s="517"/>
      <c r="AP45" s="68" t="s">
        <v>826</v>
      </c>
      <c r="AQ45" s="68">
        <v>-8602.8836900694314</v>
      </c>
      <c r="AR45" s="517">
        <v>9795.5476576066121</v>
      </c>
      <c r="AS45" s="68">
        <v>-1807.9426554743077</v>
      </c>
      <c r="AT45" s="517">
        <v>327.91274216068092</v>
      </c>
      <c r="AV45" s="517"/>
      <c r="AX45" s="517"/>
      <c r="AY45" s="517"/>
      <c r="AZ45" s="517"/>
      <c r="BA45" s="517"/>
      <c r="BB45" s="517"/>
      <c r="BC45" s="517"/>
      <c r="BD45" s="517"/>
      <c r="BG45" s="517"/>
      <c r="BH45" s="517"/>
      <c r="BI45" s="517"/>
      <c r="BJ45" s="517"/>
      <c r="BK45" s="517"/>
      <c r="BL45" s="517"/>
      <c r="BM45" s="517"/>
      <c r="BN45" s="517"/>
    </row>
    <row r="46" spans="1:66">
      <c r="A46" s="524" t="s">
        <v>23</v>
      </c>
      <c r="B46" s="525">
        <f>SUM(B47:B63)</f>
        <v>175826.35663874418</v>
      </c>
      <c r="C46" s="525">
        <f t="shared" ref="C46:R46" si="2">SUM(C47:C63)</f>
        <v>179827.1495254953</v>
      </c>
      <c r="D46" s="525">
        <f t="shared" si="2"/>
        <v>183924.01455449819</v>
      </c>
      <c r="E46" s="525">
        <f t="shared" si="2"/>
        <v>188111.13928722221</v>
      </c>
      <c r="F46" s="525">
        <f t="shared" si="2"/>
        <v>192374.78215123707</v>
      </c>
      <c r="G46" s="525">
        <f t="shared" si="2"/>
        <v>196774.38504919349</v>
      </c>
      <c r="H46" s="525">
        <f t="shared" si="2"/>
        <v>201276.69781059847</v>
      </c>
      <c r="I46" s="525">
        <f t="shared" si="2"/>
        <v>204611.53426896397</v>
      </c>
      <c r="J46" s="525">
        <f t="shared" si="2"/>
        <v>207910.91015274805</v>
      </c>
      <c r="K46" s="525">
        <f t="shared" si="2"/>
        <v>211162.09259738823</v>
      </c>
      <c r="L46" s="525">
        <f t="shared" si="2"/>
        <v>214357.35550954379</v>
      </c>
      <c r="M46" s="525">
        <f t="shared" si="2"/>
        <v>217486.97973873786</v>
      </c>
      <c r="N46" s="525">
        <f t="shared" si="2"/>
        <v>220527.25325335152</v>
      </c>
      <c r="O46" s="525">
        <f t="shared" si="2"/>
        <v>223547.4713210777</v>
      </c>
      <c r="P46" s="525">
        <f t="shared" si="2"/>
        <v>226523.93669395187</v>
      </c>
      <c r="Q46" s="525">
        <f t="shared" si="2"/>
        <v>229463.95979807092</v>
      </c>
      <c r="R46" s="525">
        <f t="shared" si="2"/>
        <v>232379.85892812326</v>
      </c>
      <c r="S46" s="516"/>
      <c r="T46" s="516"/>
      <c r="U46" s="516"/>
      <c r="V46" s="516"/>
      <c r="W46" s="516"/>
      <c r="X46" s="516"/>
      <c r="Y46" s="516"/>
      <c r="Z46" s="516"/>
      <c r="AA46" s="516"/>
      <c r="AB46" s="516"/>
      <c r="AC46" s="516"/>
      <c r="AD46" s="516"/>
      <c r="AE46" s="516"/>
      <c r="AF46" s="516"/>
      <c r="AH46" s="517"/>
      <c r="AI46" s="517"/>
      <c r="AJ46" s="517"/>
      <c r="AK46" s="517"/>
      <c r="AL46" s="517"/>
      <c r="AM46" s="517"/>
      <c r="AN46" s="517"/>
      <c r="AO46" s="517"/>
      <c r="AP46" s="68" t="s">
        <v>828</v>
      </c>
      <c r="AQ46" s="68">
        <v>-7288.5568151493153</v>
      </c>
      <c r="AR46" s="517">
        <v>8232.5476576066121</v>
      </c>
      <c r="AS46" s="68">
        <v>-676.82198670519392</v>
      </c>
      <c r="AT46" s="517">
        <v>143.17950011789392</v>
      </c>
      <c r="AV46" s="517"/>
      <c r="AX46" s="517"/>
      <c r="AY46" s="517"/>
      <c r="AZ46" s="517"/>
      <c r="BA46" s="517"/>
      <c r="BB46" s="517"/>
      <c r="BC46" s="517"/>
      <c r="BD46" s="517"/>
      <c r="BG46" s="517"/>
      <c r="BH46" s="517"/>
      <c r="BI46" s="517"/>
      <c r="BJ46" s="517"/>
      <c r="BK46" s="517"/>
      <c r="BL46" s="517"/>
      <c r="BM46" s="517"/>
      <c r="BN46" s="517"/>
    </row>
    <row r="47" spans="1:66">
      <c r="A47" s="520" t="s">
        <v>803</v>
      </c>
      <c r="B47" s="519">
        <v>17440.588609328242</v>
      </c>
      <c r="C47" s="519">
        <v>17523.539358083577</v>
      </c>
      <c r="D47" s="519">
        <v>17776.370021640592</v>
      </c>
      <c r="E47" s="519">
        <v>17966.488490113559</v>
      </c>
      <c r="F47" s="519">
        <v>18357.345547472323</v>
      </c>
      <c r="G47" s="519">
        <v>18740.439382614622</v>
      </c>
      <c r="H47" s="519">
        <v>18798.320574869023</v>
      </c>
      <c r="I47" s="519">
        <v>18774.584594680913</v>
      </c>
      <c r="J47" s="519">
        <v>18715.260434864093</v>
      </c>
      <c r="K47" s="519">
        <v>18605.358523196701</v>
      </c>
      <c r="L47" s="519">
        <v>18446.889551503053</v>
      </c>
      <c r="M47" s="519">
        <v>18240.864482339777</v>
      </c>
      <c r="N47" s="519">
        <v>18007.294555851189</v>
      </c>
      <c r="O47" s="519">
        <v>17760.191296798286</v>
      </c>
      <c r="P47" s="519">
        <v>17528.566521765733</v>
      </c>
      <c r="Q47" s="519">
        <v>17330.432346551312</v>
      </c>
      <c r="R47" s="519">
        <v>17168.801193742544</v>
      </c>
      <c r="S47" s="519"/>
      <c r="T47" s="519"/>
      <c r="U47" s="519"/>
      <c r="V47" s="519"/>
      <c r="W47" s="519"/>
      <c r="X47" s="519"/>
      <c r="Y47" s="519"/>
      <c r="Z47" s="519"/>
      <c r="AA47" s="519"/>
      <c r="AB47" s="519"/>
      <c r="AC47" s="519"/>
      <c r="AD47" s="519"/>
      <c r="AE47" s="519"/>
      <c r="AF47" s="519"/>
      <c r="AH47" s="517"/>
      <c r="AI47" s="517"/>
      <c r="AJ47" s="517"/>
      <c r="AK47" s="517"/>
      <c r="AL47" s="517"/>
      <c r="AM47" s="517"/>
      <c r="AN47" s="517"/>
      <c r="AO47" s="517"/>
      <c r="AP47" s="68" t="s">
        <v>830</v>
      </c>
      <c r="AQ47" s="68">
        <v>-6204.6672064925642</v>
      </c>
      <c r="AR47" s="517">
        <v>6786</v>
      </c>
      <c r="AS47" s="68">
        <v>-241.31837799425</v>
      </c>
      <c r="AT47" s="517">
        <v>52.060097589673653</v>
      </c>
      <c r="AV47" s="517"/>
      <c r="AX47" s="517"/>
      <c r="AY47" s="517"/>
      <c r="AZ47" s="517"/>
      <c r="BA47" s="517"/>
      <c r="BB47" s="517"/>
      <c r="BC47" s="517"/>
      <c r="BD47" s="517"/>
      <c r="BG47" s="517"/>
      <c r="BH47" s="517"/>
      <c r="BI47" s="517"/>
      <c r="BJ47" s="517"/>
      <c r="BK47" s="517"/>
      <c r="BL47" s="517"/>
      <c r="BM47" s="517"/>
      <c r="BN47" s="517"/>
    </row>
    <row r="48" spans="1:66">
      <c r="A48" s="518" t="s">
        <v>805</v>
      </c>
      <c r="B48" s="519">
        <v>15677.830479120983</v>
      </c>
      <c r="C48" s="519">
        <v>16615.297363803533</v>
      </c>
      <c r="D48" s="519">
        <v>17130.599180327907</v>
      </c>
      <c r="E48" s="519">
        <v>17507.928855464677</v>
      </c>
      <c r="F48" s="519">
        <v>17467.499604829281</v>
      </c>
      <c r="G48" s="519">
        <v>17170.547066640484</v>
      </c>
      <c r="H48" s="519">
        <v>17242.331659887201</v>
      </c>
      <c r="I48" s="519">
        <v>17459.011736430708</v>
      </c>
      <c r="J48" s="519">
        <v>17613.886266620728</v>
      </c>
      <c r="K48" s="519">
        <v>17962.960173906697</v>
      </c>
      <c r="L48" s="519">
        <v>18300.238506397673</v>
      </c>
      <c r="M48" s="519">
        <v>18306.72644001869</v>
      </c>
      <c r="N48" s="519">
        <v>18276.429281747041</v>
      </c>
      <c r="O48" s="519">
        <v>18212.35247293047</v>
      </c>
      <c r="P48" s="519">
        <v>18096.501592689423</v>
      </c>
      <c r="Q48" s="519">
        <v>17929.882361405398</v>
      </c>
      <c r="R48" s="519">
        <v>17718.500644297659</v>
      </c>
      <c r="S48" s="519"/>
      <c r="T48" s="519"/>
      <c r="U48" s="519"/>
      <c r="V48" s="519"/>
      <c r="W48" s="519"/>
      <c r="X48" s="519"/>
      <c r="Y48" s="519"/>
      <c r="Z48" s="519"/>
      <c r="AA48" s="519"/>
      <c r="AB48" s="519"/>
      <c r="AC48" s="519"/>
      <c r="AD48" s="519"/>
      <c r="AE48" s="519"/>
      <c r="AF48" s="519"/>
      <c r="AH48" s="517"/>
      <c r="AI48" s="517"/>
      <c r="AJ48" s="517"/>
      <c r="AK48" s="517"/>
      <c r="AL48" s="517"/>
      <c r="AM48" s="517"/>
      <c r="AN48" s="517"/>
      <c r="AO48" s="517"/>
      <c r="AP48" s="68" t="s">
        <v>832</v>
      </c>
      <c r="AQ48" s="68">
        <v>-4648.2224021641878</v>
      </c>
      <c r="AR48" s="517">
        <v>4972.515885868871</v>
      </c>
      <c r="AS48" s="68">
        <v>-114.93141475534074</v>
      </c>
      <c r="AT48" s="517">
        <v>15.609083607804646</v>
      </c>
      <c r="AV48" s="517"/>
      <c r="AX48" s="517"/>
      <c r="AY48" s="517"/>
      <c r="AZ48" s="517"/>
      <c r="BA48" s="517"/>
      <c r="BB48" s="517"/>
      <c r="BC48" s="517"/>
      <c r="BD48" s="517"/>
      <c r="BG48" s="517"/>
      <c r="BH48" s="517"/>
      <c r="BI48" s="517"/>
      <c r="BJ48" s="517"/>
      <c r="BK48" s="517"/>
      <c r="BL48" s="517"/>
      <c r="BM48" s="517"/>
      <c r="BN48" s="517"/>
    </row>
    <row r="49" spans="1:66">
      <c r="A49" s="518" t="s">
        <v>807</v>
      </c>
      <c r="B49" s="519">
        <v>12783.483078572863</v>
      </c>
      <c r="C49" s="519">
        <v>12722.368434384045</v>
      </c>
      <c r="D49" s="519">
        <v>12958.179965398651</v>
      </c>
      <c r="E49" s="519">
        <v>13590.01485952982</v>
      </c>
      <c r="F49" s="519">
        <v>14543.980520269786</v>
      </c>
      <c r="G49" s="519">
        <v>15560.195640919908</v>
      </c>
      <c r="H49" s="519">
        <v>16494.79139179445</v>
      </c>
      <c r="I49" s="519">
        <v>16991.765380833269</v>
      </c>
      <c r="J49" s="519">
        <v>17350.840098216289</v>
      </c>
      <c r="K49" s="519">
        <v>17288.018097221418</v>
      </c>
      <c r="L49" s="519">
        <v>16970.301995850739</v>
      </c>
      <c r="M49" s="519">
        <v>17019.694478471345</v>
      </c>
      <c r="N49" s="519">
        <v>17228.198297497747</v>
      </c>
      <c r="O49" s="519">
        <v>17376.816275116915</v>
      </c>
      <c r="P49" s="519">
        <v>17719.551305057092</v>
      </c>
      <c r="Q49" s="519">
        <v>18053.406354401424</v>
      </c>
      <c r="R49" s="519">
        <v>18059.384465447572</v>
      </c>
      <c r="S49" s="519"/>
      <c r="T49" s="519"/>
      <c r="U49" s="519"/>
      <c r="V49" s="519"/>
      <c r="W49" s="519"/>
      <c r="X49" s="519"/>
      <c r="Y49" s="519"/>
      <c r="Z49" s="519"/>
      <c r="AA49" s="519"/>
      <c r="AB49" s="519"/>
      <c r="AC49" s="519"/>
      <c r="AD49" s="519"/>
      <c r="AE49" s="519"/>
      <c r="AF49" s="519"/>
      <c r="AH49" s="517"/>
      <c r="AI49" s="517"/>
      <c r="AJ49" s="517"/>
      <c r="AK49" s="517"/>
      <c r="AL49" s="517"/>
      <c r="AM49" s="517"/>
      <c r="AN49" s="517"/>
      <c r="AO49" s="517"/>
      <c r="AP49" s="68" t="s">
        <v>834</v>
      </c>
      <c r="AQ49" s="68">
        <v>-4509.5794293443523</v>
      </c>
      <c r="AR49" s="517">
        <v>4660.5158858688701</v>
      </c>
      <c r="AS49" s="517">
        <v>-107.25188136825139</v>
      </c>
      <c r="AT49" s="517">
        <v>7.8167404435806649</v>
      </c>
      <c r="AV49" s="517"/>
      <c r="AX49" s="517"/>
      <c r="AY49" s="517"/>
      <c r="AZ49" s="517"/>
      <c r="BA49" s="517"/>
      <c r="BB49" s="517"/>
      <c r="BC49" s="517"/>
      <c r="BD49" s="517"/>
      <c r="BG49" s="517"/>
      <c r="BH49" s="517"/>
      <c r="BI49" s="517"/>
      <c r="BJ49" s="517"/>
      <c r="BK49" s="517"/>
      <c r="BL49" s="517"/>
      <c r="BM49" s="517"/>
      <c r="BN49" s="517"/>
    </row>
    <row r="50" spans="1:66">
      <c r="A50" s="518" t="s">
        <v>809</v>
      </c>
      <c r="B50" s="519">
        <v>15365.627878939431</v>
      </c>
      <c r="C50" s="519">
        <v>14860.734310870739</v>
      </c>
      <c r="D50" s="519">
        <v>14309.455765700824</v>
      </c>
      <c r="E50" s="519">
        <v>13649.960018429312</v>
      </c>
      <c r="F50" s="519">
        <v>13220.432434358465</v>
      </c>
      <c r="G50" s="519">
        <v>13075.077817639318</v>
      </c>
      <c r="H50" s="519">
        <v>13032.122454193164</v>
      </c>
      <c r="I50" s="519">
        <v>13270.917543570591</v>
      </c>
      <c r="J50" s="519">
        <v>13902.911166736003</v>
      </c>
      <c r="K50" s="519">
        <v>14848.108381209542</v>
      </c>
      <c r="L50" s="519">
        <v>15866.51437337582</v>
      </c>
      <c r="M50" s="519">
        <v>16792.134461768052</v>
      </c>
      <c r="N50" s="519">
        <v>17299.974100435938</v>
      </c>
      <c r="O50" s="519">
        <v>17664.038882399389</v>
      </c>
      <c r="P50" s="519">
        <v>17609.334543190271</v>
      </c>
      <c r="Q50" s="519">
        <v>17297.866964484474</v>
      </c>
      <c r="R50" s="519">
        <v>17354.642177826528</v>
      </c>
      <c r="S50" s="519"/>
      <c r="T50" s="519"/>
      <c r="U50" s="519"/>
      <c r="V50" s="519"/>
      <c r="W50" s="519"/>
      <c r="X50" s="519"/>
      <c r="Y50" s="519"/>
      <c r="Z50" s="519"/>
      <c r="AA50" s="519"/>
      <c r="AB50" s="519"/>
      <c r="AC50" s="519"/>
      <c r="AD50" s="519"/>
      <c r="AE50" s="519"/>
      <c r="AF50" s="519"/>
      <c r="AH50" s="517"/>
      <c r="AI50" s="517"/>
      <c r="AJ50" s="517"/>
      <c r="AK50" s="517"/>
      <c r="AL50" s="517"/>
      <c r="AM50" s="517"/>
      <c r="AN50" s="517"/>
      <c r="AO50" s="517"/>
      <c r="AQ50" s="68">
        <v>-226642.26536037083</v>
      </c>
      <c r="AR50" s="68">
        <v>211904.77491820382</v>
      </c>
      <c r="AS50" s="68">
        <v>-208281.54729029266</v>
      </c>
      <c r="AT50" s="68">
        <v>20475.084009919396</v>
      </c>
      <c r="AU50" s="517"/>
      <c r="AV50" s="517"/>
      <c r="AW50" s="517"/>
      <c r="AX50" s="517"/>
      <c r="AY50" s="517"/>
      <c r="AZ50" s="517"/>
      <c r="BA50" s="517"/>
      <c r="BB50" s="517"/>
      <c r="BC50" s="517"/>
      <c r="BD50" s="517"/>
      <c r="BG50" s="517"/>
      <c r="BH50" s="517"/>
      <c r="BI50" s="517"/>
      <c r="BJ50" s="517"/>
      <c r="BK50" s="517"/>
      <c r="BL50" s="517"/>
      <c r="BM50" s="517"/>
      <c r="BN50" s="517"/>
    </row>
    <row r="51" spans="1:66">
      <c r="A51" s="518" t="s">
        <v>811</v>
      </c>
      <c r="B51" s="519">
        <v>18822.646724271588</v>
      </c>
      <c r="C51" s="519">
        <v>18343.420981112286</v>
      </c>
      <c r="D51" s="519">
        <v>18042.777038830747</v>
      </c>
      <c r="E51" s="519">
        <v>17871.819043808187</v>
      </c>
      <c r="F51" s="519">
        <v>17492.767035996054</v>
      </c>
      <c r="G51" s="519">
        <v>17108.969131477108</v>
      </c>
      <c r="H51" s="519">
        <v>16762.914986117732</v>
      </c>
      <c r="I51" s="519">
        <v>16241.507186757632</v>
      </c>
      <c r="J51" s="519">
        <v>15619.334558122307</v>
      </c>
      <c r="K51" s="519">
        <v>15225.428501816481</v>
      </c>
      <c r="L51" s="519">
        <v>15111.821217886492</v>
      </c>
      <c r="M51" s="519">
        <v>15099.545725125316</v>
      </c>
      <c r="N51" s="519">
        <v>15384.635881894004</v>
      </c>
      <c r="O51" s="519">
        <v>16070.126407472757</v>
      </c>
      <c r="P51" s="519">
        <v>17070.052903955031</v>
      </c>
      <c r="Q51" s="519">
        <v>18140.451878698554</v>
      </c>
      <c r="R51" s="519">
        <v>19121.360767347367</v>
      </c>
      <c r="S51" s="519"/>
      <c r="T51" s="519"/>
      <c r="U51" s="519"/>
      <c r="V51" s="519"/>
      <c r="W51" s="519"/>
      <c r="X51" s="519"/>
      <c r="Y51" s="519"/>
      <c r="Z51" s="519"/>
      <c r="AA51" s="519"/>
      <c r="AB51" s="519"/>
      <c r="AC51" s="519"/>
      <c r="AD51" s="519"/>
      <c r="AE51" s="519"/>
      <c r="AF51" s="519"/>
      <c r="AH51" s="517"/>
      <c r="AI51" s="517"/>
      <c r="AJ51" s="517"/>
      <c r="AK51" s="517"/>
      <c r="AL51" s="517"/>
      <c r="AM51" s="517"/>
      <c r="AN51" s="517"/>
      <c r="AO51" s="517"/>
      <c r="AP51" s="517"/>
      <c r="AQ51" s="517"/>
      <c r="AR51" s="517"/>
      <c r="AS51" s="517"/>
      <c r="AT51" s="517"/>
      <c r="AU51" s="517"/>
      <c r="AV51" s="517"/>
      <c r="AW51" s="517"/>
      <c r="AX51" s="517"/>
      <c r="AY51" s="517"/>
      <c r="AZ51" s="517"/>
      <c r="BA51" s="517"/>
      <c r="BB51" s="517"/>
      <c r="BC51" s="517"/>
      <c r="BD51" s="517"/>
      <c r="BG51" s="517"/>
      <c r="BH51" s="517"/>
      <c r="BI51" s="517"/>
      <c r="BJ51" s="517"/>
      <c r="BK51" s="517"/>
      <c r="BL51" s="517"/>
      <c r="BM51" s="517"/>
      <c r="BN51" s="517"/>
    </row>
    <row r="52" spans="1:66">
      <c r="A52" s="518" t="s">
        <v>813</v>
      </c>
      <c r="B52" s="519">
        <v>21730.798092901819</v>
      </c>
      <c r="C52" s="519">
        <v>21770.459586199278</v>
      </c>
      <c r="D52" s="519">
        <v>21739.875814145667</v>
      </c>
      <c r="E52" s="519">
        <v>21699.750503204574</v>
      </c>
      <c r="F52" s="519">
        <v>21736.071603567379</v>
      </c>
      <c r="G52" s="519">
        <v>21565.141177808138</v>
      </c>
      <c r="H52" s="519">
        <v>21386.608432865716</v>
      </c>
      <c r="I52" s="519">
        <v>21081.523424444291</v>
      </c>
      <c r="J52" s="519">
        <v>20894.223769768447</v>
      </c>
      <c r="K52" s="519">
        <v>20495.780055277748</v>
      </c>
      <c r="L52" s="519">
        <v>20073.264656288222</v>
      </c>
      <c r="M52" s="519">
        <v>19678.751782329942</v>
      </c>
      <c r="N52" s="519">
        <v>19235.317523633697</v>
      </c>
      <c r="O52" s="519">
        <v>18688.039898795887</v>
      </c>
      <c r="P52" s="519">
        <v>18371.998903651474</v>
      </c>
      <c r="Q52" s="519">
        <v>18340.276561385694</v>
      </c>
      <c r="R52" s="519">
        <v>18410.956973915792</v>
      </c>
      <c r="S52" s="519"/>
      <c r="T52" s="519"/>
      <c r="U52" s="519"/>
      <c r="V52" s="519"/>
      <c r="W52" s="519"/>
      <c r="X52" s="519"/>
      <c r="Y52" s="519"/>
      <c r="Z52" s="519"/>
      <c r="AA52" s="519"/>
      <c r="AB52" s="519"/>
      <c r="AC52" s="519"/>
      <c r="AD52" s="519"/>
      <c r="AE52" s="519"/>
      <c r="AF52" s="519"/>
      <c r="AH52" s="517"/>
      <c r="AI52" s="517"/>
      <c r="AJ52" s="517"/>
      <c r="AK52" s="517"/>
      <c r="AL52" s="517"/>
      <c r="AM52" s="517"/>
      <c r="AN52" s="517"/>
      <c r="AO52" s="517"/>
      <c r="AP52" s="517"/>
      <c r="AQ52" s="517"/>
      <c r="AR52" s="517"/>
      <c r="AS52" s="517"/>
      <c r="AT52" s="517"/>
      <c r="AU52" s="517"/>
      <c r="AV52" s="517"/>
      <c r="AW52" s="517"/>
      <c r="AX52" s="517"/>
      <c r="AY52" s="517"/>
      <c r="AZ52" s="517"/>
      <c r="BA52" s="517"/>
      <c r="BB52" s="517"/>
      <c r="BC52" s="517"/>
      <c r="BD52" s="517"/>
      <c r="BG52" s="517"/>
      <c r="BH52" s="517"/>
      <c r="BI52" s="517"/>
      <c r="BJ52" s="517"/>
      <c r="BK52" s="517"/>
      <c r="BL52" s="517"/>
      <c r="BM52" s="517"/>
      <c r="BN52" s="517"/>
    </row>
    <row r="53" spans="1:66">
      <c r="A53" s="518" t="s">
        <v>815</v>
      </c>
      <c r="B53" s="519">
        <v>17488.229942516595</v>
      </c>
      <c r="C53" s="519">
        <v>18875.820693299556</v>
      </c>
      <c r="D53" s="519">
        <v>20119.995709756171</v>
      </c>
      <c r="E53" s="519">
        <v>20721.917451388959</v>
      </c>
      <c r="F53" s="519">
        <v>21543.975742159062</v>
      </c>
      <c r="G53" s="519">
        <v>22255.811680945269</v>
      </c>
      <c r="H53" s="519">
        <v>22366.344066644018</v>
      </c>
      <c r="I53" s="519">
        <v>22151.413602616856</v>
      </c>
      <c r="J53" s="519">
        <v>21896.688704046835</v>
      </c>
      <c r="K53" s="519">
        <v>21691.22524169429</v>
      </c>
      <c r="L53" s="519">
        <v>21245.080501658798</v>
      </c>
      <c r="M53" s="519">
        <v>20755.313221234053</v>
      </c>
      <c r="N53" s="519">
        <v>20434.983625671099</v>
      </c>
      <c r="O53" s="519">
        <v>20235.1534658729</v>
      </c>
      <c r="P53" s="519">
        <v>19824.886057043845</v>
      </c>
      <c r="Q53" s="519">
        <v>19390.246318318437</v>
      </c>
      <c r="R53" s="519">
        <v>18980.300813393875</v>
      </c>
      <c r="S53" s="519"/>
      <c r="T53" s="519"/>
      <c r="U53" s="519"/>
      <c r="V53" s="519"/>
      <c r="W53" s="519"/>
      <c r="X53" s="519"/>
      <c r="Y53" s="519"/>
      <c r="Z53" s="519"/>
      <c r="AA53" s="519"/>
      <c r="AB53" s="519"/>
      <c r="AC53" s="519"/>
      <c r="AD53" s="519"/>
      <c r="AE53" s="519"/>
      <c r="AF53" s="519"/>
      <c r="AH53" s="517"/>
      <c r="AI53" s="517"/>
      <c r="AJ53" s="517"/>
      <c r="AK53" s="517"/>
      <c r="AL53" s="517"/>
      <c r="AM53" s="517"/>
      <c r="AN53" s="517"/>
      <c r="AO53" s="517"/>
      <c r="AP53" s="517"/>
      <c r="AQ53" s="517"/>
      <c r="AR53" s="517"/>
      <c r="AS53" s="517"/>
      <c r="AT53" s="517"/>
      <c r="AU53" s="517"/>
      <c r="AV53" s="517"/>
      <c r="AW53" s="517"/>
      <c r="AX53" s="517"/>
      <c r="AY53" s="517"/>
      <c r="AZ53" s="517"/>
      <c r="BA53" s="517"/>
      <c r="BB53" s="517"/>
      <c r="BC53" s="517"/>
      <c r="BD53" s="517"/>
      <c r="BG53" s="517"/>
      <c r="BH53" s="517"/>
      <c r="BI53" s="517"/>
      <c r="BJ53" s="517"/>
      <c r="BK53" s="517"/>
      <c r="BL53" s="517"/>
      <c r="BM53" s="517"/>
      <c r="BN53" s="517"/>
    </row>
    <row r="54" spans="1:66">
      <c r="A54" s="507" t="s">
        <v>817</v>
      </c>
      <c r="B54" s="519">
        <v>12619.75001014969</v>
      </c>
      <c r="C54" s="519">
        <v>13449.42579308627</v>
      </c>
      <c r="D54" s="519">
        <v>14146.805415417364</v>
      </c>
      <c r="E54" s="519">
        <v>15394.329083292578</v>
      </c>
      <c r="F54" s="519">
        <v>16488.588443290439</v>
      </c>
      <c r="G54" s="519">
        <v>17614.342508826259</v>
      </c>
      <c r="H54" s="519">
        <v>19015.535261536003</v>
      </c>
      <c r="I54" s="519">
        <v>20098.214122457568</v>
      </c>
      <c r="J54" s="519">
        <v>20514.353730775525</v>
      </c>
      <c r="K54" s="519">
        <v>21133.991081292952</v>
      </c>
      <c r="L54" s="519">
        <v>21612.164105757198</v>
      </c>
      <c r="M54" s="519">
        <v>21465.91169658969</v>
      </c>
      <c r="N54" s="519">
        <v>21229.273731216796</v>
      </c>
      <c r="O54" s="519">
        <v>20958.291097016845</v>
      </c>
      <c r="P54" s="519">
        <v>20728.005716899104</v>
      </c>
      <c r="Q54" s="519">
        <v>20259.460575530498</v>
      </c>
      <c r="R54" s="519">
        <v>19747.699746226626</v>
      </c>
      <c r="S54" s="519"/>
      <c r="T54" s="519"/>
      <c r="U54" s="519"/>
      <c r="V54" s="519"/>
      <c r="W54" s="519"/>
      <c r="X54" s="519"/>
      <c r="Y54" s="519"/>
      <c r="Z54" s="519"/>
      <c r="AA54" s="519"/>
      <c r="AB54" s="519"/>
      <c r="AC54" s="519"/>
      <c r="AD54" s="519"/>
      <c r="AE54" s="519"/>
      <c r="AF54" s="519"/>
      <c r="AH54" s="517"/>
      <c r="AI54" s="517"/>
      <c r="AJ54" s="517"/>
      <c r="AK54" s="517"/>
      <c r="AL54" s="517"/>
      <c r="AM54" s="517"/>
      <c r="AN54" s="517"/>
      <c r="AO54" s="517"/>
      <c r="AP54" s="517"/>
      <c r="AQ54" s="517"/>
      <c r="AR54" s="517"/>
      <c r="AS54" s="517"/>
      <c r="AT54" s="517"/>
      <c r="AU54" s="517"/>
      <c r="AV54" s="517"/>
      <c r="AW54" s="517"/>
      <c r="AX54" s="517"/>
      <c r="AY54" s="517"/>
      <c r="AZ54" s="517"/>
      <c r="BA54" s="517"/>
      <c r="BB54" s="517"/>
      <c r="BC54" s="517"/>
      <c r="BD54" s="517"/>
      <c r="BG54" s="517"/>
      <c r="BH54" s="517"/>
      <c r="BI54" s="517"/>
      <c r="BJ54" s="517"/>
      <c r="BK54" s="517"/>
      <c r="BL54" s="517"/>
      <c r="BM54" s="517"/>
      <c r="BN54" s="517"/>
    </row>
    <row r="55" spans="1:66">
      <c r="A55" s="507" t="s">
        <v>819</v>
      </c>
      <c r="B55" s="519">
        <v>10658.135507610499</v>
      </c>
      <c r="C55" s="519">
        <v>10931.243345919958</v>
      </c>
      <c r="D55" s="519">
        <v>11350.116103234681</v>
      </c>
      <c r="E55" s="519">
        <v>11591.569657473685</v>
      </c>
      <c r="F55" s="519">
        <v>11984.50567301541</v>
      </c>
      <c r="G55" s="519">
        <v>12546.920622407106</v>
      </c>
      <c r="H55" s="519">
        <v>13364.915756881692</v>
      </c>
      <c r="I55" s="519">
        <v>13949.688176419822</v>
      </c>
      <c r="J55" s="519">
        <v>15067.290675872977</v>
      </c>
      <c r="K55" s="519">
        <v>16023.744280461287</v>
      </c>
      <c r="L55" s="519">
        <v>16984.070547967651</v>
      </c>
      <c r="M55" s="519">
        <v>18203.291582227721</v>
      </c>
      <c r="N55" s="519">
        <v>19262.430046961574</v>
      </c>
      <c r="O55" s="519">
        <v>19660.509179955789</v>
      </c>
      <c r="P55" s="519">
        <v>20254.552807604723</v>
      </c>
      <c r="Q55" s="519">
        <v>20713.585359820154</v>
      </c>
      <c r="R55" s="519">
        <v>20547.631885318624</v>
      </c>
      <c r="S55" s="519"/>
      <c r="T55" s="519"/>
      <c r="U55" s="519"/>
      <c r="V55" s="519"/>
      <c r="W55" s="519"/>
      <c r="X55" s="519"/>
      <c r="Y55" s="519"/>
      <c r="Z55" s="519"/>
      <c r="AA55" s="519"/>
      <c r="AB55" s="519"/>
      <c r="AC55" s="519"/>
      <c r="AD55" s="519"/>
      <c r="AE55" s="519"/>
      <c r="AF55" s="519"/>
      <c r="AH55" s="517"/>
      <c r="AI55" s="517"/>
      <c r="AJ55" s="517"/>
      <c r="AK55" s="517"/>
      <c r="AL55" s="517"/>
      <c r="AM55" s="517"/>
      <c r="AN55" s="517"/>
      <c r="AO55" s="517"/>
      <c r="AP55" s="517"/>
      <c r="AQ55" s="517"/>
      <c r="AR55" s="517"/>
      <c r="AS55" s="517"/>
      <c r="AT55" s="517"/>
      <c r="AU55" s="517"/>
      <c r="AV55" s="517"/>
      <c r="AW55" s="517"/>
      <c r="AX55" s="517"/>
      <c r="AY55" s="517"/>
      <c r="AZ55" s="517"/>
      <c r="BA55" s="517"/>
      <c r="BB55" s="517"/>
      <c r="BC55" s="517"/>
      <c r="BD55" s="517"/>
      <c r="BG55" s="517"/>
      <c r="BH55" s="517"/>
      <c r="BI55" s="517"/>
      <c r="BJ55" s="517"/>
      <c r="BK55" s="517"/>
      <c r="BL55" s="517"/>
      <c r="BM55" s="517"/>
      <c r="BN55" s="517"/>
    </row>
    <row r="56" spans="1:66">
      <c r="A56" s="507" t="s">
        <v>821</v>
      </c>
      <c r="B56" s="519">
        <v>9144.5770445419257</v>
      </c>
      <c r="C56" s="519">
        <v>9336.0165480367868</v>
      </c>
      <c r="D56" s="519">
        <v>9738.5421727606608</v>
      </c>
      <c r="E56" s="519">
        <v>10293.68861196935</v>
      </c>
      <c r="F56" s="519">
        <v>10466.04678733629</v>
      </c>
      <c r="G56" s="519">
        <v>10672.269762395073</v>
      </c>
      <c r="H56" s="519">
        <v>10950.079277900109</v>
      </c>
      <c r="I56" s="519">
        <v>11309.401412369622</v>
      </c>
      <c r="J56" s="519">
        <v>11480.263445575794</v>
      </c>
      <c r="K56" s="519">
        <v>11797.679048447939</v>
      </c>
      <c r="L56" s="519">
        <v>12270.662238084247</v>
      </c>
      <c r="M56" s="519">
        <v>12991.22738651741</v>
      </c>
      <c r="N56" s="519">
        <v>13563.389229702181</v>
      </c>
      <c r="O56" s="519">
        <v>14667.162876730563</v>
      </c>
      <c r="P56" s="519">
        <v>15610.563819280296</v>
      </c>
      <c r="Q56" s="519">
        <v>16557.607941302642</v>
      </c>
      <c r="R56" s="519">
        <v>17761.311528955455</v>
      </c>
      <c r="S56" s="519"/>
      <c r="T56" s="519"/>
      <c r="U56" s="519"/>
      <c r="V56" s="519"/>
      <c r="W56" s="519"/>
      <c r="X56" s="519"/>
      <c r="Y56" s="519"/>
      <c r="Z56" s="519"/>
      <c r="AA56" s="519"/>
      <c r="AB56" s="519"/>
      <c r="AC56" s="519"/>
      <c r="AD56" s="519"/>
      <c r="AE56" s="519"/>
      <c r="AF56" s="519"/>
      <c r="AH56" s="517"/>
      <c r="AI56" s="517"/>
      <c r="AJ56" s="517"/>
      <c r="AK56" s="517"/>
      <c r="AL56" s="517"/>
      <c r="AM56" s="517"/>
      <c r="AN56" s="517"/>
      <c r="AO56" s="517"/>
      <c r="AP56" s="517"/>
      <c r="AQ56" s="517"/>
      <c r="AR56" s="517"/>
      <c r="AS56" s="517"/>
      <c r="AT56" s="517"/>
      <c r="AU56" s="517"/>
      <c r="AV56" s="517"/>
      <c r="AW56" s="517"/>
      <c r="AX56" s="517"/>
      <c r="AY56" s="517"/>
      <c r="AZ56" s="517"/>
      <c r="BA56" s="517"/>
      <c r="BB56" s="517"/>
      <c r="BC56" s="517"/>
      <c r="BD56" s="517"/>
      <c r="BG56" s="517"/>
      <c r="BH56" s="517"/>
      <c r="BI56" s="517"/>
      <c r="BJ56" s="517"/>
      <c r="BK56" s="517"/>
      <c r="BL56" s="517"/>
      <c r="BM56" s="517"/>
      <c r="BN56" s="517"/>
    </row>
    <row r="57" spans="1:66">
      <c r="A57" s="507" t="s">
        <v>823</v>
      </c>
      <c r="B57" s="519">
        <v>7590.0736020541444</v>
      </c>
      <c r="C57" s="519">
        <v>7966.4271400172465</v>
      </c>
      <c r="D57" s="519">
        <v>8139.5315392007942</v>
      </c>
      <c r="E57" s="519">
        <v>8226.6755632465938</v>
      </c>
      <c r="F57" s="519">
        <v>8559.178330926361</v>
      </c>
      <c r="G57" s="519">
        <v>8997.3925082391142</v>
      </c>
      <c r="H57" s="519">
        <v>9186.7078362143493</v>
      </c>
      <c r="I57" s="519">
        <v>9545.4586461221043</v>
      </c>
      <c r="J57" s="519">
        <v>10051.507245030749</v>
      </c>
      <c r="K57" s="519">
        <v>10168.86117982404</v>
      </c>
      <c r="L57" s="519">
        <v>10316.528188655146</v>
      </c>
      <c r="M57" s="519">
        <v>10528.516205794425</v>
      </c>
      <c r="N57" s="519">
        <v>10876.833366600085</v>
      </c>
      <c r="O57" s="519">
        <v>11041.488012614818</v>
      </c>
      <c r="P57" s="519">
        <v>11348.488696791634</v>
      </c>
      <c r="Q57" s="519">
        <v>11810.844188852136</v>
      </c>
      <c r="R57" s="519">
        <v>12515.563480780627</v>
      </c>
      <c r="S57" s="519"/>
      <c r="T57" s="519"/>
      <c r="U57" s="519"/>
      <c r="V57" s="519"/>
      <c r="W57" s="519"/>
      <c r="X57" s="519"/>
      <c r="Y57" s="519"/>
      <c r="Z57" s="519"/>
      <c r="AA57" s="519"/>
      <c r="AB57" s="519"/>
      <c r="AC57" s="519"/>
      <c r="AD57" s="519"/>
      <c r="AE57" s="519"/>
      <c r="AF57" s="519"/>
      <c r="AH57" s="517"/>
      <c r="AI57" s="517"/>
      <c r="AJ57" s="517"/>
      <c r="AK57" s="517"/>
      <c r="AL57" s="517"/>
      <c r="AM57" s="517"/>
      <c r="AN57" s="517"/>
      <c r="AO57" s="517"/>
      <c r="AP57" s="517"/>
      <c r="AQ57" s="517"/>
      <c r="AR57" s="517"/>
      <c r="AS57" s="517"/>
      <c r="AT57" s="517"/>
      <c r="AU57" s="517"/>
      <c r="AV57" s="517"/>
      <c r="AW57" s="517"/>
      <c r="AX57" s="517"/>
      <c r="AY57" s="517"/>
      <c r="AZ57" s="517"/>
      <c r="BA57" s="517"/>
      <c r="BB57" s="517"/>
      <c r="BC57" s="517"/>
      <c r="BD57" s="517"/>
      <c r="BG57" s="517"/>
      <c r="BH57" s="517"/>
      <c r="BI57" s="517"/>
      <c r="BJ57" s="517"/>
      <c r="BK57" s="517"/>
      <c r="BL57" s="517"/>
      <c r="BM57" s="517"/>
      <c r="BN57" s="517"/>
    </row>
    <row r="58" spans="1:66">
      <c r="A58" s="507" t="s">
        <v>825</v>
      </c>
      <c r="B58" s="519">
        <v>5780.1548023757277</v>
      </c>
      <c r="C58" s="519">
        <v>6303.9740344597149</v>
      </c>
      <c r="D58" s="519">
        <v>6713.3455894186473</v>
      </c>
      <c r="E58" s="519">
        <v>7125.4325623869609</v>
      </c>
      <c r="F58" s="519">
        <v>7343.4151970418889</v>
      </c>
      <c r="G58" s="519">
        <v>7385.4926890176084</v>
      </c>
      <c r="H58" s="519">
        <v>7753.8851789830996</v>
      </c>
      <c r="I58" s="519">
        <v>7903.4424855348052</v>
      </c>
      <c r="J58" s="519">
        <v>7964.1658858417268</v>
      </c>
      <c r="K58" s="519">
        <v>8265.0595870830894</v>
      </c>
      <c r="L58" s="519">
        <v>8668.1279030091082</v>
      </c>
      <c r="M58" s="519">
        <v>8822.3752566405783</v>
      </c>
      <c r="N58" s="519">
        <v>9169.8061830368497</v>
      </c>
      <c r="O58" s="519">
        <v>9664.425332133922</v>
      </c>
      <c r="P58" s="519">
        <v>9776.2374716544291</v>
      </c>
      <c r="Q58" s="519">
        <v>9918.2474900913512</v>
      </c>
      <c r="R58" s="519">
        <v>10123.460399767293</v>
      </c>
      <c r="S58" s="519"/>
      <c r="T58" s="519"/>
      <c r="U58" s="519"/>
      <c r="V58" s="519"/>
      <c r="W58" s="519"/>
      <c r="X58" s="519"/>
      <c r="Y58" s="519"/>
      <c r="Z58" s="519"/>
      <c r="AA58" s="519"/>
      <c r="AB58" s="519"/>
      <c r="AC58" s="519"/>
      <c r="AD58" s="519"/>
      <c r="AE58" s="519"/>
      <c r="AF58" s="519"/>
      <c r="AH58" s="517"/>
      <c r="AI58" s="517"/>
      <c r="AJ58" s="517"/>
      <c r="AK58" s="517"/>
      <c r="AL58" s="517"/>
      <c r="AM58" s="517"/>
      <c r="AN58" s="517"/>
      <c r="AO58" s="517"/>
      <c r="AP58" s="517"/>
      <c r="AQ58" s="517"/>
      <c r="AR58" s="517"/>
      <c r="AS58" s="517"/>
      <c r="AT58" s="517"/>
      <c r="AU58" s="517"/>
      <c r="AV58" s="517"/>
      <c r="AW58" s="517"/>
      <c r="AX58" s="517"/>
      <c r="AY58" s="517"/>
      <c r="AZ58" s="517"/>
      <c r="BA58" s="517"/>
      <c r="BB58" s="517"/>
      <c r="BC58" s="517"/>
      <c r="BD58" s="517"/>
      <c r="BG58" s="517"/>
      <c r="BH58" s="517"/>
      <c r="BI58" s="517"/>
      <c r="BJ58" s="517"/>
      <c r="BK58" s="517"/>
      <c r="BL58" s="517"/>
      <c r="BM58" s="517"/>
      <c r="BN58" s="517"/>
    </row>
    <row r="59" spans="1:66">
      <c r="A59" s="507" t="s">
        <v>827</v>
      </c>
      <c r="B59" s="519">
        <v>2967.1970562993424</v>
      </c>
      <c r="C59" s="519">
        <v>3202.7122297392916</v>
      </c>
      <c r="D59" s="519">
        <v>3681.90638058284</v>
      </c>
      <c r="E59" s="519">
        <v>4209.8507534194023</v>
      </c>
      <c r="F59" s="519">
        <v>4793.6240813750492</v>
      </c>
      <c r="G59" s="519">
        <v>5504.3133735749325</v>
      </c>
      <c r="H59" s="519">
        <v>6008.0147854208581</v>
      </c>
      <c r="I59" s="519">
        <v>6387.9299956196382</v>
      </c>
      <c r="J59" s="519">
        <v>6776.9190994654991</v>
      </c>
      <c r="K59" s="519">
        <v>6973.9839700808152</v>
      </c>
      <c r="L59" s="519">
        <v>6996.1265280720218</v>
      </c>
      <c r="M59" s="519">
        <v>7337.3487427334085</v>
      </c>
      <c r="N59" s="519">
        <v>7482.6526332814428</v>
      </c>
      <c r="O59" s="519">
        <v>7546.0402701203711</v>
      </c>
      <c r="P59" s="519">
        <v>7835.5137761399183</v>
      </c>
      <c r="Q59" s="519">
        <v>8229.0753280458921</v>
      </c>
      <c r="R59" s="519">
        <v>8375.7271577245065</v>
      </c>
      <c r="S59" s="519"/>
      <c r="T59" s="519"/>
      <c r="U59" s="519"/>
      <c r="V59" s="519"/>
      <c r="W59" s="519"/>
      <c r="X59" s="519"/>
      <c r="Y59" s="519"/>
      <c r="Z59" s="519"/>
      <c r="AA59" s="519"/>
      <c r="AB59" s="519"/>
      <c r="AC59" s="519"/>
      <c r="AD59" s="519"/>
      <c r="AE59" s="519"/>
      <c r="AF59" s="519"/>
      <c r="AH59" s="517"/>
      <c r="AI59" s="517"/>
      <c r="AJ59" s="517"/>
      <c r="AK59" s="517"/>
      <c r="AL59" s="517"/>
      <c r="AM59" s="517"/>
      <c r="AN59" s="517"/>
      <c r="AO59" s="517"/>
      <c r="AP59" s="517"/>
      <c r="AQ59" s="517"/>
      <c r="AR59" s="517"/>
      <c r="AS59" s="517"/>
      <c r="AT59" s="517"/>
      <c r="AU59" s="517"/>
      <c r="AV59" s="517"/>
      <c r="AW59" s="517"/>
      <c r="AX59" s="517"/>
      <c r="AY59" s="517"/>
      <c r="AZ59" s="517"/>
      <c r="BA59" s="517"/>
      <c r="BB59" s="517"/>
      <c r="BC59" s="517"/>
      <c r="BD59" s="517"/>
      <c r="BG59" s="517"/>
      <c r="BH59" s="517"/>
      <c r="BI59" s="517"/>
      <c r="BJ59" s="517"/>
      <c r="BK59" s="517"/>
      <c r="BL59" s="517"/>
      <c r="BM59" s="517"/>
      <c r="BN59" s="517"/>
    </row>
    <row r="60" spans="1:66">
      <c r="A60" s="507" t="s">
        <v>829</v>
      </c>
      <c r="B60" s="519">
        <v>2439.2512630685346</v>
      </c>
      <c r="C60" s="519">
        <v>2505.5914488337949</v>
      </c>
      <c r="D60" s="519">
        <v>2544.1777540844555</v>
      </c>
      <c r="E60" s="519">
        <v>2625.0360634327517</v>
      </c>
      <c r="F60" s="519">
        <v>2646.1949837993529</v>
      </c>
      <c r="G60" s="519">
        <v>2731.686130721037</v>
      </c>
      <c r="H60" s="519">
        <v>2957.5444447696118</v>
      </c>
      <c r="I60" s="519">
        <v>3398.5708322755504</v>
      </c>
      <c r="J60" s="519">
        <v>3893.6232029049065</v>
      </c>
      <c r="K60" s="519">
        <v>4434.7022144235816</v>
      </c>
      <c r="L60" s="519">
        <v>5100.808541248899</v>
      </c>
      <c r="M60" s="519">
        <v>5564.9428748711389</v>
      </c>
      <c r="N60" s="519">
        <v>5926.10592428574</v>
      </c>
      <c r="O60" s="519">
        <v>6298.2984164364489</v>
      </c>
      <c r="P60" s="519">
        <v>6485.5210966696759</v>
      </c>
      <c r="Q60" s="519">
        <v>6506.7747292003714</v>
      </c>
      <c r="R60" s="519">
        <v>6838.0600975896732</v>
      </c>
      <c r="S60" s="519"/>
      <c r="T60" s="519"/>
      <c r="U60" s="519"/>
      <c r="V60" s="519"/>
      <c r="W60" s="519"/>
      <c r="X60" s="519"/>
      <c r="Y60" s="519"/>
      <c r="Z60" s="519"/>
      <c r="AA60" s="519"/>
      <c r="AB60" s="519"/>
      <c r="AC60" s="519"/>
      <c r="AD60" s="519"/>
      <c r="AE60" s="519"/>
      <c r="AF60" s="519"/>
      <c r="AH60" s="517"/>
      <c r="AI60" s="517"/>
      <c r="AJ60" s="517"/>
      <c r="AK60" s="517"/>
      <c r="AL60" s="517"/>
      <c r="AM60" s="517"/>
      <c r="AN60" s="517"/>
      <c r="AO60" s="517"/>
      <c r="AP60" s="517"/>
      <c r="AQ60" s="517"/>
      <c r="AR60" s="517"/>
      <c r="AS60" s="517"/>
      <c r="AT60" s="517"/>
      <c r="AU60" s="517"/>
      <c r="AV60" s="517"/>
      <c r="AW60" s="517"/>
      <c r="AX60" s="517"/>
      <c r="AY60" s="517"/>
      <c r="AZ60" s="517"/>
      <c r="BA60" s="517"/>
      <c r="BB60" s="517"/>
      <c r="BC60" s="517"/>
      <c r="BD60" s="517"/>
      <c r="BG60" s="517"/>
      <c r="BH60" s="517"/>
      <c r="BI60" s="517"/>
      <c r="BJ60" s="517"/>
      <c r="BK60" s="517"/>
      <c r="BL60" s="517"/>
      <c r="BM60" s="517"/>
      <c r="BN60" s="517"/>
    </row>
    <row r="61" spans="1:66">
      <c r="A61" s="507" t="s">
        <v>831</v>
      </c>
      <c r="B61" s="519">
        <v>2368.671555408012</v>
      </c>
      <c r="C61" s="519">
        <v>2287.3995499637381</v>
      </c>
      <c r="D61" s="519">
        <v>2264.2020319190774</v>
      </c>
      <c r="E61" s="519">
        <v>2198.086780486406</v>
      </c>
      <c r="F61" s="519">
        <v>2144.0623915842698</v>
      </c>
      <c r="G61" s="519">
        <v>2136.1383636931682</v>
      </c>
      <c r="H61" s="519">
        <v>2200.3251927398751</v>
      </c>
      <c r="I61" s="519">
        <v>2234.6637206146829</v>
      </c>
      <c r="J61" s="519">
        <v>2306.0108499466241</v>
      </c>
      <c r="K61" s="519">
        <v>2329.3667993145527</v>
      </c>
      <c r="L61" s="519">
        <v>2402.731792852589</v>
      </c>
      <c r="M61" s="519">
        <v>2609.1060603913243</v>
      </c>
      <c r="N61" s="519">
        <v>3016.4898376026226</v>
      </c>
      <c r="O61" s="519">
        <v>3472.883366148104</v>
      </c>
      <c r="P61" s="519">
        <v>3965.2868938313936</v>
      </c>
      <c r="Q61" s="519">
        <v>4564.7006747542537</v>
      </c>
      <c r="R61" s="519">
        <v>4988.1249694766757</v>
      </c>
      <c r="S61" s="519"/>
      <c r="T61" s="519"/>
      <c r="U61" s="519"/>
      <c r="V61" s="519"/>
      <c r="W61" s="519"/>
      <c r="X61" s="519"/>
      <c r="Y61" s="519"/>
      <c r="Z61" s="519"/>
      <c r="AA61" s="519"/>
      <c r="AB61" s="519"/>
      <c r="AC61" s="519"/>
      <c r="AD61" s="519"/>
      <c r="AE61" s="519"/>
      <c r="AF61" s="519"/>
      <c r="AH61" s="517"/>
      <c r="AI61" s="517"/>
      <c r="AJ61" s="517"/>
      <c r="AK61" s="517"/>
      <c r="AL61" s="517"/>
      <c r="AM61" s="517"/>
      <c r="AN61" s="517"/>
      <c r="AO61" s="517"/>
      <c r="AP61" s="517"/>
      <c r="AQ61" s="517"/>
      <c r="AR61" s="517"/>
      <c r="AS61" s="517"/>
      <c r="AT61" s="517"/>
      <c r="AU61" s="517"/>
      <c r="AV61" s="517"/>
      <c r="AW61" s="517"/>
      <c r="AX61" s="517"/>
      <c r="AY61" s="517"/>
      <c r="AZ61" s="517"/>
      <c r="BA61" s="517"/>
      <c r="BB61" s="517"/>
      <c r="BC61" s="517"/>
      <c r="BD61" s="517"/>
      <c r="BG61" s="517"/>
      <c r="BH61" s="517"/>
      <c r="BI61" s="517"/>
      <c r="BJ61" s="517"/>
      <c r="BK61" s="517"/>
      <c r="BL61" s="517"/>
      <c r="BM61" s="517"/>
      <c r="BN61" s="517"/>
    </row>
    <row r="62" spans="1:66">
      <c r="A62" s="507" t="s">
        <v>833</v>
      </c>
      <c r="B62" s="519">
        <v>1751</v>
      </c>
      <c r="C62" s="519">
        <v>1838.0263409484735</v>
      </c>
      <c r="D62" s="519">
        <v>1845.0533757425133</v>
      </c>
      <c r="E62" s="519">
        <v>1880.08112265867</v>
      </c>
      <c r="F62" s="519">
        <v>1907.1096004549156</v>
      </c>
      <c r="G62" s="519">
        <v>1916.1388283833246</v>
      </c>
      <c r="H62" s="519">
        <v>1848.1688262030898</v>
      </c>
      <c r="I62" s="519">
        <v>1829.1996141938798</v>
      </c>
      <c r="J62" s="519">
        <v>1780.2312131695489</v>
      </c>
      <c r="K62" s="519">
        <v>1739.2636444922077</v>
      </c>
      <c r="L62" s="519">
        <v>1740.2969300866657</v>
      </c>
      <c r="M62" s="519">
        <v>1799.3310924552522</v>
      </c>
      <c r="N62" s="519">
        <v>1829.3661546930296</v>
      </c>
      <c r="O62" s="519">
        <v>1892.4021405034052</v>
      </c>
      <c r="P62" s="519">
        <v>1918.4390742141582</v>
      </c>
      <c r="Q62" s="519">
        <v>1985.4769807938826</v>
      </c>
      <c r="R62" s="519">
        <v>2167.5158858688706</v>
      </c>
      <c r="S62" s="519"/>
      <c r="T62" s="519"/>
      <c r="U62" s="519"/>
      <c r="V62" s="519"/>
      <c r="W62" s="519"/>
      <c r="X62" s="519"/>
      <c r="Y62" s="519"/>
      <c r="Z62" s="519"/>
      <c r="AA62" s="519"/>
      <c r="AB62" s="519"/>
      <c r="AC62" s="519"/>
      <c r="AD62" s="519"/>
      <c r="AE62" s="519"/>
      <c r="AF62" s="519"/>
      <c r="AH62" s="517"/>
      <c r="AI62" s="517"/>
      <c r="AJ62" s="517"/>
      <c r="AK62" s="517"/>
      <c r="AL62" s="517"/>
      <c r="AM62" s="517"/>
      <c r="AN62" s="517"/>
      <c r="AO62" s="517"/>
      <c r="AP62" s="517"/>
      <c r="AQ62" s="517"/>
      <c r="AR62" s="517"/>
      <c r="AS62" s="517"/>
      <c r="AT62" s="517"/>
      <c r="AU62" s="517"/>
      <c r="AV62" s="517"/>
      <c r="AW62" s="517"/>
      <c r="AX62" s="517"/>
      <c r="AY62" s="517"/>
      <c r="AZ62" s="517"/>
      <c r="BA62" s="517"/>
      <c r="BB62" s="517"/>
      <c r="BC62" s="517"/>
      <c r="BD62" s="517"/>
      <c r="BG62" s="517"/>
      <c r="BH62" s="517"/>
      <c r="BI62" s="517"/>
      <c r="BJ62" s="517"/>
      <c r="BK62" s="517"/>
      <c r="BL62" s="517"/>
      <c r="BM62" s="517"/>
      <c r="BN62" s="517"/>
    </row>
    <row r="63" spans="1:66">
      <c r="A63" s="521" t="s">
        <v>835</v>
      </c>
      <c r="B63" s="522">
        <v>1198.340991584754</v>
      </c>
      <c r="C63" s="522">
        <v>1294.6923667370054</v>
      </c>
      <c r="D63" s="522">
        <v>1423.0806963366083</v>
      </c>
      <c r="E63" s="522">
        <v>1558.5098669167173</v>
      </c>
      <c r="F63" s="522">
        <v>1679.9841737607476</v>
      </c>
      <c r="G63" s="522">
        <v>1793.5083638910139</v>
      </c>
      <c r="H63" s="522">
        <v>1908.0876835785266</v>
      </c>
      <c r="I63" s="522">
        <v>1984.2417940220316</v>
      </c>
      <c r="J63" s="522">
        <v>2083.399805789988</v>
      </c>
      <c r="K63" s="522">
        <v>2178.5618176448943</v>
      </c>
      <c r="L63" s="522">
        <v>2251.7279308494344</v>
      </c>
      <c r="M63" s="522">
        <v>2271.8982492297678</v>
      </c>
      <c r="N63" s="522">
        <v>2304.0728792404266</v>
      </c>
      <c r="O63" s="522">
        <v>2339.2519300308531</v>
      </c>
      <c r="P63" s="522">
        <v>2380.4355135136188</v>
      </c>
      <c r="Q63" s="522">
        <v>2435.6237444343769</v>
      </c>
      <c r="R63" s="522">
        <v>2500.8167404435808</v>
      </c>
      <c r="S63" s="519"/>
      <c r="T63" s="519"/>
      <c r="U63" s="519"/>
      <c r="V63" s="519"/>
      <c r="W63" s="519"/>
      <c r="X63" s="519"/>
      <c r="Y63" s="519"/>
      <c r="Z63" s="519"/>
      <c r="AA63" s="519"/>
      <c r="AB63" s="519"/>
      <c r="AC63" s="519"/>
      <c r="AD63" s="519"/>
      <c r="AE63" s="519"/>
      <c r="AF63" s="519"/>
      <c r="AH63" s="517"/>
      <c r="AI63" s="517"/>
      <c r="AJ63" s="517"/>
      <c r="AK63" s="517"/>
      <c r="AL63" s="517"/>
      <c r="AM63" s="517"/>
      <c r="AN63" s="517"/>
      <c r="AO63" s="517"/>
      <c r="AP63" s="517"/>
      <c r="AQ63" s="517"/>
      <c r="AR63" s="517"/>
      <c r="AS63" s="517"/>
      <c r="AT63" s="517"/>
      <c r="AU63" s="517"/>
      <c r="AV63" s="517"/>
      <c r="AW63" s="517"/>
      <c r="AX63" s="517"/>
      <c r="AY63" s="517"/>
      <c r="AZ63" s="517"/>
      <c r="BA63" s="517"/>
      <c r="BB63" s="517"/>
      <c r="BC63" s="517"/>
      <c r="BD63" s="517"/>
      <c r="BF63" s="517"/>
      <c r="BG63" s="517"/>
      <c r="BH63" s="517"/>
      <c r="BI63" s="517"/>
      <c r="BJ63" s="517"/>
      <c r="BK63" s="517"/>
      <c r="BL63" s="517"/>
      <c r="BM63" s="517"/>
      <c r="BN63" s="517"/>
    </row>
    <row r="64" spans="1:66">
      <c r="A64" s="507"/>
      <c r="B64" s="518"/>
      <c r="C64" s="518"/>
      <c r="D64" s="518"/>
      <c r="E64" s="518"/>
      <c r="F64" s="518"/>
      <c r="G64" s="518"/>
      <c r="H64" s="518"/>
      <c r="I64" s="518"/>
      <c r="J64" s="518"/>
      <c r="K64" s="518"/>
      <c r="L64" s="518"/>
      <c r="M64" s="518"/>
      <c r="N64" s="518"/>
      <c r="O64" s="518"/>
      <c r="P64" s="518"/>
      <c r="Q64" s="518"/>
      <c r="R64" s="518"/>
      <c r="S64" s="518"/>
      <c r="T64" s="518"/>
      <c r="U64" s="518"/>
      <c r="V64" s="518"/>
      <c r="W64" s="518"/>
      <c r="X64" s="518"/>
      <c r="Y64" s="518"/>
      <c r="Z64" s="518"/>
      <c r="AA64" s="518"/>
      <c r="AB64" s="518"/>
      <c r="AC64" s="518"/>
      <c r="AD64" s="518"/>
      <c r="AE64" s="518"/>
      <c r="AF64" s="518"/>
      <c r="AH64" s="517"/>
      <c r="AI64" s="517"/>
      <c r="AJ64" s="517"/>
      <c r="AK64" s="517"/>
      <c r="AL64" s="517"/>
      <c r="AM64" s="517"/>
      <c r="AN64" s="517"/>
      <c r="AO64" s="517"/>
      <c r="AP64" s="517"/>
      <c r="AQ64" s="517"/>
      <c r="AR64" s="517"/>
      <c r="AS64" s="517"/>
      <c r="AT64" s="517"/>
      <c r="AU64" s="517"/>
      <c r="AV64" s="517"/>
      <c r="AW64" s="517"/>
      <c r="AX64" s="517"/>
      <c r="AY64" s="517"/>
      <c r="AZ64" s="517"/>
      <c r="BA64" s="517"/>
      <c r="BB64" s="517"/>
      <c r="BC64" s="517"/>
      <c r="BD64" s="517"/>
      <c r="BE64" s="517"/>
      <c r="BF64" s="517"/>
      <c r="BG64" s="517"/>
      <c r="BH64" s="517"/>
      <c r="BI64" s="517"/>
      <c r="BJ64" s="517"/>
      <c r="BK64" s="517"/>
      <c r="BL64" s="517"/>
      <c r="BM64" s="517"/>
      <c r="BN64" s="517"/>
    </row>
    <row r="65" spans="1:66">
      <c r="B65" s="523"/>
      <c r="C65" s="523"/>
      <c r="D65" s="523"/>
      <c r="E65" s="523"/>
      <c r="F65" s="523"/>
      <c r="G65" s="523"/>
      <c r="H65" s="523"/>
      <c r="I65" s="523"/>
      <c r="J65" s="523"/>
      <c r="K65" s="523"/>
      <c r="L65" s="523"/>
      <c r="M65" s="523"/>
      <c r="N65" s="523"/>
      <c r="O65" s="523"/>
      <c r="P65" s="523"/>
      <c r="Q65" s="523"/>
      <c r="R65" s="523"/>
      <c r="S65" s="523"/>
      <c r="T65" s="523"/>
      <c r="U65" s="523"/>
      <c r="V65" s="523"/>
      <c r="W65" s="523"/>
      <c r="X65" s="523"/>
      <c r="Y65" s="523"/>
      <c r="Z65" s="523"/>
      <c r="AA65" s="523"/>
      <c r="AB65" s="523"/>
      <c r="AC65" s="523"/>
      <c r="AD65" s="523"/>
      <c r="AE65" s="523"/>
      <c r="AF65" s="523"/>
      <c r="AH65" s="517"/>
      <c r="AI65" s="517"/>
      <c r="AJ65" s="517"/>
      <c r="AK65" s="517"/>
      <c r="AL65" s="517"/>
      <c r="AM65" s="517"/>
      <c r="AN65" s="517"/>
      <c r="AO65" s="517"/>
      <c r="AP65" s="517"/>
      <c r="AQ65" s="517"/>
      <c r="AR65" s="517"/>
      <c r="AS65" s="517"/>
      <c r="AT65" s="517"/>
      <c r="AU65" s="517"/>
      <c r="AV65" s="517"/>
      <c r="AW65" s="517"/>
      <c r="AX65" s="517"/>
      <c r="AY65" s="517"/>
      <c r="AZ65" s="517"/>
      <c r="BA65" s="517"/>
      <c r="BB65" s="517"/>
      <c r="BC65" s="517"/>
      <c r="BD65" s="517"/>
      <c r="BE65" s="517"/>
      <c r="BF65" s="517"/>
      <c r="BG65" s="517"/>
      <c r="BH65" s="517"/>
      <c r="BI65" s="517"/>
      <c r="BJ65" s="517"/>
      <c r="BK65" s="517"/>
      <c r="BL65" s="517"/>
      <c r="BM65" s="517"/>
      <c r="BN65" s="517"/>
    </row>
    <row r="66" spans="1:66" ht="18.75">
      <c r="A66" s="1435" t="s">
        <v>840</v>
      </c>
      <c r="B66" s="1435"/>
      <c r="C66" s="1435"/>
      <c r="D66" s="523"/>
      <c r="E66" s="523"/>
      <c r="F66" s="523"/>
      <c r="G66" s="523"/>
      <c r="H66" s="523"/>
      <c r="I66" s="523"/>
      <c r="J66" s="523"/>
      <c r="K66" s="523"/>
      <c r="L66" s="523"/>
      <c r="M66" s="523"/>
      <c r="N66" s="523"/>
      <c r="O66" s="523"/>
      <c r="P66" s="523"/>
      <c r="Q66" s="523"/>
      <c r="R66" s="538" t="s">
        <v>855</v>
      </c>
      <c r="S66" s="523"/>
      <c r="T66" s="523"/>
      <c r="U66" s="523"/>
      <c r="V66" s="523"/>
      <c r="W66" s="523"/>
      <c r="X66" s="523"/>
      <c r="Y66" s="523"/>
      <c r="Z66" s="523"/>
      <c r="AA66" s="523"/>
      <c r="AB66" s="523"/>
      <c r="AC66" s="523"/>
      <c r="AD66" s="523"/>
      <c r="AE66" s="523"/>
      <c r="AF66" s="523"/>
      <c r="AH66" s="517"/>
      <c r="AI66" s="517"/>
      <c r="AJ66" s="517"/>
      <c r="AK66" s="517"/>
      <c r="AL66" s="517"/>
      <c r="AM66" s="517"/>
      <c r="AN66" s="517"/>
      <c r="AO66" s="517"/>
      <c r="AP66" s="517"/>
      <c r="AQ66" s="517"/>
      <c r="AR66" s="517"/>
      <c r="AS66" s="517"/>
      <c r="AT66" s="517"/>
      <c r="AU66" s="517"/>
      <c r="AV66" s="517"/>
      <c r="AW66" s="517"/>
      <c r="AX66" s="517"/>
      <c r="AY66" s="517"/>
      <c r="AZ66" s="517"/>
      <c r="BA66" s="517"/>
      <c r="BB66" s="517"/>
      <c r="BC66" s="517"/>
      <c r="BD66" s="517"/>
      <c r="BF66" s="517"/>
      <c r="BG66" s="517"/>
      <c r="BH66" s="517"/>
      <c r="BI66" s="517"/>
      <c r="BJ66" s="517"/>
      <c r="BK66" s="517"/>
      <c r="BL66" s="517"/>
      <c r="BM66" s="517"/>
      <c r="BN66" s="517"/>
    </row>
    <row r="67" spans="1:66">
      <c r="A67" s="526" t="s">
        <v>802</v>
      </c>
      <c r="B67" s="527">
        <v>2014</v>
      </c>
      <c r="C67" s="527">
        <v>2015</v>
      </c>
      <c r="D67" s="527">
        <v>2016</v>
      </c>
      <c r="E67" s="527">
        <v>2017</v>
      </c>
      <c r="F67" s="527">
        <v>2018</v>
      </c>
      <c r="G67" s="527">
        <v>2019</v>
      </c>
      <c r="H67" s="527">
        <v>2020</v>
      </c>
      <c r="I67" s="527">
        <v>2021</v>
      </c>
      <c r="J67" s="527">
        <v>2022</v>
      </c>
      <c r="K67" s="527">
        <v>2023</v>
      </c>
      <c r="L67" s="527">
        <v>2024</v>
      </c>
      <c r="M67" s="527">
        <v>2025</v>
      </c>
      <c r="N67" s="527">
        <v>2026</v>
      </c>
      <c r="O67" s="527">
        <v>2027</v>
      </c>
      <c r="P67" s="527">
        <v>2028</v>
      </c>
      <c r="Q67" s="527">
        <v>2029</v>
      </c>
      <c r="R67" s="527">
        <v>2030</v>
      </c>
      <c r="S67" s="506"/>
      <c r="T67" s="506"/>
      <c r="U67" s="506"/>
      <c r="V67" s="506"/>
      <c r="W67" s="506"/>
      <c r="X67" s="506"/>
      <c r="Y67" s="506"/>
      <c r="Z67" s="506"/>
      <c r="AA67" s="506"/>
      <c r="AB67" s="506"/>
      <c r="AC67" s="506"/>
      <c r="AD67" s="506"/>
      <c r="AE67" s="506"/>
      <c r="AF67" s="506"/>
      <c r="AH67" s="517"/>
      <c r="AI67" s="517"/>
      <c r="AJ67" s="517"/>
      <c r="AK67" s="517"/>
      <c r="AL67" s="517"/>
      <c r="AM67" s="517"/>
      <c r="AN67" s="517"/>
      <c r="AO67" s="517"/>
      <c r="AP67" s="517"/>
      <c r="AQ67" s="517"/>
      <c r="AR67" s="517"/>
      <c r="AS67" s="517"/>
      <c r="AT67" s="517"/>
      <c r="AU67" s="517"/>
      <c r="AV67" s="517"/>
      <c r="AW67" s="517"/>
      <c r="AX67" s="517"/>
      <c r="AY67" s="517"/>
      <c r="AZ67" s="517"/>
      <c r="BA67" s="517"/>
      <c r="BB67" s="517"/>
      <c r="BC67" s="517"/>
      <c r="BD67" s="517"/>
      <c r="BE67" s="508"/>
      <c r="BF67" s="517"/>
      <c r="BG67" s="517"/>
      <c r="BH67" s="517"/>
      <c r="BI67" s="517"/>
      <c r="BJ67" s="517"/>
      <c r="BK67" s="517"/>
      <c r="BL67" s="517"/>
      <c r="BM67" s="517"/>
      <c r="BN67" s="517"/>
    </row>
    <row r="68" spans="1:66">
      <c r="A68" s="508" t="s">
        <v>21</v>
      </c>
      <c r="B68" s="528">
        <f>SUM(B69:B85)</f>
        <v>339761</v>
      </c>
      <c r="C68" s="528">
        <f t="shared" ref="C68:R68" si="3">SUM(C69:C85)</f>
        <v>346377.05346864148</v>
      </c>
      <c r="D68" s="528">
        <f t="shared" si="3"/>
        <v>353004.56474619964</v>
      </c>
      <c r="E68" s="528">
        <f t="shared" si="3"/>
        <v>359607.78296033194</v>
      </c>
      <c r="F68" s="528">
        <f t="shared" si="3"/>
        <v>366175.96380095434</v>
      </c>
      <c r="G68" s="528">
        <f t="shared" si="3"/>
        <v>372739.36969309789</v>
      </c>
      <c r="H68" s="528">
        <f t="shared" si="3"/>
        <v>379270.26997431798</v>
      </c>
      <c r="I68" s="528">
        <f t="shared" si="3"/>
        <v>385695.94107677642</v>
      </c>
      <c r="J68" s="528">
        <f t="shared" si="3"/>
        <v>392039.6667141206</v>
      </c>
      <c r="K68" s="528">
        <f t="shared" si="3"/>
        <v>398265.73807328416</v>
      </c>
      <c r="L68" s="528">
        <f t="shared" si="3"/>
        <v>404376.45401134121</v>
      </c>
      <c r="M68" s="528">
        <f t="shared" si="3"/>
        <v>410349.12125754397</v>
      </c>
      <c r="N68" s="528">
        <f t="shared" si="3"/>
        <v>416150.05462068482</v>
      </c>
      <c r="O68" s="528">
        <f t="shared" si="3"/>
        <v>421869.57720191783</v>
      </c>
      <c r="P68" s="528">
        <f t="shared" si="3"/>
        <v>427496.02061318833</v>
      </c>
      <c r="Q68" s="528">
        <f t="shared" si="3"/>
        <v>433068.72520141437</v>
      </c>
      <c r="R68" s="528">
        <f t="shared" si="3"/>
        <v>438547.04027857468</v>
      </c>
      <c r="S68" s="534"/>
      <c r="T68" s="534"/>
      <c r="U68" s="534"/>
      <c r="V68" s="534"/>
      <c r="W68" s="534"/>
      <c r="X68" s="534"/>
      <c r="Y68" s="534"/>
      <c r="Z68" s="534"/>
      <c r="AA68" s="534"/>
      <c r="AB68" s="534"/>
      <c r="AC68" s="534"/>
      <c r="AD68" s="534"/>
      <c r="AE68" s="534"/>
      <c r="AF68" s="534"/>
      <c r="AH68" s="517"/>
      <c r="AI68" s="517"/>
      <c r="AJ68" s="517"/>
      <c r="AK68" s="517"/>
      <c r="AL68" s="517"/>
      <c r="AM68" s="517"/>
      <c r="AN68" s="517"/>
      <c r="AO68" s="517"/>
      <c r="AP68" s="517"/>
      <c r="AQ68" s="517"/>
      <c r="AR68" s="517"/>
      <c r="AS68" s="517"/>
      <c r="AT68" s="517"/>
      <c r="AU68" s="517"/>
      <c r="AV68" s="517"/>
      <c r="AW68" s="517"/>
      <c r="AX68" s="517"/>
      <c r="AY68" s="517"/>
      <c r="AZ68" s="517"/>
      <c r="BA68" s="517"/>
      <c r="BB68" s="517"/>
      <c r="BC68" s="517"/>
      <c r="BD68" s="517"/>
      <c r="BE68" s="518"/>
      <c r="BF68" s="517"/>
      <c r="BG68" s="517"/>
      <c r="BH68" s="517"/>
      <c r="BI68" s="517"/>
      <c r="BJ68" s="517"/>
      <c r="BK68" s="517"/>
      <c r="BL68" s="517"/>
      <c r="BM68" s="517"/>
      <c r="BN68" s="517"/>
    </row>
    <row r="69" spans="1:66">
      <c r="A69" s="518" t="s">
        <v>803</v>
      </c>
      <c r="B69" s="529">
        <v>35843</v>
      </c>
      <c r="C69" s="529">
        <v>36097.158045690841</v>
      </c>
      <c r="D69" s="529">
        <v>36323.32025445508</v>
      </c>
      <c r="E69" s="529">
        <v>36533.486735952021</v>
      </c>
      <c r="F69" s="529">
        <v>37191.657602729494</v>
      </c>
      <c r="G69" s="529">
        <v>37886.832970299947</v>
      </c>
      <c r="H69" s="529">
        <v>37870.01295721854</v>
      </c>
      <c r="I69" s="529">
        <v>37773.197685163279</v>
      </c>
      <c r="J69" s="529">
        <v>37604.38727901729</v>
      </c>
      <c r="K69" s="529">
        <v>37328.581866953245</v>
      </c>
      <c r="L69" s="529">
        <v>36944.781580519993</v>
      </c>
      <c r="M69" s="529">
        <v>36463.986554731513</v>
      </c>
      <c r="N69" s="529">
        <v>35924.196928158177</v>
      </c>
      <c r="O69" s="529">
        <v>35358.412843020429</v>
      </c>
      <c r="P69" s="529">
        <v>34820.634445284952</v>
      </c>
      <c r="Q69" s="529">
        <v>34352.861884763297</v>
      </c>
      <c r="R69" s="529">
        <v>33961.095315213221</v>
      </c>
      <c r="S69" s="529"/>
      <c r="T69" s="529"/>
      <c r="U69" s="529"/>
      <c r="V69" s="529"/>
      <c r="W69" s="529"/>
      <c r="X69" s="529"/>
      <c r="Y69" s="529"/>
      <c r="Z69" s="529"/>
      <c r="AA69" s="529"/>
      <c r="AB69" s="529"/>
      <c r="AC69" s="529"/>
      <c r="AD69" s="529"/>
      <c r="AE69" s="529"/>
      <c r="AF69" s="529"/>
      <c r="AH69" s="517"/>
      <c r="AI69" s="517"/>
      <c r="AJ69" s="517"/>
      <c r="AK69" s="517"/>
      <c r="AL69" s="517"/>
      <c r="AM69" s="517"/>
      <c r="AN69" s="517"/>
      <c r="AO69" s="517"/>
      <c r="AP69" s="517"/>
      <c r="AQ69" s="517"/>
      <c r="AR69" s="517"/>
      <c r="AS69" s="517"/>
      <c r="AT69" s="517"/>
      <c r="AU69" s="517"/>
      <c r="AV69" s="517"/>
      <c r="AW69" s="517"/>
      <c r="AX69" s="517"/>
      <c r="AY69" s="517"/>
      <c r="AZ69" s="517"/>
      <c r="BA69" s="517"/>
      <c r="BB69" s="517"/>
      <c r="BC69" s="517"/>
      <c r="BD69" s="517"/>
      <c r="BE69" s="518"/>
      <c r="BF69" s="517"/>
      <c r="BG69" s="517"/>
      <c r="BH69" s="517"/>
      <c r="BI69" s="517"/>
      <c r="BJ69" s="517"/>
      <c r="BK69" s="517"/>
      <c r="BL69" s="517"/>
      <c r="BM69" s="517"/>
      <c r="BN69" s="517"/>
    </row>
    <row r="70" spans="1:66">
      <c r="A70" s="518" t="s">
        <v>805</v>
      </c>
      <c r="B70" s="529">
        <v>31777</v>
      </c>
      <c r="C70" s="529">
        <v>33631.158045690841</v>
      </c>
      <c r="D70" s="529">
        <v>35013.32025445508</v>
      </c>
      <c r="E70" s="529">
        <v>35957.486735952021</v>
      </c>
      <c r="F70" s="529">
        <v>35930.657602729494</v>
      </c>
      <c r="G70" s="529">
        <v>35511.832970299947</v>
      </c>
      <c r="H70" s="529">
        <v>35762.01295721854</v>
      </c>
      <c r="I70" s="529">
        <v>35991.197685163279</v>
      </c>
      <c r="J70" s="529">
        <v>36205.38727901729</v>
      </c>
      <c r="K70" s="529">
        <v>36865.581866953245</v>
      </c>
      <c r="L70" s="529">
        <v>37563.781580519993</v>
      </c>
      <c r="M70" s="529">
        <v>37552.986554731513</v>
      </c>
      <c r="N70" s="529">
        <v>37461.196928158177</v>
      </c>
      <c r="O70" s="529">
        <v>37296.412843020429</v>
      </c>
      <c r="P70" s="529">
        <v>37024.634445284944</v>
      </c>
      <c r="Q70" s="529">
        <v>36647.861884763297</v>
      </c>
      <c r="R70" s="529">
        <v>36172.095315213228</v>
      </c>
      <c r="S70" s="529"/>
      <c r="T70" s="529"/>
      <c r="U70" s="529"/>
      <c r="V70" s="529"/>
      <c r="W70" s="529"/>
      <c r="X70" s="529"/>
      <c r="Y70" s="529"/>
      <c r="Z70" s="529"/>
      <c r="AA70" s="529"/>
      <c r="AB70" s="529"/>
      <c r="AC70" s="529"/>
      <c r="AD70" s="529"/>
      <c r="AE70" s="529"/>
      <c r="AF70" s="529"/>
      <c r="AH70" s="517"/>
      <c r="AI70" s="517"/>
      <c r="AJ70" s="517"/>
      <c r="AK70" s="517"/>
      <c r="AL70" s="517"/>
      <c r="AM70" s="517"/>
      <c r="AN70" s="517"/>
      <c r="AO70" s="517"/>
      <c r="AP70" s="517"/>
      <c r="AQ70" s="517"/>
      <c r="AR70" s="517"/>
      <c r="AS70" s="517"/>
      <c r="AT70" s="517"/>
      <c r="AU70" s="517"/>
      <c r="AV70" s="517"/>
      <c r="AW70" s="517"/>
      <c r="AX70" s="517"/>
      <c r="AY70" s="517"/>
      <c r="AZ70" s="517"/>
      <c r="BA70" s="517"/>
      <c r="BB70" s="517"/>
      <c r="BC70" s="517"/>
      <c r="BD70" s="517"/>
      <c r="BE70" s="518"/>
      <c r="BF70" s="517"/>
      <c r="BG70" s="517"/>
      <c r="BH70" s="517"/>
      <c r="BI70" s="517"/>
      <c r="BJ70" s="517"/>
      <c r="BK70" s="517"/>
      <c r="BL70" s="517"/>
      <c r="BM70" s="517"/>
      <c r="BN70" s="517"/>
    </row>
    <row r="71" spans="1:66">
      <c r="A71" s="518" t="s">
        <v>807</v>
      </c>
      <c r="B71" s="529">
        <v>26177</v>
      </c>
      <c r="C71" s="529">
        <v>25957.210727587786</v>
      </c>
      <c r="D71" s="529">
        <v>26395.427005940106</v>
      </c>
      <c r="E71" s="529">
        <v>27656.648981269362</v>
      </c>
      <c r="F71" s="529">
        <v>29609.876803639323</v>
      </c>
      <c r="G71" s="529">
        <v>31642.110627066599</v>
      </c>
      <c r="H71" s="529">
        <v>33491.350609624722</v>
      </c>
      <c r="I71" s="529">
        <v>34874.596913551039</v>
      </c>
      <c r="J71" s="529">
        <v>35817.849705356391</v>
      </c>
      <c r="K71" s="529">
        <v>35790.109155937665</v>
      </c>
      <c r="L71" s="529">
        <v>35371.375440693329</v>
      </c>
      <c r="M71" s="529">
        <v>35625.64873964202</v>
      </c>
      <c r="N71" s="529">
        <v>35844.929237544238</v>
      </c>
      <c r="O71" s="529">
        <v>36059.217124027244</v>
      </c>
      <c r="P71" s="529">
        <v>36718.512593713262</v>
      </c>
      <c r="Q71" s="529">
        <v>37414.815846351063</v>
      </c>
      <c r="R71" s="529">
        <v>37408.127086950968</v>
      </c>
      <c r="S71" s="529"/>
      <c r="T71" s="529"/>
      <c r="U71" s="529"/>
      <c r="V71" s="529"/>
      <c r="W71" s="529"/>
      <c r="X71" s="529"/>
      <c r="Y71" s="529"/>
      <c r="Z71" s="529"/>
      <c r="AA71" s="529"/>
      <c r="AB71" s="529"/>
      <c r="AC71" s="529"/>
      <c r="AD71" s="529"/>
      <c r="AE71" s="529"/>
      <c r="AF71" s="529"/>
      <c r="AH71" s="517"/>
      <c r="AI71" s="517"/>
      <c r="AJ71" s="517"/>
      <c r="AK71" s="517"/>
      <c r="AL71" s="517"/>
      <c r="AM71" s="517"/>
      <c r="AN71" s="517"/>
      <c r="AO71" s="517"/>
      <c r="AP71" s="517"/>
      <c r="AQ71" s="517"/>
      <c r="AR71" s="517"/>
      <c r="AS71" s="517"/>
      <c r="AT71" s="517"/>
      <c r="AU71" s="517"/>
      <c r="AV71" s="517"/>
      <c r="AW71" s="517"/>
      <c r="AX71" s="517"/>
      <c r="AY71" s="517"/>
      <c r="AZ71" s="517"/>
      <c r="BA71" s="517"/>
      <c r="BB71" s="517"/>
      <c r="BC71" s="517"/>
      <c r="BD71" s="517"/>
      <c r="BE71" s="518"/>
      <c r="BF71" s="517"/>
      <c r="BG71" s="517"/>
      <c r="BH71" s="517"/>
      <c r="BI71" s="517"/>
      <c r="BJ71" s="517"/>
      <c r="BK71" s="517"/>
      <c r="BL71" s="517"/>
      <c r="BM71" s="517"/>
      <c r="BN71" s="517"/>
    </row>
    <row r="72" spans="1:66">
      <c r="A72" s="518" t="s">
        <v>809</v>
      </c>
      <c r="B72" s="529">
        <v>30926</v>
      </c>
      <c r="C72" s="529">
        <v>30468.362509211962</v>
      </c>
      <c r="D72" s="529">
        <v>29585.28772717834</v>
      </c>
      <c r="E72" s="529">
        <v>28376.790476181435</v>
      </c>
      <c r="F72" s="529">
        <v>27511.885968936534</v>
      </c>
      <c r="G72" s="529">
        <v>27289.589818876269</v>
      </c>
      <c r="H72" s="529">
        <v>27100.918050705885</v>
      </c>
      <c r="I72" s="529">
        <v>27569.887111236574</v>
      </c>
      <c r="J72" s="529">
        <v>28861.513880504132</v>
      </c>
      <c r="K72" s="529">
        <v>30838.815683180506</v>
      </c>
      <c r="L72" s="529">
        <v>32902.810300285943</v>
      </c>
      <c r="M72" s="529">
        <v>34783.51598120961</v>
      </c>
      <c r="N72" s="529">
        <v>36198.951456046911</v>
      </c>
      <c r="O72" s="529">
        <v>37172.135948261712</v>
      </c>
      <c r="P72" s="529">
        <v>37177.08918768217</v>
      </c>
      <c r="Q72" s="529">
        <v>36792.831423838827</v>
      </c>
      <c r="R72" s="529">
        <v>37085.383439654033</v>
      </c>
      <c r="S72" s="529"/>
      <c r="T72" s="529"/>
      <c r="U72" s="529"/>
      <c r="V72" s="529"/>
      <c r="W72" s="529"/>
      <c r="X72" s="529"/>
      <c r="Y72" s="529"/>
      <c r="Z72" s="529"/>
      <c r="AA72" s="529"/>
      <c r="AB72" s="529"/>
      <c r="AC72" s="529"/>
      <c r="AD72" s="529"/>
      <c r="AE72" s="529"/>
      <c r="AF72" s="529"/>
      <c r="AH72" s="517"/>
      <c r="AI72" s="517"/>
      <c r="AJ72" s="517"/>
      <c r="AK72" s="517"/>
      <c r="AL72" s="517"/>
      <c r="AM72" s="517"/>
      <c r="AN72" s="517"/>
      <c r="AO72" s="517"/>
      <c r="AP72" s="517"/>
      <c r="AQ72" s="517"/>
      <c r="AR72" s="517"/>
      <c r="AS72" s="517"/>
      <c r="AT72" s="517"/>
      <c r="AU72" s="517"/>
      <c r="AV72" s="517"/>
      <c r="AW72" s="517"/>
      <c r="AX72" s="517"/>
      <c r="AY72" s="517"/>
      <c r="AZ72" s="517"/>
      <c r="BA72" s="517"/>
      <c r="BB72" s="517"/>
      <c r="BC72" s="517"/>
      <c r="BD72" s="517"/>
      <c r="BE72" s="518"/>
      <c r="BF72" s="517"/>
      <c r="BG72" s="517"/>
      <c r="BH72" s="517"/>
      <c r="BI72" s="517"/>
      <c r="BJ72" s="517"/>
      <c r="BK72" s="517"/>
      <c r="BL72" s="517"/>
      <c r="BM72" s="517"/>
      <c r="BN72" s="517"/>
    </row>
    <row r="73" spans="1:66">
      <c r="A73" s="518" t="s">
        <v>811</v>
      </c>
      <c r="B73" s="529">
        <v>36615</v>
      </c>
      <c r="C73" s="529">
        <v>35840.064483040653</v>
      </c>
      <c r="D73" s="529">
        <v>35573.63305473073</v>
      </c>
      <c r="E73" s="529">
        <v>35661.771675140328</v>
      </c>
      <c r="F73" s="529">
        <v>35228.548041790331</v>
      </c>
      <c r="G73" s="529">
        <v>34592.031635418556</v>
      </c>
      <c r="H73" s="529">
        <v>34235.293766951334</v>
      </c>
      <c r="I73" s="529">
        <v>33441.40762571244</v>
      </c>
      <c r="J73" s="529">
        <v>32337.448328901861</v>
      </c>
      <c r="K73" s="529">
        <v>31575.492972377866</v>
      </c>
      <c r="L73" s="529">
        <v>31459.620682776767</v>
      </c>
      <c r="M73" s="529">
        <v>31373.912671005517</v>
      </c>
      <c r="N73" s="529">
        <v>31947.452287143387</v>
      </c>
      <c r="O73" s="529">
        <v>33353.325076789799</v>
      </c>
      <c r="P73" s="529">
        <v>35440.618838896378</v>
      </c>
      <c r="Q73" s="529">
        <v>37626.423685122449</v>
      </c>
      <c r="R73" s="529">
        <v>39622.832100753876</v>
      </c>
      <c r="S73" s="529"/>
      <c r="T73" s="529"/>
      <c r="U73" s="529"/>
      <c r="V73" s="529"/>
      <c r="W73" s="529"/>
      <c r="X73" s="529"/>
      <c r="Y73" s="529"/>
      <c r="Z73" s="529"/>
      <c r="AA73" s="529"/>
      <c r="AB73" s="529"/>
      <c r="AC73" s="529"/>
      <c r="AD73" s="529"/>
      <c r="AE73" s="529"/>
      <c r="AF73" s="529"/>
      <c r="AH73" s="517"/>
      <c r="AI73" s="517"/>
      <c r="AJ73" s="517"/>
      <c r="AK73" s="517"/>
      <c r="AL73" s="517"/>
      <c r="AM73" s="517"/>
      <c r="AN73" s="517"/>
      <c r="AO73" s="517"/>
      <c r="AP73" s="517"/>
      <c r="AQ73" s="517"/>
      <c r="AR73" s="517"/>
      <c r="AS73" s="517"/>
      <c r="AT73" s="517"/>
      <c r="AU73" s="517"/>
      <c r="AV73" s="517"/>
      <c r="AW73" s="517"/>
      <c r="AX73" s="517"/>
      <c r="AY73" s="517"/>
      <c r="AZ73" s="517"/>
      <c r="BA73" s="517"/>
      <c r="BB73" s="517"/>
      <c r="BC73" s="517"/>
      <c r="BD73" s="517"/>
      <c r="BE73" s="518"/>
      <c r="BF73" s="517"/>
      <c r="BG73" s="517"/>
      <c r="BH73" s="517"/>
      <c r="BI73" s="517"/>
      <c r="BJ73" s="517"/>
      <c r="BK73" s="517"/>
      <c r="BL73" s="517"/>
      <c r="BM73" s="517"/>
      <c r="BN73" s="517"/>
    </row>
    <row r="74" spans="1:66">
      <c r="A74" s="518" t="s">
        <v>813</v>
      </c>
      <c r="B74" s="529">
        <v>38524</v>
      </c>
      <c r="C74" s="529">
        <v>38257.657896309662</v>
      </c>
      <c r="D74" s="529">
        <v>37897.493080006941</v>
      </c>
      <c r="E74" s="529">
        <v>37356.56290290672</v>
      </c>
      <c r="F74" s="529">
        <v>37111.926227525095</v>
      </c>
      <c r="G74" s="529">
        <v>36550.643466872658</v>
      </c>
      <c r="H74" s="529">
        <v>35776.776625296006</v>
      </c>
      <c r="I74" s="529">
        <v>35505.389340395021</v>
      </c>
      <c r="J74" s="529">
        <v>35592.546926044342</v>
      </c>
      <c r="K74" s="529">
        <v>35162.316416548005</v>
      </c>
      <c r="L74" s="529">
        <v>34523.766611957195</v>
      </c>
      <c r="M74" s="529">
        <v>34165.96812458169</v>
      </c>
      <c r="N74" s="529">
        <v>33375.993426726505</v>
      </c>
      <c r="O74" s="529">
        <v>32268.916899685893</v>
      </c>
      <c r="P74" s="529">
        <v>31508.814884027946</v>
      </c>
      <c r="Q74" s="529">
        <v>31393.765731203726</v>
      </c>
      <c r="R74" s="529">
        <v>31307.849856515837</v>
      </c>
      <c r="S74" s="529"/>
      <c r="T74" s="529"/>
      <c r="U74" s="529"/>
      <c r="V74" s="529"/>
      <c r="W74" s="529"/>
      <c r="X74" s="529"/>
      <c r="Y74" s="529"/>
      <c r="Z74" s="529"/>
      <c r="AA74" s="529"/>
      <c r="AB74" s="529"/>
      <c r="AC74" s="529"/>
      <c r="AD74" s="529"/>
      <c r="AE74" s="529"/>
      <c r="AF74" s="529"/>
      <c r="AH74" s="517"/>
      <c r="AI74" s="517"/>
      <c r="AJ74" s="517"/>
      <c r="AK74" s="517"/>
      <c r="AL74" s="517"/>
      <c r="AM74" s="517"/>
      <c r="AN74" s="517"/>
      <c r="AO74" s="517"/>
      <c r="AP74" s="517"/>
      <c r="AQ74" s="517"/>
      <c r="AR74" s="517"/>
      <c r="AS74" s="517"/>
      <c r="AT74" s="517"/>
      <c r="AU74" s="517"/>
      <c r="AV74" s="517"/>
      <c r="AX74" s="517"/>
      <c r="AY74" s="517"/>
      <c r="AZ74" s="517"/>
      <c r="BA74" s="517"/>
      <c r="BB74" s="517"/>
      <c r="BC74" s="517"/>
      <c r="BD74" s="517"/>
      <c r="BE74" s="507"/>
      <c r="BF74" s="517"/>
      <c r="BG74" s="517"/>
      <c r="BH74" s="517"/>
      <c r="BI74" s="517"/>
      <c r="BJ74" s="517"/>
      <c r="BK74" s="517"/>
      <c r="BL74" s="517"/>
      <c r="BM74" s="517"/>
      <c r="BN74" s="517"/>
    </row>
    <row r="75" spans="1:66">
      <c r="A75" s="507" t="s">
        <v>815</v>
      </c>
      <c r="B75" s="529">
        <v>30933</v>
      </c>
      <c r="C75" s="529">
        <v>33093.84472284768</v>
      </c>
      <c r="D75" s="529">
        <v>35019.21313055935</v>
      </c>
      <c r="E75" s="529">
        <v>35907.145358439506</v>
      </c>
      <c r="F75" s="529">
        <v>37130.682598994623</v>
      </c>
      <c r="G75" s="529">
        <v>37663.867129780869</v>
      </c>
      <c r="H75" s="529">
        <v>37375.742341985351</v>
      </c>
      <c r="I75" s="529">
        <v>36998.352769760189</v>
      </c>
      <c r="J75" s="529">
        <v>36440.744120329313</v>
      </c>
      <c r="K75" s="529">
        <v>36177.963304888282</v>
      </c>
      <c r="L75" s="529">
        <v>35594.058470318036</v>
      </c>
      <c r="M75" s="529">
        <v>34795.079031734029</v>
      </c>
      <c r="N75" s="529">
        <v>34508.075705892734</v>
      </c>
      <c r="O75" s="529">
        <v>34573.100545478082</v>
      </c>
      <c r="P75" s="529">
        <v>34119.206974291068</v>
      </c>
      <c r="Q75" s="529">
        <v>33464.449823366282</v>
      </c>
      <c r="R75" s="529">
        <v>33078.885368039766</v>
      </c>
      <c r="S75" s="529"/>
      <c r="T75" s="529"/>
      <c r="U75" s="529"/>
      <c r="V75" s="529"/>
      <c r="W75" s="529"/>
      <c r="X75" s="529"/>
      <c r="Y75" s="529"/>
      <c r="Z75" s="529"/>
      <c r="AA75" s="529"/>
      <c r="AB75" s="529"/>
      <c r="AC75" s="529"/>
      <c r="AD75" s="529"/>
      <c r="AE75" s="529"/>
      <c r="AF75" s="529"/>
      <c r="AH75" s="517"/>
      <c r="AI75" s="517"/>
      <c r="AJ75" s="517"/>
      <c r="AK75" s="517"/>
      <c r="AL75" s="517"/>
      <c r="AM75" s="517"/>
      <c r="AN75" s="517"/>
      <c r="AO75" s="517"/>
      <c r="AP75" s="517"/>
      <c r="AQ75" s="517"/>
      <c r="AR75" s="517"/>
      <c r="AS75" s="517"/>
      <c r="AT75" s="517"/>
      <c r="AU75" s="517"/>
      <c r="AV75" s="517"/>
      <c r="AX75" s="517"/>
      <c r="AY75" s="517"/>
      <c r="AZ75" s="517"/>
      <c r="BA75" s="517"/>
      <c r="BB75" s="517"/>
      <c r="BC75" s="517"/>
      <c r="BD75" s="517"/>
      <c r="BE75" s="507"/>
      <c r="BF75" s="517"/>
      <c r="BG75" s="517"/>
      <c r="BH75" s="517"/>
      <c r="BI75" s="517"/>
      <c r="BJ75" s="517"/>
      <c r="BK75" s="517"/>
      <c r="BL75" s="517"/>
      <c r="BM75" s="517"/>
      <c r="BN75" s="517"/>
    </row>
    <row r="76" spans="1:66">
      <c r="A76" s="507" t="s">
        <v>817</v>
      </c>
      <c r="B76" s="529">
        <v>22655</v>
      </c>
      <c r="C76" s="529">
        <v>23942.771008026932</v>
      </c>
      <c r="D76" s="529">
        <v>24914.484258333148</v>
      </c>
      <c r="E76" s="529">
        <v>26797.164570473971</v>
      </c>
      <c r="F76" s="529">
        <v>28446.837417775361</v>
      </c>
      <c r="G76" s="529">
        <v>30205.528944554833</v>
      </c>
      <c r="H76" s="529">
        <v>32342.265983796042</v>
      </c>
      <c r="I76" s="529">
        <v>34248.07607528886</v>
      </c>
      <c r="J76" s="529">
        <v>35110.987484247366</v>
      </c>
      <c r="K76" s="529">
        <v>36314.029220418161</v>
      </c>
      <c r="L76" s="529">
        <v>36829.231057692115</v>
      </c>
      <c r="M76" s="529">
        <v>36526.62355423261</v>
      </c>
      <c r="N76" s="529">
        <v>36129.238073134038</v>
      </c>
      <c r="O76" s="529">
        <v>35557.106803624425</v>
      </c>
      <c r="P76" s="529">
        <v>35273.262782826627</v>
      </c>
      <c r="Q76" s="529">
        <v>34667.73991809263</v>
      </c>
      <c r="R76" s="529">
        <v>33850.573009926229</v>
      </c>
      <c r="S76" s="529"/>
      <c r="T76" s="529"/>
      <c r="U76" s="529"/>
      <c r="V76" s="529"/>
      <c r="W76" s="529"/>
      <c r="X76" s="529"/>
      <c r="Y76" s="529"/>
      <c r="Z76" s="529"/>
      <c r="AA76" s="529"/>
      <c r="AB76" s="529"/>
      <c r="AC76" s="529"/>
      <c r="AD76" s="529"/>
      <c r="AE76" s="529"/>
      <c r="AF76" s="529"/>
      <c r="AH76" s="517"/>
      <c r="AI76" s="517"/>
      <c r="AJ76" s="517"/>
      <c r="AK76" s="517"/>
      <c r="AL76" s="517"/>
      <c r="AM76" s="517"/>
      <c r="AN76" s="517"/>
      <c r="AO76" s="517"/>
      <c r="AP76" s="517"/>
      <c r="AQ76" s="517"/>
      <c r="AR76" s="517"/>
      <c r="AS76" s="517"/>
      <c r="AT76" s="517"/>
      <c r="AU76" s="517"/>
      <c r="AV76" s="517"/>
      <c r="AX76" s="517"/>
      <c r="AY76" s="517"/>
      <c r="AZ76" s="517"/>
      <c r="BA76" s="517"/>
      <c r="BB76" s="517"/>
      <c r="BC76" s="517"/>
      <c r="BD76" s="517"/>
      <c r="BE76" s="507"/>
      <c r="BF76" s="517"/>
      <c r="BG76" s="517"/>
      <c r="BH76" s="517"/>
      <c r="BI76" s="517"/>
      <c r="BJ76" s="517"/>
      <c r="BK76" s="517"/>
      <c r="BL76" s="517"/>
      <c r="BM76" s="517"/>
      <c r="BN76" s="517"/>
    </row>
    <row r="77" spans="1:66">
      <c r="A77" s="507" t="s">
        <v>819</v>
      </c>
      <c r="B77" s="529">
        <v>19712</v>
      </c>
      <c r="C77" s="529">
        <v>20099.683380803595</v>
      </c>
      <c r="D77" s="529">
        <v>20790.069627166038</v>
      </c>
      <c r="E77" s="529">
        <v>21092.177253232796</v>
      </c>
      <c r="F77" s="529">
        <v>21586.025260829483</v>
      </c>
      <c r="G77" s="529">
        <v>22411.633152307841</v>
      </c>
      <c r="H77" s="529">
        <v>23693.020943730036</v>
      </c>
      <c r="I77" s="529">
        <v>24655.209178400306</v>
      </c>
      <c r="J77" s="529">
        <v>26525.218940753002</v>
      </c>
      <c r="K77" s="529">
        <v>28169.07187060648</v>
      </c>
      <c r="L77" s="529">
        <v>29917.790177792427</v>
      </c>
      <c r="M77" s="529">
        <v>32038.396657170571</v>
      </c>
      <c r="N77" s="529">
        <v>33931.914704038863</v>
      </c>
      <c r="O77" s="529">
        <v>34789.36832994959</v>
      </c>
      <c r="P77" s="529">
        <v>35983.7821789421</v>
      </c>
      <c r="Q77" s="529">
        <v>36493.181544203115</v>
      </c>
      <c r="R77" s="529">
        <v>36187.592385165888</v>
      </c>
      <c r="S77" s="529"/>
      <c r="T77" s="529"/>
      <c r="U77" s="529"/>
      <c r="V77" s="529"/>
      <c r="W77" s="529"/>
      <c r="X77" s="529"/>
      <c r="AD77" s="529"/>
      <c r="AE77" s="529"/>
      <c r="AF77" s="529"/>
      <c r="AH77" s="517"/>
      <c r="AI77" s="517"/>
      <c r="AJ77" s="517"/>
      <c r="AK77" s="517"/>
      <c r="AL77" s="517"/>
      <c r="AM77" s="517"/>
      <c r="AN77" s="517"/>
      <c r="AO77" s="517"/>
      <c r="AP77" s="517"/>
      <c r="AQ77" s="517"/>
      <c r="AR77" s="517"/>
      <c r="AS77" s="517"/>
      <c r="AT77" s="517"/>
      <c r="AU77" s="517"/>
      <c r="AV77" s="517"/>
      <c r="AX77" s="517"/>
      <c r="AY77" s="517"/>
      <c r="AZ77" s="517"/>
      <c r="BA77" s="517"/>
      <c r="BB77" s="517"/>
      <c r="BC77" s="517"/>
      <c r="BD77" s="517"/>
      <c r="BE77" s="507"/>
      <c r="BF77" s="517"/>
      <c r="BG77" s="517"/>
      <c r="BH77" s="517"/>
      <c r="BI77" s="517"/>
      <c r="BJ77" s="517"/>
      <c r="BK77" s="517"/>
      <c r="BL77" s="517"/>
      <c r="BM77" s="517"/>
      <c r="BN77" s="517"/>
    </row>
    <row r="78" spans="1:66">
      <c r="A78" s="507" t="s">
        <v>821</v>
      </c>
      <c r="B78" s="529">
        <v>17432</v>
      </c>
      <c r="C78" s="529">
        <v>17560.332344095525</v>
      </c>
      <c r="D78" s="529">
        <v>18175.121238573796</v>
      </c>
      <c r="E78" s="529">
        <v>19020.378709404915</v>
      </c>
      <c r="F78" s="529">
        <v>19083.117099334453</v>
      </c>
      <c r="G78" s="529">
        <v>19297.349076227601</v>
      </c>
      <c r="H78" s="529">
        <v>19680.087641633134</v>
      </c>
      <c r="I78" s="529">
        <v>20364.346139572954</v>
      </c>
      <c r="J78" s="529">
        <v>20651.138265563153</v>
      </c>
      <c r="K78" s="529">
        <v>21140.478075872717</v>
      </c>
      <c r="L78" s="529">
        <v>21955.379997026077</v>
      </c>
      <c r="M78" s="529">
        <v>23223.858835556006</v>
      </c>
      <c r="N78" s="529">
        <v>24171.929788013396</v>
      </c>
      <c r="O78" s="529">
        <v>26025.6084512407</v>
      </c>
      <c r="P78" s="529">
        <v>27652.910832915994</v>
      </c>
      <c r="Q78" s="529">
        <v>29380.853362374779</v>
      </c>
      <c r="R78" s="529">
        <v>31484.452901716835</v>
      </c>
      <c r="S78" s="529"/>
      <c r="T78" s="529"/>
      <c r="U78" s="529"/>
      <c r="V78" s="529"/>
      <c r="W78" s="529"/>
      <c r="X78" s="529"/>
      <c r="AF78" s="529"/>
      <c r="AH78" s="517"/>
      <c r="AI78" s="517"/>
      <c r="AJ78" s="517"/>
      <c r="AK78" s="517"/>
      <c r="AL78" s="517"/>
      <c r="AM78" s="517"/>
      <c r="AN78" s="517"/>
      <c r="AO78" s="517"/>
      <c r="AP78" s="517"/>
      <c r="AQ78" s="517"/>
      <c r="AR78" s="517"/>
      <c r="AS78" s="517"/>
      <c r="AT78" s="517"/>
      <c r="AU78" s="517"/>
      <c r="AV78" s="517"/>
      <c r="AX78" s="517"/>
      <c r="AY78" s="517"/>
      <c r="AZ78" s="517"/>
      <c r="BA78" s="517"/>
      <c r="BB78" s="517"/>
      <c r="BC78" s="517"/>
      <c r="BD78" s="517"/>
      <c r="BE78" s="507"/>
      <c r="BF78" s="517"/>
      <c r="BG78" s="517"/>
      <c r="BH78" s="517"/>
      <c r="BI78" s="517"/>
      <c r="BJ78" s="517"/>
      <c r="BK78" s="517"/>
      <c r="BL78" s="517"/>
      <c r="BM78" s="517"/>
      <c r="BN78" s="517"/>
    </row>
    <row r="79" spans="1:66">
      <c r="A79" s="507" t="s">
        <v>823</v>
      </c>
      <c r="B79" s="529">
        <v>14935</v>
      </c>
      <c r="C79" s="529">
        <v>15549.800744916101</v>
      </c>
      <c r="D79" s="529">
        <v>15576.912332645988</v>
      </c>
      <c r="E79" s="529">
        <v>15671.342951084196</v>
      </c>
      <c r="F79" s="529">
        <v>16231.101003802181</v>
      </c>
      <c r="G79" s="529">
        <v>16972.195115729432</v>
      </c>
      <c r="H79" s="529">
        <v>17101.634138984264</v>
      </c>
      <c r="I79" s="529">
        <v>17712.42715885818</v>
      </c>
      <c r="J79" s="529">
        <v>18545.583499957895</v>
      </c>
      <c r="K79" s="529">
        <v>18600.112732509086</v>
      </c>
      <c r="L79" s="529">
        <v>18815.024678826267</v>
      </c>
      <c r="M79" s="529">
        <v>19193.329419953028</v>
      </c>
      <c r="N79" s="529">
        <v>19862.037302477205</v>
      </c>
      <c r="O79" s="529">
        <v>20150.158945525582</v>
      </c>
      <c r="P79" s="529">
        <v>20629.705247942802</v>
      </c>
      <c r="Q79" s="529">
        <v>21437.687395659421</v>
      </c>
      <c r="R79" s="529">
        <v>22687.116869254016</v>
      </c>
      <c r="S79" s="529"/>
      <c r="T79" s="529"/>
      <c r="U79" s="529"/>
      <c r="V79" s="529"/>
      <c r="W79" s="529"/>
      <c r="X79" s="529"/>
      <c r="AF79" s="529"/>
      <c r="AH79" s="517"/>
      <c r="AI79" s="517"/>
      <c r="AJ79" s="517"/>
      <c r="AK79" s="517"/>
      <c r="AL79" s="517"/>
      <c r="AM79" s="517"/>
      <c r="AN79" s="517"/>
      <c r="AO79" s="517"/>
      <c r="AP79" s="517"/>
      <c r="AQ79" s="517"/>
      <c r="AR79" s="517"/>
      <c r="AS79" s="517"/>
      <c r="AT79" s="517"/>
      <c r="AU79" s="517"/>
      <c r="AV79" s="517"/>
      <c r="AX79" s="517"/>
      <c r="AY79" s="517"/>
      <c r="AZ79" s="517"/>
      <c r="BA79" s="517"/>
      <c r="BB79" s="517"/>
      <c r="BC79" s="517"/>
      <c r="BD79" s="517"/>
      <c r="BE79" s="507"/>
      <c r="BF79" s="517"/>
      <c r="BG79" s="517"/>
      <c r="BH79" s="517"/>
      <c r="BI79" s="517"/>
      <c r="BJ79" s="517"/>
      <c r="BK79" s="517"/>
      <c r="BL79" s="517"/>
      <c r="BM79" s="517"/>
      <c r="BN79" s="517"/>
    </row>
    <row r="80" spans="1:66">
      <c r="A80" s="507" t="s">
        <v>825</v>
      </c>
      <c r="B80" s="529">
        <v>11642</v>
      </c>
      <c r="C80" s="529">
        <v>12568.689644870265</v>
      </c>
      <c r="D80" s="529">
        <v>13377.529160382888</v>
      </c>
      <c r="E80" s="529">
        <v>13997.522494272738</v>
      </c>
      <c r="F80" s="529">
        <v>14276.673698261766</v>
      </c>
      <c r="G80" s="529">
        <v>14246.986930798117</v>
      </c>
      <c r="H80" s="529">
        <v>14844.466459867412</v>
      </c>
      <c r="I80" s="529">
        <v>14872.116665878051</v>
      </c>
      <c r="J80" s="529">
        <v>14965.942044622556</v>
      </c>
      <c r="K80" s="529">
        <v>15511.947210316881</v>
      </c>
      <c r="L80" s="529">
        <v>16237.136898719806</v>
      </c>
      <c r="M80" s="529">
        <v>16366.515970334494</v>
      </c>
      <c r="N80" s="529">
        <v>16956.089413694368</v>
      </c>
      <c r="O80" s="529">
        <v>17769.862348735551</v>
      </c>
      <c r="P80" s="529">
        <v>17820.840030258136</v>
      </c>
      <c r="Q80" s="529">
        <v>18034.027851478651</v>
      </c>
      <c r="R80" s="529">
        <v>18398.431347676044</v>
      </c>
      <c r="S80" s="529"/>
      <c r="T80" s="529"/>
      <c r="U80" s="529"/>
      <c r="V80" s="529"/>
      <c r="W80" s="529"/>
      <c r="X80" s="529"/>
      <c r="AF80" s="529"/>
      <c r="AH80" s="517"/>
      <c r="AI80" s="517"/>
      <c r="AJ80" s="517"/>
      <c r="AK80" s="517"/>
      <c r="AL80" s="517"/>
      <c r="AM80" s="517"/>
      <c r="AN80" s="517"/>
      <c r="AO80" s="517"/>
      <c r="AP80" s="517"/>
      <c r="AQ80" s="517"/>
      <c r="AR80" s="517"/>
      <c r="AS80" s="517"/>
      <c r="AT80" s="517"/>
      <c r="AU80" s="517"/>
      <c r="AV80" s="517"/>
      <c r="AX80" s="517"/>
      <c r="AY80" s="517"/>
      <c r="AZ80" s="517"/>
      <c r="BA80" s="517"/>
      <c r="BB80" s="517"/>
      <c r="BC80" s="517"/>
      <c r="BD80" s="517"/>
      <c r="BE80" s="507"/>
      <c r="BF80" s="517"/>
      <c r="BG80" s="517"/>
      <c r="BH80" s="517"/>
      <c r="BI80" s="517"/>
      <c r="BJ80" s="517"/>
      <c r="BK80" s="517"/>
      <c r="BL80" s="517"/>
      <c r="BM80" s="517"/>
      <c r="BN80" s="517"/>
    </row>
    <row r="81" spans="1:66">
      <c r="A81" s="507" t="s">
        <v>827</v>
      </c>
      <c r="B81" s="529">
        <v>6213</v>
      </c>
      <c r="C81" s="529">
        <v>6681.6604357958176</v>
      </c>
      <c r="D81" s="529">
        <v>7571.39094999385</v>
      </c>
      <c r="E81" s="529">
        <v>8570.1933885256785</v>
      </c>
      <c r="F81" s="529">
        <v>9642.0696459464743</v>
      </c>
      <c r="G81" s="529">
        <v>10931.021666715787</v>
      </c>
      <c r="H81" s="529">
        <v>11819.051446512076</v>
      </c>
      <c r="I81" s="529">
        <v>12592.161033581866</v>
      </c>
      <c r="J81" s="529">
        <v>13195.352530124435</v>
      </c>
      <c r="K81" s="529">
        <v>13463.628093712985</v>
      </c>
      <c r="L81" s="529">
        <v>13437.989938753242</v>
      </c>
      <c r="M81" s="529">
        <v>14023.440337980481</v>
      </c>
      <c r="N81" s="529">
        <v>14058.981623995976</v>
      </c>
      <c r="O81" s="529">
        <v>14156.616190843939</v>
      </c>
      <c r="P81" s="529">
        <v>14684.346495629961</v>
      </c>
      <c r="Q81" s="529">
        <v>15391.175060182148</v>
      </c>
      <c r="R81" s="529">
        <v>15521.104472755927</v>
      </c>
      <c r="S81" s="529"/>
      <c r="T81" s="529"/>
      <c r="U81" s="529"/>
      <c r="V81" s="529"/>
      <c r="W81" s="529"/>
      <c r="X81" s="529"/>
      <c r="AF81" s="529"/>
      <c r="AH81" s="517"/>
      <c r="AI81" s="517"/>
      <c r="AJ81" s="517"/>
      <c r="AK81" s="517"/>
      <c r="AL81" s="517"/>
      <c r="AM81" s="517"/>
      <c r="AN81" s="517"/>
      <c r="AO81" s="517"/>
      <c r="AP81" s="517"/>
      <c r="AQ81" s="517"/>
      <c r="AR81" s="517"/>
      <c r="AS81" s="517"/>
      <c r="AT81" s="517"/>
      <c r="AU81" s="517"/>
      <c r="AV81" s="517"/>
      <c r="AX81" s="517"/>
      <c r="AY81" s="517"/>
      <c r="AZ81" s="517"/>
      <c r="BA81" s="517"/>
      <c r="BB81" s="517"/>
      <c r="BC81" s="517"/>
      <c r="BD81" s="517"/>
      <c r="BE81" s="507"/>
      <c r="BF81" s="517"/>
      <c r="BG81" s="517"/>
      <c r="BH81" s="517"/>
      <c r="BI81" s="517"/>
      <c r="BJ81" s="517"/>
      <c r="BK81" s="517"/>
      <c r="BL81" s="517"/>
      <c r="BM81" s="517"/>
      <c r="BN81" s="517"/>
    </row>
    <row r="82" spans="1:66">
      <c r="A82" s="507" t="s">
        <v>829</v>
      </c>
      <c r="B82" s="529">
        <v>4851</v>
      </c>
      <c r="C82" s="529">
        <v>5040.1063198358843</v>
      </c>
      <c r="D82" s="529">
        <v>5117.2417811855612</v>
      </c>
      <c r="E82" s="529">
        <v>5262.4071516641434</v>
      </c>
      <c r="F82" s="529">
        <v>5392.6032191064551</v>
      </c>
      <c r="G82" s="529">
        <v>5630.830792099634</v>
      </c>
      <c r="H82" s="529">
        <v>6080.090700529774</v>
      </c>
      <c r="I82" s="529">
        <v>6906.3837961429545</v>
      </c>
      <c r="J82" s="529">
        <v>7838.7109531210526</v>
      </c>
      <c r="K82" s="529">
        <v>8836.0730686727256</v>
      </c>
      <c r="L82" s="529">
        <v>10048.471063639961</v>
      </c>
      <c r="M82" s="529">
        <v>10877.905883120597</v>
      </c>
      <c r="N82" s="529">
        <v>11608.378497107238</v>
      </c>
      <c r="O82" s="529">
        <v>12179.889901143022</v>
      </c>
      <c r="P82" s="529">
        <v>12438.441116994638</v>
      </c>
      <c r="Q82" s="529">
        <v>12426.033193343072</v>
      </c>
      <c r="R82" s="529">
        <v>12990.667206492564</v>
      </c>
      <c r="S82" s="529"/>
      <c r="T82" s="529"/>
      <c r="U82" s="529"/>
      <c r="V82" s="529"/>
      <c r="W82" s="529"/>
      <c r="X82" s="529"/>
      <c r="AF82" s="529"/>
      <c r="AH82" s="517"/>
      <c r="AI82" s="517"/>
      <c r="AJ82" s="517"/>
      <c r="AK82" s="517"/>
      <c r="AL82" s="517"/>
      <c r="AM82" s="517"/>
      <c r="AN82" s="517"/>
      <c r="AO82" s="517"/>
      <c r="AP82" s="517"/>
      <c r="AQ82" s="517"/>
      <c r="AR82" s="517"/>
      <c r="AS82" s="517"/>
      <c r="AT82" s="517"/>
      <c r="AU82" s="517"/>
      <c r="AV82" s="517"/>
      <c r="AX82" s="517"/>
      <c r="AY82" s="517"/>
      <c r="AZ82" s="517"/>
      <c r="BA82" s="517"/>
      <c r="BB82" s="517"/>
      <c r="BC82" s="517"/>
      <c r="BD82" s="517"/>
      <c r="BE82" s="507"/>
      <c r="BF82" s="517"/>
      <c r="BG82" s="517"/>
      <c r="BH82" s="517"/>
      <c r="BI82" s="517"/>
      <c r="BJ82" s="517"/>
      <c r="BK82" s="517"/>
      <c r="BL82" s="517"/>
      <c r="BM82" s="517"/>
      <c r="BN82" s="517"/>
    </row>
    <row r="83" spans="1:66">
      <c r="A83" s="507" t="s">
        <v>831</v>
      </c>
      <c r="B83" s="529">
        <v>4829</v>
      </c>
      <c r="C83" s="529">
        <v>4633.3951142271017</v>
      </c>
      <c r="D83" s="529">
        <v>4463.8006361377002</v>
      </c>
      <c r="E83" s="529">
        <v>4292.2168398800513</v>
      </c>
      <c r="F83" s="529">
        <v>4198.6440068237334</v>
      </c>
      <c r="G83" s="529">
        <v>4155.0824257498698</v>
      </c>
      <c r="H83" s="529">
        <v>4330.5323930463474</v>
      </c>
      <c r="I83" s="529">
        <v>4401.9942129081974</v>
      </c>
      <c r="J83" s="529">
        <v>4534.4681975432331</v>
      </c>
      <c r="K83" s="529">
        <v>4661.9546673831164</v>
      </c>
      <c r="L83" s="529">
        <v>4873.4539512999863</v>
      </c>
      <c r="M83" s="529">
        <v>5284.9663868287844</v>
      </c>
      <c r="N83" s="529">
        <v>6038.4923203954422</v>
      </c>
      <c r="O83" s="529">
        <v>6886.0321075510801</v>
      </c>
      <c r="P83" s="529">
        <v>7785.5861132123709</v>
      </c>
      <c r="Q83" s="529">
        <v>8871.1547119082388</v>
      </c>
      <c r="R83" s="529">
        <v>9620.7382880330588</v>
      </c>
      <c r="S83" s="529"/>
      <c r="T83" s="529"/>
      <c r="U83" s="529"/>
      <c r="V83" s="529"/>
      <c r="W83" s="529"/>
      <c r="X83" s="529"/>
      <c r="AF83" s="529"/>
      <c r="AH83" s="517"/>
      <c r="AI83" s="517"/>
      <c r="AJ83" s="517"/>
      <c r="AK83" s="517"/>
      <c r="AL83" s="517"/>
      <c r="AM83" s="517"/>
      <c r="AN83" s="517"/>
      <c r="AO83" s="517"/>
      <c r="AP83" s="517"/>
      <c r="AQ83" s="517"/>
      <c r="AR83" s="517"/>
      <c r="AS83" s="517"/>
      <c r="AT83" s="517"/>
      <c r="AU83" s="517"/>
      <c r="AV83" s="517"/>
      <c r="AX83" s="517"/>
      <c r="AY83" s="517"/>
      <c r="AZ83" s="517"/>
      <c r="BA83" s="517"/>
      <c r="BB83" s="517"/>
      <c r="BC83" s="517"/>
      <c r="BD83" s="517"/>
      <c r="BE83" s="507"/>
      <c r="BF83" s="517"/>
      <c r="BG83" s="517"/>
      <c r="BH83" s="517"/>
      <c r="BI83" s="517"/>
      <c r="BJ83" s="517"/>
      <c r="BK83" s="517"/>
      <c r="BL83" s="517"/>
      <c r="BM83" s="517"/>
      <c r="BN83" s="517"/>
    </row>
    <row r="84" spans="1:66">
      <c r="A84" s="507" t="s">
        <v>833</v>
      </c>
      <c r="B84" s="529">
        <v>3719</v>
      </c>
      <c r="C84" s="529">
        <v>3784.1317047423672</v>
      </c>
      <c r="D84" s="529">
        <v>3838.2668787125667</v>
      </c>
      <c r="E84" s="529">
        <v>3899.4056132933501</v>
      </c>
      <c r="F84" s="529">
        <v>3843.5480022745778</v>
      </c>
      <c r="G84" s="529">
        <v>3796.6941419166233</v>
      </c>
      <c r="H84" s="529">
        <v>3653.8441310154494</v>
      </c>
      <c r="I84" s="529">
        <v>3523.9980709693991</v>
      </c>
      <c r="J84" s="529">
        <v>3400.1560658477447</v>
      </c>
      <c r="K84" s="529">
        <v>3330.3182224610391</v>
      </c>
      <c r="L84" s="529">
        <v>3309.4846504333291</v>
      </c>
      <c r="M84" s="529">
        <v>3466.6554622762615</v>
      </c>
      <c r="N84" s="529">
        <v>3532.8307734651476</v>
      </c>
      <c r="O84" s="529">
        <v>3646.0107025170264</v>
      </c>
      <c r="P84" s="529">
        <v>3763.1953710707903</v>
      </c>
      <c r="Q84" s="529">
        <v>3950.3849039694132</v>
      </c>
      <c r="R84" s="529">
        <v>4311.5794293443523</v>
      </c>
      <c r="S84" s="529"/>
      <c r="T84" s="529"/>
      <c r="U84" s="529"/>
      <c r="V84" s="529"/>
      <c r="W84" s="529"/>
      <c r="X84" s="529"/>
      <c r="AF84" s="529"/>
      <c r="AH84" s="517"/>
      <c r="AI84" s="517"/>
      <c r="AJ84" s="517"/>
      <c r="AK84" s="517"/>
      <c r="AL84" s="517"/>
      <c r="AM84" s="517"/>
      <c r="AN84" s="517"/>
      <c r="AO84" s="517"/>
      <c r="AP84" s="517"/>
      <c r="AQ84" s="517"/>
      <c r="AR84" s="517"/>
      <c r="AS84" s="517"/>
      <c r="AT84" s="517"/>
      <c r="AU84" s="517"/>
      <c r="AV84" s="517"/>
      <c r="AX84" s="517"/>
      <c r="AY84" s="517"/>
      <c r="AZ84" s="517"/>
      <c r="BA84" s="517"/>
      <c r="BB84" s="517"/>
      <c r="BC84" s="517"/>
      <c r="BD84" s="517"/>
      <c r="BE84" s="507"/>
      <c r="BF84" s="517"/>
      <c r="BG84" s="517"/>
      <c r="BH84" s="517"/>
      <c r="BI84" s="517"/>
      <c r="BJ84" s="517"/>
      <c r="BK84" s="517"/>
      <c r="BL84" s="517"/>
      <c r="BM84" s="517"/>
      <c r="BN84" s="517"/>
    </row>
    <row r="85" spans="1:66">
      <c r="A85" s="521" t="s">
        <v>835</v>
      </c>
      <c r="B85" s="530">
        <v>2978</v>
      </c>
      <c r="C85" s="530">
        <v>3171.0263409484733</v>
      </c>
      <c r="D85" s="530">
        <v>3372.0533757425133</v>
      </c>
      <c r="E85" s="530">
        <v>3555.0811226586702</v>
      </c>
      <c r="F85" s="530">
        <v>3760.1096004549154</v>
      </c>
      <c r="G85" s="530">
        <v>3955.1388283833248</v>
      </c>
      <c r="H85" s="530">
        <v>4113.1688262030893</v>
      </c>
      <c r="I85" s="530">
        <v>4265.1996141938798</v>
      </c>
      <c r="J85" s="530">
        <v>4412.2312131695489</v>
      </c>
      <c r="K85" s="530">
        <v>4499.2636444922082</v>
      </c>
      <c r="L85" s="530">
        <v>4592.2969300866662</v>
      </c>
      <c r="M85" s="530">
        <v>4586.3310924552525</v>
      </c>
      <c r="N85" s="530">
        <v>4599.3661546930289</v>
      </c>
      <c r="O85" s="530">
        <v>4627.4021405034055</v>
      </c>
      <c r="P85" s="530">
        <v>4654.4390742141586</v>
      </c>
      <c r="Q85" s="530">
        <v>4723.4769807938828</v>
      </c>
      <c r="R85" s="530">
        <v>4858.5158858688701</v>
      </c>
      <c r="S85" s="529"/>
      <c r="T85" s="529"/>
      <c r="U85" s="529"/>
      <c r="V85" s="529"/>
      <c r="W85" s="529"/>
      <c r="X85" s="529"/>
      <c r="AF85" s="529"/>
      <c r="AH85" s="517"/>
      <c r="AI85" s="517"/>
      <c r="AJ85" s="517"/>
      <c r="AK85" s="517"/>
      <c r="AL85" s="517"/>
      <c r="AM85" s="517"/>
      <c r="AN85" s="517"/>
      <c r="AO85" s="517"/>
      <c r="AP85" s="517"/>
      <c r="AQ85" s="517"/>
      <c r="AR85" s="517"/>
      <c r="AS85" s="517"/>
      <c r="AT85" s="517"/>
      <c r="AU85" s="517"/>
      <c r="AV85" s="517"/>
      <c r="AX85" s="517"/>
      <c r="AY85" s="517"/>
      <c r="AZ85" s="517"/>
      <c r="BA85" s="517"/>
      <c r="BB85" s="517"/>
      <c r="BC85" s="517"/>
      <c r="BD85" s="517"/>
      <c r="BF85" s="517"/>
      <c r="BG85" s="517"/>
      <c r="BH85" s="517"/>
      <c r="BI85" s="517"/>
      <c r="BJ85" s="517"/>
      <c r="BK85" s="517"/>
      <c r="BL85" s="517"/>
      <c r="BM85" s="517"/>
      <c r="BN85" s="517"/>
    </row>
    <row r="86" spans="1:66">
      <c r="B86" s="523"/>
      <c r="C86" s="523"/>
      <c r="D86" s="523"/>
      <c r="E86" s="523"/>
      <c r="F86" s="523"/>
      <c r="G86" s="523"/>
      <c r="H86" s="523"/>
      <c r="I86" s="523"/>
      <c r="J86" s="523"/>
      <c r="K86" s="523"/>
      <c r="L86" s="523"/>
      <c r="M86" s="523"/>
      <c r="N86" s="523"/>
      <c r="O86" s="523"/>
      <c r="P86" s="523"/>
      <c r="Q86" s="523"/>
      <c r="R86" s="523"/>
      <c r="S86" s="523"/>
      <c r="T86" s="523"/>
      <c r="U86" s="523"/>
      <c r="V86" s="523"/>
      <c r="W86" s="523"/>
      <c r="X86" s="523"/>
      <c r="AF86" s="523"/>
      <c r="AH86" s="517"/>
      <c r="AI86" s="517"/>
      <c r="AJ86" s="517"/>
      <c r="AK86" s="517"/>
      <c r="AL86" s="517"/>
      <c r="AM86" s="517"/>
      <c r="AN86" s="517"/>
      <c r="AO86" s="517"/>
      <c r="AP86" s="517"/>
      <c r="AQ86" s="517"/>
      <c r="AR86" s="517"/>
      <c r="AS86" s="517"/>
      <c r="AT86" s="517"/>
      <c r="AU86" s="517"/>
      <c r="AV86" s="517"/>
      <c r="AX86" s="517"/>
      <c r="AY86" s="517"/>
      <c r="AZ86" s="517"/>
      <c r="BA86" s="517"/>
      <c r="BB86" s="517"/>
      <c r="BC86" s="517"/>
      <c r="BD86" s="517"/>
      <c r="BE86" s="506"/>
      <c r="BF86" s="517"/>
      <c r="BG86" s="517"/>
      <c r="BH86" s="517"/>
      <c r="BI86" s="517"/>
      <c r="BJ86" s="517"/>
      <c r="BK86" s="517"/>
      <c r="BL86" s="517"/>
      <c r="BM86" s="517"/>
      <c r="BN86" s="517"/>
    </row>
    <row r="87" spans="1:66">
      <c r="A87" s="506"/>
      <c r="B87" s="523"/>
      <c r="C87" s="523"/>
      <c r="D87" s="523"/>
      <c r="E87" s="523"/>
      <c r="F87" s="523"/>
      <c r="G87" s="523"/>
      <c r="H87" s="523"/>
      <c r="I87" s="523"/>
      <c r="J87" s="523"/>
      <c r="K87" s="523"/>
      <c r="L87" s="523"/>
      <c r="M87" s="523"/>
      <c r="N87" s="523"/>
      <c r="O87" s="523"/>
      <c r="P87" s="523"/>
      <c r="Q87" s="523"/>
      <c r="R87" s="523"/>
      <c r="S87" s="523"/>
      <c r="T87" s="523"/>
      <c r="U87" s="523"/>
      <c r="V87" s="523"/>
      <c r="W87" s="523"/>
      <c r="X87" s="523"/>
      <c r="AF87" s="523"/>
      <c r="AH87" s="517"/>
      <c r="AI87" s="517"/>
      <c r="AJ87" s="517"/>
      <c r="AK87" s="517"/>
      <c r="AL87" s="517"/>
      <c r="AM87" s="517"/>
      <c r="AN87" s="517"/>
      <c r="AO87" s="517"/>
      <c r="AP87" s="517"/>
      <c r="AQ87" s="517"/>
      <c r="AR87" s="517"/>
      <c r="AS87" s="517"/>
      <c r="AT87" s="517"/>
      <c r="AU87" s="517"/>
      <c r="AV87" s="517"/>
      <c r="AX87" s="517"/>
      <c r="AY87" s="517"/>
      <c r="AZ87" s="517"/>
      <c r="BA87" s="517"/>
      <c r="BB87" s="517"/>
      <c r="BC87" s="517"/>
      <c r="BD87" s="517"/>
      <c r="BG87" s="517"/>
      <c r="BH87" s="517"/>
      <c r="BI87" s="517"/>
      <c r="BJ87" s="517"/>
      <c r="BK87" s="517"/>
      <c r="BL87" s="517"/>
      <c r="BM87" s="517"/>
      <c r="BN87" s="517"/>
    </row>
    <row r="88" spans="1:66">
      <c r="A88" s="524" t="s">
        <v>837</v>
      </c>
      <c r="B88" s="528">
        <f>SUM(B89:B105)</f>
        <v>172686</v>
      </c>
      <c r="C88" s="528">
        <f t="shared" ref="C88:R88" si="4">SUM(C89:C105)</f>
        <v>176221.64879399445</v>
      </c>
      <c r="D88" s="528">
        <f t="shared" si="4"/>
        <v>179769.48132790686</v>
      </c>
      <c r="E88" s="528">
        <f t="shared" si="4"/>
        <v>183309.7395101572</v>
      </c>
      <c r="F88" s="528">
        <f t="shared" si="4"/>
        <v>186856.67162126265</v>
      </c>
      <c r="G88" s="528">
        <f t="shared" si="4"/>
        <v>190393.53248168467</v>
      </c>
      <c r="H88" s="528">
        <f t="shared" si="4"/>
        <v>193939.58362409749</v>
      </c>
      <c r="I88" s="528">
        <f t="shared" si="4"/>
        <v>197434.09347019394</v>
      </c>
      <c r="J88" s="528">
        <f t="shared" si="4"/>
        <v>200892.33751214881</v>
      </c>
      <c r="K88" s="528">
        <f t="shared" si="4"/>
        <v>204291.59849886212</v>
      </c>
      <c r="L88" s="528">
        <f t="shared" si="4"/>
        <v>207642.16662710815</v>
      </c>
      <c r="M88" s="528">
        <f t="shared" si="4"/>
        <v>210931.3397377193</v>
      </c>
      <c r="N88" s="528">
        <f t="shared" si="4"/>
        <v>214149.4235169382</v>
      </c>
      <c r="O88" s="528">
        <f t="shared" si="4"/>
        <v>217317.73170307279</v>
      </c>
      <c r="P88" s="528">
        <f t="shared" si="4"/>
        <v>220448.58629859582</v>
      </c>
      <c r="Q88" s="528">
        <f t="shared" si="4"/>
        <v>223574.31778783057</v>
      </c>
      <c r="R88" s="528">
        <f t="shared" si="4"/>
        <v>226642.26536037083</v>
      </c>
      <c r="S88" s="534"/>
      <c r="T88" s="534"/>
      <c r="U88" s="534"/>
      <c r="V88" s="534"/>
      <c r="W88" s="534"/>
      <c r="X88" s="534"/>
      <c r="AF88" s="534"/>
      <c r="AH88" s="517"/>
      <c r="AI88" s="517"/>
      <c r="AJ88" s="517"/>
      <c r="AK88" s="517"/>
      <c r="AL88" s="517"/>
      <c r="AM88" s="517"/>
      <c r="AN88" s="517"/>
      <c r="AO88" s="517"/>
      <c r="AP88" s="517"/>
      <c r="AQ88" s="517"/>
      <c r="AR88" s="517"/>
      <c r="AS88" s="517"/>
      <c r="AT88" s="517"/>
      <c r="AU88" s="517"/>
      <c r="AV88" s="517"/>
      <c r="AX88" s="517"/>
      <c r="AY88" s="517"/>
      <c r="AZ88" s="517"/>
      <c r="BA88" s="517"/>
      <c r="BB88" s="517"/>
      <c r="BC88" s="517"/>
      <c r="BD88" s="517"/>
      <c r="BG88" s="517"/>
      <c r="BH88" s="517"/>
      <c r="BI88" s="517"/>
      <c r="BJ88" s="517"/>
      <c r="BK88" s="517"/>
      <c r="BL88" s="517"/>
      <c r="BM88" s="517"/>
      <c r="BN88" s="517"/>
    </row>
    <row r="89" spans="1:66">
      <c r="A89" s="520" t="s">
        <v>803</v>
      </c>
      <c r="B89" s="529">
        <v>18753</v>
      </c>
      <c r="C89" s="529">
        <v>18961.079022845421</v>
      </c>
      <c r="D89" s="529">
        <v>18975.16012722754</v>
      </c>
      <c r="E89" s="529">
        <v>19040.243367976011</v>
      </c>
      <c r="F89" s="529">
        <v>19357.328801364747</v>
      </c>
      <c r="G89" s="529">
        <v>19724.416485149974</v>
      </c>
      <c r="H89" s="529">
        <v>19710.50647860927</v>
      </c>
      <c r="I89" s="529">
        <v>19653.598842581639</v>
      </c>
      <c r="J89" s="529">
        <v>19560.693639508645</v>
      </c>
      <c r="K89" s="529">
        <v>19411.790933476623</v>
      </c>
      <c r="L89" s="529">
        <v>19203.890790259997</v>
      </c>
      <c r="M89" s="529">
        <v>18946.993277365757</v>
      </c>
      <c r="N89" s="529">
        <v>18659.098464079088</v>
      </c>
      <c r="O89" s="529">
        <v>18359.206421510215</v>
      </c>
      <c r="P89" s="529">
        <v>18072.317222642476</v>
      </c>
      <c r="Q89" s="529">
        <v>17822.430942381648</v>
      </c>
      <c r="R89" s="529">
        <v>17612.54765760661</v>
      </c>
      <c r="S89" s="529"/>
      <c r="T89" s="529"/>
      <c r="U89" s="529"/>
      <c r="V89" s="529"/>
      <c r="W89" s="529"/>
      <c r="X89" s="529"/>
      <c r="AF89" s="529"/>
      <c r="AH89" s="517"/>
      <c r="AI89" s="517"/>
      <c r="AJ89" s="517"/>
      <c r="AK89" s="517"/>
      <c r="AL89" s="517"/>
      <c r="AM89" s="517"/>
      <c r="AN89" s="517"/>
      <c r="AO89" s="517"/>
      <c r="AP89" s="517"/>
      <c r="AQ89" s="517"/>
      <c r="AR89" s="517"/>
      <c r="AS89" s="517"/>
      <c r="AT89" s="517"/>
      <c r="AU89" s="517"/>
      <c r="AV89" s="517"/>
      <c r="AX89" s="517"/>
      <c r="AY89" s="517"/>
      <c r="AZ89" s="517"/>
      <c r="BA89" s="517"/>
      <c r="BB89" s="517"/>
      <c r="BC89" s="517"/>
      <c r="BD89" s="517"/>
      <c r="BG89" s="517"/>
      <c r="BH89" s="517"/>
      <c r="BI89" s="517"/>
      <c r="BJ89" s="517"/>
      <c r="BK89" s="517"/>
      <c r="BL89" s="517"/>
      <c r="BM89" s="517"/>
      <c r="BN89" s="517"/>
    </row>
    <row r="90" spans="1:66">
      <c r="A90" s="518" t="s">
        <v>805</v>
      </c>
      <c r="B90" s="529">
        <v>16265</v>
      </c>
      <c r="C90" s="529">
        <v>17199.131704742365</v>
      </c>
      <c r="D90" s="529">
        <v>18085.266878712566</v>
      </c>
      <c r="E90" s="529">
        <v>18673.405613293351</v>
      </c>
      <c r="F90" s="529">
        <v>18710.54800227458</v>
      </c>
      <c r="G90" s="529">
        <v>18614.694141916621</v>
      </c>
      <c r="H90" s="529">
        <v>18821.844131015449</v>
      </c>
      <c r="I90" s="529">
        <v>18841.998070969399</v>
      </c>
      <c r="J90" s="529">
        <v>18909.156065847743</v>
      </c>
      <c r="K90" s="529">
        <v>19228.318222461039</v>
      </c>
      <c r="L90" s="529">
        <v>19597.484650433329</v>
      </c>
      <c r="M90" s="529">
        <v>19588.65546227626</v>
      </c>
      <c r="N90" s="529">
        <v>19535.830773465146</v>
      </c>
      <c r="O90" s="529">
        <v>19444.010702517025</v>
      </c>
      <c r="P90" s="529">
        <v>19297.195371070789</v>
      </c>
      <c r="Q90" s="529">
        <v>19096.384903969414</v>
      </c>
      <c r="R90" s="529">
        <v>18841.579429344354</v>
      </c>
      <c r="S90" s="529"/>
      <c r="T90" s="529"/>
      <c r="U90" s="529"/>
      <c r="V90" s="529"/>
      <c r="W90" s="529"/>
      <c r="X90" s="529"/>
      <c r="AF90" s="529"/>
      <c r="AH90" s="517"/>
      <c r="AI90" s="517"/>
      <c r="AJ90" s="517"/>
      <c r="AK90" s="517"/>
      <c r="AL90" s="517"/>
      <c r="AM90" s="517"/>
      <c r="AN90" s="517"/>
      <c r="AO90" s="517"/>
      <c r="AP90" s="517"/>
      <c r="AQ90" s="517"/>
      <c r="AR90" s="517"/>
      <c r="AS90" s="517"/>
      <c r="AT90" s="517"/>
      <c r="AU90" s="517"/>
      <c r="AV90" s="517"/>
      <c r="AX90" s="517"/>
      <c r="AY90" s="517"/>
      <c r="AZ90" s="517"/>
      <c r="BA90" s="517"/>
      <c r="BB90" s="517"/>
      <c r="BC90" s="517"/>
      <c r="BD90" s="517"/>
      <c r="BG90" s="517"/>
      <c r="BH90" s="517"/>
      <c r="BI90" s="517"/>
      <c r="BJ90" s="517"/>
      <c r="BK90" s="517"/>
      <c r="BL90" s="517"/>
      <c r="BM90" s="517"/>
      <c r="BN90" s="517"/>
    </row>
    <row r="91" spans="1:66">
      <c r="A91" s="518" t="s">
        <v>807</v>
      </c>
      <c r="B91" s="529">
        <v>13477</v>
      </c>
      <c r="C91" s="529">
        <v>13327.105363793893</v>
      </c>
      <c r="D91" s="529">
        <v>13539.213502970053</v>
      </c>
      <c r="E91" s="529">
        <v>14179.324490634681</v>
      </c>
      <c r="F91" s="529">
        <v>15190.438401819662</v>
      </c>
      <c r="G91" s="529">
        <v>16219.555313533299</v>
      </c>
      <c r="H91" s="529">
        <v>17148.675304812361</v>
      </c>
      <c r="I91" s="529">
        <v>18038.798456775519</v>
      </c>
      <c r="J91" s="529">
        <v>18626.924852678196</v>
      </c>
      <c r="K91" s="529">
        <v>18666.054577968833</v>
      </c>
      <c r="L91" s="529">
        <v>18569.187720346665</v>
      </c>
      <c r="M91" s="529">
        <v>18778.32436982101</v>
      </c>
      <c r="N91" s="529">
        <v>18793.464618772119</v>
      </c>
      <c r="O91" s="529">
        <v>18863.608562013622</v>
      </c>
      <c r="P91" s="529">
        <v>19184.756296856631</v>
      </c>
      <c r="Q91" s="529">
        <v>19551.907923175531</v>
      </c>
      <c r="R91" s="529">
        <v>19544.063543475484</v>
      </c>
      <c r="S91" s="529"/>
      <c r="T91" s="529"/>
      <c r="U91" s="529"/>
      <c r="V91" s="529"/>
      <c r="W91" s="529"/>
      <c r="X91" s="529"/>
      <c r="AF91" s="529"/>
      <c r="AH91" s="517"/>
      <c r="AI91" s="517"/>
      <c r="AJ91" s="517"/>
      <c r="AK91" s="517"/>
      <c r="AL91" s="517"/>
      <c r="AM91" s="517"/>
      <c r="AN91" s="517"/>
      <c r="AO91" s="517"/>
      <c r="AP91" s="517"/>
      <c r="AQ91" s="517"/>
      <c r="AR91" s="517"/>
      <c r="AS91" s="517"/>
      <c r="AT91" s="517"/>
      <c r="AU91" s="517"/>
      <c r="AV91" s="517"/>
      <c r="AX91" s="517"/>
      <c r="AY91" s="517"/>
      <c r="AZ91" s="517"/>
      <c r="BA91" s="517"/>
      <c r="BB91" s="517"/>
      <c r="BC91" s="517"/>
      <c r="BD91" s="517"/>
      <c r="BG91" s="517"/>
      <c r="BH91" s="517"/>
      <c r="BI91" s="517"/>
      <c r="BJ91" s="517"/>
      <c r="BK91" s="517"/>
      <c r="BL91" s="517"/>
      <c r="BM91" s="517"/>
      <c r="BN91" s="517"/>
    </row>
    <row r="92" spans="1:66">
      <c r="A92" s="518" t="s">
        <v>809</v>
      </c>
      <c r="B92" s="529">
        <v>15704</v>
      </c>
      <c r="C92" s="529">
        <v>15766.361553169971</v>
      </c>
      <c r="D92" s="529">
        <v>15451.259448962832</v>
      </c>
      <c r="E92" s="529">
        <v>14920.707815151975</v>
      </c>
      <c r="F92" s="529">
        <v>14505.721151649745</v>
      </c>
      <c r="G92" s="529">
        <v>14451.314340309933</v>
      </c>
      <c r="H92" s="529">
        <v>14330.502654988468</v>
      </c>
      <c r="I92" s="529">
        <v>14567.301771869137</v>
      </c>
      <c r="J92" s="529">
        <v>15233.727780061274</v>
      </c>
      <c r="K92" s="529">
        <v>16272.797192476612</v>
      </c>
      <c r="L92" s="529">
        <v>17325.526956992642</v>
      </c>
      <c r="M92" s="529">
        <v>18287.934467910021</v>
      </c>
      <c r="N92" s="529">
        <v>19203.037577711788</v>
      </c>
      <c r="O92" s="529">
        <v>19819.854609132311</v>
      </c>
      <c r="P92" s="529">
        <v>19887.404367544168</v>
      </c>
      <c r="Q92" s="529">
        <v>19822.706153671283</v>
      </c>
      <c r="R92" s="529">
        <v>20066.779776636948</v>
      </c>
      <c r="S92" s="529"/>
      <c r="T92" s="529"/>
      <c r="U92" s="529"/>
      <c r="V92" s="529"/>
      <c r="W92" s="529"/>
      <c r="X92" s="529"/>
      <c r="AF92" s="529"/>
      <c r="AH92" s="517"/>
      <c r="AI92" s="517"/>
      <c r="AJ92" s="517"/>
      <c r="AK92" s="517"/>
      <c r="AL92" s="517"/>
      <c r="AM92" s="517"/>
      <c r="AN92" s="517"/>
      <c r="AO92" s="517"/>
      <c r="AP92" s="517"/>
      <c r="AQ92" s="517"/>
      <c r="AR92" s="517"/>
      <c r="AS92" s="517"/>
      <c r="AT92" s="517"/>
      <c r="AU92" s="517"/>
      <c r="AV92" s="517"/>
      <c r="AX92" s="517"/>
      <c r="AY92" s="517"/>
      <c r="AZ92" s="517"/>
      <c r="BA92" s="517"/>
      <c r="BB92" s="517"/>
      <c r="BC92" s="517"/>
      <c r="BD92" s="517"/>
      <c r="BG92" s="517"/>
      <c r="BH92" s="517"/>
      <c r="BI92" s="517"/>
      <c r="BJ92" s="517"/>
      <c r="BK92" s="517"/>
      <c r="BL92" s="517"/>
      <c r="BM92" s="517"/>
      <c r="BN92" s="517"/>
    </row>
    <row r="93" spans="1:66">
      <c r="A93" s="518" t="s">
        <v>811</v>
      </c>
      <c r="B93" s="529">
        <v>18739</v>
      </c>
      <c r="C93" s="529">
        <v>18542.849931284902</v>
      </c>
      <c r="D93" s="529">
        <v>18687.092935928595</v>
      </c>
      <c r="E93" s="529">
        <v>19067.792049753116</v>
      </c>
      <c r="F93" s="529">
        <v>19148.011969003841</v>
      </c>
      <c r="G93" s="529">
        <v>19043.819094086619</v>
      </c>
      <c r="H93" s="529">
        <v>19197.281574456956</v>
      </c>
      <c r="I93" s="529">
        <v>18968.469354691664</v>
      </c>
      <c r="J93" s="529">
        <v>18531.454221774042</v>
      </c>
      <c r="K93" s="529">
        <v>18209.309853624622</v>
      </c>
      <c r="L93" s="529">
        <v>18254.111868910244</v>
      </c>
      <c r="M93" s="529">
        <v>18228.93787816515</v>
      </c>
      <c r="N93" s="529">
        <v>18566.867536258673</v>
      </c>
      <c r="O93" s="529">
        <v>19337.982596244947</v>
      </c>
      <c r="P93" s="529">
        <v>20477.366964631095</v>
      </c>
      <c r="Q93" s="529">
        <v>21646.106758101228</v>
      </c>
      <c r="R93" s="529">
        <v>22716.290361734587</v>
      </c>
      <c r="S93" s="529"/>
      <c r="T93" s="529"/>
      <c r="U93" s="529"/>
      <c r="V93" s="529"/>
      <c r="W93" s="529"/>
      <c r="X93" s="529"/>
      <c r="AF93" s="529"/>
      <c r="AH93" s="517"/>
      <c r="AI93" s="517"/>
      <c r="AJ93" s="517"/>
      <c r="AK93" s="517"/>
      <c r="AL93" s="517"/>
      <c r="AM93" s="517"/>
      <c r="AN93" s="517"/>
      <c r="AO93" s="517"/>
      <c r="AP93" s="517"/>
      <c r="AQ93" s="517"/>
      <c r="AR93" s="517"/>
      <c r="AS93" s="517"/>
      <c r="AT93" s="517"/>
      <c r="AU93" s="517"/>
      <c r="AV93" s="517"/>
      <c r="AX93" s="517"/>
      <c r="AY93" s="517"/>
      <c r="AZ93" s="517"/>
      <c r="BA93" s="517"/>
      <c r="BB93" s="517"/>
      <c r="BC93" s="517"/>
      <c r="BD93" s="517"/>
      <c r="BG93" s="517"/>
      <c r="BH93" s="517"/>
      <c r="BI93" s="517"/>
      <c r="BJ93" s="517"/>
      <c r="BK93" s="517"/>
      <c r="BL93" s="517"/>
      <c r="BM93" s="517"/>
      <c r="BN93" s="517"/>
    </row>
    <row r="94" spans="1:66">
      <c r="A94" s="518" t="s">
        <v>813</v>
      </c>
      <c r="B94" s="529">
        <v>19116</v>
      </c>
      <c r="C94" s="529">
        <v>19054.287210947052</v>
      </c>
      <c r="D94" s="529">
        <v>18994.689263180735</v>
      </c>
      <c r="E94" s="529">
        <v>18792.261863626412</v>
      </c>
      <c r="F94" s="529">
        <v>18841.062186582694</v>
      </c>
      <c r="G94" s="529">
        <v>18815.148912373446</v>
      </c>
      <c r="H94" s="529">
        <v>18622.582267017919</v>
      </c>
      <c r="I94" s="529">
        <v>18763.424062945836</v>
      </c>
      <c r="J94" s="529">
        <v>19147.737740784945</v>
      </c>
      <c r="K94" s="529">
        <v>19228.588412249304</v>
      </c>
      <c r="L94" s="529">
        <v>19128.042904157272</v>
      </c>
      <c r="M94" s="529">
        <v>19283.16980360898</v>
      </c>
      <c r="N94" s="529">
        <v>19058.039504353852</v>
      </c>
      <c r="O94" s="529">
        <v>18622.724254379413</v>
      </c>
      <c r="P94" s="529">
        <v>18306.298204753723</v>
      </c>
      <c r="Q94" s="529">
        <v>18353.83745975429</v>
      </c>
      <c r="R94" s="529">
        <v>18331.420128317488</v>
      </c>
      <c r="S94" s="529"/>
      <c r="T94" s="529"/>
      <c r="U94" s="529"/>
      <c r="V94" s="529"/>
      <c r="W94" s="529"/>
      <c r="X94" s="529"/>
      <c r="AF94" s="529"/>
      <c r="AH94" s="517"/>
      <c r="AI94" s="517"/>
      <c r="AJ94" s="517"/>
      <c r="AK94" s="517"/>
      <c r="AL94" s="517"/>
      <c r="AM94" s="517"/>
      <c r="AN94" s="517"/>
      <c r="AO94" s="517"/>
      <c r="AP94" s="517"/>
      <c r="AQ94" s="517"/>
      <c r="AR94" s="517"/>
      <c r="AS94" s="517"/>
      <c r="AT94" s="517"/>
      <c r="AU94" s="517"/>
      <c r="AV94" s="517"/>
      <c r="AX94" s="517"/>
      <c r="AY94" s="517"/>
      <c r="AZ94" s="517"/>
      <c r="BA94" s="517"/>
      <c r="BB94" s="517"/>
      <c r="BC94" s="517"/>
      <c r="BD94" s="517"/>
      <c r="BG94" s="517"/>
      <c r="BH94" s="517"/>
      <c r="BI94" s="517"/>
      <c r="BJ94" s="517"/>
      <c r="BK94" s="517"/>
      <c r="BL94" s="517"/>
      <c r="BM94" s="517"/>
      <c r="BN94" s="517"/>
    </row>
    <row r="95" spans="1:66">
      <c r="A95" s="518" t="s">
        <v>815</v>
      </c>
      <c r="B95" s="529">
        <v>15303</v>
      </c>
      <c r="C95" s="529">
        <v>16271.685721114847</v>
      </c>
      <c r="D95" s="529">
        <v>17168.864597888758</v>
      </c>
      <c r="E95" s="529">
        <v>17693.57596145802</v>
      </c>
      <c r="F95" s="529">
        <v>18358.860178978335</v>
      </c>
      <c r="G95" s="529">
        <v>18471.758680914587</v>
      </c>
      <c r="H95" s="529">
        <v>18395.313989049399</v>
      </c>
      <c r="I95" s="529">
        <v>18318.569745229473</v>
      </c>
      <c r="J95" s="529">
        <v>18103.57074086916</v>
      </c>
      <c r="K95" s="529">
        <v>18136.362947231137</v>
      </c>
      <c r="L95" s="529">
        <v>18090.993546504738</v>
      </c>
      <c r="M95" s="529">
        <v>17876.510963702931</v>
      </c>
      <c r="N95" s="529">
        <v>18006.964899399438</v>
      </c>
      <c r="O95" s="529">
        <v>18371.406363328246</v>
      </c>
      <c r="P95" s="529">
        <v>18429.887708868111</v>
      </c>
      <c r="Q95" s="529">
        <v>18314.462668435444</v>
      </c>
      <c r="R95" s="529">
        <v>18446.18638980946</v>
      </c>
      <c r="S95" s="529"/>
      <c r="T95" s="529"/>
      <c r="U95" s="529"/>
      <c r="V95" s="529"/>
      <c r="W95" s="529"/>
      <c r="X95" s="529"/>
      <c r="Y95" s="529"/>
      <c r="Z95" s="529"/>
      <c r="AA95" s="529"/>
      <c r="AB95" s="529"/>
      <c r="AC95" s="529"/>
      <c r="AF95" s="529"/>
      <c r="AH95" s="517"/>
      <c r="AI95" s="517"/>
      <c r="AJ95" s="517"/>
      <c r="AK95" s="517"/>
      <c r="AL95" s="517"/>
      <c r="AM95" s="517"/>
      <c r="AN95" s="517"/>
      <c r="AO95" s="517"/>
      <c r="AP95" s="517"/>
      <c r="AQ95" s="517"/>
      <c r="AR95" s="517"/>
      <c r="AS95" s="517"/>
      <c r="AT95" s="517"/>
      <c r="AU95" s="517"/>
      <c r="AV95" s="517"/>
      <c r="AX95" s="517"/>
      <c r="AY95" s="517"/>
      <c r="AZ95" s="517"/>
      <c r="BA95" s="517"/>
      <c r="BB95" s="517"/>
      <c r="BC95" s="517"/>
      <c r="BD95" s="517"/>
      <c r="BG95" s="517"/>
      <c r="BH95" s="517"/>
      <c r="BI95" s="517"/>
      <c r="BJ95" s="517"/>
      <c r="BK95" s="517"/>
      <c r="BL95" s="517"/>
      <c r="BM95" s="517"/>
      <c r="BN95" s="517"/>
    </row>
    <row r="96" spans="1:66">
      <c r="A96" s="507" t="s">
        <v>817</v>
      </c>
      <c r="B96" s="529">
        <v>11273</v>
      </c>
      <c r="C96" s="529">
        <v>11861.270530005939</v>
      </c>
      <c r="D96" s="529">
        <v>12279.470119225396</v>
      </c>
      <c r="E96" s="529">
        <v>13073.623239959241</v>
      </c>
      <c r="F96" s="529">
        <v>13804.755009131964</v>
      </c>
      <c r="G96" s="529">
        <v>14631.891205271668</v>
      </c>
      <c r="H96" s="529">
        <v>15582.058285937335</v>
      </c>
      <c r="I96" s="529">
        <v>16462.283405605143</v>
      </c>
      <c r="J96" s="529">
        <v>16967.594434025934</v>
      </c>
      <c r="K96" s="529">
        <v>17611.019975066214</v>
      </c>
      <c r="L96" s="529">
        <v>17709.589386045467</v>
      </c>
      <c r="M96" s="529">
        <v>17616.332797582818</v>
      </c>
      <c r="N96" s="529">
        <v>17520.281133966473</v>
      </c>
      <c r="O96" s="529">
        <v>17285.466134059723</v>
      </c>
      <c r="P96" s="529">
        <v>17299.92037275762</v>
      </c>
      <c r="Q96" s="529">
        <v>17232.677283008856</v>
      </c>
      <c r="R96" s="529">
        <v>16998.77117841769</v>
      </c>
      <c r="S96" s="529"/>
      <c r="T96" s="529"/>
      <c r="U96" s="529"/>
      <c r="V96" s="529"/>
      <c r="W96" s="529"/>
      <c r="X96" s="529"/>
      <c r="Y96" s="529"/>
      <c r="Z96" s="529"/>
      <c r="AA96" s="529"/>
      <c r="AB96" s="529"/>
      <c r="AC96" s="529"/>
      <c r="AD96" s="529"/>
      <c r="AE96" s="529"/>
      <c r="AF96" s="529"/>
      <c r="AH96" s="517"/>
      <c r="AI96" s="517"/>
      <c r="AJ96" s="517"/>
      <c r="AK96" s="517"/>
      <c r="AL96" s="517"/>
      <c r="AM96" s="517"/>
      <c r="AN96" s="517"/>
      <c r="AO96" s="517"/>
      <c r="AP96" s="517"/>
      <c r="AQ96" s="517"/>
      <c r="AR96" s="517"/>
      <c r="AS96" s="517"/>
      <c r="AT96" s="517"/>
      <c r="AU96" s="517"/>
      <c r="AV96" s="517"/>
      <c r="AX96" s="517"/>
      <c r="AY96" s="517"/>
      <c r="AZ96" s="517"/>
      <c r="BA96" s="517"/>
      <c r="BB96" s="517"/>
      <c r="BC96" s="517"/>
      <c r="BD96" s="517"/>
      <c r="BG96" s="517"/>
      <c r="BH96" s="517"/>
      <c r="BI96" s="517"/>
      <c r="BJ96" s="517"/>
      <c r="BK96" s="517"/>
      <c r="BL96" s="517"/>
      <c r="BM96" s="517"/>
      <c r="BN96" s="517"/>
    </row>
    <row r="97" spans="1:66">
      <c r="A97" s="507" t="s">
        <v>819</v>
      </c>
      <c r="B97" s="529">
        <v>9755</v>
      </c>
      <c r="C97" s="529">
        <v>9943.3146075249679</v>
      </c>
      <c r="D97" s="529">
        <v>10296.322366770852</v>
      </c>
      <c r="E97" s="529">
        <v>10447.041536011413</v>
      </c>
      <c r="F97" s="529">
        <v>10647.490854460666</v>
      </c>
      <c r="G97" s="529">
        <v>11020.689554941297</v>
      </c>
      <c r="H97" s="529">
        <v>11605.657376886778</v>
      </c>
      <c r="I97" s="529">
        <v>12015.414579685988</v>
      </c>
      <c r="J97" s="529">
        <v>12800.981956379317</v>
      </c>
      <c r="K97" s="529">
        <v>13522.380847715569</v>
      </c>
      <c r="L97" s="529">
        <v>14345.633156579106</v>
      </c>
      <c r="M97" s="529">
        <v>15282.761362797039</v>
      </c>
      <c r="N97" s="529">
        <v>16153.788538336448</v>
      </c>
      <c r="O97" s="529">
        <v>16650.738362901913</v>
      </c>
      <c r="P97" s="529">
        <v>17289.635139943886</v>
      </c>
      <c r="Q97" s="529">
        <v>17379.503813088759</v>
      </c>
      <c r="R97" s="529">
        <v>17280.369983001696</v>
      </c>
      <c r="S97" s="529"/>
      <c r="T97" s="529"/>
      <c r="U97" s="529"/>
      <c r="V97" s="529"/>
      <c r="W97" s="529"/>
      <c r="X97" s="529"/>
      <c r="Y97" s="529"/>
      <c r="Z97" s="529"/>
      <c r="AA97" s="529"/>
      <c r="AB97" s="529"/>
      <c r="AC97" s="529"/>
      <c r="AD97" s="529"/>
      <c r="AE97" s="529"/>
      <c r="AF97" s="529"/>
      <c r="AH97" s="517"/>
      <c r="AI97" s="517"/>
      <c r="AJ97" s="517"/>
      <c r="AK97" s="517"/>
      <c r="AL97" s="517"/>
      <c r="AM97" s="517"/>
      <c r="AN97" s="517"/>
      <c r="AO97" s="517"/>
      <c r="AP97" s="517"/>
      <c r="AQ97" s="517"/>
      <c r="AR97" s="517"/>
      <c r="AS97" s="517"/>
      <c r="AT97" s="517"/>
      <c r="AU97" s="517"/>
      <c r="AV97" s="517"/>
      <c r="AX97" s="517"/>
      <c r="AY97" s="517"/>
      <c r="AZ97" s="517"/>
      <c r="BA97" s="517"/>
      <c r="BB97" s="517"/>
      <c r="BC97" s="517"/>
      <c r="BD97" s="517"/>
      <c r="BG97" s="517"/>
      <c r="BH97" s="517"/>
      <c r="BI97" s="517"/>
      <c r="BJ97" s="517"/>
      <c r="BK97" s="517"/>
      <c r="BL97" s="517"/>
      <c r="BM97" s="517"/>
      <c r="BN97" s="517"/>
    </row>
    <row r="98" spans="1:66">
      <c r="A98" s="507" t="s">
        <v>821</v>
      </c>
      <c r="B98" s="529">
        <v>8747</v>
      </c>
      <c r="C98" s="529">
        <v>8732.2269803016316</v>
      </c>
      <c r="D98" s="529">
        <v>8997.9077356037415</v>
      </c>
      <c r="E98" s="529">
        <v>9347.054218770234</v>
      </c>
      <c r="F98" s="529">
        <v>9302.6786975147916</v>
      </c>
      <c r="G98" s="529">
        <v>9382.7937626943021</v>
      </c>
      <c r="H98" s="529">
        <v>9567.4123368207747</v>
      </c>
      <c r="I98" s="529">
        <v>9913.5476827974326</v>
      </c>
      <c r="J98" s="529">
        <v>10051.213412884959</v>
      </c>
      <c r="K98" s="529">
        <v>10245.423497903887</v>
      </c>
      <c r="L98" s="529">
        <v>10610.192276679414</v>
      </c>
      <c r="M98" s="529">
        <v>11181.534465734998</v>
      </c>
      <c r="N98" s="529">
        <v>11581.465169241279</v>
      </c>
      <c r="O98" s="529">
        <v>12355.999889227078</v>
      </c>
      <c r="P98" s="529">
        <v>13065.154536059361</v>
      </c>
      <c r="Q98" s="529">
        <v>13871.945439199248</v>
      </c>
      <c r="R98" s="529">
        <v>14798.389358241351</v>
      </c>
      <c r="S98" s="529"/>
      <c r="T98" s="529"/>
      <c r="U98" s="529"/>
      <c r="V98" s="529"/>
      <c r="W98" s="529"/>
      <c r="X98" s="529"/>
      <c r="Y98" s="529"/>
      <c r="Z98" s="529"/>
      <c r="AA98" s="529"/>
      <c r="AB98" s="529"/>
      <c r="AC98" s="529"/>
      <c r="AD98" s="529"/>
      <c r="AE98" s="529"/>
      <c r="AF98" s="529"/>
      <c r="AH98" s="517"/>
      <c r="AI98" s="517"/>
      <c r="AJ98" s="517"/>
      <c r="AK98" s="517"/>
      <c r="AL98" s="517"/>
      <c r="AM98" s="517"/>
      <c r="AN98" s="517"/>
      <c r="AO98" s="517"/>
      <c r="AP98" s="517"/>
      <c r="AQ98" s="517"/>
      <c r="AR98" s="517"/>
      <c r="AS98" s="517"/>
      <c r="AT98" s="517"/>
      <c r="AU98" s="517"/>
      <c r="AV98" s="517"/>
      <c r="AX98" s="517"/>
      <c r="AY98" s="517"/>
      <c r="AZ98" s="517"/>
      <c r="BA98" s="517"/>
      <c r="BB98" s="517"/>
      <c r="BC98" s="517"/>
      <c r="BD98" s="517"/>
      <c r="BG98" s="517"/>
      <c r="BH98" s="517"/>
      <c r="BI98" s="517"/>
      <c r="BJ98" s="517"/>
      <c r="BK98" s="517"/>
      <c r="BL98" s="517"/>
      <c r="BM98" s="517"/>
      <c r="BN98" s="517"/>
    </row>
    <row r="99" spans="1:66">
      <c r="A99" s="507" t="s">
        <v>823</v>
      </c>
      <c r="B99" s="529">
        <v>7593</v>
      </c>
      <c r="C99" s="529">
        <v>7857.5373354313679</v>
      </c>
      <c r="D99" s="529">
        <v>7740.3785752208541</v>
      </c>
      <c r="E99" s="529">
        <v>7779.5317244974958</v>
      </c>
      <c r="F99" s="529">
        <v>8042.0049992530248</v>
      </c>
      <c r="G99" s="529">
        <v>8383.806831896185</v>
      </c>
      <c r="H99" s="529">
        <v>8366.945876953363</v>
      </c>
      <c r="I99" s="529">
        <v>8630.4310169193814</v>
      </c>
      <c r="J99" s="529">
        <v>8969.2713682624035</v>
      </c>
      <c r="K99" s="529">
        <v>8918.4762875870056</v>
      </c>
      <c r="L99" s="529">
        <v>8998.0553779596084</v>
      </c>
      <c r="M99" s="529">
        <v>9177.0184954005035</v>
      </c>
      <c r="N99" s="529">
        <v>9510.375755546911</v>
      </c>
      <c r="O99" s="529">
        <v>9647.1375404915289</v>
      </c>
      <c r="P99" s="529">
        <v>9833.3145058012233</v>
      </c>
      <c r="Q99" s="529">
        <v>10192.917587720596</v>
      </c>
      <c r="R99" s="529">
        <v>10751.958010565308</v>
      </c>
      <c r="S99" s="529"/>
      <c r="T99" s="529"/>
      <c r="U99" s="529"/>
      <c r="V99" s="529"/>
      <c r="W99" s="529"/>
      <c r="X99" s="529"/>
      <c r="Y99" s="529"/>
      <c r="Z99" s="529"/>
      <c r="AA99" s="529"/>
      <c r="AB99" s="529"/>
      <c r="AC99" s="529"/>
      <c r="AD99" s="529"/>
      <c r="AE99" s="529"/>
      <c r="AF99" s="529"/>
      <c r="AH99" s="517"/>
      <c r="AI99" s="517"/>
      <c r="AJ99" s="517"/>
      <c r="AK99" s="517"/>
      <c r="AL99" s="517"/>
      <c r="AM99" s="517"/>
      <c r="AN99" s="517"/>
      <c r="AO99" s="517"/>
      <c r="AP99" s="517"/>
      <c r="AQ99" s="517"/>
      <c r="AR99" s="517"/>
      <c r="AS99" s="517"/>
      <c r="AT99" s="517"/>
      <c r="AU99" s="517"/>
      <c r="AV99" s="517"/>
      <c r="AX99" s="517"/>
      <c r="AY99" s="517"/>
      <c r="AZ99" s="517"/>
      <c r="BA99" s="517"/>
      <c r="BB99" s="517"/>
      <c r="BC99" s="517"/>
      <c r="BD99" s="517"/>
      <c r="BG99" s="517"/>
      <c r="BH99" s="517"/>
      <c r="BI99" s="517"/>
      <c r="BJ99" s="517"/>
      <c r="BK99" s="517"/>
      <c r="BL99" s="517"/>
      <c r="BM99" s="517"/>
      <c r="BN99" s="517"/>
    </row>
    <row r="100" spans="1:66">
      <c r="A100" s="507" t="s">
        <v>825</v>
      </c>
      <c r="B100" s="529">
        <v>6002</v>
      </c>
      <c r="C100" s="529">
        <v>6419.610622024843</v>
      </c>
      <c r="D100" s="529">
        <v>6835.3690331553471</v>
      </c>
      <c r="E100" s="529">
        <v>7061.2791262967276</v>
      </c>
      <c r="F100" s="529">
        <v>7142.3448968970188</v>
      </c>
      <c r="G100" s="529">
        <v>7092.5704456481444</v>
      </c>
      <c r="H100" s="529">
        <v>7345.9599812581419</v>
      </c>
      <c r="I100" s="529">
        <v>7230.5178232964117</v>
      </c>
      <c r="J100" s="529">
        <v>7270.248405113909</v>
      </c>
      <c r="K100" s="529">
        <v>7522.1562768402564</v>
      </c>
      <c r="L100" s="529">
        <v>7851.246108459809</v>
      </c>
      <c r="M100" s="529">
        <v>7833.5226929687378</v>
      </c>
      <c r="N100" s="529">
        <v>8082.9909496152786</v>
      </c>
      <c r="O100" s="529">
        <v>8409.6559272253326</v>
      </c>
      <c r="P100" s="529">
        <v>8356.5228076156636</v>
      </c>
      <c r="Q100" s="529">
        <v>8435.5969090970029</v>
      </c>
      <c r="R100" s="529">
        <v>8602.8836900694314</v>
      </c>
      <c r="S100" s="529"/>
      <c r="T100" s="529"/>
      <c r="U100" s="529"/>
      <c r="V100" s="529"/>
      <c r="W100" s="529"/>
      <c r="X100" s="529"/>
      <c r="Y100" s="529"/>
      <c r="Z100" s="529"/>
      <c r="AA100" s="529"/>
      <c r="AB100" s="529"/>
      <c r="AC100" s="529"/>
      <c r="AD100" s="529"/>
      <c r="AE100" s="529"/>
      <c r="AF100" s="529"/>
      <c r="AH100" s="517"/>
      <c r="AI100" s="517"/>
      <c r="AJ100" s="517"/>
      <c r="AK100" s="517"/>
      <c r="AL100" s="517"/>
      <c r="AM100" s="517"/>
      <c r="AN100" s="517"/>
      <c r="AO100" s="517"/>
      <c r="AP100" s="517"/>
      <c r="AQ100" s="517"/>
      <c r="AR100" s="517"/>
      <c r="AS100" s="517"/>
      <c r="AT100" s="517"/>
      <c r="AU100" s="517"/>
      <c r="AV100" s="517"/>
      <c r="AX100" s="517"/>
      <c r="AY100" s="517"/>
      <c r="AZ100" s="517"/>
      <c r="BA100" s="517"/>
      <c r="BB100" s="517"/>
      <c r="BC100" s="517"/>
      <c r="BD100" s="517"/>
      <c r="BG100" s="517"/>
      <c r="BH100" s="517"/>
      <c r="BI100" s="517"/>
      <c r="BJ100" s="517"/>
      <c r="BK100" s="517"/>
      <c r="BL100" s="517"/>
      <c r="BM100" s="517"/>
      <c r="BN100" s="517"/>
    </row>
    <row r="101" spans="1:66">
      <c r="A101" s="507" t="s">
        <v>827</v>
      </c>
      <c r="B101" s="529">
        <v>3307</v>
      </c>
      <c r="C101" s="529">
        <v>3546.5814129503974</v>
      </c>
      <c r="D101" s="529">
        <v>3964.2308227663098</v>
      </c>
      <c r="E101" s="529">
        <v>4442.9500205496679</v>
      </c>
      <c r="F101" s="529">
        <v>4939.7408445817273</v>
      </c>
      <c r="G101" s="529">
        <v>5527.6051815658129</v>
      </c>
      <c r="H101" s="529">
        <v>5922.544967902807</v>
      </c>
      <c r="I101" s="529">
        <v>6318.5621910002274</v>
      </c>
      <c r="J101" s="529">
        <v>6535.6588906157886</v>
      </c>
      <c r="K101" s="529">
        <v>6609.8371602363623</v>
      </c>
      <c r="L101" s="529">
        <v>6565.0991484932456</v>
      </c>
      <c r="M101" s="529">
        <v>6812.4470606147243</v>
      </c>
      <c r="N101" s="529">
        <v>6705.8831599168889</v>
      </c>
      <c r="O101" s="529">
        <v>6743.4097693337217</v>
      </c>
      <c r="P101" s="529">
        <v>6985.0292729874882</v>
      </c>
      <c r="Q101" s="529">
        <v>7301.7441178004992</v>
      </c>
      <c r="R101" s="529">
        <v>7288.5568151493153</v>
      </c>
      <c r="S101" s="529"/>
      <c r="T101" s="529"/>
      <c r="U101" s="529"/>
      <c r="V101" s="529"/>
      <c r="W101" s="529"/>
      <c r="X101" s="529"/>
      <c r="Y101" s="529"/>
      <c r="Z101" s="529"/>
      <c r="AA101" s="529"/>
      <c r="AB101" s="529"/>
      <c r="AC101" s="529"/>
      <c r="AD101" s="529"/>
      <c r="AE101" s="529"/>
      <c r="AF101" s="529"/>
      <c r="AH101" s="517"/>
      <c r="AI101" s="517"/>
      <c r="AJ101" s="517"/>
      <c r="AK101" s="517"/>
      <c r="AL101" s="517"/>
      <c r="AM101" s="517"/>
      <c r="AN101" s="517"/>
      <c r="AO101" s="517"/>
      <c r="AP101" s="517"/>
      <c r="AQ101" s="517"/>
      <c r="AR101" s="517"/>
      <c r="AS101" s="517"/>
      <c r="AT101" s="517"/>
      <c r="AU101" s="517"/>
      <c r="AV101" s="517"/>
      <c r="AX101" s="517"/>
      <c r="AY101" s="517"/>
      <c r="AZ101" s="517"/>
      <c r="BA101" s="517"/>
      <c r="BB101" s="517"/>
      <c r="BC101" s="517"/>
      <c r="BD101" s="517"/>
      <c r="BG101" s="517"/>
      <c r="BH101" s="517"/>
      <c r="BI101" s="517"/>
      <c r="BJ101" s="517"/>
      <c r="BK101" s="517"/>
      <c r="BL101" s="517"/>
      <c r="BM101" s="517"/>
      <c r="BN101" s="517"/>
    </row>
    <row r="102" spans="1:66">
      <c r="A102" s="507" t="s">
        <v>829</v>
      </c>
      <c r="B102" s="529">
        <v>2434</v>
      </c>
      <c r="C102" s="529">
        <v>2559.1063198358847</v>
      </c>
      <c r="D102" s="529">
        <v>2600.2417811855612</v>
      </c>
      <c r="E102" s="529">
        <v>2667.4071516641434</v>
      </c>
      <c r="F102" s="529">
        <v>2779.6032191064546</v>
      </c>
      <c r="G102" s="529">
        <v>2935.830792099634</v>
      </c>
      <c r="H102" s="529">
        <v>3163.0907005297745</v>
      </c>
      <c r="I102" s="529">
        <v>3549.3837961429545</v>
      </c>
      <c r="J102" s="529">
        <v>3987.7109531210526</v>
      </c>
      <c r="K102" s="529">
        <v>4445.0730686727265</v>
      </c>
      <c r="L102" s="529">
        <v>4992.4710636399623</v>
      </c>
      <c r="M102" s="529">
        <v>5358.9058831205966</v>
      </c>
      <c r="N102" s="529">
        <v>5729.3784971072382</v>
      </c>
      <c r="O102" s="529">
        <v>5929.8899011430231</v>
      </c>
      <c r="P102" s="529">
        <v>6002.4411169946379</v>
      </c>
      <c r="Q102" s="529">
        <v>5970.0331933430707</v>
      </c>
      <c r="R102" s="529">
        <v>6204.6672064925642</v>
      </c>
      <c r="S102" s="529"/>
      <c r="T102" s="529"/>
      <c r="U102" s="529"/>
      <c r="V102" s="529"/>
      <c r="W102" s="529"/>
      <c r="X102" s="529"/>
      <c r="Y102" s="529"/>
      <c r="Z102" s="529"/>
      <c r="AA102" s="529"/>
      <c r="AB102" s="529"/>
      <c r="AC102" s="529"/>
      <c r="AD102" s="529"/>
      <c r="AE102" s="529"/>
      <c r="AF102" s="529"/>
      <c r="AH102" s="517"/>
      <c r="AI102" s="517"/>
      <c r="AJ102" s="517"/>
      <c r="AK102" s="517"/>
      <c r="AL102" s="517"/>
      <c r="AM102" s="517"/>
      <c r="AN102" s="517"/>
      <c r="AO102" s="517"/>
      <c r="AP102" s="517"/>
      <c r="AQ102" s="517"/>
      <c r="AR102" s="517"/>
      <c r="AS102" s="517"/>
      <c r="AT102" s="517"/>
      <c r="AU102" s="517"/>
      <c r="AV102" s="517"/>
      <c r="AX102" s="517"/>
      <c r="AY102" s="517"/>
      <c r="AZ102" s="517"/>
      <c r="BA102" s="517"/>
      <c r="BB102" s="517"/>
      <c r="BC102" s="517"/>
      <c r="BD102" s="517"/>
      <c r="BG102" s="517"/>
      <c r="BH102" s="517"/>
      <c r="BI102" s="517"/>
      <c r="BJ102" s="517"/>
      <c r="BK102" s="517"/>
      <c r="BL102" s="517"/>
      <c r="BM102" s="517"/>
      <c r="BN102" s="517"/>
    </row>
    <row r="103" spans="1:66">
      <c r="A103" s="507" t="s">
        <v>831</v>
      </c>
      <c r="B103" s="529">
        <v>2467</v>
      </c>
      <c r="C103" s="529">
        <v>2353.3687732786284</v>
      </c>
      <c r="D103" s="529">
        <v>2207.7472603951869</v>
      </c>
      <c r="E103" s="529">
        <v>2103.1357172213811</v>
      </c>
      <c r="F103" s="529">
        <v>2064.5344063688181</v>
      </c>
      <c r="G103" s="529">
        <v>2029.9435973665447</v>
      </c>
      <c r="H103" s="529">
        <v>2142.363566843258</v>
      </c>
      <c r="I103" s="529">
        <v>2179.794598714318</v>
      </c>
      <c r="J103" s="529">
        <v>2241.2369843736842</v>
      </c>
      <c r="K103" s="529">
        <v>2345.6910228909087</v>
      </c>
      <c r="L103" s="529">
        <v>2484.1570212133206</v>
      </c>
      <c r="M103" s="529">
        <v>2689.6352943735319</v>
      </c>
      <c r="N103" s="529">
        <v>3036.1261657024129</v>
      </c>
      <c r="O103" s="529">
        <v>3427.6299670476747</v>
      </c>
      <c r="P103" s="529">
        <v>3835.1470389982128</v>
      </c>
      <c r="Q103" s="529">
        <v>4321.6777311143569</v>
      </c>
      <c r="R103" s="529">
        <v>4648.2224021641878</v>
      </c>
      <c r="S103" s="529"/>
      <c r="T103" s="529"/>
      <c r="U103" s="529"/>
      <c r="V103" s="529"/>
      <c r="W103" s="529"/>
      <c r="X103" s="529"/>
      <c r="Y103" s="529"/>
      <c r="Z103" s="529"/>
      <c r="AA103" s="529"/>
      <c r="AB103" s="529"/>
      <c r="AC103" s="529"/>
      <c r="AD103" s="529"/>
      <c r="AE103" s="529"/>
      <c r="AF103" s="529"/>
      <c r="AH103" s="517"/>
      <c r="AI103" s="517"/>
      <c r="AJ103" s="517"/>
      <c r="AK103" s="517"/>
      <c r="AL103" s="517"/>
      <c r="AM103" s="517"/>
      <c r="AN103" s="517"/>
      <c r="AO103" s="517"/>
      <c r="AP103" s="517"/>
      <c r="AQ103" s="517"/>
      <c r="AR103" s="517"/>
      <c r="AS103" s="517"/>
      <c r="AT103" s="517"/>
      <c r="AU103" s="517"/>
      <c r="AV103" s="517"/>
      <c r="AX103" s="517"/>
      <c r="AY103" s="517"/>
      <c r="AZ103" s="517"/>
      <c r="BA103" s="517"/>
      <c r="BB103" s="517"/>
      <c r="BC103" s="517"/>
      <c r="BD103" s="517"/>
      <c r="BG103" s="517"/>
      <c r="BH103" s="517"/>
      <c r="BI103" s="517"/>
      <c r="BJ103" s="517"/>
      <c r="BK103" s="517"/>
      <c r="BL103" s="517"/>
      <c r="BM103" s="517"/>
      <c r="BN103" s="517"/>
    </row>
    <row r="104" spans="1:66">
      <c r="A104" s="507" t="s">
        <v>833</v>
      </c>
      <c r="B104" s="529">
        <v>1968</v>
      </c>
      <c r="C104" s="529">
        <v>1946.1053637938937</v>
      </c>
      <c r="D104" s="529">
        <v>1993.2135029700535</v>
      </c>
      <c r="E104" s="529">
        <v>2019.3244906346804</v>
      </c>
      <c r="F104" s="529">
        <v>1936.4384018196624</v>
      </c>
      <c r="G104" s="529">
        <v>1880.5553135332984</v>
      </c>
      <c r="H104" s="529">
        <v>1805.6753048123594</v>
      </c>
      <c r="I104" s="529">
        <v>1694.7984567755195</v>
      </c>
      <c r="J104" s="529">
        <v>1619.9248526781955</v>
      </c>
      <c r="K104" s="529">
        <v>1591.0545779688312</v>
      </c>
      <c r="L104" s="529">
        <v>1569.1877203466631</v>
      </c>
      <c r="M104" s="529">
        <v>1667.3243698210092</v>
      </c>
      <c r="N104" s="529">
        <v>1703.464618772118</v>
      </c>
      <c r="O104" s="529">
        <v>1753.6085620136212</v>
      </c>
      <c r="P104" s="529">
        <v>1844.7562968566322</v>
      </c>
      <c r="Q104" s="529">
        <v>1964.9079231755306</v>
      </c>
      <c r="R104" s="529">
        <v>2144.0635434754822</v>
      </c>
      <c r="S104" s="529"/>
      <c r="T104" s="529"/>
      <c r="U104" s="529"/>
      <c r="V104" s="529"/>
      <c r="W104" s="529"/>
      <c r="X104" s="529"/>
      <c r="Y104" s="529"/>
      <c r="Z104" s="529"/>
      <c r="AA104" s="529"/>
      <c r="AB104" s="529"/>
      <c r="AC104" s="529"/>
      <c r="AD104" s="529"/>
      <c r="AE104" s="529"/>
      <c r="AF104" s="529"/>
      <c r="AH104" s="517"/>
      <c r="AI104" s="517"/>
      <c r="AJ104" s="517"/>
      <c r="AK104" s="517"/>
      <c r="AL104" s="517"/>
      <c r="AM104" s="517"/>
      <c r="AN104" s="517"/>
      <c r="AO104" s="517"/>
      <c r="AP104" s="517"/>
      <c r="AQ104" s="517"/>
      <c r="AR104" s="517"/>
      <c r="AS104" s="517"/>
      <c r="AT104" s="517"/>
      <c r="AU104" s="517"/>
      <c r="AV104" s="517"/>
      <c r="AX104" s="517"/>
      <c r="AY104" s="517"/>
      <c r="AZ104" s="517"/>
      <c r="BA104" s="517"/>
      <c r="BB104" s="517"/>
      <c r="BC104" s="517"/>
      <c r="BD104" s="517"/>
      <c r="BG104" s="517"/>
      <c r="BH104" s="517"/>
      <c r="BI104" s="517"/>
      <c r="BJ104" s="517"/>
      <c r="BK104" s="517"/>
      <c r="BL104" s="517"/>
      <c r="BM104" s="517"/>
      <c r="BN104" s="517"/>
    </row>
    <row r="105" spans="1:66">
      <c r="A105" s="521" t="s">
        <v>835</v>
      </c>
      <c r="B105" s="530">
        <v>1783</v>
      </c>
      <c r="C105" s="530">
        <v>1880.0263409484735</v>
      </c>
      <c r="D105" s="530">
        <v>1953.0533757425133</v>
      </c>
      <c r="E105" s="530">
        <v>2001.08112265867</v>
      </c>
      <c r="F105" s="530">
        <v>2085.1096004549154</v>
      </c>
      <c r="G105" s="530">
        <v>2167.1388283833248</v>
      </c>
      <c r="H105" s="530">
        <v>2211.1688262030898</v>
      </c>
      <c r="I105" s="530">
        <v>2287.1996141938798</v>
      </c>
      <c r="J105" s="530">
        <v>2335.2312131695489</v>
      </c>
      <c r="K105" s="530">
        <v>2327.2636444922077</v>
      </c>
      <c r="L105" s="530">
        <v>2347.2969300866657</v>
      </c>
      <c r="M105" s="530">
        <v>2321.3310924552525</v>
      </c>
      <c r="N105" s="530">
        <v>2302.3661546930293</v>
      </c>
      <c r="O105" s="530">
        <v>2295.4021405034055</v>
      </c>
      <c r="P105" s="530">
        <v>2281.4390742141582</v>
      </c>
      <c r="Q105" s="530">
        <v>2295.4769807938828</v>
      </c>
      <c r="R105" s="530">
        <v>2365.5158858688706</v>
      </c>
      <c r="S105" s="529"/>
      <c r="T105" s="529"/>
      <c r="U105" s="529"/>
      <c r="V105" s="529"/>
      <c r="W105" s="529"/>
      <c r="X105" s="529"/>
      <c r="Y105" s="529"/>
      <c r="Z105" s="529"/>
      <c r="AA105" s="529"/>
      <c r="AB105" s="529"/>
      <c r="AC105" s="529"/>
      <c r="AD105" s="529"/>
      <c r="AE105" s="529"/>
      <c r="AF105" s="529"/>
      <c r="AH105" s="517"/>
      <c r="AI105" s="517"/>
      <c r="AJ105" s="517"/>
      <c r="AK105" s="517"/>
      <c r="AL105" s="517"/>
      <c r="AM105" s="517"/>
      <c r="AN105" s="517"/>
      <c r="AO105" s="517"/>
      <c r="AP105" s="517"/>
      <c r="AQ105" s="517"/>
      <c r="AR105" s="517"/>
      <c r="AS105" s="517"/>
      <c r="AT105" s="517"/>
      <c r="AU105" s="517"/>
      <c r="AV105" s="517"/>
      <c r="AX105" s="517"/>
      <c r="AY105" s="517"/>
      <c r="AZ105" s="517"/>
      <c r="BA105" s="517"/>
      <c r="BB105" s="517"/>
      <c r="BC105" s="517"/>
      <c r="BD105" s="517"/>
      <c r="BG105" s="517"/>
      <c r="BH105" s="517"/>
      <c r="BI105" s="517"/>
      <c r="BJ105" s="517"/>
      <c r="BK105" s="517"/>
      <c r="BL105" s="517"/>
      <c r="BM105" s="517"/>
      <c r="BN105" s="517"/>
    </row>
    <row r="106" spans="1:66">
      <c r="B106" s="523"/>
      <c r="C106" s="523"/>
      <c r="D106" s="523"/>
      <c r="E106" s="523"/>
      <c r="F106" s="523"/>
      <c r="G106" s="523"/>
      <c r="H106" s="523"/>
      <c r="I106" s="523"/>
      <c r="J106" s="523"/>
      <c r="K106" s="523"/>
      <c r="L106" s="523"/>
      <c r="M106" s="523"/>
      <c r="N106" s="523"/>
      <c r="O106" s="523"/>
      <c r="P106" s="523"/>
      <c r="Q106" s="523"/>
      <c r="R106" s="523"/>
      <c r="S106" s="523"/>
      <c r="T106" s="523"/>
      <c r="U106" s="523"/>
      <c r="V106" s="523"/>
      <c r="W106" s="523"/>
      <c r="X106" s="523"/>
      <c r="Y106" s="523"/>
      <c r="Z106" s="523"/>
      <c r="AA106" s="523"/>
      <c r="AB106" s="523"/>
      <c r="AC106" s="523"/>
      <c r="AD106" s="523"/>
      <c r="AE106" s="523"/>
      <c r="AF106" s="523"/>
      <c r="AH106" s="517"/>
      <c r="AI106" s="517"/>
      <c r="AJ106" s="517"/>
      <c r="AK106" s="517"/>
      <c r="AL106" s="517"/>
      <c r="AM106" s="517"/>
      <c r="AN106" s="517"/>
      <c r="AO106" s="517"/>
      <c r="AP106" s="517"/>
      <c r="AQ106" s="517"/>
      <c r="AR106" s="517"/>
      <c r="AS106" s="517"/>
      <c r="AT106" s="517"/>
      <c r="AU106" s="517"/>
      <c r="AV106" s="517"/>
      <c r="AX106" s="517"/>
      <c r="AY106" s="517"/>
      <c r="AZ106" s="517"/>
      <c r="BA106" s="517"/>
      <c r="BB106" s="517"/>
      <c r="BC106" s="517"/>
      <c r="BD106" s="517"/>
      <c r="BG106" s="517"/>
      <c r="BH106" s="517"/>
      <c r="BI106" s="517"/>
      <c r="BJ106" s="517"/>
      <c r="BK106" s="517"/>
      <c r="BL106" s="517"/>
      <c r="BM106" s="517"/>
      <c r="BN106" s="517"/>
    </row>
    <row r="107" spans="1:66">
      <c r="A107" s="506"/>
      <c r="B107" s="523"/>
      <c r="C107" s="523"/>
      <c r="D107" s="523"/>
      <c r="E107" s="523"/>
      <c r="F107" s="523"/>
      <c r="G107" s="523"/>
      <c r="H107" s="523"/>
      <c r="I107" s="523"/>
      <c r="J107" s="523"/>
      <c r="K107" s="523"/>
      <c r="L107" s="523"/>
      <c r="M107" s="523"/>
      <c r="N107" s="523"/>
      <c r="O107" s="523"/>
      <c r="P107" s="523"/>
      <c r="Q107" s="523"/>
      <c r="R107" s="523"/>
      <c r="S107" s="523"/>
      <c r="T107" s="523"/>
      <c r="U107" s="523"/>
      <c r="V107" s="523"/>
      <c r="W107" s="523"/>
      <c r="X107" s="523"/>
      <c r="Y107" s="523"/>
      <c r="Z107" s="523"/>
      <c r="AA107" s="523"/>
      <c r="AB107" s="523"/>
      <c r="AC107" s="523"/>
      <c r="AD107" s="523"/>
      <c r="AE107" s="523"/>
      <c r="AF107" s="523"/>
      <c r="AH107" s="517"/>
      <c r="AI107" s="517"/>
      <c r="AJ107" s="517"/>
      <c r="AK107" s="517"/>
      <c r="AL107" s="517"/>
      <c r="AM107" s="517"/>
      <c r="AN107" s="517"/>
      <c r="AO107" s="517"/>
      <c r="AP107" s="517"/>
      <c r="AQ107" s="517"/>
      <c r="AR107" s="517"/>
      <c r="AS107" s="517"/>
      <c r="AT107" s="517"/>
      <c r="AU107" s="517"/>
      <c r="AV107" s="517"/>
      <c r="AX107" s="517"/>
      <c r="AY107" s="517"/>
      <c r="AZ107" s="517"/>
      <c r="BA107" s="517"/>
      <c r="BB107" s="517"/>
      <c r="BC107" s="517"/>
      <c r="BD107" s="517"/>
      <c r="BG107" s="517"/>
      <c r="BH107" s="517"/>
      <c r="BI107" s="517"/>
      <c r="BJ107" s="517"/>
      <c r="BK107" s="517"/>
      <c r="BL107" s="517"/>
      <c r="BM107" s="517"/>
      <c r="BN107" s="517"/>
    </row>
    <row r="108" spans="1:66">
      <c r="A108" s="524" t="s">
        <v>23</v>
      </c>
      <c r="B108" s="528">
        <f>SUM(B109:B125)</f>
        <v>167075</v>
      </c>
      <c r="C108" s="528">
        <f t="shared" ref="C108:R108" si="5">SUM(C109:C125)</f>
        <v>170155.40467464703</v>
      </c>
      <c r="D108" s="528">
        <f t="shared" si="5"/>
        <v>173235.08341829278</v>
      </c>
      <c r="E108" s="528">
        <f t="shared" si="5"/>
        <v>176298.04345017474</v>
      </c>
      <c r="F108" s="528">
        <f t="shared" si="5"/>
        <v>179319.29217969166</v>
      </c>
      <c r="G108" s="528">
        <f t="shared" si="5"/>
        <v>182345.83721141322</v>
      </c>
      <c r="H108" s="528">
        <f t="shared" si="5"/>
        <v>185330.68635022052</v>
      </c>
      <c r="I108" s="528">
        <f t="shared" si="5"/>
        <v>188261.84760658257</v>
      </c>
      <c r="J108" s="528">
        <f t="shared" si="5"/>
        <v>191147.32920197179</v>
      </c>
      <c r="K108" s="528">
        <f t="shared" si="5"/>
        <v>193974.13957442204</v>
      </c>
      <c r="L108" s="528">
        <f t="shared" si="5"/>
        <v>196734.28738423291</v>
      </c>
      <c r="M108" s="528">
        <f t="shared" si="5"/>
        <v>199417.78151982464</v>
      </c>
      <c r="N108" s="528">
        <f t="shared" si="5"/>
        <v>202000.63110374665</v>
      </c>
      <c r="O108" s="528">
        <f t="shared" si="5"/>
        <v>204551.84549884513</v>
      </c>
      <c r="P108" s="528">
        <f t="shared" si="5"/>
        <v>207047.43431459245</v>
      </c>
      <c r="Q108" s="528">
        <f t="shared" si="5"/>
        <v>209494.4074135836</v>
      </c>
      <c r="R108" s="528">
        <f t="shared" si="5"/>
        <v>211904.77491820382</v>
      </c>
      <c r="S108" s="534"/>
      <c r="T108" s="534"/>
      <c r="U108" s="534"/>
      <c r="V108" s="534"/>
      <c r="W108" s="534"/>
      <c r="X108" s="534"/>
      <c r="Y108" s="534"/>
      <c r="Z108" s="534"/>
      <c r="AA108" s="534"/>
      <c r="AB108" s="534"/>
      <c r="AC108" s="534"/>
      <c r="AD108" s="534"/>
      <c r="AE108" s="534"/>
      <c r="AF108" s="534"/>
      <c r="AH108" s="517"/>
      <c r="AI108" s="517"/>
      <c r="AJ108" s="517"/>
      <c r="AK108" s="517"/>
      <c r="AL108" s="517"/>
      <c r="AM108" s="517"/>
      <c r="AN108" s="517"/>
      <c r="AO108" s="517"/>
      <c r="AP108" s="517"/>
      <c r="AQ108" s="517"/>
      <c r="AR108" s="517"/>
      <c r="AS108" s="517"/>
      <c r="AT108" s="517"/>
      <c r="AU108" s="517"/>
      <c r="AV108" s="517"/>
      <c r="AX108" s="517"/>
      <c r="AY108" s="517"/>
      <c r="AZ108" s="517"/>
      <c r="BA108" s="517"/>
      <c r="BB108" s="517"/>
      <c r="BC108" s="517"/>
      <c r="BD108" s="517"/>
      <c r="BG108" s="517"/>
      <c r="BH108" s="517"/>
      <c r="BI108" s="517"/>
      <c r="BJ108" s="517"/>
      <c r="BK108" s="517"/>
      <c r="BL108" s="517"/>
      <c r="BM108" s="517"/>
      <c r="BN108" s="517"/>
    </row>
    <row r="109" spans="1:66">
      <c r="A109" s="520" t="s">
        <v>803</v>
      </c>
      <c r="B109" s="529">
        <v>17090</v>
      </c>
      <c r="C109" s="529">
        <v>17136.079022845421</v>
      </c>
      <c r="D109" s="529">
        <v>17348.16012722754</v>
      </c>
      <c r="E109" s="529">
        <v>17493.243367976011</v>
      </c>
      <c r="F109" s="529">
        <v>17834.328801364747</v>
      </c>
      <c r="G109" s="529">
        <v>18162.416485149974</v>
      </c>
      <c r="H109" s="529">
        <v>18159.50647860927</v>
      </c>
      <c r="I109" s="529">
        <v>18119.598842581639</v>
      </c>
      <c r="J109" s="529">
        <v>18043.693639508645</v>
      </c>
      <c r="K109" s="529">
        <v>17916.790933476623</v>
      </c>
      <c r="L109" s="529">
        <v>17740.890790259997</v>
      </c>
      <c r="M109" s="529">
        <v>17516.993277365757</v>
      </c>
      <c r="N109" s="529">
        <v>17265.098464079088</v>
      </c>
      <c r="O109" s="529">
        <v>16999.206421510215</v>
      </c>
      <c r="P109" s="529">
        <v>16748.317222642476</v>
      </c>
      <c r="Q109" s="529">
        <v>16530.430942381648</v>
      </c>
      <c r="R109" s="529">
        <v>16348.547657606612</v>
      </c>
      <c r="S109" s="529"/>
      <c r="T109" s="529"/>
      <c r="U109" s="529"/>
      <c r="V109" s="529"/>
      <c r="W109" s="529"/>
      <c r="X109" s="529"/>
      <c r="Y109" s="529"/>
      <c r="Z109" s="529"/>
      <c r="AA109" s="529"/>
      <c r="AB109" s="529"/>
      <c r="AC109" s="529"/>
      <c r="AD109" s="529"/>
      <c r="AE109" s="529"/>
      <c r="AF109" s="529"/>
      <c r="AH109" s="517"/>
      <c r="AI109" s="517"/>
      <c r="AJ109" s="517"/>
      <c r="AK109" s="517"/>
      <c r="AL109" s="517"/>
      <c r="AM109" s="517"/>
      <c r="AN109" s="517"/>
      <c r="AO109" s="517"/>
      <c r="AP109" s="517"/>
      <c r="AQ109" s="517"/>
      <c r="AR109" s="517"/>
      <c r="AS109" s="517"/>
      <c r="AT109" s="517"/>
      <c r="AU109" s="517"/>
      <c r="AV109" s="517"/>
      <c r="AX109" s="517"/>
      <c r="AY109" s="517"/>
      <c r="AZ109" s="517"/>
      <c r="BA109" s="517"/>
      <c r="BB109" s="517"/>
      <c r="BC109" s="517"/>
      <c r="BD109" s="517"/>
      <c r="BG109" s="517"/>
      <c r="BH109" s="517"/>
      <c r="BI109" s="517"/>
      <c r="BJ109" s="517"/>
      <c r="BK109" s="517"/>
      <c r="BL109" s="517"/>
      <c r="BM109" s="517"/>
      <c r="BN109" s="517"/>
    </row>
    <row r="110" spans="1:66">
      <c r="A110" s="518" t="s">
        <v>805</v>
      </c>
      <c r="B110" s="529">
        <v>15512</v>
      </c>
      <c r="C110" s="529">
        <v>16432.026340948472</v>
      </c>
      <c r="D110" s="529">
        <v>16928.053375742515</v>
      </c>
      <c r="E110" s="529">
        <v>17284.08112265867</v>
      </c>
      <c r="F110" s="529">
        <v>17220.109600454914</v>
      </c>
      <c r="G110" s="529">
        <v>16897.138828383326</v>
      </c>
      <c r="H110" s="529">
        <v>16940.168826203091</v>
      </c>
      <c r="I110" s="529">
        <v>17149.19961419388</v>
      </c>
      <c r="J110" s="529">
        <v>17296.231213169547</v>
      </c>
      <c r="K110" s="529">
        <v>17637.263644492206</v>
      </c>
      <c r="L110" s="529">
        <v>17966.296930086664</v>
      </c>
      <c r="M110" s="529">
        <v>17964.331092455253</v>
      </c>
      <c r="N110" s="529">
        <v>17925.366154693031</v>
      </c>
      <c r="O110" s="529">
        <v>17852.402140503404</v>
      </c>
      <c r="P110" s="529">
        <v>17727.439074214159</v>
      </c>
      <c r="Q110" s="529">
        <v>17551.476980793883</v>
      </c>
      <c r="R110" s="529">
        <v>17330.51588586887</v>
      </c>
      <c r="S110" s="529"/>
      <c r="T110" s="529"/>
      <c r="U110" s="529"/>
      <c r="V110" s="529"/>
      <c r="W110" s="529"/>
      <c r="X110" s="529"/>
      <c r="Y110" s="529"/>
      <c r="Z110" s="529"/>
      <c r="AA110" s="529"/>
      <c r="AB110" s="529"/>
      <c r="AC110" s="529"/>
      <c r="AD110" s="529"/>
      <c r="AE110" s="529"/>
      <c r="AF110" s="529"/>
      <c r="AH110" s="517"/>
      <c r="AI110" s="517"/>
      <c r="AJ110" s="517"/>
      <c r="AK110" s="517"/>
      <c r="AL110" s="517"/>
      <c r="AM110" s="517"/>
      <c r="AN110" s="517"/>
      <c r="AO110" s="517"/>
      <c r="AP110" s="517"/>
      <c r="AQ110" s="517"/>
      <c r="AR110" s="517"/>
      <c r="AS110" s="517"/>
      <c r="AT110" s="517"/>
      <c r="AU110" s="517"/>
      <c r="AV110" s="517"/>
      <c r="AX110" s="517"/>
      <c r="AY110" s="517"/>
      <c r="AZ110" s="517"/>
      <c r="BA110" s="517"/>
      <c r="BB110" s="517"/>
      <c r="BC110" s="517"/>
      <c r="BD110" s="517"/>
      <c r="BG110" s="517"/>
      <c r="BH110" s="517"/>
      <c r="BI110" s="517"/>
      <c r="BJ110" s="517"/>
      <c r="BK110" s="517"/>
      <c r="BL110" s="517"/>
      <c r="BM110" s="517"/>
      <c r="BN110" s="517"/>
    </row>
    <row r="111" spans="1:66">
      <c r="A111" s="518" t="s">
        <v>807</v>
      </c>
      <c r="B111" s="529">
        <v>12700</v>
      </c>
      <c r="C111" s="529">
        <v>12630.105363793893</v>
      </c>
      <c r="D111" s="529">
        <v>12856.213502970053</v>
      </c>
      <c r="E111" s="529">
        <v>13477.324490634681</v>
      </c>
      <c r="F111" s="529">
        <v>14419.438401819662</v>
      </c>
      <c r="G111" s="529">
        <v>15422.555313533299</v>
      </c>
      <c r="H111" s="529">
        <v>16342.675304812359</v>
      </c>
      <c r="I111" s="529">
        <v>16835.798456775519</v>
      </c>
      <c r="J111" s="529">
        <v>17190.924852678196</v>
      </c>
      <c r="K111" s="529">
        <v>17124.054577968833</v>
      </c>
      <c r="L111" s="529">
        <v>16802.187720346665</v>
      </c>
      <c r="M111" s="529">
        <v>16847.32436982101</v>
      </c>
      <c r="N111" s="529">
        <v>17051.464618772119</v>
      </c>
      <c r="O111" s="529">
        <v>17195.608562013622</v>
      </c>
      <c r="P111" s="529">
        <v>17533.756296856631</v>
      </c>
      <c r="Q111" s="529">
        <v>17862.907923175531</v>
      </c>
      <c r="R111" s="529">
        <v>17864.063543475484</v>
      </c>
      <c r="S111" s="529"/>
      <c r="T111" s="529"/>
      <c r="U111" s="529"/>
      <c r="V111" s="529"/>
      <c r="W111" s="529"/>
      <c r="X111" s="529"/>
      <c r="Y111" s="529"/>
      <c r="Z111" s="529"/>
      <c r="AA111" s="529"/>
      <c r="AB111" s="529"/>
      <c r="AC111" s="529"/>
      <c r="AD111" s="529"/>
      <c r="AE111" s="529"/>
      <c r="AF111" s="529"/>
      <c r="AH111" s="517"/>
      <c r="AI111" s="517"/>
      <c r="AJ111" s="517"/>
      <c r="AK111" s="517"/>
      <c r="AL111" s="517"/>
      <c r="AM111" s="517"/>
      <c r="AN111" s="517"/>
      <c r="AO111" s="517"/>
      <c r="AP111" s="517"/>
      <c r="AQ111" s="517"/>
      <c r="AR111" s="517"/>
      <c r="AS111" s="517"/>
      <c r="AT111" s="517"/>
      <c r="AU111" s="517"/>
      <c r="AV111" s="517"/>
      <c r="AX111" s="517"/>
      <c r="AY111" s="517"/>
      <c r="AZ111" s="517"/>
      <c r="BA111" s="517"/>
      <c r="BB111" s="517"/>
      <c r="BC111" s="517"/>
      <c r="BD111" s="517"/>
      <c r="BG111" s="517"/>
      <c r="BH111" s="517"/>
      <c r="BI111" s="517"/>
      <c r="BJ111" s="517"/>
      <c r="BK111" s="517"/>
      <c r="BL111" s="517"/>
      <c r="BM111" s="517"/>
      <c r="BN111" s="517"/>
    </row>
    <row r="112" spans="1:66">
      <c r="A112" s="518" t="s">
        <v>809</v>
      </c>
      <c r="B112" s="529">
        <v>15222</v>
      </c>
      <c r="C112" s="529">
        <v>14702.000956041991</v>
      </c>
      <c r="D112" s="529">
        <v>14134.028278215508</v>
      </c>
      <c r="E112" s="529">
        <v>13456.082661029463</v>
      </c>
      <c r="F112" s="529">
        <v>13006.164817286792</v>
      </c>
      <c r="G112" s="529">
        <v>12838.275478566336</v>
      </c>
      <c r="H112" s="529">
        <v>12770.415395717415</v>
      </c>
      <c r="I112" s="529">
        <v>13002.585339367435</v>
      </c>
      <c r="J112" s="529">
        <v>13627.786100442858</v>
      </c>
      <c r="K112" s="529">
        <v>14566.018490703895</v>
      </c>
      <c r="L112" s="529">
        <v>15577.283343293298</v>
      </c>
      <c r="M112" s="529">
        <v>16495.581513299589</v>
      </c>
      <c r="N112" s="529">
        <v>16995.913878335119</v>
      </c>
      <c r="O112" s="529">
        <v>17352.281339129404</v>
      </c>
      <c r="P112" s="529">
        <v>17289.684820138005</v>
      </c>
      <c r="Q112" s="529">
        <v>16970.12527016754</v>
      </c>
      <c r="R112" s="529">
        <v>17018.603663017082</v>
      </c>
      <c r="S112" s="529"/>
      <c r="T112" s="529"/>
      <c r="U112" s="529"/>
      <c r="V112" s="529"/>
      <c r="W112" s="529"/>
      <c r="X112" s="529"/>
      <c r="Y112" s="529"/>
      <c r="Z112" s="529"/>
      <c r="AA112" s="529"/>
      <c r="AB112" s="529"/>
      <c r="AC112" s="529"/>
      <c r="AD112" s="529"/>
      <c r="AE112" s="529"/>
      <c r="AF112" s="529"/>
      <c r="AH112" s="517"/>
      <c r="AI112" s="517"/>
      <c r="AJ112" s="517"/>
      <c r="AK112" s="517"/>
      <c r="AL112" s="517"/>
      <c r="AM112" s="517"/>
      <c r="AN112" s="517"/>
      <c r="AO112" s="517"/>
      <c r="AP112" s="517"/>
      <c r="AQ112" s="517"/>
      <c r="AR112" s="517"/>
      <c r="AS112" s="517"/>
      <c r="AT112" s="517"/>
      <c r="AU112" s="517"/>
      <c r="AV112" s="517"/>
      <c r="AX112" s="517"/>
      <c r="AY112" s="517"/>
      <c r="AZ112" s="517"/>
      <c r="BA112" s="517"/>
      <c r="BB112" s="517"/>
      <c r="BC112" s="517"/>
      <c r="BD112" s="517"/>
      <c r="BG112" s="517"/>
      <c r="BH112" s="517"/>
      <c r="BI112" s="517"/>
      <c r="BJ112" s="517"/>
      <c r="BK112" s="517"/>
      <c r="BL112" s="517"/>
      <c r="BM112" s="517"/>
      <c r="BN112" s="517"/>
    </row>
    <row r="113" spans="1:66">
      <c r="A113" s="518" t="s">
        <v>811</v>
      </c>
      <c r="B113" s="529">
        <v>17876</v>
      </c>
      <c r="C113" s="529">
        <v>17297.214551755751</v>
      </c>
      <c r="D113" s="529">
        <v>16886.540118802139</v>
      </c>
      <c r="E113" s="529">
        <v>16593.979625387212</v>
      </c>
      <c r="F113" s="529">
        <v>16080.536072786494</v>
      </c>
      <c r="G113" s="529">
        <v>15548.212541331939</v>
      </c>
      <c r="H113" s="529">
        <v>15038.01219249438</v>
      </c>
      <c r="I113" s="529">
        <v>14472.938271020779</v>
      </c>
      <c r="J113" s="529">
        <v>13805.994107127819</v>
      </c>
      <c r="K113" s="529">
        <v>13366.183118753244</v>
      </c>
      <c r="L113" s="529">
        <v>13205.508813866523</v>
      </c>
      <c r="M113" s="529">
        <v>13144.974792840367</v>
      </c>
      <c r="N113" s="529">
        <v>13380.584750884716</v>
      </c>
      <c r="O113" s="529">
        <v>14015.34248054485</v>
      </c>
      <c r="P113" s="529">
        <v>14963.251874265286</v>
      </c>
      <c r="Q113" s="529">
        <v>15980.316927021222</v>
      </c>
      <c r="R113" s="529">
        <v>16906.541739019292</v>
      </c>
      <c r="S113" s="529"/>
      <c r="T113" s="529"/>
      <c r="U113" s="529"/>
      <c r="V113" s="529"/>
      <c r="W113" s="529"/>
      <c r="X113" s="529"/>
      <c r="Y113" s="529"/>
      <c r="Z113" s="529"/>
      <c r="AA113" s="529"/>
      <c r="AB113" s="529"/>
      <c r="AC113" s="529"/>
      <c r="AD113" s="529"/>
      <c r="AE113" s="529"/>
      <c r="AF113" s="529"/>
      <c r="AH113" s="517"/>
      <c r="AI113" s="517"/>
      <c r="AJ113" s="517"/>
      <c r="AK113" s="517"/>
      <c r="AL113" s="517"/>
      <c r="AM113" s="517"/>
      <c r="AN113" s="517"/>
      <c r="AO113" s="517"/>
      <c r="AP113" s="517"/>
      <c r="AQ113" s="517"/>
      <c r="AR113" s="517"/>
      <c r="AS113" s="517"/>
      <c r="AT113" s="517"/>
      <c r="AU113" s="517"/>
      <c r="AV113" s="517"/>
      <c r="AX113" s="517"/>
      <c r="AY113" s="517"/>
      <c r="AZ113" s="517"/>
      <c r="BA113" s="517"/>
      <c r="BB113" s="517"/>
      <c r="BC113" s="517"/>
      <c r="BD113" s="517"/>
      <c r="BG113" s="517"/>
      <c r="BH113" s="517"/>
      <c r="BI113" s="517"/>
      <c r="BJ113" s="517"/>
      <c r="BK113" s="517"/>
      <c r="BL113" s="517"/>
      <c r="BM113" s="517"/>
      <c r="BN113" s="517"/>
    </row>
    <row r="114" spans="1:66">
      <c r="A114" s="518" t="s">
        <v>813</v>
      </c>
      <c r="B114" s="529">
        <v>19408</v>
      </c>
      <c r="C114" s="529">
        <v>19203.37068536261</v>
      </c>
      <c r="D114" s="529">
        <v>18902.803816826203</v>
      </c>
      <c r="E114" s="529">
        <v>18564.301039280308</v>
      </c>
      <c r="F114" s="529">
        <v>18270.864040942401</v>
      </c>
      <c r="G114" s="529">
        <v>17735.494554499215</v>
      </c>
      <c r="H114" s="529">
        <v>17154.194358278088</v>
      </c>
      <c r="I114" s="529">
        <v>16741.965277449188</v>
      </c>
      <c r="J114" s="529">
        <v>16444.809185259397</v>
      </c>
      <c r="K114" s="529">
        <v>15933.7280042987</v>
      </c>
      <c r="L114" s="529">
        <v>15395.72370779992</v>
      </c>
      <c r="M114" s="529">
        <v>14882.798320972706</v>
      </c>
      <c r="N114" s="529">
        <v>14317.953922372653</v>
      </c>
      <c r="O114" s="529">
        <v>13646.192645306479</v>
      </c>
      <c r="P114" s="529">
        <v>13202.516679274224</v>
      </c>
      <c r="Q114" s="529">
        <v>13039.928271449438</v>
      </c>
      <c r="R114" s="529">
        <v>12976.429728198351</v>
      </c>
      <c r="S114" s="529"/>
      <c r="T114" s="529"/>
      <c r="U114" s="529"/>
      <c r="V114" s="529"/>
      <c r="W114" s="529"/>
      <c r="X114" s="529"/>
      <c r="Y114" s="529"/>
      <c r="Z114" s="529"/>
      <c r="AA114" s="529"/>
      <c r="AB114" s="529"/>
      <c r="AC114" s="529"/>
      <c r="AD114" s="529"/>
      <c r="AE114" s="529"/>
      <c r="AF114" s="529"/>
      <c r="AH114" s="517"/>
      <c r="AI114" s="517"/>
      <c r="AJ114" s="517"/>
      <c r="AK114" s="517"/>
      <c r="AL114" s="517"/>
      <c r="AM114" s="517"/>
      <c r="AN114" s="517"/>
      <c r="AO114" s="517"/>
      <c r="AP114" s="517"/>
      <c r="AQ114" s="517"/>
      <c r="AR114" s="517"/>
      <c r="AS114" s="517"/>
      <c r="AT114" s="517"/>
      <c r="AU114" s="517"/>
      <c r="AV114" s="517"/>
      <c r="AX114" s="517"/>
      <c r="AY114" s="517"/>
      <c r="AZ114" s="517"/>
      <c r="BA114" s="517"/>
      <c r="BB114" s="517"/>
      <c r="BC114" s="517"/>
      <c r="BD114" s="517"/>
      <c r="BG114" s="517"/>
      <c r="BH114" s="517"/>
      <c r="BI114" s="517"/>
      <c r="BJ114" s="517"/>
      <c r="BK114" s="517"/>
      <c r="BL114" s="517"/>
      <c r="BM114" s="517"/>
      <c r="BN114" s="517"/>
    </row>
    <row r="115" spans="1:66">
      <c r="A115" s="518" t="s">
        <v>815</v>
      </c>
      <c r="B115" s="529">
        <v>15630</v>
      </c>
      <c r="C115" s="529">
        <v>16822.159001732831</v>
      </c>
      <c r="D115" s="529">
        <v>17850.348532670589</v>
      </c>
      <c r="E115" s="529">
        <v>18213.569396981482</v>
      </c>
      <c r="F115" s="529">
        <v>18771.822420016284</v>
      </c>
      <c r="G115" s="529">
        <v>19192.108448866282</v>
      </c>
      <c r="H115" s="529">
        <v>18980.428352935953</v>
      </c>
      <c r="I115" s="529">
        <v>18679.783024530716</v>
      </c>
      <c r="J115" s="529">
        <v>18337.17337946015</v>
      </c>
      <c r="K115" s="529">
        <v>18041.600357657142</v>
      </c>
      <c r="L115" s="529">
        <v>17503.064923813294</v>
      </c>
      <c r="M115" s="529">
        <v>16918.568068031102</v>
      </c>
      <c r="N115" s="529">
        <v>16501.110806493296</v>
      </c>
      <c r="O115" s="529">
        <v>16201.694182149835</v>
      </c>
      <c r="P115" s="529">
        <v>15689.319265422953</v>
      </c>
      <c r="Q115" s="529">
        <v>15149.987154930835</v>
      </c>
      <c r="R115" s="529">
        <v>14632.698978230304</v>
      </c>
      <c r="S115" s="529"/>
      <c r="T115" s="529"/>
      <c r="U115" s="529"/>
      <c r="V115" s="529"/>
      <c r="W115" s="529"/>
      <c r="X115" s="529"/>
      <c r="Y115" s="529"/>
      <c r="Z115" s="529"/>
      <c r="AA115" s="529"/>
      <c r="AB115" s="529"/>
      <c r="AC115" s="529"/>
      <c r="AD115" s="529"/>
      <c r="AE115" s="529"/>
      <c r="AF115" s="529"/>
      <c r="AH115" s="517"/>
      <c r="AI115" s="517"/>
      <c r="AJ115" s="517"/>
      <c r="AK115" s="517"/>
      <c r="AL115" s="517"/>
      <c r="AM115" s="517"/>
      <c r="AN115" s="517"/>
      <c r="AO115" s="517"/>
      <c r="AP115" s="517"/>
      <c r="AQ115" s="517"/>
      <c r="AR115" s="517"/>
      <c r="AS115" s="517"/>
      <c r="AT115" s="517"/>
      <c r="AU115" s="517"/>
      <c r="AV115" s="517"/>
      <c r="AX115" s="517"/>
      <c r="AY115" s="517"/>
      <c r="AZ115" s="517"/>
      <c r="BA115" s="517"/>
      <c r="BB115" s="517"/>
      <c r="BC115" s="517"/>
      <c r="BD115" s="517"/>
      <c r="BG115" s="517"/>
      <c r="BH115" s="517"/>
      <c r="BI115" s="517"/>
      <c r="BJ115" s="517"/>
      <c r="BK115" s="517"/>
      <c r="BL115" s="517"/>
      <c r="BM115" s="517"/>
      <c r="BN115" s="517"/>
    </row>
    <row r="116" spans="1:66">
      <c r="A116" s="507" t="s">
        <v>817</v>
      </c>
      <c r="B116" s="529">
        <v>11382</v>
      </c>
      <c r="C116" s="529">
        <v>12081.500478020995</v>
      </c>
      <c r="D116" s="529">
        <v>12635.014139107754</v>
      </c>
      <c r="E116" s="529">
        <v>13723.541330514732</v>
      </c>
      <c r="F116" s="529">
        <v>14642.082408643397</v>
      </c>
      <c r="G116" s="529">
        <v>15573.637739283167</v>
      </c>
      <c r="H116" s="529">
        <v>16760.207697858707</v>
      </c>
      <c r="I116" s="529">
        <v>17785.792669683717</v>
      </c>
      <c r="J116" s="529">
        <v>18143.393050221428</v>
      </c>
      <c r="K116" s="529">
        <v>18703.009245351946</v>
      </c>
      <c r="L116" s="529">
        <v>19119.641671646648</v>
      </c>
      <c r="M116" s="529">
        <v>18910.290756649792</v>
      </c>
      <c r="N116" s="529">
        <v>18608.956939167561</v>
      </c>
      <c r="O116" s="529">
        <v>18271.640669564702</v>
      </c>
      <c r="P116" s="529">
        <v>17973.342410069003</v>
      </c>
      <c r="Q116" s="529">
        <v>17435.06263508377</v>
      </c>
      <c r="R116" s="529">
        <v>16851.801831508539</v>
      </c>
      <c r="S116" s="529"/>
      <c r="T116" s="529"/>
      <c r="U116" s="529"/>
      <c r="V116" s="529"/>
      <c r="W116" s="529"/>
      <c r="X116" s="529"/>
      <c r="Y116" s="529"/>
      <c r="Z116" s="529"/>
      <c r="AA116" s="529"/>
      <c r="AB116" s="529"/>
      <c r="AC116" s="529"/>
      <c r="AD116" s="529"/>
      <c r="AE116" s="529"/>
      <c r="AF116" s="529"/>
      <c r="AH116" s="517"/>
      <c r="AI116" s="517"/>
      <c r="AJ116" s="517"/>
      <c r="AK116" s="517"/>
      <c r="AL116" s="517"/>
      <c r="AM116" s="517"/>
      <c r="AN116" s="517"/>
      <c r="AO116" s="517"/>
      <c r="AP116" s="517"/>
      <c r="AQ116" s="517"/>
      <c r="AR116" s="517"/>
      <c r="AS116" s="517"/>
      <c r="AT116" s="517"/>
      <c r="AU116" s="517"/>
      <c r="AV116" s="517"/>
      <c r="AX116" s="517"/>
      <c r="AY116" s="517"/>
      <c r="AZ116" s="517"/>
      <c r="BA116" s="517"/>
      <c r="BB116" s="517"/>
      <c r="BC116" s="517"/>
      <c r="BD116" s="517"/>
      <c r="BG116" s="517"/>
      <c r="BH116" s="517"/>
      <c r="BI116" s="517"/>
      <c r="BJ116" s="517"/>
      <c r="BK116" s="517"/>
      <c r="BL116" s="517"/>
      <c r="BM116" s="517"/>
      <c r="BN116" s="517"/>
    </row>
    <row r="117" spans="1:66">
      <c r="A117" s="507" t="s">
        <v>819</v>
      </c>
      <c r="B117" s="529">
        <v>9957</v>
      </c>
      <c r="C117" s="529">
        <v>10156.368773278627</v>
      </c>
      <c r="D117" s="529">
        <v>10493.747260395186</v>
      </c>
      <c r="E117" s="529">
        <v>10645.135717221381</v>
      </c>
      <c r="F117" s="529">
        <v>10938.534406368819</v>
      </c>
      <c r="G117" s="529">
        <v>11390.943597366544</v>
      </c>
      <c r="H117" s="529">
        <v>12087.363566843258</v>
      </c>
      <c r="I117" s="529">
        <v>12639.794598714318</v>
      </c>
      <c r="J117" s="529">
        <v>13724.236984373683</v>
      </c>
      <c r="K117" s="529">
        <v>14646.691022890909</v>
      </c>
      <c r="L117" s="529">
        <v>15572.157021213321</v>
      </c>
      <c r="M117" s="529">
        <v>16755.635294373533</v>
      </c>
      <c r="N117" s="529">
        <v>17778.126165702412</v>
      </c>
      <c r="O117" s="529">
        <v>18138.629967047673</v>
      </c>
      <c r="P117" s="529">
        <v>18694.147038998213</v>
      </c>
      <c r="Q117" s="529">
        <v>19113.677731114356</v>
      </c>
      <c r="R117" s="529">
        <v>18907.222402164189</v>
      </c>
      <c r="S117" s="529"/>
      <c r="T117" s="529"/>
      <c r="U117" s="529"/>
      <c r="V117" s="529"/>
      <c r="W117" s="529"/>
      <c r="X117" s="529"/>
      <c r="Y117" s="529"/>
      <c r="Z117" s="529"/>
      <c r="AA117" s="529"/>
      <c r="AB117" s="529"/>
      <c r="AC117" s="529"/>
      <c r="AD117" s="529"/>
      <c r="AE117" s="529"/>
      <c r="AF117" s="529"/>
      <c r="AH117" s="517"/>
      <c r="AI117" s="517"/>
      <c r="AJ117" s="517"/>
      <c r="AK117" s="517"/>
      <c r="AL117" s="517"/>
      <c r="AM117" s="517"/>
      <c r="AN117" s="517"/>
      <c r="AO117" s="517"/>
      <c r="AP117" s="517"/>
      <c r="AQ117" s="517"/>
      <c r="AR117" s="517"/>
      <c r="AS117" s="517"/>
      <c r="AT117" s="517"/>
      <c r="AU117" s="517"/>
      <c r="AV117" s="517"/>
      <c r="AX117" s="517"/>
      <c r="AY117" s="517"/>
      <c r="AZ117" s="517"/>
      <c r="BA117" s="517"/>
      <c r="BB117" s="517"/>
      <c r="BC117" s="517"/>
      <c r="BD117" s="517"/>
      <c r="BG117" s="517"/>
      <c r="BH117" s="517"/>
      <c r="BI117" s="517"/>
      <c r="BJ117" s="517"/>
      <c r="BK117" s="517"/>
      <c r="BL117" s="517"/>
      <c r="BM117" s="517"/>
      <c r="BN117" s="517"/>
    </row>
    <row r="118" spans="1:66">
      <c r="A118" s="507" t="s">
        <v>821</v>
      </c>
      <c r="B118" s="529">
        <v>8685</v>
      </c>
      <c r="C118" s="529">
        <v>8828.105363793893</v>
      </c>
      <c r="D118" s="529">
        <v>9177.213502970053</v>
      </c>
      <c r="E118" s="529">
        <v>9673.3244906346808</v>
      </c>
      <c r="F118" s="529">
        <v>9780.4384018196615</v>
      </c>
      <c r="G118" s="529">
        <v>9914.5553135332993</v>
      </c>
      <c r="H118" s="529">
        <v>10112.675304812359</v>
      </c>
      <c r="I118" s="529">
        <v>10450.798456775519</v>
      </c>
      <c r="J118" s="529">
        <v>10599.924852678196</v>
      </c>
      <c r="K118" s="529">
        <v>10895.054577968831</v>
      </c>
      <c r="L118" s="529">
        <v>11345.187720346663</v>
      </c>
      <c r="M118" s="529">
        <v>12042.32436982101</v>
      </c>
      <c r="N118" s="529">
        <v>12590.464618772117</v>
      </c>
      <c r="O118" s="529">
        <v>13669.608562013622</v>
      </c>
      <c r="P118" s="529">
        <v>14587.756296856633</v>
      </c>
      <c r="Q118" s="529">
        <v>15508.907923175531</v>
      </c>
      <c r="R118" s="529">
        <v>16686.063543475484</v>
      </c>
      <c r="S118" s="529"/>
      <c r="T118" s="529"/>
      <c r="U118" s="529"/>
      <c r="V118" s="529"/>
      <c r="W118" s="529"/>
      <c r="X118" s="529"/>
      <c r="Y118" s="529"/>
      <c r="Z118" s="529"/>
      <c r="AA118" s="529"/>
      <c r="AB118" s="529"/>
      <c r="AC118" s="529"/>
      <c r="AD118" s="529"/>
      <c r="AE118" s="529"/>
      <c r="AF118" s="529"/>
      <c r="AH118" s="517"/>
      <c r="AI118" s="517"/>
      <c r="AJ118" s="517"/>
      <c r="AK118" s="517"/>
      <c r="AL118" s="517"/>
      <c r="AM118" s="517"/>
      <c r="AN118" s="517"/>
      <c r="AO118" s="517"/>
      <c r="AP118" s="517"/>
      <c r="AQ118" s="517"/>
      <c r="AR118" s="517"/>
      <c r="AS118" s="517"/>
      <c r="AT118" s="517"/>
      <c r="AU118" s="517"/>
      <c r="AV118" s="517"/>
      <c r="AX118" s="517"/>
      <c r="AY118" s="517"/>
      <c r="AZ118" s="517"/>
      <c r="BA118" s="517"/>
      <c r="BB118" s="517"/>
      <c r="BC118" s="517"/>
      <c r="BD118" s="517"/>
      <c r="BG118" s="517"/>
      <c r="BH118" s="517"/>
      <c r="BI118" s="517"/>
      <c r="BJ118" s="517"/>
      <c r="BK118" s="517"/>
      <c r="BL118" s="517"/>
      <c r="BM118" s="517"/>
      <c r="BN118" s="517"/>
    </row>
    <row r="119" spans="1:66">
      <c r="A119" s="507" t="s">
        <v>823</v>
      </c>
      <c r="B119" s="529">
        <v>7342</v>
      </c>
      <c r="C119" s="529">
        <v>7692.2634094847344</v>
      </c>
      <c r="D119" s="529">
        <v>7836.5337574251334</v>
      </c>
      <c r="E119" s="529">
        <v>7891.8112265867012</v>
      </c>
      <c r="F119" s="529">
        <v>8189.0960045491556</v>
      </c>
      <c r="G119" s="529">
        <v>8588.3882838332465</v>
      </c>
      <c r="H119" s="529">
        <v>8734.6882620308988</v>
      </c>
      <c r="I119" s="529">
        <v>9081.9961419387982</v>
      </c>
      <c r="J119" s="529">
        <v>9576.3121316954894</v>
      </c>
      <c r="K119" s="529">
        <v>9681.6364449220782</v>
      </c>
      <c r="L119" s="529">
        <v>9816.9693008666582</v>
      </c>
      <c r="M119" s="529">
        <v>10016.310924552523</v>
      </c>
      <c r="N119" s="529">
        <v>10351.661546930294</v>
      </c>
      <c r="O119" s="529">
        <v>10503.021405034053</v>
      </c>
      <c r="P119" s="529">
        <v>10796.390742141581</v>
      </c>
      <c r="Q119" s="529">
        <v>11244.769807938826</v>
      </c>
      <c r="R119" s="529">
        <v>11935.158858688706</v>
      </c>
      <c r="S119" s="529"/>
      <c r="T119" s="529"/>
      <c r="U119" s="529"/>
      <c r="V119" s="529"/>
      <c r="W119" s="529"/>
      <c r="X119" s="529"/>
      <c r="Y119" s="529"/>
      <c r="Z119" s="529"/>
      <c r="AA119" s="529"/>
      <c r="AB119" s="529"/>
      <c r="AC119" s="529"/>
      <c r="AD119" s="529"/>
      <c r="AE119" s="529"/>
      <c r="AF119" s="529"/>
      <c r="AH119" s="517"/>
      <c r="AI119" s="517"/>
      <c r="AJ119" s="517"/>
      <c r="AK119" s="517"/>
      <c r="AL119" s="517"/>
      <c r="AM119" s="517"/>
      <c r="AN119" s="517"/>
      <c r="AO119" s="517"/>
      <c r="AP119" s="517"/>
      <c r="AQ119" s="517"/>
      <c r="AR119" s="517"/>
      <c r="AS119" s="517"/>
      <c r="AT119" s="517"/>
      <c r="AU119" s="517"/>
      <c r="AV119" s="517"/>
      <c r="AX119" s="517"/>
      <c r="AY119" s="517"/>
      <c r="AZ119" s="517"/>
      <c r="BA119" s="517"/>
      <c r="BB119" s="517"/>
      <c r="BC119" s="517"/>
      <c r="BD119" s="517"/>
      <c r="BG119" s="517"/>
      <c r="BH119" s="517"/>
      <c r="BI119" s="517"/>
      <c r="BJ119" s="517"/>
      <c r="BK119" s="517"/>
      <c r="BL119" s="517"/>
      <c r="BM119" s="517"/>
      <c r="BN119" s="517"/>
    </row>
    <row r="120" spans="1:66">
      <c r="A120" s="507" t="s">
        <v>825</v>
      </c>
      <c r="B120" s="529">
        <v>5640</v>
      </c>
      <c r="C120" s="529">
        <v>6149.0790228454207</v>
      </c>
      <c r="D120" s="529">
        <v>6542.1601272275402</v>
      </c>
      <c r="E120" s="529">
        <v>6936.2433679760106</v>
      </c>
      <c r="F120" s="529">
        <v>7134.3288013647471</v>
      </c>
      <c r="G120" s="529">
        <v>7154.4164851499736</v>
      </c>
      <c r="H120" s="529">
        <v>7498.5064786092698</v>
      </c>
      <c r="I120" s="529">
        <v>7641.5988425816395</v>
      </c>
      <c r="J120" s="529">
        <v>7695.6936395086468</v>
      </c>
      <c r="K120" s="529">
        <v>7989.7909334766236</v>
      </c>
      <c r="L120" s="529">
        <v>8385.8907902599967</v>
      </c>
      <c r="M120" s="529">
        <v>8532.9932773657565</v>
      </c>
      <c r="N120" s="529">
        <v>8873.0984640790884</v>
      </c>
      <c r="O120" s="529">
        <v>9360.2064215102164</v>
      </c>
      <c r="P120" s="529">
        <v>9464.317222642474</v>
      </c>
      <c r="Q120" s="529">
        <v>9598.4309423816485</v>
      </c>
      <c r="R120" s="529">
        <v>9795.5476576066121</v>
      </c>
      <c r="S120" s="529"/>
      <c r="T120" s="529"/>
      <c r="U120" s="529"/>
      <c r="V120" s="529"/>
      <c r="W120" s="529"/>
      <c r="X120" s="529"/>
      <c r="Y120" s="529"/>
      <c r="Z120" s="529"/>
      <c r="AA120" s="529"/>
      <c r="AB120" s="529"/>
      <c r="AC120" s="529"/>
      <c r="AD120" s="529"/>
      <c r="AE120" s="529"/>
      <c r="AF120" s="529"/>
      <c r="AH120" s="517"/>
      <c r="AI120" s="517"/>
      <c r="AJ120" s="517"/>
      <c r="AK120" s="517"/>
      <c r="AL120" s="517"/>
      <c r="AM120" s="517"/>
      <c r="AN120" s="517"/>
      <c r="AO120" s="517"/>
      <c r="AP120" s="517"/>
      <c r="AQ120" s="517"/>
      <c r="AR120" s="517"/>
      <c r="AS120" s="517"/>
      <c r="AT120" s="517"/>
      <c r="AU120" s="517"/>
      <c r="AV120" s="517"/>
      <c r="AX120" s="517"/>
      <c r="AY120" s="517"/>
      <c r="AZ120" s="517"/>
      <c r="BA120" s="517"/>
      <c r="BB120" s="517"/>
      <c r="BC120" s="517"/>
      <c r="BD120" s="517"/>
      <c r="BG120" s="517"/>
      <c r="BH120" s="517"/>
      <c r="BI120" s="517"/>
      <c r="BJ120" s="517"/>
      <c r="BK120" s="517"/>
      <c r="BL120" s="517"/>
      <c r="BM120" s="517"/>
      <c r="BN120" s="517"/>
    </row>
    <row r="121" spans="1:66">
      <c r="A121" s="507" t="s">
        <v>827</v>
      </c>
      <c r="B121" s="529">
        <v>2906</v>
      </c>
      <c r="C121" s="529">
        <v>3135.0790228454202</v>
      </c>
      <c r="D121" s="529">
        <v>3607.1601272275402</v>
      </c>
      <c r="E121" s="529">
        <v>4127.2433679760106</v>
      </c>
      <c r="F121" s="529">
        <v>4702.3288013647471</v>
      </c>
      <c r="G121" s="529">
        <v>5403.4164851499736</v>
      </c>
      <c r="H121" s="529">
        <v>5896.5064786092698</v>
      </c>
      <c r="I121" s="529">
        <v>6273.5988425816395</v>
      </c>
      <c r="J121" s="529">
        <v>6659.6936395086468</v>
      </c>
      <c r="K121" s="529">
        <v>6853.7909334766236</v>
      </c>
      <c r="L121" s="529">
        <v>6872.8907902599976</v>
      </c>
      <c r="M121" s="529">
        <v>7210.9932773657565</v>
      </c>
      <c r="N121" s="529">
        <v>7353.0984640790884</v>
      </c>
      <c r="O121" s="529">
        <v>7413.2064215102164</v>
      </c>
      <c r="P121" s="529">
        <v>7699.317222642474</v>
      </c>
      <c r="Q121" s="529">
        <v>8089.4309423816476</v>
      </c>
      <c r="R121" s="529">
        <v>8232.5476576066121</v>
      </c>
      <c r="S121" s="529"/>
      <c r="T121" s="529"/>
      <c r="U121" s="529"/>
      <c r="V121" s="529"/>
      <c r="W121" s="529"/>
      <c r="X121" s="529"/>
      <c r="Y121" s="529"/>
      <c r="Z121" s="529"/>
      <c r="AA121" s="529"/>
      <c r="AB121" s="529"/>
      <c r="AC121" s="529"/>
      <c r="AD121" s="529"/>
      <c r="AE121" s="529"/>
      <c r="AF121" s="529"/>
      <c r="AH121" s="517"/>
      <c r="AI121" s="517"/>
      <c r="AJ121" s="517"/>
      <c r="AK121" s="517"/>
      <c r="AL121" s="517"/>
      <c r="AM121" s="517"/>
      <c r="AN121" s="517"/>
      <c r="AO121" s="517"/>
      <c r="AP121" s="517"/>
      <c r="AQ121" s="517"/>
      <c r="AR121" s="517"/>
      <c r="AS121" s="517"/>
      <c r="AT121" s="517"/>
      <c r="AU121" s="517"/>
      <c r="AV121" s="517"/>
      <c r="AX121" s="517"/>
      <c r="AY121" s="517"/>
      <c r="AZ121" s="517"/>
      <c r="BA121" s="517"/>
      <c r="BB121" s="517"/>
      <c r="BC121" s="517"/>
      <c r="BD121" s="517"/>
      <c r="BG121" s="517"/>
      <c r="BH121" s="517"/>
      <c r="BI121" s="517"/>
      <c r="BJ121" s="517"/>
      <c r="BK121" s="517"/>
      <c r="BL121" s="517"/>
      <c r="BM121" s="517"/>
      <c r="BN121" s="517"/>
    </row>
    <row r="122" spans="1:66">
      <c r="A122" s="507" t="s">
        <v>829</v>
      </c>
      <c r="B122" s="529">
        <v>2417</v>
      </c>
      <c r="C122" s="529">
        <v>2481</v>
      </c>
      <c r="D122" s="529">
        <v>2517</v>
      </c>
      <c r="E122" s="529">
        <v>2595</v>
      </c>
      <c r="F122" s="529">
        <v>2613</v>
      </c>
      <c r="G122" s="529">
        <v>2695</v>
      </c>
      <c r="H122" s="529">
        <v>2917</v>
      </c>
      <c r="I122" s="529">
        <v>3357</v>
      </c>
      <c r="J122" s="529">
        <v>3851</v>
      </c>
      <c r="K122" s="529">
        <v>4391</v>
      </c>
      <c r="L122" s="529">
        <v>5056</v>
      </c>
      <c r="M122" s="529">
        <v>5519</v>
      </c>
      <c r="N122" s="529">
        <v>5879</v>
      </c>
      <c r="O122" s="529">
        <v>6250</v>
      </c>
      <c r="P122" s="529">
        <v>6436</v>
      </c>
      <c r="Q122" s="529">
        <v>6456</v>
      </c>
      <c r="R122" s="529">
        <v>6786</v>
      </c>
      <c r="S122" s="529"/>
      <c r="T122" s="529"/>
      <c r="U122" s="529"/>
      <c r="V122" s="529"/>
      <c r="W122" s="529"/>
      <c r="X122" s="529"/>
      <c r="Y122" s="529"/>
      <c r="Z122" s="529"/>
      <c r="AA122" s="529"/>
      <c r="AB122" s="529"/>
      <c r="AC122" s="529"/>
      <c r="AD122" s="529"/>
      <c r="AE122" s="529"/>
      <c r="AF122" s="529"/>
      <c r="AH122" s="517"/>
      <c r="AI122" s="517"/>
      <c r="AJ122" s="517"/>
      <c r="AK122" s="517"/>
      <c r="AL122" s="517"/>
      <c r="AM122" s="517"/>
      <c r="AN122" s="517"/>
      <c r="AO122" s="517"/>
      <c r="AP122" s="517"/>
      <c r="AQ122" s="517"/>
      <c r="AR122" s="517"/>
      <c r="AS122" s="517"/>
      <c r="AT122" s="517"/>
      <c r="AU122" s="517"/>
      <c r="AV122" s="517"/>
      <c r="AX122" s="517"/>
      <c r="AY122" s="517"/>
      <c r="AZ122" s="517"/>
      <c r="BA122" s="517"/>
      <c r="BB122" s="517"/>
      <c r="BC122" s="517"/>
      <c r="BD122" s="517"/>
      <c r="BG122" s="517"/>
      <c r="BH122" s="517"/>
      <c r="BI122" s="517"/>
      <c r="BJ122" s="517"/>
      <c r="BK122" s="517"/>
      <c r="BL122" s="517"/>
      <c r="BM122" s="517"/>
      <c r="BN122" s="517"/>
    </row>
    <row r="123" spans="1:66">
      <c r="A123" s="507" t="s">
        <v>831</v>
      </c>
      <c r="B123" s="529">
        <v>2362</v>
      </c>
      <c r="C123" s="529">
        <v>2280.0263409484733</v>
      </c>
      <c r="D123" s="529">
        <v>2256.0533757425133</v>
      </c>
      <c r="E123" s="529">
        <v>2189.0811226586702</v>
      </c>
      <c r="F123" s="529">
        <v>2134.1096004549154</v>
      </c>
      <c r="G123" s="529">
        <v>2125.1388283833248</v>
      </c>
      <c r="H123" s="529">
        <v>2188.1688262030898</v>
      </c>
      <c r="I123" s="529">
        <v>2222.1996141938798</v>
      </c>
      <c r="J123" s="529">
        <v>2293.2312131695489</v>
      </c>
      <c r="K123" s="529">
        <v>2316.2636444922077</v>
      </c>
      <c r="L123" s="529">
        <v>2389.2969300866657</v>
      </c>
      <c r="M123" s="529">
        <v>2595.3310924552525</v>
      </c>
      <c r="N123" s="529">
        <v>3002.3661546930293</v>
      </c>
      <c r="O123" s="529">
        <v>3458.4021405034055</v>
      </c>
      <c r="P123" s="529">
        <v>3950.4390742141582</v>
      </c>
      <c r="Q123" s="529">
        <v>4549.4769807938828</v>
      </c>
      <c r="R123" s="529">
        <v>4972.515885868871</v>
      </c>
      <c r="S123" s="529"/>
      <c r="T123" s="529"/>
      <c r="U123" s="529"/>
      <c r="V123" s="529"/>
      <c r="W123" s="529"/>
      <c r="X123" s="529"/>
      <c r="Y123" s="529"/>
      <c r="Z123" s="529"/>
      <c r="AA123" s="529"/>
      <c r="AB123" s="529"/>
      <c r="AC123" s="529"/>
      <c r="AD123" s="529"/>
      <c r="AE123" s="529"/>
      <c r="AF123" s="529"/>
      <c r="AH123" s="517"/>
      <c r="AI123" s="517"/>
      <c r="AJ123" s="517"/>
      <c r="AK123" s="517"/>
      <c r="AL123" s="517"/>
      <c r="AM123" s="517"/>
      <c r="AN123" s="517"/>
      <c r="AO123" s="517"/>
      <c r="AP123" s="517"/>
      <c r="AQ123" s="517"/>
      <c r="AR123" s="517"/>
      <c r="AS123" s="517"/>
      <c r="AT123" s="517"/>
      <c r="AU123" s="517"/>
      <c r="AV123" s="517"/>
      <c r="AX123" s="517"/>
      <c r="AY123" s="517"/>
      <c r="AZ123" s="517"/>
      <c r="BA123" s="517"/>
      <c r="BB123" s="517"/>
      <c r="BC123" s="517"/>
      <c r="BD123" s="517"/>
      <c r="BG123" s="517"/>
      <c r="BH123" s="517"/>
      <c r="BI123" s="517"/>
      <c r="BJ123" s="517"/>
      <c r="BK123" s="517"/>
      <c r="BL123" s="517"/>
      <c r="BM123" s="517"/>
      <c r="BN123" s="517"/>
    </row>
    <row r="124" spans="1:66">
      <c r="A124" s="507" t="s">
        <v>833</v>
      </c>
      <c r="B124" s="529">
        <v>1751</v>
      </c>
      <c r="C124" s="529">
        <v>1838.0263409484735</v>
      </c>
      <c r="D124" s="529">
        <v>1845.0533757425133</v>
      </c>
      <c r="E124" s="529">
        <v>1880.08112265867</v>
      </c>
      <c r="F124" s="529">
        <v>1907.1096004549156</v>
      </c>
      <c r="G124" s="529">
        <v>1916.1388283833246</v>
      </c>
      <c r="H124" s="529">
        <v>1848.1688262030898</v>
      </c>
      <c r="I124" s="529">
        <v>1829.1996141938798</v>
      </c>
      <c r="J124" s="529">
        <v>1780.2312131695489</v>
      </c>
      <c r="K124" s="529">
        <v>1739.2636444922077</v>
      </c>
      <c r="L124" s="529">
        <v>1740.2969300866657</v>
      </c>
      <c r="M124" s="529">
        <v>1799.3310924552522</v>
      </c>
      <c r="N124" s="529">
        <v>1829.3661546930296</v>
      </c>
      <c r="O124" s="529">
        <v>1892.4021405034052</v>
      </c>
      <c r="P124" s="529">
        <v>1918.4390742141582</v>
      </c>
      <c r="Q124" s="529">
        <v>1985.4769807938826</v>
      </c>
      <c r="R124" s="529">
        <v>2167.5158858688706</v>
      </c>
      <c r="S124" s="529"/>
      <c r="T124" s="529"/>
      <c r="U124" s="529"/>
      <c r="V124" s="529"/>
      <c r="W124" s="529"/>
      <c r="X124" s="529"/>
      <c r="Y124" s="529"/>
      <c r="Z124" s="529"/>
      <c r="AA124" s="529"/>
      <c r="AB124" s="529"/>
      <c r="AC124" s="529"/>
      <c r="AD124" s="529"/>
      <c r="AE124" s="529"/>
      <c r="AF124" s="529"/>
      <c r="AH124" s="517"/>
      <c r="AI124" s="517"/>
      <c r="AJ124" s="517"/>
      <c r="AK124" s="517"/>
      <c r="AL124" s="517"/>
      <c r="AM124" s="517"/>
      <c r="AN124" s="517"/>
      <c r="AO124" s="517"/>
      <c r="AP124" s="517"/>
      <c r="AQ124" s="517"/>
      <c r="AR124" s="517"/>
      <c r="AS124" s="517"/>
      <c r="AT124" s="517"/>
      <c r="AU124" s="517"/>
      <c r="AV124" s="517"/>
      <c r="AX124" s="517"/>
      <c r="AY124" s="517"/>
      <c r="AZ124" s="517"/>
      <c r="BA124" s="517"/>
      <c r="BB124" s="517"/>
      <c r="BC124" s="517"/>
      <c r="BD124" s="517"/>
      <c r="BG124" s="517"/>
      <c r="BH124" s="517"/>
      <c r="BI124" s="517"/>
      <c r="BJ124" s="517"/>
      <c r="BK124" s="517"/>
      <c r="BL124" s="517"/>
      <c r="BM124" s="517"/>
      <c r="BN124" s="517"/>
    </row>
    <row r="125" spans="1:66">
      <c r="A125" s="521" t="s">
        <v>835</v>
      </c>
      <c r="B125" s="530">
        <v>1195</v>
      </c>
      <c r="C125" s="530">
        <v>1291</v>
      </c>
      <c r="D125" s="530">
        <v>1419</v>
      </c>
      <c r="E125" s="530">
        <v>1554</v>
      </c>
      <c r="F125" s="530">
        <v>1675</v>
      </c>
      <c r="G125" s="530">
        <v>1788</v>
      </c>
      <c r="H125" s="530">
        <v>1902</v>
      </c>
      <c r="I125" s="530">
        <v>1978</v>
      </c>
      <c r="J125" s="530">
        <v>2077</v>
      </c>
      <c r="K125" s="530">
        <v>2172</v>
      </c>
      <c r="L125" s="530">
        <v>2245</v>
      </c>
      <c r="M125" s="530">
        <v>2265</v>
      </c>
      <c r="N125" s="530">
        <v>2297</v>
      </c>
      <c r="O125" s="530">
        <v>2332</v>
      </c>
      <c r="P125" s="530">
        <v>2373</v>
      </c>
      <c r="Q125" s="530">
        <v>2428</v>
      </c>
      <c r="R125" s="530">
        <v>2493</v>
      </c>
      <c r="S125" s="529"/>
      <c r="T125" s="529"/>
      <c r="U125" s="529"/>
      <c r="V125" s="529"/>
      <c r="W125" s="529"/>
      <c r="X125" s="529"/>
      <c r="Y125" s="529"/>
      <c r="Z125" s="529"/>
      <c r="AA125" s="529"/>
      <c r="AB125" s="529"/>
      <c r="AC125" s="529"/>
      <c r="AD125" s="529"/>
      <c r="AE125" s="529"/>
      <c r="AF125" s="529"/>
      <c r="AH125" s="517"/>
      <c r="AI125" s="517"/>
      <c r="AJ125" s="517"/>
      <c r="AK125" s="517"/>
      <c r="AL125" s="517"/>
      <c r="AM125" s="517"/>
      <c r="AN125" s="517"/>
      <c r="AO125" s="517"/>
      <c r="AP125" s="517"/>
      <c r="AQ125" s="517"/>
      <c r="AR125" s="517"/>
      <c r="AS125" s="517"/>
      <c r="AT125" s="517"/>
      <c r="AU125" s="517"/>
      <c r="AV125" s="517"/>
      <c r="AX125" s="517"/>
      <c r="AY125" s="517"/>
      <c r="AZ125" s="517"/>
      <c r="BA125" s="517"/>
      <c r="BB125" s="517"/>
      <c r="BC125" s="517"/>
      <c r="BD125" s="517"/>
      <c r="BF125" s="517"/>
      <c r="BG125" s="517"/>
      <c r="BH125" s="517"/>
      <c r="BI125" s="517"/>
      <c r="BJ125" s="517"/>
      <c r="BK125" s="517"/>
      <c r="BL125" s="517"/>
      <c r="BM125" s="517"/>
      <c r="BN125" s="517"/>
    </row>
    <row r="126" spans="1:66">
      <c r="A126" s="507"/>
      <c r="B126" s="518"/>
      <c r="C126" s="518"/>
      <c r="D126" s="518"/>
      <c r="E126" s="518"/>
      <c r="F126" s="518"/>
      <c r="G126" s="518"/>
      <c r="H126" s="518"/>
      <c r="I126" s="518"/>
      <c r="J126" s="518"/>
      <c r="K126" s="518"/>
      <c r="L126" s="518"/>
      <c r="M126" s="518"/>
      <c r="N126" s="518"/>
      <c r="O126" s="518"/>
      <c r="P126" s="518"/>
      <c r="Q126" s="518"/>
      <c r="R126" s="518"/>
      <c r="S126" s="518"/>
      <c r="T126" s="518"/>
      <c r="U126" s="518"/>
      <c r="V126" s="518"/>
      <c r="W126" s="518"/>
      <c r="X126" s="518"/>
      <c r="Y126" s="518"/>
      <c r="Z126" s="518"/>
      <c r="AA126" s="518"/>
      <c r="AB126" s="518"/>
      <c r="AC126" s="518"/>
      <c r="AD126" s="518"/>
      <c r="AE126" s="518"/>
      <c r="AF126" s="518"/>
      <c r="AH126" s="517"/>
      <c r="AI126" s="517"/>
      <c r="AJ126" s="517"/>
      <c r="AK126" s="517"/>
      <c r="AL126" s="517"/>
      <c r="AM126" s="517"/>
      <c r="AN126" s="517"/>
      <c r="AO126" s="517"/>
      <c r="AP126" s="517"/>
      <c r="AQ126" s="517"/>
      <c r="AR126" s="517"/>
      <c r="AS126" s="517"/>
      <c r="AT126" s="517"/>
      <c r="AU126" s="517"/>
      <c r="AV126" s="517"/>
      <c r="AX126" s="517"/>
      <c r="AY126" s="517"/>
      <c r="AZ126" s="517"/>
      <c r="BA126" s="517"/>
      <c r="BB126" s="517"/>
      <c r="BC126" s="517"/>
      <c r="BD126" s="517"/>
      <c r="BE126" s="517"/>
      <c r="BF126" s="517"/>
      <c r="BG126" s="517"/>
      <c r="BH126" s="517"/>
      <c r="BI126" s="517"/>
      <c r="BJ126" s="517"/>
      <c r="BK126" s="517"/>
      <c r="BL126" s="517"/>
      <c r="BM126" s="517"/>
      <c r="BN126" s="517"/>
    </row>
    <row r="127" spans="1:66">
      <c r="B127" s="523"/>
      <c r="C127" s="523"/>
      <c r="D127" s="523"/>
      <c r="E127" s="523"/>
      <c r="F127" s="523"/>
      <c r="G127" s="523"/>
      <c r="H127" s="523"/>
      <c r="I127" s="523"/>
      <c r="J127" s="523"/>
      <c r="K127" s="523"/>
      <c r="L127" s="523"/>
      <c r="M127" s="523"/>
      <c r="N127" s="523"/>
      <c r="O127" s="523"/>
      <c r="P127" s="523"/>
      <c r="Q127" s="523"/>
      <c r="R127" s="523"/>
      <c r="S127" s="523"/>
      <c r="T127" s="523"/>
      <c r="U127" s="523"/>
      <c r="V127" s="523"/>
      <c r="W127" s="523"/>
      <c r="X127" s="523"/>
      <c r="Y127" s="523"/>
      <c r="Z127" s="523"/>
      <c r="AA127" s="523"/>
      <c r="AB127" s="523"/>
      <c r="AC127" s="523"/>
      <c r="AD127" s="523"/>
      <c r="AE127" s="523"/>
      <c r="AF127" s="523"/>
      <c r="AH127" s="517"/>
      <c r="AI127" s="517"/>
      <c r="AJ127" s="517"/>
      <c r="AK127" s="517"/>
      <c r="AL127" s="517"/>
      <c r="AM127" s="517"/>
      <c r="AN127" s="517"/>
      <c r="AO127" s="517"/>
      <c r="AP127" s="517"/>
      <c r="AQ127" s="517"/>
      <c r="AR127" s="517"/>
      <c r="AS127" s="517"/>
      <c r="AT127" s="517"/>
      <c r="AU127" s="517"/>
      <c r="AV127" s="517"/>
      <c r="AX127" s="517"/>
      <c r="AY127" s="517"/>
      <c r="AZ127" s="517"/>
      <c r="BA127" s="517"/>
      <c r="BB127" s="517"/>
      <c r="BC127" s="517"/>
      <c r="BD127" s="517"/>
      <c r="BE127" s="517"/>
      <c r="BF127" s="517"/>
      <c r="BG127" s="517"/>
      <c r="BH127" s="517"/>
      <c r="BI127" s="517"/>
      <c r="BJ127" s="517"/>
      <c r="BK127" s="517"/>
      <c r="BL127" s="517"/>
      <c r="BM127" s="517"/>
      <c r="BN127" s="517"/>
    </row>
    <row r="128" spans="1:66" ht="18.75">
      <c r="A128" s="1435" t="s">
        <v>841</v>
      </c>
      <c r="B128" s="1435"/>
      <c r="C128" s="1435"/>
      <c r="D128" s="523"/>
      <c r="E128" s="523"/>
      <c r="F128" s="523"/>
      <c r="G128" s="523"/>
      <c r="H128" s="523"/>
      <c r="I128" s="523"/>
      <c r="J128" s="523"/>
      <c r="K128" s="523"/>
      <c r="L128" s="523"/>
      <c r="M128" s="523"/>
      <c r="N128" s="523"/>
      <c r="O128" s="523"/>
      <c r="P128" s="523"/>
      <c r="Q128" s="523"/>
      <c r="R128" s="538" t="s">
        <v>856</v>
      </c>
      <c r="S128" s="523"/>
      <c r="T128" s="523"/>
      <c r="U128" s="523"/>
      <c r="V128" s="523"/>
      <c r="W128" s="523"/>
      <c r="X128" s="523"/>
      <c r="Y128" s="523"/>
      <c r="Z128" s="523"/>
      <c r="AA128" s="523"/>
      <c r="AB128" s="523"/>
      <c r="AC128" s="523"/>
      <c r="AD128" s="523"/>
      <c r="AE128" s="523"/>
      <c r="AF128" s="523"/>
      <c r="AH128" s="517"/>
      <c r="AI128" s="517"/>
      <c r="AJ128" s="517"/>
      <c r="AK128" s="517"/>
      <c r="AL128" s="517"/>
      <c r="AM128" s="517"/>
      <c r="AN128" s="517"/>
      <c r="AO128" s="517"/>
      <c r="AP128" s="517"/>
      <c r="AQ128" s="517"/>
      <c r="AR128" s="517"/>
      <c r="AS128" s="517"/>
      <c r="AT128" s="517"/>
      <c r="AU128" s="517"/>
      <c r="AV128" s="517"/>
      <c r="AX128" s="517"/>
      <c r="AY128" s="517"/>
      <c r="AZ128" s="517"/>
      <c r="BA128" s="517"/>
      <c r="BB128" s="517"/>
      <c r="BC128" s="517"/>
      <c r="BD128" s="517"/>
      <c r="BE128" s="517"/>
      <c r="BF128" s="517"/>
      <c r="BG128" s="517"/>
      <c r="BH128" s="517"/>
      <c r="BI128" s="517"/>
      <c r="BJ128" s="517"/>
      <c r="BK128" s="517"/>
      <c r="BL128" s="517"/>
      <c r="BM128" s="517"/>
      <c r="BN128" s="517"/>
    </row>
    <row r="129" spans="1:66">
      <c r="A129" s="526" t="s">
        <v>802</v>
      </c>
      <c r="B129" s="527">
        <v>2014</v>
      </c>
      <c r="C129" s="527">
        <v>2015</v>
      </c>
      <c r="D129" s="527">
        <v>2016</v>
      </c>
      <c r="E129" s="527">
        <v>2017</v>
      </c>
      <c r="F129" s="527">
        <v>2018</v>
      </c>
      <c r="G129" s="527">
        <v>2019</v>
      </c>
      <c r="H129" s="527">
        <v>2020</v>
      </c>
      <c r="I129" s="527">
        <v>2021</v>
      </c>
      <c r="J129" s="527">
        <v>2022</v>
      </c>
      <c r="K129" s="527">
        <v>2023</v>
      </c>
      <c r="L129" s="527">
        <v>2024</v>
      </c>
      <c r="M129" s="527">
        <v>2025</v>
      </c>
      <c r="N129" s="527">
        <v>2026</v>
      </c>
      <c r="O129" s="527">
        <v>2027</v>
      </c>
      <c r="P129" s="527">
        <v>2028</v>
      </c>
      <c r="Q129" s="527">
        <v>2029</v>
      </c>
      <c r="R129" s="527">
        <v>2030</v>
      </c>
      <c r="S129" s="506"/>
      <c r="T129" s="506"/>
      <c r="U129" s="506"/>
      <c r="V129" s="506"/>
      <c r="W129" s="506"/>
      <c r="X129" s="506"/>
      <c r="Y129" s="506"/>
      <c r="Z129" s="506"/>
      <c r="AA129" s="506"/>
      <c r="AB129" s="506"/>
      <c r="AC129" s="506"/>
      <c r="AD129" s="506"/>
      <c r="AE129" s="506"/>
      <c r="AF129" s="506"/>
      <c r="AH129" s="517"/>
      <c r="AI129" s="517"/>
      <c r="AJ129" s="517"/>
      <c r="AK129" s="517"/>
      <c r="AL129" s="517"/>
      <c r="AM129" s="517"/>
      <c r="AN129" s="517"/>
      <c r="AO129" s="517"/>
      <c r="AP129" s="517"/>
      <c r="AQ129" s="517"/>
      <c r="AR129" s="517"/>
      <c r="AS129" s="517"/>
      <c r="AT129" s="517"/>
      <c r="AU129" s="517"/>
      <c r="AV129" s="517"/>
      <c r="AX129" s="517"/>
      <c r="AY129" s="517"/>
      <c r="AZ129" s="517"/>
      <c r="BA129" s="517"/>
      <c r="BB129" s="517"/>
      <c r="BC129" s="517"/>
      <c r="BD129" s="517"/>
      <c r="BE129" s="517"/>
      <c r="BF129" s="517"/>
      <c r="BG129" s="517"/>
      <c r="BH129" s="517"/>
      <c r="BI129" s="517"/>
      <c r="BJ129" s="517"/>
      <c r="BK129" s="517"/>
      <c r="BL129" s="517"/>
      <c r="BM129" s="517"/>
      <c r="BN129" s="517"/>
    </row>
    <row r="130" spans="1:66">
      <c r="A130" s="508" t="s">
        <v>21</v>
      </c>
      <c r="B130" s="528">
        <f>SUM(B131:B147)</f>
        <v>97774</v>
      </c>
      <c r="C130" s="528">
        <f t="shared" ref="C130:R130" si="6">SUM(C131:C147)</f>
        <v>108056.98134392835</v>
      </c>
      <c r="D130" s="528">
        <f t="shared" si="6"/>
        <v>119421.4332763525</v>
      </c>
      <c r="E130" s="528">
        <f t="shared" si="6"/>
        <v>131981.09505193616</v>
      </c>
      <c r="F130" s="528">
        <f t="shared" si="6"/>
        <v>145861.66798717761</v>
      </c>
      <c r="G130" s="528">
        <f t="shared" si="6"/>
        <v>161202.07352143439</v>
      </c>
      <c r="H130" s="528">
        <f t="shared" si="6"/>
        <v>178155.84358938172</v>
      </c>
      <c r="I130" s="528">
        <f t="shared" si="6"/>
        <v>182665.88024197822</v>
      </c>
      <c r="J130" s="528">
        <f t="shared" si="6"/>
        <v>187290.08901600479</v>
      </c>
      <c r="K130" s="528">
        <f t="shared" si="6"/>
        <v>192031.36019247593</v>
      </c>
      <c r="L130" s="528">
        <f t="shared" si="6"/>
        <v>196892.65722021848</v>
      </c>
      <c r="M130" s="528">
        <f t="shared" si="6"/>
        <v>201877.0185681234</v>
      </c>
      <c r="N130" s="528">
        <f t="shared" si="6"/>
        <v>206987.55962428782</v>
      </c>
      <c r="O130" s="528">
        <f t="shared" si="6"/>
        <v>212227.47464323408</v>
      </c>
      <c r="P130" s="528">
        <f t="shared" si="6"/>
        <v>217600.03874242277</v>
      </c>
      <c r="Q130" s="528">
        <f t="shared" si="6"/>
        <v>223108.60994930752</v>
      </c>
      <c r="R130" s="528">
        <f t="shared" si="6"/>
        <v>228756.631300212</v>
      </c>
      <c r="S130" s="534"/>
      <c r="T130" s="534"/>
      <c r="U130" s="534"/>
      <c r="V130" s="534"/>
      <c r="W130" s="534"/>
      <c r="X130" s="534"/>
      <c r="Y130" s="534"/>
      <c r="Z130" s="534"/>
      <c r="AA130" s="534"/>
      <c r="AB130" s="534"/>
      <c r="AC130" s="534"/>
      <c r="AD130" s="534"/>
      <c r="AE130" s="534"/>
      <c r="AF130" s="534"/>
      <c r="AH130" s="517"/>
      <c r="AI130" s="517"/>
      <c r="AJ130" s="517"/>
      <c r="AK130" s="517"/>
      <c r="AL130" s="517"/>
      <c r="AM130" s="517"/>
      <c r="AN130" s="517"/>
      <c r="AO130" s="517"/>
      <c r="AP130" s="517"/>
      <c r="AQ130" s="517"/>
      <c r="AR130" s="517"/>
      <c r="AS130" s="517"/>
      <c r="AT130" s="517"/>
      <c r="AU130" s="517"/>
      <c r="AV130" s="517"/>
      <c r="AX130" s="517"/>
      <c r="AY130" s="517"/>
      <c r="AZ130" s="517"/>
      <c r="BA130" s="517"/>
      <c r="BB130" s="517"/>
      <c r="BC130" s="517"/>
      <c r="BD130" s="517"/>
      <c r="BE130" s="517"/>
      <c r="BF130" s="517"/>
      <c r="BG130" s="517"/>
      <c r="BH130" s="517"/>
      <c r="BI130" s="517"/>
      <c r="BJ130" s="517"/>
      <c r="BK130" s="517"/>
      <c r="BL130" s="517"/>
      <c r="BM130" s="517"/>
      <c r="BN130" s="517"/>
    </row>
    <row r="131" spans="1:66">
      <c r="A131" s="518" t="s">
        <v>803</v>
      </c>
      <c r="B131" s="529">
        <v>845.50462770551007</v>
      </c>
      <c r="C131" s="529">
        <v>934.42712563850739</v>
      </c>
      <c r="D131" s="529">
        <v>1032.701684316698</v>
      </c>
      <c r="E131" s="529">
        <v>1141.3118685545526</v>
      </c>
      <c r="F131" s="529">
        <v>1261.3446855810676</v>
      </c>
      <c r="G131" s="529">
        <v>1394.0014641734674</v>
      </c>
      <c r="H131" s="529">
        <v>1540.609877959389</v>
      </c>
      <c r="I131" s="529">
        <v>1579.610602701056</v>
      </c>
      <c r="J131" s="529">
        <v>1619.5986354900997</v>
      </c>
      <c r="K131" s="529">
        <v>1660.5989701487315</v>
      </c>
      <c r="L131" s="529">
        <v>1702.6372332207889</v>
      </c>
      <c r="M131" s="529">
        <v>1745.7396999891535</v>
      </c>
      <c r="N131" s="529">
        <v>1789.9333108986591</v>
      </c>
      <c r="O131" s="529">
        <v>1835.2456883947484</v>
      </c>
      <c r="P131" s="529">
        <v>1881.7051541884002</v>
      </c>
      <c r="Q131" s="529">
        <v>1929.3407469581182</v>
      </c>
      <c r="R131" s="529">
        <v>1978.1822405000553</v>
      </c>
      <c r="S131" s="529"/>
      <c r="T131" s="529"/>
      <c r="U131" s="529"/>
      <c r="V131" s="529"/>
      <c r="W131" s="529"/>
      <c r="X131" s="529"/>
      <c r="Y131" s="529"/>
      <c r="Z131" s="529"/>
      <c r="AA131" s="529"/>
      <c r="AB131" s="529"/>
      <c r="AC131" s="529"/>
      <c r="AD131" s="529"/>
      <c r="AE131" s="529"/>
      <c r="AF131" s="529"/>
      <c r="AH131" s="517"/>
      <c r="AI131" s="517"/>
      <c r="AJ131" s="517"/>
      <c r="AK131" s="517"/>
      <c r="AL131" s="517"/>
      <c r="AM131" s="517"/>
      <c r="AN131" s="517"/>
      <c r="AO131" s="517"/>
      <c r="AP131" s="517"/>
      <c r="AQ131" s="517"/>
      <c r="AR131" s="517"/>
      <c r="AS131" s="517"/>
      <c r="AT131" s="517"/>
      <c r="AU131" s="517"/>
      <c r="AV131" s="517"/>
      <c r="AX131" s="517"/>
      <c r="AY131" s="517"/>
      <c r="AZ131" s="517"/>
      <c r="BA131" s="517"/>
      <c r="BB131" s="517"/>
      <c r="BC131" s="517"/>
      <c r="BD131" s="517"/>
      <c r="BE131" s="517"/>
      <c r="BF131" s="517"/>
      <c r="BG131" s="517"/>
      <c r="BH131" s="517"/>
      <c r="BI131" s="517"/>
      <c r="BJ131" s="517"/>
      <c r="BK131" s="517"/>
      <c r="BL131" s="517"/>
      <c r="BM131" s="517"/>
      <c r="BN131" s="517"/>
    </row>
    <row r="132" spans="1:66">
      <c r="A132" s="518" t="s">
        <v>805</v>
      </c>
      <c r="B132" s="529">
        <v>452.70109132852735</v>
      </c>
      <c r="C132" s="529">
        <v>500.31208071739616</v>
      </c>
      <c r="D132" s="529">
        <v>552.93036157078245</v>
      </c>
      <c r="E132" s="529">
        <v>611.08255532908163</v>
      </c>
      <c r="F132" s="529">
        <v>675.35066869305354</v>
      </c>
      <c r="G132" s="529">
        <v>746.37791854250463</v>
      </c>
      <c r="H132" s="529">
        <v>824.87516946701089</v>
      </c>
      <c r="I132" s="529">
        <v>845.75698379967685</v>
      </c>
      <c r="J132" s="529">
        <v>867.1674237789432</v>
      </c>
      <c r="K132" s="529">
        <v>889.11987162676553</v>
      </c>
      <c r="L132" s="529">
        <v>911.62804833766188</v>
      </c>
      <c r="M132" s="529">
        <v>934.70602225477978</v>
      </c>
      <c r="N132" s="529">
        <v>958.36821786306905</v>
      </c>
      <c r="O132" s="529">
        <v>982.62942480505467</v>
      </c>
      <c r="P132" s="529">
        <v>1007.5048071248445</v>
      </c>
      <c r="Q132" s="529">
        <v>1033.0099127461517</v>
      </c>
      <c r="R132" s="529">
        <v>1059.16068319025</v>
      </c>
      <c r="S132" s="529"/>
      <c r="T132" s="529"/>
      <c r="U132" s="529"/>
      <c r="V132" s="529"/>
      <c r="W132" s="529"/>
      <c r="X132" s="529"/>
      <c r="Y132" s="529"/>
      <c r="Z132" s="529"/>
      <c r="AA132" s="529"/>
      <c r="AB132" s="529"/>
      <c r="AC132" s="529"/>
      <c r="AD132" s="529"/>
      <c r="AE132" s="529"/>
      <c r="AF132" s="529"/>
      <c r="AH132" s="517"/>
      <c r="AI132" s="517"/>
      <c r="AJ132" s="517"/>
      <c r="AK132" s="517"/>
      <c r="AL132" s="517"/>
      <c r="AM132" s="517"/>
      <c r="AN132" s="517"/>
      <c r="AO132" s="517"/>
      <c r="AP132" s="517"/>
      <c r="AQ132" s="517"/>
      <c r="AR132" s="517"/>
      <c r="AS132" s="517"/>
      <c r="AT132" s="517"/>
      <c r="AU132" s="517"/>
      <c r="AV132" s="517"/>
      <c r="AX132" s="517"/>
      <c r="AY132" s="517"/>
      <c r="AZ132" s="517"/>
      <c r="BA132" s="517"/>
      <c r="BB132" s="517"/>
      <c r="BC132" s="517"/>
      <c r="BD132" s="517"/>
      <c r="BE132" s="517"/>
      <c r="BF132" s="517"/>
      <c r="BG132" s="517"/>
      <c r="BH132" s="517"/>
      <c r="BI132" s="517"/>
      <c r="BJ132" s="517"/>
      <c r="BK132" s="517"/>
      <c r="BL132" s="517"/>
      <c r="BM132" s="517"/>
      <c r="BN132" s="517"/>
    </row>
    <row r="133" spans="1:66">
      <c r="A133" s="518" t="s">
        <v>807</v>
      </c>
      <c r="B133" s="529">
        <v>246.84721465968079</v>
      </c>
      <c r="C133" s="529">
        <v>272.80836284985594</v>
      </c>
      <c r="D133" s="529">
        <v>301.49986882948969</v>
      </c>
      <c r="E133" s="529">
        <v>333.20888683397453</v>
      </c>
      <c r="F133" s="529">
        <v>368.2527713732681</v>
      </c>
      <c r="G133" s="529">
        <v>406.98225342249629</v>
      </c>
      <c r="H133" s="529">
        <v>449.78495065543609</v>
      </c>
      <c r="I133" s="529">
        <v>461.17131089135279</v>
      </c>
      <c r="J133" s="529">
        <v>472.8459182089764</v>
      </c>
      <c r="K133" s="529">
        <v>484.81606961792079</v>
      </c>
      <c r="L133" s="529">
        <v>497.08924685247825</v>
      </c>
      <c r="M133" s="529">
        <v>509.67312104794661</v>
      </c>
      <c r="N133" s="529">
        <v>522.575557535337</v>
      </c>
      <c r="O133" s="529">
        <v>535.80462075746482</v>
      </c>
      <c r="P133" s="529">
        <v>549.36857930948588</v>
      </c>
      <c r="Q133" s="529">
        <v>563.27591110703986</v>
      </c>
      <c r="R133" s="529">
        <v>577.53530868522171</v>
      </c>
      <c r="S133" s="529"/>
      <c r="T133" s="529"/>
      <c r="U133" s="529"/>
      <c r="V133" s="529"/>
      <c r="W133" s="529"/>
      <c r="X133" s="529"/>
      <c r="Y133" s="529"/>
      <c r="Z133" s="529"/>
      <c r="AA133" s="529"/>
      <c r="AB133" s="529"/>
      <c r="AC133" s="529"/>
      <c r="AD133" s="529"/>
      <c r="AE133" s="529"/>
      <c r="AF133" s="529"/>
      <c r="AH133" s="517"/>
      <c r="AI133" s="517"/>
      <c r="AJ133" s="517"/>
      <c r="AK133" s="517"/>
      <c r="AL133" s="517"/>
      <c r="AM133" s="517"/>
      <c r="AN133" s="517"/>
      <c r="AO133" s="517"/>
      <c r="AP133" s="517"/>
      <c r="AQ133" s="517"/>
      <c r="AR133" s="517"/>
      <c r="AS133" s="517"/>
      <c r="AT133" s="517"/>
      <c r="AU133" s="517"/>
      <c r="AV133" s="517"/>
      <c r="AX133" s="517"/>
      <c r="AY133" s="517"/>
      <c r="AZ133" s="517"/>
      <c r="BA133" s="517"/>
      <c r="BB133" s="517"/>
      <c r="BC133" s="517"/>
      <c r="BD133" s="517"/>
      <c r="BE133" s="517"/>
      <c r="BF133" s="517"/>
      <c r="BG133" s="517"/>
      <c r="BH133" s="517"/>
      <c r="BI133" s="517"/>
      <c r="BJ133" s="517"/>
      <c r="BK133" s="517"/>
      <c r="BL133" s="517"/>
      <c r="BM133" s="517"/>
      <c r="BN133" s="517"/>
    </row>
    <row r="134" spans="1:66">
      <c r="A134" s="518" t="s">
        <v>809</v>
      </c>
      <c r="B134" s="529">
        <v>1803.0040278732868</v>
      </c>
      <c r="C134" s="529">
        <v>1992.6276167788105</v>
      </c>
      <c r="D134" s="529">
        <v>2202.1940926183283</v>
      </c>
      <c r="E134" s="529">
        <v>2433.8008671197658</v>
      </c>
      <c r="F134" s="529">
        <v>2689.7659387280587</v>
      </c>
      <c r="G134" s="529">
        <v>2972.6510919126958</v>
      </c>
      <c r="H134" s="529">
        <v>3285.2875363677313</v>
      </c>
      <c r="I134" s="529">
        <v>3368.4549863082843</v>
      </c>
      <c r="J134" s="529">
        <v>3453.7278302677914</v>
      </c>
      <c r="K134" s="529">
        <v>3541.1593665495948</v>
      </c>
      <c r="L134" s="529">
        <v>3630.8042427100081</v>
      </c>
      <c r="M134" s="529">
        <v>3722.7184897148181</v>
      </c>
      <c r="N134" s="529">
        <v>3816.9595569604694</v>
      </c>
      <c r="O134" s="529">
        <v>3913.5863481817928</v>
      </c>
      <c r="P134" s="529">
        <v>4012.6592582687758</v>
      </c>
      <c r="Q134" s="529">
        <v>4114.2402110153143</v>
      </c>
      <c r="R134" s="529">
        <v>4218.3926978236195</v>
      </c>
      <c r="S134" s="529"/>
      <c r="T134" s="529"/>
      <c r="U134" s="529"/>
      <c r="V134" s="529"/>
      <c r="W134" s="529"/>
      <c r="X134" s="529"/>
      <c r="Y134" s="529"/>
      <c r="Z134" s="529"/>
      <c r="AA134" s="529"/>
      <c r="AB134" s="529"/>
      <c r="AC134" s="529"/>
      <c r="AD134" s="529"/>
      <c r="AE134" s="529"/>
      <c r="AF134" s="529"/>
      <c r="AH134" s="517"/>
      <c r="AI134" s="517"/>
      <c r="AJ134" s="517"/>
      <c r="AK134" s="517"/>
      <c r="AL134" s="517"/>
      <c r="AM134" s="517"/>
      <c r="AN134" s="517"/>
      <c r="AO134" s="517"/>
      <c r="AP134" s="517"/>
      <c r="AQ134" s="517"/>
      <c r="AR134" s="517"/>
      <c r="AS134" s="517"/>
      <c r="AT134" s="517"/>
      <c r="AU134" s="517"/>
      <c r="AV134" s="517"/>
      <c r="AX134" s="517"/>
      <c r="AY134" s="517"/>
      <c r="AZ134" s="517"/>
      <c r="BA134" s="517"/>
      <c r="BB134" s="517"/>
      <c r="BC134" s="517"/>
      <c r="BD134" s="517"/>
      <c r="BE134" s="517"/>
      <c r="BF134" s="517"/>
      <c r="BG134" s="517"/>
      <c r="BH134" s="517"/>
      <c r="BI134" s="517"/>
      <c r="BJ134" s="517"/>
      <c r="BK134" s="517"/>
      <c r="BL134" s="517"/>
      <c r="BM134" s="517"/>
      <c r="BN134" s="517"/>
    </row>
    <row r="135" spans="1:66">
      <c r="A135" s="518" t="s">
        <v>811</v>
      </c>
      <c r="B135" s="529">
        <v>16886.891548001633</v>
      </c>
      <c r="C135" s="529">
        <v>18662.901435548858</v>
      </c>
      <c r="D135" s="529">
        <v>20625.69591348086</v>
      </c>
      <c r="E135" s="529">
        <v>22794.919288650777</v>
      </c>
      <c r="F135" s="529">
        <v>25192.281877698457</v>
      </c>
      <c r="G135" s="529">
        <v>27841.777291196515</v>
      </c>
      <c r="H135" s="529">
        <v>30769.922569769376</v>
      </c>
      <c r="I135" s="529">
        <v>31548.866868150431</v>
      </c>
      <c r="J135" s="529">
        <v>32347.53023532682</v>
      </c>
      <c r="K135" s="529">
        <v>33166.411861901724</v>
      </c>
      <c r="L135" s="529">
        <v>34006.023575548614</v>
      </c>
      <c r="M135" s="529">
        <v>34866.8901609202</v>
      </c>
      <c r="N135" s="529">
        <v>35749.549687655919</v>
      </c>
      <c r="O135" s="529">
        <v>36654.553846692987</v>
      </c>
      <c r="P135" s="529">
        <v>37582.468295091196</v>
      </c>
      <c r="Q135" s="529">
        <v>38533.873009586947</v>
      </c>
      <c r="R135" s="529">
        <v>39509.362649097675</v>
      </c>
      <c r="S135" s="529"/>
      <c r="T135" s="529"/>
      <c r="U135" s="529"/>
      <c r="V135" s="529"/>
      <c r="W135" s="529"/>
      <c r="X135" s="529"/>
      <c r="Y135" s="529"/>
      <c r="Z135" s="529"/>
      <c r="AA135" s="529"/>
      <c r="AB135" s="529"/>
      <c r="AC135" s="529"/>
      <c r="AD135" s="529"/>
      <c r="AE135" s="529"/>
      <c r="AF135" s="529"/>
      <c r="AH135" s="517"/>
      <c r="AI135" s="517"/>
      <c r="AJ135" s="517"/>
      <c r="AK135" s="517"/>
      <c r="AL135" s="517"/>
      <c r="AM135" s="517"/>
      <c r="AN135" s="517"/>
      <c r="AO135" s="517"/>
      <c r="AP135" s="517"/>
      <c r="AQ135" s="517"/>
      <c r="AR135" s="517"/>
      <c r="AS135" s="517"/>
      <c r="AT135" s="517"/>
      <c r="AU135" s="517"/>
      <c r="AV135" s="517"/>
      <c r="AX135" s="517"/>
      <c r="AY135" s="517"/>
      <c r="AZ135" s="517"/>
      <c r="BA135" s="517"/>
      <c r="BB135" s="517"/>
      <c r="BC135" s="517"/>
      <c r="BD135" s="517"/>
      <c r="BE135" s="517"/>
      <c r="BF135" s="517"/>
      <c r="BG135" s="517"/>
      <c r="BH135" s="517"/>
      <c r="BI135" s="517"/>
      <c r="BJ135" s="517"/>
      <c r="BK135" s="517"/>
      <c r="BL135" s="517"/>
      <c r="BM135" s="517"/>
      <c r="BN135" s="517"/>
    </row>
    <row r="136" spans="1:66">
      <c r="A136" s="518" t="s">
        <v>813</v>
      </c>
      <c r="B136" s="529">
        <v>28288.378759372434</v>
      </c>
      <c r="C136" s="529">
        <v>31263.493524367284</v>
      </c>
      <c r="D136" s="529">
        <v>34551.503840577061</v>
      </c>
      <c r="E136" s="529">
        <v>38185.317220384823</v>
      </c>
      <c r="F136" s="529">
        <v>42201.302089462522</v>
      </c>
      <c r="G136" s="529">
        <v>46639.651774199054</v>
      </c>
      <c r="H136" s="529">
        <v>51544.786770020088</v>
      </c>
      <c r="I136" s="529">
        <v>52849.649259509126</v>
      </c>
      <c r="J136" s="529">
        <v>54187.544500187403</v>
      </c>
      <c r="K136" s="529">
        <v>55559.308720132489</v>
      </c>
      <c r="L136" s="529">
        <v>56965.799316636585</v>
      </c>
      <c r="M136" s="529">
        <v>58407.89539210769</v>
      </c>
      <c r="N136" s="529">
        <v>59886.498303537119</v>
      </c>
      <c r="O136" s="529">
        <v>61402.53222587717</v>
      </c>
      <c r="P136" s="529">
        <v>62956.94472968037</v>
      </c>
      <c r="Q136" s="529">
        <v>64550.707373362035</v>
      </c>
      <c r="R136" s="529">
        <v>66184.816310455848</v>
      </c>
      <c r="S136" s="529"/>
      <c r="T136" s="529"/>
      <c r="U136" s="529"/>
      <c r="V136" s="529"/>
      <c r="W136" s="529"/>
      <c r="X136" s="529"/>
      <c r="Y136" s="529"/>
      <c r="Z136" s="529"/>
      <c r="AA136" s="529"/>
      <c r="AB136" s="529"/>
      <c r="AC136" s="529"/>
      <c r="AD136" s="529"/>
      <c r="AE136" s="529"/>
      <c r="AF136" s="529"/>
      <c r="AH136" s="517"/>
      <c r="AI136" s="517"/>
      <c r="AJ136" s="517"/>
      <c r="AK136" s="517"/>
      <c r="AL136" s="517"/>
      <c r="AM136" s="517"/>
      <c r="AN136" s="517"/>
      <c r="AO136" s="517"/>
      <c r="AP136" s="517"/>
      <c r="AQ136" s="517"/>
      <c r="AR136" s="517"/>
      <c r="AS136" s="517"/>
      <c r="AT136" s="517"/>
      <c r="AU136" s="517"/>
      <c r="AV136" s="517"/>
      <c r="AX136" s="517"/>
      <c r="AY136" s="517"/>
      <c r="AZ136" s="517"/>
      <c r="BA136" s="517"/>
      <c r="BB136" s="517"/>
      <c r="BC136" s="517"/>
      <c r="BD136" s="517"/>
      <c r="BE136" s="517"/>
      <c r="BF136" s="517"/>
      <c r="BG136" s="517"/>
      <c r="BH136" s="517"/>
      <c r="BI136" s="517"/>
      <c r="BJ136" s="517"/>
      <c r="BK136" s="517"/>
      <c r="BL136" s="517"/>
      <c r="BM136" s="517"/>
      <c r="BN136" s="517"/>
    </row>
    <row r="137" spans="1:66">
      <c r="A137" s="507" t="s">
        <v>815</v>
      </c>
      <c r="B137" s="529">
        <v>20071.997807518157</v>
      </c>
      <c r="C137" s="529">
        <v>22182.988244547229</v>
      </c>
      <c r="D137" s="529">
        <v>24515.993483887571</v>
      </c>
      <c r="E137" s="529">
        <v>27094.363026124614</v>
      </c>
      <c r="F137" s="529">
        <v>29943.90206025702</v>
      </c>
      <c r="G137" s="529">
        <v>33093.129730701541</v>
      </c>
      <c r="H137" s="529">
        <v>36573.564566475929</v>
      </c>
      <c r="I137" s="529">
        <v>37499.428761484254</v>
      </c>
      <c r="J137" s="529">
        <v>38448.731320178456</v>
      </c>
      <c r="K137" s="529">
        <v>39422.065587560159</v>
      </c>
      <c r="L137" s="529">
        <v>40420.039929231185</v>
      </c>
      <c r="M137" s="529">
        <v>41443.278111641892</v>
      </c>
      <c r="N137" s="529">
        <v>42492.419691965537</v>
      </c>
      <c r="O137" s="529">
        <v>43568.120417842256</v>
      </c>
      <c r="P137" s="529">
        <v>44671.05263724277</v>
      </c>
      <c r="Q137" s="529">
        <v>45801.905718707669</v>
      </c>
      <c r="R137" s="529">
        <v>46961.38648222528</v>
      </c>
      <c r="S137" s="529"/>
      <c r="T137" s="529"/>
      <c r="U137" s="529"/>
      <c r="V137" s="529"/>
      <c r="W137" s="529"/>
      <c r="X137" s="529"/>
      <c r="Y137" s="529"/>
      <c r="Z137" s="529"/>
      <c r="AA137" s="529"/>
      <c r="AB137" s="529"/>
      <c r="AC137" s="529"/>
      <c r="AD137" s="529"/>
      <c r="AE137" s="529"/>
      <c r="AF137" s="529"/>
      <c r="AH137" s="517"/>
      <c r="AI137" s="517"/>
      <c r="AJ137" s="517"/>
      <c r="AK137" s="517"/>
      <c r="AL137" s="517"/>
      <c r="AM137" s="517"/>
      <c r="AN137" s="517"/>
      <c r="AO137" s="517"/>
      <c r="AP137" s="517"/>
      <c r="AQ137" s="517"/>
      <c r="AR137" s="517"/>
      <c r="AS137" s="517"/>
      <c r="AT137" s="517"/>
      <c r="AU137" s="517"/>
      <c r="AV137" s="517"/>
      <c r="AX137" s="517"/>
      <c r="AY137" s="517"/>
      <c r="AZ137" s="517"/>
      <c r="BA137" s="517"/>
      <c r="BB137" s="517"/>
      <c r="BC137" s="517"/>
      <c r="BD137" s="517"/>
      <c r="BE137" s="517"/>
      <c r="BF137" s="517"/>
      <c r="BG137" s="517"/>
      <c r="BH137" s="517"/>
      <c r="BI137" s="517"/>
      <c r="BJ137" s="517"/>
      <c r="BK137" s="517"/>
      <c r="BL137" s="517"/>
      <c r="BM137" s="517"/>
      <c r="BN137" s="517"/>
    </row>
    <row r="138" spans="1:66">
      <c r="A138" s="507" t="s">
        <v>817</v>
      </c>
      <c r="B138" s="529">
        <v>12906.410765171428</v>
      </c>
      <c r="C138" s="529">
        <v>14263.789834405929</v>
      </c>
      <c r="D138" s="529">
        <v>15763.925706528495</v>
      </c>
      <c r="E138" s="529">
        <v>17421.832245560396</v>
      </c>
      <c r="F138" s="529">
        <v>19254.102337385906</v>
      </c>
      <c r="G138" s="529">
        <v>21279.073956931257</v>
      </c>
      <c r="H138" s="529">
        <v>23517.013700781325</v>
      </c>
      <c r="I138" s="529">
        <v>24112.349736991247</v>
      </c>
      <c r="J138" s="529">
        <v>24722.756776710361</v>
      </c>
      <c r="K138" s="529">
        <v>25348.616344208927</v>
      </c>
      <c r="L138" s="529">
        <v>25990.319622090086</v>
      </c>
      <c r="M138" s="529">
        <v>26648.267695791721</v>
      </c>
      <c r="N138" s="529">
        <v>27322.871804277936</v>
      </c>
      <c r="O138" s="529">
        <v>28014.553597076745</v>
      </c>
      <c r="P138" s="529">
        <v>28723.745397824816</v>
      </c>
      <c r="Q138" s="529">
        <v>29450.890474483764</v>
      </c>
      <c r="R138" s="529">
        <v>30196.443316397075</v>
      </c>
      <c r="S138" s="529"/>
      <c r="T138" s="529"/>
      <c r="U138" s="529"/>
      <c r="V138" s="529"/>
      <c r="W138" s="529"/>
      <c r="X138" s="529"/>
      <c r="Y138" s="529"/>
      <c r="Z138" s="529"/>
      <c r="AA138" s="529"/>
      <c r="AB138" s="529"/>
      <c r="AC138" s="529"/>
      <c r="AD138" s="529"/>
      <c r="AE138" s="529"/>
      <c r="AF138" s="529"/>
      <c r="AH138" s="517"/>
      <c r="AI138" s="517"/>
      <c r="AJ138" s="517"/>
      <c r="AK138" s="517"/>
      <c r="AL138" s="517"/>
      <c r="AM138" s="517"/>
      <c r="AN138" s="517"/>
      <c r="AO138" s="517"/>
      <c r="AP138" s="517"/>
      <c r="AQ138" s="517"/>
      <c r="AR138" s="517"/>
      <c r="AS138" s="517"/>
      <c r="AT138" s="517"/>
      <c r="AU138" s="517"/>
      <c r="AV138" s="517"/>
      <c r="AX138" s="517"/>
      <c r="AY138" s="517"/>
      <c r="AZ138" s="517"/>
      <c r="BA138" s="517"/>
      <c r="BB138" s="517"/>
      <c r="BC138" s="517"/>
      <c r="BD138" s="517"/>
      <c r="BE138" s="517"/>
      <c r="BF138" s="517"/>
      <c r="BG138" s="517"/>
      <c r="BH138" s="517"/>
      <c r="BI138" s="517"/>
      <c r="BJ138" s="517"/>
      <c r="BK138" s="517"/>
      <c r="BL138" s="517"/>
      <c r="BM138" s="517"/>
      <c r="BN138" s="517"/>
    </row>
    <row r="139" spans="1:66">
      <c r="A139" s="507" t="s">
        <v>819</v>
      </c>
      <c r="B139" s="529">
        <v>7963.3171851863499</v>
      </c>
      <c r="C139" s="529">
        <v>8800.8265644799812</v>
      </c>
      <c r="D139" s="529">
        <v>9726.4175740908922</v>
      </c>
      <c r="E139" s="529">
        <v>10749.353839945143</v>
      </c>
      <c r="F139" s="529">
        <v>11879.873252012161</v>
      </c>
      <c r="G139" s="529">
        <v>13129.290428548613</v>
      </c>
      <c r="H139" s="529">
        <v>14510.109956600885</v>
      </c>
      <c r="I139" s="529">
        <v>14877.435138974954</v>
      </c>
      <c r="J139" s="529">
        <v>15254.059202612476</v>
      </c>
      <c r="K139" s="529">
        <v>15640.217549813382</v>
      </c>
      <c r="L139" s="529">
        <v>16036.151542115198</v>
      </c>
      <c r="M139" s="529">
        <v>16442.108651151852</v>
      </c>
      <c r="N139" s="529">
        <v>16858.342613331508</v>
      </c>
      <c r="O139" s="529">
        <v>17285.113588430118</v>
      </c>
      <c r="P139" s="529">
        <v>17722.688322199669</v>
      </c>
      <c r="Q139" s="529">
        <v>18171.340313093042</v>
      </c>
      <c r="R139" s="529">
        <v>18631.349983209402</v>
      </c>
      <c r="S139" s="529"/>
      <c r="T139" s="529"/>
      <c r="U139" s="529"/>
      <c r="V139" s="529"/>
      <c r="W139" s="529"/>
      <c r="X139" s="529"/>
      <c r="Y139" s="529"/>
      <c r="Z139" s="529"/>
      <c r="AA139" s="529"/>
      <c r="AB139" s="529"/>
      <c r="AC139" s="529"/>
      <c r="AD139" s="529"/>
      <c r="AE139" s="529"/>
      <c r="AF139" s="529"/>
      <c r="AH139" s="517"/>
      <c r="AI139" s="517"/>
      <c r="AJ139" s="517"/>
      <c r="AK139" s="517"/>
      <c r="AL139" s="517"/>
      <c r="AM139" s="517"/>
      <c r="AN139" s="517"/>
      <c r="AO139" s="517"/>
      <c r="AP139" s="517"/>
      <c r="AQ139" s="517"/>
      <c r="AR139" s="517"/>
      <c r="AS139" s="517"/>
      <c r="AT139" s="517"/>
      <c r="AU139" s="517"/>
      <c r="AV139" s="517"/>
      <c r="AX139" s="517"/>
      <c r="AY139" s="517"/>
      <c r="AZ139" s="517"/>
      <c r="BA139" s="517"/>
      <c r="BB139" s="517"/>
      <c r="BC139" s="517"/>
      <c r="BD139" s="517"/>
      <c r="BE139" s="517"/>
      <c r="BF139" s="517"/>
      <c r="BG139" s="517"/>
      <c r="BH139" s="517"/>
      <c r="BI139" s="517"/>
      <c r="BJ139" s="517"/>
      <c r="BK139" s="517"/>
      <c r="BL139" s="517"/>
      <c r="BM139" s="517"/>
      <c r="BN139" s="517"/>
    </row>
    <row r="140" spans="1:66">
      <c r="A140" s="507" t="s">
        <v>821</v>
      </c>
      <c r="B140" s="529">
        <v>4606.528598589246</v>
      </c>
      <c r="C140" s="529">
        <v>5091.0014404446047</v>
      </c>
      <c r="D140" s="529">
        <v>5626.4267358606066</v>
      </c>
      <c r="E140" s="529">
        <v>6218.1632011564379</v>
      </c>
      <c r="F140" s="529">
        <v>6872.1331337662677</v>
      </c>
      <c r="G140" s="529">
        <v>7594.8816845825468</v>
      </c>
      <c r="H140" s="529">
        <v>8393.6423640260127</v>
      </c>
      <c r="I140" s="529">
        <v>8606.1284321102848</v>
      </c>
      <c r="J140" s="529">
        <v>8823.9936106178702</v>
      </c>
      <c r="K140" s="529">
        <v>9047.3740723774536</v>
      </c>
      <c r="L140" s="529">
        <v>9276.4094374492797</v>
      </c>
      <c r="M140" s="529">
        <v>9511.2428603922563</v>
      </c>
      <c r="N140" s="529">
        <v>9752.0211197401986</v>
      </c>
      <c r="O140" s="529">
        <v>9998.894709743201</v>
      </c>
      <c r="P140" s="529">
        <v>10252.017934431424</v>
      </c>
      <c r="Q140" s="529">
        <v>10511.549004060162</v>
      </c>
      <c r="R140" s="529">
        <v>10777.650133996385</v>
      </c>
      <c r="S140" s="529"/>
      <c r="T140" s="529"/>
      <c r="U140" s="529"/>
      <c r="V140" s="529"/>
      <c r="W140" s="529"/>
      <c r="X140" s="529"/>
      <c r="Y140" s="529"/>
      <c r="Z140" s="529"/>
      <c r="AA140" s="529"/>
      <c r="AB140" s="529"/>
      <c r="AC140" s="529"/>
      <c r="AD140" s="529"/>
      <c r="AE140" s="529"/>
      <c r="AF140" s="529"/>
      <c r="AH140" s="517"/>
      <c r="AI140" s="517"/>
      <c r="AJ140" s="517"/>
      <c r="AK140" s="517"/>
      <c r="AL140" s="517"/>
      <c r="AM140" s="517"/>
      <c r="AN140" s="517"/>
      <c r="AO140" s="517"/>
      <c r="AP140" s="517"/>
      <c r="AQ140" s="517"/>
      <c r="AR140" s="517"/>
      <c r="AS140" s="517"/>
      <c r="AT140" s="517"/>
      <c r="AU140" s="517"/>
      <c r="AV140" s="517"/>
      <c r="AX140" s="517"/>
      <c r="AY140" s="517"/>
      <c r="AZ140" s="517"/>
      <c r="BA140" s="517"/>
      <c r="BB140" s="517"/>
      <c r="BC140" s="517"/>
      <c r="BD140" s="517"/>
      <c r="BE140" s="517"/>
      <c r="BF140" s="517"/>
      <c r="BG140" s="517"/>
      <c r="BH140" s="517"/>
      <c r="BI140" s="517"/>
      <c r="BJ140" s="517"/>
      <c r="BK140" s="517"/>
      <c r="BL140" s="517"/>
      <c r="BM140" s="517"/>
      <c r="BN140" s="517"/>
    </row>
    <row r="141" spans="1:66">
      <c r="A141" s="507" t="s">
        <v>823</v>
      </c>
      <c r="B141" s="529">
        <v>2208.669658910429</v>
      </c>
      <c r="C141" s="529">
        <v>2440.9574746638664</v>
      </c>
      <c r="D141" s="529">
        <v>2697.6752132578799</v>
      </c>
      <c r="E141" s="529">
        <v>2981.3921921061296</v>
      </c>
      <c r="F141" s="529">
        <v>3294.947946093499</v>
      </c>
      <c r="G141" s="529">
        <v>3641.4806465956231</v>
      </c>
      <c r="H141" s="529">
        <v>4024.4585093527871</v>
      </c>
      <c r="I141" s="529">
        <v>4126.3381615626176</v>
      </c>
      <c r="J141" s="529">
        <v>4230.7969094471246</v>
      </c>
      <c r="K141" s="529">
        <v>4337.9000431241593</v>
      </c>
      <c r="L141" s="529">
        <v>4447.7145055387728</v>
      </c>
      <c r="M141" s="529">
        <v>4560.3089343047377</v>
      </c>
      <c r="N141" s="529">
        <v>4675.7537046052903</v>
      </c>
      <c r="O141" s="529">
        <v>4794.120973179919</v>
      </c>
      <c r="P141" s="529">
        <v>4915.4847234246599</v>
      </c>
      <c r="Q141" s="529">
        <v>5039.9208116341442</v>
      </c>
      <c r="R141" s="529">
        <v>5167.507014414241</v>
      </c>
      <c r="S141" s="529"/>
      <c r="T141" s="529"/>
      <c r="U141" s="529"/>
      <c r="V141" s="529"/>
      <c r="W141" s="529"/>
      <c r="X141" s="529"/>
      <c r="Y141" s="529"/>
      <c r="Z141" s="529"/>
      <c r="AA141" s="529"/>
      <c r="AB141" s="529"/>
      <c r="AC141" s="529"/>
      <c r="AD141" s="529"/>
      <c r="AE141" s="529"/>
      <c r="AF141" s="529"/>
      <c r="AH141" s="517"/>
      <c r="AI141" s="517"/>
      <c r="AJ141" s="517"/>
      <c r="AK141" s="517"/>
      <c r="AL141" s="517"/>
      <c r="AM141" s="517"/>
      <c r="AN141" s="517"/>
      <c r="AO141" s="517"/>
      <c r="AP141" s="517"/>
      <c r="AQ141" s="517"/>
      <c r="AR141" s="517"/>
      <c r="AS141" s="517"/>
      <c r="AT141" s="517"/>
      <c r="AU141" s="517"/>
      <c r="AV141" s="517"/>
      <c r="AX141" s="517"/>
      <c r="AY141" s="517"/>
      <c r="AZ141" s="517"/>
      <c r="BA141" s="517"/>
      <c r="BB141" s="517"/>
      <c r="BC141" s="517"/>
      <c r="BD141" s="517"/>
      <c r="BE141" s="517"/>
      <c r="BF141" s="517"/>
      <c r="BG141" s="517"/>
      <c r="BH141" s="517"/>
      <c r="BI141" s="517"/>
      <c r="BJ141" s="517"/>
      <c r="BK141" s="517"/>
      <c r="BL141" s="517"/>
      <c r="BM141" s="517"/>
      <c r="BN141" s="517"/>
    </row>
    <row r="142" spans="1:66">
      <c r="A142" s="507" t="s">
        <v>825</v>
      </c>
      <c r="B142" s="529">
        <v>912.89648943247857</v>
      </c>
      <c r="C142" s="529">
        <v>1008.9066513341281</v>
      </c>
      <c r="D142" s="529">
        <v>1115.014290107566</v>
      </c>
      <c r="E142" s="529">
        <v>1232.2813666656452</v>
      </c>
      <c r="F142" s="529">
        <v>1361.8815293253847</v>
      </c>
      <c r="G142" s="529">
        <v>1505.1118600748027</v>
      </c>
      <c r="H142" s="529">
        <v>1663.4058562054154</v>
      </c>
      <c r="I142" s="529">
        <v>1705.5151759362964</v>
      </c>
      <c r="J142" s="529">
        <v>1748.6904981713669</v>
      </c>
      <c r="K142" s="529">
        <v>1792.9588088924982</v>
      </c>
      <c r="L142" s="529">
        <v>1838.3477772349477</v>
      </c>
      <c r="M142" s="529">
        <v>1884.8857727814668</v>
      </c>
      <c r="N142" s="529">
        <v>1932.6018832942109</v>
      </c>
      <c r="O142" s="529">
        <v>1981.5259328955417</v>
      </c>
      <c r="P142" s="529">
        <v>2031.6885007090732</v>
      </c>
      <c r="Q142" s="529">
        <v>2083.1209399726199</v>
      </c>
      <c r="R142" s="529">
        <v>2135.8553976349885</v>
      </c>
      <c r="S142" s="529"/>
      <c r="T142" s="529"/>
      <c r="U142" s="529"/>
      <c r="V142" s="529"/>
      <c r="W142" s="529"/>
      <c r="X142" s="529"/>
      <c r="Y142" s="529"/>
      <c r="Z142" s="529"/>
      <c r="AA142" s="529"/>
      <c r="AB142" s="529"/>
      <c r="AC142" s="529"/>
      <c r="AD142" s="529"/>
      <c r="AE142" s="529"/>
      <c r="AF142" s="529"/>
      <c r="AH142" s="517"/>
      <c r="AI142" s="517"/>
      <c r="AJ142" s="517"/>
      <c r="AK142" s="517"/>
      <c r="AL142" s="517"/>
      <c r="AM142" s="517"/>
      <c r="AN142" s="517"/>
      <c r="AO142" s="517"/>
      <c r="AP142" s="517"/>
      <c r="AQ142" s="517"/>
      <c r="AR142" s="517"/>
      <c r="AS142" s="517"/>
      <c r="AT142" s="517"/>
      <c r="AU142" s="517"/>
      <c r="AV142" s="517"/>
      <c r="AX142" s="517"/>
      <c r="AY142" s="517"/>
      <c r="AZ142" s="517"/>
      <c r="BA142" s="517"/>
      <c r="BB142" s="517"/>
      <c r="BC142" s="517"/>
      <c r="BD142" s="517"/>
      <c r="BE142" s="517"/>
      <c r="BF142" s="517"/>
      <c r="BG142" s="517"/>
      <c r="BH142" s="517"/>
      <c r="BI142" s="517"/>
      <c r="BJ142" s="517"/>
      <c r="BK142" s="517"/>
      <c r="BL142" s="517"/>
      <c r="BM142" s="517"/>
      <c r="BN142" s="517"/>
    </row>
    <row r="143" spans="1:66">
      <c r="A143" s="507" t="s">
        <v>827</v>
      </c>
      <c r="B143" s="529">
        <v>350.48087968834454</v>
      </c>
      <c r="C143" s="529">
        <v>387.34127557312843</v>
      </c>
      <c r="D143" s="529">
        <v>428.0783131337468</v>
      </c>
      <c r="E143" s="529">
        <v>473.0997023342976</v>
      </c>
      <c r="F143" s="529">
        <v>522.85603237011117</v>
      </c>
      <c r="G143" s="529">
        <v>577.84528131586649</v>
      </c>
      <c r="H143" s="529">
        <v>638.61780005753712</v>
      </c>
      <c r="I143" s="529">
        <v>654.78448663503912</v>
      </c>
      <c r="J143" s="529">
        <v>671.36043483173148</v>
      </c>
      <c r="K143" s="529">
        <v>688.35600515482975</v>
      </c>
      <c r="L143" s="529">
        <v>705.78182038903844</v>
      </c>
      <c r="M143" s="529">
        <v>723.64877223613803</v>
      </c>
      <c r="N143" s="529">
        <v>741.96802812265082</v>
      </c>
      <c r="O143" s="529">
        <v>760.75103817984848</v>
      </c>
      <c r="P143" s="529">
        <v>780.00954240045598</v>
      </c>
      <c r="Q143" s="529">
        <v>799.75557797652777</v>
      </c>
      <c r="R143" s="529">
        <v>820.00148682308782</v>
      </c>
      <c r="S143" s="529"/>
      <c r="T143" s="529"/>
      <c r="U143" s="529"/>
      <c r="V143" s="529"/>
      <c r="W143" s="529"/>
      <c r="X143" s="529"/>
      <c r="Y143" s="529"/>
      <c r="Z143" s="529"/>
      <c r="AA143" s="529"/>
      <c r="AB143" s="529"/>
      <c r="AC143" s="529"/>
      <c r="AD143" s="529"/>
      <c r="AE143" s="529"/>
      <c r="AF143" s="529"/>
      <c r="AH143" s="517"/>
      <c r="AI143" s="517"/>
      <c r="AJ143" s="517"/>
      <c r="AK143" s="517"/>
      <c r="AL143" s="517"/>
      <c r="AM143" s="517"/>
      <c r="AN143" s="517"/>
      <c r="AO143" s="517"/>
      <c r="AP143" s="517"/>
      <c r="AQ143" s="517"/>
      <c r="AR143" s="517"/>
      <c r="AS143" s="517"/>
      <c r="AT143" s="517"/>
      <c r="AU143" s="517"/>
      <c r="AV143" s="517"/>
      <c r="AX143" s="517"/>
      <c r="AY143" s="517"/>
      <c r="AZ143" s="517"/>
      <c r="BA143" s="517"/>
      <c r="BB143" s="517"/>
      <c r="BC143" s="517"/>
      <c r="BD143" s="517"/>
      <c r="BE143" s="517"/>
      <c r="BF143" s="517"/>
      <c r="BG143" s="517"/>
      <c r="BH143" s="517"/>
      <c r="BI143" s="517"/>
      <c r="BJ143" s="517"/>
      <c r="BK143" s="517"/>
      <c r="BL143" s="517"/>
      <c r="BM143" s="517"/>
      <c r="BN143" s="517"/>
    </row>
    <row r="144" spans="1:66">
      <c r="A144" s="507" t="s">
        <v>829</v>
      </c>
      <c r="B144" s="529">
        <v>125.39434117692382</v>
      </c>
      <c r="C144" s="529">
        <v>138.58217915999188</v>
      </c>
      <c r="D144" s="529">
        <v>153.15699417117216</v>
      </c>
      <c r="E144" s="529">
        <v>169.26465585786096</v>
      </c>
      <c r="F144" s="529">
        <v>187.06637511219071</v>
      </c>
      <c r="G144" s="529">
        <v>206.74031752382328</v>
      </c>
      <c r="H144" s="529">
        <v>228.48338652105474</v>
      </c>
      <c r="I144" s="529">
        <v>234.26747098866488</v>
      </c>
      <c r="J144" s="529">
        <v>240.19798025169615</v>
      </c>
      <c r="K144" s="529">
        <v>246.27862107149218</v>
      </c>
      <c r="L144" s="529">
        <v>252.51319404650707</v>
      </c>
      <c r="M144" s="529">
        <v>258.90559598780294</v>
      </c>
      <c r="N144" s="529">
        <v>265.4598223546833</v>
      </c>
      <c r="O144" s="529">
        <v>272.17996975198554</v>
      </c>
      <c r="P144" s="529">
        <v>279.07023849059249</v>
      </c>
      <c r="Q144" s="529">
        <v>286.13493521276291</v>
      </c>
      <c r="R144" s="529">
        <v>293.37847558392366</v>
      </c>
      <c r="S144" s="529"/>
      <c r="T144" s="529"/>
      <c r="U144" s="529"/>
      <c r="V144" s="529"/>
      <c r="W144" s="529"/>
      <c r="X144" s="529"/>
      <c r="Y144" s="529"/>
      <c r="Z144" s="529"/>
      <c r="AA144" s="529"/>
      <c r="AB144" s="529"/>
      <c r="AC144" s="529"/>
      <c r="AD144" s="529"/>
      <c r="AE144" s="529"/>
      <c r="AF144" s="529"/>
      <c r="AH144" s="517"/>
      <c r="AI144" s="517"/>
      <c r="AJ144" s="517"/>
      <c r="AK144" s="517"/>
      <c r="AL144" s="517"/>
      <c r="AM144" s="517"/>
      <c r="AN144" s="517"/>
      <c r="AO144" s="517"/>
      <c r="AP144" s="517"/>
      <c r="AQ144" s="517"/>
      <c r="AR144" s="517"/>
      <c r="AS144" s="517"/>
      <c r="AT144" s="517"/>
      <c r="AU144" s="517"/>
      <c r="AV144" s="517"/>
      <c r="AX144" s="517"/>
      <c r="AY144" s="517"/>
      <c r="AZ144" s="517"/>
      <c r="BA144" s="517"/>
      <c r="BB144" s="517"/>
      <c r="BC144" s="517"/>
      <c r="BD144" s="517"/>
      <c r="BE144" s="517"/>
      <c r="BF144" s="517"/>
      <c r="BG144" s="517"/>
      <c r="BH144" s="517"/>
      <c r="BI144" s="517"/>
      <c r="BJ144" s="517"/>
      <c r="BK144" s="517"/>
      <c r="BL144" s="517"/>
      <c r="BM144" s="517"/>
      <c r="BN144" s="517"/>
    </row>
    <row r="145" spans="1:66">
      <c r="A145" s="507" t="s">
        <v>831</v>
      </c>
      <c r="B145" s="529">
        <v>55.794958224436613</v>
      </c>
      <c r="C145" s="529">
        <v>61.662965204893013</v>
      </c>
      <c r="D145" s="529">
        <v>68.148115866758332</v>
      </c>
      <c r="E145" s="529">
        <v>75.315315777590939</v>
      </c>
      <c r="F145" s="529">
        <v>83.23629668307747</v>
      </c>
      <c r="G145" s="529">
        <v>91.990334422453728</v>
      </c>
      <c r="H145" s="529">
        <v>101.66504234774905</v>
      </c>
      <c r="I145" s="529">
        <v>104.23870514790347</v>
      </c>
      <c r="J145" s="529">
        <v>106.87752053203303</v>
      </c>
      <c r="K145" s="529">
        <v>109.5831378456536</v>
      </c>
      <c r="L145" s="529">
        <v>112.3572481876614</v>
      </c>
      <c r="M145" s="529">
        <v>115.20158546732522</v>
      </c>
      <c r="N145" s="529">
        <v>118.11792748803585</v>
      </c>
      <c r="O145" s="529">
        <v>121.10809705849121</v>
      </c>
      <c r="P145" s="529">
        <v>124.1739631320112</v>
      </c>
      <c r="Q145" s="529">
        <v>127.31744197469402</v>
      </c>
      <c r="R145" s="529">
        <v>130.54049836314539</v>
      </c>
      <c r="S145" s="529"/>
      <c r="T145" s="529"/>
      <c r="U145" s="529"/>
      <c r="V145" s="529"/>
      <c r="W145" s="529"/>
      <c r="X145" s="529"/>
      <c r="Y145" s="529"/>
      <c r="Z145" s="529"/>
      <c r="AA145" s="529"/>
      <c r="AB145" s="529"/>
      <c r="AC145" s="529"/>
      <c r="AD145" s="529"/>
      <c r="AE145" s="529"/>
      <c r="AF145" s="529"/>
      <c r="AH145" s="517"/>
      <c r="AI145" s="517"/>
      <c r="AJ145" s="517"/>
      <c r="AK145" s="517"/>
      <c r="AL145" s="517"/>
      <c r="AM145" s="517"/>
      <c r="AN145" s="517"/>
      <c r="AO145" s="517"/>
      <c r="AP145" s="517"/>
      <c r="AQ145" s="517"/>
      <c r="AR145" s="517"/>
      <c r="AS145" s="517"/>
      <c r="AT145" s="517"/>
      <c r="AU145" s="517"/>
      <c r="AV145" s="517"/>
      <c r="AX145" s="517"/>
      <c r="AY145" s="517"/>
      <c r="AZ145" s="517"/>
      <c r="BA145" s="517"/>
      <c r="BB145" s="517"/>
      <c r="BC145" s="517"/>
      <c r="BD145" s="517"/>
      <c r="BE145" s="517"/>
      <c r="BF145" s="517"/>
      <c r="BG145" s="517"/>
      <c r="BH145" s="517"/>
      <c r="BI145" s="517"/>
      <c r="BJ145" s="517"/>
      <c r="BK145" s="517"/>
      <c r="BL145" s="517"/>
      <c r="BM145" s="517"/>
      <c r="BN145" s="517"/>
    </row>
    <row r="146" spans="1:66">
      <c r="A146" s="507" t="s">
        <v>833</v>
      </c>
      <c r="B146" s="529">
        <v>14.216512094915931</v>
      </c>
      <c r="C146" s="529">
        <v>15.711675723771789</v>
      </c>
      <c r="D146" s="529">
        <v>17.364087084147734</v>
      </c>
      <c r="E146" s="529">
        <v>19.190284064333049</v>
      </c>
      <c r="F146" s="529">
        <v>21.20854385751143</v>
      </c>
      <c r="G146" s="529">
        <v>23.439065886053545</v>
      </c>
      <c r="H146" s="529">
        <v>25.904173964125391</v>
      </c>
      <c r="I146" s="529">
        <v>26.559941250112999</v>
      </c>
      <c r="J146" s="529">
        <v>27.232309363981358</v>
      </c>
      <c r="K146" s="529">
        <v>27.921698557689076</v>
      </c>
      <c r="L146" s="529">
        <v>28.628539721923747</v>
      </c>
      <c r="M146" s="529">
        <v>29.353274655422645</v>
      </c>
      <c r="N146" s="529">
        <v>30.096356341111331</v>
      </c>
      <c r="O146" s="529">
        <v>30.858249229232722</v>
      </c>
      <c r="P146" s="529">
        <v>31.639429527643614</v>
      </c>
      <c r="Q146" s="529">
        <v>32.440385499460085</v>
      </c>
      <c r="R146" s="529">
        <v>33.261617768237848</v>
      </c>
      <c r="S146" s="529"/>
      <c r="T146" s="529"/>
      <c r="U146" s="529"/>
      <c r="V146" s="529"/>
      <c r="W146" s="529"/>
      <c r="X146" s="529"/>
      <c r="Y146" s="529"/>
      <c r="Z146" s="529"/>
      <c r="AA146" s="529"/>
      <c r="AB146" s="529"/>
      <c r="AC146" s="529"/>
      <c r="AD146" s="529"/>
      <c r="AE146" s="529"/>
      <c r="AF146" s="529"/>
      <c r="AH146" s="517"/>
      <c r="AI146" s="517"/>
      <c r="AJ146" s="517"/>
      <c r="AK146" s="517"/>
      <c r="AL146" s="517"/>
      <c r="AM146" s="517"/>
      <c r="AN146" s="517"/>
      <c r="AO146" s="517"/>
      <c r="AP146" s="517"/>
      <c r="AQ146" s="517"/>
      <c r="AR146" s="517"/>
      <c r="AS146" s="517"/>
      <c r="AT146" s="517"/>
      <c r="AU146" s="517"/>
      <c r="AV146" s="517"/>
      <c r="AX146" s="517"/>
      <c r="AY146" s="517"/>
      <c r="AZ146" s="517"/>
      <c r="BA146" s="517"/>
      <c r="BB146" s="517"/>
      <c r="BC146" s="517"/>
      <c r="BD146" s="517"/>
      <c r="BE146" s="517"/>
      <c r="BF146" s="517"/>
      <c r="BG146" s="517"/>
      <c r="BH146" s="517"/>
      <c r="BI146" s="517"/>
      <c r="BJ146" s="517"/>
      <c r="BK146" s="517"/>
      <c r="BL146" s="517"/>
      <c r="BM146" s="517"/>
      <c r="BN146" s="517"/>
    </row>
    <row r="147" spans="1:66">
      <c r="A147" s="521" t="s">
        <v>835</v>
      </c>
      <c r="B147" s="530">
        <v>34.965535066222003</v>
      </c>
      <c r="C147" s="530">
        <v>38.64289249014282</v>
      </c>
      <c r="D147" s="530">
        <v>42.707000970429689</v>
      </c>
      <c r="E147" s="530">
        <v>47.198535470747373</v>
      </c>
      <c r="F147" s="530">
        <v>52.16244877803188</v>
      </c>
      <c r="G147" s="530">
        <v>57.648421405091455</v>
      </c>
      <c r="H147" s="530">
        <v>63.711358809876742</v>
      </c>
      <c r="I147" s="530">
        <v>65.324219536923891</v>
      </c>
      <c r="J147" s="530">
        <v>66.977910027665374</v>
      </c>
      <c r="K147" s="530">
        <v>68.673463892490076</v>
      </c>
      <c r="L147" s="530">
        <v>70.411940907758463</v>
      </c>
      <c r="M147" s="530">
        <v>72.194427678197343</v>
      </c>
      <c r="N147" s="530">
        <v>74.022038316063075</v>
      </c>
      <c r="O147" s="530">
        <v>75.895915137498093</v>
      </c>
      <c r="P147" s="530">
        <v>77.817229376515684</v>
      </c>
      <c r="Q147" s="530">
        <v>79.787181917059314</v>
      </c>
      <c r="R147" s="530">
        <v>81.807004043594205</v>
      </c>
      <c r="S147" s="529"/>
      <c r="T147" s="529"/>
      <c r="U147" s="529"/>
      <c r="V147" s="529"/>
      <c r="W147" s="529"/>
      <c r="X147" s="529"/>
      <c r="Y147" s="529"/>
      <c r="Z147" s="529"/>
      <c r="AA147" s="529"/>
      <c r="AB147" s="529"/>
      <c r="AC147" s="529"/>
      <c r="AD147" s="529"/>
      <c r="AE147" s="529"/>
      <c r="AF147" s="529"/>
      <c r="AH147" s="517"/>
      <c r="AI147" s="517"/>
      <c r="AJ147" s="517"/>
      <c r="AK147" s="517"/>
      <c r="AL147" s="517"/>
      <c r="AM147" s="517"/>
      <c r="AN147" s="517"/>
      <c r="AO147" s="517"/>
      <c r="AP147" s="517"/>
      <c r="AQ147" s="517"/>
      <c r="AR147" s="517"/>
      <c r="AS147" s="517"/>
      <c r="AT147" s="517"/>
      <c r="AU147" s="517"/>
      <c r="AV147" s="517"/>
      <c r="AX147" s="517"/>
      <c r="AY147" s="517"/>
      <c r="AZ147" s="517"/>
      <c r="BA147" s="517"/>
      <c r="BB147" s="517"/>
      <c r="BC147" s="517"/>
      <c r="BD147" s="517"/>
      <c r="BE147" s="517"/>
      <c r="BF147" s="517"/>
      <c r="BG147" s="517"/>
      <c r="BH147" s="517"/>
      <c r="BI147" s="517"/>
      <c r="BJ147" s="517"/>
      <c r="BK147" s="517"/>
      <c r="BL147" s="517"/>
      <c r="BM147" s="517"/>
      <c r="BN147" s="517"/>
    </row>
    <row r="148" spans="1:66">
      <c r="B148" s="523"/>
      <c r="C148" s="523"/>
      <c r="D148" s="523"/>
      <c r="E148" s="523"/>
      <c r="F148" s="523"/>
      <c r="G148" s="523"/>
      <c r="H148" s="523"/>
      <c r="I148" s="523"/>
      <c r="J148" s="523"/>
      <c r="K148" s="523"/>
      <c r="L148" s="523"/>
      <c r="M148" s="523"/>
      <c r="N148" s="523"/>
      <c r="O148" s="523"/>
      <c r="P148" s="523"/>
      <c r="Q148" s="523"/>
      <c r="R148" s="523"/>
      <c r="S148" s="523"/>
      <c r="T148" s="523"/>
      <c r="U148" s="523"/>
      <c r="V148" s="523"/>
      <c r="W148" s="523"/>
      <c r="X148" s="523"/>
      <c r="Y148" s="523"/>
      <c r="Z148" s="523"/>
      <c r="AA148" s="523"/>
      <c r="AB148" s="523"/>
      <c r="AC148" s="523"/>
      <c r="AD148" s="523"/>
      <c r="AE148" s="523"/>
      <c r="AF148" s="523"/>
      <c r="AH148" s="517"/>
      <c r="AI148" s="517"/>
      <c r="AJ148" s="517"/>
      <c r="AK148" s="517"/>
      <c r="AL148" s="517"/>
      <c r="AM148" s="517"/>
      <c r="AN148" s="517"/>
      <c r="AO148" s="517"/>
      <c r="AP148" s="517"/>
      <c r="AQ148" s="517"/>
      <c r="AR148" s="517"/>
      <c r="AS148" s="517"/>
      <c r="AT148" s="517"/>
      <c r="AU148" s="517"/>
      <c r="AV148" s="517"/>
      <c r="AX148" s="517"/>
      <c r="AY148" s="517"/>
      <c r="AZ148" s="517"/>
      <c r="BA148" s="517"/>
      <c r="BB148" s="517"/>
      <c r="BC148" s="517"/>
      <c r="BD148" s="517"/>
      <c r="BE148" s="517"/>
      <c r="BF148" s="517"/>
      <c r="BG148" s="517"/>
      <c r="BH148" s="517"/>
      <c r="BI148" s="517"/>
      <c r="BJ148" s="517"/>
      <c r="BK148" s="517"/>
      <c r="BL148" s="517"/>
      <c r="BM148" s="517"/>
      <c r="BN148" s="517"/>
    </row>
    <row r="149" spans="1:66">
      <c r="A149" s="506"/>
      <c r="B149" s="523"/>
      <c r="C149" s="523"/>
      <c r="D149" s="523"/>
      <c r="E149" s="523"/>
      <c r="F149" s="523"/>
      <c r="G149" s="523"/>
      <c r="H149" s="523"/>
      <c r="I149" s="523"/>
      <c r="J149" s="523"/>
      <c r="K149" s="523"/>
      <c r="L149" s="523"/>
      <c r="M149" s="523"/>
      <c r="N149" s="523"/>
      <c r="O149" s="523"/>
      <c r="P149" s="523"/>
      <c r="Q149" s="523"/>
      <c r="R149" s="523"/>
      <c r="S149" s="523"/>
      <c r="T149" s="523"/>
      <c r="U149" s="523"/>
      <c r="V149" s="523"/>
      <c r="W149" s="523"/>
      <c r="X149" s="523"/>
      <c r="Y149" s="523"/>
      <c r="Z149" s="523"/>
      <c r="AA149" s="523"/>
      <c r="AB149" s="523"/>
      <c r="AC149" s="523"/>
      <c r="AD149" s="523"/>
      <c r="AE149" s="523"/>
      <c r="AF149" s="523"/>
      <c r="AH149" s="517"/>
      <c r="AI149" s="517"/>
      <c r="AJ149" s="517"/>
      <c r="AK149" s="517"/>
      <c r="AL149" s="517"/>
      <c r="AM149" s="517"/>
      <c r="AN149" s="517"/>
      <c r="AO149" s="517"/>
      <c r="AP149" s="517"/>
      <c r="AQ149" s="517"/>
      <c r="AR149" s="517"/>
      <c r="AS149" s="517"/>
      <c r="AT149" s="517"/>
      <c r="AU149" s="517"/>
      <c r="AV149" s="517"/>
      <c r="AX149" s="517"/>
      <c r="AY149" s="517"/>
      <c r="AZ149" s="517"/>
      <c r="BA149" s="517"/>
      <c r="BB149" s="517"/>
      <c r="BC149" s="517"/>
      <c r="BD149" s="517"/>
      <c r="BE149" s="517"/>
      <c r="BF149" s="517"/>
      <c r="BG149" s="517"/>
      <c r="BH149" s="517"/>
      <c r="BI149" s="517"/>
      <c r="BJ149" s="517"/>
      <c r="BK149" s="517"/>
      <c r="BL149" s="517"/>
      <c r="BM149" s="517"/>
      <c r="BN149" s="517"/>
    </row>
    <row r="150" spans="1:66">
      <c r="A150" s="524" t="s">
        <v>837</v>
      </c>
      <c r="B150" s="528">
        <f>SUM(B151:B167)</f>
        <v>89022.643361255847</v>
      </c>
      <c r="C150" s="528">
        <f t="shared" ref="C150:R150" si="7">SUM(C151:C167)</f>
        <v>98385.236493080098</v>
      </c>
      <c r="D150" s="528">
        <f t="shared" si="7"/>
        <v>108732.50214014707</v>
      </c>
      <c r="E150" s="528">
        <f t="shared" si="7"/>
        <v>120167.99921488861</v>
      </c>
      <c r="F150" s="528">
        <f t="shared" si="7"/>
        <v>132806.17801563215</v>
      </c>
      <c r="G150" s="528">
        <f t="shared" si="7"/>
        <v>146773.52568365415</v>
      </c>
      <c r="H150" s="528">
        <f t="shared" si="7"/>
        <v>162209.83212900371</v>
      </c>
      <c r="I150" s="528">
        <f t="shared" si="7"/>
        <v>166316.19357959685</v>
      </c>
      <c r="J150" s="528">
        <f t="shared" si="7"/>
        <v>170526.50806522858</v>
      </c>
      <c r="K150" s="528">
        <f t="shared" si="7"/>
        <v>174843.40716950977</v>
      </c>
      <c r="L150" s="528">
        <f t="shared" si="7"/>
        <v>179269.58909490771</v>
      </c>
      <c r="M150" s="528">
        <f t="shared" si="7"/>
        <v>183807.82034921017</v>
      </c>
      <c r="N150" s="528">
        <f t="shared" si="7"/>
        <v>188460.93747468296</v>
      </c>
      <c r="O150" s="528">
        <f t="shared" si="7"/>
        <v>193231.84882100142</v>
      </c>
      <c r="P150" s="528">
        <f t="shared" si="7"/>
        <v>198123.53636306332</v>
      </c>
      <c r="Q150" s="528">
        <f t="shared" si="7"/>
        <v>203139.05756482034</v>
      </c>
      <c r="R150" s="528">
        <f t="shared" si="7"/>
        <v>208281.54729029266</v>
      </c>
      <c r="S150" s="534"/>
      <c r="T150" s="534"/>
      <c r="U150" s="534"/>
      <c r="V150" s="534"/>
      <c r="W150" s="534"/>
      <c r="X150" s="534"/>
      <c r="Y150" s="534"/>
      <c r="Z150" s="534"/>
      <c r="AA150" s="534"/>
      <c r="AB150" s="534"/>
      <c r="AC150" s="534"/>
      <c r="AD150" s="534"/>
      <c r="AE150" s="534"/>
      <c r="AF150" s="534"/>
      <c r="AH150" s="517"/>
      <c r="AI150" s="517"/>
      <c r="AJ150" s="517"/>
      <c r="AK150" s="517"/>
      <c r="AL150" s="517"/>
      <c r="AM150" s="517"/>
      <c r="AN150" s="517"/>
      <c r="AO150" s="517"/>
      <c r="AP150" s="517"/>
      <c r="AQ150" s="517"/>
      <c r="AR150" s="517"/>
      <c r="AS150" s="517"/>
      <c r="AT150" s="517"/>
      <c r="AU150" s="517"/>
      <c r="AV150" s="517"/>
      <c r="AX150" s="517"/>
      <c r="AY150" s="517"/>
      <c r="AZ150" s="517"/>
      <c r="BA150" s="517"/>
      <c r="BB150" s="517"/>
      <c r="BC150" s="517"/>
      <c r="BD150" s="517"/>
      <c r="BE150" s="517"/>
      <c r="BF150" s="517"/>
      <c r="BG150" s="517"/>
      <c r="BH150" s="517"/>
      <c r="BI150" s="517"/>
      <c r="BJ150" s="517"/>
      <c r="BK150" s="517"/>
      <c r="BL150" s="517"/>
      <c r="BM150" s="517"/>
      <c r="BN150" s="517"/>
    </row>
    <row r="151" spans="1:66">
      <c r="A151" s="520" t="s">
        <v>803</v>
      </c>
      <c r="B151" s="529">
        <v>494.9160183772687</v>
      </c>
      <c r="C151" s="529">
        <v>546.96679040035031</v>
      </c>
      <c r="D151" s="529">
        <v>604.49178990364544</v>
      </c>
      <c r="E151" s="529">
        <v>668.06674641700329</v>
      </c>
      <c r="F151" s="529">
        <v>738.32793947349023</v>
      </c>
      <c r="G151" s="529">
        <v>815.97856670881845</v>
      </c>
      <c r="H151" s="529">
        <v>901.79578169963645</v>
      </c>
      <c r="I151" s="529">
        <v>924.62485060178403</v>
      </c>
      <c r="J151" s="529">
        <v>948.03184013465068</v>
      </c>
      <c r="K151" s="529">
        <v>972.03138042865521</v>
      </c>
      <c r="L151" s="529">
        <v>996.63847197773327</v>
      </c>
      <c r="M151" s="529">
        <v>1021.8684950151323</v>
      </c>
      <c r="N151" s="529">
        <v>1047.7372191265572</v>
      </c>
      <c r="O151" s="529">
        <v>1074.2608131066756</v>
      </c>
      <c r="P151" s="529">
        <v>1101.4558550651423</v>
      </c>
      <c r="Q151" s="529">
        <v>1129.3393427884539</v>
      </c>
      <c r="R151" s="529">
        <v>1157.9287043641234</v>
      </c>
      <c r="S151" s="529"/>
      <c r="T151" s="529"/>
      <c r="U151" s="529"/>
      <c r="V151" s="529"/>
      <c r="W151" s="529"/>
      <c r="X151" s="529"/>
      <c r="Y151" s="529"/>
      <c r="Z151" s="529"/>
      <c r="AA151" s="529"/>
      <c r="AB151" s="529"/>
      <c r="AC151" s="529"/>
      <c r="AD151" s="529"/>
      <c r="AE151" s="529"/>
      <c r="AF151" s="529"/>
      <c r="AH151" s="517"/>
      <c r="AI151" s="517"/>
      <c r="AJ151" s="517"/>
      <c r="AK151" s="517"/>
      <c r="AL151" s="517"/>
      <c r="AM151" s="517"/>
      <c r="AN151" s="517"/>
      <c r="AO151" s="517"/>
      <c r="AP151" s="517"/>
      <c r="AQ151" s="517"/>
      <c r="AR151" s="517"/>
      <c r="AS151" s="517"/>
      <c r="AT151" s="517"/>
      <c r="AU151" s="517"/>
      <c r="AV151" s="517"/>
      <c r="AX151" s="517"/>
      <c r="AY151" s="517"/>
      <c r="AZ151" s="517"/>
      <c r="BA151" s="517"/>
      <c r="BB151" s="517"/>
      <c r="BC151" s="517"/>
      <c r="BD151" s="517"/>
      <c r="BE151" s="517"/>
      <c r="BF151" s="517"/>
      <c r="BG151" s="517"/>
      <c r="BH151" s="517"/>
      <c r="BI151" s="517"/>
      <c r="BJ151" s="517"/>
      <c r="BK151" s="517"/>
      <c r="BL151" s="517"/>
      <c r="BM151" s="517"/>
      <c r="BN151" s="517"/>
    </row>
    <row r="152" spans="1:66">
      <c r="A152" s="518" t="s">
        <v>805</v>
      </c>
      <c r="B152" s="529">
        <v>286.87061220754356</v>
      </c>
      <c r="C152" s="529">
        <v>317.04105786233407</v>
      </c>
      <c r="D152" s="529">
        <v>350.38455698539036</v>
      </c>
      <c r="E152" s="529">
        <v>387.23482252307303</v>
      </c>
      <c r="F152" s="529">
        <v>427.96066431868485</v>
      </c>
      <c r="G152" s="529">
        <v>472.96968028534508</v>
      </c>
      <c r="H152" s="529">
        <v>522.71233578290037</v>
      </c>
      <c r="I152" s="529">
        <v>535.94486156285018</v>
      </c>
      <c r="J152" s="529">
        <v>549.51237032776214</v>
      </c>
      <c r="K152" s="529">
        <v>563.42334221227406</v>
      </c>
      <c r="L152" s="529">
        <v>577.6864720266542</v>
      </c>
      <c r="M152" s="529">
        <v>592.31067469134121</v>
      </c>
      <c r="N152" s="529">
        <v>607.30509080905824</v>
      </c>
      <c r="O152" s="529">
        <v>622.67909237798881</v>
      </c>
      <c r="P152" s="529">
        <v>638.44228864957927</v>
      </c>
      <c r="Q152" s="529">
        <v>654.60453213463597</v>
      </c>
      <c r="R152" s="529">
        <v>671.17592476146115</v>
      </c>
      <c r="S152" s="529"/>
      <c r="T152" s="529"/>
      <c r="U152" s="529"/>
      <c r="V152" s="529"/>
      <c r="W152" s="529"/>
      <c r="X152" s="529"/>
      <c r="Y152" s="529"/>
      <c r="Z152" s="529"/>
      <c r="AA152" s="529"/>
      <c r="AB152" s="529"/>
      <c r="AC152" s="529"/>
      <c r="AD152" s="529"/>
      <c r="AE152" s="529"/>
      <c r="AF152" s="529"/>
      <c r="AH152" s="517"/>
      <c r="AI152" s="517"/>
      <c r="AJ152" s="517"/>
      <c r="AK152" s="517"/>
      <c r="AL152" s="517"/>
      <c r="AM152" s="517"/>
      <c r="AN152" s="517"/>
      <c r="AO152" s="517"/>
      <c r="AP152" s="517"/>
      <c r="AQ152" s="517"/>
      <c r="AR152" s="517"/>
      <c r="AS152" s="517"/>
      <c r="AT152" s="517"/>
      <c r="AU152" s="517"/>
      <c r="AV152" s="517"/>
      <c r="AX152" s="517"/>
      <c r="AY152" s="517"/>
      <c r="AZ152" s="517"/>
      <c r="BA152" s="517"/>
      <c r="BB152" s="517"/>
      <c r="BC152" s="517"/>
      <c r="BD152" s="517"/>
      <c r="BE152" s="517"/>
      <c r="BF152" s="517"/>
      <c r="BG152" s="517"/>
      <c r="BH152" s="517"/>
      <c r="BI152" s="517"/>
      <c r="BJ152" s="517"/>
      <c r="BK152" s="517"/>
      <c r="BL152" s="517"/>
      <c r="BM152" s="517"/>
      <c r="BN152" s="517"/>
    </row>
    <row r="153" spans="1:66">
      <c r="A153" s="518" t="s">
        <v>807</v>
      </c>
      <c r="B153" s="529">
        <v>163.3641360868175</v>
      </c>
      <c r="C153" s="529">
        <v>180.54529225970322</v>
      </c>
      <c r="D153" s="529">
        <v>199.53340640089226</v>
      </c>
      <c r="E153" s="529">
        <v>220.51851793883549</v>
      </c>
      <c r="F153" s="529">
        <v>243.71065292314387</v>
      </c>
      <c r="G153" s="529">
        <v>269.3419260358865</v>
      </c>
      <c r="H153" s="529">
        <v>297.66886367334376</v>
      </c>
      <c r="I153" s="529">
        <v>305.2043868336043</v>
      </c>
      <c r="J153" s="529">
        <v>312.93067267088156</v>
      </c>
      <c r="K153" s="529">
        <v>320.85255036533545</v>
      </c>
      <c r="L153" s="529">
        <v>328.97497134840421</v>
      </c>
      <c r="M153" s="529">
        <v>337.30301239760985</v>
      </c>
      <c r="N153" s="529">
        <v>345.84187880970808</v>
      </c>
      <c r="O153" s="529">
        <v>354.59690765417088</v>
      </c>
      <c r="P153" s="529">
        <v>363.57357110902598</v>
      </c>
      <c r="Q153" s="529">
        <v>372.77747988114805</v>
      </c>
      <c r="R153" s="529">
        <v>382.21438671313183</v>
      </c>
      <c r="S153" s="529"/>
      <c r="T153" s="529"/>
      <c r="U153" s="529"/>
      <c r="V153" s="529"/>
      <c r="W153" s="529"/>
      <c r="X153" s="529"/>
      <c r="Y153" s="529"/>
      <c r="Z153" s="529"/>
      <c r="AA153" s="529"/>
      <c r="AB153" s="529"/>
      <c r="AC153" s="529"/>
      <c r="AD153" s="529"/>
      <c r="AE153" s="529"/>
      <c r="AF153" s="529"/>
      <c r="AH153" s="517"/>
      <c r="AI153" s="517"/>
      <c r="AJ153" s="517"/>
      <c r="AK153" s="517"/>
      <c r="AL153" s="517"/>
      <c r="AM153" s="517"/>
      <c r="AN153" s="517"/>
      <c r="AO153" s="517"/>
      <c r="AP153" s="517"/>
      <c r="AQ153" s="517"/>
      <c r="AR153" s="517"/>
      <c r="AS153" s="517"/>
      <c r="AT153" s="517"/>
      <c r="AU153" s="517"/>
      <c r="AV153" s="517"/>
      <c r="AX153" s="517"/>
      <c r="AY153" s="517"/>
      <c r="AZ153" s="517"/>
      <c r="BA153" s="517"/>
      <c r="BB153" s="517"/>
      <c r="BC153" s="517"/>
      <c r="BD153" s="517"/>
      <c r="BE153" s="517"/>
      <c r="BF153" s="517"/>
      <c r="BG153" s="517"/>
      <c r="BH153" s="517"/>
      <c r="BI153" s="517"/>
      <c r="BJ153" s="517"/>
      <c r="BK153" s="517"/>
      <c r="BL153" s="517"/>
      <c r="BM153" s="517"/>
      <c r="BN153" s="517"/>
    </row>
    <row r="154" spans="1:66">
      <c r="A154" s="518" t="s">
        <v>809</v>
      </c>
      <c r="B154" s="529">
        <v>1659.376148933856</v>
      </c>
      <c r="C154" s="529">
        <v>1833.8942619500622</v>
      </c>
      <c r="D154" s="529">
        <v>2026.7666051330129</v>
      </c>
      <c r="E154" s="529">
        <v>2239.9235097199153</v>
      </c>
      <c r="F154" s="529">
        <v>2475.4983216563855</v>
      </c>
      <c r="G154" s="529">
        <v>2735.8487528397136</v>
      </c>
      <c r="H154" s="529">
        <v>3023.5804778919824</v>
      </c>
      <c r="I154" s="529">
        <v>3100.1227821051284</v>
      </c>
      <c r="J154" s="529">
        <v>3178.6027639746471</v>
      </c>
      <c r="K154" s="529">
        <v>3259.0694760439478</v>
      </c>
      <c r="L154" s="529">
        <v>3341.5732126274879</v>
      </c>
      <c r="M154" s="529">
        <v>3426.1655412463542</v>
      </c>
      <c r="N154" s="529">
        <v>3512.8993348596514</v>
      </c>
      <c r="O154" s="529">
        <v>3601.8288049118082</v>
      </c>
      <c r="P154" s="529">
        <v>3693.0095352165117</v>
      </c>
      <c r="Q154" s="529">
        <v>3786.498516698382</v>
      </c>
      <c r="R154" s="529">
        <v>3882.3541830141735</v>
      </c>
      <c r="S154" s="529"/>
      <c r="T154" s="529"/>
      <c r="U154" s="529"/>
      <c r="V154" s="529"/>
      <c r="W154" s="529"/>
      <c r="X154" s="529"/>
      <c r="Y154" s="529"/>
      <c r="Z154" s="529"/>
      <c r="AA154" s="529"/>
      <c r="AB154" s="529"/>
      <c r="AC154" s="529"/>
      <c r="AD154" s="529"/>
      <c r="AE154" s="529"/>
      <c r="AF154" s="529"/>
      <c r="AH154" s="517"/>
      <c r="AI154" s="517"/>
      <c r="AJ154" s="517"/>
      <c r="AK154" s="517"/>
      <c r="AL154" s="517"/>
      <c r="AM154" s="517"/>
      <c r="AN154" s="517"/>
      <c r="AO154" s="517"/>
      <c r="AP154" s="517"/>
      <c r="AQ154" s="517"/>
      <c r="AR154" s="517"/>
      <c r="AS154" s="517"/>
      <c r="AT154" s="517"/>
      <c r="AU154" s="517"/>
      <c r="AV154" s="517"/>
      <c r="AX154" s="517"/>
      <c r="AY154" s="517"/>
      <c r="AZ154" s="517"/>
      <c r="BA154" s="517"/>
      <c r="BB154" s="517"/>
      <c r="BC154" s="517"/>
      <c r="BD154" s="517"/>
      <c r="BE154" s="517"/>
      <c r="BF154" s="517"/>
      <c r="BG154" s="517"/>
      <c r="BH154" s="517"/>
      <c r="BI154" s="517"/>
      <c r="BJ154" s="517"/>
      <c r="BK154" s="517"/>
      <c r="BL154" s="517"/>
      <c r="BM154" s="517"/>
      <c r="BN154" s="517"/>
    </row>
    <row r="155" spans="1:66">
      <c r="A155" s="518" t="s">
        <v>811</v>
      </c>
      <c r="B155" s="529">
        <v>15940.244823730043</v>
      </c>
      <c r="C155" s="529">
        <v>17616.695006192323</v>
      </c>
      <c r="D155" s="529">
        <v>19469.458993452252</v>
      </c>
      <c r="E155" s="529">
        <v>21517.079870229802</v>
      </c>
      <c r="F155" s="529">
        <v>23780.050914488897</v>
      </c>
      <c r="G155" s="529">
        <v>26281.020701051348</v>
      </c>
      <c r="H155" s="529">
        <v>29045.019776146022</v>
      </c>
      <c r="I155" s="529">
        <v>29780.297952413581</v>
      </c>
      <c r="J155" s="529">
        <v>30534.189784332331</v>
      </c>
      <c r="K155" s="529">
        <v>31307.166478838488</v>
      </c>
      <c r="L155" s="529">
        <v>32099.711171528645</v>
      </c>
      <c r="M155" s="529">
        <v>32912.31922863525</v>
      </c>
      <c r="N155" s="529">
        <v>33745.498556646628</v>
      </c>
      <c r="O155" s="529">
        <v>34599.76991976508</v>
      </c>
      <c r="P155" s="529">
        <v>35475.667265401447</v>
      </c>
      <c r="Q155" s="529">
        <v>36373.738057909613</v>
      </c>
      <c r="R155" s="529">
        <v>37294.543620769597</v>
      </c>
      <c r="S155" s="529"/>
      <c r="T155" s="529"/>
      <c r="U155" s="529"/>
      <c r="V155" s="529"/>
      <c r="W155" s="529"/>
      <c r="X155" s="529"/>
      <c r="Y155" s="529"/>
      <c r="Z155" s="529"/>
      <c r="AA155" s="529"/>
      <c r="AB155" s="529"/>
      <c r="AC155" s="529"/>
      <c r="AD155" s="529"/>
      <c r="AE155" s="529"/>
      <c r="AF155" s="529"/>
      <c r="AH155" s="517"/>
      <c r="AI155" s="517"/>
      <c r="AJ155" s="517"/>
      <c r="AK155" s="517"/>
      <c r="AL155" s="517"/>
      <c r="AM155" s="517"/>
      <c r="AN155" s="517"/>
      <c r="AO155" s="517"/>
      <c r="AP155" s="517"/>
      <c r="AQ155" s="517"/>
      <c r="AR155" s="517"/>
      <c r="AS155" s="517"/>
      <c r="AT155" s="517"/>
      <c r="AU155" s="517"/>
      <c r="AV155" s="517"/>
      <c r="AX155" s="517"/>
      <c r="AY155" s="517"/>
      <c r="AZ155" s="517"/>
      <c r="BA155" s="517"/>
      <c r="BB155" s="517"/>
      <c r="BC155" s="517"/>
      <c r="BD155" s="517"/>
      <c r="BE155" s="517"/>
      <c r="BF155" s="517"/>
      <c r="BG155" s="517"/>
      <c r="BH155" s="517"/>
      <c r="BI155" s="517"/>
      <c r="BJ155" s="517"/>
      <c r="BK155" s="517"/>
      <c r="BL155" s="517"/>
      <c r="BM155" s="517"/>
      <c r="BN155" s="517"/>
    </row>
    <row r="156" spans="1:66">
      <c r="A156" s="518" t="s">
        <v>813</v>
      </c>
      <c r="B156" s="529">
        <v>25965.580666470614</v>
      </c>
      <c r="C156" s="529">
        <v>28696.404623530616</v>
      </c>
      <c r="D156" s="529">
        <v>31714.431843257596</v>
      </c>
      <c r="E156" s="529">
        <v>35049.867756460553</v>
      </c>
      <c r="F156" s="529">
        <v>38736.094526837544</v>
      </c>
      <c r="G156" s="529">
        <v>42810.005150890131</v>
      </c>
      <c r="H156" s="529">
        <v>47312.372695432459</v>
      </c>
      <c r="I156" s="529">
        <v>48510.091112514026</v>
      </c>
      <c r="J156" s="529">
        <v>49738.12991567835</v>
      </c>
      <c r="K156" s="529">
        <v>50997.256669153438</v>
      </c>
      <c r="L156" s="529">
        <v>52288.258368148279</v>
      </c>
      <c r="M156" s="529">
        <v>53611.941930750458</v>
      </c>
      <c r="N156" s="529">
        <v>54969.134702276075</v>
      </c>
      <c r="O156" s="529">
        <v>56360.68497238776</v>
      </c>
      <c r="P156" s="529">
        <v>57787.46250530312</v>
      </c>
      <c r="Q156" s="529">
        <v>59250.359083425777</v>
      </c>
      <c r="R156" s="529">
        <v>60750.289064738405</v>
      </c>
      <c r="S156" s="529"/>
      <c r="T156" s="529"/>
      <c r="U156" s="529"/>
      <c r="V156" s="529"/>
      <c r="W156" s="529"/>
      <c r="X156" s="529"/>
      <c r="Y156" s="529"/>
      <c r="Z156" s="529"/>
      <c r="AA156" s="529"/>
      <c r="AB156" s="529"/>
      <c r="AC156" s="529"/>
      <c r="AD156" s="529"/>
      <c r="AE156" s="529"/>
      <c r="AF156" s="529"/>
      <c r="AH156" s="517"/>
      <c r="AI156" s="517"/>
      <c r="AJ156" s="517"/>
      <c r="AK156" s="517"/>
      <c r="AL156" s="517"/>
      <c r="AM156" s="517"/>
      <c r="AN156" s="517"/>
      <c r="AO156" s="517"/>
      <c r="AP156" s="517"/>
      <c r="AQ156" s="517"/>
      <c r="AR156" s="517"/>
      <c r="AS156" s="517"/>
      <c r="AT156" s="517"/>
      <c r="AU156" s="517"/>
      <c r="AV156" s="517"/>
      <c r="AX156" s="517"/>
      <c r="AY156" s="517"/>
      <c r="AZ156" s="517"/>
      <c r="BA156" s="517"/>
      <c r="BB156" s="517"/>
      <c r="BC156" s="517"/>
      <c r="BD156" s="517"/>
      <c r="BE156" s="517"/>
      <c r="BF156" s="517"/>
      <c r="BG156" s="517"/>
      <c r="BH156" s="517"/>
      <c r="BI156" s="517"/>
      <c r="BJ156" s="517"/>
      <c r="BK156" s="517"/>
      <c r="BL156" s="517"/>
      <c r="BM156" s="517"/>
      <c r="BN156" s="517"/>
    </row>
    <row r="157" spans="1:66">
      <c r="A157" s="518" t="s">
        <v>815</v>
      </c>
      <c r="B157" s="529">
        <v>18213.767865001562</v>
      </c>
      <c r="C157" s="529">
        <v>20129.326552980503</v>
      </c>
      <c r="D157" s="529">
        <v>22246.346306801985</v>
      </c>
      <c r="E157" s="529">
        <v>24586.014971717137</v>
      </c>
      <c r="F157" s="529">
        <v>27171.748738114242</v>
      </c>
      <c r="G157" s="529">
        <v>30029.426498622553</v>
      </c>
      <c r="H157" s="529">
        <v>33187.648852767867</v>
      </c>
      <c r="I157" s="529">
        <v>34027.79818339811</v>
      </c>
      <c r="J157" s="529">
        <v>34889.215995591774</v>
      </c>
      <c r="K157" s="529">
        <v>35772.440703523011</v>
      </c>
      <c r="L157" s="529">
        <v>36678.024351385684</v>
      </c>
      <c r="M157" s="529">
        <v>37606.53295843894</v>
      </c>
      <c r="N157" s="529">
        <v>38558.546872787731</v>
      </c>
      <c r="O157" s="529">
        <v>39534.661134119189</v>
      </c>
      <c r="P157" s="529">
        <v>40535.485845621879</v>
      </c>
      <c r="Q157" s="529">
        <v>41561.646555320069</v>
      </c>
      <c r="R157" s="529">
        <v>42613.784647061708</v>
      </c>
      <c r="S157" s="529"/>
      <c r="T157" s="529"/>
      <c r="U157" s="529"/>
      <c r="V157" s="529"/>
      <c r="W157" s="529"/>
      <c r="X157" s="529"/>
      <c r="Y157" s="529"/>
      <c r="Z157" s="529"/>
      <c r="AA157" s="529"/>
      <c r="AB157" s="529"/>
      <c r="AC157" s="529"/>
      <c r="AD157" s="529"/>
      <c r="AE157" s="529"/>
      <c r="AF157" s="529"/>
      <c r="AH157" s="517"/>
      <c r="AI157" s="517"/>
      <c r="AJ157" s="517"/>
      <c r="AK157" s="517"/>
      <c r="AL157" s="517"/>
      <c r="AM157" s="517"/>
      <c r="AN157" s="517"/>
      <c r="AO157" s="517"/>
      <c r="AP157" s="517"/>
      <c r="AQ157" s="517"/>
      <c r="AR157" s="517"/>
      <c r="AS157" s="517"/>
      <c r="AT157" s="517"/>
      <c r="AU157" s="517"/>
      <c r="AV157" s="517"/>
      <c r="AX157" s="517"/>
      <c r="AY157" s="517"/>
      <c r="AZ157" s="517"/>
      <c r="BA157" s="517"/>
      <c r="BB157" s="517"/>
      <c r="BC157" s="517"/>
      <c r="BD157" s="517"/>
      <c r="BE157" s="517"/>
      <c r="BF157" s="517"/>
      <c r="BG157" s="517"/>
      <c r="BH157" s="517"/>
      <c r="BI157" s="517"/>
      <c r="BJ157" s="517"/>
      <c r="BK157" s="517"/>
      <c r="BL157" s="517"/>
      <c r="BM157" s="517"/>
      <c r="BN157" s="517"/>
    </row>
    <row r="158" spans="1:66">
      <c r="A158" s="507" t="s">
        <v>817</v>
      </c>
      <c r="B158" s="529">
        <v>11668.660755021738</v>
      </c>
      <c r="C158" s="529">
        <v>12895.864519340654</v>
      </c>
      <c r="D158" s="529">
        <v>14252.134430218885</v>
      </c>
      <c r="E158" s="529">
        <v>15751.044492782548</v>
      </c>
      <c r="F158" s="529">
        <v>17407.596302738864</v>
      </c>
      <c r="G158" s="529">
        <v>19238.369187388162</v>
      </c>
      <c r="H158" s="529">
        <v>21261.686137104029</v>
      </c>
      <c r="I158" s="529">
        <v>21799.928284217396</v>
      </c>
      <c r="J158" s="529">
        <v>22351.796096156264</v>
      </c>
      <c r="K158" s="529">
        <v>22917.634508267922</v>
      </c>
      <c r="L158" s="529">
        <v>23497.797187979537</v>
      </c>
      <c r="M158" s="529">
        <v>24092.646755851823</v>
      </c>
      <c r="N158" s="529">
        <v>24702.555012228702</v>
      </c>
      <c r="O158" s="529">
        <v>25327.903169624602</v>
      </c>
      <c r="P158" s="529">
        <v>25969.082090994711</v>
      </c>
      <c r="Q158" s="529">
        <v>26626.492534037036</v>
      </c>
      <c r="R158" s="529">
        <v>27300.545401678988</v>
      </c>
      <c r="S158" s="529"/>
      <c r="T158" s="529"/>
      <c r="U158" s="529"/>
      <c r="V158" s="529"/>
      <c r="W158" s="529"/>
      <c r="X158" s="529"/>
      <c r="Y158" s="529"/>
      <c r="Z158" s="529"/>
      <c r="AA158" s="529"/>
      <c r="AB158" s="529"/>
      <c r="AC158" s="529"/>
      <c r="AD158" s="529"/>
      <c r="AE158" s="529"/>
      <c r="AF158" s="529"/>
      <c r="AH158" s="517"/>
      <c r="AI158" s="517"/>
      <c r="AJ158" s="517"/>
      <c r="AK158" s="517"/>
      <c r="AL158" s="517"/>
      <c r="AM158" s="517"/>
      <c r="AN158" s="517"/>
      <c r="AO158" s="517"/>
      <c r="AP158" s="517"/>
      <c r="AQ158" s="517"/>
      <c r="AR158" s="517"/>
      <c r="AS158" s="517"/>
      <c r="AT158" s="517"/>
      <c r="AU158" s="517"/>
      <c r="AV158" s="517"/>
      <c r="AX158" s="517"/>
      <c r="AY158" s="517"/>
      <c r="AZ158" s="517"/>
      <c r="BA158" s="517"/>
      <c r="BB158" s="517"/>
      <c r="BC158" s="517"/>
      <c r="BD158" s="517"/>
      <c r="BE158" s="517"/>
      <c r="BF158" s="517"/>
      <c r="BG158" s="517"/>
      <c r="BH158" s="517"/>
      <c r="BI158" s="517"/>
      <c r="BJ158" s="517"/>
      <c r="BK158" s="517"/>
      <c r="BL158" s="517"/>
      <c r="BM158" s="517"/>
      <c r="BN158" s="517"/>
    </row>
    <row r="159" spans="1:66">
      <c r="A159" s="507" t="s">
        <v>819</v>
      </c>
      <c r="B159" s="529">
        <v>7262.1816775758516</v>
      </c>
      <c r="C159" s="529">
        <v>8025.9519918386504</v>
      </c>
      <c r="D159" s="529">
        <v>8870.0487312513978</v>
      </c>
      <c r="E159" s="529">
        <v>9802.919899692839</v>
      </c>
      <c r="F159" s="529">
        <v>10833.90198536557</v>
      </c>
      <c r="G159" s="529">
        <v>11973.313403508051</v>
      </c>
      <c r="H159" s="529">
        <v>13232.557766562451</v>
      </c>
      <c r="I159" s="529">
        <v>13567.541561269449</v>
      </c>
      <c r="J159" s="529">
        <v>13911.005511113181</v>
      </c>
      <c r="K159" s="529">
        <v>14263.164292243004</v>
      </c>
      <c r="L159" s="529">
        <v>14624.238015360868</v>
      </c>
      <c r="M159" s="529">
        <v>14994.452363297663</v>
      </c>
      <c r="N159" s="529">
        <v>15374.038732072346</v>
      </c>
      <c r="O159" s="529">
        <v>15763.234375522001</v>
      </c>
      <c r="P159" s="529">
        <v>16162.282553593159</v>
      </c>
      <c r="Q159" s="529">
        <v>16571.432684387244</v>
      </c>
      <c r="R159" s="529">
        <v>16990.940500054967</v>
      </c>
      <c r="S159" s="529"/>
      <c r="T159" s="529"/>
      <c r="U159" s="529"/>
      <c r="V159" s="529"/>
      <c r="W159" s="529"/>
      <c r="X159" s="529"/>
      <c r="Y159" s="529"/>
      <c r="Z159" s="529"/>
      <c r="AA159" s="529"/>
      <c r="AB159" s="529"/>
      <c r="AC159" s="529"/>
      <c r="AD159" s="529"/>
      <c r="AE159" s="529"/>
      <c r="AF159" s="529"/>
      <c r="AH159" s="517"/>
      <c r="AI159" s="517"/>
      <c r="AJ159" s="517"/>
      <c r="AK159" s="517"/>
      <c r="AL159" s="517"/>
      <c r="AM159" s="517"/>
      <c r="AN159" s="517"/>
      <c r="AO159" s="517"/>
      <c r="AP159" s="517"/>
      <c r="AQ159" s="517"/>
      <c r="AR159" s="517"/>
      <c r="AS159" s="517"/>
      <c r="AT159" s="517"/>
      <c r="AU159" s="517"/>
      <c r="AV159" s="517"/>
      <c r="AX159" s="517"/>
      <c r="AY159" s="517"/>
      <c r="AZ159" s="517"/>
      <c r="BA159" s="517"/>
      <c r="BB159" s="517"/>
      <c r="BC159" s="517"/>
      <c r="BD159" s="517"/>
      <c r="BE159" s="517"/>
      <c r="BF159" s="517"/>
      <c r="BG159" s="517"/>
      <c r="BH159" s="517"/>
      <c r="BI159" s="517"/>
      <c r="BJ159" s="517"/>
      <c r="BK159" s="517"/>
      <c r="BL159" s="517"/>
      <c r="BM159" s="517"/>
      <c r="BN159" s="517"/>
    </row>
    <row r="160" spans="1:66">
      <c r="A160" s="507" t="s">
        <v>821</v>
      </c>
      <c r="B160" s="529">
        <v>4146.9515540473194</v>
      </c>
      <c r="C160" s="529">
        <v>4583.0902562017109</v>
      </c>
      <c r="D160" s="529">
        <v>5065.0980660699988</v>
      </c>
      <c r="E160" s="529">
        <v>5597.7990798217688</v>
      </c>
      <c r="F160" s="529">
        <v>6186.5247482496397</v>
      </c>
      <c r="G160" s="529">
        <v>6837.1672357207717</v>
      </c>
      <c r="H160" s="529">
        <v>7556.2383909382625</v>
      </c>
      <c r="I160" s="529">
        <v>7747.5254765161826</v>
      </c>
      <c r="J160" s="529">
        <v>7943.6550177202716</v>
      </c>
      <c r="K160" s="529">
        <v>8144.7496018983456</v>
      </c>
      <c r="L160" s="529">
        <v>8350.9349197116953</v>
      </c>
      <c r="M160" s="529">
        <v>8562.3398436958578</v>
      </c>
      <c r="N160" s="529">
        <v>8779.0965088101366</v>
      </c>
      <c r="O160" s="529">
        <v>9001.34039502626</v>
      </c>
      <c r="P160" s="529">
        <v>9229.2104120077602</v>
      </c>
      <c r="Q160" s="529">
        <v>9462.8489859330512</v>
      </c>
      <c r="R160" s="529">
        <v>9702.4021485164158</v>
      </c>
      <c r="S160" s="529"/>
      <c r="T160" s="529"/>
      <c r="U160" s="529"/>
      <c r="V160" s="529"/>
      <c r="W160" s="529"/>
      <c r="X160" s="529"/>
      <c r="Y160" s="529"/>
      <c r="Z160" s="529"/>
      <c r="AA160" s="529"/>
      <c r="AB160" s="529"/>
      <c r="AC160" s="529"/>
      <c r="AD160" s="529"/>
      <c r="AE160" s="529"/>
      <c r="AF160" s="529"/>
      <c r="AH160" s="517"/>
      <c r="AI160" s="517"/>
      <c r="AJ160" s="517"/>
      <c r="AK160" s="517"/>
      <c r="AL160" s="517"/>
      <c r="AM160" s="517"/>
      <c r="AN160" s="517"/>
      <c r="AO160" s="517"/>
      <c r="AP160" s="517"/>
      <c r="AQ160" s="517"/>
      <c r="AR160" s="517"/>
      <c r="AS160" s="517"/>
      <c r="AT160" s="517"/>
      <c r="AU160" s="517"/>
      <c r="AV160" s="517"/>
      <c r="AX160" s="517"/>
      <c r="AY160" s="517"/>
      <c r="AZ160" s="517"/>
      <c r="BA160" s="517"/>
      <c r="BB160" s="517"/>
      <c r="BC160" s="517"/>
      <c r="BD160" s="517"/>
      <c r="BE160" s="517"/>
      <c r="BF160" s="517"/>
      <c r="BG160" s="517"/>
      <c r="BH160" s="517"/>
      <c r="BI160" s="517"/>
      <c r="BJ160" s="517"/>
      <c r="BK160" s="517"/>
      <c r="BL160" s="517"/>
      <c r="BM160" s="517"/>
      <c r="BN160" s="517"/>
    </row>
    <row r="161" spans="1:66">
      <c r="A161" s="507" t="s">
        <v>823</v>
      </c>
      <c r="B161" s="529">
        <v>1960.5960568562846</v>
      </c>
      <c r="C161" s="529">
        <v>2166.7937441313543</v>
      </c>
      <c r="D161" s="529">
        <v>2394.6774314822192</v>
      </c>
      <c r="E161" s="529">
        <v>2646.5278554462379</v>
      </c>
      <c r="F161" s="529">
        <v>2924.8656197162936</v>
      </c>
      <c r="G161" s="529">
        <v>3232.4764221897558</v>
      </c>
      <c r="H161" s="529">
        <v>3572.4389351693367</v>
      </c>
      <c r="I161" s="529">
        <v>3662.8756573793116</v>
      </c>
      <c r="J161" s="529">
        <v>3755.601796111865</v>
      </c>
      <c r="K161" s="529">
        <v>3850.6753082221981</v>
      </c>
      <c r="L161" s="529">
        <v>3948.1556177502853</v>
      </c>
      <c r="M161" s="529">
        <v>4048.1036530628344</v>
      </c>
      <c r="N161" s="529">
        <v>4150.5818849355001</v>
      </c>
      <c r="O161" s="529">
        <v>4255.6543655991536</v>
      </c>
      <c r="P161" s="529">
        <v>4363.3867687746078</v>
      </c>
      <c r="Q161" s="529">
        <v>4473.8464307208351</v>
      </c>
      <c r="R161" s="529">
        <v>4587.1023923223202</v>
      </c>
      <c r="S161" s="529"/>
      <c r="T161" s="529"/>
      <c r="U161" s="529"/>
      <c r="V161" s="529"/>
      <c r="W161" s="529"/>
      <c r="X161" s="529"/>
      <c r="Y161" s="529"/>
      <c r="Z161" s="529"/>
      <c r="AA161" s="529"/>
      <c r="AB161" s="529"/>
      <c r="AC161" s="529"/>
      <c r="AD161" s="529"/>
      <c r="AE161" s="529"/>
      <c r="AF161" s="529"/>
      <c r="AH161" s="517"/>
      <c r="AI161" s="517"/>
      <c r="AJ161" s="517"/>
      <c r="AK161" s="517"/>
      <c r="AL161" s="517"/>
      <c r="AM161" s="517"/>
      <c r="AN161" s="517"/>
      <c r="AO161" s="517"/>
      <c r="AP161" s="517"/>
      <c r="AQ161" s="517"/>
      <c r="AR161" s="517"/>
      <c r="AS161" s="517"/>
      <c r="AT161" s="517"/>
      <c r="AU161" s="517"/>
      <c r="AV161" s="517"/>
      <c r="AX161" s="517"/>
      <c r="AY161" s="517"/>
      <c r="AZ161" s="517"/>
      <c r="BA161" s="517"/>
      <c r="BB161" s="517"/>
      <c r="BC161" s="517"/>
      <c r="BD161" s="517"/>
      <c r="BE161" s="517"/>
      <c r="BF161" s="517"/>
      <c r="BG161" s="517"/>
      <c r="BH161" s="517"/>
      <c r="BI161" s="517"/>
      <c r="BJ161" s="517"/>
      <c r="BK161" s="517"/>
      <c r="BL161" s="517"/>
      <c r="BM161" s="517"/>
      <c r="BN161" s="517"/>
    </row>
    <row r="162" spans="1:66">
      <c r="A162" s="507" t="s">
        <v>825</v>
      </c>
      <c r="B162" s="529">
        <v>772.74168705675083</v>
      </c>
      <c r="C162" s="529">
        <v>854.01163971983431</v>
      </c>
      <c r="D162" s="529">
        <v>943.82882791645875</v>
      </c>
      <c r="E162" s="529">
        <v>1043.092172254695</v>
      </c>
      <c r="F162" s="529">
        <v>1152.7951336482427</v>
      </c>
      <c r="G162" s="529">
        <v>1274.0356562071674</v>
      </c>
      <c r="H162" s="529">
        <v>1408.0271558315853</v>
      </c>
      <c r="I162" s="529">
        <v>1443.6715329831309</v>
      </c>
      <c r="J162" s="529">
        <v>1480.2182518382865</v>
      </c>
      <c r="K162" s="529">
        <v>1517.6901552860318</v>
      </c>
      <c r="L162" s="529">
        <v>1556.1106644858362</v>
      </c>
      <c r="M162" s="529">
        <v>1595.5037935066448</v>
      </c>
      <c r="N162" s="529">
        <v>1635.894164336449</v>
      </c>
      <c r="O162" s="529">
        <v>1677.3070222718356</v>
      </c>
      <c r="P162" s="529">
        <v>1719.7682516971176</v>
      </c>
      <c r="Q162" s="529">
        <v>1763.3043922629172</v>
      </c>
      <c r="R162" s="529">
        <v>1807.9426554743077</v>
      </c>
      <c r="S162" s="529"/>
      <c r="T162" s="529"/>
      <c r="U162" s="529"/>
      <c r="V162" s="529"/>
      <c r="W162" s="529"/>
      <c r="X162" s="529"/>
      <c r="Y162" s="529"/>
      <c r="Z162" s="529"/>
      <c r="AA162" s="529"/>
      <c r="AB162" s="529"/>
      <c r="AC162" s="529"/>
      <c r="AD162" s="529"/>
      <c r="AE162" s="529"/>
      <c r="AF162" s="529"/>
      <c r="AH162" s="517"/>
      <c r="AI162" s="517"/>
      <c r="AJ162" s="517"/>
      <c r="AK162" s="517"/>
      <c r="AL162" s="517"/>
      <c r="AM162" s="517"/>
      <c r="AN162" s="517"/>
      <c r="AO162" s="517"/>
      <c r="AP162" s="517"/>
      <c r="AQ162" s="517"/>
      <c r="AR162" s="517"/>
      <c r="AS162" s="517"/>
      <c r="AT162" s="517"/>
      <c r="AU162" s="517"/>
      <c r="AV162" s="517"/>
      <c r="AX162" s="517"/>
      <c r="AY162" s="517"/>
      <c r="AZ162" s="517"/>
      <c r="BA162" s="517"/>
      <c r="BB162" s="517"/>
      <c r="BC162" s="517"/>
      <c r="BD162" s="517"/>
      <c r="BE162" s="517"/>
      <c r="BF162" s="517"/>
      <c r="BG162" s="517"/>
      <c r="BH162" s="517"/>
      <c r="BI162" s="517"/>
      <c r="BJ162" s="517"/>
      <c r="BK162" s="517"/>
      <c r="BL162" s="517"/>
      <c r="BM162" s="517"/>
      <c r="BN162" s="517"/>
    </row>
    <row r="163" spans="1:66">
      <c r="A163" s="507" t="s">
        <v>827</v>
      </c>
      <c r="B163" s="529">
        <v>289.28382338900224</v>
      </c>
      <c r="C163" s="529">
        <v>319.70806867925717</v>
      </c>
      <c r="D163" s="529">
        <v>353.33205977844693</v>
      </c>
      <c r="E163" s="529">
        <v>390.49231689090584</v>
      </c>
      <c r="F163" s="529">
        <v>431.56075235980904</v>
      </c>
      <c r="G163" s="529">
        <v>476.94839289090748</v>
      </c>
      <c r="H163" s="529">
        <v>527.10949324594901</v>
      </c>
      <c r="I163" s="529">
        <v>540.45333359704068</v>
      </c>
      <c r="J163" s="529">
        <v>554.13497487487928</v>
      </c>
      <c r="K163" s="529">
        <v>568.1629685506382</v>
      </c>
      <c r="L163" s="529">
        <v>582.54608257701466</v>
      </c>
      <c r="M163" s="529">
        <v>597.29330686848584</v>
      </c>
      <c r="N163" s="529">
        <v>612.41385892029632</v>
      </c>
      <c r="O163" s="529">
        <v>627.91718956969407</v>
      </c>
      <c r="P163" s="529">
        <v>643.81298890301173</v>
      </c>
      <c r="Q163" s="529">
        <v>660.11119231228406</v>
      </c>
      <c r="R163" s="529">
        <v>676.82198670519392</v>
      </c>
      <c r="S163" s="529"/>
      <c r="T163" s="529"/>
      <c r="U163" s="529"/>
      <c r="V163" s="529"/>
      <c r="W163" s="529"/>
      <c r="X163" s="529"/>
      <c r="Y163" s="529"/>
      <c r="Z163" s="529"/>
      <c r="AA163" s="529"/>
      <c r="AB163" s="529"/>
      <c r="AC163" s="529"/>
      <c r="AD163" s="529"/>
      <c r="AE163" s="529"/>
      <c r="AF163" s="529"/>
      <c r="AH163" s="517"/>
      <c r="AI163" s="517"/>
      <c r="AJ163" s="517"/>
      <c r="AK163" s="517"/>
      <c r="AL163" s="517"/>
      <c r="AM163" s="517"/>
      <c r="AN163" s="517"/>
      <c r="AO163" s="517"/>
      <c r="AP163" s="517"/>
      <c r="AQ163" s="517"/>
      <c r="AR163" s="517"/>
      <c r="AS163" s="517"/>
      <c r="AT163" s="517"/>
      <c r="AU163" s="517"/>
      <c r="AV163" s="517"/>
      <c r="AX163" s="517"/>
      <c r="AY163" s="517"/>
      <c r="AZ163" s="517"/>
      <c r="BA163" s="517"/>
      <c r="BB163" s="517"/>
      <c r="BC163" s="517"/>
      <c r="BD163" s="517"/>
      <c r="BE163" s="517"/>
      <c r="BF163" s="517"/>
      <c r="BG163" s="517"/>
      <c r="BH163" s="517"/>
      <c r="BI163" s="517"/>
      <c r="BJ163" s="517"/>
      <c r="BK163" s="517"/>
      <c r="BL163" s="517"/>
      <c r="BM163" s="517"/>
      <c r="BN163" s="517"/>
    </row>
    <row r="164" spans="1:66">
      <c r="A164" s="507" t="s">
        <v>829</v>
      </c>
      <c r="B164" s="529">
        <v>103.1430781083894</v>
      </c>
      <c r="C164" s="529">
        <v>113.99073032619694</v>
      </c>
      <c r="D164" s="529">
        <v>125.9792400867167</v>
      </c>
      <c r="E164" s="529">
        <v>139.22859242510913</v>
      </c>
      <c r="F164" s="529">
        <v>153.87139131283797</v>
      </c>
      <c r="G164" s="529">
        <v>170.05418680278638</v>
      </c>
      <c r="H164" s="529">
        <v>187.93894175144317</v>
      </c>
      <c r="I164" s="529">
        <v>192.69663871311454</v>
      </c>
      <c r="J164" s="529">
        <v>197.5747773467894</v>
      </c>
      <c r="K164" s="529">
        <v>202.57640664791055</v>
      </c>
      <c r="L164" s="529">
        <v>207.70465279760805</v>
      </c>
      <c r="M164" s="529">
        <v>212.96272111666417</v>
      </c>
      <c r="N164" s="529">
        <v>218.3538980689429</v>
      </c>
      <c r="O164" s="529">
        <v>223.88155331553702</v>
      </c>
      <c r="P164" s="529">
        <v>229.54914182091622</v>
      </c>
      <c r="Q164" s="529">
        <v>235.36020601239187</v>
      </c>
      <c r="R164" s="529">
        <v>241.31837799425</v>
      </c>
      <c r="S164" s="529"/>
      <c r="T164" s="529"/>
      <c r="U164" s="529"/>
      <c r="V164" s="529"/>
      <c r="W164" s="529"/>
      <c r="X164" s="529"/>
      <c r="Y164" s="529"/>
      <c r="Z164" s="529"/>
      <c r="AA164" s="529"/>
      <c r="AB164" s="529"/>
      <c r="AC164" s="529"/>
      <c r="AD164" s="529"/>
      <c r="AE164" s="529"/>
      <c r="AF164" s="529"/>
      <c r="AH164" s="517"/>
      <c r="AI164" s="517"/>
      <c r="AJ164" s="517"/>
      <c r="AK164" s="517"/>
      <c r="AL164" s="517"/>
      <c r="AM164" s="517"/>
      <c r="AN164" s="517"/>
      <c r="AO164" s="517"/>
      <c r="AP164" s="517"/>
      <c r="AQ164" s="517"/>
      <c r="AR164" s="517"/>
      <c r="AS164" s="517"/>
      <c r="AT164" s="517"/>
      <c r="AU164" s="517"/>
      <c r="AV164" s="517"/>
      <c r="AX164" s="517"/>
      <c r="AY164" s="517"/>
      <c r="AZ164" s="517"/>
      <c r="BA164" s="517"/>
      <c r="BB164" s="517"/>
      <c r="BC164" s="517"/>
      <c r="BD164" s="517"/>
      <c r="BE164" s="517"/>
      <c r="BF164" s="517"/>
      <c r="BG164" s="517"/>
      <c r="BH164" s="517"/>
      <c r="BI164" s="517"/>
      <c r="BJ164" s="517"/>
      <c r="BK164" s="517"/>
      <c r="BL164" s="517"/>
      <c r="BM164" s="517"/>
      <c r="BN164" s="517"/>
    </row>
    <row r="165" spans="1:66">
      <c r="A165" s="507" t="s">
        <v>831</v>
      </c>
      <c r="B165" s="529">
        <v>49.123402816424807</v>
      </c>
      <c r="C165" s="529">
        <v>54.289756189628058</v>
      </c>
      <c r="D165" s="529">
        <v>59.999459690194321</v>
      </c>
      <c r="E165" s="529">
        <v>66.309657949854895</v>
      </c>
      <c r="F165" s="529">
        <v>73.283505553723273</v>
      </c>
      <c r="G165" s="529">
        <v>80.99079911261019</v>
      </c>
      <c r="H165" s="529">
        <v>89.508675810963766</v>
      </c>
      <c r="I165" s="529">
        <v>91.77459872710034</v>
      </c>
      <c r="J165" s="529">
        <v>94.097883754957962</v>
      </c>
      <c r="K165" s="529">
        <v>96.479983023308435</v>
      </c>
      <c r="L165" s="529">
        <v>98.922385421738326</v>
      </c>
      <c r="M165" s="529">
        <v>101.42661753125364</v>
      </c>
      <c r="N165" s="529">
        <v>103.99424457844248</v>
      </c>
      <c r="O165" s="529">
        <v>106.62687141379267</v>
      </c>
      <c r="P165" s="529">
        <v>109.32614351477565</v>
      </c>
      <c r="Q165" s="529">
        <v>112.09374801432318</v>
      </c>
      <c r="R165" s="529">
        <v>114.93141475534074</v>
      </c>
      <c r="S165" s="529"/>
      <c r="T165" s="529"/>
      <c r="U165" s="529"/>
      <c r="V165" s="529"/>
      <c r="W165" s="529"/>
      <c r="X165" s="529"/>
      <c r="Y165" s="529"/>
      <c r="Z165" s="529"/>
      <c r="AA165" s="529"/>
      <c r="AB165" s="529"/>
      <c r="AC165" s="529"/>
      <c r="AD165" s="529"/>
      <c r="AE165" s="529"/>
      <c r="AF165" s="529"/>
      <c r="AH165" s="517"/>
      <c r="AI165" s="517"/>
      <c r="AJ165" s="517"/>
      <c r="AK165" s="517"/>
      <c r="AL165" s="517"/>
      <c r="AM165" s="517"/>
      <c r="AN165" s="517"/>
      <c r="AO165" s="517"/>
      <c r="AP165" s="517"/>
      <c r="AQ165" s="517"/>
      <c r="AR165" s="517"/>
      <c r="AS165" s="517"/>
      <c r="AT165" s="517"/>
      <c r="AU165" s="517"/>
      <c r="AV165" s="517"/>
      <c r="AX165" s="517"/>
      <c r="AY165" s="517"/>
      <c r="AZ165" s="517"/>
      <c r="BA165" s="517"/>
      <c r="BB165" s="517"/>
      <c r="BC165" s="517"/>
      <c r="BD165" s="517"/>
      <c r="BE165" s="517"/>
      <c r="BF165" s="517"/>
      <c r="BG165" s="517"/>
      <c r="BH165" s="517"/>
      <c r="BI165" s="517"/>
      <c r="BJ165" s="517"/>
      <c r="BK165" s="517"/>
      <c r="BL165" s="517"/>
      <c r="BM165" s="517"/>
      <c r="BN165" s="517"/>
    </row>
    <row r="166" spans="1:66">
      <c r="A166" s="507" t="s">
        <v>833</v>
      </c>
      <c r="B166" s="529">
        <v>14.216512094915931</v>
      </c>
      <c r="C166" s="529">
        <v>15.711675723771789</v>
      </c>
      <c r="D166" s="529">
        <v>17.364087084147734</v>
      </c>
      <c r="E166" s="529">
        <v>19.190284064333049</v>
      </c>
      <c r="F166" s="529">
        <v>21.20854385751143</v>
      </c>
      <c r="G166" s="529">
        <v>23.439065886053545</v>
      </c>
      <c r="H166" s="529">
        <v>25.904173964125391</v>
      </c>
      <c r="I166" s="529">
        <v>26.559941250112999</v>
      </c>
      <c r="J166" s="529">
        <v>27.232309363981358</v>
      </c>
      <c r="K166" s="529">
        <v>27.921698557689076</v>
      </c>
      <c r="L166" s="529">
        <v>28.628539721923747</v>
      </c>
      <c r="M166" s="529">
        <v>29.353274655422645</v>
      </c>
      <c r="N166" s="529">
        <v>30.096356341111331</v>
      </c>
      <c r="O166" s="529">
        <v>30.858249229232722</v>
      </c>
      <c r="P166" s="529">
        <v>31.639429527643614</v>
      </c>
      <c r="Q166" s="529">
        <v>32.440385499460085</v>
      </c>
      <c r="R166" s="529">
        <v>33.261617768237848</v>
      </c>
      <c r="S166" s="529"/>
      <c r="T166" s="529"/>
      <c r="U166" s="529"/>
      <c r="V166" s="529"/>
      <c r="W166" s="529"/>
      <c r="X166" s="529"/>
      <c r="Y166" s="529"/>
      <c r="Z166" s="529"/>
      <c r="AA166" s="529"/>
      <c r="AB166" s="529"/>
      <c r="AC166" s="529"/>
      <c r="AD166" s="529"/>
      <c r="AE166" s="529"/>
      <c r="AF166" s="529"/>
      <c r="AH166" s="517"/>
      <c r="AI166" s="517"/>
      <c r="AJ166" s="517"/>
      <c r="AK166" s="517"/>
      <c r="AL166" s="517"/>
      <c r="AM166" s="517"/>
      <c r="AN166" s="517"/>
      <c r="AO166" s="517"/>
      <c r="AP166" s="517"/>
      <c r="AQ166" s="517"/>
      <c r="AR166" s="517"/>
      <c r="AS166" s="517"/>
      <c r="AT166" s="517"/>
      <c r="AU166" s="517"/>
      <c r="AV166" s="517"/>
      <c r="AX166" s="517"/>
      <c r="AY166" s="517"/>
      <c r="AZ166" s="517"/>
      <c r="BA166" s="517"/>
      <c r="BB166" s="517"/>
      <c r="BC166" s="517"/>
      <c r="BD166" s="517"/>
      <c r="BE166" s="517"/>
      <c r="BF166" s="517"/>
      <c r="BG166" s="517"/>
      <c r="BH166" s="517"/>
      <c r="BI166" s="517"/>
      <c r="BJ166" s="517"/>
      <c r="BK166" s="517"/>
      <c r="BL166" s="517"/>
      <c r="BM166" s="517"/>
      <c r="BN166" s="517"/>
    </row>
    <row r="167" spans="1:66">
      <c r="A167" s="521" t="s">
        <v>835</v>
      </c>
      <c r="B167" s="530">
        <v>31.624543481468116</v>
      </c>
      <c r="C167" s="530">
        <v>34.950525753137356</v>
      </c>
      <c r="D167" s="530">
        <v>38.626304633821377</v>
      </c>
      <c r="E167" s="530">
        <v>42.688668554030031</v>
      </c>
      <c r="F167" s="530">
        <v>47.178275017284385</v>
      </c>
      <c r="G167" s="530">
        <v>52.14005751407759</v>
      </c>
      <c r="H167" s="530">
        <v>57.623675231350205</v>
      </c>
      <c r="I167" s="530">
        <v>59.082425514892371</v>
      </c>
      <c r="J167" s="530">
        <v>60.578104237677458</v>
      </c>
      <c r="K167" s="530">
        <v>62.111646247595687</v>
      </c>
      <c r="L167" s="530">
        <v>63.684010058324247</v>
      </c>
      <c r="M167" s="530">
        <v>65.296178448429671</v>
      </c>
      <c r="N167" s="530">
        <v>66.949159075636288</v>
      </c>
      <c r="O167" s="530">
        <v>68.643985106645175</v>
      </c>
      <c r="P167" s="530">
        <v>70.381715862896996</v>
      </c>
      <c r="Q167" s="530">
        <v>72.16343748268234</v>
      </c>
      <c r="R167" s="530">
        <v>73.990263600013535</v>
      </c>
      <c r="S167" s="529"/>
      <c r="T167" s="529"/>
      <c r="U167" s="529"/>
      <c r="V167" s="529"/>
      <c r="W167" s="529"/>
      <c r="X167" s="529"/>
      <c r="Y167" s="529"/>
      <c r="Z167" s="529"/>
      <c r="AA167" s="529"/>
      <c r="AB167" s="529"/>
      <c r="AC167" s="529"/>
      <c r="AD167" s="529"/>
      <c r="AE167" s="529"/>
      <c r="AF167" s="529"/>
      <c r="AH167" s="517"/>
      <c r="AI167" s="517"/>
      <c r="AJ167" s="517"/>
      <c r="AK167" s="517"/>
      <c r="AL167" s="517"/>
      <c r="AM167" s="517"/>
      <c r="AN167" s="517"/>
      <c r="AO167" s="517"/>
      <c r="AP167" s="517"/>
      <c r="AQ167" s="517"/>
      <c r="AR167" s="517"/>
      <c r="AS167" s="517"/>
      <c r="AT167" s="517"/>
      <c r="AU167" s="517"/>
      <c r="AV167" s="517"/>
      <c r="AX167" s="517"/>
      <c r="AY167" s="517"/>
      <c r="AZ167" s="517"/>
      <c r="BA167" s="517"/>
      <c r="BB167" s="517"/>
      <c r="BC167" s="517"/>
      <c r="BD167" s="517"/>
      <c r="BE167" s="517"/>
      <c r="BF167" s="517"/>
      <c r="BG167" s="517"/>
      <c r="BH167" s="517"/>
      <c r="BI167" s="517"/>
      <c r="BJ167" s="517"/>
      <c r="BK167" s="517"/>
      <c r="BL167" s="517"/>
      <c r="BM167" s="517"/>
      <c r="BN167" s="517"/>
    </row>
    <row r="168" spans="1:66">
      <c r="B168" s="523"/>
      <c r="C168" s="523"/>
      <c r="D168" s="523"/>
      <c r="E168" s="523"/>
      <c r="F168" s="523"/>
      <c r="G168" s="523"/>
      <c r="H168" s="523"/>
      <c r="I168" s="523"/>
      <c r="J168" s="523"/>
      <c r="K168" s="523"/>
      <c r="L168" s="523"/>
      <c r="M168" s="523"/>
      <c r="N168" s="523"/>
      <c r="O168" s="523"/>
      <c r="P168" s="523"/>
      <c r="Q168" s="523"/>
      <c r="R168" s="523"/>
      <c r="S168" s="523"/>
      <c r="T168" s="523"/>
      <c r="U168" s="523"/>
      <c r="V168" s="523"/>
      <c r="W168" s="523"/>
      <c r="X168" s="523"/>
      <c r="Y168" s="523"/>
      <c r="Z168" s="523"/>
      <c r="AA168" s="523"/>
      <c r="AB168" s="523"/>
      <c r="AC168" s="523"/>
      <c r="AD168" s="523"/>
      <c r="AE168" s="523"/>
      <c r="AF168" s="523"/>
      <c r="AH168" s="517"/>
      <c r="AI168" s="517"/>
      <c r="AJ168" s="517"/>
      <c r="AK168" s="517"/>
      <c r="AL168" s="517"/>
      <c r="AM168" s="517"/>
      <c r="AN168" s="517"/>
      <c r="AO168" s="517"/>
      <c r="AP168" s="517"/>
      <c r="AQ168" s="517"/>
      <c r="AR168" s="517"/>
      <c r="AS168" s="517"/>
      <c r="AT168" s="517"/>
      <c r="AU168" s="517"/>
      <c r="AV168" s="517"/>
      <c r="AX168" s="517"/>
      <c r="AY168" s="517"/>
      <c r="AZ168" s="517"/>
      <c r="BA168" s="517"/>
      <c r="BB168" s="517"/>
      <c r="BC168" s="517"/>
      <c r="BD168" s="517"/>
      <c r="BE168" s="517"/>
      <c r="BF168" s="517"/>
      <c r="BG168" s="517"/>
      <c r="BH168" s="517"/>
      <c r="BI168" s="517"/>
      <c r="BJ168" s="517"/>
      <c r="BK168" s="517"/>
      <c r="BL168" s="517"/>
      <c r="BM168" s="517"/>
      <c r="BN168" s="517"/>
    </row>
    <row r="169" spans="1:66">
      <c r="A169" s="506"/>
      <c r="B169" s="523"/>
      <c r="C169" s="523"/>
      <c r="D169" s="523"/>
      <c r="E169" s="523"/>
      <c r="F169" s="523"/>
      <c r="G169" s="523"/>
      <c r="H169" s="523"/>
      <c r="I169" s="523"/>
      <c r="J169" s="523"/>
      <c r="K169" s="523"/>
      <c r="L169" s="523"/>
      <c r="M169" s="523"/>
      <c r="N169" s="523"/>
      <c r="O169" s="523"/>
      <c r="P169" s="523"/>
      <c r="Q169" s="523"/>
      <c r="R169" s="523"/>
      <c r="S169" s="523"/>
      <c r="T169" s="523"/>
      <c r="U169" s="523"/>
      <c r="V169" s="523"/>
      <c r="W169" s="523"/>
      <c r="X169" s="523"/>
      <c r="Y169" s="523"/>
      <c r="Z169" s="523"/>
      <c r="AA169" s="523"/>
      <c r="AB169" s="523"/>
      <c r="AC169" s="523"/>
      <c r="AD169" s="523"/>
      <c r="AE169" s="523"/>
      <c r="AF169" s="523"/>
      <c r="AH169" s="517"/>
      <c r="AI169" s="517"/>
      <c r="AJ169" s="517"/>
      <c r="AK169" s="517"/>
      <c r="AL169" s="517"/>
      <c r="AM169" s="517"/>
      <c r="AN169" s="517"/>
      <c r="AO169" s="517"/>
      <c r="AP169" s="517"/>
      <c r="AQ169" s="517"/>
      <c r="AR169" s="517"/>
      <c r="AS169" s="517"/>
      <c r="AT169" s="517"/>
      <c r="AU169" s="517"/>
      <c r="AV169" s="517"/>
      <c r="AX169" s="517"/>
      <c r="AY169" s="517"/>
      <c r="AZ169" s="517"/>
      <c r="BA169" s="517"/>
      <c r="BB169" s="517"/>
      <c r="BC169" s="517"/>
      <c r="BD169" s="517"/>
      <c r="BE169" s="517"/>
      <c r="BF169" s="517"/>
      <c r="BG169" s="517"/>
      <c r="BH169" s="517"/>
      <c r="BI169" s="517"/>
      <c r="BJ169" s="517"/>
      <c r="BK169" s="517"/>
      <c r="BL169" s="517"/>
      <c r="BM169" s="517"/>
      <c r="BN169" s="517"/>
    </row>
    <row r="170" spans="1:66">
      <c r="A170" s="524" t="s">
        <v>23</v>
      </c>
      <c r="B170" s="528">
        <f>SUM(B171:B187)</f>
        <v>8751.3566387441515</v>
      </c>
      <c r="C170" s="528">
        <f t="shared" ref="C170:R170" si="8">SUM(C171:C187)</f>
        <v>9671.7448508482885</v>
      </c>
      <c r="D170" s="528">
        <f t="shared" si="8"/>
        <v>10688.931136205423</v>
      </c>
      <c r="E170" s="528">
        <f t="shared" si="8"/>
        <v>11813.095837047525</v>
      </c>
      <c r="F170" s="528">
        <f t="shared" si="8"/>
        <v>13055.489971545423</v>
      </c>
      <c r="G170" s="528">
        <f t="shared" si="8"/>
        <v>14428.547837780268</v>
      </c>
      <c r="H170" s="528">
        <f t="shared" si="8"/>
        <v>15946.011460378018</v>
      </c>
      <c r="I170" s="528">
        <f t="shared" si="8"/>
        <v>16349.686662381411</v>
      </c>
      <c r="J170" s="528">
        <f t="shared" si="8"/>
        <v>16763.580950776242</v>
      </c>
      <c r="K170" s="528">
        <f t="shared" si="8"/>
        <v>17187.953022966161</v>
      </c>
      <c r="L170" s="528">
        <f t="shared" si="8"/>
        <v>17623.068125310776</v>
      </c>
      <c r="M170" s="528">
        <f t="shared" si="8"/>
        <v>18069.19821891324</v>
      </c>
      <c r="N170" s="528">
        <f t="shared" si="8"/>
        <v>18526.622149604824</v>
      </c>
      <c r="O170" s="528">
        <f t="shared" si="8"/>
        <v>18995.625822232625</v>
      </c>
      <c r="P170" s="528">
        <f t="shared" si="8"/>
        <v>19476.502379359394</v>
      </c>
      <c r="Q170" s="528">
        <f t="shared" si="8"/>
        <v>19969.552384487204</v>
      </c>
      <c r="R170" s="528">
        <f t="shared" si="8"/>
        <v>20475.084009919396</v>
      </c>
      <c r="S170" s="534"/>
      <c r="T170" s="534"/>
      <c r="U170" s="534"/>
      <c r="V170" s="534"/>
      <c r="W170" s="534"/>
      <c r="X170" s="534"/>
      <c r="Y170" s="534"/>
      <c r="Z170" s="534"/>
      <c r="AA170" s="534"/>
      <c r="AB170" s="534"/>
      <c r="AC170" s="534"/>
      <c r="AD170" s="534"/>
      <c r="AE170" s="534"/>
      <c r="AF170" s="534"/>
      <c r="AH170" s="517"/>
      <c r="AI170" s="517"/>
      <c r="AJ170" s="517"/>
      <c r="AK170" s="517"/>
      <c r="AL170" s="517"/>
      <c r="AM170" s="517"/>
      <c r="AN170" s="517"/>
      <c r="AO170" s="517"/>
      <c r="AP170" s="517"/>
      <c r="AQ170" s="517"/>
      <c r="AR170" s="517"/>
      <c r="AS170" s="517"/>
      <c r="AT170" s="517"/>
      <c r="AU170" s="517"/>
      <c r="AV170" s="517"/>
      <c r="AX170" s="517"/>
      <c r="AY170" s="517"/>
      <c r="AZ170" s="517"/>
      <c r="BA170" s="517"/>
      <c r="BB170" s="517"/>
      <c r="BC170" s="517"/>
      <c r="BD170" s="517"/>
      <c r="BE170" s="517"/>
      <c r="BF170" s="517"/>
      <c r="BG170" s="517"/>
      <c r="BH170" s="517"/>
      <c r="BI170" s="517"/>
      <c r="BJ170" s="517"/>
      <c r="BK170" s="517"/>
      <c r="BL170" s="517"/>
      <c r="BM170" s="517"/>
      <c r="BN170" s="517"/>
    </row>
    <row r="171" spans="1:66">
      <c r="A171" s="520" t="s">
        <v>803</v>
      </c>
      <c r="B171" s="529">
        <v>350.58860932824143</v>
      </c>
      <c r="C171" s="529">
        <v>387.46033523815709</v>
      </c>
      <c r="D171" s="529">
        <v>428.20989441305244</v>
      </c>
      <c r="E171" s="529">
        <v>473.24512213754929</v>
      </c>
      <c r="F171" s="529">
        <v>523.01674610757721</v>
      </c>
      <c r="G171" s="529">
        <v>578.02289746464908</v>
      </c>
      <c r="H171" s="529">
        <v>638.81409625975243</v>
      </c>
      <c r="I171" s="529">
        <v>654.98575209927196</v>
      </c>
      <c r="J171" s="529">
        <v>671.56679535544902</v>
      </c>
      <c r="K171" s="529">
        <v>688.5675897200764</v>
      </c>
      <c r="L171" s="529">
        <v>705.99876124305558</v>
      </c>
      <c r="M171" s="529">
        <v>723.871204974021</v>
      </c>
      <c r="N171" s="529">
        <v>742.19609177210191</v>
      </c>
      <c r="O171" s="529">
        <v>760.98487528807289</v>
      </c>
      <c r="P171" s="529">
        <v>780.24929912325797</v>
      </c>
      <c r="Q171" s="529">
        <v>800.00140416966428</v>
      </c>
      <c r="R171" s="529">
        <v>820.25353613593177</v>
      </c>
      <c r="S171" s="529"/>
      <c r="T171" s="529"/>
      <c r="U171" s="529"/>
      <c r="V171" s="529"/>
      <c r="W171" s="529"/>
      <c r="X171" s="529"/>
      <c r="Y171" s="529"/>
      <c r="Z171" s="529"/>
      <c r="AA171" s="529"/>
      <c r="AB171" s="529"/>
      <c r="AC171" s="529"/>
      <c r="AD171" s="529"/>
      <c r="AE171" s="529"/>
      <c r="AF171" s="529"/>
      <c r="AH171" s="517"/>
      <c r="AI171" s="517"/>
      <c r="AJ171" s="517"/>
      <c r="AK171" s="517"/>
      <c r="AL171" s="517"/>
      <c r="AM171" s="517"/>
      <c r="AN171" s="517"/>
      <c r="AO171" s="517"/>
      <c r="AP171" s="517"/>
      <c r="AQ171" s="517"/>
      <c r="AR171" s="517"/>
      <c r="AS171" s="517"/>
      <c r="AT171" s="517"/>
      <c r="AU171" s="517"/>
      <c r="AV171" s="517"/>
      <c r="AX171" s="517"/>
      <c r="AY171" s="517"/>
      <c r="AZ171" s="517"/>
      <c r="BA171" s="517"/>
      <c r="BB171" s="517"/>
      <c r="BC171" s="517"/>
      <c r="BD171" s="517"/>
      <c r="BE171" s="517"/>
      <c r="BF171" s="517"/>
      <c r="BG171" s="517"/>
      <c r="BH171" s="517"/>
      <c r="BI171" s="517"/>
      <c r="BJ171" s="517"/>
      <c r="BK171" s="517"/>
      <c r="BL171" s="517"/>
      <c r="BM171" s="517"/>
      <c r="BN171" s="517"/>
    </row>
    <row r="172" spans="1:66">
      <c r="A172" s="518" t="s">
        <v>805</v>
      </c>
      <c r="B172" s="529">
        <v>165.8304791209838</v>
      </c>
      <c r="C172" s="529">
        <v>183.27102285506209</v>
      </c>
      <c r="D172" s="529">
        <v>202.54580458539206</v>
      </c>
      <c r="E172" s="529">
        <v>223.84773280600859</v>
      </c>
      <c r="F172" s="529">
        <v>247.39000437436866</v>
      </c>
      <c r="G172" s="529">
        <v>273.40823825715955</v>
      </c>
      <c r="H172" s="529">
        <v>302.16283368411058</v>
      </c>
      <c r="I172" s="529">
        <v>309.81212223682661</v>
      </c>
      <c r="J172" s="529">
        <v>317.655053451181</v>
      </c>
      <c r="K172" s="529">
        <v>325.69652941449147</v>
      </c>
      <c r="L172" s="529">
        <v>333.94157631100768</v>
      </c>
      <c r="M172" s="529">
        <v>342.39534756343858</v>
      </c>
      <c r="N172" s="529">
        <v>351.06312705401075</v>
      </c>
      <c r="O172" s="529">
        <v>359.95033242706592</v>
      </c>
      <c r="P172" s="529">
        <v>369.06251847526522</v>
      </c>
      <c r="Q172" s="529">
        <v>378.40538061151562</v>
      </c>
      <c r="R172" s="529">
        <v>387.98475842878872</v>
      </c>
      <c r="S172" s="529"/>
      <c r="T172" s="529"/>
      <c r="U172" s="529"/>
      <c r="V172" s="529"/>
      <c r="W172" s="529"/>
      <c r="X172" s="529"/>
      <c r="Y172" s="529"/>
      <c r="Z172" s="529"/>
      <c r="AA172" s="529"/>
      <c r="AB172" s="529"/>
      <c r="AC172" s="529"/>
      <c r="AD172" s="529"/>
      <c r="AE172" s="529"/>
      <c r="AF172" s="529"/>
    </row>
    <row r="173" spans="1:66">
      <c r="A173" s="518" t="s">
        <v>807</v>
      </c>
      <c r="B173" s="529">
        <v>83.483078572863306</v>
      </c>
      <c r="C173" s="529">
        <v>92.263070590152736</v>
      </c>
      <c r="D173" s="529">
        <v>101.96646242859741</v>
      </c>
      <c r="E173" s="529">
        <v>112.69036889513904</v>
      </c>
      <c r="F173" s="529">
        <v>124.54211845012424</v>
      </c>
      <c r="G173" s="529">
        <v>137.64032738660978</v>
      </c>
      <c r="H173" s="529">
        <v>152.11608698209236</v>
      </c>
      <c r="I173" s="529">
        <v>155.96692405774849</v>
      </c>
      <c r="J173" s="529">
        <v>159.91524553809484</v>
      </c>
      <c r="K173" s="529">
        <v>163.96351925258534</v>
      </c>
      <c r="L173" s="529">
        <v>168.11427550407407</v>
      </c>
      <c r="M173" s="529">
        <v>172.37010865033676</v>
      </c>
      <c r="N173" s="529">
        <v>176.73367872562892</v>
      </c>
      <c r="O173" s="529">
        <v>181.20771310329394</v>
      </c>
      <c r="P173" s="529">
        <v>185.79500820045993</v>
      </c>
      <c r="Q173" s="529">
        <v>190.49843122589178</v>
      </c>
      <c r="R173" s="529">
        <v>195.32092197208985</v>
      </c>
      <c r="S173" s="529"/>
      <c r="T173" s="529"/>
      <c r="U173" s="529"/>
      <c r="V173" s="529"/>
      <c r="W173" s="529"/>
      <c r="X173" s="529"/>
      <c r="Y173" s="529"/>
      <c r="Z173" s="529"/>
      <c r="AA173" s="529"/>
      <c r="AB173" s="529"/>
      <c r="AC173" s="529"/>
      <c r="AD173" s="529"/>
      <c r="AE173" s="529"/>
      <c r="AF173" s="529"/>
    </row>
    <row r="174" spans="1:66">
      <c r="A174" s="518" t="s">
        <v>809</v>
      </c>
      <c r="B174" s="529">
        <v>143.62787893943062</v>
      </c>
      <c r="C174" s="529">
        <v>158.73335482874839</v>
      </c>
      <c r="D174" s="529">
        <v>175.42748748531542</v>
      </c>
      <c r="E174" s="529">
        <v>193.87735739985033</v>
      </c>
      <c r="F174" s="529">
        <v>214.26761707167299</v>
      </c>
      <c r="G174" s="529">
        <v>236.80233907298222</v>
      </c>
      <c r="H174" s="529">
        <v>261.70705847574868</v>
      </c>
      <c r="I174" s="529">
        <v>268.33220420315592</v>
      </c>
      <c r="J174" s="529">
        <v>275.12506629314436</v>
      </c>
      <c r="K174" s="529">
        <v>282.08989050564685</v>
      </c>
      <c r="L174" s="529">
        <v>289.23103008252031</v>
      </c>
      <c r="M174" s="529">
        <v>296.55294846846402</v>
      </c>
      <c r="N174" s="529">
        <v>304.0602221008179</v>
      </c>
      <c r="O174" s="529">
        <v>311.75754326998475</v>
      </c>
      <c r="P174" s="529">
        <v>319.64972305226411</v>
      </c>
      <c r="Q174" s="529">
        <v>327.74169431693247</v>
      </c>
      <c r="R174" s="529">
        <v>336.03851480944616</v>
      </c>
      <c r="S174" s="529"/>
      <c r="T174" s="529"/>
      <c r="U174" s="529"/>
      <c r="V174" s="529"/>
      <c r="W174" s="529"/>
      <c r="X174" s="529"/>
      <c r="Y174" s="529"/>
      <c r="Z174" s="529"/>
      <c r="AA174" s="529"/>
      <c r="AB174" s="529"/>
      <c r="AC174" s="529"/>
      <c r="AD174" s="529"/>
      <c r="AE174" s="529"/>
      <c r="AF174" s="529"/>
    </row>
    <row r="175" spans="1:66">
      <c r="A175" s="518" t="s">
        <v>811</v>
      </c>
      <c r="B175" s="529">
        <v>946.6467242715886</v>
      </c>
      <c r="C175" s="529">
        <v>1046.2064293565361</v>
      </c>
      <c r="D175" s="529">
        <v>1156.2369200286082</v>
      </c>
      <c r="E175" s="529">
        <v>1277.8394184209767</v>
      </c>
      <c r="F175" s="529">
        <v>1412.2309632095619</v>
      </c>
      <c r="G175" s="529">
        <v>1560.756590145168</v>
      </c>
      <c r="H175" s="529">
        <v>1724.9027936233529</v>
      </c>
      <c r="I175" s="529">
        <v>1768.5689157368517</v>
      </c>
      <c r="J175" s="529">
        <v>1813.3404509944885</v>
      </c>
      <c r="K175" s="529">
        <v>1859.2453830632357</v>
      </c>
      <c r="L175" s="529">
        <v>1906.31240401997</v>
      </c>
      <c r="M175" s="529">
        <v>1954.5709322849493</v>
      </c>
      <c r="N175" s="529">
        <v>2004.0511310092884</v>
      </c>
      <c r="O175" s="529">
        <v>2054.783926927907</v>
      </c>
      <c r="P175" s="529">
        <v>2106.8010296897455</v>
      </c>
      <c r="Q175" s="529">
        <v>2160.1349516773321</v>
      </c>
      <c r="R175" s="529">
        <v>2214.8190283280746</v>
      </c>
      <c r="S175" s="529"/>
      <c r="T175" s="529"/>
      <c r="U175" s="529"/>
      <c r="V175" s="529"/>
      <c r="W175" s="529"/>
      <c r="X175" s="529"/>
      <c r="Y175" s="529"/>
      <c r="Z175" s="529"/>
      <c r="AA175" s="529"/>
      <c r="AB175" s="529"/>
      <c r="AC175" s="529"/>
      <c r="AD175" s="529"/>
      <c r="AE175" s="529"/>
      <c r="AF175" s="529"/>
    </row>
    <row r="176" spans="1:66">
      <c r="A176" s="518" t="s">
        <v>813</v>
      </c>
      <c r="B176" s="529">
        <v>2322.7980929018204</v>
      </c>
      <c r="C176" s="529">
        <v>2567.0889008366685</v>
      </c>
      <c r="D176" s="529">
        <v>2837.071997319465</v>
      </c>
      <c r="E176" s="529">
        <v>3135.4494639242657</v>
      </c>
      <c r="F176" s="529">
        <v>3465.2075626249784</v>
      </c>
      <c r="G176" s="529">
        <v>3829.646623308925</v>
      </c>
      <c r="H176" s="529">
        <v>4232.4140745876284</v>
      </c>
      <c r="I176" s="529">
        <v>4339.558146995103</v>
      </c>
      <c r="J176" s="529">
        <v>4449.4145845090516</v>
      </c>
      <c r="K176" s="529">
        <v>4562.0520509790495</v>
      </c>
      <c r="L176" s="529">
        <v>4677.540948488303</v>
      </c>
      <c r="M176" s="529">
        <v>4795.9534613572359</v>
      </c>
      <c r="N176" s="529">
        <v>4917.363601261045</v>
      </c>
      <c r="O176" s="529">
        <v>5041.8472534894072</v>
      </c>
      <c r="P176" s="529">
        <v>5169.4822243772524</v>
      </c>
      <c r="Q176" s="529">
        <v>5300.3482899362552</v>
      </c>
      <c r="R176" s="529">
        <v>5434.5272457174424</v>
      </c>
      <c r="S176" s="529"/>
      <c r="T176" s="529"/>
      <c r="U176" s="529"/>
      <c r="V176" s="529"/>
      <c r="W176" s="529"/>
      <c r="X176" s="529"/>
      <c r="Y176" s="529"/>
      <c r="Z176" s="529"/>
      <c r="AA176" s="529"/>
      <c r="AB176" s="529"/>
      <c r="AC176" s="529"/>
      <c r="AD176" s="529"/>
      <c r="AE176" s="529"/>
      <c r="AF176" s="529"/>
    </row>
    <row r="177" spans="1:32">
      <c r="A177" s="518" t="s">
        <v>815</v>
      </c>
      <c r="B177" s="529">
        <v>1858.2299425165957</v>
      </c>
      <c r="C177" s="529">
        <v>2053.6616915667246</v>
      </c>
      <c r="D177" s="529">
        <v>2269.6471770855842</v>
      </c>
      <c r="E177" s="529">
        <v>2508.3480544074773</v>
      </c>
      <c r="F177" s="529">
        <v>2772.1533221427767</v>
      </c>
      <c r="G177" s="529">
        <v>3063.7032320789885</v>
      </c>
      <c r="H177" s="529">
        <v>3385.9157137080647</v>
      </c>
      <c r="I177" s="529">
        <v>3471.6305780861421</v>
      </c>
      <c r="J177" s="529">
        <v>3559.5153245866859</v>
      </c>
      <c r="K177" s="529">
        <v>3649.6248840371481</v>
      </c>
      <c r="L177" s="529">
        <v>3742.0155778455041</v>
      </c>
      <c r="M177" s="529">
        <v>3836.7451532029527</v>
      </c>
      <c r="N177" s="529">
        <v>3933.8728191778036</v>
      </c>
      <c r="O177" s="529">
        <v>4033.4592837230653</v>
      </c>
      <c r="P177" s="529">
        <v>4135.5667916208904</v>
      </c>
      <c r="Q177" s="529">
        <v>4240.2591633876</v>
      </c>
      <c r="R177" s="529">
        <v>4347.6018351635703</v>
      </c>
      <c r="S177" s="529"/>
      <c r="T177" s="529"/>
      <c r="U177" s="529"/>
      <c r="V177" s="529"/>
      <c r="W177" s="529"/>
      <c r="X177" s="529"/>
      <c r="Y177" s="529"/>
      <c r="Z177" s="529"/>
      <c r="AA177" s="529"/>
      <c r="AB177" s="529"/>
      <c r="AC177" s="529"/>
      <c r="AD177" s="529"/>
      <c r="AE177" s="529"/>
      <c r="AF177" s="529"/>
    </row>
    <row r="178" spans="1:32">
      <c r="A178" s="507" t="s">
        <v>817</v>
      </c>
      <c r="B178" s="529">
        <v>1237.7500101496896</v>
      </c>
      <c r="C178" s="529">
        <v>1367.9253150652751</v>
      </c>
      <c r="D178" s="529">
        <v>1511.7912763096094</v>
      </c>
      <c r="E178" s="529">
        <v>1670.787752777846</v>
      </c>
      <c r="F178" s="529">
        <v>1846.5060346470402</v>
      </c>
      <c r="G178" s="529">
        <v>2040.7047695430938</v>
      </c>
      <c r="H178" s="529">
        <v>2255.3275636772942</v>
      </c>
      <c r="I178" s="529">
        <v>2312.4214527738513</v>
      </c>
      <c r="J178" s="529">
        <v>2370.9606805540952</v>
      </c>
      <c r="K178" s="529">
        <v>2430.9818359410042</v>
      </c>
      <c r="L178" s="529">
        <v>2492.5224341105481</v>
      </c>
      <c r="M178" s="529">
        <v>2555.6209399398995</v>
      </c>
      <c r="N178" s="529">
        <v>2620.3167920492324</v>
      </c>
      <c r="O178" s="529">
        <v>2686.6504274521449</v>
      </c>
      <c r="P178" s="529">
        <v>2754.6633068301035</v>
      </c>
      <c r="Q178" s="529">
        <v>2824.3979404467291</v>
      </c>
      <c r="R178" s="529">
        <v>2895.8979147180862</v>
      </c>
      <c r="S178" s="529"/>
      <c r="T178" s="529"/>
      <c r="U178" s="529"/>
      <c r="V178" s="529"/>
      <c r="W178" s="529"/>
      <c r="X178" s="529"/>
      <c r="Y178" s="529"/>
      <c r="Z178" s="529"/>
      <c r="AA178" s="529"/>
      <c r="AB178" s="529"/>
      <c r="AC178" s="529"/>
      <c r="AD178" s="529"/>
      <c r="AE178" s="529"/>
      <c r="AF178" s="529"/>
    </row>
    <row r="179" spans="1:32">
      <c r="A179" s="507" t="s">
        <v>819</v>
      </c>
      <c r="B179" s="529">
        <v>701.13550761049873</v>
      </c>
      <c r="C179" s="529">
        <v>774.87457264133025</v>
      </c>
      <c r="D179" s="529">
        <v>856.36884283949428</v>
      </c>
      <c r="E179" s="529">
        <v>946.4339402523043</v>
      </c>
      <c r="F179" s="529">
        <v>1045.9712666465914</v>
      </c>
      <c r="G179" s="529">
        <v>1155.9770250405613</v>
      </c>
      <c r="H179" s="529">
        <v>1277.5521900384333</v>
      </c>
      <c r="I179" s="529">
        <v>1309.8935777055044</v>
      </c>
      <c r="J179" s="529">
        <v>1343.0536914992945</v>
      </c>
      <c r="K179" s="529">
        <v>1377.0532575703778</v>
      </c>
      <c r="L179" s="529">
        <v>1411.9135267543297</v>
      </c>
      <c r="M179" s="529">
        <v>1447.6562878541868</v>
      </c>
      <c r="N179" s="529">
        <v>1484.3038812591631</v>
      </c>
      <c r="O179" s="529">
        <v>1521.8792129081166</v>
      </c>
      <c r="P179" s="529">
        <v>1560.4057686065084</v>
      </c>
      <c r="Q179" s="529">
        <v>1599.9076287057962</v>
      </c>
      <c r="R179" s="529">
        <v>1640.4094831544364</v>
      </c>
      <c r="S179" s="529"/>
      <c r="T179" s="529"/>
      <c r="U179" s="529"/>
      <c r="V179" s="529"/>
      <c r="W179" s="529"/>
      <c r="X179" s="529"/>
      <c r="Y179" s="529"/>
      <c r="Z179" s="529"/>
      <c r="AA179" s="529"/>
      <c r="AB179" s="529"/>
      <c r="AC179" s="529"/>
      <c r="AD179" s="529"/>
      <c r="AE179" s="529"/>
      <c r="AF179" s="529"/>
    </row>
    <row r="180" spans="1:32">
      <c r="A180" s="507" t="s">
        <v>821</v>
      </c>
      <c r="B180" s="529">
        <v>459.57704454192645</v>
      </c>
      <c r="C180" s="529">
        <v>507.91118424289363</v>
      </c>
      <c r="D180" s="529">
        <v>561.32866979060827</v>
      </c>
      <c r="E180" s="529">
        <v>620.36412133466899</v>
      </c>
      <c r="F180" s="529">
        <v>685.60838551662823</v>
      </c>
      <c r="G180" s="529">
        <v>757.71444886177483</v>
      </c>
      <c r="H180" s="529">
        <v>837.40397308775107</v>
      </c>
      <c r="I180" s="529">
        <v>858.60295559410304</v>
      </c>
      <c r="J180" s="529">
        <v>880.33859289759903</v>
      </c>
      <c r="K180" s="529">
        <v>902.62447047910746</v>
      </c>
      <c r="L180" s="529">
        <v>925.47451773758473</v>
      </c>
      <c r="M180" s="529">
        <v>948.90301669639939</v>
      </c>
      <c r="N180" s="529">
        <v>972.92461093006295</v>
      </c>
      <c r="O180" s="529">
        <v>997.55431471694078</v>
      </c>
      <c r="P180" s="529">
        <v>1022.8075224236638</v>
      </c>
      <c r="Q180" s="529">
        <v>1048.7000181271112</v>
      </c>
      <c r="R180" s="529">
        <v>1075.2479854799701</v>
      </c>
      <c r="S180" s="529"/>
      <c r="T180" s="529"/>
      <c r="U180" s="529"/>
      <c r="V180" s="529"/>
      <c r="W180" s="529"/>
      <c r="X180" s="529"/>
      <c r="Y180" s="529"/>
      <c r="Z180" s="529"/>
      <c r="AA180" s="529"/>
      <c r="AB180" s="529"/>
      <c r="AC180" s="529"/>
      <c r="AD180" s="529"/>
      <c r="AE180" s="529"/>
      <c r="AF180" s="529"/>
    </row>
    <row r="181" spans="1:32">
      <c r="A181" s="507" t="s">
        <v>823</v>
      </c>
      <c r="B181" s="529">
        <v>248.07360205414457</v>
      </c>
      <c r="C181" s="529">
        <v>274.16373053251186</v>
      </c>
      <c r="D181" s="529">
        <v>302.9977817756606</v>
      </c>
      <c r="E181" s="529">
        <v>334.86433665989176</v>
      </c>
      <c r="F181" s="529">
        <v>370.08232637720516</v>
      </c>
      <c r="G181" s="529">
        <v>409.00422440586743</v>
      </c>
      <c r="H181" s="529">
        <v>452.01957418345063</v>
      </c>
      <c r="I181" s="529">
        <v>463.46250418330567</v>
      </c>
      <c r="J181" s="529">
        <v>475.19511333525975</v>
      </c>
      <c r="K181" s="529">
        <v>487.22473490196143</v>
      </c>
      <c r="L181" s="529">
        <v>499.55888778848771</v>
      </c>
      <c r="M181" s="529">
        <v>512.20528124190287</v>
      </c>
      <c r="N181" s="529">
        <v>525.17181966979035</v>
      </c>
      <c r="O181" s="529">
        <v>538.46660758076496</v>
      </c>
      <c r="P181" s="529">
        <v>552.0979546500522</v>
      </c>
      <c r="Q181" s="529">
        <v>566.07438091330891</v>
      </c>
      <c r="R181" s="529">
        <v>580.40462209192083</v>
      </c>
      <c r="S181" s="529"/>
      <c r="T181" s="529"/>
      <c r="U181" s="529"/>
      <c r="V181" s="529"/>
      <c r="W181" s="529"/>
      <c r="X181" s="529"/>
      <c r="Y181" s="529"/>
      <c r="Z181" s="529"/>
      <c r="AA181" s="529"/>
      <c r="AB181" s="529"/>
      <c r="AC181" s="529"/>
      <c r="AD181" s="529"/>
      <c r="AE181" s="529"/>
      <c r="AF181" s="529"/>
    </row>
    <row r="182" spans="1:32">
      <c r="A182" s="507" t="s">
        <v>825</v>
      </c>
      <c r="B182" s="529">
        <v>140.15480237572777</v>
      </c>
      <c r="C182" s="529">
        <v>154.89501161429388</v>
      </c>
      <c r="D182" s="529">
        <v>171.18546219110738</v>
      </c>
      <c r="E182" s="529">
        <v>189.18919441095031</v>
      </c>
      <c r="F182" s="529">
        <v>209.08639567714201</v>
      </c>
      <c r="G182" s="529">
        <v>231.07620386763517</v>
      </c>
      <c r="H182" s="529">
        <v>255.37870037383004</v>
      </c>
      <c r="I182" s="529">
        <v>261.84364295316544</v>
      </c>
      <c r="J182" s="529">
        <v>268.47224633308036</v>
      </c>
      <c r="K182" s="529">
        <v>275.26865360646639</v>
      </c>
      <c r="L182" s="529">
        <v>282.23711274911142</v>
      </c>
      <c r="M182" s="529">
        <v>289.38197927482196</v>
      </c>
      <c r="N182" s="529">
        <v>296.70771895776198</v>
      </c>
      <c r="O182" s="529">
        <v>304.21891062370605</v>
      </c>
      <c r="P182" s="529">
        <v>311.92024901195543</v>
      </c>
      <c r="Q182" s="529">
        <v>319.81654770970289</v>
      </c>
      <c r="R182" s="529">
        <v>327.91274216068092</v>
      </c>
      <c r="S182" s="529"/>
      <c r="T182" s="529"/>
      <c r="U182" s="529"/>
      <c r="V182" s="529"/>
      <c r="W182" s="529"/>
      <c r="X182" s="529"/>
      <c r="Y182" s="529"/>
      <c r="Z182" s="529"/>
      <c r="AA182" s="529"/>
      <c r="AB182" s="529"/>
      <c r="AC182" s="529"/>
      <c r="AD182" s="529"/>
      <c r="AE182" s="529"/>
      <c r="AF182" s="529"/>
    </row>
    <row r="183" spans="1:32">
      <c r="A183" s="507" t="s">
        <v>827</v>
      </c>
      <c r="B183" s="529">
        <v>61.197056299342321</v>
      </c>
      <c r="C183" s="529">
        <v>67.633206893871233</v>
      </c>
      <c r="D183" s="529">
        <v>74.746253355299885</v>
      </c>
      <c r="E183" s="529">
        <v>82.607385443391763</v>
      </c>
      <c r="F183" s="529">
        <v>91.295280010302122</v>
      </c>
      <c r="G183" s="529">
        <v>100.89688842495897</v>
      </c>
      <c r="H183" s="529">
        <v>111.50830681158813</v>
      </c>
      <c r="I183" s="529">
        <v>114.33115303799846</v>
      </c>
      <c r="J183" s="529">
        <v>117.22545995685222</v>
      </c>
      <c r="K183" s="529">
        <v>120.19303660419159</v>
      </c>
      <c r="L183" s="529">
        <v>123.23573781202383</v>
      </c>
      <c r="M183" s="529">
        <v>126.35546536765213</v>
      </c>
      <c r="N183" s="529">
        <v>129.55416920235447</v>
      </c>
      <c r="O183" s="529">
        <v>132.8338486101544</v>
      </c>
      <c r="P183" s="529">
        <v>136.1965534974442</v>
      </c>
      <c r="Q183" s="529">
        <v>139.64438566424377</v>
      </c>
      <c r="R183" s="529">
        <v>143.17950011789392</v>
      </c>
      <c r="S183" s="529"/>
      <c r="T183" s="529"/>
      <c r="U183" s="529"/>
      <c r="V183" s="529"/>
      <c r="W183" s="529"/>
      <c r="X183" s="529"/>
      <c r="Y183" s="529"/>
      <c r="Z183" s="529"/>
      <c r="AA183" s="529"/>
      <c r="AB183" s="529"/>
      <c r="AC183" s="529"/>
      <c r="AD183" s="529"/>
      <c r="AE183" s="529"/>
      <c r="AF183" s="529"/>
    </row>
    <row r="184" spans="1:32">
      <c r="A184" s="507" t="s">
        <v>829</v>
      </c>
      <c r="B184" s="529">
        <v>22.251263068534417</v>
      </c>
      <c r="C184" s="529">
        <v>24.591448833794939</v>
      </c>
      <c r="D184" s="529">
        <v>27.177754084455465</v>
      </c>
      <c r="E184" s="529">
        <v>30.036063432751831</v>
      </c>
      <c r="F184" s="529">
        <v>33.194983799352734</v>
      </c>
      <c r="G184" s="529">
        <v>36.686130721036911</v>
      </c>
      <c r="H184" s="529">
        <v>40.544444769611587</v>
      </c>
      <c r="I184" s="529">
        <v>41.570832275550352</v>
      </c>
      <c r="J184" s="529">
        <v>42.623202904906734</v>
      </c>
      <c r="K184" s="529">
        <v>43.702214423581623</v>
      </c>
      <c r="L184" s="529">
        <v>44.808541248899026</v>
      </c>
      <c r="M184" s="529">
        <v>45.942874871138756</v>
      </c>
      <c r="N184" s="529">
        <v>47.105924285740386</v>
      </c>
      <c r="O184" s="529">
        <v>48.298416436448527</v>
      </c>
      <c r="P184" s="529">
        <v>49.521096669676282</v>
      </c>
      <c r="Q184" s="529">
        <v>50.774729200371027</v>
      </c>
      <c r="R184" s="529">
        <v>52.060097589673653</v>
      </c>
      <c r="S184" s="529"/>
      <c r="T184" s="529"/>
      <c r="U184" s="529"/>
      <c r="V184" s="529"/>
      <c r="W184" s="529"/>
      <c r="X184" s="529"/>
      <c r="Y184" s="529"/>
      <c r="Z184" s="529"/>
      <c r="AA184" s="529"/>
      <c r="AB184" s="529"/>
      <c r="AC184" s="529"/>
      <c r="AD184" s="529"/>
      <c r="AE184" s="529"/>
      <c r="AF184" s="529"/>
    </row>
    <row r="185" spans="1:32">
      <c r="A185" s="507" t="s">
        <v>831</v>
      </c>
      <c r="B185" s="529">
        <v>6.6715554080118027</v>
      </c>
      <c r="C185" s="529">
        <v>7.3732090152649565</v>
      </c>
      <c r="D185" s="529">
        <v>8.148656176564014</v>
      </c>
      <c r="E185" s="529">
        <v>9.0056578277360497</v>
      </c>
      <c r="F185" s="529">
        <v>9.9527911293541926</v>
      </c>
      <c r="G185" s="529">
        <v>10.999535309843537</v>
      </c>
      <c r="H185" s="529">
        <v>12.156366536785285</v>
      </c>
      <c r="I185" s="529">
        <v>12.464106420803137</v>
      </c>
      <c r="J185" s="529">
        <v>12.779636777075076</v>
      </c>
      <c r="K185" s="529">
        <v>13.103154822345157</v>
      </c>
      <c r="L185" s="529">
        <v>13.434862765923077</v>
      </c>
      <c r="M185" s="529">
        <v>13.774967936071581</v>
      </c>
      <c r="N185" s="529">
        <v>14.123682909593375</v>
      </c>
      <c r="O185" s="529">
        <v>14.481225644698547</v>
      </c>
      <c r="P185" s="529">
        <v>14.84781961723554</v>
      </c>
      <c r="Q185" s="529">
        <v>15.223693960370838</v>
      </c>
      <c r="R185" s="529">
        <v>15.609083607804646</v>
      </c>
      <c r="S185" s="529"/>
      <c r="T185" s="529"/>
      <c r="U185" s="529"/>
      <c r="V185" s="529"/>
      <c r="W185" s="529"/>
      <c r="X185" s="529"/>
      <c r="Y185" s="529"/>
      <c r="Z185" s="529"/>
      <c r="AA185" s="529"/>
      <c r="AB185" s="529"/>
      <c r="AC185" s="529"/>
      <c r="AD185" s="529"/>
      <c r="AE185" s="529"/>
      <c r="AF185" s="529"/>
    </row>
    <row r="186" spans="1:32">
      <c r="A186" s="507" t="s">
        <v>833</v>
      </c>
      <c r="B186" s="529">
        <v>0</v>
      </c>
      <c r="C186" s="529">
        <v>0</v>
      </c>
      <c r="D186" s="529">
        <v>0</v>
      </c>
      <c r="E186" s="529">
        <v>0</v>
      </c>
      <c r="F186" s="529">
        <v>0</v>
      </c>
      <c r="G186" s="529">
        <v>0</v>
      </c>
      <c r="H186" s="529">
        <v>0</v>
      </c>
      <c r="I186" s="529">
        <v>0</v>
      </c>
      <c r="J186" s="529">
        <v>0</v>
      </c>
      <c r="K186" s="529">
        <v>0</v>
      </c>
      <c r="L186" s="529">
        <v>0</v>
      </c>
      <c r="M186" s="529">
        <v>0</v>
      </c>
      <c r="N186" s="529">
        <v>0</v>
      </c>
      <c r="O186" s="529">
        <v>0</v>
      </c>
      <c r="P186" s="529">
        <v>0</v>
      </c>
      <c r="Q186" s="529">
        <v>0</v>
      </c>
      <c r="R186" s="529">
        <v>0</v>
      </c>
      <c r="S186" s="529"/>
      <c r="T186" s="529"/>
      <c r="U186" s="529"/>
      <c r="V186" s="529"/>
      <c r="W186" s="529"/>
      <c r="X186" s="529"/>
      <c r="Y186" s="529"/>
      <c r="Z186" s="529"/>
      <c r="AA186" s="529"/>
      <c r="AB186" s="529"/>
      <c r="AC186" s="529"/>
      <c r="AD186" s="529"/>
      <c r="AE186" s="529"/>
      <c r="AF186" s="529"/>
    </row>
    <row r="187" spans="1:32">
      <c r="A187" s="521" t="s">
        <v>835</v>
      </c>
      <c r="B187" s="530">
        <v>3.340991584753886</v>
      </c>
      <c r="C187" s="530">
        <v>3.6923667370054658</v>
      </c>
      <c r="D187" s="530">
        <v>4.0806963366083142</v>
      </c>
      <c r="E187" s="530">
        <v>4.5098669167173426</v>
      </c>
      <c r="F187" s="530">
        <v>4.9841737607474972</v>
      </c>
      <c r="G187" s="530">
        <v>5.5083638910138646</v>
      </c>
      <c r="H187" s="530">
        <v>6.0876835785265397</v>
      </c>
      <c r="I187" s="530">
        <v>6.2417940220315256</v>
      </c>
      <c r="J187" s="530">
        <v>6.3998057899879131</v>
      </c>
      <c r="K187" s="530">
        <v>6.5618176448943952</v>
      </c>
      <c r="L187" s="530">
        <v>6.7279308494342214</v>
      </c>
      <c r="M187" s="530">
        <v>6.8982492297676714</v>
      </c>
      <c r="N187" s="530">
        <v>7.0728792404267882</v>
      </c>
      <c r="O187" s="530">
        <v>7.2519300308529244</v>
      </c>
      <c r="P187" s="530">
        <v>7.4355135136186918</v>
      </c>
      <c r="Q187" s="530">
        <v>7.6237444343769685</v>
      </c>
      <c r="R187" s="530">
        <v>7.8167404435806649</v>
      </c>
      <c r="S187" s="529"/>
      <c r="T187" s="529"/>
      <c r="U187" s="529"/>
      <c r="V187" s="529"/>
      <c r="W187" s="529"/>
      <c r="X187" s="529"/>
      <c r="Y187" s="529"/>
      <c r="Z187" s="529"/>
      <c r="AA187" s="529"/>
      <c r="AB187" s="529"/>
      <c r="AC187" s="529"/>
      <c r="AD187" s="529"/>
      <c r="AE187" s="529"/>
      <c r="AF187" s="529"/>
    </row>
    <row r="188" spans="1:32">
      <c r="A188" s="531" t="s">
        <v>755</v>
      </c>
      <c r="B188" s="523"/>
      <c r="C188" s="523"/>
      <c r="D188" s="523"/>
      <c r="E188" s="523"/>
      <c r="F188" s="523"/>
      <c r="G188" s="523"/>
      <c r="H188" s="523"/>
      <c r="I188" s="523"/>
      <c r="J188" s="523"/>
      <c r="K188" s="523"/>
      <c r="L188" s="523"/>
      <c r="M188" s="523"/>
      <c r="N188" s="523"/>
      <c r="O188" s="523"/>
      <c r="P188" s="523"/>
      <c r="Q188" s="523"/>
      <c r="R188" s="523"/>
      <c r="S188" s="523"/>
      <c r="T188" s="523"/>
      <c r="U188" s="523"/>
      <c r="V188" s="523"/>
      <c r="W188" s="523"/>
      <c r="X188" s="523"/>
      <c r="Y188" s="523"/>
      <c r="Z188" s="523"/>
      <c r="AA188" s="523"/>
      <c r="AB188" s="523"/>
      <c r="AC188" s="523"/>
      <c r="AD188" s="523"/>
      <c r="AE188" s="523"/>
      <c r="AF188" s="523"/>
    </row>
    <row r="189" spans="1:32">
      <c r="A189" s="531" t="s">
        <v>842</v>
      </c>
      <c r="B189" s="523"/>
      <c r="C189" s="523"/>
      <c r="D189" s="523"/>
      <c r="E189" s="523"/>
      <c r="F189" s="523"/>
      <c r="G189" s="523"/>
      <c r="H189" s="523"/>
      <c r="I189" s="523"/>
      <c r="J189" s="523"/>
      <c r="K189" s="523"/>
      <c r="L189" s="523"/>
      <c r="M189" s="523"/>
      <c r="N189" s="523"/>
      <c r="O189" s="523"/>
      <c r="P189" s="523"/>
      <c r="Q189" s="523"/>
      <c r="R189" s="523"/>
      <c r="S189" s="523"/>
      <c r="T189" s="523"/>
      <c r="U189" s="523"/>
      <c r="V189" s="523"/>
      <c r="W189" s="523"/>
      <c r="X189" s="523"/>
      <c r="Y189" s="523"/>
      <c r="Z189" s="523"/>
      <c r="AA189" s="523"/>
      <c r="AB189" s="523"/>
      <c r="AC189" s="523"/>
      <c r="AD189" s="523"/>
      <c r="AE189" s="523"/>
      <c r="AF189" s="523"/>
    </row>
    <row r="190" spans="1:32">
      <c r="A190" s="532" t="s">
        <v>843</v>
      </c>
      <c r="B190" s="508"/>
      <c r="C190" s="508"/>
      <c r="D190" s="508"/>
      <c r="E190" s="508"/>
      <c r="F190" s="508"/>
      <c r="G190" s="508"/>
      <c r="H190" s="508"/>
      <c r="I190" s="508"/>
      <c r="J190" s="508"/>
      <c r="K190" s="508"/>
      <c r="L190" s="508"/>
      <c r="M190" s="508"/>
      <c r="N190" s="508"/>
      <c r="O190" s="508"/>
      <c r="P190" s="508"/>
      <c r="Q190" s="508"/>
      <c r="R190" s="508"/>
      <c r="S190" s="508"/>
      <c r="T190" s="508"/>
      <c r="U190" s="508"/>
      <c r="V190" s="508"/>
      <c r="W190" s="508"/>
      <c r="X190" s="508"/>
      <c r="Y190" s="508"/>
      <c r="Z190" s="508"/>
      <c r="AA190" s="508"/>
      <c r="AB190" s="508"/>
      <c r="AC190" s="508"/>
      <c r="AD190" s="508"/>
      <c r="AE190" s="508"/>
      <c r="AF190" s="508"/>
    </row>
    <row r="191" spans="1:32">
      <c r="A191" s="532" t="s">
        <v>844</v>
      </c>
      <c r="G191" s="535"/>
    </row>
    <row r="192" spans="1:32">
      <c r="A192" s="532" t="s">
        <v>117</v>
      </c>
      <c r="G192" s="535"/>
    </row>
    <row r="193" spans="7:7">
      <c r="G193" s="535"/>
    </row>
    <row r="194" spans="7:7">
      <c r="G194" s="535"/>
    </row>
    <row r="195" spans="7:7">
      <c r="G195" s="535"/>
    </row>
    <row r="196" spans="7:7">
      <c r="G196" s="535"/>
    </row>
    <row r="197" spans="7:7">
      <c r="G197" s="535"/>
    </row>
  </sheetData>
  <mergeCells count="8">
    <mergeCell ref="A128:C128"/>
    <mergeCell ref="A1:R1"/>
    <mergeCell ref="A2:R2"/>
    <mergeCell ref="AV4:AW4"/>
    <mergeCell ref="AX4:AZ4"/>
    <mergeCell ref="AQ5:AR5"/>
    <mergeCell ref="AS5:AT5"/>
    <mergeCell ref="A66:C6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AW221"/>
  <sheetViews>
    <sheetView topLeftCell="A184" zoomScale="93" zoomScaleNormal="93" workbookViewId="0">
      <selection activeCell="I217" sqref="I217"/>
    </sheetView>
  </sheetViews>
  <sheetFormatPr defaultRowHeight="15"/>
  <cols>
    <col min="1" max="1" width="11.85546875" style="68" customWidth="1"/>
    <col min="2" max="18" width="8.85546875" style="68" customWidth="1"/>
    <col min="19" max="26" width="9.140625" style="68"/>
    <col min="27" max="27" width="9.140625" style="68" customWidth="1"/>
    <col min="28" max="226" width="9.140625" style="68"/>
    <col min="227" max="227" width="11.85546875" style="68" customWidth="1"/>
    <col min="228" max="268" width="8.85546875" style="68" customWidth="1"/>
    <col min="269" max="482" width="9.140625" style="68"/>
    <col min="483" max="483" width="11.85546875" style="68" customWidth="1"/>
    <col min="484" max="524" width="8.85546875" style="68" customWidth="1"/>
    <col min="525" max="738" width="9.140625" style="68"/>
    <col min="739" max="739" width="11.85546875" style="68" customWidth="1"/>
    <col min="740" max="780" width="8.85546875" style="68" customWidth="1"/>
    <col min="781" max="994" width="9.140625" style="68"/>
    <col min="995" max="995" width="11.85546875" style="68" customWidth="1"/>
    <col min="996" max="1036" width="8.85546875" style="68" customWidth="1"/>
    <col min="1037" max="1250" width="9.140625" style="68"/>
    <col min="1251" max="1251" width="11.85546875" style="68" customWidth="1"/>
    <col min="1252" max="1292" width="8.85546875" style="68" customWidth="1"/>
    <col min="1293" max="1506" width="9.140625" style="68"/>
    <col min="1507" max="1507" width="11.85546875" style="68" customWidth="1"/>
    <col min="1508" max="1548" width="8.85546875" style="68" customWidth="1"/>
    <col min="1549" max="1762" width="9.140625" style="68"/>
    <col min="1763" max="1763" width="11.85546875" style="68" customWidth="1"/>
    <col min="1764" max="1804" width="8.85546875" style="68" customWidth="1"/>
    <col min="1805" max="2018" width="9.140625" style="68"/>
    <col min="2019" max="2019" width="11.85546875" style="68" customWidth="1"/>
    <col min="2020" max="2060" width="8.85546875" style="68" customWidth="1"/>
    <col min="2061" max="2274" width="9.140625" style="68"/>
    <col min="2275" max="2275" width="11.85546875" style="68" customWidth="1"/>
    <col min="2276" max="2316" width="8.85546875" style="68" customWidth="1"/>
    <col min="2317" max="2530" width="9.140625" style="68"/>
    <col min="2531" max="2531" width="11.85546875" style="68" customWidth="1"/>
    <col min="2532" max="2572" width="8.85546875" style="68" customWidth="1"/>
    <col min="2573" max="2786" width="9.140625" style="68"/>
    <col min="2787" max="2787" width="11.85546875" style="68" customWidth="1"/>
    <col min="2788" max="2828" width="8.85546875" style="68" customWidth="1"/>
    <col min="2829" max="3042" width="9.140625" style="68"/>
    <col min="3043" max="3043" width="11.85546875" style="68" customWidth="1"/>
    <col min="3044" max="3084" width="8.85546875" style="68" customWidth="1"/>
    <col min="3085" max="3298" width="9.140625" style="68"/>
    <col min="3299" max="3299" width="11.85546875" style="68" customWidth="1"/>
    <col min="3300" max="3340" width="8.85546875" style="68" customWidth="1"/>
    <col min="3341" max="3554" width="9.140625" style="68"/>
    <col min="3555" max="3555" width="11.85546875" style="68" customWidth="1"/>
    <col min="3556" max="3596" width="8.85546875" style="68" customWidth="1"/>
    <col min="3597" max="3810" width="9.140625" style="68"/>
    <col min="3811" max="3811" width="11.85546875" style="68" customWidth="1"/>
    <col min="3812" max="3852" width="8.85546875" style="68" customWidth="1"/>
    <col min="3853" max="4066" width="9.140625" style="68"/>
    <col min="4067" max="4067" width="11.85546875" style="68" customWidth="1"/>
    <col min="4068" max="4108" width="8.85546875" style="68" customWidth="1"/>
    <col min="4109" max="4322" width="9.140625" style="68"/>
    <col min="4323" max="4323" width="11.85546875" style="68" customWidth="1"/>
    <col min="4324" max="4364" width="8.85546875" style="68" customWidth="1"/>
    <col min="4365" max="4578" width="9.140625" style="68"/>
    <col min="4579" max="4579" width="11.85546875" style="68" customWidth="1"/>
    <col min="4580" max="4620" width="8.85546875" style="68" customWidth="1"/>
    <col min="4621" max="4834" width="9.140625" style="68"/>
    <col min="4835" max="4835" width="11.85546875" style="68" customWidth="1"/>
    <col min="4836" max="4876" width="8.85546875" style="68" customWidth="1"/>
    <col min="4877" max="5090" width="9.140625" style="68"/>
    <col min="5091" max="5091" width="11.85546875" style="68" customWidth="1"/>
    <col min="5092" max="5132" width="8.85546875" style="68" customWidth="1"/>
    <col min="5133" max="5346" width="9.140625" style="68"/>
    <col min="5347" max="5347" width="11.85546875" style="68" customWidth="1"/>
    <col min="5348" max="5388" width="8.85546875" style="68" customWidth="1"/>
    <col min="5389" max="5602" width="9.140625" style="68"/>
    <col min="5603" max="5603" width="11.85546875" style="68" customWidth="1"/>
    <col min="5604" max="5644" width="8.85546875" style="68" customWidth="1"/>
    <col min="5645" max="5858" width="9.140625" style="68"/>
    <col min="5859" max="5859" width="11.85546875" style="68" customWidth="1"/>
    <col min="5860" max="5900" width="8.85546875" style="68" customWidth="1"/>
    <col min="5901" max="6114" width="9.140625" style="68"/>
    <col min="6115" max="6115" width="11.85546875" style="68" customWidth="1"/>
    <col min="6116" max="6156" width="8.85546875" style="68" customWidth="1"/>
    <col min="6157" max="6370" width="9.140625" style="68"/>
    <col min="6371" max="6371" width="11.85546875" style="68" customWidth="1"/>
    <col min="6372" max="6412" width="8.85546875" style="68" customWidth="1"/>
    <col min="6413" max="6626" width="9.140625" style="68"/>
    <col min="6627" max="6627" width="11.85546875" style="68" customWidth="1"/>
    <col min="6628" max="6668" width="8.85546875" style="68" customWidth="1"/>
    <col min="6669" max="6882" width="9.140625" style="68"/>
    <col min="6883" max="6883" width="11.85546875" style="68" customWidth="1"/>
    <col min="6884" max="6924" width="8.85546875" style="68" customWidth="1"/>
    <col min="6925" max="7138" width="9.140625" style="68"/>
    <col min="7139" max="7139" width="11.85546875" style="68" customWidth="1"/>
    <col min="7140" max="7180" width="8.85546875" style="68" customWidth="1"/>
    <col min="7181" max="7394" width="9.140625" style="68"/>
    <col min="7395" max="7395" width="11.85546875" style="68" customWidth="1"/>
    <col min="7396" max="7436" width="8.85546875" style="68" customWidth="1"/>
    <col min="7437" max="7650" width="9.140625" style="68"/>
    <col min="7651" max="7651" width="11.85546875" style="68" customWidth="1"/>
    <col min="7652" max="7692" width="8.85546875" style="68" customWidth="1"/>
    <col min="7693" max="7906" width="9.140625" style="68"/>
    <col min="7907" max="7907" width="11.85546875" style="68" customWidth="1"/>
    <col min="7908" max="7948" width="8.85546875" style="68" customWidth="1"/>
    <col min="7949" max="8162" width="9.140625" style="68"/>
    <col min="8163" max="8163" width="11.85546875" style="68" customWidth="1"/>
    <col min="8164" max="8204" width="8.85546875" style="68" customWidth="1"/>
    <col min="8205" max="8418" width="9.140625" style="68"/>
    <col min="8419" max="8419" width="11.85546875" style="68" customWidth="1"/>
    <col min="8420" max="8460" width="8.85546875" style="68" customWidth="1"/>
    <col min="8461" max="8674" width="9.140625" style="68"/>
    <col min="8675" max="8675" width="11.85546875" style="68" customWidth="1"/>
    <col min="8676" max="8716" width="8.85546875" style="68" customWidth="1"/>
    <col min="8717" max="8930" width="9.140625" style="68"/>
    <col min="8931" max="8931" width="11.85546875" style="68" customWidth="1"/>
    <col min="8932" max="8972" width="8.85546875" style="68" customWidth="1"/>
    <col min="8973" max="9186" width="9.140625" style="68"/>
    <col min="9187" max="9187" width="11.85546875" style="68" customWidth="1"/>
    <col min="9188" max="9228" width="8.85546875" style="68" customWidth="1"/>
    <col min="9229" max="9442" width="9.140625" style="68"/>
    <col min="9443" max="9443" width="11.85546875" style="68" customWidth="1"/>
    <col min="9444" max="9484" width="8.85546875" style="68" customWidth="1"/>
    <col min="9485" max="9698" width="9.140625" style="68"/>
    <col min="9699" max="9699" width="11.85546875" style="68" customWidth="1"/>
    <col min="9700" max="9740" width="8.85546875" style="68" customWidth="1"/>
    <col min="9741" max="9954" width="9.140625" style="68"/>
    <col min="9955" max="9955" width="11.85546875" style="68" customWidth="1"/>
    <col min="9956" max="9996" width="8.85546875" style="68" customWidth="1"/>
    <col min="9997" max="10210" width="9.140625" style="68"/>
    <col min="10211" max="10211" width="11.85546875" style="68" customWidth="1"/>
    <col min="10212" max="10252" width="8.85546875" style="68" customWidth="1"/>
    <col min="10253" max="10466" width="9.140625" style="68"/>
    <col min="10467" max="10467" width="11.85546875" style="68" customWidth="1"/>
    <col min="10468" max="10508" width="8.85546875" style="68" customWidth="1"/>
    <col min="10509" max="10722" width="9.140625" style="68"/>
    <col min="10723" max="10723" width="11.85546875" style="68" customWidth="1"/>
    <col min="10724" max="10764" width="8.85546875" style="68" customWidth="1"/>
    <col min="10765" max="10978" width="9.140625" style="68"/>
    <col min="10979" max="10979" width="11.85546875" style="68" customWidth="1"/>
    <col min="10980" max="11020" width="8.85546875" style="68" customWidth="1"/>
    <col min="11021" max="11234" width="9.140625" style="68"/>
    <col min="11235" max="11235" width="11.85546875" style="68" customWidth="1"/>
    <col min="11236" max="11276" width="8.85546875" style="68" customWidth="1"/>
    <col min="11277" max="11490" width="9.140625" style="68"/>
    <col min="11491" max="11491" width="11.85546875" style="68" customWidth="1"/>
    <col min="11492" max="11532" width="8.85546875" style="68" customWidth="1"/>
    <col min="11533" max="11746" width="9.140625" style="68"/>
    <col min="11747" max="11747" width="11.85546875" style="68" customWidth="1"/>
    <col min="11748" max="11788" width="8.85546875" style="68" customWidth="1"/>
    <col min="11789" max="12002" width="9.140625" style="68"/>
    <col min="12003" max="12003" width="11.85546875" style="68" customWidth="1"/>
    <col min="12004" max="12044" width="8.85546875" style="68" customWidth="1"/>
    <col min="12045" max="12258" width="9.140625" style="68"/>
    <col min="12259" max="12259" width="11.85546875" style="68" customWidth="1"/>
    <col min="12260" max="12300" width="8.85546875" style="68" customWidth="1"/>
    <col min="12301" max="12514" width="9.140625" style="68"/>
    <col min="12515" max="12515" width="11.85546875" style="68" customWidth="1"/>
    <col min="12516" max="12556" width="8.85546875" style="68" customWidth="1"/>
    <col min="12557" max="12770" width="9.140625" style="68"/>
    <col min="12771" max="12771" width="11.85546875" style="68" customWidth="1"/>
    <col min="12772" max="12812" width="8.85546875" style="68" customWidth="1"/>
    <col min="12813" max="13026" width="9.140625" style="68"/>
    <col min="13027" max="13027" width="11.85546875" style="68" customWidth="1"/>
    <col min="13028" max="13068" width="8.85546875" style="68" customWidth="1"/>
    <col min="13069" max="13282" width="9.140625" style="68"/>
    <col min="13283" max="13283" width="11.85546875" style="68" customWidth="1"/>
    <col min="13284" max="13324" width="8.85546875" style="68" customWidth="1"/>
    <col min="13325" max="13538" width="9.140625" style="68"/>
    <col min="13539" max="13539" width="11.85546875" style="68" customWidth="1"/>
    <col min="13540" max="13580" width="8.85546875" style="68" customWidth="1"/>
    <col min="13581" max="13794" width="9.140625" style="68"/>
    <col min="13795" max="13795" width="11.85546875" style="68" customWidth="1"/>
    <col min="13796" max="13836" width="8.85546875" style="68" customWidth="1"/>
    <col min="13837" max="14050" width="9.140625" style="68"/>
    <col min="14051" max="14051" width="11.85546875" style="68" customWidth="1"/>
    <col min="14052" max="14092" width="8.85546875" style="68" customWidth="1"/>
    <col min="14093" max="14306" width="9.140625" style="68"/>
    <col min="14307" max="14307" width="11.85546875" style="68" customWidth="1"/>
    <col min="14308" max="14348" width="8.85546875" style="68" customWidth="1"/>
    <col min="14349" max="14562" width="9.140625" style="68"/>
    <col min="14563" max="14563" width="11.85546875" style="68" customWidth="1"/>
    <col min="14564" max="14604" width="8.85546875" style="68" customWidth="1"/>
    <col min="14605" max="14818" width="9.140625" style="68"/>
    <col min="14819" max="14819" width="11.85546875" style="68" customWidth="1"/>
    <col min="14820" max="14860" width="8.85546875" style="68" customWidth="1"/>
    <col min="14861" max="15074" width="9.140625" style="68"/>
    <col min="15075" max="15075" width="11.85546875" style="68" customWidth="1"/>
    <col min="15076" max="15116" width="8.85546875" style="68" customWidth="1"/>
    <col min="15117" max="15330" width="9.140625" style="68"/>
    <col min="15331" max="15331" width="11.85546875" style="68" customWidth="1"/>
    <col min="15332" max="15372" width="8.85546875" style="68" customWidth="1"/>
    <col min="15373" max="15586" width="9.140625" style="68"/>
    <col min="15587" max="15587" width="11.85546875" style="68" customWidth="1"/>
    <col min="15588" max="15628" width="8.85546875" style="68" customWidth="1"/>
    <col min="15629" max="15842" width="9.140625" style="68"/>
    <col min="15843" max="15843" width="11.85546875" style="68" customWidth="1"/>
    <col min="15844" max="15884" width="8.85546875" style="68" customWidth="1"/>
    <col min="15885" max="16098" width="9.140625" style="68"/>
    <col min="16099" max="16099" width="11.85546875" style="68" customWidth="1"/>
    <col min="16100" max="16140" width="8.85546875" style="68" customWidth="1"/>
    <col min="16141" max="16371" width="9.140625" style="68"/>
    <col min="16372" max="16384" width="9.140625" style="68" customWidth="1"/>
  </cols>
  <sheetData>
    <row r="1" spans="1:49" ht="18.75">
      <c r="A1" s="1436" t="s">
        <v>853</v>
      </c>
      <c r="B1" s="1436"/>
      <c r="C1" s="1436"/>
      <c r="D1" s="1436"/>
      <c r="E1" s="1436"/>
      <c r="F1" s="1436"/>
      <c r="G1" s="1436"/>
      <c r="H1" s="1436"/>
      <c r="I1" s="1436"/>
      <c r="J1" s="1436"/>
      <c r="K1" s="1436"/>
      <c r="L1" s="1436"/>
      <c r="M1" s="1436"/>
      <c r="N1" s="1436"/>
      <c r="O1" s="1436"/>
      <c r="P1" s="1436"/>
      <c r="Q1" s="1436"/>
      <c r="R1" s="1436"/>
    </row>
    <row r="2" spans="1:49" ht="15.75">
      <c r="A2" s="1437" t="s">
        <v>852</v>
      </c>
      <c r="B2" s="1437"/>
      <c r="C2" s="1437"/>
      <c r="D2" s="1437"/>
      <c r="E2" s="1437"/>
      <c r="F2" s="1437"/>
      <c r="G2" s="1437"/>
      <c r="H2" s="1437"/>
      <c r="I2" s="1437"/>
      <c r="J2" s="1437"/>
      <c r="K2" s="1437"/>
      <c r="L2" s="1437"/>
      <c r="M2" s="1437"/>
      <c r="N2" s="1437"/>
      <c r="O2" s="1437"/>
      <c r="P2" s="1437"/>
      <c r="Q2" s="1437"/>
      <c r="R2" s="1437"/>
    </row>
    <row r="3" spans="1:49" ht="15.75">
      <c r="A3" s="546"/>
      <c r="B3" s="546"/>
      <c r="C3" s="546"/>
      <c r="D3" s="546"/>
      <c r="E3" s="546"/>
      <c r="F3" s="546"/>
      <c r="G3" s="546"/>
      <c r="H3" s="546"/>
      <c r="I3" s="546"/>
      <c r="J3" s="546"/>
      <c r="K3" s="546"/>
      <c r="L3" s="546"/>
      <c r="M3" s="546"/>
      <c r="N3" s="546"/>
      <c r="O3" s="546"/>
      <c r="P3" s="546"/>
      <c r="Q3" s="546"/>
      <c r="R3" s="546"/>
    </row>
    <row r="4" spans="1:49" ht="18.75">
      <c r="A4" s="536" t="s">
        <v>847</v>
      </c>
      <c r="B4" s="507"/>
      <c r="C4" s="537"/>
      <c r="D4" s="537"/>
      <c r="E4" s="537"/>
      <c r="F4" s="537"/>
      <c r="G4" s="537"/>
      <c r="H4" s="537"/>
      <c r="I4" s="537"/>
      <c r="J4" s="537"/>
      <c r="K4" s="537"/>
      <c r="L4" s="537"/>
      <c r="M4" s="537"/>
      <c r="N4" s="537"/>
      <c r="O4" s="537"/>
      <c r="P4" s="537"/>
      <c r="Q4" s="537"/>
      <c r="R4" s="538" t="s">
        <v>854</v>
      </c>
      <c r="S4" s="508"/>
      <c r="T4" s="508"/>
      <c r="U4" s="508"/>
      <c r="V4" s="508"/>
      <c r="W4" s="508"/>
      <c r="X4" s="508"/>
      <c r="Y4" s="508"/>
      <c r="Z4" s="508"/>
      <c r="AA4" s="508"/>
      <c r="AB4" s="508"/>
      <c r="AC4" s="508"/>
      <c r="AD4" s="508"/>
      <c r="AE4" s="508"/>
      <c r="AF4" s="508"/>
      <c r="AG4" s="508"/>
      <c r="AH4" s="508"/>
      <c r="AI4" s="508"/>
      <c r="AP4" s="508"/>
    </row>
    <row r="5" spans="1:49" s="512" customFormat="1">
      <c r="A5" s="510" t="s">
        <v>802</v>
      </c>
      <c r="B5" s="511">
        <v>2014</v>
      </c>
      <c r="C5" s="511">
        <v>2015</v>
      </c>
      <c r="D5" s="511">
        <v>2016</v>
      </c>
      <c r="E5" s="511">
        <v>2017</v>
      </c>
      <c r="F5" s="511">
        <v>2018</v>
      </c>
      <c r="G5" s="511">
        <v>2019</v>
      </c>
      <c r="H5" s="511">
        <v>2020</v>
      </c>
      <c r="I5" s="511">
        <v>2021</v>
      </c>
      <c r="J5" s="511">
        <v>2022</v>
      </c>
      <c r="K5" s="511">
        <v>2023</v>
      </c>
      <c r="L5" s="511">
        <v>2024</v>
      </c>
      <c r="M5" s="511">
        <v>2025</v>
      </c>
      <c r="N5" s="511">
        <v>2026</v>
      </c>
      <c r="O5" s="511">
        <v>2027</v>
      </c>
      <c r="P5" s="511">
        <v>2028</v>
      </c>
      <c r="Q5" s="511">
        <v>2029</v>
      </c>
      <c r="R5" s="511">
        <v>2030</v>
      </c>
      <c r="AA5" s="513"/>
      <c r="AB5" s="513"/>
      <c r="AC5" s="513"/>
      <c r="AD5" s="513"/>
      <c r="AE5" s="513"/>
      <c r="AF5" s="513"/>
      <c r="AG5" s="513"/>
      <c r="AH5" s="513"/>
      <c r="AI5" s="513"/>
      <c r="AK5" s="1440" t="s">
        <v>1184</v>
      </c>
      <c r="AL5" s="1441"/>
      <c r="AM5" s="1442" t="s">
        <v>1185</v>
      </c>
      <c r="AN5" s="1442"/>
      <c r="AO5" s="513"/>
      <c r="AP5" s="513"/>
    </row>
    <row r="6" spans="1:49">
      <c r="A6" s="537" t="s">
        <v>21</v>
      </c>
      <c r="B6" s="537">
        <f>SUM(B7:B23)</f>
        <v>167507.41794725877</v>
      </c>
      <c r="C6" s="537">
        <f t="shared" ref="C6:R6" si="0">SUM(C7:C23)</f>
        <v>176012.20305051381</v>
      </c>
      <c r="D6" s="537">
        <f t="shared" si="0"/>
        <v>185066.71144970364</v>
      </c>
      <c r="E6" s="537">
        <f t="shared" si="0"/>
        <v>194707.03412001871</v>
      </c>
      <c r="F6" s="537">
        <f t="shared" si="0"/>
        <v>204964.79395407095</v>
      </c>
      <c r="G6" s="537">
        <f t="shared" si="0"/>
        <v>215878.62238780971</v>
      </c>
      <c r="H6" s="537">
        <f t="shared" si="0"/>
        <v>227485.68615362304</v>
      </c>
      <c r="I6" s="537">
        <f t="shared" si="0"/>
        <v>234454.34758348102</v>
      </c>
      <c r="J6" s="537">
        <f t="shared" si="0"/>
        <v>241524.26398337135</v>
      </c>
      <c r="K6" s="537">
        <f t="shared" si="0"/>
        <v>248670.53035807353</v>
      </c>
      <c r="L6" s="537">
        <f t="shared" si="0"/>
        <v>255885.26943254535</v>
      </c>
      <c r="M6" s="537">
        <f t="shared" si="0"/>
        <v>263149.63235366205</v>
      </c>
      <c r="N6" s="537">
        <f t="shared" si="0"/>
        <v>270447.79940972052</v>
      </c>
      <c r="O6" s="537">
        <f t="shared" si="0"/>
        <v>277798.98076815862</v>
      </c>
      <c r="P6" s="537">
        <f t="shared" si="0"/>
        <v>285190.41723194858</v>
      </c>
      <c r="Q6" s="537">
        <f t="shared" si="0"/>
        <v>292641.38101513882</v>
      </c>
      <c r="R6" s="537">
        <f t="shared" si="0"/>
        <v>300142.17653803091</v>
      </c>
      <c r="AA6" s="517"/>
      <c r="AB6" s="517"/>
      <c r="AC6" s="517"/>
      <c r="AD6" s="517"/>
      <c r="AE6" s="517"/>
      <c r="AF6" s="517"/>
      <c r="AG6" s="517"/>
      <c r="AH6" s="517"/>
      <c r="AI6" s="517"/>
      <c r="AJ6" s="512"/>
      <c r="AK6" s="512" t="s">
        <v>22</v>
      </c>
      <c r="AL6" s="512" t="s">
        <v>23</v>
      </c>
      <c r="AM6" s="512" t="s">
        <v>22</v>
      </c>
      <c r="AN6" s="512" t="s">
        <v>23</v>
      </c>
      <c r="AP6" s="517"/>
      <c r="AR6" s="1557">
        <f>SUM(AR7:AR22)</f>
        <v>85183</v>
      </c>
      <c r="AS6" s="1557">
        <f>SUM(AS7:AS22)</f>
        <v>85385</v>
      </c>
      <c r="AT6" s="537" t="s">
        <v>21</v>
      </c>
      <c r="AV6" s="1557">
        <f>SUM(AV7:AV22)</f>
        <v>63445.752619819767</v>
      </c>
      <c r="AW6" s="1557">
        <f>SUM(AW7:AW22)</f>
        <v>7510.5113635515972</v>
      </c>
    </row>
    <row r="7" spans="1:49">
      <c r="A7" s="518" t="s">
        <v>803</v>
      </c>
      <c r="B7" s="518">
        <v>12793.742710219483</v>
      </c>
      <c r="C7" s="518">
        <v>13133.306367524567</v>
      </c>
      <c r="D7" s="518">
        <v>13533.767167417387</v>
      </c>
      <c r="E7" s="518">
        <v>14098.640146879839</v>
      </c>
      <c r="F7" s="518">
        <v>14922.494509806058</v>
      </c>
      <c r="G7" s="518">
        <v>15696.959323786286</v>
      </c>
      <c r="H7" s="518">
        <v>16259.729816026769</v>
      </c>
      <c r="I7" s="518">
        <v>16698.152278550137</v>
      </c>
      <c r="J7" s="518">
        <v>17065.091738173691</v>
      </c>
      <c r="K7" s="518">
        <v>17352.561282741328</v>
      </c>
      <c r="L7" s="518">
        <v>17553.574331417301</v>
      </c>
      <c r="M7" s="518">
        <v>17669.144643073618</v>
      </c>
      <c r="N7" s="518">
        <v>17709.286324889788</v>
      </c>
      <c r="O7" s="518">
        <v>17687.013841170272</v>
      </c>
      <c r="P7" s="518">
        <v>17624.342022385143</v>
      </c>
      <c r="Q7" s="518">
        <v>17549.286074439606</v>
      </c>
      <c r="R7" s="518">
        <v>17475.861588178195</v>
      </c>
      <c r="AA7" s="517"/>
      <c r="AB7" s="523"/>
      <c r="AC7" s="523"/>
      <c r="AD7" s="523"/>
      <c r="AE7" s="523"/>
      <c r="AF7" s="517"/>
      <c r="AH7" s="517"/>
      <c r="AI7" s="517"/>
      <c r="AJ7" s="512" t="s">
        <v>804</v>
      </c>
      <c r="AK7" s="539">
        <f>AR7*-1</f>
        <v>-8395</v>
      </c>
      <c r="AL7" s="539">
        <v>7822</v>
      </c>
      <c r="AM7" s="539">
        <f>AV7*-1</f>
        <v>-492.57716966090123</v>
      </c>
      <c r="AN7" s="523">
        <v>355.51456851278829</v>
      </c>
      <c r="AO7" s="523"/>
      <c r="AP7" s="523"/>
      <c r="AR7" s="1555">
        <v>8395</v>
      </c>
      <c r="AS7" s="1555">
        <v>7822</v>
      </c>
      <c r="AT7" s="518" t="s">
        <v>803</v>
      </c>
      <c r="AV7" s="1555">
        <v>492.57716966090123</v>
      </c>
      <c r="AW7" s="1555">
        <v>355.51456851278829</v>
      </c>
    </row>
    <row r="8" spans="1:49">
      <c r="A8" s="518" t="s">
        <v>805</v>
      </c>
      <c r="B8" s="518">
        <v>10787.287884562995</v>
      </c>
      <c r="C8" s="518">
        <v>11663.557429428378</v>
      </c>
      <c r="D8" s="518">
        <v>12388.694937362759</v>
      </c>
      <c r="E8" s="518">
        <v>12814.00203467511</v>
      </c>
      <c r="F8" s="518">
        <v>12865.812069990236</v>
      </c>
      <c r="G8" s="518">
        <v>12996.49345051385</v>
      </c>
      <c r="H8" s="518">
        <v>13337.453329175718</v>
      </c>
      <c r="I8" s="518">
        <v>13701.413542145969</v>
      </c>
      <c r="J8" s="518">
        <v>14227.676529349061</v>
      </c>
      <c r="K8" s="518">
        <v>15004.249955551186</v>
      </c>
      <c r="L8" s="518">
        <v>15728.141679553026</v>
      </c>
      <c r="M8" s="518">
        <v>16234.359759101737</v>
      </c>
      <c r="N8" s="518">
        <v>16670.912455927326</v>
      </c>
      <c r="O8" s="518">
        <v>17036.808240906488</v>
      </c>
      <c r="P8" s="518">
        <v>17325.055799357178</v>
      </c>
      <c r="Q8" s="518">
        <v>17525.664036467224</v>
      </c>
      <c r="R8" s="518">
        <v>17642.642082860362</v>
      </c>
      <c r="AA8" s="512"/>
      <c r="AB8" s="523"/>
      <c r="AC8" s="523"/>
      <c r="AD8" s="523"/>
      <c r="AE8" s="523"/>
      <c r="AF8" s="517"/>
      <c r="AH8" s="517"/>
      <c r="AI8" s="517"/>
      <c r="AJ8" s="512" t="s">
        <v>806</v>
      </c>
      <c r="AK8" s="539">
        <f t="shared" ref="AK8:AK22" si="1">AR8*-1</f>
        <v>-7106</v>
      </c>
      <c r="AL8" s="539">
        <v>6625</v>
      </c>
      <c r="AM8" s="539">
        <f t="shared" ref="AM8:AM22" si="2">AV8*-1</f>
        <v>-326.37014922317366</v>
      </c>
      <c r="AN8" s="523">
        <v>170.30638012588659</v>
      </c>
      <c r="AO8" s="523"/>
      <c r="AP8" s="523"/>
      <c r="AR8" s="1555">
        <v>7106</v>
      </c>
      <c r="AS8" s="1555">
        <v>6625</v>
      </c>
      <c r="AT8" s="518" t="s">
        <v>805</v>
      </c>
      <c r="AV8" s="1555">
        <v>326.37014922317366</v>
      </c>
      <c r="AW8" s="1555">
        <v>170.30638012588659</v>
      </c>
    </row>
    <row r="9" spans="1:49">
      <c r="A9" s="518" t="s">
        <v>807</v>
      </c>
      <c r="B9" s="518">
        <v>8149.8874965938785</v>
      </c>
      <c r="C9" s="518">
        <v>8198.3375420210523</v>
      </c>
      <c r="D9" s="518">
        <v>8598.2021410739617</v>
      </c>
      <c r="E9" s="518">
        <v>9343.6300636560936</v>
      </c>
      <c r="F9" s="518">
        <v>10249.785725938262</v>
      </c>
      <c r="G9" s="518">
        <v>11150.850835890918</v>
      </c>
      <c r="H9" s="518">
        <v>12030.026211878583</v>
      </c>
      <c r="I9" s="518">
        <v>12737.925298517641</v>
      </c>
      <c r="J9" s="518">
        <v>13142.973721245949</v>
      </c>
      <c r="K9" s="518">
        <v>13172.175260524609</v>
      </c>
      <c r="L9" s="518">
        <v>13276.533792517544</v>
      </c>
      <c r="M9" s="518">
        <v>13587.053291514239</v>
      </c>
      <c r="N9" s="518">
        <v>13954.737832413794</v>
      </c>
      <c r="O9" s="518">
        <v>14482.591593271873</v>
      </c>
      <c r="P9" s="518">
        <v>15263.618857912117</v>
      </c>
      <c r="Q9" s="518">
        <v>15987.824018603689</v>
      </c>
      <c r="R9" s="518">
        <v>16497.211578806564</v>
      </c>
      <c r="AA9" s="512"/>
      <c r="AB9" s="523"/>
      <c r="AC9" s="523"/>
      <c r="AD9" s="523"/>
      <c r="AE9" s="523"/>
      <c r="AF9" s="517"/>
      <c r="AH9" s="517"/>
      <c r="AI9" s="517"/>
      <c r="AJ9" s="512" t="s">
        <v>808</v>
      </c>
      <c r="AK9" s="539">
        <f t="shared" si="1"/>
        <v>-6673</v>
      </c>
      <c r="AL9" s="539">
        <v>6225</v>
      </c>
      <c r="AM9" s="539">
        <f t="shared" si="2"/>
        <v>-166.20702043772735</v>
      </c>
      <c r="AN9" s="523">
        <v>78.766700808222552</v>
      </c>
      <c r="AO9" s="523"/>
      <c r="AP9" s="523"/>
      <c r="AR9" s="1555">
        <v>6673</v>
      </c>
      <c r="AS9" s="1555">
        <v>6225</v>
      </c>
      <c r="AT9" s="518" t="s">
        <v>807</v>
      </c>
      <c r="AV9" s="1555">
        <v>166.20702043772735</v>
      </c>
      <c r="AW9" s="1555">
        <v>78.766700808222552</v>
      </c>
    </row>
    <row r="10" spans="1:49">
      <c r="A10" s="518" t="s">
        <v>809</v>
      </c>
      <c r="B10" s="518">
        <v>13854.396288124255</v>
      </c>
      <c r="C10" s="518">
        <v>12662.419573028354</v>
      </c>
      <c r="D10" s="518">
        <v>11390.964151191321</v>
      </c>
      <c r="E10" s="518">
        <v>10214.926214848387</v>
      </c>
      <c r="F10" s="518">
        <v>9946.2962095949242</v>
      </c>
      <c r="G10" s="518">
        <v>10137.168747098884</v>
      </c>
      <c r="H10" s="518">
        <v>10320.753560342269</v>
      </c>
      <c r="I10" s="518">
        <v>10756.289750908929</v>
      </c>
      <c r="J10" s="518">
        <v>11536.725544422765</v>
      </c>
      <c r="K10" s="518">
        <v>12476.083714440805</v>
      </c>
      <c r="L10" s="518">
        <v>13410.387611035425</v>
      </c>
      <c r="M10" s="518">
        <v>14322.661175388892</v>
      </c>
      <c r="N10" s="518">
        <v>15080.928954757392</v>
      </c>
      <c r="O10" s="518">
        <v>15537.216117813856</v>
      </c>
      <c r="P10" s="518">
        <v>15619.548470379206</v>
      </c>
      <c r="Q10" s="518">
        <v>15777.952471551831</v>
      </c>
      <c r="R10" s="518">
        <v>16144.455250245383</v>
      </c>
      <c r="AA10" s="512"/>
      <c r="AB10" s="523"/>
      <c r="AC10" s="523"/>
      <c r="AD10" s="523"/>
      <c r="AE10" s="523"/>
      <c r="AF10" s="517"/>
      <c r="AH10" s="517"/>
      <c r="AI10" s="517"/>
      <c r="AJ10" s="512" t="s">
        <v>810</v>
      </c>
      <c r="AK10" s="539">
        <f t="shared" si="1"/>
        <v>-5081</v>
      </c>
      <c r="AL10" s="539">
        <v>4980</v>
      </c>
      <c r="AM10" s="539">
        <f t="shared" si="2"/>
        <v>-1362.8975675893646</v>
      </c>
      <c r="AN10" s="523">
        <v>112.82797683339987</v>
      </c>
      <c r="AO10" s="523"/>
      <c r="AP10" s="523"/>
      <c r="AR10" s="1555">
        <v>5081</v>
      </c>
      <c r="AS10" s="1555">
        <v>4980</v>
      </c>
      <c r="AT10" s="518" t="s">
        <v>809</v>
      </c>
      <c r="AV10" s="1555">
        <v>1362.8975675893646</v>
      </c>
      <c r="AW10" s="1555">
        <v>112.82797683339987</v>
      </c>
    </row>
    <row r="11" spans="1:49">
      <c r="A11" s="518" t="s">
        <v>811</v>
      </c>
      <c r="B11" s="518">
        <v>23842.77680014036</v>
      </c>
      <c r="C11" s="518">
        <v>24945.285428452597</v>
      </c>
      <c r="D11" s="518">
        <v>26018.144669343863</v>
      </c>
      <c r="E11" s="518">
        <v>27017.910241425117</v>
      </c>
      <c r="F11" s="518">
        <v>27098.037676088425</v>
      </c>
      <c r="G11" s="518">
        <v>26802.976951643243</v>
      </c>
      <c r="H11" s="518">
        <v>26836.277080211705</v>
      </c>
      <c r="I11" s="518">
        <v>25843.53202467853</v>
      </c>
      <c r="J11" s="518">
        <v>24948.375248953045</v>
      </c>
      <c r="K11" s="518">
        <v>24957.024166373671</v>
      </c>
      <c r="L11" s="518">
        <v>25422.701694123709</v>
      </c>
      <c r="M11" s="518">
        <v>25877.636392561813</v>
      </c>
      <c r="N11" s="518">
        <v>26692.062608079665</v>
      </c>
      <c r="O11" s="518">
        <v>27861.220619576106</v>
      </c>
      <c r="P11" s="518">
        <v>29198.356788639248</v>
      </c>
      <c r="Q11" s="518">
        <v>30541.723713530504</v>
      </c>
      <c r="R11" s="518">
        <v>31869.580387066719</v>
      </c>
      <c r="AA11" s="512"/>
      <c r="AB11" s="523"/>
      <c r="AC11" s="523"/>
      <c r="AD11" s="523"/>
      <c r="AE11" s="523"/>
      <c r="AF11" s="517"/>
      <c r="AH11" s="517"/>
      <c r="AI11" s="517"/>
      <c r="AJ11" s="512" t="s">
        <v>812</v>
      </c>
      <c r="AK11" s="539">
        <f t="shared" si="1"/>
        <v>-5439</v>
      </c>
      <c r="AL11" s="539">
        <v>5421</v>
      </c>
      <c r="AM11" s="539">
        <f t="shared" si="2"/>
        <v>-13505.075897021881</v>
      </c>
      <c r="AN11" s="523">
        <v>583.29935193116148</v>
      </c>
      <c r="AO11" s="523"/>
      <c r="AP11" s="523"/>
      <c r="AR11" s="1555">
        <v>5439</v>
      </c>
      <c r="AS11" s="1555">
        <v>5421</v>
      </c>
      <c r="AT11" s="518" t="s">
        <v>811</v>
      </c>
      <c r="AV11" s="1555">
        <v>13505.075897021881</v>
      </c>
      <c r="AW11" s="1555">
        <v>583.29935193116148</v>
      </c>
    </row>
    <row r="12" spans="1:49">
      <c r="A12" s="518" t="s">
        <v>813</v>
      </c>
      <c r="B12" s="518">
        <v>27167.104976097085</v>
      </c>
      <c r="C12" s="518">
        <v>28516.689365390303</v>
      </c>
      <c r="D12" s="518">
        <v>30135.861087556696</v>
      </c>
      <c r="E12" s="518">
        <v>31854.302423102825</v>
      </c>
      <c r="F12" s="518">
        <v>33987.029459619429</v>
      </c>
      <c r="G12" s="518">
        <v>36299.532369496985</v>
      </c>
      <c r="H12" s="518">
        <v>38550.930440777433</v>
      </c>
      <c r="I12" s="518">
        <v>39304.81354909511</v>
      </c>
      <c r="J12" s="518">
        <v>39908.427203909545</v>
      </c>
      <c r="K12" s="518">
        <v>39509.093680539649</v>
      </c>
      <c r="L12" s="518">
        <v>38640.14341274288</v>
      </c>
      <c r="M12" s="518">
        <v>37990.915199247058</v>
      </c>
      <c r="N12" s="518">
        <v>37267.756415510667</v>
      </c>
      <c r="O12" s="518">
        <v>36646.023230843784</v>
      </c>
      <c r="P12" s="518">
        <v>36936.08083102548</v>
      </c>
      <c r="Q12" s="518">
        <v>37686.303646556844</v>
      </c>
      <c r="R12" s="518">
        <v>38435.075586692248</v>
      </c>
      <c r="AA12" s="512"/>
      <c r="AB12" s="523"/>
      <c r="AC12" s="523"/>
      <c r="AD12" s="523"/>
      <c r="AE12" s="523"/>
      <c r="AF12" s="517"/>
      <c r="AH12" s="517"/>
      <c r="AI12" s="517"/>
      <c r="AJ12" s="512" t="s">
        <v>814</v>
      </c>
      <c r="AK12" s="539">
        <f t="shared" si="1"/>
        <v>-9069</v>
      </c>
      <c r="AL12" s="539">
        <v>9956</v>
      </c>
      <c r="AM12" s="539">
        <f t="shared" si="2"/>
        <v>-19216.553508427431</v>
      </c>
      <c r="AN12" s="523">
        <v>1666.873695482115</v>
      </c>
      <c r="AO12" s="523"/>
      <c r="AP12" s="523"/>
      <c r="AR12" s="1555">
        <v>9069</v>
      </c>
      <c r="AS12" s="1555">
        <v>9956</v>
      </c>
      <c r="AT12" s="518" t="s">
        <v>813</v>
      </c>
      <c r="AV12" s="1555">
        <v>19216.553508427431</v>
      </c>
      <c r="AW12" s="1555">
        <v>1666.873695482115</v>
      </c>
    </row>
    <row r="13" spans="1:49">
      <c r="A13" s="507" t="s">
        <v>815</v>
      </c>
      <c r="B13" s="518">
        <v>20195.072930507929</v>
      </c>
      <c r="C13" s="518">
        <v>22216.497884381464</v>
      </c>
      <c r="D13" s="518">
        <v>24136.111275730789</v>
      </c>
      <c r="E13" s="518">
        <v>25676.925912471983</v>
      </c>
      <c r="F13" s="518">
        <v>27628.797316886012</v>
      </c>
      <c r="G13" s="518">
        <v>29211.512354662191</v>
      </c>
      <c r="H13" s="518">
        <v>30636.887185139451</v>
      </c>
      <c r="I13" s="518">
        <v>31336.614406919769</v>
      </c>
      <c r="J13" s="518">
        <v>32009.384931613342</v>
      </c>
      <c r="K13" s="518">
        <v>32957.402376402839</v>
      </c>
      <c r="L13" s="518">
        <v>33929.875513064449</v>
      </c>
      <c r="M13" s="518">
        <v>34673.018398457025</v>
      </c>
      <c r="N13" s="518">
        <v>35316.050508314613</v>
      </c>
      <c r="O13" s="518">
        <v>35806.196874425907</v>
      </c>
      <c r="P13" s="518">
        <v>35290.68822528646</v>
      </c>
      <c r="Q13" s="518">
        <v>34302.761130311505</v>
      </c>
      <c r="R13" s="518">
        <v>33531.65814769952</v>
      </c>
      <c r="AA13" s="512"/>
      <c r="AB13" s="523"/>
      <c r="AC13" s="523"/>
      <c r="AD13" s="523"/>
      <c r="AE13" s="523"/>
      <c r="AF13" s="517"/>
      <c r="AH13" s="517"/>
      <c r="AI13" s="517"/>
      <c r="AJ13" s="512" t="s">
        <v>816</v>
      </c>
      <c r="AK13" s="539">
        <f t="shared" si="1"/>
        <v>-9211</v>
      </c>
      <c r="AL13" s="539">
        <v>9604</v>
      </c>
      <c r="AM13" s="539">
        <f t="shared" si="2"/>
        <v>-11719.105913772852</v>
      </c>
      <c r="AN13" s="523">
        <v>1475.2790178404923</v>
      </c>
      <c r="AO13" s="523"/>
      <c r="AP13" s="523"/>
      <c r="AR13" s="1555">
        <v>9211</v>
      </c>
      <c r="AS13" s="1555">
        <v>9604</v>
      </c>
      <c r="AT13" s="507" t="s">
        <v>815</v>
      </c>
      <c r="AV13" s="1555">
        <v>11719.105913772852</v>
      </c>
      <c r="AW13" s="1555">
        <v>1475.2790178404923</v>
      </c>
    </row>
    <row r="14" spans="1:49">
      <c r="A14" s="507" t="s">
        <v>817</v>
      </c>
      <c r="B14" s="518">
        <v>14242.772631814225</v>
      </c>
      <c r="C14" s="518">
        <v>15490.600672074623</v>
      </c>
      <c r="D14" s="518">
        <v>16641.735787748814</v>
      </c>
      <c r="E14" s="518">
        <v>18411.363649225692</v>
      </c>
      <c r="F14" s="518">
        <v>20002.21530860979</v>
      </c>
      <c r="G14" s="518">
        <v>21855.624558017007</v>
      </c>
      <c r="H14" s="518">
        <v>23943.591320294981</v>
      </c>
      <c r="I14" s="518">
        <v>25289.21569853893</v>
      </c>
      <c r="J14" s="518">
        <v>26176.045482700883</v>
      </c>
      <c r="K14" s="518">
        <v>27386.212448259037</v>
      </c>
      <c r="L14" s="518">
        <v>28133.851706603695</v>
      </c>
      <c r="M14" s="518">
        <v>28617.101789486289</v>
      </c>
      <c r="N14" s="518">
        <v>29254.104735606248</v>
      </c>
      <c r="O14" s="518">
        <v>29864.006179389777</v>
      </c>
      <c r="P14" s="518">
        <v>30747.955442016151</v>
      </c>
      <c r="Q14" s="518">
        <v>31654.105624748277</v>
      </c>
      <c r="R14" s="518">
        <v>32328.613704625997</v>
      </c>
      <c r="AA14" s="512"/>
      <c r="AB14" s="523"/>
      <c r="AC14" s="523"/>
      <c r="AD14" s="523"/>
      <c r="AE14" s="523"/>
      <c r="AF14" s="517"/>
      <c r="AH14" s="517"/>
      <c r="AI14" s="517"/>
      <c r="AJ14" s="512" t="s">
        <v>818</v>
      </c>
      <c r="AK14" s="539">
        <f t="shared" si="1"/>
        <v>-8689</v>
      </c>
      <c r="AL14" s="539">
        <v>8948</v>
      </c>
      <c r="AM14" s="539">
        <f t="shared" si="2"/>
        <v>-7355.4161408259715</v>
      </c>
      <c r="AN14" s="523">
        <v>1183.6293418749119</v>
      </c>
      <c r="AO14" s="523"/>
      <c r="AP14" s="523"/>
      <c r="AR14" s="1555">
        <v>8689</v>
      </c>
      <c r="AS14" s="1555">
        <v>8948</v>
      </c>
      <c r="AT14" s="507" t="s">
        <v>817</v>
      </c>
      <c r="AV14" s="1555">
        <v>7355.4161408259715</v>
      </c>
      <c r="AW14" s="1555">
        <v>1183.6293418749119</v>
      </c>
    </row>
    <row r="15" spans="1:49">
      <c r="A15" s="507" t="s">
        <v>819</v>
      </c>
      <c r="B15" s="518">
        <v>10708.917001319096</v>
      </c>
      <c r="C15" s="518">
        <v>11494.233467897733</v>
      </c>
      <c r="D15" s="518">
        <v>12463.977612880848</v>
      </c>
      <c r="E15" s="518">
        <v>13186.34954314115</v>
      </c>
      <c r="F15" s="518">
        <v>14117.885923729093</v>
      </c>
      <c r="G15" s="518">
        <v>15219.495374005408</v>
      </c>
      <c r="H15" s="518">
        <v>16490.497586417412</v>
      </c>
      <c r="I15" s="518">
        <v>17264.389566945974</v>
      </c>
      <c r="J15" s="518">
        <v>18604.493833255205</v>
      </c>
      <c r="K15" s="518">
        <v>19709.891704746795</v>
      </c>
      <c r="L15" s="518">
        <v>21014.666559432899</v>
      </c>
      <c r="M15" s="518">
        <v>22483.903886050088</v>
      </c>
      <c r="N15" s="518">
        <v>23780.691337492619</v>
      </c>
      <c r="O15" s="518">
        <v>24622.118785598315</v>
      </c>
      <c r="P15" s="518">
        <v>25782.278377321421</v>
      </c>
      <c r="Q15" s="518">
        <v>26480.264592327418</v>
      </c>
      <c r="R15" s="518">
        <v>26916.174302045914</v>
      </c>
      <c r="AA15" s="512"/>
      <c r="AB15" s="523"/>
      <c r="AC15" s="523"/>
      <c r="AD15" s="523"/>
      <c r="AE15" s="523"/>
      <c r="AF15" s="517"/>
      <c r="AH15" s="517"/>
      <c r="AI15" s="517"/>
      <c r="AJ15" s="512" t="s">
        <v>820</v>
      </c>
      <c r="AK15" s="539">
        <f t="shared" si="1"/>
        <v>-6543</v>
      </c>
      <c r="AL15" s="539">
        <v>6792</v>
      </c>
      <c r="AM15" s="539">
        <f t="shared" si="2"/>
        <v>-4532.918739210746</v>
      </c>
      <c r="AN15" s="523">
        <v>736.57509404445943</v>
      </c>
      <c r="AO15" s="523"/>
      <c r="AP15" s="523"/>
      <c r="AR15" s="1555">
        <v>6543</v>
      </c>
      <c r="AS15" s="1555">
        <v>6792</v>
      </c>
      <c r="AT15" s="507" t="s">
        <v>819</v>
      </c>
      <c r="AV15" s="1555">
        <v>4532.918739210746</v>
      </c>
      <c r="AW15" s="1555">
        <v>736.57509404445943</v>
      </c>
    </row>
    <row r="16" spans="1:49">
      <c r="A16" s="507" t="s">
        <v>821</v>
      </c>
      <c r="B16" s="518">
        <v>8426.0470578800596</v>
      </c>
      <c r="C16" s="518">
        <v>8823.1063713025796</v>
      </c>
      <c r="D16" s="518">
        <v>9481.8923461896666</v>
      </c>
      <c r="E16" s="518">
        <v>10346.374482720039</v>
      </c>
      <c r="F16" s="518">
        <v>10870.729415214362</v>
      </c>
      <c r="G16" s="518">
        <v>11446.362696623128</v>
      </c>
      <c r="H16" s="518">
        <v>12246.932874109098</v>
      </c>
      <c r="I16" s="518">
        <v>12986.028321626942</v>
      </c>
      <c r="J16" s="518">
        <v>13447.10076481111</v>
      </c>
      <c r="K16" s="518">
        <v>14080.200251545171</v>
      </c>
      <c r="L16" s="518">
        <v>14845.378096680897</v>
      </c>
      <c r="M16" s="518">
        <v>15736.686914111722</v>
      </c>
      <c r="N16" s="518">
        <v>16484.18064965813</v>
      </c>
      <c r="O16" s="518">
        <v>17793.91461478555</v>
      </c>
      <c r="P16" s="518">
        <v>18867.945521175832</v>
      </c>
      <c r="Q16" s="518">
        <v>20141.331516173879</v>
      </c>
      <c r="R16" s="518">
        <v>21577.132219131647</v>
      </c>
      <c r="AA16" s="512"/>
      <c r="AB16" s="523"/>
      <c r="AC16" s="523"/>
      <c r="AD16" s="523"/>
      <c r="AE16" s="523"/>
      <c r="AF16" s="517"/>
      <c r="AH16" s="517"/>
      <c r="AI16" s="517"/>
      <c r="AJ16" s="512" t="s">
        <v>822</v>
      </c>
      <c r="AK16" s="539">
        <f t="shared" si="1"/>
        <v>-5225</v>
      </c>
      <c r="AL16" s="539">
        <v>4979</v>
      </c>
      <c r="AM16" s="539">
        <f t="shared" si="2"/>
        <v>-2725.7951351787292</v>
      </c>
      <c r="AN16" s="523">
        <v>517.30562963238049</v>
      </c>
      <c r="AO16" s="523"/>
      <c r="AP16" s="523"/>
      <c r="AR16" s="1555">
        <v>5225</v>
      </c>
      <c r="AS16" s="1555">
        <v>4979</v>
      </c>
      <c r="AT16" s="507" t="s">
        <v>821</v>
      </c>
      <c r="AV16" s="1555">
        <v>2725.7951351787292</v>
      </c>
      <c r="AW16" s="1555">
        <v>517.30562963238049</v>
      </c>
    </row>
    <row r="17" spans="1:49">
      <c r="A17" s="507" t="s">
        <v>823</v>
      </c>
      <c r="B17" s="518">
        <v>6196.8321444882804</v>
      </c>
      <c r="C17" s="518">
        <v>6783.4271233967111</v>
      </c>
      <c r="D17" s="518">
        <v>7081.6035211473045</v>
      </c>
      <c r="E17" s="518">
        <v>7390.2638534380831</v>
      </c>
      <c r="F17" s="518">
        <v>7868.4055543716067</v>
      </c>
      <c r="G17" s="518">
        <v>8509.1309591107238</v>
      </c>
      <c r="H17" s="518">
        <v>8871.6583364193812</v>
      </c>
      <c r="I17" s="518">
        <v>9376.4452675862012</v>
      </c>
      <c r="J17" s="518">
        <v>10064.138149228709</v>
      </c>
      <c r="K17" s="518">
        <v>10393.759915592385</v>
      </c>
      <c r="L17" s="518">
        <v>10752.3340815059</v>
      </c>
      <c r="M17" s="518">
        <v>11305.884757078646</v>
      </c>
      <c r="N17" s="518">
        <v>12012.436662770337</v>
      </c>
      <c r="O17" s="518">
        <v>12446.015144842107</v>
      </c>
      <c r="P17" s="518">
        <v>13045.64619119875</v>
      </c>
      <c r="Q17" s="518">
        <v>13777.356447631992</v>
      </c>
      <c r="R17" s="518">
        <v>14632.173234474996</v>
      </c>
      <c r="AA17" s="512"/>
      <c r="AB17" s="523"/>
      <c r="AC17" s="523"/>
      <c r="AD17" s="523"/>
      <c r="AE17" s="523"/>
      <c r="AF17" s="517"/>
      <c r="AH17" s="517"/>
      <c r="AI17" s="517"/>
      <c r="AJ17" s="512" t="s">
        <v>824</v>
      </c>
      <c r="AK17" s="539">
        <f t="shared" si="1"/>
        <v>-4322</v>
      </c>
      <c r="AL17" s="539">
        <v>4256</v>
      </c>
      <c r="AM17" s="539">
        <f t="shared" si="2"/>
        <v>-1160.4271972379513</v>
      </c>
      <c r="AN17" s="523">
        <v>325.71095199075813</v>
      </c>
      <c r="AO17" s="523"/>
      <c r="AP17" s="523"/>
      <c r="AR17" s="1555">
        <v>4322</v>
      </c>
      <c r="AS17" s="1555">
        <v>4256</v>
      </c>
      <c r="AT17" s="507" t="s">
        <v>823</v>
      </c>
      <c r="AV17" s="1555">
        <v>1160.4271972379513</v>
      </c>
      <c r="AW17" s="1555">
        <v>325.71095199075813</v>
      </c>
    </row>
    <row r="18" spans="1:49">
      <c r="A18" s="507" t="s">
        <v>825</v>
      </c>
      <c r="B18" s="518">
        <v>4276.9706769578297</v>
      </c>
      <c r="C18" s="518">
        <v>4721.0412179265113</v>
      </c>
      <c r="D18" s="518">
        <v>5194.905330804354</v>
      </c>
      <c r="E18" s="518">
        <v>5636.9619890318309</v>
      </c>
      <c r="F18" s="518">
        <v>6018.6521264524363</v>
      </c>
      <c r="G18" s="518">
        <v>6289.4630503267963</v>
      </c>
      <c r="H18" s="518">
        <v>6850.9333184675224</v>
      </c>
      <c r="I18" s="518">
        <v>7081.7535807442591</v>
      </c>
      <c r="J18" s="518">
        <v>7311.9743348672591</v>
      </c>
      <c r="K18" s="518">
        <v>7698.6057193358802</v>
      </c>
      <c r="L18" s="518">
        <v>8232.658129306812</v>
      </c>
      <c r="M18" s="518">
        <v>8487.1422230913904</v>
      </c>
      <c r="N18" s="518">
        <v>8973.0689288173871</v>
      </c>
      <c r="O18" s="518">
        <v>9641.449451259441</v>
      </c>
      <c r="P18" s="518">
        <v>9955.2952788424191</v>
      </c>
      <c r="Q18" s="518">
        <v>10301.618190822042</v>
      </c>
      <c r="R18" s="518">
        <v>10838.430264647313</v>
      </c>
      <c r="AA18" s="512"/>
      <c r="AB18" s="523"/>
      <c r="AC18" s="523"/>
      <c r="AD18" s="523"/>
      <c r="AE18" s="523"/>
      <c r="AF18" s="517"/>
      <c r="AH18" s="517"/>
      <c r="AI18" s="517"/>
      <c r="AJ18" s="512" t="s">
        <v>826</v>
      </c>
      <c r="AK18" s="539">
        <f t="shared" si="1"/>
        <v>-3311</v>
      </c>
      <c r="AL18" s="539">
        <v>3344</v>
      </c>
      <c r="AM18" s="539">
        <f t="shared" si="2"/>
        <v>-465.37965722563666</v>
      </c>
      <c r="AN18" s="523">
        <v>191.59467764162241</v>
      </c>
      <c r="AO18" s="523"/>
      <c r="AP18" s="523"/>
      <c r="AR18" s="1555">
        <v>3311</v>
      </c>
      <c r="AS18" s="1555">
        <v>3344</v>
      </c>
      <c r="AT18" s="507" t="s">
        <v>825</v>
      </c>
      <c r="AV18" s="1555">
        <v>465.37965722563666</v>
      </c>
      <c r="AW18" s="1555">
        <v>191.59467764162241</v>
      </c>
    </row>
    <row r="19" spans="1:49">
      <c r="A19" s="507" t="s">
        <v>827</v>
      </c>
      <c r="B19" s="518">
        <v>2290.1742092992199</v>
      </c>
      <c r="C19" s="518">
        <v>2478.6009468275197</v>
      </c>
      <c r="D19" s="518">
        <v>2843.5449575865073</v>
      </c>
      <c r="E19" s="518">
        <v>3290.1658145948259</v>
      </c>
      <c r="F19" s="518">
        <v>3702.639873311989</v>
      </c>
      <c r="G19" s="518">
        <v>4248.162036663095</v>
      </c>
      <c r="H19" s="518">
        <v>4667.9477056928108</v>
      </c>
      <c r="I19" s="518">
        <v>5097.2751619872288</v>
      </c>
      <c r="J19" s="518">
        <v>5493.7627986003536</v>
      </c>
      <c r="K19" s="518">
        <v>5823.4146705162575</v>
      </c>
      <c r="L19" s="518">
        <v>6047.2349353714253</v>
      </c>
      <c r="M19" s="518">
        <v>6546.2278560534114</v>
      </c>
      <c r="N19" s="518">
        <v>6770.3978033652784</v>
      </c>
      <c r="O19" s="518">
        <v>6993.7492587574998</v>
      </c>
      <c r="P19" s="518">
        <v>7364.2868171290056</v>
      </c>
      <c r="Q19" s="518">
        <v>7881.0151896991456</v>
      </c>
      <c r="R19" s="518">
        <v>8128.9392069523565</v>
      </c>
      <c r="AA19" s="512"/>
      <c r="AB19" s="523"/>
      <c r="AC19" s="523"/>
      <c r="AD19" s="523"/>
      <c r="AE19" s="523"/>
      <c r="AF19" s="517"/>
      <c r="AH19" s="517"/>
      <c r="AI19" s="517"/>
      <c r="AJ19" s="512" t="s">
        <v>828</v>
      </c>
      <c r="AK19" s="539">
        <f t="shared" si="1"/>
        <v>-2573</v>
      </c>
      <c r="AL19" s="539">
        <v>2658</v>
      </c>
      <c r="AM19" s="539">
        <f t="shared" si="2"/>
        <v>-190.38258704685134</v>
      </c>
      <c r="AN19" s="523">
        <v>72.380211553501795</v>
      </c>
      <c r="AO19" s="523"/>
      <c r="AP19" s="523"/>
      <c r="AR19" s="1555">
        <v>2573</v>
      </c>
      <c r="AS19" s="1555">
        <v>2658</v>
      </c>
      <c r="AT19" s="507" t="s">
        <v>827</v>
      </c>
      <c r="AV19" s="1555">
        <v>190.38258704685134</v>
      </c>
      <c r="AW19" s="1555">
        <v>72.380211553501795</v>
      </c>
    </row>
    <row r="20" spans="1:49">
      <c r="A20" s="507" t="s">
        <v>829</v>
      </c>
      <c r="B20" s="518">
        <v>1687.9305153526698</v>
      </c>
      <c r="C20" s="518">
        <v>1854.7593172634349</v>
      </c>
      <c r="D20" s="518">
        <v>1978.306310540512</v>
      </c>
      <c r="E20" s="518">
        <v>2040.6470280292501</v>
      </c>
      <c r="F20" s="518">
        <v>2151.8649464336886</v>
      </c>
      <c r="G20" s="518">
        <v>2234.052321779468</v>
      </c>
      <c r="H20" s="518">
        <v>2414.3111127431439</v>
      </c>
      <c r="I20" s="518">
        <v>2747.3061728216162</v>
      </c>
      <c r="J20" s="518">
        <v>3155.3770532069525</v>
      </c>
      <c r="K20" s="518">
        <v>3527.5256732993598</v>
      </c>
      <c r="L20" s="518">
        <v>4024.754001088892</v>
      </c>
      <c r="M20" s="518">
        <v>4403.0640543855088</v>
      </c>
      <c r="N20" s="518">
        <v>4809.4579020802712</v>
      </c>
      <c r="O20" s="518">
        <v>5183.9376654384687</v>
      </c>
      <c r="P20" s="518">
        <v>5493.5055194254746</v>
      </c>
      <c r="Q20" s="518">
        <v>5710.1636940661765</v>
      </c>
      <c r="R20" s="518">
        <v>6184.9144758388056</v>
      </c>
      <c r="AA20" s="512"/>
      <c r="AB20" s="523"/>
      <c r="AC20" s="523"/>
      <c r="AD20" s="523"/>
      <c r="AE20" s="523"/>
      <c r="AF20" s="517"/>
      <c r="AH20" s="517"/>
      <c r="AI20" s="517"/>
      <c r="AJ20" s="512" t="s">
        <v>830</v>
      </c>
      <c r="AK20" s="539">
        <f t="shared" si="1"/>
        <v>-1517</v>
      </c>
      <c r="AL20" s="539">
        <v>1514</v>
      </c>
      <c r="AM20" s="539">
        <f t="shared" si="2"/>
        <v>-96.702266436495918</v>
      </c>
      <c r="AN20" s="523">
        <v>27.674786770456571</v>
      </c>
      <c r="AO20" s="523"/>
      <c r="AP20" s="523"/>
      <c r="AR20" s="1555">
        <v>1517</v>
      </c>
      <c r="AS20" s="1555">
        <v>1514</v>
      </c>
      <c r="AT20" s="507" t="s">
        <v>829</v>
      </c>
      <c r="AV20" s="1555">
        <v>96.702266436495918</v>
      </c>
      <c r="AW20" s="1555">
        <v>27.674786770456571</v>
      </c>
    </row>
    <row r="21" spans="1:49">
      <c r="A21" s="507" t="s">
        <v>831</v>
      </c>
      <c r="B21" s="518">
        <v>1336.5310199728683</v>
      </c>
      <c r="C21" s="518">
        <v>1374.267849963579</v>
      </c>
      <c r="D21" s="518">
        <v>1375.3976857951054</v>
      </c>
      <c r="E21" s="518">
        <v>1427.9618602525352</v>
      </c>
      <c r="F21" s="518">
        <v>1466.00605312791</v>
      </c>
      <c r="G21" s="518">
        <v>1595.580748398939</v>
      </c>
      <c r="H21" s="518">
        <v>1746.741739489614</v>
      </c>
      <c r="I21" s="518">
        <v>1853.3806844277547</v>
      </c>
      <c r="J21" s="518">
        <v>1908.0611194545374</v>
      </c>
      <c r="K21" s="518">
        <v>2000.7840948965566</v>
      </c>
      <c r="L21" s="518">
        <v>2073.5506876695508</v>
      </c>
      <c r="M21" s="518">
        <v>2233.3620019515115</v>
      </c>
      <c r="N21" s="518">
        <v>2538.2191698728275</v>
      </c>
      <c r="O21" s="518">
        <v>2911.1233522239054</v>
      </c>
      <c r="P21" s="518">
        <v>3247.0757391807015</v>
      </c>
      <c r="Q21" s="518">
        <v>3698.0775510486196</v>
      </c>
      <c r="R21" s="518">
        <v>4043.1300390252409</v>
      </c>
      <c r="AA21" s="512"/>
      <c r="AB21" s="523"/>
      <c r="AC21" s="523"/>
      <c r="AD21" s="523"/>
      <c r="AE21" s="523"/>
      <c r="AF21" s="517"/>
      <c r="AH21" s="517"/>
      <c r="AI21" s="517"/>
      <c r="AJ21" s="512" t="s">
        <v>832</v>
      </c>
      <c r="AK21" s="539">
        <f t="shared" si="1"/>
        <v>-889</v>
      </c>
      <c r="AL21" s="539">
        <v>951</v>
      </c>
      <c r="AM21" s="539">
        <f t="shared" si="2"/>
        <v>-57.416970696669445</v>
      </c>
      <c r="AN21" s="523">
        <v>10.644148757867912</v>
      </c>
      <c r="AO21" s="523"/>
      <c r="AP21" s="523"/>
      <c r="AR21" s="1555">
        <v>889</v>
      </c>
      <c r="AS21" s="1555">
        <v>951</v>
      </c>
      <c r="AT21" s="507" t="s">
        <v>831</v>
      </c>
      <c r="AV21" s="1555">
        <v>57.416970696669445</v>
      </c>
      <c r="AW21" s="1555">
        <v>10.644148757867912</v>
      </c>
    </row>
    <row r="22" spans="1:49">
      <c r="A22" s="507" t="s">
        <v>833</v>
      </c>
      <c r="B22" s="518">
        <v>887.62075244909784</v>
      </c>
      <c r="C22" s="518">
        <v>930.94808857097485</v>
      </c>
      <c r="D22" s="518">
        <v>1018.4150218513848</v>
      </c>
      <c r="E22" s="518">
        <v>1100.0362338516511</v>
      </c>
      <c r="F22" s="518">
        <v>1138.8279502063806</v>
      </c>
      <c r="G22" s="518">
        <v>1153.8081030150684</v>
      </c>
      <c r="H22" s="518">
        <v>1185.9965103125758</v>
      </c>
      <c r="I22" s="518">
        <v>1189.5786697427798</v>
      </c>
      <c r="J22" s="518">
        <v>1238.175566609124</v>
      </c>
      <c r="K22" s="518">
        <v>1269.7875739915803</v>
      </c>
      <c r="L22" s="518">
        <v>1378.4150744146855</v>
      </c>
      <c r="M22" s="518">
        <v>1504.0584600866305</v>
      </c>
      <c r="N22" s="518">
        <v>1593.7181331444044</v>
      </c>
      <c r="O22" s="518">
        <v>1644.3945059051428</v>
      </c>
      <c r="P22" s="518">
        <v>1724.0880011238387</v>
      </c>
      <c r="Q22" s="518">
        <v>1791.799052257579</v>
      </c>
      <c r="R22" s="518">
        <v>1934.5281037364689</v>
      </c>
      <c r="AA22" s="512"/>
      <c r="AB22" s="523"/>
      <c r="AC22" s="523"/>
      <c r="AD22" s="523"/>
      <c r="AE22" s="523"/>
      <c r="AF22" s="517"/>
      <c r="AH22" s="517"/>
      <c r="AI22" s="517"/>
      <c r="AJ22" s="512" t="s">
        <v>834</v>
      </c>
      <c r="AK22" s="539">
        <f t="shared" si="1"/>
        <v>-1140</v>
      </c>
      <c r="AL22" s="539">
        <v>1310</v>
      </c>
      <c r="AM22" s="539">
        <f t="shared" si="2"/>
        <v>-72.526699827371942</v>
      </c>
      <c r="AN22" s="523">
        <v>2.1288297515735826</v>
      </c>
      <c r="AO22" s="533"/>
      <c r="AP22" s="523"/>
      <c r="AR22" s="523">
        <f>SUM(AR25:AR26)</f>
        <v>1140</v>
      </c>
      <c r="AS22" s="523">
        <f>SUM(AS25:AS26)</f>
        <v>1310</v>
      </c>
      <c r="AT22" s="507" t="s">
        <v>833</v>
      </c>
      <c r="AV22" s="523">
        <f>SUM(AV25:AV26)</f>
        <v>72.526699827371942</v>
      </c>
      <c r="AW22" s="523">
        <f>SUM(AW25:AW26)</f>
        <v>2.1288297515735826</v>
      </c>
    </row>
    <row r="23" spans="1:49">
      <c r="A23" s="521" t="s">
        <v>835</v>
      </c>
      <c r="B23" s="540">
        <v>663.35285147944785</v>
      </c>
      <c r="C23" s="540">
        <v>725.12440506345251</v>
      </c>
      <c r="D23" s="540">
        <v>785.18744548238283</v>
      </c>
      <c r="E23" s="540">
        <v>856.57262867427494</v>
      </c>
      <c r="F23" s="540">
        <v>929.31383469031255</v>
      </c>
      <c r="G23" s="540">
        <v>1031.4485067777669</v>
      </c>
      <c r="H23" s="540">
        <v>1095.0180261246007</v>
      </c>
      <c r="I23" s="540">
        <v>1190.2336082432901</v>
      </c>
      <c r="J23" s="540">
        <v>1286.4799629698216</v>
      </c>
      <c r="K23" s="540">
        <v>1351.7578693164712</v>
      </c>
      <c r="L23" s="540">
        <v>1421.0681260163053</v>
      </c>
      <c r="M23" s="540">
        <v>1477.4115520224136</v>
      </c>
      <c r="N23" s="540">
        <v>1539.7889870197823</v>
      </c>
      <c r="O23" s="540">
        <v>1641.201291950124</v>
      </c>
      <c r="P23" s="540">
        <v>1704.6493495499944</v>
      </c>
      <c r="Q23" s="540">
        <v>1834.1340649025319</v>
      </c>
      <c r="R23" s="540">
        <v>1961.6563660031634</v>
      </c>
      <c r="AA23" s="512"/>
      <c r="AB23" s="523"/>
      <c r="AC23" s="523"/>
      <c r="AD23" s="523"/>
      <c r="AE23" s="523"/>
      <c r="AF23" s="517"/>
      <c r="AH23" s="517"/>
      <c r="AI23" s="517"/>
      <c r="AJ23" s="68" t="s">
        <v>836</v>
      </c>
      <c r="AK23" s="523">
        <f t="shared" ref="AK23:AN23" si="3">SUM(AK7:AK22)</f>
        <v>-85183</v>
      </c>
      <c r="AL23" s="523">
        <f t="shared" si="3"/>
        <v>85385</v>
      </c>
      <c r="AM23" s="523">
        <f t="shared" si="3"/>
        <v>-63445.752619819767</v>
      </c>
      <c r="AN23" s="523">
        <f t="shared" si="3"/>
        <v>7510.5113635515972</v>
      </c>
      <c r="AO23" s="523"/>
      <c r="AP23" s="517"/>
      <c r="AT23" s="521"/>
    </row>
    <row r="24" spans="1:49">
      <c r="A24" s="507"/>
      <c r="B24" s="518"/>
      <c r="C24" s="518"/>
      <c r="D24" s="518"/>
      <c r="E24" s="518"/>
      <c r="F24" s="518"/>
      <c r="G24" s="518"/>
      <c r="H24" s="518"/>
      <c r="I24" s="518"/>
      <c r="J24" s="518"/>
      <c r="K24" s="518"/>
      <c r="L24" s="518"/>
      <c r="M24" s="518"/>
      <c r="N24" s="518"/>
      <c r="O24" s="518"/>
      <c r="P24" s="518"/>
      <c r="Q24" s="518"/>
      <c r="R24" s="518"/>
      <c r="AA24" s="517"/>
      <c r="AF24" s="517"/>
      <c r="AG24" s="517"/>
      <c r="AH24" s="517"/>
      <c r="AI24" s="517"/>
      <c r="AJ24" s="517"/>
      <c r="AK24" s="517"/>
      <c r="AL24" s="517"/>
      <c r="AM24" s="517"/>
      <c r="AN24" s="517"/>
      <c r="AO24" s="517"/>
      <c r="AP24" s="517"/>
    </row>
    <row r="25" spans="1:49">
      <c r="A25" s="536"/>
      <c r="B25" s="518"/>
      <c r="C25" s="518"/>
      <c r="D25" s="518"/>
      <c r="E25" s="518"/>
      <c r="F25" s="518"/>
      <c r="G25" s="518"/>
      <c r="H25" s="518"/>
      <c r="I25" s="518"/>
      <c r="J25" s="518"/>
      <c r="K25" s="518"/>
      <c r="L25" s="518"/>
      <c r="M25" s="518"/>
      <c r="N25" s="518"/>
      <c r="O25" s="518"/>
      <c r="P25" s="518"/>
      <c r="Q25" s="518"/>
      <c r="R25" s="518"/>
      <c r="AA25" s="517"/>
      <c r="AB25" s="523"/>
      <c r="AC25" s="523"/>
      <c r="AD25" s="523"/>
      <c r="AE25" s="523"/>
      <c r="AF25" s="517"/>
      <c r="AG25" s="517"/>
      <c r="AH25" s="517"/>
      <c r="AI25" s="517"/>
      <c r="AJ25" s="517"/>
      <c r="AK25" s="517"/>
      <c r="AL25" s="517"/>
      <c r="AM25" s="517"/>
      <c r="AN25" s="517"/>
      <c r="AO25" s="517"/>
      <c r="AP25" s="517"/>
      <c r="AR25" s="1555">
        <v>543</v>
      </c>
      <c r="AS25" s="1555">
        <v>671</v>
      </c>
      <c r="AV25" s="1555">
        <v>24.17556660912398</v>
      </c>
      <c r="AW25" s="1555">
        <v>0</v>
      </c>
    </row>
    <row r="26" spans="1:49">
      <c r="A26" s="541" t="s">
        <v>837</v>
      </c>
      <c r="B26" s="542">
        <f>SUM(B27:B43)</f>
        <v>98105.587208601049</v>
      </c>
      <c r="C26" s="542">
        <f t="shared" ref="C26:R26" si="4">SUM(C27:C43)</f>
        <v>103909.01494345226</v>
      </c>
      <c r="D26" s="542">
        <f t="shared" si="4"/>
        <v>110146.79797122792</v>
      </c>
      <c r="E26" s="542">
        <f t="shared" si="4"/>
        <v>116857.46621442682</v>
      </c>
      <c r="F26" s="542">
        <f t="shared" si="4"/>
        <v>124079.60182287023</v>
      </c>
      <c r="G26" s="542">
        <f t="shared" si="4"/>
        <v>131846.26535016985</v>
      </c>
      <c r="H26" s="542">
        <f t="shared" si="4"/>
        <v>140204.46675156575</v>
      </c>
      <c r="I26" s="542">
        <f t="shared" si="4"/>
        <v>144383.27140620776</v>
      </c>
      <c r="J26" s="542">
        <f t="shared" si="4"/>
        <v>148628.75261981977</v>
      </c>
      <c r="K26" s="542">
        <f t="shared" si="4"/>
        <v>152930.88949415361</v>
      </c>
      <c r="L26" s="542">
        <f t="shared" si="4"/>
        <v>157283.6859170399</v>
      </c>
      <c r="M26" s="542">
        <f t="shared" si="4"/>
        <v>161678.17118985084</v>
      </c>
      <c r="N26" s="542">
        <f t="shared" si="4"/>
        <v>166108.40067084663</v>
      </c>
      <c r="O26" s="542">
        <f t="shared" si="4"/>
        <v>170579.45643480928</v>
      </c>
      <c r="P26" s="542">
        <f t="shared" si="4"/>
        <v>175090.44794937427</v>
      </c>
      <c r="Q26" s="542">
        <f t="shared" si="4"/>
        <v>179649.51276848392</v>
      </c>
      <c r="R26" s="542">
        <f t="shared" si="4"/>
        <v>184254.81724339569</v>
      </c>
      <c r="AA26" s="517"/>
      <c r="AB26" s="523"/>
      <c r="AC26" s="523"/>
      <c r="AD26" s="523"/>
      <c r="AE26" s="523"/>
      <c r="AF26" s="517"/>
      <c r="AG26" s="517"/>
      <c r="AH26" s="517"/>
      <c r="AI26" s="517"/>
      <c r="AJ26" s="517"/>
      <c r="AK26" s="517"/>
      <c r="AL26" s="517"/>
      <c r="AM26" s="517"/>
      <c r="AN26" s="517"/>
      <c r="AO26" s="517"/>
      <c r="AP26" s="517"/>
      <c r="AR26" s="1556">
        <v>597</v>
      </c>
      <c r="AS26" s="1556">
        <v>639</v>
      </c>
      <c r="AV26" s="1556">
        <v>48.351133218247959</v>
      </c>
      <c r="AW26" s="1556">
        <v>2.1288297515735826</v>
      </c>
    </row>
    <row r="27" spans="1:49" s="312" customFormat="1">
      <c r="A27" s="543" t="s">
        <v>803</v>
      </c>
      <c r="B27" s="518">
        <v>6668.1478311503679</v>
      </c>
      <c r="C27" s="518">
        <v>6913.1923046336133</v>
      </c>
      <c r="D27" s="518">
        <v>7054.0810702219651</v>
      </c>
      <c r="E27" s="518">
        <v>7327.1132647273907</v>
      </c>
      <c r="F27" s="518">
        <v>7766.6194854550058</v>
      </c>
      <c r="G27" s="518">
        <v>8173.9650989320162</v>
      </c>
      <c r="H27" s="518">
        <v>8469.553897618729</v>
      </c>
      <c r="I27" s="518">
        <v>8697.4153960091389</v>
      </c>
      <c r="J27" s="518">
        <v>8887.5771696609008</v>
      </c>
      <c r="K27" s="518">
        <v>9037.0468200784489</v>
      </c>
      <c r="L27" s="518">
        <v>9140.8321411992147</v>
      </c>
      <c r="M27" s="518">
        <v>9199.9411242650949</v>
      </c>
      <c r="N27" s="518">
        <v>9220.3819628172423</v>
      </c>
      <c r="O27" s="518">
        <v>9208.1630578172862</v>
      </c>
      <c r="P27" s="518">
        <v>9175.293022898215</v>
      </c>
      <c r="Q27" s="518">
        <v>9135.7806897481714</v>
      </c>
      <c r="R27" s="518">
        <v>9097.6351136305548</v>
      </c>
      <c r="AA27" s="517"/>
      <c r="AB27" s="517"/>
      <c r="AC27" s="517"/>
      <c r="AD27" s="517"/>
      <c r="AE27" s="517"/>
      <c r="AF27" s="517"/>
      <c r="AG27" s="517"/>
      <c r="AH27" s="517"/>
      <c r="AI27" s="517"/>
      <c r="AJ27" s="517"/>
      <c r="AK27" s="517"/>
      <c r="AL27" s="517"/>
      <c r="AM27" s="517"/>
      <c r="AN27" s="517"/>
      <c r="AO27" s="517"/>
      <c r="AP27" s="517"/>
    </row>
    <row r="28" spans="1:49">
      <c r="A28" s="518" t="s">
        <v>805</v>
      </c>
      <c r="B28" s="518">
        <v>5541.3801580628206</v>
      </c>
      <c r="C28" s="518">
        <v>5933.2991957081613</v>
      </c>
      <c r="D28" s="518">
        <v>6396.1027949936943</v>
      </c>
      <c r="E28" s="518">
        <v>6675.9891569972897</v>
      </c>
      <c r="F28" s="518">
        <v>6699.1773277861384</v>
      </c>
      <c r="G28" s="518">
        <v>6809.9093907034221</v>
      </c>
      <c r="H28" s="518">
        <v>7059.4528892197714</v>
      </c>
      <c r="I28" s="518">
        <v>7180.3120415275271</v>
      </c>
      <c r="J28" s="518">
        <v>7432.3701492231739</v>
      </c>
      <c r="K28" s="518">
        <v>7845.6322488863343</v>
      </c>
      <c r="L28" s="518">
        <v>8225.1035045982517</v>
      </c>
      <c r="M28" s="518">
        <v>8488.789211169511</v>
      </c>
      <c r="N28" s="518">
        <v>8716.6947974494615</v>
      </c>
      <c r="O28" s="518">
        <v>8906.8258297194279</v>
      </c>
      <c r="P28" s="518">
        <v>9057.1880151718233</v>
      </c>
      <c r="Q28" s="518">
        <v>9161.7872054773161</v>
      </c>
      <c r="R28" s="518">
        <v>9222.6294004423307</v>
      </c>
      <c r="AA28" s="517"/>
      <c r="AB28" s="517"/>
      <c r="AC28" s="517"/>
      <c r="AD28" s="517"/>
      <c r="AE28" s="517"/>
      <c r="AF28" s="517"/>
      <c r="AG28" s="517"/>
      <c r="AH28" s="517"/>
      <c r="AI28" s="517"/>
      <c r="AJ28" s="517"/>
      <c r="AK28" s="517"/>
      <c r="AL28" s="517"/>
      <c r="AM28" s="517"/>
      <c r="AN28" s="517"/>
      <c r="AO28" s="517"/>
      <c r="AP28" s="517"/>
    </row>
    <row r="29" spans="1:49">
      <c r="A29" s="518" t="s">
        <v>807</v>
      </c>
      <c r="B29" s="518">
        <v>4167.7676730875473</v>
      </c>
      <c r="C29" s="518">
        <v>4198.893108925452</v>
      </c>
      <c r="D29" s="518">
        <v>4396.9782752282699</v>
      </c>
      <c r="E29" s="518">
        <v>4771.1241077301011</v>
      </c>
      <c r="F29" s="518">
        <v>5256.4421576688674</v>
      </c>
      <c r="G29" s="518">
        <v>5729.0557082285941</v>
      </c>
      <c r="H29" s="518">
        <v>6122.1010083989577</v>
      </c>
      <c r="I29" s="518">
        <v>6573.1033544816109</v>
      </c>
      <c r="J29" s="518">
        <v>6839.2070204377269</v>
      </c>
      <c r="K29" s="518">
        <v>6846.4145711921146</v>
      </c>
      <c r="L29" s="518">
        <v>6938.7286366009621</v>
      </c>
      <c r="M29" s="518">
        <v>7167.151913095584</v>
      </c>
      <c r="N29" s="518">
        <v>7289.6871653677808</v>
      </c>
      <c r="O29" s="518">
        <v>7542.3372280978574</v>
      </c>
      <c r="P29" s="518">
        <v>7957.1050077263917</v>
      </c>
      <c r="Q29" s="518">
        <v>8335.9934842708553</v>
      </c>
      <c r="R29" s="518">
        <v>8601.005713188224</v>
      </c>
      <c r="AA29" s="517"/>
      <c r="AB29" s="517"/>
      <c r="AC29" s="517"/>
      <c r="AD29" s="517"/>
      <c r="AE29" s="517"/>
      <c r="AF29" s="517"/>
      <c r="AG29" s="517"/>
      <c r="AH29" s="517"/>
      <c r="AI29" s="517"/>
      <c r="AJ29" s="517"/>
      <c r="AK29" s="517"/>
      <c r="AL29" s="517"/>
      <c r="AM29" s="517"/>
      <c r="AN29" s="517"/>
      <c r="AO29" s="517"/>
      <c r="AP29" s="517"/>
    </row>
    <row r="30" spans="1:49">
      <c r="A30" s="518" t="s">
        <v>809</v>
      </c>
      <c r="B30" s="518">
        <v>6997.4949193178891</v>
      </c>
      <c r="C30" s="518">
        <v>6548.32349318871</v>
      </c>
      <c r="D30" s="518">
        <v>6040.0218568718165</v>
      </c>
      <c r="E30" s="518">
        <v>5600.4176833868296</v>
      </c>
      <c r="F30" s="518">
        <v>5524.4256928847099</v>
      </c>
      <c r="G30" s="518">
        <v>5659.0568074744751</v>
      </c>
      <c r="H30" s="518">
        <v>5811.4282688714538</v>
      </c>
      <c r="I30" s="518">
        <v>6040.2475067492114</v>
      </c>
      <c r="J30" s="518">
        <v>6443.8975675893644</v>
      </c>
      <c r="K30" s="518">
        <v>6958.3994837753398</v>
      </c>
      <c r="L30" s="518">
        <v>7459.7748201278882</v>
      </c>
      <c r="M30" s="518">
        <v>7882.045687383792</v>
      </c>
      <c r="N30" s="518">
        <v>8373.234756015805</v>
      </c>
      <c r="O30" s="518">
        <v>8681.3652704024298</v>
      </c>
      <c r="P30" s="518">
        <v>8731.461063356408</v>
      </c>
      <c r="Q30" s="518">
        <v>8867.5465710210174</v>
      </c>
      <c r="R30" s="518">
        <v>9141.6468481434367</v>
      </c>
      <c r="AA30" s="517"/>
      <c r="AB30" s="517"/>
      <c r="AC30" s="517"/>
      <c r="AD30" s="517"/>
      <c r="AE30" s="517"/>
      <c r="AF30" s="517"/>
      <c r="AG30" s="517"/>
      <c r="AH30" s="517"/>
      <c r="AI30" s="517"/>
      <c r="AJ30" s="517"/>
      <c r="AK30" s="517"/>
      <c r="AL30" s="517"/>
      <c r="AM30" s="517"/>
      <c r="AN30" s="517"/>
      <c r="AO30" s="517"/>
      <c r="AP30" s="517"/>
    </row>
    <row r="31" spans="1:49">
      <c r="A31" s="518" t="s">
        <v>811</v>
      </c>
      <c r="B31" s="518">
        <v>15088.267836877261</v>
      </c>
      <c r="C31" s="518">
        <v>15889.750977960852</v>
      </c>
      <c r="D31" s="518">
        <v>16752.216581729823</v>
      </c>
      <c r="E31" s="518">
        <v>17651.866135378586</v>
      </c>
      <c r="F31" s="518">
        <v>18201.763684039393</v>
      </c>
      <c r="G31" s="518">
        <v>18664.926546792522</v>
      </c>
      <c r="H31" s="518">
        <v>19378.425573362587</v>
      </c>
      <c r="I31" s="518">
        <v>19126.634385060366</v>
      </c>
      <c r="J31" s="518">
        <v>18944.075897021881</v>
      </c>
      <c r="K31" s="518">
        <v>19122.958521046552</v>
      </c>
      <c r="L31" s="518">
        <v>19511.495944903611</v>
      </c>
      <c r="M31" s="518">
        <v>19913.907265893933</v>
      </c>
      <c r="N31" s="518">
        <v>20492.417127792974</v>
      </c>
      <c r="O31" s="518">
        <v>21255.255861260426</v>
      </c>
      <c r="P31" s="518">
        <v>22136.659627804409</v>
      </c>
      <c r="Q31" s="518">
        <v>23015.870567390069</v>
      </c>
      <c r="R31" s="518">
        <v>23823.136949784959</v>
      </c>
      <c r="AA31" s="517"/>
      <c r="AB31" s="517"/>
      <c r="AC31" s="517"/>
      <c r="AD31" s="517"/>
      <c r="AE31" s="517"/>
      <c r="AF31" s="517"/>
      <c r="AG31" s="517"/>
      <c r="AH31" s="517"/>
      <c r="AI31" s="517"/>
      <c r="AP31" s="517"/>
    </row>
    <row r="32" spans="1:49">
      <c r="A32" s="518" t="s">
        <v>813</v>
      </c>
      <c r="B32" s="518">
        <v>18036.920602976617</v>
      </c>
      <c r="C32" s="518">
        <v>19231.986902853674</v>
      </c>
      <c r="D32" s="518">
        <v>20576.015494119478</v>
      </c>
      <c r="E32" s="518">
        <v>21938.67638283116</v>
      </c>
      <c r="F32" s="518">
        <v>23628.86692029683</v>
      </c>
      <c r="G32" s="518">
        <v>25463.840884102414</v>
      </c>
      <c r="H32" s="518">
        <v>27279.351134708599</v>
      </c>
      <c r="I32" s="518">
        <v>27801.095111792103</v>
      </c>
      <c r="J32" s="518">
        <v>28285.553508427431</v>
      </c>
      <c r="K32" s="518">
        <v>28338.022876557407</v>
      </c>
      <c r="L32" s="518">
        <v>28212.807275373038</v>
      </c>
      <c r="M32" s="518">
        <v>28233.218461360389</v>
      </c>
      <c r="N32" s="518">
        <v>28199.576083158554</v>
      </c>
      <c r="O32" s="518">
        <v>28239.207881350441</v>
      </c>
      <c r="P32" s="518">
        <v>28646.449893311321</v>
      </c>
      <c r="Q32" s="518">
        <v>29266.646663243118</v>
      </c>
      <c r="R32" s="518">
        <v>29908.151457525757</v>
      </c>
      <c r="AA32" s="517"/>
      <c r="AB32" s="517"/>
      <c r="AC32" s="517"/>
      <c r="AD32" s="517"/>
      <c r="AE32" s="517"/>
      <c r="AF32" s="517"/>
      <c r="AG32" s="517"/>
      <c r="AH32" s="517"/>
      <c r="AI32" s="517"/>
      <c r="AK32" s="1438" t="s">
        <v>838</v>
      </c>
      <c r="AL32" s="1438"/>
      <c r="AM32" s="1443" t="s">
        <v>839</v>
      </c>
      <c r="AN32" s="1443"/>
      <c r="AO32" s="506"/>
      <c r="AP32" s="517"/>
    </row>
    <row r="33" spans="1:42">
      <c r="A33" s="518" t="s">
        <v>815</v>
      </c>
      <c r="B33" s="518">
        <v>12639.90974970016</v>
      </c>
      <c r="C33" s="518">
        <v>13901.335934780083</v>
      </c>
      <c r="D33" s="518">
        <v>15144.431842458773</v>
      </c>
      <c r="E33" s="518">
        <v>16334.314359587865</v>
      </c>
      <c r="F33" s="518">
        <v>17719.848862543025</v>
      </c>
      <c r="G33" s="518">
        <v>18862.727936554358</v>
      </c>
      <c r="H33" s="518">
        <v>20077.558374021064</v>
      </c>
      <c r="I33" s="518">
        <v>20552.76015781251</v>
      </c>
      <c r="J33" s="518">
        <v>20930.105913772852</v>
      </c>
      <c r="K33" s="518">
        <v>21506.776492418558</v>
      </c>
      <c r="L33" s="518">
        <v>22085.957322518734</v>
      </c>
      <c r="M33" s="518">
        <v>22488.838526994114</v>
      </c>
      <c r="N33" s="518">
        <v>22883.615041750094</v>
      </c>
      <c r="O33" s="518">
        <v>23237.486737518004</v>
      </c>
      <c r="P33" s="518">
        <v>23156.658544780825</v>
      </c>
      <c r="Q33" s="518">
        <v>22894.340581861423</v>
      </c>
      <c r="R33" s="518">
        <v>22773.748286253322</v>
      </c>
      <c r="AA33" s="517"/>
      <c r="AB33" s="517"/>
      <c r="AC33" s="517"/>
      <c r="AD33" s="517"/>
      <c r="AE33" s="517"/>
      <c r="AF33" s="517"/>
      <c r="AG33" s="517"/>
      <c r="AH33" s="517"/>
      <c r="AI33" s="517"/>
      <c r="AK33" s="68" t="s">
        <v>22</v>
      </c>
      <c r="AL33" s="68" t="s">
        <v>23</v>
      </c>
      <c r="AM33" s="68" t="s">
        <v>22</v>
      </c>
      <c r="AN33" s="68" t="s">
        <v>23</v>
      </c>
      <c r="AP33" s="517"/>
    </row>
    <row r="34" spans="1:42">
      <c r="A34" s="507" t="s">
        <v>817</v>
      </c>
      <c r="B34" s="518">
        <v>8766.8639326380071</v>
      </c>
      <c r="C34" s="518">
        <v>9515.7059477191142</v>
      </c>
      <c r="D34" s="518">
        <v>10256.020398283819</v>
      </c>
      <c r="E34" s="518">
        <v>11258.274149364843</v>
      </c>
      <c r="F34" s="518">
        <v>12276.403850291317</v>
      </c>
      <c r="G34" s="518">
        <v>13436.865342334529</v>
      </c>
      <c r="H34" s="518">
        <v>14729.688262601152</v>
      </c>
      <c r="I34" s="518">
        <v>15448.810269240756</v>
      </c>
      <c r="J34" s="518">
        <v>16044.416140825972</v>
      </c>
      <c r="K34" s="518">
        <v>16757.61938693831</v>
      </c>
      <c r="L34" s="518">
        <v>17143.536390668021</v>
      </c>
      <c r="M34" s="518">
        <v>17505.286481357318</v>
      </c>
      <c r="N34" s="518">
        <v>17909.992009185076</v>
      </c>
      <c r="O34" s="518">
        <v>18215.778421639716</v>
      </c>
      <c r="P34" s="518">
        <v>18718.774341927936</v>
      </c>
      <c r="Q34" s="518">
        <v>19222.111649368409</v>
      </c>
      <c r="R34" s="518">
        <v>19547.925561820673</v>
      </c>
      <c r="AA34" s="517"/>
      <c r="AB34" s="517"/>
      <c r="AC34" s="517"/>
      <c r="AD34" s="517"/>
      <c r="AE34" s="517"/>
      <c r="AF34" s="517"/>
      <c r="AG34" s="517"/>
      <c r="AH34" s="517"/>
      <c r="AI34" s="517"/>
      <c r="AJ34" s="68" t="s">
        <v>804</v>
      </c>
      <c r="AK34" s="539">
        <v>-8496</v>
      </c>
      <c r="AL34" s="539">
        <v>7944</v>
      </c>
      <c r="AM34" s="539">
        <v>-601.63511363055454</v>
      </c>
      <c r="AN34" s="539">
        <v>434.22647454764228</v>
      </c>
      <c r="AP34" s="517"/>
    </row>
    <row r="35" spans="1:42">
      <c r="A35" s="507" t="s">
        <v>819</v>
      </c>
      <c r="B35" s="518">
        <v>6403.3910842058385</v>
      </c>
      <c r="C35" s="518">
        <v>6903.2666070577943</v>
      </c>
      <c r="D35" s="518">
        <v>7539.3165971346461</v>
      </c>
      <c r="E35" s="518">
        <v>8055.2938471845791</v>
      </c>
      <c r="F35" s="518">
        <v>8584.2406636963733</v>
      </c>
      <c r="G35" s="518">
        <v>9274.5193153253058</v>
      </c>
      <c r="H35" s="518">
        <v>10037.84568360794</v>
      </c>
      <c r="I35" s="518">
        <v>10448.000576771214</v>
      </c>
      <c r="J35" s="518">
        <v>11075.918739210745</v>
      </c>
      <c r="K35" s="518">
        <v>11670.670123421307</v>
      </c>
      <c r="L35" s="518">
        <v>12353.326452753507</v>
      </c>
      <c r="M35" s="518">
        <v>13107.96126624321</v>
      </c>
      <c r="N35" s="518">
        <v>13780.649964575849</v>
      </c>
      <c r="O35" s="518">
        <v>14329.469857214286</v>
      </c>
      <c r="P35" s="518">
        <v>14993.500210719762</v>
      </c>
      <c r="Q35" s="518">
        <v>15330.822298296061</v>
      </c>
      <c r="R35" s="518">
        <v>15644.519450587926</v>
      </c>
      <c r="AA35" s="517"/>
      <c r="AB35" s="517"/>
      <c r="AC35" s="517"/>
      <c r="AD35" s="517"/>
      <c r="AE35" s="517"/>
      <c r="AF35" s="517"/>
      <c r="AG35" s="517"/>
      <c r="AH35" s="517"/>
      <c r="AI35" s="517"/>
      <c r="AJ35" s="68" t="s">
        <v>806</v>
      </c>
      <c r="AK35" s="539">
        <v>-8824</v>
      </c>
      <c r="AL35" s="539">
        <v>8212</v>
      </c>
      <c r="AM35" s="539">
        <v>-398.62940044233051</v>
      </c>
      <c r="AN35" s="539">
        <v>208.01268241803223</v>
      </c>
      <c r="AP35" s="517"/>
    </row>
    <row r="36" spans="1:42">
      <c r="A36" s="507" t="s">
        <v>821</v>
      </c>
      <c r="B36" s="518">
        <v>4830.9898386357772</v>
      </c>
      <c r="C36" s="518">
        <v>5104.64698637742</v>
      </c>
      <c r="D36" s="518">
        <v>5525.0437137436338</v>
      </c>
      <c r="E36" s="518">
        <v>5994.8353667736601</v>
      </c>
      <c r="F36" s="518">
        <v>6321.8513857694197</v>
      </c>
      <c r="G36" s="518">
        <v>6730.1136149489503</v>
      </c>
      <c r="H36" s="518">
        <v>7233.8565377429077</v>
      </c>
      <c r="I36" s="518">
        <v>7665.4950134984228</v>
      </c>
      <c r="J36" s="518">
        <v>7950.7951351787287</v>
      </c>
      <c r="K36" s="518">
        <v>8217.7989675506797</v>
      </c>
      <c r="L36" s="518">
        <v>8613.5496402557765</v>
      </c>
      <c r="M36" s="518">
        <v>9045.0913747675841</v>
      </c>
      <c r="N36" s="518">
        <v>9426.4695120316101</v>
      </c>
      <c r="O36" s="518">
        <v>10023.730540804858</v>
      </c>
      <c r="P36" s="518">
        <v>10585.922126712818</v>
      </c>
      <c r="Q36" s="518">
        <v>11236.093142042033</v>
      </c>
      <c r="R36" s="518">
        <v>11957.293696286873</v>
      </c>
      <c r="AA36" s="517"/>
      <c r="AB36" s="517"/>
      <c r="AC36" s="517"/>
      <c r="AD36" s="517"/>
      <c r="AE36" s="517"/>
      <c r="AF36" s="517"/>
      <c r="AG36" s="517"/>
      <c r="AH36" s="517"/>
      <c r="AI36" s="517"/>
      <c r="AJ36" s="68" t="s">
        <v>808</v>
      </c>
      <c r="AK36" s="539">
        <v>-8398</v>
      </c>
      <c r="AL36" s="539">
        <v>7800</v>
      </c>
      <c r="AM36" s="539">
        <v>-203.00571318822398</v>
      </c>
      <c r="AN36" s="539">
        <v>96.205865618339914</v>
      </c>
      <c r="AP36" s="517"/>
    </row>
    <row r="37" spans="1:42">
      <c r="A37" s="507" t="s">
        <v>823</v>
      </c>
      <c r="B37" s="518">
        <v>3328.7961175566948</v>
      </c>
      <c r="C37" s="518">
        <v>3649.5082514067954</v>
      </c>
      <c r="D37" s="518">
        <v>3768.9210488664694</v>
      </c>
      <c r="E37" s="518">
        <v>3987.7392248792521</v>
      </c>
      <c r="F37" s="518">
        <v>4274.7416099062721</v>
      </c>
      <c r="G37" s="518">
        <v>4645.7889447232783</v>
      </c>
      <c r="H37" s="518">
        <v>4878.8324950036331</v>
      </c>
      <c r="I37" s="518">
        <v>5164.7761476534306</v>
      </c>
      <c r="J37" s="518">
        <v>5482.4271972379511</v>
      </c>
      <c r="K37" s="518">
        <v>5640.8035515958554</v>
      </c>
      <c r="L37" s="518">
        <v>5860.9235719048975</v>
      </c>
      <c r="M37" s="518">
        <v>6151.8060841582619</v>
      </c>
      <c r="N37" s="518">
        <v>6551.4703909314176</v>
      </c>
      <c r="O37" s="518">
        <v>6806.9362834468575</v>
      </c>
      <c r="P37" s="518">
        <v>7042.2240539442591</v>
      </c>
      <c r="Q37" s="518">
        <v>7404.3545083637919</v>
      </c>
      <c r="R37" s="518">
        <v>7800.3489793505087</v>
      </c>
      <c r="AA37" s="517"/>
      <c r="AB37" s="517"/>
      <c r="AC37" s="517"/>
      <c r="AD37" s="517"/>
      <c r="AE37" s="517"/>
      <c r="AF37" s="517"/>
      <c r="AG37" s="517"/>
      <c r="AH37" s="517"/>
      <c r="AI37" s="517"/>
      <c r="AJ37" s="68" t="s">
        <v>810</v>
      </c>
      <c r="AK37" s="539">
        <v>-7477</v>
      </c>
      <c r="AL37" s="539">
        <v>6865</v>
      </c>
      <c r="AM37" s="539">
        <v>-1664.646848143437</v>
      </c>
      <c r="AN37" s="539">
        <v>137.80840210194634</v>
      </c>
      <c r="AP37" s="517"/>
    </row>
    <row r="38" spans="1:42">
      <c r="A38" s="507" t="s">
        <v>825</v>
      </c>
      <c r="B38" s="518">
        <v>2165.9494846451325</v>
      </c>
      <c r="C38" s="518">
        <v>2375.500704991267</v>
      </c>
      <c r="D38" s="518">
        <v>2638.7391706391572</v>
      </c>
      <c r="E38" s="518">
        <v>2883.9475016442834</v>
      </c>
      <c r="F38" s="518">
        <v>3128.4380414728275</v>
      </c>
      <c r="G38" s="518">
        <v>3260.5559830400648</v>
      </c>
      <c r="H38" s="518">
        <v>3557.6828235170819</v>
      </c>
      <c r="I38" s="518">
        <v>3622.8893925485113</v>
      </c>
      <c r="J38" s="518">
        <v>3776.3796572256365</v>
      </c>
      <c r="K38" s="518">
        <v>3990.1607993379212</v>
      </c>
      <c r="L38" s="518">
        <v>4275.2401824826929</v>
      </c>
      <c r="M38" s="518">
        <v>4420.625356667636</v>
      </c>
      <c r="N38" s="518">
        <v>4689.3240630297869</v>
      </c>
      <c r="O38" s="518">
        <v>4990.3442386739998</v>
      </c>
      <c r="P38" s="518">
        <v>5134.6940216338953</v>
      </c>
      <c r="Q38" s="518">
        <v>5341.3817559583958</v>
      </c>
      <c r="R38" s="518">
        <v>5616.4159969270268</v>
      </c>
      <c r="AA38" s="517"/>
      <c r="AB38" s="517"/>
      <c r="AC38" s="517"/>
      <c r="AD38" s="517"/>
      <c r="AE38" s="517"/>
      <c r="AF38" s="517"/>
      <c r="AG38" s="517"/>
      <c r="AH38" s="517"/>
      <c r="AI38" s="517"/>
      <c r="AJ38" s="68" t="s">
        <v>812</v>
      </c>
      <c r="AK38" s="539">
        <v>-7328</v>
      </c>
      <c r="AL38" s="539">
        <v>7334</v>
      </c>
      <c r="AM38" s="539">
        <v>-16495.136949784959</v>
      </c>
      <c r="AN38" s="539">
        <v>712.44343728176045</v>
      </c>
      <c r="AP38" s="517"/>
    </row>
    <row r="39" spans="1:42">
      <c r="A39" s="507" t="s">
        <v>827</v>
      </c>
      <c r="B39" s="518">
        <v>1226.3884255366452</v>
      </c>
      <c r="C39" s="518">
        <v>1344.8411974964274</v>
      </c>
      <c r="D39" s="518">
        <v>1515.3932970796552</v>
      </c>
      <c r="E39" s="518">
        <v>1703.1603415817524</v>
      </c>
      <c r="F39" s="518">
        <v>1869.2701078752477</v>
      </c>
      <c r="G39" s="518">
        <v>2122.8638112436629</v>
      </c>
      <c r="H39" s="518">
        <v>2318.0975187115337</v>
      </c>
      <c r="I39" s="518">
        <v>2550.6820242243912</v>
      </c>
      <c r="J39" s="518">
        <v>2763.3825870468513</v>
      </c>
      <c r="K39" s="518">
        <v>2970.2021451836949</v>
      </c>
      <c r="L39" s="518">
        <v>3070.1437110156498</v>
      </c>
      <c r="M39" s="518">
        <v>3323.2103731822149</v>
      </c>
      <c r="N39" s="518">
        <v>3385.4052985121857</v>
      </c>
      <c r="O39" s="518">
        <v>3532.7317340029999</v>
      </c>
      <c r="P39" s="518">
        <v>3736.1930088502299</v>
      </c>
      <c r="Q39" s="518">
        <v>4008.7925365284345</v>
      </c>
      <c r="R39" s="518">
        <v>4148.5338169246925</v>
      </c>
      <c r="AA39" s="517"/>
      <c r="AB39" s="517"/>
      <c r="AC39" s="517"/>
      <c r="AD39" s="517"/>
      <c r="AE39" s="517"/>
      <c r="AF39" s="517"/>
      <c r="AG39" s="517"/>
      <c r="AH39" s="517"/>
      <c r="AI39" s="517"/>
      <c r="AJ39" s="68" t="s">
        <v>814</v>
      </c>
      <c r="AK39" s="539">
        <v>-6437</v>
      </c>
      <c r="AL39" s="539">
        <v>6491</v>
      </c>
      <c r="AM39" s="539">
        <v>-23471.151457525757</v>
      </c>
      <c r="AN39" s="539">
        <v>2035.9241291664905</v>
      </c>
      <c r="AP39" s="517"/>
    </row>
    <row r="40" spans="1:42">
      <c r="A40" s="507" t="s">
        <v>829</v>
      </c>
      <c r="B40" s="518">
        <v>810.48300979639123</v>
      </c>
      <c r="C40" s="518">
        <v>903.79235428389961</v>
      </c>
      <c r="D40" s="518">
        <v>988.66008740553912</v>
      </c>
      <c r="E40" s="518">
        <v>1027.1449354066044</v>
      </c>
      <c r="F40" s="518">
        <v>1122.3118008255226</v>
      </c>
      <c r="G40" s="518">
        <v>1185.2324120602732</v>
      </c>
      <c r="H40" s="518">
        <v>1296.9860412503026</v>
      </c>
      <c r="I40" s="518">
        <v>1448.3146789711193</v>
      </c>
      <c r="J40" s="518">
        <v>1613.7022664364958</v>
      </c>
      <c r="K40" s="518">
        <v>1758.1502959663212</v>
      </c>
      <c r="L40" s="518">
        <v>1983.6602976587415</v>
      </c>
      <c r="M40" s="518">
        <v>2154.2338403465219</v>
      </c>
      <c r="N40" s="518">
        <v>2372.8725325776181</v>
      </c>
      <c r="O40" s="518">
        <v>2570.5780236205715</v>
      </c>
      <c r="P40" s="518">
        <v>2763.3520044953548</v>
      </c>
      <c r="Q40" s="518">
        <v>2859.1962090303159</v>
      </c>
      <c r="R40" s="518">
        <v>3098.1124149458756</v>
      </c>
      <c r="AA40" s="517"/>
      <c r="AB40" s="517"/>
      <c r="AC40" s="517"/>
      <c r="AD40" s="517"/>
      <c r="AE40" s="517"/>
      <c r="AF40" s="517"/>
      <c r="AG40" s="517"/>
      <c r="AH40" s="517"/>
      <c r="AI40" s="517"/>
      <c r="AJ40" s="68" t="s">
        <v>816</v>
      </c>
      <c r="AK40" s="539">
        <v>-8460</v>
      </c>
      <c r="AL40" s="539">
        <v>8956</v>
      </c>
      <c r="AM40" s="539">
        <v>-14313.74828625332</v>
      </c>
      <c r="AN40" s="539">
        <v>1801.9098614462039</v>
      </c>
      <c r="AP40" s="517"/>
    </row>
    <row r="41" spans="1:42">
      <c r="A41" s="507" t="s">
        <v>831</v>
      </c>
      <c r="B41" s="518">
        <v>650.9742870666073</v>
      </c>
      <c r="C41" s="518">
        <v>672.12671035606536</v>
      </c>
      <c r="D41" s="518">
        <v>645.61067689703884</v>
      </c>
      <c r="E41" s="518">
        <v>669.46105539767132</v>
      </c>
      <c r="F41" s="518">
        <v>686.71638174015402</v>
      </c>
      <c r="G41" s="518">
        <v>758.41924466078717</v>
      </c>
      <c r="H41" s="518">
        <v>842.61671199236719</v>
      </c>
      <c r="I41" s="518">
        <v>913.999340639102</v>
      </c>
      <c r="J41" s="518">
        <v>946.41697069666941</v>
      </c>
      <c r="K41" s="518">
        <v>1024.8704882300033</v>
      </c>
      <c r="L41" s="518">
        <v>1078.3608017348777</v>
      </c>
      <c r="M41" s="518">
        <v>1174.8888427057473</v>
      </c>
      <c r="N41" s="518">
        <v>1311.4555662179607</v>
      </c>
      <c r="O41" s="518">
        <v>1460.0619515247142</v>
      </c>
      <c r="P41" s="518">
        <v>1588.7090026691169</v>
      </c>
      <c r="Q41" s="518">
        <v>1791.39774911175</v>
      </c>
      <c r="R41" s="518">
        <v>1947.1292463741138</v>
      </c>
      <c r="AA41" s="517"/>
      <c r="AB41" s="517"/>
      <c r="AC41" s="517"/>
      <c r="AD41" s="517"/>
      <c r="AE41" s="517"/>
      <c r="AF41" s="517"/>
      <c r="AG41" s="517"/>
      <c r="AH41" s="517"/>
      <c r="AI41" s="517"/>
      <c r="AJ41" s="68" t="s">
        <v>818</v>
      </c>
      <c r="AK41" s="539">
        <v>-10564</v>
      </c>
      <c r="AL41" s="539">
        <v>11335</v>
      </c>
      <c r="AM41" s="539">
        <v>-8983.9255618206753</v>
      </c>
      <c r="AN41" s="539">
        <v>1445.6881428053243</v>
      </c>
      <c r="AP41" s="517"/>
    </row>
    <row r="42" spans="1:42">
      <c r="A42" s="507" t="s">
        <v>833</v>
      </c>
      <c r="B42" s="518">
        <v>419.62075244909778</v>
      </c>
      <c r="C42" s="518">
        <v>429.9480885709749</v>
      </c>
      <c r="D42" s="518">
        <v>485.41502185138478</v>
      </c>
      <c r="E42" s="518">
        <v>532.0362338516511</v>
      </c>
      <c r="F42" s="518">
        <v>545.82795020638071</v>
      </c>
      <c r="G42" s="518">
        <v>548.80810301506824</v>
      </c>
      <c r="H42" s="518">
        <v>565.99651031257565</v>
      </c>
      <c r="I42" s="518">
        <v>545.57866974277977</v>
      </c>
      <c r="J42" s="518">
        <v>567.17556660912396</v>
      </c>
      <c r="K42" s="518">
        <v>579.7875739915803</v>
      </c>
      <c r="L42" s="518">
        <v>637.41507441468536</v>
      </c>
      <c r="M42" s="518">
        <v>705.05846008663048</v>
      </c>
      <c r="N42" s="518">
        <v>764.71813314440453</v>
      </c>
      <c r="O42" s="518">
        <v>793.39450590514286</v>
      </c>
      <c r="P42" s="518">
        <v>859.08800112383869</v>
      </c>
      <c r="Q42" s="518">
        <v>906.79905225757898</v>
      </c>
      <c r="R42" s="518">
        <v>990.52810373646889</v>
      </c>
      <c r="AA42" s="517"/>
      <c r="AB42" s="517"/>
      <c r="AC42" s="517"/>
      <c r="AD42" s="517"/>
      <c r="AE42" s="517"/>
      <c r="AF42" s="517"/>
      <c r="AG42" s="517"/>
      <c r="AH42" s="517"/>
      <c r="AI42" s="517"/>
      <c r="AJ42" s="68" t="s">
        <v>820</v>
      </c>
      <c r="AK42" s="539">
        <v>-10108</v>
      </c>
      <c r="AL42" s="539">
        <v>10372</v>
      </c>
      <c r="AM42" s="539">
        <v>-5536.5194505879253</v>
      </c>
      <c r="AN42" s="539">
        <v>899.65485145798948</v>
      </c>
      <c r="AP42" s="517"/>
    </row>
    <row r="43" spans="1:42">
      <c r="A43" s="521" t="s">
        <v>835</v>
      </c>
      <c r="B43" s="540">
        <v>362.24150489819561</v>
      </c>
      <c r="C43" s="540">
        <v>392.89617714194981</v>
      </c>
      <c r="D43" s="540">
        <v>423.83004370276956</v>
      </c>
      <c r="E43" s="540">
        <v>446.07246770330215</v>
      </c>
      <c r="F43" s="540">
        <v>472.6559004127613</v>
      </c>
      <c r="G43" s="540">
        <v>519.6162060301366</v>
      </c>
      <c r="H43" s="540">
        <v>544.9930206251513</v>
      </c>
      <c r="I43" s="540">
        <v>603.15733948555965</v>
      </c>
      <c r="J43" s="540">
        <v>645.35113321824792</v>
      </c>
      <c r="K43" s="540">
        <v>665.5751479831606</v>
      </c>
      <c r="L43" s="540">
        <v>692.83014882937073</v>
      </c>
      <c r="M43" s="540">
        <v>716.11692017326095</v>
      </c>
      <c r="N43" s="540">
        <v>740.43626628880907</v>
      </c>
      <c r="O43" s="540">
        <v>785.78901181028573</v>
      </c>
      <c r="P43" s="540">
        <v>807.1760022476775</v>
      </c>
      <c r="Q43" s="540">
        <v>870.59810451515796</v>
      </c>
      <c r="R43" s="540">
        <v>936.0562074729379</v>
      </c>
      <c r="AA43" s="517"/>
      <c r="AB43" s="517"/>
      <c r="AC43" s="517"/>
      <c r="AD43" s="517"/>
      <c r="AE43" s="517"/>
      <c r="AF43" s="517"/>
      <c r="AG43" s="517"/>
      <c r="AH43" s="517"/>
      <c r="AI43" s="517"/>
      <c r="AJ43" s="68" t="s">
        <v>822</v>
      </c>
      <c r="AK43" s="539">
        <v>-8628</v>
      </c>
      <c r="AL43" s="539">
        <v>8988</v>
      </c>
      <c r="AM43" s="539">
        <v>-3329.2936962868739</v>
      </c>
      <c r="AN43" s="539">
        <v>631.83852284477291</v>
      </c>
      <c r="AP43" s="517"/>
    </row>
    <row r="44" spans="1:42">
      <c r="A44" s="507"/>
      <c r="B44" s="518"/>
      <c r="C44" s="518"/>
      <c r="D44" s="518"/>
      <c r="E44" s="518"/>
      <c r="F44" s="518"/>
      <c r="G44" s="518"/>
      <c r="H44" s="518"/>
      <c r="I44" s="518"/>
      <c r="J44" s="518"/>
      <c r="K44" s="518"/>
      <c r="L44" s="518"/>
      <c r="M44" s="518"/>
      <c r="N44" s="518"/>
      <c r="O44" s="518"/>
      <c r="P44" s="518"/>
      <c r="Q44" s="518"/>
      <c r="R44" s="518"/>
      <c r="AA44" s="517"/>
      <c r="AB44" s="517"/>
      <c r="AC44" s="517"/>
      <c r="AD44" s="517"/>
      <c r="AE44" s="517"/>
      <c r="AF44" s="517"/>
      <c r="AG44" s="517"/>
      <c r="AH44" s="517"/>
      <c r="AI44" s="517"/>
      <c r="AJ44" s="68" t="s">
        <v>824</v>
      </c>
      <c r="AK44" s="539">
        <v>-6383</v>
      </c>
      <c r="AL44" s="539">
        <v>6434</v>
      </c>
      <c r="AM44" s="539">
        <v>-1417.3489793505089</v>
      </c>
      <c r="AN44" s="539">
        <v>397.82425512448663</v>
      </c>
      <c r="AP44" s="517"/>
    </row>
    <row r="45" spans="1:42">
      <c r="A45" s="536"/>
      <c r="B45" s="518"/>
      <c r="C45" s="518"/>
      <c r="D45" s="518"/>
      <c r="E45" s="518"/>
      <c r="F45" s="518"/>
      <c r="G45" s="518"/>
      <c r="H45" s="518"/>
      <c r="I45" s="518"/>
      <c r="J45" s="518"/>
      <c r="K45" s="518"/>
      <c r="L45" s="518"/>
      <c r="M45" s="518"/>
      <c r="N45" s="518"/>
      <c r="O45" s="518"/>
      <c r="P45" s="518"/>
      <c r="Q45" s="518"/>
      <c r="R45" s="518"/>
      <c r="AA45" s="517"/>
      <c r="AB45" s="517"/>
      <c r="AC45" s="517"/>
      <c r="AD45" s="517"/>
      <c r="AE45" s="517"/>
      <c r="AF45" s="517"/>
      <c r="AG45" s="517"/>
      <c r="AH45" s="517"/>
      <c r="AI45" s="517"/>
      <c r="AJ45" s="68" t="s">
        <v>826</v>
      </c>
      <c r="AK45" s="539">
        <v>-5048</v>
      </c>
      <c r="AL45" s="539">
        <v>4988</v>
      </c>
      <c r="AM45" s="539">
        <v>-568.41599692702709</v>
      </c>
      <c r="AN45" s="539">
        <v>234.01426772028626</v>
      </c>
      <c r="AP45" s="517"/>
    </row>
    <row r="46" spans="1:42">
      <c r="A46" s="541" t="s">
        <v>23</v>
      </c>
      <c r="B46" s="542">
        <f>SUM(B47:B63)</f>
        <v>69401.830738657722</v>
      </c>
      <c r="C46" s="542">
        <f t="shared" ref="C46:R46" si="5">SUM(C47:C63)</f>
        <v>72103.188107061578</v>
      </c>
      <c r="D46" s="542">
        <f t="shared" si="5"/>
        <v>74919.913478475733</v>
      </c>
      <c r="E46" s="542">
        <f t="shared" si="5"/>
        <v>77849.567905591888</v>
      </c>
      <c r="F46" s="542">
        <f t="shared" si="5"/>
        <v>80885.192131200674</v>
      </c>
      <c r="G46" s="542">
        <f t="shared" si="5"/>
        <v>84032.3570376399</v>
      </c>
      <c r="H46" s="542">
        <f t="shared" si="5"/>
        <v>87281.21940205725</v>
      </c>
      <c r="I46" s="542">
        <f t="shared" si="5"/>
        <v>90071.076177273324</v>
      </c>
      <c r="J46" s="542">
        <f t="shared" si="5"/>
        <v>92895.511363551588</v>
      </c>
      <c r="K46" s="542">
        <f t="shared" si="5"/>
        <v>95739.640863920009</v>
      </c>
      <c r="L46" s="542">
        <f t="shared" si="5"/>
        <v>98601.583515505466</v>
      </c>
      <c r="M46" s="542">
        <f t="shared" si="5"/>
        <v>101471.4611638112</v>
      </c>
      <c r="N46" s="542">
        <f t="shared" si="5"/>
        <v>104339.39873887392</v>
      </c>
      <c r="O46" s="542">
        <f t="shared" si="5"/>
        <v>107219.52433334931</v>
      </c>
      <c r="P46" s="542">
        <f t="shared" si="5"/>
        <v>110099.96928257414</v>
      </c>
      <c r="Q46" s="542">
        <f t="shared" si="5"/>
        <v>112991.86824665498</v>
      </c>
      <c r="R46" s="542">
        <f t="shared" si="5"/>
        <v>115887.35929463524</v>
      </c>
      <c r="AA46" s="517"/>
      <c r="AB46" s="517"/>
      <c r="AC46" s="517"/>
      <c r="AD46" s="517"/>
      <c r="AE46" s="517"/>
      <c r="AF46" s="517"/>
      <c r="AG46" s="517"/>
      <c r="AH46" s="517"/>
      <c r="AI46" s="517"/>
      <c r="AJ46" s="68" t="s">
        <v>828</v>
      </c>
      <c r="AK46" s="539">
        <v>-3916</v>
      </c>
      <c r="AL46" s="539">
        <v>3892</v>
      </c>
      <c r="AM46" s="539">
        <v>-232.53381692469284</v>
      </c>
      <c r="AN46" s="539">
        <v>88.405390027663685</v>
      </c>
      <c r="AP46" s="517"/>
    </row>
    <row r="47" spans="1:42">
      <c r="A47" s="543" t="s">
        <v>803</v>
      </c>
      <c r="B47" s="518">
        <v>6125.5948790691164</v>
      </c>
      <c r="C47" s="518">
        <v>6220.1140628909534</v>
      </c>
      <c r="D47" s="518">
        <v>6479.6860971954211</v>
      </c>
      <c r="E47" s="518">
        <v>6771.5268821524496</v>
      </c>
      <c r="F47" s="518">
        <v>7155.8750243510522</v>
      </c>
      <c r="G47" s="518">
        <v>7522.9942248542693</v>
      </c>
      <c r="H47" s="518">
        <v>7790.1759184080393</v>
      </c>
      <c r="I47" s="518">
        <v>8000.7368825409985</v>
      </c>
      <c r="J47" s="518">
        <v>8177.5145685127882</v>
      </c>
      <c r="K47" s="518">
        <v>8315.5144626628789</v>
      </c>
      <c r="L47" s="518">
        <v>8412.7421902180886</v>
      </c>
      <c r="M47" s="518">
        <v>8469.2035188085229</v>
      </c>
      <c r="N47" s="518">
        <v>8488.9043620725461</v>
      </c>
      <c r="O47" s="518">
        <v>8478.8507833529857</v>
      </c>
      <c r="P47" s="518">
        <v>8449.0489994869276</v>
      </c>
      <c r="Q47" s="518">
        <v>8413.5053846914343</v>
      </c>
      <c r="R47" s="518">
        <v>8378.2264745476423</v>
      </c>
      <c r="AA47" s="517"/>
      <c r="AB47" s="517"/>
      <c r="AC47" s="517"/>
      <c r="AD47" s="517"/>
      <c r="AE47" s="517"/>
      <c r="AF47" s="517"/>
      <c r="AG47" s="517"/>
      <c r="AH47" s="517"/>
      <c r="AI47" s="517"/>
      <c r="AJ47" s="68" t="s">
        <v>830</v>
      </c>
      <c r="AK47" s="539">
        <v>-2980</v>
      </c>
      <c r="AL47" s="539">
        <v>3053</v>
      </c>
      <c r="AM47" s="539">
        <v>-118.11241494587573</v>
      </c>
      <c r="AN47" s="539">
        <v>33.802060892930243</v>
      </c>
      <c r="AP47" s="517"/>
    </row>
    <row r="48" spans="1:42">
      <c r="A48" s="518" t="s">
        <v>805</v>
      </c>
      <c r="B48" s="518">
        <v>5245.9077265001752</v>
      </c>
      <c r="C48" s="518">
        <v>5730.2582337202175</v>
      </c>
      <c r="D48" s="518">
        <v>5992.5921423690643</v>
      </c>
      <c r="E48" s="518">
        <v>6138.0128776778201</v>
      </c>
      <c r="F48" s="518">
        <v>6166.6347422040972</v>
      </c>
      <c r="G48" s="518">
        <v>6186.5840598104287</v>
      </c>
      <c r="H48" s="518">
        <v>6278.0004399559466</v>
      </c>
      <c r="I48" s="518">
        <v>6521.1015006184425</v>
      </c>
      <c r="J48" s="518">
        <v>6795.3063801258868</v>
      </c>
      <c r="K48" s="518">
        <v>7158.6177066648524</v>
      </c>
      <c r="L48" s="518">
        <v>7503.0381749547723</v>
      </c>
      <c r="M48" s="518">
        <v>7745.5705479322269</v>
      </c>
      <c r="N48" s="518">
        <v>7954.2176584778663</v>
      </c>
      <c r="O48" s="518">
        <v>8129.9824111870594</v>
      </c>
      <c r="P48" s="518">
        <v>8267.867784185355</v>
      </c>
      <c r="Q48" s="518">
        <v>8363.8768309899078</v>
      </c>
      <c r="R48" s="518">
        <v>8420.0126824180315</v>
      </c>
      <c r="AA48" s="517"/>
      <c r="AB48" s="517"/>
      <c r="AC48" s="517"/>
      <c r="AD48" s="517"/>
      <c r="AE48" s="517"/>
      <c r="AF48" s="517"/>
      <c r="AG48" s="517"/>
      <c r="AH48" s="517"/>
      <c r="AI48" s="517"/>
      <c r="AJ48" s="68" t="s">
        <v>832</v>
      </c>
      <c r="AK48" s="539">
        <v>-1877</v>
      </c>
      <c r="AL48" s="539">
        <v>2083</v>
      </c>
      <c r="AM48" s="539">
        <v>-70.129246374113734</v>
      </c>
      <c r="AN48" s="539">
        <v>13.000792651127014</v>
      </c>
      <c r="AP48" s="517"/>
    </row>
    <row r="49" spans="1:42">
      <c r="A49" s="518" t="s">
        <v>807</v>
      </c>
      <c r="B49" s="518">
        <v>3982.1198235063312</v>
      </c>
      <c r="C49" s="518">
        <v>3999.4444330956003</v>
      </c>
      <c r="D49" s="518">
        <v>4201.2238658456918</v>
      </c>
      <c r="E49" s="518">
        <v>4572.5059559259917</v>
      </c>
      <c r="F49" s="518">
        <v>4993.3435682693944</v>
      </c>
      <c r="G49" s="518">
        <v>5421.7951276623235</v>
      </c>
      <c r="H49" s="518">
        <v>5907.9252034796255</v>
      </c>
      <c r="I49" s="518">
        <v>6164.8219440360299</v>
      </c>
      <c r="J49" s="518">
        <v>6303.7667008082226</v>
      </c>
      <c r="K49" s="518">
        <v>6325.7606893324946</v>
      </c>
      <c r="L49" s="518">
        <v>6337.8051559165824</v>
      </c>
      <c r="M49" s="518">
        <v>6419.9013784186545</v>
      </c>
      <c r="N49" s="518">
        <v>6665.0506670460136</v>
      </c>
      <c r="O49" s="518">
        <v>6940.2543651740152</v>
      </c>
      <c r="P49" s="518">
        <v>7306.5138501857264</v>
      </c>
      <c r="Q49" s="518">
        <v>7651.8305343328329</v>
      </c>
      <c r="R49" s="518">
        <v>7896.2058656183399</v>
      </c>
      <c r="AA49" s="517"/>
      <c r="AB49" s="517"/>
      <c r="AC49" s="517"/>
      <c r="AD49" s="517"/>
      <c r="AE49" s="517"/>
      <c r="AF49" s="517"/>
      <c r="AG49" s="517"/>
      <c r="AH49" s="517"/>
      <c r="AI49" s="517"/>
      <c r="AJ49" s="68" t="s">
        <v>834</v>
      </c>
      <c r="AK49" s="539">
        <v>-1838</v>
      </c>
      <c r="AL49" s="539">
        <v>1967</v>
      </c>
      <c r="AM49" s="539">
        <v>-88.584311209406792</v>
      </c>
      <c r="AN49" s="539">
        <v>2.6001585302254036</v>
      </c>
      <c r="AP49" s="517"/>
    </row>
    <row r="50" spans="1:42">
      <c r="A50" s="518" t="s">
        <v>809</v>
      </c>
      <c r="B50" s="518">
        <v>6856.901368806366</v>
      </c>
      <c r="C50" s="518">
        <v>6114.0960798396436</v>
      </c>
      <c r="D50" s="518">
        <v>5350.942294319505</v>
      </c>
      <c r="E50" s="518">
        <v>4614.5085314615562</v>
      </c>
      <c r="F50" s="518">
        <v>4421.8705167102144</v>
      </c>
      <c r="G50" s="518">
        <v>4478.1119396244085</v>
      </c>
      <c r="H50" s="518">
        <v>4509.3252914708146</v>
      </c>
      <c r="I50" s="518">
        <v>4716.0422441597184</v>
      </c>
      <c r="J50" s="518">
        <v>5092.8279768333996</v>
      </c>
      <c r="K50" s="518">
        <v>5517.6842306654653</v>
      </c>
      <c r="L50" s="518">
        <v>5950.6127909075367</v>
      </c>
      <c r="M50" s="518">
        <v>6440.6154880050999</v>
      </c>
      <c r="N50" s="518">
        <v>6707.6941987415867</v>
      </c>
      <c r="O50" s="518">
        <v>6855.8508474114269</v>
      </c>
      <c r="P50" s="518">
        <v>6888.0874070227974</v>
      </c>
      <c r="Q50" s="518">
        <v>6910.4059005308145</v>
      </c>
      <c r="R50" s="518">
        <v>7002.8084021019467</v>
      </c>
      <c r="AA50" s="517"/>
      <c r="AB50" s="517"/>
      <c r="AC50" s="517"/>
      <c r="AD50" s="517"/>
      <c r="AE50" s="517"/>
      <c r="AF50" s="517"/>
      <c r="AG50" s="517"/>
      <c r="AH50" s="517"/>
      <c r="AI50" s="517"/>
      <c r="AJ50" s="68" t="s">
        <v>836</v>
      </c>
      <c r="AK50" s="523">
        <f>SUM(AK34:AK49)</f>
        <v>-106762</v>
      </c>
      <c r="AL50" s="523">
        <f>SUM(AL34:AL49)</f>
        <v>106714</v>
      </c>
      <c r="AM50" s="523">
        <f>SUM(AM34:AM49)</f>
        <v>-77492.817243395679</v>
      </c>
      <c r="AN50" s="523">
        <f>SUM(AN34:AN49)</f>
        <v>9173.3592946352219</v>
      </c>
      <c r="AO50" s="517"/>
      <c r="AP50" s="517"/>
    </row>
    <row r="51" spans="1:42">
      <c r="A51" s="518" t="s">
        <v>811</v>
      </c>
      <c r="B51" s="518">
        <v>8754.5089632631007</v>
      </c>
      <c r="C51" s="518">
        <v>9055.5344504917448</v>
      </c>
      <c r="D51" s="518">
        <v>9265.9280876140438</v>
      </c>
      <c r="E51" s="518">
        <v>9366.0441060465328</v>
      </c>
      <c r="F51" s="518">
        <v>8896.2739920490312</v>
      </c>
      <c r="G51" s="518">
        <v>8138.0504048507173</v>
      </c>
      <c r="H51" s="518">
        <v>7457.8515068491179</v>
      </c>
      <c r="I51" s="518">
        <v>6716.8976396181642</v>
      </c>
      <c r="J51" s="518">
        <v>6004.2993519311613</v>
      </c>
      <c r="K51" s="518">
        <v>5834.0656453271204</v>
      </c>
      <c r="L51" s="518">
        <v>5911.2057492200965</v>
      </c>
      <c r="M51" s="518">
        <v>5963.7291266678758</v>
      </c>
      <c r="N51" s="518">
        <v>6199.645480286692</v>
      </c>
      <c r="O51" s="518">
        <v>6605.9647583156784</v>
      </c>
      <c r="P51" s="518">
        <v>7061.6971608348395</v>
      </c>
      <c r="Q51" s="518">
        <v>7525.8531461404364</v>
      </c>
      <c r="R51" s="518">
        <v>8046.4434372817605</v>
      </c>
      <c r="AA51" s="517"/>
      <c r="AB51" s="517"/>
      <c r="AC51" s="517"/>
      <c r="AD51" s="517"/>
      <c r="AE51" s="517"/>
      <c r="AF51" s="517"/>
      <c r="AG51" s="517"/>
      <c r="AH51" s="517"/>
      <c r="AI51" s="517"/>
      <c r="AJ51" s="517"/>
      <c r="AK51" s="517"/>
      <c r="AL51" s="517"/>
      <c r="AM51" s="517"/>
      <c r="AN51" s="517"/>
      <c r="AO51" s="517"/>
      <c r="AP51" s="517"/>
    </row>
    <row r="52" spans="1:42">
      <c r="A52" s="518" t="s">
        <v>813</v>
      </c>
      <c r="B52" s="518">
        <v>9130.1843731204663</v>
      </c>
      <c r="C52" s="518">
        <v>9284.7024625366266</v>
      </c>
      <c r="D52" s="518">
        <v>9559.8455934372159</v>
      </c>
      <c r="E52" s="518">
        <v>9915.6260402716634</v>
      </c>
      <c r="F52" s="518">
        <v>10358.162539322597</v>
      </c>
      <c r="G52" s="518">
        <v>10835.691485394569</v>
      </c>
      <c r="H52" s="518">
        <v>11271.57930606883</v>
      </c>
      <c r="I52" s="518">
        <v>11503.718437303003</v>
      </c>
      <c r="J52" s="518">
        <v>11622.873695482114</v>
      </c>
      <c r="K52" s="518">
        <v>11171.070803982246</v>
      </c>
      <c r="L52" s="518">
        <v>10427.336137369837</v>
      </c>
      <c r="M52" s="518">
        <v>9757.6967378866684</v>
      </c>
      <c r="N52" s="518">
        <v>9068.1803323521162</v>
      </c>
      <c r="O52" s="518">
        <v>8406.8153494933431</v>
      </c>
      <c r="P52" s="518">
        <v>8289.6309377141588</v>
      </c>
      <c r="Q52" s="518">
        <v>8419.6569833137291</v>
      </c>
      <c r="R52" s="518">
        <v>8526.9241291664912</v>
      </c>
      <c r="AA52" s="517"/>
      <c r="AB52" s="517"/>
      <c r="AC52" s="517"/>
      <c r="AD52" s="517"/>
      <c r="AE52" s="517"/>
      <c r="AF52" s="517"/>
      <c r="AG52" s="517"/>
      <c r="AH52" s="517"/>
      <c r="AI52" s="517"/>
      <c r="AJ52" s="517"/>
      <c r="AK52" s="517"/>
      <c r="AL52" s="517"/>
      <c r="AM52" s="517"/>
      <c r="AN52" s="517"/>
      <c r="AO52" s="517"/>
      <c r="AP52" s="517"/>
    </row>
    <row r="53" spans="1:42">
      <c r="A53" s="518" t="s">
        <v>815</v>
      </c>
      <c r="B53" s="518">
        <v>7555.1631808077682</v>
      </c>
      <c r="C53" s="518">
        <v>8315.1619496013827</v>
      </c>
      <c r="D53" s="518">
        <v>8991.6794332720183</v>
      </c>
      <c r="E53" s="518">
        <v>9342.6115528841165</v>
      </c>
      <c r="F53" s="518">
        <v>9908.948454342988</v>
      </c>
      <c r="G53" s="518">
        <v>10348.784418107836</v>
      </c>
      <c r="H53" s="518">
        <v>10559.32881111839</v>
      </c>
      <c r="I53" s="518">
        <v>10783.854249107255</v>
      </c>
      <c r="J53" s="518">
        <v>11079.279017840492</v>
      </c>
      <c r="K53" s="518">
        <v>11450.625883984285</v>
      </c>
      <c r="L53" s="518">
        <v>11843.918190545719</v>
      </c>
      <c r="M53" s="518">
        <v>12184.179871462911</v>
      </c>
      <c r="N53" s="518">
        <v>12432.435466564517</v>
      </c>
      <c r="O53" s="518">
        <v>12568.710136907901</v>
      </c>
      <c r="P53" s="518">
        <v>12134.029680505633</v>
      </c>
      <c r="Q53" s="518">
        <v>11408.420548450082</v>
      </c>
      <c r="R53" s="518">
        <v>10757.909861446204</v>
      </c>
      <c r="AA53" s="517"/>
      <c r="AB53" s="517"/>
      <c r="AC53" s="517"/>
      <c r="AD53" s="517"/>
      <c r="AE53" s="517"/>
      <c r="AF53" s="517"/>
      <c r="AG53" s="517"/>
      <c r="AH53" s="517"/>
      <c r="AI53" s="517"/>
      <c r="AJ53" s="517"/>
      <c r="AK53" s="517"/>
      <c r="AL53" s="517"/>
      <c r="AM53" s="517"/>
      <c r="AN53" s="517"/>
      <c r="AO53" s="517"/>
      <c r="AP53" s="517"/>
    </row>
    <row r="54" spans="1:42">
      <c r="A54" s="507" t="s">
        <v>817</v>
      </c>
      <c r="B54" s="518">
        <v>5475.9086991762179</v>
      </c>
      <c r="C54" s="518">
        <v>5974.8947243555103</v>
      </c>
      <c r="D54" s="518">
        <v>6385.7153894649955</v>
      </c>
      <c r="E54" s="518">
        <v>7153.0894998608492</v>
      </c>
      <c r="F54" s="518">
        <v>7725.8114583184724</v>
      </c>
      <c r="G54" s="518">
        <v>8418.7592156824776</v>
      </c>
      <c r="H54" s="518">
        <v>9213.9030576938312</v>
      </c>
      <c r="I54" s="518">
        <v>9840.4054292981746</v>
      </c>
      <c r="J54" s="518">
        <v>10131.629341874912</v>
      </c>
      <c r="K54" s="518">
        <v>10628.593061320726</v>
      </c>
      <c r="L54" s="518">
        <v>10990.31531593567</v>
      </c>
      <c r="M54" s="518">
        <v>11111.815308128975</v>
      </c>
      <c r="N54" s="518">
        <v>11344.112726421172</v>
      </c>
      <c r="O54" s="518">
        <v>11648.227757750063</v>
      </c>
      <c r="P54" s="518">
        <v>12029.181100088215</v>
      </c>
      <c r="Q54" s="518">
        <v>12431.993975379864</v>
      </c>
      <c r="R54" s="518">
        <v>12780.688142805324</v>
      </c>
      <c r="AA54" s="517"/>
      <c r="AB54" s="517"/>
      <c r="AC54" s="517"/>
      <c r="AD54" s="517"/>
      <c r="AE54" s="517"/>
      <c r="AF54" s="517"/>
      <c r="AG54" s="517"/>
      <c r="AH54" s="517"/>
      <c r="AI54" s="517"/>
      <c r="AJ54" s="517"/>
      <c r="AK54" s="517"/>
      <c r="AL54" s="517"/>
      <c r="AM54" s="517"/>
      <c r="AN54" s="517"/>
      <c r="AO54" s="517"/>
      <c r="AP54" s="517"/>
    </row>
    <row r="55" spans="1:42">
      <c r="A55" s="507" t="s">
        <v>819</v>
      </c>
      <c r="B55" s="518">
        <v>4305.5259171132584</v>
      </c>
      <c r="C55" s="518">
        <v>4590.9668608399397</v>
      </c>
      <c r="D55" s="518">
        <v>4924.6610157462028</v>
      </c>
      <c r="E55" s="518">
        <v>5131.055695956572</v>
      </c>
      <c r="F55" s="518">
        <v>5533.6452600327184</v>
      </c>
      <c r="G55" s="518">
        <v>5944.9760586801031</v>
      </c>
      <c r="H55" s="518">
        <v>6452.6519028094708</v>
      </c>
      <c r="I55" s="518">
        <v>6816.3889901747625</v>
      </c>
      <c r="J55" s="518">
        <v>7528.5750940444595</v>
      </c>
      <c r="K55" s="518">
        <v>8039.2215813254879</v>
      </c>
      <c r="L55" s="518">
        <v>8661.3401066793922</v>
      </c>
      <c r="M55" s="518">
        <v>9375.9426198068795</v>
      </c>
      <c r="N55" s="518">
        <v>10000.041372916772</v>
      </c>
      <c r="O55" s="518">
        <v>10292.648928384031</v>
      </c>
      <c r="P55" s="518">
        <v>10788.778166601658</v>
      </c>
      <c r="Q55" s="518">
        <v>11149.442294031354</v>
      </c>
      <c r="R55" s="518">
        <v>11271.65485145799</v>
      </c>
      <c r="AA55" s="517"/>
      <c r="AB55" s="517"/>
      <c r="AC55" s="517"/>
      <c r="AD55" s="517"/>
      <c r="AE55" s="517"/>
      <c r="AF55" s="517"/>
      <c r="AG55" s="517"/>
      <c r="AH55" s="517"/>
      <c r="AI55" s="517"/>
      <c r="AJ55" s="517"/>
      <c r="AK55" s="517"/>
      <c r="AL55" s="517"/>
      <c r="AM55" s="517"/>
      <c r="AN55" s="517"/>
      <c r="AO55" s="517"/>
      <c r="AP55" s="517"/>
    </row>
    <row r="56" spans="1:42">
      <c r="A56" s="507" t="s">
        <v>821</v>
      </c>
      <c r="B56" s="518">
        <v>3595.0572192442824</v>
      </c>
      <c r="C56" s="518">
        <v>3718.4593849251601</v>
      </c>
      <c r="D56" s="518">
        <v>3956.8486324460323</v>
      </c>
      <c r="E56" s="518">
        <v>4351.5391159463779</v>
      </c>
      <c r="F56" s="518">
        <v>4548.8780294449443</v>
      </c>
      <c r="G56" s="518">
        <v>4716.2490816741765</v>
      </c>
      <c r="H56" s="518">
        <v>5013.076336366189</v>
      </c>
      <c r="I56" s="518">
        <v>5320.533308128518</v>
      </c>
      <c r="J56" s="518">
        <v>5496.3056296323803</v>
      </c>
      <c r="K56" s="518">
        <v>5862.4012839944899</v>
      </c>
      <c r="L56" s="518">
        <v>6231.8284564251226</v>
      </c>
      <c r="M56" s="518">
        <v>6691.5955393441382</v>
      </c>
      <c r="N56" s="518">
        <v>7057.7111376265193</v>
      </c>
      <c r="O56" s="518">
        <v>7770.1840739806921</v>
      </c>
      <c r="P56" s="518">
        <v>8282.0233944630145</v>
      </c>
      <c r="Q56" s="518">
        <v>8905.2383741318463</v>
      </c>
      <c r="R56" s="518">
        <v>9619.8385228447733</v>
      </c>
      <c r="AA56" s="517"/>
      <c r="AB56" s="517"/>
      <c r="AC56" s="517"/>
      <c r="AD56" s="517"/>
      <c r="AE56" s="517"/>
      <c r="AF56" s="517"/>
      <c r="AG56" s="517"/>
      <c r="AH56" s="517"/>
      <c r="AI56" s="517"/>
      <c r="AJ56" s="517"/>
      <c r="AK56" s="517"/>
      <c r="AL56" s="517"/>
      <c r="AM56" s="517"/>
      <c r="AN56" s="517"/>
      <c r="AO56" s="517"/>
      <c r="AP56" s="517"/>
    </row>
    <row r="57" spans="1:42">
      <c r="A57" s="507" t="s">
        <v>823</v>
      </c>
      <c r="B57" s="518">
        <v>2868.0360269315852</v>
      </c>
      <c r="C57" s="518">
        <v>3133.9188719899157</v>
      </c>
      <c r="D57" s="518">
        <v>3312.6824722808351</v>
      </c>
      <c r="E57" s="518">
        <v>3402.524628558831</v>
      </c>
      <c r="F57" s="518">
        <v>3593.6639444653351</v>
      </c>
      <c r="G57" s="518">
        <v>3863.3420143874446</v>
      </c>
      <c r="H57" s="518">
        <v>3992.8258414157485</v>
      </c>
      <c r="I57" s="518">
        <v>4211.6691199327706</v>
      </c>
      <c r="J57" s="518">
        <v>4581.7109519907581</v>
      </c>
      <c r="K57" s="518">
        <v>4752.9563639965309</v>
      </c>
      <c r="L57" s="518">
        <v>4891.4105096010026</v>
      </c>
      <c r="M57" s="518">
        <v>5154.0786729203837</v>
      </c>
      <c r="N57" s="518">
        <v>5460.9662718389191</v>
      </c>
      <c r="O57" s="518">
        <v>5639.0788613952509</v>
      </c>
      <c r="P57" s="518">
        <v>6003.4221372544907</v>
      </c>
      <c r="Q57" s="518">
        <v>6373.0019392681997</v>
      </c>
      <c r="R57" s="518">
        <v>6831.8242551244866</v>
      </c>
      <c r="AA57" s="517"/>
      <c r="AB57" s="517"/>
      <c r="AC57" s="517"/>
      <c r="AD57" s="517"/>
      <c r="AE57" s="517"/>
      <c r="AF57" s="517"/>
      <c r="AG57" s="517"/>
      <c r="AH57" s="517"/>
      <c r="AI57" s="517"/>
      <c r="AJ57" s="517"/>
      <c r="AK57" s="517"/>
      <c r="AL57" s="517"/>
      <c r="AM57" s="517"/>
      <c r="AN57" s="517"/>
      <c r="AO57" s="517"/>
      <c r="AP57" s="517"/>
    </row>
    <row r="58" spans="1:42">
      <c r="A58" s="507" t="s">
        <v>825</v>
      </c>
      <c r="B58" s="518">
        <v>2111.0211923126972</v>
      </c>
      <c r="C58" s="518">
        <v>2345.5405129352444</v>
      </c>
      <c r="D58" s="518">
        <v>2556.1661601651972</v>
      </c>
      <c r="E58" s="518">
        <v>2753.0144873875474</v>
      </c>
      <c r="F58" s="518">
        <v>2890.2140849796087</v>
      </c>
      <c r="G58" s="518">
        <v>3028.9070672867319</v>
      </c>
      <c r="H58" s="518">
        <v>3293.2504949504405</v>
      </c>
      <c r="I58" s="518">
        <v>3458.8641881957474</v>
      </c>
      <c r="J58" s="518">
        <v>3535.5946776416222</v>
      </c>
      <c r="K58" s="518">
        <v>3708.444919997959</v>
      </c>
      <c r="L58" s="518">
        <v>3957.4179468241191</v>
      </c>
      <c r="M58" s="518">
        <v>4066.5168664237549</v>
      </c>
      <c r="N58" s="518">
        <v>4283.7448657875993</v>
      </c>
      <c r="O58" s="518">
        <v>4651.1052125854421</v>
      </c>
      <c r="P58" s="518">
        <v>4820.6012572085237</v>
      </c>
      <c r="Q58" s="518">
        <v>4960.2364348636474</v>
      </c>
      <c r="R58" s="518">
        <v>5222.0142677202866</v>
      </c>
      <c r="AA58" s="517"/>
      <c r="AB58" s="517"/>
      <c r="AC58" s="517"/>
      <c r="AD58" s="517"/>
      <c r="AE58" s="517"/>
      <c r="AF58" s="517"/>
      <c r="AG58" s="517"/>
      <c r="AH58" s="517"/>
      <c r="AI58" s="517"/>
      <c r="AJ58" s="517"/>
      <c r="AK58" s="517"/>
      <c r="AL58" s="517"/>
      <c r="AM58" s="517"/>
      <c r="AN58" s="517"/>
      <c r="AO58" s="517"/>
      <c r="AP58" s="517"/>
    </row>
    <row r="59" spans="1:42">
      <c r="A59" s="507" t="s">
        <v>827</v>
      </c>
      <c r="B59" s="518">
        <v>1063.7857837625745</v>
      </c>
      <c r="C59" s="518">
        <v>1133.7597493310923</v>
      </c>
      <c r="D59" s="518">
        <v>1328.1516605068523</v>
      </c>
      <c r="E59" s="518">
        <v>1587.0054730130735</v>
      </c>
      <c r="F59" s="518">
        <v>1833.3697654367411</v>
      </c>
      <c r="G59" s="518">
        <v>2125.2982254194321</v>
      </c>
      <c r="H59" s="518">
        <v>2349.8501869812776</v>
      </c>
      <c r="I59" s="518">
        <v>2546.5931377628381</v>
      </c>
      <c r="J59" s="518">
        <v>2730.3802115535018</v>
      </c>
      <c r="K59" s="518">
        <v>2853.2125253325626</v>
      </c>
      <c r="L59" s="518">
        <v>2977.0912243557782</v>
      </c>
      <c r="M59" s="518">
        <v>3223.0174828711961</v>
      </c>
      <c r="N59" s="518">
        <v>3384.9925048530931</v>
      </c>
      <c r="O59" s="518">
        <v>3461.0175247545003</v>
      </c>
      <c r="P59" s="518">
        <v>3628.0938082787757</v>
      </c>
      <c r="Q59" s="518">
        <v>3872.2226531707111</v>
      </c>
      <c r="R59" s="518">
        <v>3980.4053900276635</v>
      </c>
      <c r="AA59" s="517"/>
      <c r="AB59" s="517"/>
      <c r="AC59" s="517"/>
      <c r="AD59" s="517"/>
      <c r="AE59" s="517"/>
      <c r="AF59" s="517"/>
      <c r="AG59" s="517"/>
      <c r="AH59" s="517"/>
      <c r="AI59" s="517"/>
      <c r="AJ59" s="517"/>
      <c r="AK59" s="517"/>
      <c r="AL59" s="517"/>
      <c r="AM59" s="517"/>
      <c r="AN59" s="517"/>
      <c r="AO59" s="517"/>
      <c r="AP59" s="517"/>
    </row>
    <row r="60" spans="1:42">
      <c r="A60" s="507" t="s">
        <v>829</v>
      </c>
      <c r="B60" s="518">
        <v>877.44750555627843</v>
      </c>
      <c r="C60" s="518">
        <v>950.96696297953531</v>
      </c>
      <c r="D60" s="518">
        <v>989.64622313497296</v>
      </c>
      <c r="E60" s="518">
        <v>1013.5020926226457</v>
      </c>
      <c r="F60" s="518">
        <v>1029.5531456081658</v>
      </c>
      <c r="G60" s="518">
        <v>1048.8199097191946</v>
      </c>
      <c r="H60" s="518">
        <v>1117.3250714928413</v>
      </c>
      <c r="I60" s="518">
        <v>1298.9914938504969</v>
      </c>
      <c r="J60" s="518">
        <v>1541.6747867704566</v>
      </c>
      <c r="K60" s="518">
        <v>1769.3753773330386</v>
      </c>
      <c r="L60" s="518">
        <v>2041.0937034301505</v>
      </c>
      <c r="M60" s="518">
        <v>2248.8302140389869</v>
      </c>
      <c r="N60" s="518">
        <v>2436.5853695026531</v>
      </c>
      <c r="O60" s="518">
        <v>2613.3596418178972</v>
      </c>
      <c r="P60" s="518">
        <v>2730.1535149301203</v>
      </c>
      <c r="Q60" s="518">
        <v>2850.9674850358601</v>
      </c>
      <c r="R60" s="518">
        <v>3086.8020608929301</v>
      </c>
      <c r="AA60" s="517"/>
      <c r="AB60" s="517"/>
      <c r="AC60" s="517"/>
      <c r="AD60" s="517"/>
      <c r="AE60" s="517"/>
      <c r="AF60" s="517"/>
      <c r="AG60" s="517"/>
      <c r="AH60" s="517"/>
      <c r="AI60" s="517"/>
      <c r="AJ60" s="517"/>
      <c r="AK60" s="517"/>
      <c r="AL60" s="517"/>
      <c r="AM60" s="517"/>
      <c r="AN60" s="517"/>
      <c r="AO60" s="517"/>
      <c r="AP60" s="517"/>
    </row>
    <row r="61" spans="1:42">
      <c r="A61" s="507" t="s">
        <v>831</v>
      </c>
      <c r="B61" s="518">
        <v>685.556732906261</v>
      </c>
      <c r="C61" s="518">
        <v>702.14113960751354</v>
      </c>
      <c r="D61" s="518">
        <v>729.78700889806646</v>
      </c>
      <c r="E61" s="518">
        <v>758.50080485486376</v>
      </c>
      <c r="F61" s="518">
        <v>779.28967138775602</v>
      </c>
      <c r="G61" s="518">
        <v>837.16150373815174</v>
      </c>
      <c r="H61" s="518">
        <v>904.12502749724672</v>
      </c>
      <c r="I61" s="518">
        <v>939.38134378865266</v>
      </c>
      <c r="J61" s="518">
        <v>961.64414875786792</v>
      </c>
      <c r="K61" s="518">
        <v>975.91360666655328</v>
      </c>
      <c r="L61" s="518">
        <v>995.18988593467327</v>
      </c>
      <c r="M61" s="518">
        <v>1058.4731592457642</v>
      </c>
      <c r="N61" s="518">
        <v>1226.7636036548668</v>
      </c>
      <c r="O61" s="518">
        <v>1451.0614006991912</v>
      </c>
      <c r="P61" s="518">
        <v>1658.3667365115846</v>
      </c>
      <c r="Q61" s="518">
        <v>1906.6798019368694</v>
      </c>
      <c r="R61" s="518">
        <v>2096.0007926511271</v>
      </c>
      <c r="AA61" s="517"/>
      <c r="AB61" s="517"/>
      <c r="AC61" s="517"/>
      <c r="AD61" s="517"/>
      <c r="AE61" s="517"/>
      <c r="AF61" s="517"/>
      <c r="AG61" s="517"/>
      <c r="AH61" s="517"/>
      <c r="AI61" s="517"/>
      <c r="AJ61" s="517"/>
      <c r="AK61" s="517"/>
      <c r="AL61" s="517"/>
      <c r="AM61" s="517"/>
      <c r="AN61" s="517"/>
      <c r="AO61" s="517"/>
      <c r="AP61" s="517"/>
    </row>
    <row r="62" spans="1:42">
      <c r="A62" s="507" t="s">
        <v>833</v>
      </c>
      <c r="B62" s="518">
        <v>468</v>
      </c>
      <c r="C62" s="518">
        <v>501</v>
      </c>
      <c r="D62" s="518">
        <v>533</v>
      </c>
      <c r="E62" s="518">
        <v>568</v>
      </c>
      <c r="F62" s="518">
        <v>593</v>
      </c>
      <c r="G62" s="518">
        <v>605</v>
      </c>
      <c r="H62" s="518">
        <v>620</v>
      </c>
      <c r="I62" s="518">
        <v>644</v>
      </c>
      <c r="J62" s="518">
        <v>671</v>
      </c>
      <c r="K62" s="518">
        <v>690</v>
      </c>
      <c r="L62" s="518">
        <v>741</v>
      </c>
      <c r="M62" s="518">
        <v>799</v>
      </c>
      <c r="N62" s="518">
        <v>829</v>
      </c>
      <c r="O62" s="518">
        <v>851</v>
      </c>
      <c r="P62" s="518">
        <v>865</v>
      </c>
      <c r="Q62" s="518">
        <v>885</v>
      </c>
      <c r="R62" s="518">
        <v>944</v>
      </c>
      <c r="AA62" s="517"/>
      <c r="AB62" s="517"/>
      <c r="AC62" s="517"/>
      <c r="AD62" s="517"/>
      <c r="AE62" s="517"/>
      <c r="AF62" s="517"/>
      <c r="AG62" s="517"/>
      <c r="AH62" s="517"/>
      <c r="AI62" s="517"/>
      <c r="AJ62" s="517"/>
      <c r="AK62" s="517"/>
      <c r="AL62" s="517"/>
      <c r="AM62" s="517"/>
      <c r="AN62" s="517"/>
      <c r="AO62" s="517"/>
      <c r="AP62" s="517"/>
    </row>
    <row r="63" spans="1:42">
      <c r="A63" s="521" t="s">
        <v>835</v>
      </c>
      <c r="B63" s="540">
        <v>301.11134658125218</v>
      </c>
      <c r="C63" s="540">
        <v>332.22822792150271</v>
      </c>
      <c r="D63" s="540">
        <v>361.35740177961333</v>
      </c>
      <c r="E63" s="540">
        <v>410.50016097097273</v>
      </c>
      <c r="F63" s="540">
        <v>456.65793427755119</v>
      </c>
      <c r="G63" s="540">
        <v>511.83230074763037</v>
      </c>
      <c r="H63" s="540">
        <v>550.02500549944932</v>
      </c>
      <c r="I63" s="540">
        <v>587.07626875773053</v>
      </c>
      <c r="J63" s="540">
        <v>641.12882975157356</v>
      </c>
      <c r="K63" s="540">
        <v>686.18272133331061</v>
      </c>
      <c r="L63" s="540">
        <v>728.2379771869347</v>
      </c>
      <c r="M63" s="540">
        <v>761.29463184915278</v>
      </c>
      <c r="N63" s="540">
        <v>799.35272073097337</v>
      </c>
      <c r="O63" s="540">
        <v>855.41228013983823</v>
      </c>
      <c r="P63" s="540">
        <v>897.47334730231694</v>
      </c>
      <c r="Q63" s="540">
        <v>963.53596038737385</v>
      </c>
      <c r="R63" s="540">
        <v>1025.6001585302254</v>
      </c>
      <c r="AA63" s="517"/>
      <c r="AB63" s="517"/>
      <c r="AC63" s="517"/>
      <c r="AD63" s="517"/>
      <c r="AE63" s="517"/>
      <c r="AF63" s="517"/>
      <c r="AG63" s="517"/>
      <c r="AH63" s="517"/>
      <c r="AI63" s="517"/>
      <c r="AJ63" s="517"/>
      <c r="AK63" s="517"/>
      <c r="AL63" s="517"/>
      <c r="AM63" s="517"/>
      <c r="AN63" s="517"/>
      <c r="AO63" s="517"/>
      <c r="AP63" s="517"/>
    </row>
    <row r="64" spans="1:42">
      <c r="A64" s="507"/>
      <c r="B64" s="518"/>
      <c r="C64" s="518"/>
      <c r="D64" s="518"/>
      <c r="E64" s="518"/>
      <c r="F64" s="518"/>
      <c r="G64" s="518"/>
      <c r="H64" s="518"/>
      <c r="I64" s="518"/>
      <c r="J64" s="518"/>
      <c r="K64" s="518"/>
      <c r="L64" s="518"/>
      <c r="M64" s="518"/>
      <c r="N64" s="518"/>
      <c r="O64" s="518"/>
      <c r="P64" s="518"/>
      <c r="Q64" s="518"/>
      <c r="R64" s="518"/>
      <c r="AA64" s="517"/>
      <c r="AB64" s="517"/>
      <c r="AC64" s="517"/>
      <c r="AD64" s="517"/>
      <c r="AE64" s="517"/>
      <c r="AF64" s="517"/>
      <c r="AG64" s="517"/>
      <c r="AH64" s="517"/>
      <c r="AI64" s="517"/>
      <c r="AJ64" s="517"/>
      <c r="AK64" s="517"/>
      <c r="AL64" s="517"/>
      <c r="AM64" s="517"/>
      <c r="AN64" s="517"/>
      <c r="AO64" s="517"/>
      <c r="AP64" s="517"/>
    </row>
    <row r="65" spans="1:42" ht="18.75">
      <c r="A65" s="1435" t="s">
        <v>840</v>
      </c>
      <c r="B65" s="1435"/>
      <c r="C65" s="1435"/>
      <c r="D65" s="518"/>
      <c r="E65" s="518"/>
      <c r="F65" s="518"/>
      <c r="G65" s="518"/>
      <c r="H65" s="518"/>
      <c r="I65" s="518"/>
      <c r="J65" s="518"/>
      <c r="K65" s="518"/>
      <c r="L65" s="518"/>
      <c r="M65" s="518"/>
      <c r="N65" s="518"/>
      <c r="O65" s="518"/>
      <c r="P65" s="518"/>
      <c r="Q65" s="518"/>
      <c r="R65" s="545" t="s">
        <v>850</v>
      </c>
      <c r="AA65" s="517"/>
      <c r="AB65" s="517"/>
      <c r="AC65" s="517"/>
      <c r="AD65" s="517"/>
      <c r="AE65" s="517"/>
      <c r="AF65" s="517"/>
      <c r="AG65" s="517"/>
      <c r="AH65" s="517"/>
      <c r="AI65" s="517"/>
      <c r="AJ65" s="517"/>
      <c r="AK65" s="517"/>
      <c r="AL65" s="517"/>
      <c r="AM65" s="517"/>
      <c r="AN65" s="517"/>
      <c r="AO65" s="517"/>
      <c r="AP65" s="517"/>
    </row>
    <row r="66" spans="1:42">
      <c r="A66" s="510" t="s">
        <v>802</v>
      </c>
      <c r="B66" s="511">
        <v>2014</v>
      </c>
      <c r="C66" s="511">
        <v>2015</v>
      </c>
      <c r="D66" s="511">
        <v>2016</v>
      </c>
      <c r="E66" s="511">
        <v>2017</v>
      </c>
      <c r="F66" s="511">
        <v>2018</v>
      </c>
      <c r="G66" s="511">
        <v>2019</v>
      </c>
      <c r="H66" s="511">
        <v>2020</v>
      </c>
      <c r="I66" s="511">
        <v>2021</v>
      </c>
      <c r="J66" s="511">
        <v>2022</v>
      </c>
      <c r="K66" s="511">
        <v>2023</v>
      </c>
      <c r="L66" s="511">
        <v>2024</v>
      </c>
      <c r="M66" s="511">
        <v>2025</v>
      </c>
      <c r="N66" s="511">
        <v>2026</v>
      </c>
      <c r="O66" s="511">
        <v>2027</v>
      </c>
      <c r="P66" s="511">
        <v>2028</v>
      </c>
      <c r="Q66" s="511">
        <v>2029</v>
      </c>
      <c r="R66" s="511">
        <v>2030</v>
      </c>
      <c r="AA66" s="517"/>
      <c r="AB66" s="517"/>
      <c r="AC66" s="517"/>
      <c r="AD66" s="517"/>
      <c r="AE66" s="517"/>
      <c r="AF66" s="517"/>
      <c r="AG66" s="517"/>
      <c r="AH66" s="517"/>
      <c r="AI66" s="517"/>
      <c r="AJ66" s="517"/>
      <c r="AK66" s="517"/>
      <c r="AL66" s="517"/>
      <c r="AM66" s="517"/>
      <c r="AN66" s="517"/>
      <c r="AO66" s="517"/>
      <c r="AP66" s="517"/>
    </row>
    <row r="67" spans="1:42">
      <c r="A67" s="537" t="s">
        <v>21</v>
      </c>
      <c r="B67" s="537">
        <f>SUM(B68:B84)</f>
        <v>130465</v>
      </c>
      <c r="C67" s="537">
        <f t="shared" ref="C67:R67" si="6">SUM(C68:C84)</f>
        <v>135074</v>
      </c>
      <c r="D67" s="537">
        <f t="shared" si="6"/>
        <v>139823</v>
      </c>
      <c r="E67" s="537">
        <f t="shared" si="6"/>
        <v>144705</v>
      </c>
      <c r="F67" s="537">
        <f t="shared" si="6"/>
        <v>149704</v>
      </c>
      <c r="G67" s="537">
        <f t="shared" si="6"/>
        <v>154806</v>
      </c>
      <c r="H67" s="537">
        <f t="shared" si="6"/>
        <v>159990</v>
      </c>
      <c r="I67" s="537">
        <f t="shared" si="6"/>
        <v>165250</v>
      </c>
      <c r="J67" s="537">
        <f t="shared" si="6"/>
        <v>170568</v>
      </c>
      <c r="K67" s="537">
        <f t="shared" si="6"/>
        <v>175918</v>
      </c>
      <c r="L67" s="537">
        <f t="shared" si="6"/>
        <v>181291</v>
      </c>
      <c r="M67" s="537">
        <f t="shared" si="6"/>
        <v>186667</v>
      </c>
      <c r="N67" s="537">
        <f t="shared" si="6"/>
        <v>192029</v>
      </c>
      <c r="O67" s="537">
        <f t="shared" si="6"/>
        <v>197395</v>
      </c>
      <c r="P67" s="537">
        <f t="shared" si="6"/>
        <v>202751</v>
      </c>
      <c r="Q67" s="537">
        <f t="shared" si="6"/>
        <v>208115</v>
      </c>
      <c r="R67" s="537">
        <f t="shared" si="6"/>
        <v>213476</v>
      </c>
      <c r="AA67" s="517"/>
      <c r="AB67" s="517"/>
      <c r="AC67" s="517"/>
      <c r="AD67" s="517"/>
      <c r="AE67" s="517"/>
      <c r="AF67" s="517"/>
      <c r="AG67" s="517"/>
      <c r="AH67" s="517"/>
      <c r="AI67" s="517"/>
      <c r="AJ67" s="517"/>
      <c r="AK67" s="517"/>
      <c r="AL67" s="517"/>
      <c r="AM67" s="517"/>
      <c r="AN67" s="517"/>
      <c r="AO67" s="517"/>
      <c r="AP67" s="517"/>
    </row>
    <row r="68" spans="1:42">
      <c r="A68" s="518" t="s">
        <v>803</v>
      </c>
      <c r="B68" s="518">
        <v>12351</v>
      </c>
      <c r="C68" s="518">
        <v>12644</v>
      </c>
      <c r="D68" s="518">
        <v>12993</v>
      </c>
      <c r="E68" s="518">
        <v>13501</v>
      </c>
      <c r="F68" s="518">
        <v>14262</v>
      </c>
      <c r="G68" s="518">
        <v>14967</v>
      </c>
      <c r="H68" s="518">
        <v>15453</v>
      </c>
      <c r="I68" s="518">
        <v>15871</v>
      </c>
      <c r="J68" s="518">
        <v>16217</v>
      </c>
      <c r="K68" s="518">
        <v>16483</v>
      </c>
      <c r="L68" s="518">
        <v>16662</v>
      </c>
      <c r="M68" s="518">
        <v>16755</v>
      </c>
      <c r="N68" s="518">
        <v>16772</v>
      </c>
      <c r="O68" s="518">
        <v>16726</v>
      </c>
      <c r="P68" s="518">
        <v>16639</v>
      </c>
      <c r="Q68" s="518">
        <v>16539</v>
      </c>
      <c r="R68" s="518">
        <v>16440</v>
      </c>
      <c r="AA68" s="517"/>
      <c r="AB68" s="517"/>
      <c r="AC68" s="517"/>
      <c r="AD68" s="517"/>
      <c r="AE68" s="517"/>
      <c r="AF68" s="517"/>
      <c r="AG68" s="517"/>
      <c r="AH68" s="517"/>
      <c r="AI68" s="517"/>
      <c r="AJ68" s="517"/>
      <c r="AK68" s="517"/>
      <c r="AL68" s="517"/>
      <c r="AM68" s="517"/>
      <c r="AN68" s="517"/>
      <c r="AO68" s="517"/>
      <c r="AP68" s="517"/>
    </row>
    <row r="69" spans="1:42">
      <c r="A69" s="518" t="s">
        <v>805</v>
      </c>
      <c r="B69" s="518">
        <v>10528</v>
      </c>
      <c r="C69" s="518">
        <v>11377</v>
      </c>
      <c r="D69" s="518">
        <v>12072</v>
      </c>
      <c r="E69" s="518">
        <v>12464</v>
      </c>
      <c r="F69" s="518">
        <v>12479</v>
      </c>
      <c r="G69" s="518">
        <v>12569</v>
      </c>
      <c r="H69" s="518">
        <v>12865</v>
      </c>
      <c r="I69" s="518">
        <v>13217</v>
      </c>
      <c r="J69" s="518">
        <v>13731</v>
      </c>
      <c r="K69" s="518">
        <v>14495</v>
      </c>
      <c r="L69" s="518">
        <v>15206</v>
      </c>
      <c r="M69" s="518">
        <v>15699</v>
      </c>
      <c r="N69" s="518">
        <v>16122</v>
      </c>
      <c r="O69" s="518">
        <v>16474</v>
      </c>
      <c r="P69" s="518">
        <v>16748</v>
      </c>
      <c r="Q69" s="518">
        <v>16934</v>
      </c>
      <c r="R69" s="518">
        <v>17036</v>
      </c>
      <c r="AA69" s="517"/>
      <c r="AB69" s="517"/>
      <c r="AC69" s="517"/>
      <c r="AD69" s="517"/>
      <c r="AE69" s="517"/>
      <c r="AF69" s="517"/>
      <c r="AG69" s="517"/>
      <c r="AH69" s="517"/>
      <c r="AI69" s="517"/>
      <c r="AJ69" s="517"/>
      <c r="AK69" s="517"/>
      <c r="AL69" s="517"/>
      <c r="AM69" s="517"/>
      <c r="AN69" s="517"/>
      <c r="AO69" s="517"/>
      <c r="AP69" s="517"/>
    </row>
    <row r="70" spans="1:42">
      <c r="A70" s="518" t="s">
        <v>807</v>
      </c>
      <c r="B70" s="518">
        <v>8022</v>
      </c>
      <c r="C70" s="518">
        <v>8057</v>
      </c>
      <c r="D70" s="518">
        <v>8442</v>
      </c>
      <c r="E70" s="518">
        <v>9171</v>
      </c>
      <c r="F70" s="518">
        <v>10059</v>
      </c>
      <c r="G70" s="518">
        <v>10940</v>
      </c>
      <c r="H70" s="518">
        <v>11797</v>
      </c>
      <c r="I70" s="518">
        <v>12499</v>
      </c>
      <c r="J70" s="518">
        <v>12898</v>
      </c>
      <c r="K70" s="518">
        <v>12921</v>
      </c>
      <c r="L70" s="518">
        <v>13019</v>
      </c>
      <c r="M70" s="518">
        <v>13323</v>
      </c>
      <c r="N70" s="518">
        <v>13684</v>
      </c>
      <c r="O70" s="518">
        <v>14205</v>
      </c>
      <c r="P70" s="518">
        <v>14979</v>
      </c>
      <c r="Q70" s="518">
        <v>15696</v>
      </c>
      <c r="R70" s="518">
        <v>16198</v>
      </c>
      <c r="AA70" s="517"/>
      <c r="AB70" s="517"/>
      <c r="AC70" s="517"/>
      <c r="AD70" s="517"/>
      <c r="AE70" s="517"/>
      <c r="AF70" s="517"/>
      <c r="AG70" s="517"/>
      <c r="AH70" s="517"/>
      <c r="AI70" s="517"/>
      <c r="AJ70" s="517"/>
      <c r="AK70" s="517"/>
      <c r="AL70" s="517"/>
      <c r="AM70" s="517"/>
      <c r="AN70" s="517"/>
      <c r="AO70" s="517"/>
      <c r="AP70" s="517"/>
    </row>
    <row r="71" spans="1:42">
      <c r="A71" s="518" t="s">
        <v>809</v>
      </c>
      <c r="B71" s="518">
        <v>13084</v>
      </c>
      <c r="C71" s="518">
        <v>11811</v>
      </c>
      <c r="D71" s="518">
        <v>10450</v>
      </c>
      <c r="E71" s="518">
        <v>9175</v>
      </c>
      <c r="F71" s="518">
        <v>8797</v>
      </c>
      <c r="G71" s="518">
        <v>8867</v>
      </c>
      <c r="H71" s="518">
        <v>8917</v>
      </c>
      <c r="I71" s="518">
        <v>9317</v>
      </c>
      <c r="J71" s="518">
        <v>10061</v>
      </c>
      <c r="K71" s="518">
        <v>10963</v>
      </c>
      <c r="L71" s="518">
        <v>11859</v>
      </c>
      <c r="M71" s="518">
        <v>12732</v>
      </c>
      <c r="N71" s="518">
        <v>13450</v>
      </c>
      <c r="O71" s="518">
        <v>13865</v>
      </c>
      <c r="P71" s="518">
        <v>13905</v>
      </c>
      <c r="Q71" s="518">
        <v>14020</v>
      </c>
      <c r="R71" s="518">
        <v>14342</v>
      </c>
      <c r="AA71" s="517"/>
      <c r="AB71" s="517"/>
      <c r="AC71" s="517"/>
      <c r="AD71" s="517"/>
      <c r="AE71" s="517"/>
      <c r="AF71" s="517"/>
      <c r="AG71" s="517"/>
      <c r="AH71" s="517"/>
      <c r="AI71" s="517"/>
      <c r="AJ71" s="517"/>
      <c r="AK71" s="517"/>
      <c r="AL71" s="517"/>
      <c r="AM71" s="517"/>
      <c r="AN71" s="517"/>
      <c r="AO71" s="517"/>
      <c r="AP71" s="517"/>
    </row>
    <row r="72" spans="1:42">
      <c r="A72" s="518" t="s">
        <v>811</v>
      </c>
      <c r="B72" s="518">
        <v>16488</v>
      </c>
      <c r="C72" s="518">
        <v>16817</v>
      </c>
      <c r="D72" s="518">
        <v>17035</v>
      </c>
      <c r="E72" s="518">
        <v>17090</v>
      </c>
      <c r="F72" s="518">
        <v>16126</v>
      </c>
      <c r="G72" s="518">
        <v>14677</v>
      </c>
      <c r="H72" s="518">
        <v>13435</v>
      </c>
      <c r="I72" s="518">
        <v>12103</v>
      </c>
      <c r="J72" s="518">
        <v>10860</v>
      </c>
      <c r="K72" s="518">
        <v>10512</v>
      </c>
      <c r="L72" s="518">
        <v>10612</v>
      </c>
      <c r="M72" s="518">
        <v>10692</v>
      </c>
      <c r="N72" s="518">
        <v>11122</v>
      </c>
      <c r="O72" s="518">
        <v>11897</v>
      </c>
      <c r="P72" s="518">
        <v>12830</v>
      </c>
      <c r="Q72" s="518">
        <v>13759</v>
      </c>
      <c r="R72" s="518">
        <v>14662</v>
      </c>
      <c r="AA72" s="517"/>
      <c r="AB72" s="517"/>
      <c r="AC72" s="517"/>
      <c r="AD72" s="517"/>
      <c r="AE72" s="517"/>
      <c r="AF72" s="517"/>
      <c r="AG72" s="517"/>
      <c r="AH72" s="517"/>
      <c r="AI72" s="517"/>
      <c r="AJ72" s="517"/>
      <c r="AK72" s="517"/>
      <c r="AL72" s="517"/>
      <c r="AM72" s="517"/>
      <c r="AN72" s="517"/>
      <c r="AO72" s="517"/>
      <c r="AP72" s="517"/>
    </row>
    <row r="73" spans="1:42">
      <c r="A73" s="518" t="s">
        <v>813</v>
      </c>
      <c r="B73" s="518">
        <v>16265</v>
      </c>
      <c r="C73" s="518">
        <v>16468</v>
      </c>
      <c r="D73" s="518">
        <v>16820</v>
      </c>
      <c r="E73" s="518">
        <v>17138</v>
      </c>
      <c r="F73" s="518">
        <v>17723</v>
      </c>
      <c r="G73" s="518">
        <v>18325</v>
      </c>
      <c r="H73" s="518">
        <v>18686</v>
      </c>
      <c r="I73" s="518">
        <v>18937</v>
      </c>
      <c r="J73" s="518">
        <v>19025</v>
      </c>
      <c r="K73" s="518">
        <v>18097</v>
      </c>
      <c r="L73" s="518">
        <v>16686</v>
      </c>
      <c r="M73" s="518">
        <v>15481</v>
      </c>
      <c r="N73" s="518">
        <v>14188</v>
      </c>
      <c r="O73" s="518">
        <v>12982</v>
      </c>
      <c r="P73" s="518">
        <v>12673</v>
      </c>
      <c r="Q73" s="518">
        <v>12809</v>
      </c>
      <c r="R73" s="518">
        <v>12928</v>
      </c>
      <c r="AA73" s="517"/>
      <c r="AB73" s="517"/>
      <c r="AC73" s="517"/>
      <c r="AD73" s="517"/>
      <c r="AE73" s="517"/>
      <c r="AF73" s="517"/>
      <c r="AG73" s="517"/>
      <c r="AH73" s="517"/>
      <c r="AI73" s="517"/>
      <c r="AJ73" s="517"/>
      <c r="AK73" s="517"/>
      <c r="AL73" s="517"/>
      <c r="AM73" s="517"/>
      <c r="AN73" s="517"/>
      <c r="AO73" s="517"/>
      <c r="AP73" s="517"/>
    </row>
    <row r="74" spans="1:42">
      <c r="A74" s="507" t="s">
        <v>815</v>
      </c>
      <c r="B74" s="518">
        <v>13307</v>
      </c>
      <c r="C74" s="518">
        <v>14604</v>
      </c>
      <c r="D74" s="518">
        <v>15723</v>
      </c>
      <c r="E74" s="518">
        <v>16379</v>
      </c>
      <c r="F74" s="518">
        <v>17353</v>
      </c>
      <c r="G74" s="518">
        <v>17855</v>
      </c>
      <c r="H74" s="518">
        <v>18086</v>
      </c>
      <c r="I74" s="518">
        <v>18468</v>
      </c>
      <c r="J74" s="518">
        <v>18815</v>
      </c>
      <c r="K74" s="518">
        <v>19429</v>
      </c>
      <c r="L74" s="518">
        <v>20059</v>
      </c>
      <c r="M74" s="518">
        <v>20451</v>
      </c>
      <c r="N74" s="518">
        <v>20734</v>
      </c>
      <c r="O74" s="518">
        <v>20855</v>
      </c>
      <c r="P74" s="518">
        <v>19961</v>
      </c>
      <c r="Q74" s="518">
        <v>18585</v>
      </c>
      <c r="R74" s="518">
        <v>17416</v>
      </c>
      <c r="AA74" s="517"/>
      <c r="AB74" s="517"/>
      <c r="AC74" s="517"/>
      <c r="AD74" s="517"/>
      <c r="AE74" s="517"/>
      <c r="AF74" s="517"/>
      <c r="AG74" s="517"/>
      <c r="AH74" s="517"/>
      <c r="AI74" s="517"/>
      <c r="AJ74" s="517"/>
      <c r="AK74" s="517"/>
      <c r="AL74" s="517"/>
      <c r="AM74" s="517"/>
      <c r="AN74" s="517"/>
      <c r="AO74" s="517"/>
      <c r="AP74" s="517"/>
    </row>
    <row r="75" spans="1:42">
      <c r="A75" s="507" t="s">
        <v>817</v>
      </c>
      <c r="B75" s="518">
        <v>9785</v>
      </c>
      <c r="C75" s="518">
        <v>10564</v>
      </c>
      <c r="D75" s="518">
        <v>11197</v>
      </c>
      <c r="E75" s="518">
        <v>12394</v>
      </c>
      <c r="F75" s="518">
        <v>13352</v>
      </c>
      <c r="G75" s="518">
        <v>14506</v>
      </c>
      <c r="H75" s="518">
        <v>15821</v>
      </c>
      <c r="I75" s="518">
        <v>16961</v>
      </c>
      <c r="J75" s="518">
        <v>17637</v>
      </c>
      <c r="K75" s="518">
        <v>18631</v>
      </c>
      <c r="L75" s="518">
        <v>19157</v>
      </c>
      <c r="M75" s="518">
        <v>19413</v>
      </c>
      <c r="N75" s="518">
        <v>19817</v>
      </c>
      <c r="O75" s="518">
        <v>20188</v>
      </c>
      <c r="P75" s="518">
        <v>20827</v>
      </c>
      <c r="Q75" s="518">
        <v>21482</v>
      </c>
      <c r="R75" s="518">
        <v>21899</v>
      </c>
      <c r="AA75" s="517"/>
      <c r="AB75" s="517"/>
      <c r="AC75" s="517"/>
      <c r="AD75" s="517"/>
      <c r="AE75" s="517"/>
      <c r="AF75" s="517"/>
      <c r="AG75" s="517"/>
      <c r="AH75" s="517"/>
      <c r="AI75" s="517"/>
      <c r="AJ75" s="517"/>
      <c r="AK75" s="517"/>
      <c r="AL75" s="517"/>
      <c r="AM75" s="517"/>
      <c r="AN75" s="517"/>
      <c r="AO75" s="517"/>
      <c r="AP75" s="517"/>
    </row>
    <row r="76" spans="1:42">
      <c r="A76" s="507" t="s">
        <v>819</v>
      </c>
      <c r="B76" s="518">
        <v>7958</v>
      </c>
      <c r="C76" s="518">
        <v>8454</v>
      </c>
      <c r="D76" s="518">
        <v>9104</v>
      </c>
      <c r="E76" s="518">
        <v>9473</v>
      </c>
      <c r="F76" s="518">
        <v>10014</v>
      </c>
      <c r="G76" s="518">
        <v>10684</v>
      </c>
      <c r="H76" s="518">
        <v>11478</v>
      </c>
      <c r="I76" s="518">
        <v>12125</v>
      </c>
      <c r="J76" s="518">
        <v>13335</v>
      </c>
      <c r="K76" s="518">
        <v>14307</v>
      </c>
      <c r="L76" s="518">
        <v>15475</v>
      </c>
      <c r="M76" s="518">
        <v>16804</v>
      </c>
      <c r="N76" s="518">
        <v>17957</v>
      </c>
      <c r="O76" s="518">
        <v>18651</v>
      </c>
      <c r="P76" s="518">
        <v>19660</v>
      </c>
      <c r="Q76" s="518">
        <v>20203</v>
      </c>
      <c r="R76" s="518">
        <v>20480</v>
      </c>
      <c r="AA76" s="517"/>
      <c r="AB76" s="517"/>
      <c r="AC76" s="517"/>
      <c r="AD76" s="517"/>
      <c r="AE76" s="517"/>
      <c r="AF76" s="517"/>
      <c r="AG76" s="517"/>
      <c r="AH76" s="517"/>
      <c r="AI76" s="517"/>
      <c r="AJ76" s="517"/>
      <c r="AK76" s="517"/>
      <c r="AL76" s="517"/>
      <c r="AM76" s="517"/>
      <c r="AN76" s="517"/>
      <c r="AO76" s="517"/>
      <c r="AP76" s="517"/>
    </row>
    <row r="77" spans="1:42">
      <c r="A77" s="507" t="s">
        <v>821</v>
      </c>
      <c r="B77" s="518">
        <v>6733</v>
      </c>
      <c r="C77" s="518">
        <v>6952</v>
      </c>
      <c r="D77" s="518">
        <v>7414</v>
      </c>
      <c r="E77" s="518">
        <v>8061</v>
      </c>
      <c r="F77" s="518">
        <v>8345</v>
      </c>
      <c r="G77" s="518">
        <v>8655</v>
      </c>
      <c r="H77" s="518">
        <v>9162</v>
      </c>
      <c r="I77" s="518">
        <v>9823</v>
      </c>
      <c r="J77" s="518">
        <v>10204</v>
      </c>
      <c r="K77" s="518">
        <v>10755</v>
      </c>
      <c r="L77" s="518">
        <v>11436</v>
      </c>
      <c r="M77" s="518">
        <v>12241</v>
      </c>
      <c r="N77" s="518">
        <v>12900</v>
      </c>
      <c r="O77" s="518">
        <v>14119</v>
      </c>
      <c r="P77" s="518">
        <v>15100</v>
      </c>
      <c r="Q77" s="518">
        <v>16278</v>
      </c>
      <c r="R77" s="518">
        <v>17616</v>
      </c>
      <c r="AA77" s="517"/>
      <c r="AB77" s="517"/>
      <c r="AC77" s="517"/>
      <c r="AD77" s="517"/>
      <c r="AE77" s="517"/>
      <c r="AF77" s="517"/>
      <c r="AG77" s="517"/>
      <c r="AH77" s="517"/>
      <c r="AI77" s="517"/>
      <c r="AJ77" s="517"/>
      <c r="AK77" s="517"/>
      <c r="AL77" s="517"/>
      <c r="AM77" s="517"/>
      <c r="AN77" s="517"/>
      <c r="AO77" s="517"/>
      <c r="AP77" s="517"/>
    </row>
    <row r="78" spans="1:42">
      <c r="A78" s="507" t="s">
        <v>823</v>
      </c>
      <c r="B78" s="518">
        <v>5421</v>
      </c>
      <c r="C78" s="518">
        <v>5926</v>
      </c>
      <c r="D78" s="518">
        <v>6134</v>
      </c>
      <c r="E78" s="518">
        <v>6343</v>
      </c>
      <c r="F78" s="518">
        <v>6711</v>
      </c>
      <c r="G78" s="518">
        <v>7230</v>
      </c>
      <c r="H78" s="518">
        <v>7458</v>
      </c>
      <c r="I78" s="518">
        <v>7927</v>
      </c>
      <c r="J78" s="518">
        <v>8578</v>
      </c>
      <c r="K78" s="518">
        <v>8870</v>
      </c>
      <c r="L78" s="518">
        <v>9190</v>
      </c>
      <c r="M78" s="518">
        <v>9704</v>
      </c>
      <c r="N78" s="518">
        <v>10370</v>
      </c>
      <c r="O78" s="518">
        <v>10762</v>
      </c>
      <c r="P78" s="518">
        <v>11319</v>
      </c>
      <c r="Q78" s="518">
        <v>12007</v>
      </c>
      <c r="R78" s="518">
        <v>12817</v>
      </c>
      <c r="AA78" s="517"/>
      <c r="AB78" s="517"/>
      <c r="AC78" s="517"/>
      <c r="AD78" s="517"/>
      <c r="AE78" s="517"/>
      <c r="AF78" s="517"/>
      <c r="AG78" s="517"/>
      <c r="AH78" s="517"/>
      <c r="AI78" s="517"/>
      <c r="AJ78" s="517"/>
      <c r="AK78" s="517"/>
      <c r="AL78" s="517"/>
      <c r="AM78" s="517"/>
      <c r="AN78" s="517"/>
      <c r="AO78" s="517"/>
      <c r="AP78" s="517"/>
    </row>
    <row r="79" spans="1:42">
      <c r="A79" s="507" t="s">
        <v>825</v>
      </c>
      <c r="B79" s="518">
        <v>3934</v>
      </c>
      <c r="C79" s="518">
        <v>4342</v>
      </c>
      <c r="D79" s="518">
        <v>4776</v>
      </c>
      <c r="E79" s="518">
        <v>5174</v>
      </c>
      <c r="F79" s="518">
        <v>5507</v>
      </c>
      <c r="G79" s="518">
        <v>5724</v>
      </c>
      <c r="H79" s="518">
        <v>6226</v>
      </c>
      <c r="I79" s="518">
        <v>6441</v>
      </c>
      <c r="J79" s="518">
        <v>6655</v>
      </c>
      <c r="K79" s="518">
        <v>7025</v>
      </c>
      <c r="L79" s="518">
        <v>7542</v>
      </c>
      <c r="M79" s="518">
        <v>7779</v>
      </c>
      <c r="N79" s="518">
        <v>8247</v>
      </c>
      <c r="O79" s="518">
        <v>8897</v>
      </c>
      <c r="P79" s="518">
        <v>9192</v>
      </c>
      <c r="Q79" s="518">
        <v>9519</v>
      </c>
      <c r="R79" s="518">
        <v>10036</v>
      </c>
      <c r="AA79" s="517"/>
      <c r="AB79" s="517"/>
      <c r="AC79" s="517"/>
      <c r="AD79" s="517"/>
      <c r="AE79" s="517"/>
      <c r="AF79" s="517"/>
      <c r="AG79" s="517"/>
      <c r="AH79" s="517"/>
      <c r="AI79" s="517"/>
      <c r="AJ79" s="517"/>
      <c r="AK79" s="517"/>
      <c r="AL79" s="517"/>
      <c r="AM79" s="517"/>
      <c r="AN79" s="517"/>
      <c r="AO79" s="517"/>
      <c r="AP79" s="517"/>
    </row>
    <row r="80" spans="1:42">
      <c r="A80" s="507" t="s">
        <v>827</v>
      </c>
      <c r="B80" s="518">
        <v>2153</v>
      </c>
      <c r="C80" s="518">
        <v>2327</v>
      </c>
      <c r="D80" s="518">
        <v>2676</v>
      </c>
      <c r="E80" s="518">
        <v>3105</v>
      </c>
      <c r="F80" s="518">
        <v>3498</v>
      </c>
      <c r="G80" s="518">
        <v>4022</v>
      </c>
      <c r="H80" s="518">
        <v>4418</v>
      </c>
      <c r="I80" s="518">
        <v>4841</v>
      </c>
      <c r="J80" s="518">
        <v>5231</v>
      </c>
      <c r="K80" s="518">
        <v>5554</v>
      </c>
      <c r="L80" s="518">
        <v>5771</v>
      </c>
      <c r="M80" s="518">
        <v>6263</v>
      </c>
      <c r="N80" s="518">
        <v>6480</v>
      </c>
      <c r="O80" s="518">
        <v>6696</v>
      </c>
      <c r="P80" s="518">
        <v>7059</v>
      </c>
      <c r="Q80" s="518">
        <v>7568</v>
      </c>
      <c r="R80" s="518">
        <v>7808</v>
      </c>
      <c r="AA80" s="517"/>
      <c r="AB80" s="517"/>
      <c r="AC80" s="517"/>
      <c r="AD80" s="517"/>
      <c r="AE80" s="517"/>
      <c r="AF80" s="517"/>
      <c r="AG80" s="517"/>
      <c r="AH80" s="517"/>
      <c r="AI80" s="517"/>
      <c r="AJ80" s="517"/>
      <c r="AK80" s="517"/>
      <c r="AL80" s="517"/>
      <c r="AM80" s="517"/>
      <c r="AN80" s="517"/>
      <c r="AO80" s="517"/>
      <c r="AP80" s="517"/>
    </row>
    <row r="81" spans="1:42">
      <c r="A81" s="507" t="s">
        <v>829</v>
      </c>
      <c r="B81" s="518">
        <v>1623</v>
      </c>
      <c r="C81" s="518">
        <v>1783</v>
      </c>
      <c r="D81" s="518">
        <v>1899</v>
      </c>
      <c r="E81" s="518">
        <v>1953</v>
      </c>
      <c r="F81" s="518">
        <v>2055</v>
      </c>
      <c r="G81" s="518">
        <v>2127</v>
      </c>
      <c r="H81" s="518">
        <v>2296</v>
      </c>
      <c r="I81" s="518">
        <v>2626</v>
      </c>
      <c r="J81" s="518">
        <v>3031</v>
      </c>
      <c r="K81" s="518">
        <v>3400</v>
      </c>
      <c r="L81" s="518">
        <v>3894</v>
      </c>
      <c r="M81" s="518">
        <v>4269</v>
      </c>
      <c r="N81" s="518">
        <v>4672</v>
      </c>
      <c r="O81" s="518">
        <v>5043</v>
      </c>
      <c r="P81" s="518">
        <v>5349</v>
      </c>
      <c r="Q81" s="518">
        <v>5562</v>
      </c>
      <c r="R81" s="518">
        <v>6033</v>
      </c>
      <c r="AA81" s="517"/>
      <c r="AB81" s="517"/>
      <c r="AC81" s="517"/>
      <c r="AD81" s="517"/>
      <c r="AE81" s="517"/>
      <c r="AF81" s="517"/>
      <c r="AG81" s="517"/>
      <c r="AH81" s="517"/>
      <c r="AI81" s="517"/>
      <c r="AJ81" s="517"/>
      <c r="AK81" s="517"/>
      <c r="AL81" s="517"/>
      <c r="AM81" s="517"/>
      <c r="AN81" s="517"/>
      <c r="AO81" s="517"/>
      <c r="AP81" s="517"/>
    </row>
    <row r="82" spans="1:42">
      <c r="A82" s="507" t="s">
        <v>831</v>
      </c>
      <c r="B82" s="518">
        <v>1301</v>
      </c>
      <c r="C82" s="518">
        <v>1335</v>
      </c>
      <c r="D82" s="518">
        <v>1332</v>
      </c>
      <c r="E82" s="518">
        <v>1380</v>
      </c>
      <c r="F82" s="518">
        <v>1413</v>
      </c>
      <c r="G82" s="518">
        <v>1537</v>
      </c>
      <c r="H82" s="518">
        <v>1682</v>
      </c>
      <c r="I82" s="518">
        <v>1787</v>
      </c>
      <c r="J82" s="518">
        <v>1840</v>
      </c>
      <c r="K82" s="518">
        <v>1931</v>
      </c>
      <c r="L82" s="518">
        <v>2002</v>
      </c>
      <c r="M82" s="518">
        <v>2160</v>
      </c>
      <c r="N82" s="518">
        <v>2463</v>
      </c>
      <c r="O82" s="518">
        <v>2834</v>
      </c>
      <c r="P82" s="518">
        <v>3168</v>
      </c>
      <c r="Q82" s="518">
        <v>3617</v>
      </c>
      <c r="R82" s="518">
        <v>3960</v>
      </c>
      <c r="AA82" s="517"/>
      <c r="AB82" s="517"/>
      <c r="AC82" s="517"/>
      <c r="AD82" s="517"/>
      <c r="AE82" s="517"/>
      <c r="AF82" s="517"/>
      <c r="AG82" s="517"/>
      <c r="AH82" s="517"/>
      <c r="AI82" s="517"/>
      <c r="AJ82" s="517"/>
      <c r="AK82" s="517"/>
      <c r="AL82" s="517"/>
      <c r="AM82" s="517"/>
      <c r="AN82" s="517"/>
      <c r="AO82" s="517"/>
      <c r="AP82" s="517"/>
    </row>
    <row r="83" spans="1:42">
      <c r="A83" s="507" t="s">
        <v>833</v>
      </c>
      <c r="B83" s="518">
        <v>875</v>
      </c>
      <c r="C83" s="518">
        <v>917</v>
      </c>
      <c r="D83" s="518">
        <v>1003</v>
      </c>
      <c r="E83" s="518">
        <v>1083</v>
      </c>
      <c r="F83" s="518">
        <v>1120</v>
      </c>
      <c r="G83" s="518">
        <v>1133</v>
      </c>
      <c r="H83" s="518">
        <v>1163</v>
      </c>
      <c r="I83" s="518">
        <v>1166</v>
      </c>
      <c r="J83" s="518">
        <v>1214</v>
      </c>
      <c r="K83" s="518">
        <v>1245</v>
      </c>
      <c r="L83" s="518">
        <v>1353</v>
      </c>
      <c r="M83" s="518">
        <v>1478</v>
      </c>
      <c r="N83" s="518">
        <v>1567</v>
      </c>
      <c r="O83" s="518">
        <v>1617</v>
      </c>
      <c r="P83" s="518">
        <v>1696</v>
      </c>
      <c r="Q83" s="518">
        <v>1763</v>
      </c>
      <c r="R83" s="518">
        <v>1905</v>
      </c>
      <c r="AA83" s="517"/>
      <c r="AB83" s="517"/>
      <c r="AC83" s="517"/>
      <c r="AD83" s="517"/>
      <c r="AE83" s="517"/>
      <c r="AF83" s="517"/>
      <c r="AG83" s="517"/>
      <c r="AH83" s="517"/>
      <c r="AI83" s="517"/>
      <c r="AJ83" s="517"/>
      <c r="AK83" s="517"/>
      <c r="AL83" s="517"/>
      <c r="AM83" s="517"/>
      <c r="AN83" s="517"/>
      <c r="AO83" s="517"/>
      <c r="AP83" s="517"/>
    </row>
    <row r="84" spans="1:42">
      <c r="A84" s="521" t="s">
        <v>835</v>
      </c>
      <c r="B84" s="540">
        <v>637</v>
      </c>
      <c r="C84" s="540">
        <v>696</v>
      </c>
      <c r="D84" s="540">
        <v>753</v>
      </c>
      <c r="E84" s="540">
        <v>821</v>
      </c>
      <c r="F84" s="540">
        <v>890</v>
      </c>
      <c r="G84" s="540">
        <v>988</v>
      </c>
      <c r="H84" s="540">
        <v>1047</v>
      </c>
      <c r="I84" s="540">
        <v>1141</v>
      </c>
      <c r="J84" s="540">
        <v>1236</v>
      </c>
      <c r="K84" s="540">
        <v>1300</v>
      </c>
      <c r="L84" s="540">
        <v>1368</v>
      </c>
      <c r="M84" s="540">
        <v>1423</v>
      </c>
      <c r="N84" s="540">
        <v>1484</v>
      </c>
      <c r="O84" s="540">
        <v>1584</v>
      </c>
      <c r="P84" s="540">
        <v>1646</v>
      </c>
      <c r="Q84" s="540">
        <v>1774</v>
      </c>
      <c r="R84" s="540">
        <v>1900</v>
      </c>
      <c r="AA84" s="517"/>
      <c r="AB84" s="517"/>
      <c r="AC84" s="517"/>
      <c r="AD84" s="517"/>
      <c r="AE84" s="517"/>
      <c r="AF84" s="517"/>
      <c r="AG84" s="517"/>
      <c r="AH84" s="517"/>
      <c r="AI84" s="517"/>
      <c r="AJ84" s="517"/>
      <c r="AK84" s="517"/>
      <c r="AL84" s="517"/>
      <c r="AM84" s="517"/>
      <c r="AN84" s="517"/>
      <c r="AO84" s="517"/>
      <c r="AP84" s="517"/>
    </row>
    <row r="85" spans="1:42">
      <c r="A85" s="507"/>
      <c r="B85" s="518"/>
      <c r="C85" s="518"/>
      <c r="D85" s="518"/>
      <c r="E85" s="518"/>
      <c r="F85" s="518"/>
      <c r="G85" s="518"/>
      <c r="H85" s="518"/>
      <c r="I85" s="518"/>
      <c r="J85" s="518"/>
      <c r="K85" s="518"/>
      <c r="L85" s="518"/>
      <c r="M85" s="518"/>
      <c r="N85" s="518"/>
      <c r="O85" s="518"/>
      <c r="P85" s="518"/>
      <c r="Q85" s="518"/>
      <c r="R85" s="518"/>
      <c r="AA85" s="517"/>
      <c r="AB85" s="517"/>
      <c r="AC85" s="517"/>
      <c r="AD85" s="517"/>
      <c r="AE85" s="517"/>
      <c r="AF85" s="517"/>
      <c r="AG85" s="517"/>
      <c r="AH85" s="517"/>
      <c r="AI85" s="517"/>
      <c r="AJ85" s="517"/>
      <c r="AK85" s="517"/>
      <c r="AL85" s="517"/>
      <c r="AM85" s="517"/>
      <c r="AN85" s="517"/>
      <c r="AO85" s="517"/>
      <c r="AP85" s="517"/>
    </row>
    <row r="86" spans="1:42">
      <c r="A86" s="536"/>
      <c r="B86" s="518"/>
      <c r="C86" s="518"/>
      <c r="D86" s="518"/>
      <c r="E86" s="518"/>
      <c r="F86" s="518"/>
      <c r="G86" s="518"/>
      <c r="H86" s="518"/>
      <c r="I86" s="518"/>
      <c r="J86" s="518"/>
      <c r="K86" s="518"/>
      <c r="L86" s="518"/>
      <c r="M86" s="518"/>
      <c r="N86" s="518"/>
      <c r="O86" s="518"/>
      <c r="P86" s="518"/>
      <c r="Q86" s="518"/>
      <c r="R86" s="518"/>
      <c r="AA86" s="517"/>
      <c r="AB86" s="517"/>
      <c r="AC86" s="517"/>
      <c r="AD86" s="517"/>
      <c r="AE86" s="517"/>
      <c r="AF86" s="517"/>
      <c r="AG86" s="517"/>
      <c r="AH86" s="517"/>
      <c r="AI86" s="517"/>
      <c r="AJ86" s="517"/>
      <c r="AK86" s="517"/>
      <c r="AL86" s="517"/>
      <c r="AM86" s="517"/>
      <c r="AN86" s="517"/>
      <c r="AO86" s="517"/>
      <c r="AP86" s="517"/>
    </row>
    <row r="87" spans="1:42">
      <c r="A87" s="541" t="s">
        <v>837</v>
      </c>
      <c r="B87" s="542">
        <f>SUM(B88:B104)</f>
        <v>64984</v>
      </c>
      <c r="C87" s="542">
        <f t="shared" ref="C87:R87" si="7">SUM(C88:C104)</f>
        <v>67304</v>
      </c>
      <c r="D87" s="542">
        <f t="shared" si="7"/>
        <v>69692</v>
      </c>
      <c r="E87" s="542">
        <f t="shared" si="7"/>
        <v>72148</v>
      </c>
      <c r="F87" s="542">
        <f t="shared" si="7"/>
        <v>74668</v>
      </c>
      <c r="G87" s="542">
        <f t="shared" si="7"/>
        <v>77238</v>
      </c>
      <c r="H87" s="542">
        <f t="shared" si="7"/>
        <v>79853</v>
      </c>
      <c r="I87" s="542">
        <f t="shared" si="7"/>
        <v>82504</v>
      </c>
      <c r="J87" s="542">
        <f t="shared" si="7"/>
        <v>85183</v>
      </c>
      <c r="K87" s="542">
        <f t="shared" si="7"/>
        <v>87879</v>
      </c>
      <c r="L87" s="542">
        <f t="shared" si="7"/>
        <v>90585</v>
      </c>
      <c r="M87" s="542">
        <f t="shared" si="7"/>
        <v>93291</v>
      </c>
      <c r="N87" s="542">
        <f t="shared" si="7"/>
        <v>95990</v>
      </c>
      <c r="O87" s="542">
        <f t="shared" si="7"/>
        <v>98686</v>
      </c>
      <c r="P87" s="542">
        <f t="shared" si="7"/>
        <v>101377</v>
      </c>
      <c r="Q87" s="542">
        <f t="shared" si="7"/>
        <v>104070</v>
      </c>
      <c r="R87" s="542">
        <f t="shared" si="7"/>
        <v>106762</v>
      </c>
      <c r="AA87" s="517"/>
      <c r="AB87" s="517"/>
      <c r="AC87" s="517"/>
      <c r="AD87" s="517"/>
      <c r="AE87" s="517"/>
      <c r="AF87" s="517"/>
      <c r="AG87" s="517"/>
      <c r="AH87" s="517"/>
      <c r="AI87" s="517"/>
      <c r="AJ87" s="517"/>
      <c r="AK87" s="517"/>
      <c r="AL87" s="517"/>
      <c r="AM87" s="517"/>
      <c r="AN87" s="517"/>
      <c r="AO87" s="517"/>
      <c r="AP87" s="517"/>
    </row>
    <row r="88" spans="1:42">
      <c r="A88" s="543" t="s">
        <v>803</v>
      </c>
      <c r="B88" s="518">
        <v>6411</v>
      </c>
      <c r="C88" s="518">
        <v>6629</v>
      </c>
      <c r="D88" s="518">
        <v>6740</v>
      </c>
      <c r="E88" s="518">
        <v>6980</v>
      </c>
      <c r="F88" s="518">
        <v>7383</v>
      </c>
      <c r="G88" s="518">
        <v>7750</v>
      </c>
      <c r="H88" s="518">
        <v>8001</v>
      </c>
      <c r="I88" s="518">
        <v>8217</v>
      </c>
      <c r="J88" s="518">
        <v>8395</v>
      </c>
      <c r="K88" s="518">
        <v>8532</v>
      </c>
      <c r="L88" s="518">
        <v>8623</v>
      </c>
      <c r="M88" s="518">
        <v>8669</v>
      </c>
      <c r="N88" s="518">
        <v>8676</v>
      </c>
      <c r="O88" s="518">
        <v>8650</v>
      </c>
      <c r="P88" s="518">
        <v>8603</v>
      </c>
      <c r="Q88" s="518">
        <v>8549</v>
      </c>
      <c r="R88" s="518">
        <v>8496</v>
      </c>
      <c r="AA88" s="517"/>
      <c r="AB88" s="517"/>
      <c r="AC88" s="517"/>
      <c r="AD88" s="517"/>
      <c r="AE88" s="517"/>
      <c r="AF88" s="517"/>
      <c r="AG88" s="517"/>
      <c r="AH88" s="517"/>
      <c r="AI88" s="517"/>
      <c r="AJ88" s="517"/>
      <c r="AK88" s="517"/>
      <c r="AL88" s="517"/>
      <c r="AM88" s="517"/>
      <c r="AN88" s="517"/>
      <c r="AO88" s="517"/>
      <c r="AP88" s="517"/>
    </row>
    <row r="89" spans="1:42">
      <c r="A89" s="518" t="s">
        <v>805</v>
      </c>
      <c r="B89" s="518">
        <v>5371</v>
      </c>
      <c r="C89" s="518">
        <v>5745</v>
      </c>
      <c r="D89" s="518">
        <v>6188</v>
      </c>
      <c r="E89" s="518">
        <v>6446</v>
      </c>
      <c r="F89" s="518">
        <v>6445</v>
      </c>
      <c r="G89" s="518">
        <v>6529</v>
      </c>
      <c r="H89" s="518">
        <v>6749</v>
      </c>
      <c r="I89" s="518">
        <v>6862</v>
      </c>
      <c r="J89" s="518">
        <v>7106</v>
      </c>
      <c r="K89" s="518">
        <v>7511</v>
      </c>
      <c r="L89" s="518">
        <v>7882</v>
      </c>
      <c r="M89" s="518">
        <v>8137</v>
      </c>
      <c r="N89" s="518">
        <v>8356</v>
      </c>
      <c r="O89" s="518">
        <v>8537</v>
      </c>
      <c r="P89" s="518">
        <v>8678</v>
      </c>
      <c r="Q89" s="518">
        <v>8773</v>
      </c>
      <c r="R89" s="518">
        <v>8824</v>
      </c>
      <c r="AA89" s="517"/>
      <c r="AB89" s="517"/>
      <c r="AC89" s="517"/>
      <c r="AD89" s="517"/>
      <c r="AE89" s="517"/>
      <c r="AF89" s="517"/>
      <c r="AG89" s="517"/>
      <c r="AH89" s="517"/>
      <c r="AI89" s="517"/>
      <c r="AJ89" s="517"/>
      <c r="AK89" s="517"/>
      <c r="AL89" s="517"/>
      <c r="AM89" s="517"/>
      <c r="AN89" s="517"/>
      <c r="AO89" s="517"/>
      <c r="AP89" s="517"/>
    </row>
    <row r="90" spans="1:42">
      <c r="A90" s="518" t="s">
        <v>807</v>
      </c>
      <c r="B90" s="518">
        <v>4081</v>
      </c>
      <c r="C90" s="518">
        <v>4103</v>
      </c>
      <c r="D90" s="518">
        <v>4291</v>
      </c>
      <c r="E90" s="518">
        <v>4654</v>
      </c>
      <c r="F90" s="518">
        <v>5127</v>
      </c>
      <c r="G90" s="518">
        <v>5586</v>
      </c>
      <c r="H90" s="518">
        <v>5964</v>
      </c>
      <c r="I90" s="518">
        <v>6411</v>
      </c>
      <c r="J90" s="518">
        <v>6673</v>
      </c>
      <c r="K90" s="518">
        <v>6676</v>
      </c>
      <c r="L90" s="518">
        <v>6764</v>
      </c>
      <c r="M90" s="518">
        <v>6988</v>
      </c>
      <c r="N90" s="518">
        <v>7106</v>
      </c>
      <c r="O90" s="518">
        <v>7354</v>
      </c>
      <c r="P90" s="518">
        <v>7764</v>
      </c>
      <c r="Q90" s="518">
        <v>8138</v>
      </c>
      <c r="R90" s="518">
        <v>8398</v>
      </c>
      <c r="AA90" s="517"/>
      <c r="AB90" s="517"/>
      <c r="AC90" s="517"/>
      <c r="AD90" s="517"/>
      <c r="AE90" s="517"/>
      <c r="AF90" s="517"/>
      <c r="AG90" s="517"/>
      <c r="AH90" s="517"/>
      <c r="AI90" s="517"/>
      <c r="AJ90" s="517"/>
      <c r="AK90" s="517"/>
      <c r="AL90" s="517"/>
      <c r="AM90" s="517"/>
      <c r="AN90" s="517"/>
      <c r="AO90" s="517"/>
      <c r="AP90" s="517"/>
    </row>
    <row r="91" spans="1:42">
      <c r="A91" s="518" t="s">
        <v>809</v>
      </c>
      <c r="B91" s="518">
        <v>6286</v>
      </c>
      <c r="C91" s="518">
        <v>5762</v>
      </c>
      <c r="D91" s="518">
        <v>5171</v>
      </c>
      <c r="E91" s="518">
        <v>4640</v>
      </c>
      <c r="F91" s="518">
        <v>4463</v>
      </c>
      <c r="G91" s="518">
        <v>4486</v>
      </c>
      <c r="H91" s="518">
        <v>4515</v>
      </c>
      <c r="I91" s="518">
        <v>4711</v>
      </c>
      <c r="J91" s="518">
        <v>5081</v>
      </c>
      <c r="K91" s="518">
        <v>5561</v>
      </c>
      <c r="L91" s="518">
        <v>6027</v>
      </c>
      <c r="M91" s="518">
        <v>6413</v>
      </c>
      <c r="N91" s="518">
        <v>6867</v>
      </c>
      <c r="O91" s="518">
        <v>7137</v>
      </c>
      <c r="P91" s="518">
        <v>7148</v>
      </c>
      <c r="Q91" s="518">
        <v>7244</v>
      </c>
      <c r="R91" s="518">
        <v>7477</v>
      </c>
      <c r="AA91" s="517"/>
      <c r="AB91" s="517"/>
      <c r="AC91" s="517"/>
      <c r="AD91" s="517"/>
      <c r="AE91" s="517"/>
      <c r="AF91" s="517"/>
      <c r="AG91" s="517"/>
      <c r="AH91" s="517"/>
      <c r="AI91" s="517"/>
      <c r="AJ91" s="517"/>
      <c r="AK91" s="517"/>
      <c r="AL91" s="517"/>
      <c r="AM91" s="517"/>
      <c r="AN91" s="517"/>
      <c r="AO91" s="517"/>
      <c r="AP91" s="517"/>
    </row>
    <row r="92" spans="1:42">
      <c r="A92" s="518" t="s">
        <v>811</v>
      </c>
      <c r="B92" s="518">
        <v>8038</v>
      </c>
      <c r="C92" s="518">
        <v>8098</v>
      </c>
      <c r="D92" s="518">
        <v>8141</v>
      </c>
      <c r="E92" s="518">
        <v>8135</v>
      </c>
      <c r="F92" s="518">
        <v>7684</v>
      </c>
      <c r="G92" s="518">
        <v>7041</v>
      </c>
      <c r="H92" s="518">
        <v>6532</v>
      </c>
      <c r="I92" s="518">
        <v>5955</v>
      </c>
      <c r="J92" s="518">
        <v>5439</v>
      </c>
      <c r="K92" s="518">
        <v>5276</v>
      </c>
      <c r="L92" s="518">
        <v>5314</v>
      </c>
      <c r="M92" s="518">
        <v>5357</v>
      </c>
      <c r="N92" s="518">
        <v>5567</v>
      </c>
      <c r="O92" s="518">
        <v>5952</v>
      </c>
      <c r="P92" s="518">
        <v>6446</v>
      </c>
      <c r="Q92" s="518">
        <v>6928</v>
      </c>
      <c r="R92" s="518">
        <v>7328</v>
      </c>
      <c r="AA92" s="517"/>
      <c r="AB92" s="517"/>
      <c r="AC92" s="517"/>
      <c r="AD92" s="517"/>
      <c r="AE92" s="517"/>
      <c r="AF92" s="517"/>
      <c r="AG92" s="517"/>
      <c r="AH92" s="517"/>
      <c r="AI92" s="517"/>
      <c r="AJ92" s="517"/>
      <c r="AK92" s="517"/>
      <c r="AL92" s="517"/>
      <c r="AM92" s="517"/>
      <c r="AN92" s="517"/>
      <c r="AO92" s="517"/>
      <c r="AP92" s="517"/>
    </row>
    <row r="93" spans="1:42">
      <c r="A93" s="518" t="s">
        <v>813</v>
      </c>
      <c r="B93" s="518">
        <v>8005</v>
      </c>
      <c r="C93" s="518">
        <v>8145</v>
      </c>
      <c r="D93" s="518">
        <v>8323</v>
      </c>
      <c r="E93" s="518">
        <v>8397</v>
      </c>
      <c r="F93" s="518">
        <v>8663</v>
      </c>
      <c r="G93" s="518">
        <v>8924</v>
      </c>
      <c r="H93" s="518">
        <v>9000</v>
      </c>
      <c r="I93" s="518">
        <v>9059</v>
      </c>
      <c r="J93" s="518">
        <v>9069</v>
      </c>
      <c r="K93" s="518">
        <v>8635</v>
      </c>
      <c r="L93" s="518">
        <v>8011</v>
      </c>
      <c r="M93" s="518">
        <v>7520</v>
      </c>
      <c r="N93" s="518">
        <v>6962</v>
      </c>
      <c r="O93" s="518">
        <v>6464</v>
      </c>
      <c r="P93" s="518">
        <v>6320</v>
      </c>
      <c r="Q93" s="518">
        <v>6375</v>
      </c>
      <c r="R93" s="518">
        <v>6437</v>
      </c>
      <c r="AA93" s="517"/>
      <c r="AB93" s="517"/>
      <c r="AC93" s="517"/>
      <c r="AD93" s="517"/>
      <c r="AE93" s="517"/>
      <c r="AF93" s="517"/>
      <c r="AG93" s="517"/>
      <c r="AH93" s="517"/>
      <c r="AI93" s="517"/>
      <c r="AJ93" s="517"/>
      <c r="AK93" s="517"/>
      <c r="AL93" s="517"/>
      <c r="AM93" s="517"/>
      <c r="AN93" s="517"/>
      <c r="AO93" s="517"/>
      <c r="AP93" s="517"/>
    </row>
    <row r="94" spans="1:42">
      <c r="A94" s="518" t="s">
        <v>815</v>
      </c>
      <c r="B94" s="518">
        <v>6522</v>
      </c>
      <c r="C94" s="518">
        <v>7140</v>
      </c>
      <c r="D94" s="518">
        <v>7672</v>
      </c>
      <c r="E94" s="518">
        <v>8076</v>
      </c>
      <c r="F94" s="518">
        <v>8593</v>
      </c>
      <c r="G94" s="518">
        <v>8776</v>
      </c>
      <c r="H94" s="518">
        <v>8930</v>
      </c>
      <c r="I94" s="518">
        <v>9123</v>
      </c>
      <c r="J94" s="518">
        <v>9211</v>
      </c>
      <c r="K94" s="518">
        <v>9491</v>
      </c>
      <c r="L94" s="518">
        <v>9766</v>
      </c>
      <c r="M94" s="518">
        <v>9857</v>
      </c>
      <c r="N94" s="518">
        <v>9932</v>
      </c>
      <c r="O94" s="518">
        <v>9958</v>
      </c>
      <c r="P94" s="518">
        <v>9541</v>
      </c>
      <c r="Q94" s="518">
        <v>8934</v>
      </c>
      <c r="R94" s="518">
        <v>8460</v>
      </c>
      <c r="AA94" s="517"/>
      <c r="AB94" s="517"/>
      <c r="AC94" s="517"/>
      <c r="AD94" s="517"/>
      <c r="AE94" s="517"/>
      <c r="AF94" s="517"/>
      <c r="AG94" s="517"/>
      <c r="AH94" s="517"/>
      <c r="AI94" s="517"/>
      <c r="AJ94" s="517"/>
      <c r="AK94" s="517"/>
      <c r="AL94" s="517"/>
      <c r="AM94" s="517"/>
      <c r="AN94" s="517"/>
      <c r="AO94" s="517"/>
      <c r="AP94" s="517"/>
    </row>
    <row r="95" spans="1:42">
      <c r="A95" s="507" t="s">
        <v>817</v>
      </c>
      <c r="B95" s="518">
        <v>4927</v>
      </c>
      <c r="C95" s="518">
        <v>5272</v>
      </c>
      <c r="D95" s="518">
        <v>5566</v>
      </c>
      <c r="E95" s="518">
        <v>6075</v>
      </c>
      <c r="F95" s="518">
        <v>6548</v>
      </c>
      <c r="G95" s="518">
        <v>7106</v>
      </c>
      <c r="H95" s="518">
        <v>7733</v>
      </c>
      <c r="I95" s="518">
        <v>8275</v>
      </c>
      <c r="J95" s="518">
        <v>8689</v>
      </c>
      <c r="K95" s="518">
        <v>9216</v>
      </c>
      <c r="L95" s="518">
        <v>9411</v>
      </c>
      <c r="M95" s="518">
        <v>9577</v>
      </c>
      <c r="N95" s="518">
        <v>9781</v>
      </c>
      <c r="O95" s="518">
        <v>9881</v>
      </c>
      <c r="P95" s="518">
        <v>10173</v>
      </c>
      <c r="Q95" s="518">
        <v>10460</v>
      </c>
      <c r="R95" s="518">
        <v>10564</v>
      </c>
      <c r="AA95" s="517"/>
      <c r="AB95" s="517"/>
      <c r="AC95" s="517"/>
      <c r="AD95" s="517"/>
      <c r="AE95" s="517"/>
      <c r="AF95" s="517"/>
      <c r="AG95" s="517"/>
      <c r="AH95" s="517"/>
      <c r="AI95" s="517"/>
      <c r="AJ95" s="517"/>
      <c r="AK95" s="517"/>
      <c r="AL95" s="517"/>
      <c r="AM95" s="517"/>
      <c r="AN95" s="517"/>
      <c r="AO95" s="517"/>
      <c r="AP95" s="517"/>
    </row>
    <row r="96" spans="1:42">
      <c r="A96" s="507" t="s">
        <v>819</v>
      </c>
      <c r="B96" s="518">
        <v>4037</v>
      </c>
      <c r="C96" s="518">
        <v>4288</v>
      </c>
      <c r="D96" s="518">
        <v>4649</v>
      </c>
      <c r="E96" s="518">
        <v>4861</v>
      </c>
      <c r="F96" s="518">
        <v>5054</v>
      </c>
      <c r="G96" s="518">
        <v>5373</v>
      </c>
      <c r="H96" s="518">
        <v>5726</v>
      </c>
      <c r="I96" s="518">
        <v>6027</v>
      </c>
      <c r="J96" s="518">
        <v>6543</v>
      </c>
      <c r="K96" s="518">
        <v>7023</v>
      </c>
      <c r="L96" s="518">
        <v>7588</v>
      </c>
      <c r="M96" s="518">
        <v>8222</v>
      </c>
      <c r="N96" s="518">
        <v>8771</v>
      </c>
      <c r="O96" s="518">
        <v>9193</v>
      </c>
      <c r="P96" s="518">
        <v>9727</v>
      </c>
      <c r="Q96" s="518">
        <v>9931</v>
      </c>
      <c r="R96" s="518">
        <v>10108</v>
      </c>
      <c r="AA96" s="517"/>
      <c r="AB96" s="517"/>
      <c r="AC96" s="517"/>
      <c r="AD96" s="517"/>
      <c r="AE96" s="517"/>
      <c r="AF96" s="517"/>
      <c r="AG96" s="517"/>
      <c r="AH96" s="517"/>
      <c r="AI96" s="517"/>
      <c r="AJ96" s="517"/>
      <c r="AK96" s="517"/>
      <c r="AL96" s="517"/>
      <c r="AM96" s="517"/>
      <c r="AN96" s="517"/>
      <c r="AO96" s="517"/>
      <c r="AP96" s="517"/>
    </row>
    <row r="97" spans="1:42">
      <c r="A97" s="507" t="s">
        <v>821</v>
      </c>
      <c r="B97" s="518">
        <v>3408</v>
      </c>
      <c r="C97" s="518">
        <v>3532</v>
      </c>
      <c r="D97" s="518">
        <v>3787</v>
      </c>
      <c r="E97" s="518">
        <v>4074</v>
      </c>
      <c r="F97" s="518">
        <v>4199</v>
      </c>
      <c r="G97" s="518">
        <v>4384</v>
      </c>
      <c r="H97" s="518">
        <v>4641</v>
      </c>
      <c r="I97" s="518">
        <v>5007</v>
      </c>
      <c r="J97" s="518">
        <v>5225</v>
      </c>
      <c r="K97" s="518">
        <v>5423</v>
      </c>
      <c r="L97" s="518">
        <v>5748</v>
      </c>
      <c r="M97" s="518">
        <v>6107</v>
      </c>
      <c r="N97" s="518">
        <v>6414</v>
      </c>
      <c r="O97" s="518">
        <v>6935</v>
      </c>
      <c r="P97" s="518">
        <v>7419</v>
      </c>
      <c r="Q97" s="518">
        <v>7989</v>
      </c>
      <c r="R97" s="518">
        <v>8628</v>
      </c>
      <c r="AA97" s="517"/>
      <c r="AB97" s="517"/>
      <c r="AC97" s="517"/>
      <c r="AD97" s="517"/>
      <c r="AE97" s="517"/>
      <c r="AF97" s="517"/>
      <c r="AG97" s="517"/>
      <c r="AH97" s="517"/>
      <c r="AI97" s="517"/>
      <c r="AJ97" s="517"/>
      <c r="AK97" s="517"/>
      <c r="AL97" s="517"/>
      <c r="AM97" s="517"/>
      <c r="AN97" s="517"/>
      <c r="AO97" s="517"/>
      <c r="AP97" s="517"/>
    </row>
    <row r="98" spans="1:42">
      <c r="A98" s="507" t="s">
        <v>823</v>
      </c>
      <c r="B98" s="518">
        <v>2723</v>
      </c>
      <c r="C98" s="518">
        <v>2980</v>
      </c>
      <c r="D98" s="518">
        <v>3029</v>
      </c>
      <c r="E98" s="518">
        <v>3170</v>
      </c>
      <c r="F98" s="518">
        <v>3371</v>
      </c>
      <c r="G98" s="518">
        <v>3647</v>
      </c>
      <c r="H98" s="518">
        <v>3775</v>
      </c>
      <c r="I98" s="518">
        <v>4033</v>
      </c>
      <c r="J98" s="518">
        <v>4322</v>
      </c>
      <c r="K98" s="518">
        <v>4451</v>
      </c>
      <c r="L98" s="518">
        <v>4641</v>
      </c>
      <c r="M98" s="518">
        <v>4901</v>
      </c>
      <c r="N98" s="518">
        <v>5269</v>
      </c>
      <c r="O98" s="518">
        <v>5492</v>
      </c>
      <c r="P98" s="518">
        <v>5694</v>
      </c>
      <c r="Q98" s="518">
        <v>6022</v>
      </c>
      <c r="R98" s="518">
        <v>6383</v>
      </c>
      <c r="AA98" s="517"/>
      <c r="AB98" s="517"/>
      <c r="AC98" s="517"/>
      <c r="AD98" s="517"/>
      <c r="AE98" s="517"/>
      <c r="AF98" s="517"/>
      <c r="AG98" s="517"/>
      <c r="AH98" s="517"/>
      <c r="AI98" s="517"/>
      <c r="AJ98" s="517"/>
      <c r="AK98" s="517"/>
      <c r="AL98" s="517"/>
      <c r="AM98" s="517"/>
      <c r="AN98" s="517"/>
      <c r="AO98" s="517"/>
      <c r="AP98" s="517"/>
    </row>
    <row r="99" spans="1:42">
      <c r="A99" s="507" t="s">
        <v>825</v>
      </c>
      <c r="B99" s="518">
        <v>1923</v>
      </c>
      <c r="C99" s="518">
        <v>2107</v>
      </c>
      <c r="D99" s="518">
        <v>2342</v>
      </c>
      <c r="E99" s="518">
        <v>2556</v>
      </c>
      <c r="F99" s="518">
        <v>2766</v>
      </c>
      <c r="G99" s="518">
        <v>2860</v>
      </c>
      <c r="H99" s="518">
        <v>3115</v>
      </c>
      <c r="I99" s="518">
        <v>3169</v>
      </c>
      <c r="J99" s="518">
        <v>3311</v>
      </c>
      <c r="K99" s="518">
        <v>3513</v>
      </c>
      <c r="L99" s="518">
        <v>3786</v>
      </c>
      <c r="M99" s="518">
        <v>3919</v>
      </c>
      <c r="N99" s="518">
        <v>4175</v>
      </c>
      <c r="O99" s="518">
        <v>4463</v>
      </c>
      <c r="P99" s="518">
        <v>4594</v>
      </c>
      <c r="Q99" s="518">
        <v>4787</v>
      </c>
      <c r="R99" s="518">
        <v>5048</v>
      </c>
      <c r="AA99" s="517"/>
      <c r="AB99" s="517"/>
      <c r="AC99" s="517"/>
      <c r="AD99" s="517"/>
      <c r="AE99" s="517"/>
      <c r="AF99" s="517"/>
      <c r="AG99" s="517"/>
      <c r="AH99" s="517"/>
      <c r="AI99" s="517"/>
      <c r="AJ99" s="517"/>
      <c r="AK99" s="517"/>
      <c r="AL99" s="517"/>
      <c r="AM99" s="517"/>
      <c r="AN99" s="517"/>
      <c r="AO99" s="517"/>
      <c r="AP99" s="517"/>
    </row>
    <row r="100" spans="1:42">
      <c r="A100" s="507" t="s">
        <v>827</v>
      </c>
      <c r="B100" s="518">
        <v>1127</v>
      </c>
      <c r="C100" s="518">
        <v>1235</v>
      </c>
      <c r="D100" s="518">
        <v>1394</v>
      </c>
      <c r="E100" s="518">
        <v>1569</v>
      </c>
      <c r="F100" s="518">
        <v>1721</v>
      </c>
      <c r="G100" s="518">
        <v>1959</v>
      </c>
      <c r="H100" s="518">
        <v>2137</v>
      </c>
      <c r="I100" s="518">
        <v>2365</v>
      </c>
      <c r="J100" s="518">
        <v>2573</v>
      </c>
      <c r="K100" s="518">
        <v>2775</v>
      </c>
      <c r="L100" s="518">
        <v>2870</v>
      </c>
      <c r="M100" s="518">
        <v>3118</v>
      </c>
      <c r="N100" s="518">
        <v>3175</v>
      </c>
      <c r="O100" s="518">
        <v>3317</v>
      </c>
      <c r="P100" s="518">
        <v>3515</v>
      </c>
      <c r="Q100" s="518">
        <v>3782</v>
      </c>
      <c r="R100" s="518">
        <v>3916</v>
      </c>
      <c r="AA100" s="517"/>
      <c r="AB100" s="517"/>
      <c r="AC100" s="517"/>
      <c r="AD100" s="517"/>
      <c r="AE100" s="517"/>
      <c r="AF100" s="517"/>
      <c r="AG100" s="517"/>
      <c r="AH100" s="517"/>
      <c r="AI100" s="517"/>
      <c r="AJ100" s="517"/>
      <c r="AK100" s="517"/>
      <c r="AL100" s="517"/>
      <c r="AM100" s="517"/>
      <c r="AN100" s="517"/>
      <c r="AO100" s="517"/>
      <c r="AP100" s="517"/>
    </row>
    <row r="101" spans="1:42">
      <c r="A101" s="507" t="s">
        <v>829</v>
      </c>
      <c r="B101" s="518">
        <v>760</v>
      </c>
      <c r="C101" s="518">
        <v>848</v>
      </c>
      <c r="D101" s="518">
        <v>927</v>
      </c>
      <c r="E101" s="518">
        <v>959</v>
      </c>
      <c r="F101" s="518">
        <v>1047</v>
      </c>
      <c r="G101" s="518">
        <v>1102</v>
      </c>
      <c r="H101" s="518">
        <v>1205</v>
      </c>
      <c r="I101" s="518">
        <v>1354</v>
      </c>
      <c r="J101" s="518">
        <v>1517</v>
      </c>
      <c r="K101" s="518">
        <v>1659</v>
      </c>
      <c r="L101" s="518">
        <v>1882</v>
      </c>
      <c r="M101" s="518">
        <v>2050</v>
      </c>
      <c r="N101" s="518">
        <v>2266</v>
      </c>
      <c r="O101" s="518">
        <v>2461</v>
      </c>
      <c r="P101" s="518">
        <v>2651</v>
      </c>
      <c r="Q101" s="518">
        <v>2744</v>
      </c>
      <c r="R101" s="518">
        <v>2980</v>
      </c>
      <c r="AA101" s="517"/>
      <c r="AB101" s="517"/>
      <c r="AC101" s="517"/>
      <c r="AD101" s="517"/>
      <c r="AE101" s="517"/>
      <c r="AF101" s="517"/>
      <c r="AG101" s="517"/>
      <c r="AH101" s="517"/>
      <c r="AI101" s="517"/>
      <c r="AJ101" s="517"/>
      <c r="AK101" s="517"/>
      <c r="AL101" s="517"/>
      <c r="AM101" s="517"/>
      <c r="AN101" s="517"/>
      <c r="AO101" s="517"/>
      <c r="AP101" s="517"/>
    </row>
    <row r="102" spans="1:42">
      <c r="A102" s="507" t="s">
        <v>831</v>
      </c>
      <c r="B102" s="518">
        <v>621</v>
      </c>
      <c r="C102" s="518">
        <v>639</v>
      </c>
      <c r="D102" s="518">
        <v>609</v>
      </c>
      <c r="E102" s="518">
        <v>629</v>
      </c>
      <c r="F102" s="518">
        <v>642</v>
      </c>
      <c r="G102" s="518">
        <v>709</v>
      </c>
      <c r="H102" s="518">
        <v>788</v>
      </c>
      <c r="I102" s="518">
        <v>858</v>
      </c>
      <c r="J102" s="518">
        <v>889</v>
      </c>
      <c r="K102" s="518">
        <v>966</v>
      </c>
      <c r="L102" s="518">
        <v>1018</v>
      </c>
      <c r="M102" s="518">
        <v>1113</v>
      </c>
      <c r="N102" s="518">
        <v>1248</v>
      </c>
      <c r="O102" s="518">
        <v>1395</v>
      </c>
      <c r="P102" s="518">
        <v>1522</v>
      </c>
      <c r="Q102" s="518">
        <v>1723</v>
      </c>
      <c r="R102" s="518">
        <v>1877</v>
      </c>
      <c r="AA102" s="517"/>
      <c r="AB102" s="517"/>
      <c r="AC102" s="517"/>
      <c r="AD102" s="517"/>
      <c r="AE102" s="517"/>
      <c r="AF102" s="517"/>
      <c r="AG102" s="517"/>
      <c r="AH102" s="517"/>
      <c r="AI102" s="517"/>
      <c r="AJ102" s="517"/>
      <c r="AK102" s="517"/>
      <c r="AL102" s="517"/>
      <c r="AM102" s="517"/>
      <c r="AN102" s="517"/>
      <c r="AO102" s="517"/>
      <c r="AP102" s="517"/>
    </row>
    <row r="103" spans="1:42">
      <c r="A103" s="507" t="s">
        <v>833</v>
      </c>
      <c r="B103" s="518">
        <v>407</v>
      </c>
      <c r="C103" s="518">
        <v>416</v>
      </c>
      <c r="D103" s="518">
        <v>470</v>
      </c>
      <c r="E103" s="518">
        <v>515</v>
      </c>
      <c r="F103" s="518">
        <v>527</v>
      </c>
      <c r="G103" s="518">
        <v>528</v>
      </c>
      <c r="H103" s="518">
        <v>543</v>
      </c>
      <c r="I103" s="518">
        <v>522</v>
      </c>
      <c r="J103" s="518">
        <v>543</v>
      </c>
      <c r="K103" s="518">
        <v>555</v>
      </c>
      <c r="L103" s="518">
        <v>612</v>
      </c>
      <c r="M103" s="518">
        <v>679</v>
      </c>
      <c r="N103" s="518">
        <v>738</v>
      </c>
      <c r="O103" s="518">
        <v>766</v>
      </c>
      <c r="P103" s="518">
        <v>831</v>
      </c>
      <c r="Q103" s="518">
        <v>878</v>
      </c>
      <c r="R103" s="518">
        <v>961</v>
      </c>
      <c r="AA103" s="517"/>
      <c r="AB103" s="517"/>
      <c r="AC103" s="517"/>
      <c r="AD103" s="517"/>
      <c r="AE103" s="517"/>
      <c r="AF103" s="517"/>
      <c r="AG103" s="517"/>
      <c r="AH103" s="517"/>
      <c r="AI103" s="517"/>
      <c r="AJ103" s="517"/>
      <c r="AK103" s="517"/>
      <c r="AL103" s="517"/>
      <c r="AM103" s="517"/>
      <c r="AN103" s="517"/>
      <c r="AO103" s="517"/>
      <c r="AP103" s="517"/>
    </row>
    <row r="104" spans="1:42">
      <c r="A104" s="521" t="s">
        <v>835</v>
      </c>
      <c r="B104" s="540">
        <v>337</v>
      </c>
      <c r="C104" s="540">
        <v>365</v>
      </c>
      <c r="D104" s="540">
        <v>393</v>
      </c>
      <c r="E104" s="540">
        <v>412</v>
      </c>
      <c r="F104" s="540">
        <v>435</v>
      </c>
      <c r="G104" s="540">
        <v>478</v>
      </c>
      <c r="H104" s="540">
        <v>499</v>
      </c>
      <c r="I104" s="540">
        <v>556</v>
      </c>
      <c r="J104" s="540">
        <v>597</v>
      </c>
      <c r="K104" s="540">
        <v>616</v>
      </c>
      <c r="L104" s="540">
        <v>642</v>
      </c>
      <c r="M104" s="540">
        <v>664</v>
      </c>
      <c r="N104" s="540">
        <v>687</v>
      </c>
      <c r="O104" s="540">
        <v>731</v>
      </c>
      <c r="P104" s="540">
        <v>751</v>
      </c>
      <c r="Q104" s="540">
        <v>813</v>
      </c>
      <c r="R104" s="540">
        <v>877</v>
      </c>
      <c r="AA104" s="517"/>
      <c r="AB104" s="517"/>
      <c r="AC104" s="517"/>
      <c r="AD104" s="517"/>
      <c r="AE104" s="517"/>
      <c r="AF104" s="517"/>
      <c r="AG104" s="517"/>
      <c r="AH104" s="517"/>
      <c r="AI104" s="517"/>
      <c r="AJ104" s="517"/>
      <c r="AK104" s="517"/>
      <c r="AL104" s="517"/>
      <c r="AM104" s="517"/>
      <c r="AN104" s="517"/>
      <c r="AO104" s="517"/>
      <c r="AP104" s="517"/>
    </row>
    <row r="105" spans="1:42">
      <c r="A105" s="507"/>
      <c r="B105" s="518"/>
      <c r="C105" s="518"/>
      <c r="D105" s="518"/>
      <c r="E105" s="518"/>
      <c r="F105" s="518"/>
      <c r="G105" s="518"/>
      <c r="H105" s="518"/>
      <c r="I105" s="518"/>
      <c r="J105" s="518"/>
      <c r="K105" s="518"/>
      <c r="L105" s="518"/>
      <c r="M105" s="518"/>
      <c r="N105" s="518"/>
      <c r="O105" s="518"/>
      <c r="P105" s="518"/>
      <c r="Q105" s="518"/>
      <c r="R105" s="518"/>
      <c r="AA105" s="517"/>
      <c r="AB105" s="517"/>
      <c r="AC105" s="517"/>
      <c r="AD105" s="517"/>
      <c r="AE105" s="517"/>
      <c r="AF105" s="517"/>
      <c r="AG105" s="517"/>
      <c r="AH105" s="517"/>
      <c r="AI105" s="517"/>
      <c r="AJ105" s="517"/>
      <c r="AK105" s="517"/>
      <c r="AL105" s="517"/>
      <c r="AM105" s="517"/>
      <c r="AN105" s="517"/>
      <c r="AO105" s="517"/>
      <c r="AP105" s="517"/>
    </row>
    <row r="106" spans="1:42">
      <c r="A106" s="536"/>
      <c r="B106" s="518"/>
      <c r="C106" s="518"/>
      <c r="D106" s="518"/>
      <c r="E106" s="518"/>
      <c r="F106" s="518"/>
      <c r="G106" s="518"/>
      <c r="H106" s="518"/>
      <c r="I106" s="518"/>
      <c r="J106" s="518"/>
      <c r="K106" s="518"/>
      <c r="L106" s="518"/>
      <c r="M106" s="518"/>
      <c r="N106" s="518"/>
      <c r="O106" s="518"/>
      <c r="P106" s="518"/>
      <c r="Q106" s="518"/>
      <c r="R106" s="518"/>
      <c r="AA106" s="517"/>
      <c r="AB106" s="517"/>
      <c r="AC106" s="517"/>
      <c r="AD106" s="517"/>
      <c r="AE106" s="517"/>
      <c r="AF106" s="517"/>
      <c r="AG106" s="517"/>
      <c r="AH106" s="517"/>
      <c r="AI106" s="517"/>
      <c r="AJ106" s="517"/>
      <c r="AK106" s="517"/>
      <c r="AL106" s="517"/>
      <c r="AM106" s="517"/>
      <c r="AN106" s="517"/>
      <c r="AO106" s="517"/>
      <c r="AP106" s="517"/>
    </row>
    <row r="107" spans="1:42">
      <c r="A107" s="541" t="s">
        <v>23</v>
      </c>
      <c r="B107" s="542">
        <f>SUM(B108:B124)</f>
        <v>65481</v>
      </c>
      <c r="C107" s="542">
        <f t="shared" ref="C107:R107" si="8">SUM(C108:C124)</f>
        <v>67770</v>
      </c>
      <c r="D107" s="542">
        <f t="shared" si="8"/>
        <v>70131</v>
      </c>
      <c r="E107" s="542">
        <f t="shared" si="8"/>
        <v>72557</v>
      </c>
      <c r="F107" s="542">
        <f t="shared" si="8"/>
        <v>75036</v>
      </c>
      <c r="G107" s="542">
        <f t="shared" si="8"/>
        <v>77568</v>
      </c>
      <c r="H107" s="542">
        <f t="shared" si="8"/>
        <v>80137</v>
      </c>
      <c r="I107" s="542">
        <f t="shared" si="8"/>
        <v>82746</v>
      </c>
      <c r="J107" s="542">
        <f t="shared" si="8"/>
        <v>85385</v>
      </c>
      <c r="K107" s="542">
        <f t="shared" si="8"/>
        <v>88039</v>
      </c>
      <c r="L107" s="542">
        <f t="shared" si="8"/>
        <v>90706</v>
      </c>
      <c r="M107" s="542">
        <f t="shared" si="8"/>
        <v>93376</v>
      </c>
      <c r="N107" s="542">
        <f t="shared" si="8"/>
        <v>96039</v>
      </c>
      <c r="O107" s="542">
        <f t="shared" si="8"/>
        <v>98709</v>
      </c>
      <c r="P107" s="542">
        <f t="shared" si="8"/>
        <v>101374</v>
      </c>
      <c r="Q107" s="542">
        <f t="shared" si="8"/>
        <v>104045</v>
      </c>
      <c r="R107" s="542">
        <f t="shared" si="8"/>
        <v>106714</v>
      </c>
      <c r="AA107" s="517"/>
      <c r="AB107" s="517"/>
      <c r="AC107" s="517"/>
      <c r="AD107" s="517"/>
      <c r="AE107" s="517"/>
      <c r="AF107" s="517"/>
      <c r="AG107" s="517"/>
      <c r="AH107" s="517"/>
      <c r="AI107" s="517"/>
      <c r="AJ107" s="517"/>
      <c r="AK107" s="517"/>
      <c r="AL107" s="517"/>
      <c r="AM107" s="517"/>
      <c r="AN107" s="517"/>
      <c r="AO107" s="517"/>
      <c r="AP107" s="517"/>
    </row>
    <row r="108" spans="1:42">
      <c r="A108" s="543" t="s">
        <v>803</v>
      </c>
      <c r="B108" s="518">
        <v>5940</v>
      </c>
      <c r="C108" s="518">
        <v>6015</v>
      </c>
      <c r="D108" s="518">
        <v>6253</v>
      </c>
      <c r="E108" s="518">
        <v>6521</v>
      </c>
      <c r="F108" s="518">
        <v>6879</v>
      </c>
      <c r="G108" s="518">
        <v>7217</v>
      </c>
      <c r="H108" s="518">
        <v>7452</v>
      </c>
      <c r="I108" s="518">
        <v>7654</v>
      </c>
      <c r="J108" s="518">
        <v>7822</v>
      </c>
      <c r="K108" s="518">
        <v>7951</v>
      </c>
      <c r="L108" s="518">
        <v>8039</v>
      </c>
      <c r="M108" s="518">
        <v>8086</v>
      </c>
      <c r="N108" s="518">
        <v>8096</v>
      </c>
      <c r="O108" s="518">
        <v>8076</v>
      </c>
      <c r="P108" s="518">
        <v>8036</v>
      </c>
      <c r="Q108" s="518">
        <v>7990</v>
      </c>
      <c r="R108" s="518">
        <v>7944</v>
      </c>
      <c r="AA108" s="517"/>
      <c r="AB108" s="517"/>
      <c r="AC108" s="517"/>
      <c r="AD108" s="517"/>
      <c r="AE108" s="517"/>
      <c r="AF108" s="517"/>
      <c r="AG108" s="517"/>
      <c r="AH108" s="517"/>
      <c r="AI108" s="517"/>
      <c r="AJ108" s="517"/>
      <c r="AK108" s="517"/>
      <c r="AL108" s="517"/>
      <c r="AM108" s="517"/>
      <c r="AN108" s="517"/>
      <c r="AO108" s="517"/>
      <c r="AP108" s="517"/>
    </row>
    <row r="109" spans="1:42">
      <c r="A109" s="518" t="s">
        <v>805</v>
      </c>
      <c r="B109" s="518">
        <v>5157</v>
      </c>
      <c r="C109" s="518">
        <v>5632</v>
      </c>
      <c r="D109" s="518">
        <v>5884</v>
      </c>
      <c r="E109" s="518">
        <v>6018</v>
      </c>
      <c r="F109" s="518">
        <v>6034</v>
      </c>
      <c r="G109" s="518">
        <v>6040</v>
      </c>
      <c r="H109" s="518">
        <v>6116</v>
      </c>
      <c r="I109" s="518">
        <v>6355</v>
      </c>
      <c r="J109" s="518">
        <v>6625</v>
      </c>
      <c r="K109" s="518">
        <v>6984</v>
      </c>
      <c r="L109" s="518">
        <v>7324</v>
      </c>
      <c r="M109" s="518">
        <v>7562</v>
      </c>
      <c r="N109" s="518">
        <v>7766</v>
      </c>
      <c r="O109" s="518">
        <v>7937</v>
      </c>
      <c r="P109" s="518">
        <v>8070</v>
      </c>
      <c r="Q109" s="518">
        <v>8161</v>
      </c>
      <c r="R109" s="518">
        <v>8212</v>
      </c>
      <c r="AA109" s="517"/>
      <c r="AB109" s="517"/>
      <c r="AC109" s="517"/>
      <c r="AD109" s="517"/>
      <c r="AE109" s="517"/>
      <c r="AF109" s="517"/>
      <c r="AG109" s="517"/>
      <c r="AH109" s="517"/>
      <c r="AI109" s="517"/>
      <c r="AJ109" s="517"/>
      <c r="AK109" s="517"/>
      <c r="AL109" s="517"/>
      <c r="AM109" s="517"/>
      <c r="AN109" s="517"/>
      <c r="AO109" s="517"/>
      <c r="AP109" s="517"/>
    </row>
    <row r="110" spans="1:42">
      <c r="A110" s="518" t="s">
        <v>807</v>
      </c>
      <c r="B110" s="518">
        <v>3941</v>
      </c>
      <c r="C110" s="518">
        <v>3954</v>
      </c>
      <c r="D110" s="518">
        <v>4151</v>
      </c>
      <c r="E110" s="518">
        <v>4517</v>
      </c>
      <c r="F110" s="518">
        <v>4932</v>
      </c>
      <c r="G110" s="518">
        <v>5354</v>
      </c>
      <c r="H110" s="518">
        <v>5833</v>
      </c>
      <c r="I110" s="518">
        <v>6088</v>
      </c>
      <c r="J110" s="518">
        <v>6225</v>
      </c>
      <c r="K110" s="518">
        <v>6245</v>
      </c>
      <c r="L110" s="518">
        <v>6255</v>
      </c>
      <c r="M110" s="518">
        <v>6335</v>
      </c>
      <c r="N110" s="518">
        <v>6578</v>
      </c>
      <c r="O110" s="518">
        <v>6851</v>
      </c>
      <c r="P110" s="518">
        <v>7215</v>
      </c>
      <c r="Q110" s="518">
        <v>7558</v>
      </c>
      <c r="R110" s="518">
        <v>7800</v>
      </c>
      <c r="AA110" s="517"/>
      <c r="AB110" s="517"/>
      <c r="AC110" s="517"/>
      <c r="AD110" s="517"/>
      <c r="AE110" s="517"/>
      <c r="AF110" s="517"/>
      <c r="AG110" s="517"/>
      <c r="AH110" s="517"/>
      <c r="AI110" s="517"/>
      <c r="AJ110" s="517"/>
      <c r="AK110" s="517"/>
      <c r="AL110" s="517"/>
      <c r="AM110" s="517"/>
      <c r="AN110" s="517"/>
      <c r="AO110" s="517"/>
      <c r="AP110" s="517"/>
    </row>
    <row r="111" spans="1:42">
      <c r="A111" s="518" t="s">
        <v>809</v>
      </c>
      <c r="B111" s="518">
        <v>6798</v>
      </c>
      <c r="C111" s="518">
        <v>6049</v>
      </c>
      <c r="D111" s="518">
        <v>5279</v>
      </c>
      <c r="E111" s="518">
        <v>4535</v>
      </c>
      <c r="F111" s="518">
        <v>4334</v>
      </c>
      <c r="G111" s="518">
        <v>4381</v>
      </c>
      <c r="H111" s="518">
        <v>4402</v>
      </c>
      <c r="I111" s="518">
        <v>4606</v>
      </c>
      <c r="J111" s="518">
        <v>4980</v>
      </c>
      <c r="K111" s="518">
        <v>5402</v>
      </c>
      <c r="L111" s="518">
        <v>5832</v>
      </c>
      <c r="M111" s="518">
        <v>6319</v>
      </c>
      <c r="N111" s="518">
        <v>6583</v>
      </c>
      <c r="O111" s="518">
        <v>6728</v>
      </c>
      <c r="P111" s="518">
        <v>6757</v>
      </c>
      <c r="Q111" s="518">
        <v>6776</v>
      </c>
      <c r="R111" s="518">
        <v>6865</v>
      </c>
      <c r="AA111" s="517"/>
      <c r="AB111" s="517"/>
      <c r="AC111" s="517"/>
      <c r="AD111" s="517"/>
      <c r="AE111" s="517"/>
      <c r="AF111" s="517"/>
      <c r="AG111" s="517"/>
      <c r="AH111" s="517"/>
      <c r="AI111" s="517"/>
      <c r="AJ111" s="517"/>
      <c r="AK111" s="517"/>
      <c r="AL111" s="517"/>
      <c r="AM111" s="517"/>
      <c r="AN111" s="517"/>
      <c r="AO111" s="517"/>
      <c r="AP111" s="517"/>
    </row>
    <row r="112" spans="1:42">
      <c r="A112" s="518" t="s">
        <v>811</v>
      </c>
      <c r="B112" s="518">
        <v>8450</v>
      </c>
      <c r="C112" s="518">
        <v>8719</v>
      </c>
      <c r="D112" s="518">
        <v>8894</v>
      </c>
      <c r="E112" s="518">
        <v>8955</v>
      </c>
      <c r="F112" s="518">
        <v>8442</v>
      </c>
      <c r="G112" s="518">
        <v>7636</v>
      </c>
      <c r="H112" s="518">
        <v>6903</v>
      </c>
      <c r="I112" s="518">
        <v>6148</v>
      </c>
      <c r="J112" s="518">
        <v>5421</v>
      </c>
      <c r="K112" s="518">
        <v>5236</v>
      </c>
      <c r="L112" s="518">
        <v>5298</v>
      </c>
      <c r="M112" s="518">
        <v>5335</v>
      </c>
      <c r="N112" s="518">
        <v>5555</v>
      </c>
      <c r="O112" s="518">
        <v>5945</v>
      </c>
      <c r="P112" s="518">
        <v>6384</v>
      </c>
      <c r="Q112" s="518">
        <v>6831</v>
      </c>
      <c r="R112" s="518">
        <v>7334</v>
      </c>
      <c r="AA112" s="517"/>
      <c r="AB112" s="517"/>
      <c r="AC112" s="517"/>
      <c r="AD112" s="517"/>
      <c r="AE112" s="517"/>
      <c r="AF112" s="517"/>
      <c r="AG112" s="517"/>
      <c r="AH112" s="517"/>
      <c r="AI112" s="517"/>
      <c r="AJ112" s="517"/>
      <c r="AK112" s="517"/>
      <c r="AL112" s="517"/>
      <c r="AM112" s="517"/>
      <c r="AN112" s="517"/>
      <c r="AO112" s="517"/>
      <c r="AP112" s="517"/>
    </row>
    <row r="113" spans="1:42">
      <c r="A113" s="518" t="s">
        <v>813</v>
      </c>
      <c r="B113" s="518">
        <v>8260</v>
      </c>
      <c r="C113" s="518">
        <v>8323</v>
      </c>
      <c r="D113" s="518">
        <v>8497</v>
      </c>
      <c r="E113" s="518">
        <v>8741</v>
      </c>
      <c r="F113" s="518">
        <v>9060</v>
      </c>
      <c r="G113" s="518">
        <v>9401</v>
      </c>
      <c r="H113" s="518">
        <v>9686</v>
      </c>
      <c r="I113" s="518">
        <v>9878</v>
      </c>
      <c r="J113" s="518">
        <v>9956</v>
      </c>
      <c r="K113" s="518">
        <v>9462</v>
      </c>
      <c r="L113" s="518">
        <v>8675</v>
      </c>
      <c r="M113" s="518">
        <v>7961</v>
      </c>
      <c r="N113" s="518">
        <v>7226</v>
      </c>
      <c r="O113" s="518">
        <v>6518</v>
      </c>
      <c r="P113" s="518">
        <v>6353</v>
      </c>
      <c r="Q113" s="518">
        <v>6434</v>
      </c>
      <c r="R113" s="518">
        <v>6491</v>
      </c>
      <c r="AA113" s="517"/>
      <c r="AB113" s="517"/>
      <c r="AC113" s="517"/>
      <c r="AD113" s="517"/>
      <c r="AE113" s="517"/>
      <c r="AF113" s="517"/>
      <c r="AG113" s="517"/>
      <c r="AH113" s="517"/>
      <c r="AI113" s="517"/>
      <c r="AJ113" s="517"/>
      <c r="AK113" s="517"/>
      <c r="AL113" s="517"/>
      <c r="AM113" s="517"/>
      <c r="AN113" s="517"/>
      <c r="AO113" s="517"/>
      <c r="AP113" s="517"/>
    </row>
    <row r="114" spans="1:42">
      <c r="A114" s="518" t="s">
        <v>815</v>
      </c>
      <c r="B114" s="518">
        <v>6785</v>
      </c>
      <c r="C114" s="518">
        <v>7464</v>
      </c>
      <c r="D114" s="518">
        <v>8051</v>
      </c>
      <c r="E114" s="518">
        <v>8303</v>
      </c>
      <c r="F114" s="518">
        <v>8760</v>
      </c>
      <c r="G114" s="518">
        <v>9079</v>
      </c>
      <c r="H114" s="518">
        <v>9156</v>
      </c>
      <c r="I114" s="518">
        <v>9345</v>
      </c>
      <c r="J114" s="518">
        <v>9604</v>
      </c>
      <c r="K114" s="518">
        <v>9938</v>
      </c>
      <c r="L114" s="518">
        <v>10293</v>
      </c>
      <c r="M114" s="518">
        <v>10594</v>
      </c>
      <c r="N114" s="518">
        <v>10802</v>
      </c>
      <c r="O114" s="518">
        <v>10897</v>
      </c>
      <c r="P114" s="518">
        <v>10420</v>
      </c>
      <c r="Q114" s="518">
        <v>9651</v>
      </c>
      <c r="R114" s="518">
        <v>8956</v>
      </c>
      <c r="AA114" s="517"/>
      <c r="AB114" s="517"/>
      <c r="AC114" s="517"/>
      <c r="AD114" s="517"/>
      <c r="AE114" s="517"/>
      <c r="AF114" s="517"/>
      <c r="AG114" s="517"/>
      <c r="AH114" s="517"/>
      <c r="AI114" s="517"/>
      <c r="AJ114" s="517"/>
      <c r="AK114" s="517"/>
      <c r="AL114" s="517"/>
      <c r="AM114" s="517"/>
      <c r="AN114" s="517"/>
      <c r="AO114" s="517"/>
      <c r="AP114" s="517"/>
    </row>
    <row r="115" spans="1:42">
      <c r="A115" s="507" t="s">
        <v>817</v>
      </c>
      <c r="B115" s="518">
        <v>4858</v>
      </c>
      <c r="C115" s="518">
        <v>5292</v>
      </c>
      <c r="D115" s="518">
        <v>5631</v>
      </c>
      <c r="E115" s="518">
        <v>6319</v>
      </c>
      <c r="F115" s="518">
        <v>6804</v>
      </c>
      <c r="G115" s="518">
        <v>7400</v>
      </c>
      <c r="H115" s="518">
        <v>8088</v>
      </c>
      <c r="I115" s="518">
        <v>8686</v>
      </c>
      <c r="J115" s="518">
        <v>8948</v>
      </c>
      <c r="K115" s="518">
        <v>9415</v>
      </c>
      <c r="L115" s="518">
        <v>9746</v>
      </c>
      <c r="M115" s="518">
        <v>9836</v>
      </c>
      <c r="N115" s="518">
        <v>10036</v>
      </c>
      <c r="O115" s="518">
        <v>10307</v>
      </c>
      <c r="P115" s="518">
        <v>10654</v>
      </c>
      <c r="Q115" s="518">
        <v>11022</v>
      </c>
      <c r="R115" s="518">
        <v>11335</v>
      </c>
      <c r="AA115" s="517"/>
      <c r="AB115" s="517"/>
      <c r="AC115" s="517"/>
      <c r="AD115" s="517"/>
      <c r="AE115" s="517"/>
      <c r="AF115" s="517"/>
      <c r="AG115" s="517"/>
      <c r="AH115" s="517"/>
      <c r="AI115" s="517"/>
      <c r="AJ115" s="517"/>
      <c r="AK115" s="517"/>
      <c r="AL115" s="517"/>
      <c r="AM115" s="517"/>
      <c r="AN115" s="517"/>
      <c r="AO115" s="517"/>
      <c r="AP115" s="517"/>
    </row>
    <row r="116" spans="1:42">
      <c r="A116" s="507" t="s">
        <v>819</v>
      </c>
      <c r="B116" s="518">
        <v>3921</v>
      </c>
      <c r="C116" s="518">
        <v>4166</v>
      </c>
      <c r="D116" s="518">
        <v>4455</v>
      </c>
      <c r="E116" s="518">
        <v>4612</v>
      </c>
      <c r="F116" s="518">
        <v>4960</v>
      </c>
      <c r="G116" s="518">
        <v>5311</v>
      </c>
      <c r="H116" s="518">
        <v>5752</v>
      </c>
      <c r="I116" s="518">
        <v>6098</v>
      </c>
      <c r="J116" s="518">
        <v>6792</v>
      </c>
      <c r="K116" s="518">
        <v>7284</v>
      </c>
      <c r="L116" s="518">
        <v>7887</v>
      </c>
      <c r="M116" s="518">
        <v>8582</v>
      </c>
      <c r="N116" s="518">
        <v>9186</v>
      </c>
      <c r="O116" s="518">
        <v>9458</v>
      </c>
      <c r="P116" s="518">
        <v>9933</v>
      </c>
      <c r="Q116" s="518">
        <v>10272</v>
      </c>
      <c r="R116" s="518">
        <v>10372</v>
      </c>
      <c r="AA116" s="517"/>
      <c r="AB116" s="517"/>
      <c r="AC116" s="517"/>
      <c r="AD116" s="517"/>
      <c r="AE116" s="517"/>
      <c r="AF116" s="517"/>
      <c r="AG116" s="517"/>
      <c r="AH116" s="517"/>
      <c r="AI116" s="517"/>
      <c r="AJ116" s="517"/>
      <c r="AK116" s="517"/>
      <c r="AL116" s="517"/>
      <c r="AM116" s="517"/>
      <c r="AN116" s="517"/>
      <c r="AO116" s="517"/>
      <c r="AP116" s="517"/>
    </row>
    <row r="117" spans="1:42">
      <c r="A117" s="507" t="s">
        <v>821</v>
      </c>
      <c r="B117" s="518">
        <v>3325</v>
      </c>
      <c r="C117" s="518">
        <v>3420</v>
      </c>
      <c r="D117" s="518">
        <v>3627</v>
      </c>
      <c r="E117" s="518">
        <v>3987</v>
      </c>
      <c r="F117" s="518">
        <v>4146</v>
      </c>
      <c r="G117" s="518">
        <v>4271</v>
      </c>
      <c r="H117" s="518">
        <v>4521</v>
      </c>
      <c r="I117" s="518">
        <v>4816</v>
      </c>
      <c r="J117" s="518">
        <v>4979</v>
      </c>
      <c r="K117" s="518">
        <v>5332</v>
      </c>
      <c r="L117" s="518">
        <v>5688</v>
      </c>
      <c r="M117" s="518">
        <v>6134</v>
      </c>
      <c r="N117" s="518">
        <v>6486</v>
      </c>
      <c r="O117" s="518">
        <v>7184</v>
      </c>
      <c r="P117" s="518">
        <v>7681</v>
      </c>
      <c r="Q117" s="518">
        <v>8289</v>
      </c>
      <c r="R117" s="518">
        <v>8988</v>
      </c>
      <c r="AA117" s="517"/>
      <c r="AB117" s="517"/>
      <c r="AC117" s="517"/>
      <c r="AD117" s="517"/>
      <c r="AE117" s="517"/>
      <c r="AF117" s="517"/>
      <c r="AG117" s="517"/>
      <c r="AH117" s="517"/>
      <c r="AI117" s="517"/>
      <c r="AJ117" s="517"/>
      <c r="AK117" s="517"/>
      <c r="AL117" s="517"/>
      <c r="AM117" s="517"/>
      <c r="AN117" s="517"/>
      <c r="AO117" s="517"/>
      <c r="AP117" s="517"/>
    </row>
    <row r="118" spans="1:42">
      <c r="A118" s="507" t="s">
        <v>823</v>
      </c>
      <c r="B118" s="518">
        <v>2698</v>
      </c>
      <c r="C118" s="518">
        <v>2946</v>
      </c>
      <c r="D118" s="518">
        <v>3105</v>
      </c>
      <c r="E118" s="518">
        <v>3173</v>
      </c>
      <c r="F118" s="518">
        <v>3340</v>
      </c>
      <c r="G118" s="518">
        <v>3583</v>
      </c>
      <c r="H118" s="518">
        <v>3683</v>
      </c>
      <c r="I118" s="518">
        <v>3894</v>
      </c>
      <c r="J118" s="518">
        <v>4256</v>
      </c>
      <c r="K118" s="518">
        <v>4419</v>
      </c>
      <c r="L118" s="518">
        <v>4549</v>
      </c>
      <c r="M118" s="518">
        <v>4803</v>
      </c>
      <c r="N118" s="518">
        <v>5101</v>
      </c>
      <c r="O118" s="518">
        <v>5270</v>
      </c>
      <c r="P118" s="518">
        <v>5625</v>
      </c>
      <c r="Q118" s="518">
        <v>5985</v>
      </c>
      <c r="R118" s="518">
        <v>6434</v>
      </c>
      <c r="AA118" s="517"/>
      <c r="AB118" s="517"/>
      <c r="AC118" s="517"/>
      <c r="AD118" s="517"/>
      <c r="AE118" s="517"/>
      <c r="AF118" s="517"/>
      <c r="AG118" s="517"/>
      <c r="AH118" s="517"/>
      <c r="AI118" s="517"/>
      <c r="AJ118" s="517"/>
      <c r="AK118" s="517"/>
      <c r="AL118" s="517"/>
      <c r="AM118" s="517"/>
      <c r="AN118" s="517"/>
      <c r="AO118" s="517"/>
      <c r="AP118" s="517"/>
    </row>
    <row r="119" spans="1:42">
      <c r="A119" s="507" t="s">
        <v>825</v>
      </c>
      <c r="B119" s="518">
        <v>2011</v>
      </c>
      <c r="C119" s="518">
        <v>2235</v>
      </c>
      <c r="D119" s="518">
        <v>2434</v>
      </c>
      <c r="E119" s="518">
        <v>2618</v>
      </c>
      <c r="F119" s="518">
        <v>2741</v>
      </c>
      <c r="G119" s="518">
        <v>2864</v>
      </c>
      <c r="H119" s="518">
        <v>3111</v>
      </c>
      <c r="I119" s="518">
        <v>3272</v>
      </c>
      <c r="J119" s="518">
        <v>3344</v>
      </c>
      <c r="K119" s="518">
        <v>3512</v>
      </c>
      <c r="L119" s="518">
        <v>3756</v>
      </c>
      <c r="M119" s="518">
        <v>3860</v>
      </c>
      <c r="N119" s="518">
        <v>4072</v>
      </c>
      <c r="O119" s="518">
        <v>4434</v>
      </c>
      <c r="P119" s="518">
        <v>4598</v>
      </c>
      <c r="Q119" s="518">
        <v>4732</v>
      </c>
      <c r="R119" s="518">
        <v>4988</v>
      </c>
      <c r="AA119" s="517"/>
      <c r="AB119" s="517"/>
      <c r="AC119" s="517"/>
      <c r="AD119" s="517"/>
      <c r="AE119" s="517"/>
      <c r="AF119" s="517"/>
      <c r="AG119" s="517"/>
      <c r="AH119" s="517"/>
      <c r="AI119" s="517"/>
      <c r="AJ119" s="517"/>
      <c r="AK119" s="517"/>
      <c r="AL119" s="517"/>
      <c r="AM119" s="517"/>
      <c r="AN119" s="517"/>
      <c r="AO119" s="517"/>
      <c r="AP119" s="517"/>
    </row>
    <row r="120" spans="1:42">
      <c r="A120" s="507" t="s">
        <v>827</v>
      </c>
      <c r="B120" s="518">
        <v>1026</v>
      </c>
      <c r="C120" s="518">
        <v>1092</v>
      </c>
      <c r="D120" s="518">
        <v>1282</v>
      </c>
      <c r="E120" s="518">
        <v>1536</v>
      </c>
      <c r="F120" s="518">
        <v>1777</v>
      </c>
      <c r="G120" s="518">
        <v>2063</v>
      </c>
      <c r="H120" s="518">
        <v>2281</v>
      </c>
      <c r="I120" s="518">
        <v>2476</v>
      </c>
      <c r="J120" s="518">
        <v>2658</v>
      </c>
      <c r="K120" s="518">
        <v>2779</v>
      </c>
      <c r="L120" s="518">
        <v>2901</v>
      </c>
      <c r="M120" s="518">
        <v>3145</v>
      </c>
      <c r="N120" s="518">
        <v>3305</v>
      </c>
      <c r="O120" s="518">
        <v>3379</v>
      </c>
      <c r="P120" s="518">
        <v>3544</v>
      </c>
      <c r="Q120" s="518">
        <v>3786</v>
      </c>
      <c r="R120" s="518">
        <v>3892</v>
      </c>
      <c r="AA120" s="517"/>
      <c r="AB120" s="517"/>
      <c r="AC120" s="517"/>
      <c r="AD120" s="517"/>
      <c r="AE120" s="517"/>
      <c r="AF120" s="517"/>
      <c r="AG120" s="517"/>
      <c r="AH120" s="517"/>
      <c r="AI120" s="517"/>
      <c r="AJ120" s="517"/>
      <c r="AK120" s="517"/>
      <c r="AL120" s="517"/>
      <c r="AM120" s="517"/>
      <c r="AN120" s="517"/>
      <c r="AO120" s="517"/>
      <c r="AP120" s="517"/>
    </row>
    <row r="121" spans="1:42">
      <c r="A121" s="507" t="s">
        <v>829</v>
      </c>
      <c r="B121" s="518">
        <v>863</v>
      </c>
      <c r="C121" s="518">
        <v>935</v>
      </c>
      <c r="D121" s="518">
        <v>972</v>
      </c>
      <c r="E121" s="518">
        <v>994</v>
      </c>
      <c r="F121" s="518">
        <v>1008</v>
      </c>
      <c r="G121" s="518">
        <v>1025</v>
      </c>
      <c r="H121" s="518">
        <v>1091</v>
      </c>
      <c r="I121" s="518">
        <v>1272</v>
      </c>
      <c r="J121" s="518">
        <v>1514</v>
      </c>
      <c r="K121" s="518">
        <v>1741</v>
      </c>
      <c r="L121" s="518">
        <v>2012</v>
      </c>
      <c r="M121" s="518">
        <v>2219</v>
      </c>
      <c r="N121" s="518">
        <v>2406</v>
      </c>
      <c r="O121" s="518">
        <v>2582</v>
      </c>
      <c r="P121" s="518">
        <v>2698</v>
      </c>
      <c r="Q121" s="518">
        <v>2818</v>
      </c>
      <c r="R121" s="518">
        <v>3053</v>
      </c>
      <c r="AA121" s="517"/>
      <c r="AB121" s="517"/>
      <c r="AC121" s="517"/>
      <c r="AD121" s="517"/>
      <c r="AE121" s="517"/>
      <c r="AF121" s="517"/>
      <c r="AG121" s="517"/>
      <c r="AH121" s="517"/>
      <c r="AI121" s="517"/>
      <c r="AJ121" s="517"/>
      <c r="AK121" s="517"/>
      <c r="AL121" s="517"/>
      <c r="AM121" s="517"/>
      <c r="AN121" s="517"/>
      <c r="AO121" s="517"/>
      <c r="AP121" s="517"/>
    </row>
    <row r="122" spans="1:42">
      <c r="A122" s="507" t="s">
        <v>831</v>
      </c>
      <c r="B122" s="518">
        <v>680</v>
      </c>
      <c r="C122" s="518">
        <v>696</v>
      </c>
      <c r="D122" s="518">
        <v>723</v>
      </c>
      <c r="E122" s="518">
        <v>751</v>
      </c>
      <c r="F122" s="518">
        <v>771</v>
      </c>
      <c r="G122" s="518">
        <v>828</v>
      </c>
      <c r="H122" s="518">
        <v>894</v>
      </c>
      <c r="I122" s="518">
        <v>929</v>
      </c>
      <c r="J122" s="518">
        <v>951</v>
      </c>
      <c r="K122" s="518">
        <v>965</v>
      </c>
      <c r="L122" s="518">
        <v>984</v>
      </c>
      <c r="M122" s="518">
        <v>1047</v>
      </c>
      <c r="N122" s="518">
        <v>1215</v>
      </c>
      <c r="O122" s="518">
        <v>1439</v>
      </c>
      <c r="P122" s="518">
        <v>1646</v>
      </c>
      <c r="Q122" s="518">
        <v>1894</v>
      </c>
      <c r="R122" s="518">
        <v>2083</v>
      </c>
      <c r="AA122" s="517"/>
      <c r="AB122" s="517"/>
      <c r="AC122" s="517"/>
      <c r="AD122" s="517"/>
      <c r="AE122" s="517"/>
      <c r="AF122" s="517"/>
      <c r="AG122" s="517"/>
      <c r="AH122" s="517"/>
      <c r="AI122" s="517"/>
      <c r="AJ122" s="517"/>
      <c r="AK122" s="517"/>
      <c r="AL122" s="517"/>
      <c r="AM122" s="517"/>
      <c r="AN122" s="517"/>
      <c r="AO122" s="517"/>
      <c r="AP122" s="517"/>
    </row>
    <row r="123" spans="1:42">
      <c r="A123" s="507" t="s">
        <v>833</v>
      </c>
      <c r="B123" s="518">
        <v>468</v>
      </c>
      <c r="C123" s="518">
        <v>501</v>
      </c>
      <c r="D123" s="518">
        <v>533</v>
      </c>
      <c r="E123" s="518">
        <v>568</v>
      </c>
      <c r="F123" s="518">
        <v>593</v>
      </c>
      <c r="G123" s="518">
        <v>605</v>
      </c>
      <c r="H123" s="518">
        <v>620</v>
      </c>
      <c r="I123" s="518">
        <v>644</v>
      </c>
      <c r="J123" s="518">
        <v>671</v>
      </c>
      <c r="K123" s="518">
        <v>690</v>
      </c>
      <c r="L123" s="518">
        <v>741</v>
      </c>
      <c r="M123" s="518">
        <v>799</v>
      </c>
      <c r="N123" s="518">
        <v>829</v>
      </c>
      <c r="O123" s="518">
        <v>851</v>
      </c>
      <c r="P123" s="518">
        <v>865</v>
      </c>
      <c r="Q123" s="518">
        <v>885</v>
      </c>
      <c r="R123" s="518">
        <v>944</v>
      </c>
      <c r="AA123" s="517"/>
      <c r="AB123" s="517"/>
      <c r="AC123" s="517"/>
      <c r="AD123" s="517"/>
      <c r="AE123" s="517"/>
      <c r="AF123" s="517"/>
      <c r="AG123" s="517"/>
      <c r="AH123" s="517"/>
      <c r="AI123" s="517"/>
      <c r="AJ123" s="517"/>
      <c r="AK123" s="517"/>
      <c r="AL123" s="517"/>
      <c r="AM123" s="517"/>
      <c r="AN123" s="517"/>
      <c r="AO123" s="517"/>
      <c r="AP123" s="517"/>
    </row>
    <row r="124" spans="1:42">
      <c r="A124" s="521" t="s">
        <v>835</v>
      </c>
      <c r="B124" s="540">
        <v>300</v>
      </c>
      <c r="C124" s="540">
        <v>331</v>
      </c>
      <c r="D124" s="540">
        <v>360</v>
      </c>
      <c r="E124" s="540">
        <v>409</v>
      </c>
      <c r="F124" s="540">
        <v>455</v>
      </c>
      <c r="G124" s="540">
        <v>510</v>
      </c>
      <c r="H124" s="540">
        <v>548</v>
      </c>
      <c r="I124" s="540">
        <v>585</v>
      </c>
      <c r="J124" s="540">
        <v>639</v>
      </c>
      <c r="K124" s="540">
        <v>684</v>
      </c>
      <c r="L124" s="540">
        <v>726</v>
      </c>
      <c r="M124" s="540">
        <v>759</v>
      </c>
      <c r="N124" s="540">
        <v>797</v>
      </c>
      <c r="O124" s="540">
        <v>853</v>
      </c>
      <c r="P124" s="540">
        <v>895</v>
      </c>
      <c r="Q124" s="540">
        <v>961</v>
      </c>
      <c r="R124" s="540">
        <v>1023</v>
      </c>
      <c r="AA124" s="517"/>
      <c r="AB124" s="517"/>
      <c r="AC124" s="517"/>
      <c r="AD124" s="517"/>
      <c r="AE124" s="517"/>
      <c r="AF124" s="517"/>
      <c r="AG124" s="517"/>
      <c r="AH124" s="517"/>
      <c r="AI124" s="517"/>
      <c r="AJ124" s="517"/>
      <c r="AK124" s="517"/>
      <c r="AL124" s="517"/>
      <c r="AM124" s="517"/>
      <c r="AN124" s="517"/>
      <c r="AO124" s="517"/>
      <c r="AP124" s="517"/>
    </row>
    <row r="125" spans="1:42">
      <c r="A125" s="507"/>
      <c r="B125" s="518"/>
      <c r="C125" s="518"/>
      <c r="D125" s="518"/>
      <c r="E125" s="518"/>
      <c r="F125" s="518"/>
      <c r="G125" s="518"/>
      <c r="H125" s="518"/>
      <c r="I125" s="518"/>
      <c r="J125" s="518"/>
      <c r="K125" s="518"/>
      <c r="L125" s="518"/>
      <c r="M125" s="518"/>
      <c r="N125" s="518"/>
      <c r="O125" s="518"/>
      <c r="P125" s="518"/>
      <c r="Q125" s="518"/>
      <c r="R125" s="518"/>
      <c r="AA125" s="517"/>
      <c r="AB125" s="517"/>
      <c r="AC125" s="517"/>
      <c r="AD125" s="517"/>
      <c r="AE125" s="517"/>
      <c r="AF125" s="517"/>
      <c r="AG125" s="517"/>
      <c r="AH125" s="517"/>
      <c r="AI125" s="517"/>
      <c r="AJ125" s="517"/>
      <c r="AK125" s="517"/>
      <c r="AL125" s="517"/>
      <c r="AM125" s="517"/>
      <c r="AN125" s="517"/>
      <c r="AO125" s="517"/>
      <c r="AP125" s="517"/>
    </row>
    <row r="126" spans="1:42" ht="18.75">
      <c r="A126" s="1435" t="s">
        <v>841</v>
      </c>
      <c r="B126" s="1435"/>
      <c r="C126" s="1435"/>
      <c r="D126" s="518"/>
      <c r="E126" s="518"/>
      <c r="F126" s="518"/>
      <c r="G126" s="518"/>
      <c r="H126" s="518"/>
      <c r="I126" s="518"/>
      <c r="J126" s="518"/>
      <c r="K126" s="518"/>
      <c r="L126" s="518"/>
      <c r="M126" s="518"/>
      <c r="N126" s="518"/>
      <c r="O126" s="518"/>
      <c r="P126" s="518"/>
      <c r="Q126" s="518"/>
      <c r="R126" s="538" t="s">
        <v>851</v>
      </c>
      <c r="AA126" s="517"/>
      <c r="AB126" s="517"/>
      <c r="AC126" s="517"/>
      <c r="AD126" s="517"/>
      <c r="AE126" s="517"/>
      <c r="AF126" s="517"/>
      <c r="AG126" s="517"/>
      <c r="AH126" s="517"/>
      <c r="AI126" s="517"/>
      <c r="AJ126" s="517"/>
      <c r="AK126" s="517"/>
      <c r="AL126" s="517"/>
      <c r="AM126" s="517"/>
      <c r="AN126" s="517"/>
      <c r="AO126" s="517"/>
      <c r="AP126" s="517"/>
    </row>
    <row r="127" spans="1:42">
      <c r="A127" s="510" t="s">
        <v>802</v>
      </c>
      <c r="B127" s="511">
        <v>2014</v>
      </c>
      <c r="C127" s="511">
        <v>2015</v>
      </c>
      <c r="D127" s="511">
        <v>2016</v>
      </c>
      <c r="E127" s="511">
        <v>2017</v>
      </c>
      <c r="F127" s="511">
        <v>2018</v>
      </c>
      <c r="G127" s="511">
        <v>2019</v>
      </c>
      <c r="H127" s="511">
        <v>2020</v>
      </c>
      <c r="I127" s="511">
        <v>2021</v>
      </c>
      <c r="J127" s="511">
        <v>2022</v>
      </c>
      <c r="K127" s="511">
        <v>2023</v>
      </c>
      <c r="L127" s="511">
        <v>2024</v>
      </c>
      <c r="M127" s="511">
        <v>2025</v>
      </c>
      <c r="N127" s="511">
        <v>2026</v>
      </c>
      <c r="O127" s="511">
        <v>2027</v>
      </c>
      <c r="P127" s="511">
        <v>2028</v>
      </c>
      <c r="Q127" s="511">
        <v>2029</v>
      </c>
      <c r="R127" s="511">
        <v>2030</v>
      </c>
      <c r="AA127" s="517"/>
      <c r="AB127" s="517"/>
      <c r="AC127" s="517"/>
      <c r="AD127" s="517"/>
      <c r="AE127" s="517"/>
      <c r="AF127" s="517"/>
      <c r="AG127" s="517"/>
      <c r="AH127" s="517"/>
      <c r="AI127" s="517"/>
      <c r="AJ127" s="517"/>
      <c r="AK127" s="517"/>
      <c r="AL127" s="517"/>
      <c r="AM127" s="517"/>
      <c r="AN127" s="517"/>
      <c r="AO127" s="517"/>
      <c r="AP127" s="517"/>
    </row>
    <row r="128" spans="1:42">
      <c r="A128" s="537" t="s">
        <v>21</v>
      </c>
      <c r="B128" s="537">
        <f>SUM(B129:B145)</f>
        <v>37042.417947258786</v>
      </c>
      <c r="C128" s="537">
        <f t="shared" ref="C128:R128" si="9">SUM(C129:C145)</f>
        <v>40938.203050513846</v>
      </c>
      <c r="D128" s="537">
        <f t="shared" si="9"/>
        <v>45243.711449703653</v>
      </c>
      <c r="E128" s="537">
        <f t="shared" si="9"/>
        <v>50002.034120018674</v>
      </c>
      <c r="F128" s="537">
        <f t="shared" si="9"/>
        <v>55260.793954070912</v>
      </c>
      <c r="G128" s="537">
        <f t="shared" si="9"/>
        <v>61072.622387809759</v>
      </c>
      <c r="H128" s="537">
        <f t="shared" si="9"/>
        <v>67495.686153623072</v>
      </c>
      <c r="I128" s="537">
        <f t="shared" si="9"/>
        <v>69204.347583481052</v>
      </c>
      <c r="J128" s="537">
        <f t="shared" si="9"/>
        <v>70956.263983371333</v>
      </c>
      <c r="K128" s="537">
        <f t="shared" si="9"/>
        <v>72752.530358073578</v>
      </c>
      <c r="L128" s="537">
        <f t="shared" si="9"/>
        <v>74594.269432545421</v>
      </c>
      <c r="M128" s="537">
        <f t="shared" si="9"/>
        <v>76482.632353662004</v>
      </c>
      <c r="N128" s="537">
        <f t="shared" si="9"/>
        <v>78418.799409720552</v>
      </c>
      <c r="O128" s="537">
        <f t="shared" si="9"/>
        <v>80403.980768158624</v>
      </c>
      <c r="P128" s="537">
        <f t="shared" si="9"/>
        <v>82439.417231948391</v>
      </c>
      <c r="Q128" s="537">
        <f t="shared" si="9"/>
        <v>84526.381015138861</v>
      </c>
      <c r="R128" s="537">
        <f t="shared" si="9"/>
        <v>86666.176538030879</v>
      </c>
      <c r="AA128" s="517"/>
      <c r="AB128" s="517"/>
      <c r="AC128" s="517"/>
      <c r="AD128" s="517"/>
      <c r="AE128" s="517"/>
      <c r="AF128" s="517"/>
      <c r="AG128" s="517"/>
      <c r="AH128" s="517"/>
      <c r="AI128" s="517"/>
      <c r="AJ128" s="517"/>
      <c r="AK128" s="517"/>
      <c r="AL128" s="517"/>
      <c r="AM128" s="517"/>
      <c r="AN128" s="517"/>
      <c r="AO128" s="517"/>
      <c r="AP128" s="517"/>
    </row>
    <row r="129" spans="1:42">
      <c r="A129" s="518" t="s">
        <v>803</v>
      </c>
      <c r="B129" s="518">
        <v>442.74271021948368</v>
      </c>
      <c r="C129" s="518">
        <v>489.30636752456724</v>
      </c>
      <c r="D129" s="518">
        <v>540.7671674173863</v>
      </c>
      <c r="E129" s="518">
        <v>597.64014687984036</v>
      </c>
      <c r="F129" s="518">
        <v>660.49450980605809</v>
      </c>
      <c r="G129" s="518">
        <v>729.95932378628618</v>
      </c>
      <c r="H129" s="518">
        <v>806.72981602676884</v>
      </c>
      <c r="I129" s="518">
        <v>827.15227855013677</v>
      </c>
      <c r="J129" s="518">
        <v>848.09173817368946</v>
      </c>
      <c r="K129" s="518">
        <v>869.5612827413288</v>
      </c>
      <c r="L129" s="518">
        <v>891.57433141730257</v>
      </c>
      <c r="M129" s="518">
        <v>914.14464307361857</v>
      </c>
      <c r="N129" s="518">
        <v>937.28632488978815</v>
      </c>
      <c r="O129" s="518">
        <v>961.01384117027214</v>
      </c>
      <c r="P129" s="518">
        <v>985.34202238514172</v>
      </c>
      <c r="Q129" s="518">
        <v>1010.2860744396062</v>
      </c>
      <c r="R129" s="518">
        <v>1035.8615881781968</v>
      </c>
      <c r="AA129" s="517"/>
      <c r="AB129" s="517"/>
      <c r="AC129" s="517"/>
      <c r="AD129" s="517"/>
      <c r="AE129" s="517"/>
      <c r="AF129" s="517"/>
      <c r="AG129" s="517"/>
      <c r="AH129" s="517"/>
      <c r="AI129" s="517"/>
      <c r="AJ129" s="517"/>
      <c r="AK129" s="517"/>
      <c r="AL129" s="517"/>
      <c r="AM129" s="517"/>
      <c r="AN129" s="517"/>
      <c r="AO129" s="517"/>
      <c r="AP129" s="517"/>
    </row>
    <row r="130" spans="1:42">
      <c r="A130" s="518" t="s">
        <v>805</v>
      </c>
      <c r="B130" s="518">
        <v>259.2878845629956</v>
      </c>
      <c r="C130" s="518">
        <v>286.55742942837844</v>
      </c>
      <c r="D130" s="518">
        <v>316.69493736275865</v>
      </c>
      <c r="E130" s="518">
        <v>350.00203467510971</v>
      </c>
      <c r="F130" s="518">
        <v>386.81206999023567</v>
      </c>
      <c r="G130" s="518">
        <v>427.49345051385046</v>
      </c>
      <c r="H130" s="518">
        <v>472.45332917571858</v>
      </c>
      <c r="I130" s="518">
        <v>484.41354214596953</v>
      </c>
      <c r="J130" s="518">
        <v>496.67652934906027</v>
      </c>
      <c r="K130" s="518">
        <v>509.24995555118676</v>
      </c>
      <c r="L130" s="518">
        <v>522.14167955302514</v>
      </c>
      <c r="M130" s="518">
        <v>535.35975910173761</v>
      </c>
      <c r="N130" s="518">
        <v>548.9124559273273</v>
      </c>
      <c r="O130" s="518">
        <v>562.80824090648775</v>
      </c>
      <c r="P130" s="518">
        <v>577.05579935717731</v>
      </c>
      <c r="Q130" s="518">
        <v>591.66403646722483</v>
      </c>
      <c r="R130" s="518">
        <v>606.64208286036273</v>
      </c>
      <c r="AA130" s="517"/>
      <c r="AB130" s="517"/>
      <c r="AC130" s="517"/>
      <c r="AD130" s="517"/>
      <c r="AE130" s="517"/>
      <c r="AF130" s="517"/>
      <c r="AG130" s="517"/>
      <c r="AH130" s="517"/>
      <c r="AI130" s="517"/>
      <c r="AJ130" s="517"/>
      <c r="AK130" s="517"/>
      <c r="AL130" s="517"/>
      <c r="AM130" s="517"/>
      <c r="AN130" s="517"/>
      <c r="AO130" s="517"/>
      <c r="AP130" s="517"/>
    </row>
    <row r="131" spans="1:42">
      <c r="A131" s="518" t="s">
        <v>807</v>
      </c>
      <c r="B131" s="518">
        <v>127.88749659387847</v>
      </c>
      <c r="C131" s="518">
        <v>141.33754202105294</v>
      </c>
      <c r="D131" s="518">
        <v>156.20214107396251</v>
      </c>
      <c r="E131" s="518">
        <v>172.630063656093</v>
      </c>
      <c r="F131" s="518">
        <v>190.78572593826181</v>
      </c>
      <c r="G131" s="518">
        <v>210.85083589091772</v>
      </c>
      <c r="H131" s="518">
        <v>233.02621187858324</v>
      </c>
      <c r="I131" s="518">
        <v>238.92529851764067</v>
      </c>
      <c r="J131" s="518">
        <v>244.97372124594989</v>
      </c>
      <c r="K131" s="518">
        <v>251.17526052460897</v>
      </c>
      <c r="L131" s="518">
        <v>257.53379251754427</v>
      </c>
      <c r="M131" s="518">
        <v>264.05329151423916</v>
      </c>
      <c r="N131" s="518">
        <v>270.73783241379431</v>
      </c>
      <c r="O131" s="518">
        <v>277.59159327187211</v>
      </c>
      <c r="P131" s="518">
        <v>284.61885791211779</v>
      </c>
      <c r="Q131" s="518">
        <v>291.82401860368833</v>
      </c>
      <c r="R131" s="518">
        <v>299.21157880656392</v>
      </c>
      <c r="AA131" s="517"/>
      <c r="AB131" s="517"/>
      <c r="AC131" s="517"/>
      <c r="AD131" s="517"/>
      <c r="AE131" s="517"/>
      <c r="AF131" s="517"/>
      <c r="AG131" s="517"/>
      <c r="AH131" s="517"/>
      <c r="AI131" s="517"/>
      <c r="AJ131" s="517"/>
      <c r="AK131" s="517"/>
      <c r="AL131" s="517"/>
      <c r="AM131" s="517"/>
      <c r="AN131" s="517"/>
      <c r="AO131" s="517"/>
      <c r="AP131" s="517"/>
    </row>
    <row r="132" spans="1:42">
      <c r="A132" s="518" t="s">
        <v>809</v>
      </c>
      <c r="B132" s="518">
        <v>770.39628812425474</v>
      </c>
      <c r="C132" s="518">
        <v>851.41957302835385</v>
      </c>
      <c r="D132" s="518">
        <v>940.96415119132178</v>
      </c>
      <c r="E132" s="518">
        <v>1039.9262148483858</v>
      </c>
      <c r="F132" s="518">
        <v>1149.2962095949238</v>
      </c>
      <c r="G132" s="518">
        <v>1270.1687470988841</v>
      </c>
      <c r="H132" s="518">
        <v>1403.7535603422689</v>
      </c>
      <c r="I132" s="518">
        <v>1439.2897509089296</v>
      </c>
      <c r="J132" s="518">
        <v>1475.7255444227644</v>
      </c>
      <c r="K132" s="518">
        <v>1513.0837144408051</v>
      </c>
      <c r="L132" s="518">
        <v>1551.3876110354247</v>
      </c>
      <c r="M132" s="518">
        <v>1590.6611753888922</v>
      </c>
      <c r="N132" s="518">
        <v>1630.9289547573917</v>
      </c>
      <c r="O132" s="518">
        <v>1672.2161178138558</v>
      </c>
      <c r="P132" s="518">
        <v>1714.5484703792063</v>
      </c>
      <c r="Q132" s="518">
        <v>1757.952471551831</v>
      </c>
      <c r="R132" s="518">
        <v>1802.4552502453832</v>
      </c>
      <c r="AA132" s="517"/>
      <c r="AB132" s="517"/>
      <c r="AC132" s="517"/>
      <c r="AD132" s="517"/>
      <c r="AE132" s="517"/>
      <c r="AF132" s="517"/>
      <c r="AG132" s="517"/>
      <c r="AH132" s="517"/>
      <c r="AI132" s="517"/>
      <c r="AJ132" s="517"/>
      <c r="AK132" s="517"/>
      <c r="AL132" s="517"/>
      <c r="AM132" s="517"/>
      <c r="AN132" s="517"/>
      <c r="AO132" s="517"/>
      <c r="AP132" s="517"/>
    </row>
    <row r="133" spans="1:42">
      <c r="A133" s="518" t="s">
        <v>811</v>
      </c>
      <c r="B133" s="518">
        <v>7354.776800140361</v>
      </c>
      <c r="C133" s="518">
        <v>8128.2854284525965</v>
      </c>
      <c r="D133" s="518">
        <v>8983.1446693438647</v>
      </c>
      <c r="E133" s="518">
        <v>9927.9102414251192</v>
      </c>
      <c r="F133" s="518">
        <v>10972.037676088425</v>
      </c>
      <c r="G133" s="518">
        <v>12125.976951643241</v>
      </c>
      <c r="H133" s="518">
        <v>13401.277080211705</v>
      </c>
      <c r="I133" s="518">
        <v>13740.53202467853</v>
      </c>
      <c r="J133" s="518">
        <v>14088.375248953043</v>
      </c>
      <c r="K133" s="518">
        <v>14445.024166373671</v>
      </c>
      <c r="L133" s="518">
        <v>14810.701694123707</v>
      </c>
      <c r="M133" s="518">
        <v>15185.636392561812</v>
      </c>
      <c r="N133" s="518">
        <v>15570.062608079666</v>
      </c>
      <c r="O133" s="518">
        <v>15964.220619576106</v>
      </c>
      <c r="P133" s="518">
        <v>16368.356788639248</v>
      </c>
      <c r="Q133" s="518">
        <v>16782.723713530504</v>
      </c>
      <c r="R133" s="518">
        <v>17207.580387066719</v>
      </c>
      <c r="AA133" s="517"/>
      <c r="AB133" s="517"/>
      <c r="AC133" s="517"/>
      <c r="AD133" s="517"/>
      <c r="AE133" s="517"/>
      <c r="AF133" s="517"/>
      <c r="AG133" s="517"/>
      <c r="AH133" s="517"/>
      <c r="AI133" s="517"/>
      <c r="AJ133" s="517"/>
      <c r="AK133" s="517"/>
      <c r="AL133" s="517"/>
      <c r="AM133" s="517"/>
      <c r="AN133" s="517"/>
      <c r="AO133" s="517"/>
      <c r="AP133" s="517"/>
    </row>
    <row r="134" spans="1:42">
      <c r="A134" s="518" t="s">
        <v>813</v>
      </c>
      <c r="B134" s="518">
        <v>10902.104976097084</v>
      </c>
      <c r="C134" s="518">
        <v>12048.689365390301</v>
      </c>
      <c r="D134" s="518">
        <v>13315.861087556694</v>
      </c>
      <c r="E134" s="518">
        <v>14716.302423102823</v>
      </c>
      <c r="F134" s="518">
        <v>16264.029459619425</v>
      </c>
      <c r="G134" s="518">
        <v>17974.532369496985</v>
      </c>
      <c r="H134" s="518">
        <v>19864.930440777429</v>
      </c>
      <c r="I134" s="518">
        <v>20367.813549095106</v>
      </c>
      <c r="J134" s="518">
        <v>20883.427203909545</v>
      </c>
      <c r="K134" s="518">
        <v>21412.093680539652</v>
      </c>
      <c r="L134" s="518">
        <v>21954.143412742877</v>
      </c>
      <c r="M134" s="518">
        <v>22509.915199247058</v>
      </c>
      <c r="N134" s="518">
        <v>23079.75641551067</v>
      </c>
      <c r="O134" s="518">
        <v>23664.023230843784</v>
      </c>
      <c r="P134" s="518">
        <v>24263.08083102548</v>
      </c>
      <c r="Q134" s="518">
        <v>24877.303646556848</v>
      </c>
      <c r="R134" s="518">
        <v>25507.075586692248</v>
      </c>
      <c r="AA134" s="517"/>
      <c r="AB134" s="517"/>
      <c r="AC134" s="517"/>
      <c r="AD134" s="517"/>
      <c r="AE134" s="517"/>
      <c r="AF134" s="517"/>
      <c r="AG134" s="517"/>
      <c r="AH134" s="517"/>
      <c r="AI134" s="517"/>
      <c r="AJ134" s="517"/>
      <c r="AK134" s="517"/>
      <c r="AL134" s="517"/>
      <c r="AM134" s="517"/>
      <c r="AN134" s="517"/>
      <c r="AO134" s="517"/>
      <c r="AP134" s="517"/>
    </row>
    <row r="135" spans="1:42">
      <c r="A135" s="507" t="s">
        <v>815</v>
      </c>
      <c r="B135" s="518">
        <v>6888.0729305079285</v>
      </c>
      <c r="C135" s="518">
        <v>7612.4978843814652</v>
      </c>
      <c r="D135" s="518">
        <v>8413.1112757307892</v>
      </c>
      <c r="E135" s="518">
        <v>9297.9259124719811</v>
      </c>
      <c r="F135" s="518">
        <v>10275.797316886014</v>
      </c>
      <c r="G135" s="518">
        <v>11356.512354662193</v>
      </c>
      <c r="H135" s="518">
        <v>12550.887185139452</v>
      </c>
      <c r="I135" s="518">
        <v>12868.614406919767</v>
      </c>
      <c r="J135" s="518">
        <v>13194.384931613344</v>
      </c>
      <c r="K135" s="518">
        <v>13528.402376402842</v>
      </c>
      <c r="L135" s="518">
        <v>13870.875513064451</v>
      </c>
      <c r="M135" s="518">
        <v>14222.018398457025</v>
      </c>
      <c r="N135" s="518">
        <v>14582.050508314611</v>
      </c>
      <c r="O135" s="518">
        <v>14951.196874425905</v>
      </c>
      <c r="P135" s="518">
        <v>15329.68822528646</v>
      </c>
      <c r="Q135" s="518">
        <v>15717.761130311505</v>
      </c>
      <c r="R135" s="518">
        <v>16115.658147699523</v>
      </c>
      <c r="AA135" s="517"/>
      <c r="AB135" s="517"/>
      <c r="AC135" s="517"/>
      <c r="AD135" s="517"/>
      <c r="AE135" s="517"/>
      <c r="AF135" s="517"/>
      <c r="AG135" s="517"/>
      <c r="AH135" s="517"/>
      <c r="AI135" s="517"/>
      <c r="AJ135" s="517"/>
      <c r="AK135" s="517"/>
      <c r="AL135" s="517"/>
      <c r="AM135" s="517"/>
      <c r="AN135" s="517"/>
      <c r="AO135" s="517"/>
      <c r="AP135" s="517"/>
    </row>
    <row r="136" spans="1:42">
      <c r="A136" s="507" t="s">
        <v>817</v>
      </c>
      <c r="B136" s="518">
        <v>4457.772631814225</v>
      </c>
      <c r="C136" s="518">
        <v>4926.6006720746236</v>
      </c>
      <c r="D136" s="518">
        <v>5444.7357877488148</v>
      </c>
      <c r="E136" s="518">
        <v>6017.3636492256928</v>
      </c>
      <c r="F136" s="518">
        <v>6650.2153086097896</v>
      </c>
      <c r="G136" s="518">
        <v>7349.624558017008</v>
      </c>
      <c r="H136" s="518">
        <v>8122.5913202949832</v>
      </c>
      <c r="I136" s="518">
        <v>8328.2156985389302</v>
      </c>
      <c r="J136" s="518">
        <v>8539.0454827008834</v>
      </c>
      <c r="K136" s="518">
        <v>8755.212448259037</v>
      </c>
      <c r="L136" s="518">
        <v>8976.8517066036929</v>
      </c>
      <c r="M136" s="518">
        <v>9204.1017894862907</v>
      </c>
      <c r="N136" s="518">
        <v>9437.1047356062481</v>
      </c>
      <c r="O136" s="518">
        <v>9676.0061793897785</v>
      </c>
      <c r="P136" s="518">
        <v>9920.9554420161494</v>
      </c>
      <c r="Q136" s="518">
        <v>10172.105624748276</v>
      </c>
      <c r="R136" s="518">
        <v>10429.613704625999</v>
      </c>
      <c r="AA136" s="517"/>
      <c r="AB136" s="517"/>
      <c r="AC136" s="517"/>
      <c r="AD136" s="517"/>
      <c r="AE136" s="517"/>
      <c r="AF136" s="517"/>
      <c r="AG136" s="517"/>
      <c r="AH136" s="517"/>
      <c r="AI136" s="517"/>
      <c r="AJ136" s="517"/>
      <c r="AK136" s="517"/>
      <c r="AL136" s="517"/>
      <c r="AM136" s="517"/>
      <c r="AN136" s="517"/>
      <c r="AO136" s="517"/>
      <c r="AP136" s="517"/>
    </row>
    <row r="137" spans="1:42">
      <c r="A137" s="507" t="s">
        <v>819</v>
      </c>
      <c r="B137" s="518">
        <v>2750.9170013190965</v>
      </c>
      <c r="C137" s="518">
        <v>3040.2334678977336</v>
      </c>
      <c r="D137" s="518">
        <v>3359.9776128808485</v>
      </c>
      <c r="E137" s="518">
        <v>3713.3495431411502</v>
      </c>
      <c r="F137" s="518">
        <v>4103.8859237290926</v>
      </c>
      <c r="G137" s="518">
        <v>4535.4953740054088</v>
      </c>
      <c r="H137" s="518">
        <v>5012.4975864174112</v>
      </c>
      <c r="I137" s="518">
        <v>5139.3895669459762</v>
      </c>
      <c r="J137" s="518">
        <v>5269.4938332552056</v>
      </c>
      <c r="K137" s="518">
        <v>5402.8917047467949</v>
      </c>
      <c r="L137" s="518">
        <v>5539.6665594328979</v>
      </c>
      <c r="M137" s="518">
        <v>5679.9038860500896</v>
      </c>
      <c r="N137" s="518">
        <v>5823.6913374926198</v>
      </c>
      <c r="O137" s="518">
        <v>5971.1187855983171</v>
      </c>
      <c r="P137" s="518">
        <v>6122.2783773214205</v>
      </c>
      <c r="Q137" s="518">
        <v>6277.2645923274167</v>
      </c>
      <c r="R137" s="518">
        <v>6436.1743020459144</v>
      </c>
      <c r="AA137" s="517"/>
      <c r="AB137" s="517"/>
      <c r="AC137" s="517"/>
      <c r="AD137" s="517"/>
      <c r="AE137" s="517"/>
      <c r="AF137" s="517"/>
      <c r="AG137" s="517"/>
      <c r="AH137" s="517"/>
      <c r="AI137" s="517"/>
      <c r="AJ137" s="517"/>
      <c r="AK137" s="517"/>
      <c r="AL137" s="517"/>
      <c r="AM137" s="517"/>
      <c r="AN137" s="517"/>
      <c r="AO137" s="517"/>
      <c r="AP137" s="517"/>
    </row>
    <row r="138" spans="1:42">
      <c r="A138" s="507" t="s">
        <v>821</v>
      </c>
      <c r="B138" s="518">
        <v>1693.0470578800596</v>
      </c>
      <c r="C138" s="518">
        <v>1871.1063713025799</v>
      </c>
      <c r="D138" s="518">
        <v>2067.8923461896657</v>
      </c>
      <c r="E138" s="518">
        <v>2285.374482720038</v>
      </c>
      <c r="F138" s="518">
        <v>2525.7294152143631</v>
      </c>
      <c r="G138" s="518">
        <v>2791.3626966231268</v>
      </c>
      <c r="H138" s="518">
        <v>3084.9328741090967</v>
      </c>
      <c r="I138" s="518">
        <v>3163.0283216269418</v>
      </c>
      <c r="J138" s="518">
        <v>3243.1007648111099</v>
      </c>
      <c r="K138" s="518">
        <v>3325.2002515451704</v>
      </c>
      <c r="L138" s="518">
        <v>3409.3780966808977</v>
      </c>
      <c r="M138" s="518">
        <v>3495.6869141117222</v>
      </c>
      <c r="N138" s="518">
        <v>3584.1806496581294</v>
      </c>
      <c r="O138" s="518">
        <v>3674.9146147855508</v>
      </c>
      <c r="P138" s="518">
        <v>3767.9455211758323</v>
      </c>
      <c r="Q138" s="518">
        <v>3863.3315161738806</v>
      </c>
      <c r="R138" s="518">
        <v>3961.1322191316467</v>
      </c>
      <c r="AA138" s="517"/>
      <c r="AB138" s="517"/>
      <c r="AC138" s="517"/>
      <c r="AD138" s="517"/>
      <c r="AE138" s="517"/>
      <c r="AF138" s="517"/>
      <c r="AG138" s="517"/>
      <c r="AH138" s="517"/>
      <c r="AI138" s="517"/>
      <c r="AJ138" s="517"/>
      <c r="AK138" s="517"/>
      <c r="AL138" s="517"/>
      <c r="AM138" s="517"/>
      <c r="AN138" s="517"/>
      <c r="AO138" s="517"/>
      <c r="AP138" s="517"/>
    </row>
    <row r="139" spans="1:42">
      <c r="A139" s="507" t="s">
        <v>823</v>
      </c>
      <c r="B139" s="518">
        <v>775.83214448827994</v>
      </c>
      <c r="C139" s="518">
        <v>857.42712339671084</v>
      </c>
      <c r="D139" s="518">
        <v>947.60352114730472</v>
      </c>
      <c r="E139" s="518">
        <v>1047.2638534380833</v>
      </c>
      <c r="F139" s="518">
        <v>1157.405554371607</v>
      </c>
      <c r="G139" s="518">
        <v>1279.1309591107229</v>
      </c>
      <c r="H139" s="518">
        <v>1413.6583364193814</v>
      </c>
      <c r="I139" s="518">
        <v>1449.4452675862017</v>
      </c>
      <c r="J139" s="518">
        <v>1486.1381492287094</v>
      </c>
      <c r="K139" s="518">
        <v>1523.7599155923858</v>
      </c>
      <c r="L139" s="518">
        <v>1562.3340815059005</v>
      </c>
      <c r="M139" s="518">
        <v>1601.8847570786452</v>
      </c>
      <c r="N139" s="518">
        <v>1642.4366627703364</v>
      </c>
      <c r="O139" s="518">
        <v>1684.0151448421082</v>
      </c>
      <c r="P139" s="518">
        <v>1726.6461911987494</v>
      </c>
      <c r="Q139" s="518">
        <v>1770.3564476319918</v>
      </c>
      <c r="R139" s="518">
        <v>1815.1732344749955</v>
      </c>
      <c r="AA139" s="517"/>
      <c r="AB139" s="517"/>
      <c r="AC139" s="517"/>
      <c r="AD139" s="517"/>
      <c r="AE139" s="517"/>
      <c r="AF139" s="517"/>
      <c r="AG139" s="517"/>
      <c r="AH139" s="517"/>
      <c r="AI139" s="517"/>
      <c r="AJ139" s="517"/>
      <c r="AK139" s="517"/>
      <c r="AL139" s="517"/>
      <c r="AM139" s="517"/>
      <c r="AN139" s="517"/>
      <c r="AO139" s="517"/>
      <c r="AP139" s="517"/>
    </row>
    <row r="140" spans="1:42">
      <c r="A140" s="507" t="s">
        <v>825</v>
      </c>
      <c r="B140" s="518">
        <v>342.97067695782994</v>
      </c>
      <c r="C140" s="518">
        <v>379.04121792651131</v>
      </c>
      <c r="D140" s="518">
        <v>418.90533080435421</v>
      </c>
      <c r="E140" s="518">
        <v>462.96198903183097</v>
      </c>
      <c r="F140" s="518">
        <v>511.65212645243662</v>
      </c>
      <c r="G140" s="518">
        <v>565.46305032679675</v>
      </c>
      <c r="H140" s="518">
        <v>624.93331846752221</v>
      </c>
      <c r="I140" s="518">
        <v>640.75358074425878</v>
      </c>
      <c r="J140" s="518">
        <v>656.97433486725913</v>
      </c>
      <c r="K140" s="518">
        <v>673.60571933588017</v>
      </c>
      <c r="L140" s="518">
        <v>690.65812930681261</v>
      </c>
      <c r="M140" s="518">
        <v>708.1422230913912</v>
      </c>
      <c r="N140" s="518">
        <v>726.06892881738668</v>
      </c>
      <c r="O140" s="518">
        <v>744.44945125944184</v>
      </c>
      <c r="P140" s="518">
        <v>763.29527884241952</v>
      </c>
      <c r="Q140" s="518">
        <v>782.61819082204295</v>
      </c>
      <c r="R140" s="518">
        <v>802.43026464731338</v>
      </c>
      <c r="AA140" s="517"/>
      <c r="AB140" s="517"/>
      <c r="AC140" s="517"/>
      <c r="AD140" s="517"/>
      <c r="AE140" s="517"/>
      <c r="AF140" s="517"/>
      <c r="AG140" s="517"/>
      <c r="AH140" s="517"/>
      <c r="AI140" s="517"/>
      <c r="AJ140" s="517"/>
      <c r="AK140" s="517"/>
      <c r="AL140" s="517"/>
      <c r="AM140" s="517"/>
      <c r="AN140" s="517"/>
      <c r="AO140" s="517"/>
      <c r="AP140" s="517"/>
    </row>
    <row r="141" spans="1:42">
      <c r="A141" s="507" t="s">
        <v>827</v>
      </c>
      <c r="B141" s="518">
        <v>137.17420929921971</v>
      </c>
      <c r="C141" s="518">
        <v>151.60094682751969</v>
      </c>
      <c r="D141" s="518">
        <v>167.54495758650739</v>
      </c>
      <c r="E141" s="518">
        <v>185.16581459482583</v>
      </c>
      <c r="F141" s="518">
        <v>204.63987331198885</v>
      </c>
      <c r="G141" s="518">
        <v>226.16203666309497</v>
      </c>
      <c r="H141" s="518">
        <v>249.94770569281093</v>
      </c>
      <c r="I141" s="518">
        <v>256.2751619872289</v>
      </c>
      <c r="J141" s="518">
        <v>262.76279860035311</v>
      </c>
      <c r="K141" s="518">
        <v>269.41467051625727</v>
      </c>
      <c r="L141" s="518">
        <v>276.23493537142565</v>
      </c>
      <c r="M141" s="518">
        <v>283.22785605341107</v>
      </c>
      <c r="N141" s="518">
        <v>290.39780336527878</v>
      </c>
      <c r="O141" s="518">
        <v>297.74925875750023</v>
      </c>
      <c r="P141" s="518">
        <v>305.28681712900567</v>
      </c>
      <c r="Q141" s="518">
        <v>313.01518969914571</v>
      </c>
      <c r="R141" s="518">
        <v>320.93920695235653</v>
      </c>
      <c r="AA141" s="517"/>
      <c r="AB141" s="517"/>
      <c r="AC141" s="517"/>
      <c r="AD141" s="517"/>
      <c r="AE141" s="517"/>
      <c r="AF141" s="517"/>
      <c r="AG141" s="517"/>
      <c r="AH141" s="517"/>
      <c r="AI141" s="517"/>
      <c r="AJ141" s="517"/>
      <c r="AK141" s="517"/>
      <c r="AL141" s="517"/>
      <c r="AM141" s="517"/>
      <c r="AN141" s="517"/>
      <c r="AO141" s="517"/>
      <c r="AP141" s="517"/>
    </row>
    <row r="142" spans="1:42">
      <c r="A142" s="507" t="s">
        <v>829</v>
      </c>
      <c r="B142" s="518">
        <v>64.930515352669701</v>
      </c>
      <c r="C142" s="518">
        <v>71.759317263434909</v>
      </c>
      <c r="D142" s="518">
        <v>79.306310540512044</v>
      </c>
      <c r="E142" s="518">
        <v>87.647028029250109</v>
      </c>
      <c r="F142" s="518">
        <v>96.864946433688374</v>
      </c>
      <c r="G142" s="518">
        <v>107.0523217794678</v>
      </c>
      <c r="H142" s="518">
        <v>118.31111274314409</v>
      </c>
      <c r="I142" s="518">
        <v>121.30617282161609</v>
      </c>
      <c r="J142" s="518">
        <v>124.3770532069525</v>
      </c>
      <c r="K142" s="518">
        <v>127.52567329935978</v>
      </c>
      <c r="L142" s="518">
        <v>130.75400108889201</v>
      </c>
      <c r="M142" s="518">
        <v>134.06405438550863</v>
      </c>
      <c r="N142" s="518">
        <v>137.45790208027137</v>
      </c>
      <c r="O142" s="518">
        <v>140.93766543846857</v>
      </c>
      <c r="P142" s="518">
        <v>144.50551942547503</v>
      </c>
      <c r="Q142" s="518">
        <v>148.16369406617611</v>
      </c>
      <c r="R142" s="518">
        <v>151.91447583880597</v>
      </c>
      <c r="AA142" s="517"/>
      <c r="AB142" s="517"/>
      <c r="AC142" s="517"/>
      <c r="AD142" s="517"/>
      <c r="AE142" s="517"/>
      <c r="AF142" s="517"/>
      <c r="AG142" s="517"/>
      <c r="AH142" s="517"/>
      <c r="AI142" s="517"/>
      <c r="AJ142" s="517"/>
      <c r="AK142" s="517"/>
      <c r="AL142" s="517"/>
      <c r="AM142" s="517"/>
      <c r="AN142" s="517"/>
      <c r="AO142" s="517"/>
      <c r="AP142" s="517"/>
    </row>
    <row r="143" spans="1:42">
      <c r="A143" s="507" t="s">
        <v>831</v>
      </c>
      <c r="B143" s="518">
        <v>35.531019972868243</v>
      </c>
      <c r="C143" s="518">
        <v>39.267849963578968</v>
      </c>
      <c r="D143" s="518">
        <v>43.39768579510536</v>
      </c>
      <c r="E143" s="518">
        <v>47.961860252535082</v>
      </c>
      <c r="F143" s="518">
        <v>53.006053127910114</v>
      </c>
      <c r="G143" s="518">
        <v>58.580748398938979</v>
      </c>
      <c r="H143" s="518">
        <v>64.74173948961392</v>
      </c>
      <c r="I143" s="518">
        <v>66.380684427754673</v>
      </c>
      <c r="J143" s="518">
        <v>68.061119454537362</v>
      </c>
      <c r="K143" s="518">
        <v>69.784094896556525</v>
      </c>
      <c r="L143" s="518">
        <v>71.550687669551024</v>
      </c>
      <c r="M143" s="518">
        <v>73.362001951511473</v>
      </c>
      <c r="N143" s="518">
        <v>75.219169872827379</v>
      </c>
      <c r="O143" s="518">
        <v>77.123352223905499</v>
      </c>
      <c r="P143" s="518">
        <v>79.075739180701646</v>
      </c>
      <c r="Q143" s="518">
        <v>81.077551048619412</v>
      </c>
      <c r="R143" s="518">
        <v>83.130039025240748</v>
      </c>
      <c r="AA143" s="517"/>
      <c r="AB143" s="517"/>
      <c r="AC143" s="517"/>
      <c r="AD143" s="517"/>
      <c r="AE143" s="517"/>
      <c r="AF143" s="517"/>
      <c r="AG143" s="517"/>
      <c r="AH143" s="517"/>
      <c r="AI143" s="517"/>
      <c r="AJ143" s="517"/>
      <c r="AK143" s="517"/>
      <c r="AL143" s="517"/>
      <c r="AM143" s="517"/>
      <c r="AN143" s="517"/>
      <c r="AO143" s="517"/>
      <c r="AP143" s="517"/>
    </row>
    <row r="144" spans="1:42">
      <c r="A144" s="507" t="s">
        <v>833</v>
      </c>
      <c r="B144" s="518">
        <v>12.620752449097804</v>
      </c>
      <c r="C144" s="518">
        <v>13.9480885709749</v>
      </c>
      <c r="D144" s="518">
        <v>15.415021851384779</v>
      </c>
      <c r="E144" s="518">
        <v>17.036233851651087</v>
      </c>
      <c r="F144" s="518">
        <v>18.82795020638066</v>
      </c>
      <c r="G144" s="518">
        <v>20.808103015068294</v>
      </c>
      <c r="H144" s="518">
        <v>22.99651031257568</v>
      </c>
      <c r="I144" s="518">
        <v>23.578669742779805</v>
      </c>
      <c r="J144" s="518">
        <v>24.17556660912398</v>
      </c>
      <c r="K144" s="518">
        <v>24.787573991580309</v>
      </c>
      <c r="L144" s="518">
        <v>25.415074414685364</v>
      </c>
      <c r="M144" s="518">
        <v>26.058460086630451</v>
      </c>
      <c r="N144" s="518">
        <v>26.718133144404518</v>
      </c>
      <c r="O144" s="518">
        <v>27.394505905142857</v>
      </c>
      <c r="P144" s="518">
        <v>28.088001123838726</v>
      </c>
      <c r="Q144" s="518">
        <v>28.799052257578996</v>
      </c>
      <c r="R144" s="518">
        <v>29.528103736468932</v>
      </c>
      <c r="AA144" s="517"/>
      <c r="AB144" s="517"/>
      <c r="AC144" s="517"/>
      <c r="AD144" s="517"/>
      <c r="AE144" s="517"/>
      <c r="AF144" s="517"/>
      <c r="AG144" s="517"/>
      <c r="AH144" s="517"/>
      <c r="AI144" s="517"/>
      <c r="AJ144" s="517"/>
      <c r="AK144" s="517"/>
      <c r="AL144" s="517"/>
      <c r="AM144" s="517"/>
      <c r="AN144" s="517"/>
      <c r="AO144" s="517"/>
      <c r="AP144" s="517"/>
    </row>
    <row r="145" spans="1:42">
      <c r="A145" s="521" t="s">
        <v>835</v>
      </c>
      <c r="B145" s="540">
        <v>26.3528514794478</v>
      </c>
      <c r="C145" s="540">
        <v>29.124405063452517</v>
      </c>
      <c r="D145" s="540">
        <v>32.187445482382863</v>
      </c>
      <c r="E145" s="540">
        <v>35.572628674274924</v>
      </c>
      <c r="F145" s="540">
        <v>39.313834690312532</v>
      </c>
      <c r="G145" s="540">
        <v>43.448506777766944</v>
      </c>
      <c r="H145" s="540">
        <v>48.018026124600695</v>
      </c>
      <c r="I145" s="540">
        <v>49.233608243290135</v>
      </c>
      <c r="J145" s="540">
        <v>50.479962969821543</v>
      </c>
      <c r="K145" s="540">
        <v>51.757869316471279</v>
      </c>
      <c r="L145" s="540">
        <v>53.068126016305385</v>
      </c>
      <c r="M145" s="540">
        <v>54.41155202241373</v>
      </c>
      <c r="N145" s="540">
        <v>55.788987019782368</v>
      </c>
      <c r="O145" s="540">
        <v>57.201291950123959</v>
      </c>
      <c r="P145" s="540">
        <v>58.649349549994383</v>
      </c>
      <c r="Q145" s="540">
        <v>60.134064902531847</v>
      </c>
      <c r="R145" s="540">
        <v>61.656366003163271</v>
      </c>
      <c r="AA145" s="517"/>
      <c r="AB145" s="517"/>
      <c r="AC145" s="517"/>
      <c r="AD145" s="517"/>
      <c r="AE145" s="517"/>
      <c r="AF145" s="517"/>
      <c r="AG145" s="517"/>
      <c r="AH145" s="517"/>
      <c r="AI145" s="517"/>
      <c r="AJ145" s="517"/>
      <c r="AK145" s="517"/>
      <c r="AL145" s="517"/>
      <c r="AM145" s="517"/>
      <c r="AN145" s="517"/>
      <c r="AO145" s="517"/>
      <c r="AP145" s="517"/>
    </row>
    <row r="146" spans="1:42">
      <c r="A146" s="507"/>
      <c r="B146" s="518"/>
      <c r="C146" s="518"/>
      <c r="D146" s="518"/>
      <c r="E146" s="518"/>
      <c r="F146" s="518"/>
      <c r="G146" s="518"/>
      <c r="H146" s="518"/>
      <c r="I146" s="518"/>
      <c r="J146" s="518"/>
      <c r="K146" s="518"/>
      <c r="L146" s="518"/>
      <c r="M146" s="518"/>
      <c r="N146" s="518"/>
      <c r="O146" s="518"/>
      <c r="P146" s="518"/>
      <c r="Q146" s="518"/>
      <c r="R146" s="518"/>
      <c r="AA146" s="517"/>
      <c r="AB146" s="517"/>
      <c r="AC146" s="517"/>
      <c r="AD146" s="517"/>
      <c r="AE146" s="517"/>
      <c r="AF146" s="517"/>
      <c r="AG146" s="517"/>
      <c r="AH146" s="517"/>
      <c r="AI146" s="517"/>
      <c r="AJ146" s="517"/>
      <c r="AK146" s="517"/>
      <c r="AL146" s="517"/>
      <c r="AM146" s="517"/>
      <c r="AN146" s="517"/>
      <c r="AO146" s="517"/>
      <c r="AP146" s="517"/>
    </row>
    <row r="147" spans="1:42">
      <c r="A147" s="536"/>
      <c r="B147" s="518"/>
      <c r="C147" s="518"/>
      <c r="D147" s="518"/>
      <c r="E147" s="518"/>
      <c r="F147" s="518"/>
      <c r="G147" s="518"/>
      <c r="H147" s="518"/>
      <c r="I147" s="518"/>
      <c r="J147" s="518"/>
      <c r="K147" s="518"/>
      <c r="L147" s="518"/>
      <c r="M147" s="518"/>
      <c r="N147" s="518"/>
      <c r="O147" s="518"/>
      <c r="P147" s="518"/>
      <c r="Q147" s="518"/>
      <c r="R147" s="518"/>
      <c r="AA147" s="517"/>
      <c r="AB147" s="517"/>
      <c r="AC147" s="517"/>
      <c r="AD147" s="517"/>
      <c r="AE147" s="517"/>
      <c r="AF147" s="517"/>
      <c r="AG147" s="517"/>
      <c r="AH147" s="517"/>
      <c r="AI147" s="517"/>
      <c r="AJ147" s="517"/>
      <c r="AK147" s="517"/>
      <c r="AL147" s="517"/>
      <c r="AM147" s="517"/>
      <c r="AN147" s="517"/>
      <c r="AO147" s="517"/>
      <c r="AP147" s="517"/>
    </row>
    <row r="148" spans="1:42">
      <c r="A148" s="541" t="s">
        <v>837</v>
      </c>
      <c r="B148" s="542">
        <f>SUM(B149:B165)</f>
        <v>33121.587208601049</v>
      </c>
      <c r="C148" s="542">
        <f t="shared" ref="C148:R148" si="10">SUM(C149:C165)</f>
        <v>36605.014943452254</v>
      </c>
      <c r="D148" s="542">
        <f t="shared" si="10"/>
        <v>40454.797971227927</v>
      </c>
      <c r="E148" s="542">
        <f t="shared" si="10"/>
        <v>44709.466214426815</v>
      </c>
      <c r="F148" s="542">
        <f t="shared" si="10"/>
        <v>49411.601822870252</v>
      </c>
      <c r="G148" s="542">
        <f t="shared" si="10"/>
        <v>54608.265350169859</v>
      </c>
      <c r="H148" s="542">
        <f t="shared" si="10"/>
        <v>60351.466751565815</v>
      </c>
      <c r="I148" s="542">
        <f t="shared" si="10"/>
        <v>61879.27140620775</v>
      </c>
      <c r="J148" s="542">
        <f t="shared" si="10"/>
        <v>63445.752619819767</v>
      </c>
      <c r="K148" s="542">
        <f t="shared" si="10"/>
        <v>65051.889494153591</v>
      </c>
      <c r="L148" s="542">
        <f t="shared" si="10"/>
        <v>66698.685917039911</v>
      </c>
      <c r="M148" s="542">
        <f t="shared" si="10"/>
        <v>68387.171189850807</v>
      </c>
      <c r="N148" s="542">
        <f t="shared" si="10"/>
        <v>70118.400670846619</v>
      </c>
      <c r="O148" s="542">
        <f t="shared" si="10"/>
        <v>71893.456434809312</v>
      </c>
      <c r="P148" s="542">
        <f t="shared" si="10"/>
        <v>73713.447949374284</v>
      </c>
      <c r="Q148" s="542">
        <f t="shared" si="10"/>
        <v>75579.51276848391</v>
      </c>
      <c r="R148" s="542">
        <f t="shared" si="10"/>
        <v>77492.817243395679</v>
      </c>
      <c r="AA148" s="517"/>
      <c r="AB148" s="517"/>
      <c r="AC148" s="517"/>
      <c r="AD148" s="517"/>
      <c r="AE148" s="517"/>
      <c r="AF148" s="517"/>
      <c r="AG148" s="517"/>
      <c r="AH148" s="517"/>
      <c r="AI148" s="517"/>
      <c r="AJ148" s="517"/>
      <c r="AK148" s="517"/>
      <c r="AL148" s="517"/>
      <c r="AM148" s="517"/>
      <c r="AN148" s="517"/>
      <c r="AO148" s="517"/>
      <c r="AP148" s="517"/>
    </row>
    <row r="149" spans="1:42">
      <c r="A149" s="543" t="s">
        <v>803</v>
      </c>
      <c r="B149" s="518">
        <v>257.14783115036778</v>
      </c>
      <c r="C149" s="518">
        <v>284.19230463361362</v>
      </c>
      <c r="D149" s="518">
        <v>314.08107022196492</v>
      </c>
      <c r="E149" s="518">
        <v>347.11326472739097</v>
      </c>
      <c r="F149" s="518">
        <v>383.61948545500604</v>
      </c>
      <c r="G149" s="518">
        <v>423.96509893201659</v>
      </c>
      <c r="H149" s="518">
        <v>468.55389761872959</v>
      </c>
      <c r="I149" s="518">
        <v>480.41539600913865</v>
      </c>
      <c r="J149" s="518">
        <v>492.57716966090123</v>
      </c>
      <c r="K149" s="518">
        <v>505.046820078449</v>
      </c>
      <c r="L149" s="518">
        <v>517.83214119921445</v>
      </c>
      <c r="M149" s="518">
        <v>530.9411242650956</v>
      </c>
      <c r="N149" s="518">
        <v>544.3819628172422</v>
      </c>
      <c r="O149" s="518">
        <v>558.16305781728579</v>
      </c>
      <c r="P149" s="518">
        <v>572.29302289821408</v>
      </c>
      <c r="Q149" s="518">
        <v>586.78068974817211</v>
      </c>
      <c r="R149" s="518">
        <v>601.63511363055454</v>
      </c>
      <c r="AA149" s="517"/>
      <c r="AB149" s="517"/>
      <c r="AC149" s="517"/>
      <c r="AD149" s="517"/>
      <c r="AE149" s="517"/>
      <c r="AF149" s="517"/>
      <c r="AG149" s="517"/>
      <c r="AH149" s="517"/>
      <c r="AI149" s="517"/>
      <c r="AJ149" s="517"/>
      <c r="AK149" s="517"/>
      <c r="AL149" s="517"/>
      <c r="AM149" s="517"/>
      <c r="AN149" s="517"/>
      <c r="AO149" s="517"/>
      <c r="AP149" s="517"/>
    </row>
    <row r="150" spans="1:42">
      <c r="A150" s="518" t="s">
        <v>805</v>
      </c>
      <c r="B150" s="518">
        <v>170.38015806282033</v>
      </c>
      <c r="C150" s="518">
        <v>188.29919570816111</v>
      </c>
      <c r="D150" s="518">
        <v>208.10279499369449</v>
      </c>
      <c r="E150" s="518">
        <v>229.98915699728965</v>
      </c>
      <c r="F150" s="518">
        <v>254.17732778613887</v>
      </c>
      <c r="G150" s="518">
        <v>280.90939070342193</v>
      </c>
      <c r="H150" s="518">
        <v>310.45288921977163</v>
      </c>
      <c r="I150" s="518">
        <v>318.3120415275273</v>
      </c>
      <c r="J150" s="518">
        <v>326.37014922317366</v>
      </c>
      <c r="K150" s="518">
        <v>334.63224888633414</v>
      </c>
      <c r="L150" s="518">
        <v>343.10350459825236</v>
      </c>
      <c r="M150" s="518">
        <v>351.78921116951102</v>
      </c>
      <c r="N150" s="518">
        <v>360.69479744946096</v>
      </c>
      <c r="O150" s="518">
        <v>369.8258297194285</v>
      </c>
      <c r="P150" s="518">
        <v>379.18801517182271</v>
      </c>
      <c r="Q150" s="518">
        <v>388.78720547731638</v>
      </c>
      <c r="R150" s="518">
        <v>398.62940044233051</v>
      </c>
      <c r="AA150" s="517"/>
      <c r="AB150" s="517"/>
      <c r="AC150" s="517"/>
      <c r="AD150" s="517"/>
      <c r="AE150" s="517"/>
      <c r="AF150" s="517"/>
      <c r="AG150" s="517"/>
      <c r="AH150" s="517"/>
      <c r="AI150" s="517"/>
      <c r="AJ150" s="517"/>
      <c r="AK150" s="517"/>
      <c r="AL150" s="517"/>
      <c r="AM150" s="517"/>
      <c r="AN150" s="517"/>
      <c r="AO150" s="517"/>
      <c r="AP150" s="517"/>
    </row>
    <row r="151" spans="1:42">
      <c r="A151" s="518" t="s">
        <v>807</v>
      </c>
      <c r="B151" s="518">
        <v>86.767673087547394</v>
      </c>
      <c r="C151" s="518">
        <v>95.893108925452424</v>
      </c>
      <c r="D151" s="518">
        <v>105.97827522827035</v>
      </c>
      <c r="E151" s="518">
        <v>117.12410773010122</v>
      </c>
      <c r="F151" s="518">
        <v>129.44215766886703</v>
      </c>
      <c r="G151" s="518">
        <v>143.05570822859451</v>
      </c>
      <c r="H151" s="518">
        <v>158.10100839895779</v>
      </c>
      <c r="I151" s="518">
        <v>162.10335448161115</v>
      </c>
      <c r="J151" s="518">
        <v>166.20702043772735</v>
      </c>
      <c r="K151" s="518">
        <v>170.41457119211464</v>
      </c>
      <c r="L151" s="518">
        <v>174.72863660096189</v>
      </c>
      <c r="M151" s="518">
        <v>179.15191309558438</v>
      </c>
      <c r="N151" s="518">
        <v>183.68716536778109</v>
      </c>
      <c r="O151" s="518">
        <v>188.33722809785718</v>
      </c>
      <c r="P151" s="518">
        <v>193.10500772639128</v>
      </c>
      <c r="Q151" s="518">
        <v>197.99348427085565</v>
      </c>
      <c r="R151" s="518">
        <v>203.00571318822398</v>
      </c>
      <c r="AA151" s="517"/>
      <c r="AB151" s="517"/>
      <c r="AC151" s="517"/>
      <c r="AD151" s="517"/>
      <c r="AE151" s="517"/>
      <c r="AF151" s="517"/>
      <c r="AG151" s="517"/>
      <c r="AH151" s="517"/>
      <c r="AI151" s="517"/>
      <c r="AJ151" s="517"/>
      <c r="AK151" s="517"/>
      <c r="AL151" s="517"/>
      <c r="AM151" s="517"/>
      <c r="AN151" s="517"/>
      <c r="AO151" s="517"/>
      <c r="AP151" s="517"/>
    </row>
    <row r="152" spans="1:42">
      <c r="A152" s="518" t="s">
        <v>809</v>
      </c>
      <c r="B152" s="518">
        <v>711.49491931788862</v>
      </c>
      <c r="C152" s="518">
        <v>786.3234931887099</v>
      </c>
      <c r="D152" s="518">
        <v>869.02185687181679</v>
      </c>
      <c r="E152" s="518">
        <v>960.41768338682994</v>
      </c>
      <c r="F152" s="518">
        <v>1061.4256928847096</v>
      </c>
      <c r="G152" s="518">
        <v>1173.0568074744751</v>
      </c>
      <c r="H152" s="518">
        <v>1296.4282688714541</v>
      </c>
      <c r="I152" s="518">
        <v>1329.2475067492117</v>
      </c>
      <c r="J152" s="518">
        <v>1362.8975675893646</v>
      </c>
      <c r="K152" s="518">
        <v>1397.3994837753403</v>
      </c>
      <c r="L152" s="518">
        <v>1432.7748201278878</v>
      </c>
      <c r="M152" s="518">
        <v>1469.045687383792</v>
      </c>
      <c r="N152" s="518">
        <v>1506.2347560158053</v>
      </c>
      <c r="O152" s="518">
        <v>1544.3652704024291</v>
      </c>
      <c r="P152" s="518">
        <v>1583.4610633564089</v>
      </c>
      <c r="Q152" s="518">
        <v>1623.5465710210167</v>
      </c>
      <c r="R152" s="518">
        <v>1664.646848143437</v>
      </c>
      <c r="AA152" s="517"/>
      <c r="AB152" s="517"/>
      <c r="AC152" s="517"/>
      <c r="AD152" s="517"/>
      <c r="AE152" s="517"/>
      <c r="AF152" s="517"/>
      <c r="AG152" s="517"/>
      <c r="AH152" s="517"/>
      <c r="AI152" s="517"/>
      <c r="AJ152" s="517"/>
      <c r="AK152" s="517"/>
      <c r="AL152" s="517"/>
      <c r="AM152" s="517"/>
      <c r="AN152" s="517"/>
      <c r="AO152" s="517"/>
      <c r="AP152" s="517"/>
    </row>
    <row r="153" spans="1:42">
      <c r="A153" s="518" t="s">
        <v>811</v>
      </c>
      <c r="B153" s="518">
        <v>7050.2678368772604</v>
      </c>
      <c r="C153" s="518">
        <v>7791.7509779608527</v>
      </c>
      <c r="D153" s="518">
        <v>8611.216581729821</v>
      </c>
      <c r="E153" s="518">
        <v>9516.8661353785865</v>
      </c>
      <c r="F153" s="518">
        <v>10517.763684039393</v>
      </c>
      <c r="G153" s="518">
        <v>11623.926546792523</v>
      </c>
      <c r="H153" s="518">
        <v>12846.425573362587</v>
      </c>
      <c r="I153" s="518">
        <v>13171.634385060366</v>
      </c>
      <c r="J153" s="518">
        <v>13505.075897021881</v>
      </c>
      <c r="K153" s="518">
        <v>13846.95852104655</v>
      </c>
      <c r="L153" s="518">
        <v>14197.495944903611</v>
      </c>
      <c r="M153" s="518">
        <v>14556.907265893935</v>
      </c>
      <c r="N153" s="518">
        <v>14925.417127792974</v>
      </c>
      <c r="O153" s="518">
        <v>15303.255861260428</v>
      </c>
      <c r="P153" s="518">
        <v>15690.659627804409</v>
      </c>
      <c r="Q153" s="518">
        <v>16087.870567390068</v>
      </c>
      <c r="R153" s="518">
        <v>16495.136949784959</v>
      </c>
      <c r="AA153" s="517"/>
      <c r="AB153" s="517"/>
      <c r="AC153" s="517"/>
      <c r="AD153" s="517"/>
      <c r="AE153" s="517"/>
      <c r="AF153" s="517"/>
      <c r="AG153" s="517"/>
      <c r="AH153" s="517"/>
      <c r="AI153" s="517"/>
      <c r="AJ153" s="517"/>
      <c r="AK153" s="517"/>
      <c r="AL153" s="517"/>
      <c r="AM153" s="517"/>
      <c r="AN153" s="517"/>
      <c r="AO153" s="517"/>
      <c r="AP153" s="517"/>
    </row>
    <row r="154" spans="1:42">
      <c r="A154" s="518" t="s">
        <v>813</v>
      </c>
      <c r="B154" s="518">
        <v>10031.920602976617</v>
      </c>
      <c r="C154" s="518">
        <v>11086.986902853674</v>
      </c>
      <c r="D154" s="518">
        <v>12253.015494119478</v>
      </c>
      <c r="E154" s="518">
        <v>13541.67638283116</v>
      </c>
      <c r="F154" s="518">
        <v>14965.866920296829</v>
      </c>
      <c r="G154" s="518">
        <v>16539.840884102414</v>
      </c>
      <c r="H154" s="518">
        <v>18279.351134708599</v>
      </c>
      <c r="I154" s="518">
        <v>18742.095111792103</v>
      </c>
      <c r="J154" s="518">
        <v>19216.553508427431</v>
      </c>
      <c r="K154" s="518">
        <v>19703.022876557407</v>
      </c>
      <c r="L154" s="518">
        <v>20201.807275373038</v>
      </c>
      <c r="M154" s="518">
        <v>20713.218461360389</v>
      </c>
      <c r="N154" s="518">
        <v>21237.576083158554</v>
      </c>
      <c r="O154" s="518">
        <v>21775.207881350441</v>
      </c>
      <c r="P154" s="518">
        <v>22326.449893311321</v>
      </c>
      <c r="Q154" s="518">
        <v>22891.646663243118</v>
      </c>
      <c r="R154" s="518">
        <v>23471.151457525757</v>
      </c>
      <c r="AA154" s="517"/>
      <c r="AB154" s="517"/>
      <c r="AC154" s="517"/>
      <c r="AD154" s="517"/>
      <c r="AE154" s="517"/>
      <c r="AF154" s="517"/>
      <c r="AG154" s="517"/>
      <c r="AH154" s="517"/>
      <c r="AI154" s="517"/>
      <c r="AJ154" s="517"/>
      <c r="AK154" s="517"/>
      <c r="AL154" s="517"/>
      <c r="AM154" s="517"/>
      <c r="AN154" s="517"/>
      <c r="AO154" s="517"/>
      <c r="AP154" s="517"/>
    </row>
    <row r="155" spans="1:42">
      <c r="A155" s="518" t="s">
        <v>815</v>
      </c>
      <c r="B155" s="518">
        <v>6117.9097497001603</v>
      </c>
      <c r="C155" s="518">
        <v>6761.3359347800824</v>
      </c>
      <c r="D155" s="518">
        <v>7472.4318424587718</v>
      </c>
      <c r="E155" s="518">
        <v>8258.3143595878646</v>
      </c>
      <c r="F155" s="518">
        <v>9126.8488625430255</v>
      </c>
      <c r="G155" s="518">
        <v>10086.727936554356</v>
      </c>
      <c r="H155" s="518">
        <v>11147.558374021062</v>
      </c>
      <c r="I155" s="518">
        <v>11429.760157812512</v>
      </c>
      <c r="J155" s="518">
        <v>11719.105913772852</v>
      </c>
      <c r="K155" s="518">
        <v>12015.776492418558</v>
      </c>
      <c r="L155" s="518">
        <v>12319.957322518732</v>
      </c>
      <c r="M155" s="518">
        <v>12631.838526994114</v>
      </c>
      <c r="N155" s="518">
        <v>12951.615041750094</v>
      </c>
      <c r="O155" s="518">
        <v>13279.486737518004</v>
      </c>
      <c r="P155" s="518">
        <v>13615.658544780827</v>
      </c>
      <c r="Q155" s="518">
        <v>13960.340581861423</v>
      </c>
      <c r="R155" s="518">
        <v>14313.74828625332</v>
      </c>
      <c r="AA155" s="517"/>
      <c r="AB155" s="517"/>
      <c r="AC155" s="517"/>
      <c r="AD155" s="517"/>
      <c r="AE155" s="517"/>
      <c r="AF155" s="517"/>
      <c r="AG155" s="517"/>
      <c r="AH155" s="517"/>
      <c r="AI155" s="517"/>
      <c r="AJ155" s="517"/>
      <c r="AK155" s="517"/>
      <c r="AL155" s="517"/>
      <c r="AM155" s="517"/>
      <c r="AN155" s="517"/>
      <c r="AO155" s="517"/>
      <c r="AP155" s="517"/>
    </row>
    <row r="156" spans="1:42">
      <c r="A156" s="507" t="s">
        <v>817</v>
      </c>
      <c r="B156" s="518">
        <v>3839.8639326380071</v>
      </c>
      <c r="C156" s="518">
        <v>4243.7059477191133</v>
      </c>
      <c r="D156" s="518">
        <v>4690.0203982838193</v>
      </c>
      <c r="E156" s="518">
        <v>5183.2741493648437</v>
      </c>
      <c r="F156" s="518">
        <v>5728.4038502913163</v>
      </c>
      <c r="G156" s="518">
        <v>6330.8653423345295</v>
      </c>
      <c r="H156" s="518">
        <v>6996.688262601152</v>
      </c>
      <c r="I156" s="518">
        <v>7173.8102692407565</v>
      </c>
      <c r="J156" s="518">
        <v>7355.4161408259715</v>
      </c>
      <c r="K156" s="518">
        <v>7541.6193869383105</v>
      </c>
      <c r="L156" s="518">
        <v>7732.5363906680232</v>
      </c>
      <c r="M156" s="518">
        <v>7928.286481357316</v>
      </c>
      <c r="N156" s="518">
        <v>8128.9920091850763</v>
      </c>
      <c r="O156" s="518">
        <v>8334.7784216397158</v>
      </c>
      <c r="P156" s="518">
        <v>8545.7743419279341</v>
      </c>
      <c r="Q156" s="518">
        <v>8762.1116493684112</v>
      </c>
      <c r="R156" s="518">
        <v>8983.9255618206753</v>
      </c>
      <c r="AA156" s="517"/>
      <c r="AB156" s="517"/>
      <c r="AC156" s="517"/>
      <c r="AD156" s="517"/>
      <c r="AE156" s="517"/>
      <c r="AF156" s="517"/>
      <c r="AG156" s="517"/>
      <c r="AH156" s="517"/>
      <c r="AI156" s="517"/>
      <c r="AJ156" s="517"/>
      <c r="AK156" s="517"/>
      <c r="AL156" s="517"/>
      <c r="AM156" s="517"/>
      <c r="AN156" s="517"/>
      <c r="AO156" s="517"/>
      <c r="AP156" s="517"/>
    </row>
    <row r="157" spans="1:42">
      <c r="A157" s="507" t="s">
        <v>819</v>
      </c>
      <c r="B157" s="518">
        <v>2366.3910842058385</v>
      </c>
      <c r="C157" s="518">
        <v>2615.2666070577939</v>
      </c>
      <c r="D157" s="518">
        <v>2890.3165971346461</v>
      </c>
      <c r="E157" s="518">
        <v>3194.2938471845787</v>
      </c>
      <c r="F157" s="518">
        <v>3530.2406636963738</v>
      </c>
      <c r="G157" s="518">
        <v>3901.5193153253053</v>
      </c>
      <c r="H157" s="518">
        <v>4311.8456836079404</v>
      </c>
      <c r="I157" s="518">
        <v>4421.0005767712137</v>
      </c>
      <c r="J157" s="518">
        <v>4532.918739210746</v>
      </c>
      <c r="K157" s="518">
        <v>4647.6701234213078</v>
      </c>
      <c r="L157" s="518">
        <v>4765.3264527535057</v>
      </c>
      <c r="M157" s="518">
        <v>4885.96126624321</v>
      </c>
      <c r="N157" s="518">
        <v>5009.6499645758477</v>
      </c>
      <c r="O157" s="518">
        <v>5136.4698572142861</v>
      </c>
      <c r="P157" s="518">
        <v>5266.5002107197615</v>
      </c>
      <c r="Q157" s="518">
        <v>5399.8222982960624</v>
      </c>
      <c r="R157" s="518">
        <v>5536.5194505879253</v>
      </c>
      <c r="AA157" s="517"/>
      <c r="AB157" s="517"/>
      <c r="AC157" s="517"/>
      <c r="AD157" s="517"/>
      <c r="AE157" s="517"/>
      <c r="AF157" s="517"/>
      <c r="AG157" s="517"/>
      <c r="AH157" s="517"/>
      <c r="AI157" s="517"/>
      <c r="AJ157" s="517"/>
      <c r="AK157" s="517"/>
      <c r="AL157" s="517"/>
      <c r="AM157" s="517"/>
      <c r="AN157" s="517"/>
      <c r="AO157" s="517"/>
      <c r="AP157" s="517"/>
    </row>
    <row r="158" spans="1:42">
      <c r="A158" s="507" t="s">
        <v>821</v>
      </c>
      <c r="B158" s="518">
        <v>1422.9898386357772</v>
      </c>
      <c r="C158" s="518">
        <v>1572.6469863774198</v>
      </c>
      <c r="D158" s="518">
        <v>1738.0437137436336</v>
      </c>
      <c r="E158" s="518">
        <v>1920.8353667736599</v>
      </c>
      <c r="F158" s="518">
        <v>2122.8513857694193</v>
      </c>
      <c r="G158" s="518">
        <v>2346.1136149489503</v>
      </c>
      <c r="H158" s="518">
        <v>2592.8565377429081</v>
      </c>
      <c r="I158" s="518">
        <v>2658.4950134984233</v>
      </c>
      <c r="J158" s="518">
        <v>2725.7951351787292</v>
      </c>
      <c r="K158" s="518">
        <v>2794.7989675506806</v>
      </c>
      <c r="L158" s="518">
        <v>2865.5496402557756</v>
      </c>
      <c r="M158" s="518">
        <v>2938.0913747675841</v>
      </c>
      <c r="N158" s="518">
        <v>3012.4695120316105</v>
      </c>
      <c r="O158" s="518">
        <v>3088.7305408048583</v>
      </c>
      <c r="P158" s="518">
        <v>3166.9221267128178</v>
      </c>
      <c r="Q158" s="518">
        <v>3247.0931420420334</v>
      </c>
      <c r="R158" s="518">
        <v>3329.2936962868739</v>
      </c>
      <c r="AA158" s="517"/>
      <c r="AB158" s="517"/>
      <c r="AC158" s="517"/>
      <c r="AD158" s="517"/>
      <c r="AE158" s="517"/>
      <c r="AF158" s="517"/>
      <c r="AG158" s="517"/>
      <c r="AH158" s="517"/>
      <c r="AI158" s="517"/>
      <c r="AJ158" s="517"/>
      <c r="AK158" s="517"/>
      <c r="AL158" s="517"/>
      <c r="AM158" s="517"/>
      <c r="AN158" s="517"/>
      <c r="AO158" s="517"/>
      <c r="AP158" s="517"/>
    </row>
    <row r="159" spans="1:42">
      <c r="A159" s="507" t="s">
        <v>823</v>
      </c>
      <c r="B159" s="518">
        <v>605.79611755669464</v>
      </c>
      <c r="C159" s="518">
        <v>669.50825140679524</v>
      </c>
      <c r="D159" s="518">
        <v>739.9210488664695</v>
      </c>
      <c r="E159" s="518">
        <v>817.73922487925233</v>
      </c>
      <c r="F159" s="518">
        <v>903.74160990627183</v>
      </c>
      <c r="G159" s="518">
        <v>998.78894472327829</v>
      </c>
      <c r="H159" s="518">
        <v>1103.8324950036329</v>
      </c>
      <c r="I159" s="518">
        <v>1131.7761476534308</v>
      </c>
      <c r="J159" s="518">
        <v>1160.4271972379513</v>
      </c>
      <c r="K159" s="518">
        <v>1189.8035515958552</v>
      </c>
      <c r="L159" s="518">
        <v>1219.9235719048977</v>
      </c>
      <c r="M159" s="518">
        <v>1250.8060841582619</v>
      </c>
      <c r="N159" s="518">
        <v>1282.4703909314171</v>
      </c>
      <c r="O159" s="518">
        <v>1314.9362834468573</v>
      </c>
      <c r="P159" s="518">
        <v>1348.2240539442589</v>
      </c>
      <c r="Q159" s="518">
        <v>1382.3545083637919</v>
      </c>
      <c r="R159" s="518">
        <v>1417.3489793505089</v>
      </c>
      <c r="AA159" s="517"/>
      <c r="AB159" s="517"/>
      <c r="AC159" s="517"/>
      <c r="AD159" s="517"/>
      <c r="AE159" s="517"/>
      <c r="AF159" s="517"/>
      <c r="AG159" s="517"/>
      <c r="AH159" s="517"/>
      <c r="AI159" s="517"/>
      <c r="AJ159" s="517"/>
      <c r="AK159" s="517"/>
      <c r="AL159" s="517"/>
      <c r="AM159" s="517"/>
      <c r="AN159" s="517"/>
      <c r="AO159" s="517"/>
      <c r="AP159" s="517"/>
    </row>
    <row r="160" spans="1:42">
      <c r="A160" s="507" t="s">
        <v>825</v>
      </c>
      <c r="B160" s="518">
        <v>242.94948464513274</v>
      </c>
      <c r="C160" s="518">
        <v>268.50070499126684</v>
      </c>
      <c r="D160" s="518">
        <v>296.73917063915701</v>
      </c>
      <c r="E160" s="518">
        <v>327.94750164428342</v>
      </c>
      <c r="F160" s="518">
        <v>362.43804147282771</v>
      </c>
      <c r="G160" s="518">
        <v>400.55598304006469</v>
      </c>
      <c r="H160" s="518">
        <v>442.68282351708189</v>
      </c>
      <c r="I160" s="518">
        <v>453.8893925485113</v>
      </c>
      <c r="J160" s="518">
        <v>465.37965722563666</v>
      </c>
      <c r="K160" s="518">
        <v>477.16079933792105</v>
      </c>
      <c r="L160" s="518">
        <v>489.24018248269334</v>
      </c>
      <c r="M160" s="518">
        <v>501.62535666763631</v>
      </c>
      <c r="N160" s="518">
        <v>514.32406302978711</v>
      </c>
      <c r="O160" s="518">
        <v>527.34423867400017</v>
      </c>
      <c r="P160" s="518">
        <v>540.69402163389566</v>
      </c>
      <c r="Q160" s="518">
        <v>554.38175595839584</v>
      </c>
      <c r="R160" s="518">
        <v>568.41599692702709</v>
      </c>
      <c r="AA160" s="517"/>
      <c r="AB160" s="517"/>
      <c r="AC160" s="517"/>
      <c r="AD160" s="517"/>
      <c r="AE160" s="517"/>
      <c r="AF160" s="517"/>
      <c r="AG160" s="517"/>
      <c r="AH160" s="517"/>
      <c r="AI160" s="517"/>
      <c r="AJ160" s="517"/>
      <c r="AK160" s="517"/>
      <c r="AL160" s="517"/>
      <c r="AM160" s="517"/>
      <c r="AN160" s="517"/>
      <c r="AO160" s="517"/>
      <c r="AP160" s="517"/>
    </row>
    <row r="161" spans="1:42">
      <c r="A161" s="507" t="s">
        <v>827</v>
      </c>
      <c r="B161" s="518">
        <v>99.388425536645215</v>
      </c>
      <c r="C161" s="518">
        <v>109.84119749642734</v>
      </c>
      <c r="D161" s="518">
        <v>121.39329707965514</v>
      </c>
      <c r="E161" s="518">
        <v>134.16034158175231</v>
      </c>
      <c r="F161" s="518">
        <v>148.2701078752477</v>
      </c>
      <c r="G161" s="518">
        <v>163.86381124366284</v>
      </c>
      <c r="H161" s="518">
        <v>181.0975187115335</v>
      </c>
      <c r="I161" s="518">
        <v>185.68202422439097</v>
      </c>
      <c r="J161" s="518">
        <v>190.38258704685134</v>
      </c>
      <c r="K161" s="518">
        <v>195.20214518369494</v>
      </c>
      <c r="L161" s="518">
        <v>200.14371101564723</v>
      </c>
      <c r="M161" s="518">
        <v>205.21037318221479</v>
      </c>
      <c r="N161" s="518">
        <v>210.4052985121856</v>
      </c>
      <c r="O161" s="518">
        <v>215.73173400300001</v>
      </c>
      <c r="P161" s="518">
        <v>221.19300885022997</v>
      </c>
      <c r="Q161" s="518">
        <v>226.7925365284346</v>
      </c>
      <c r="R161" s="518">
        <v>232.53381692469284</v>
      </c>
      <c r="AA161" s="517"/>
      <c r="AB161" s="517"/>
      <c r="AC161" s="517"/>
      <c r="AD161" s="517"/>
      <c r="AE161" s="517"/>
      <c r="AF161" s="517"/>
      <c r="AG161" s="517"/>
      <c r="AH161" s="517"/>
      <c r="AI161" s="517"/>
      <c r="AJ161" s="517"/>
      <c r="AK161" s="517"/>
      <c r="AL161" s="517"/>
      <c r="AM161" s="517"/>
      <c r="AN161" s="517"/>
      <c r="AO161" s="517"/>
      <c r="AP161" s="517"/>
    </row>
    <row r="162" spans="1:42">
      <c r="A162" s="507" t="s">
        <v>829</v>
      </c>
      <c r="B162" s="518">
        <v>50.483009796391215</v>
      </c>
      <c r="C162" s="518">
        <v>55.792354283899598</v>
      </c>
      <c r="D162" s="518">
        <v>61.660087405539116</v>
      </c>
      <c r="E162" s="518">
        <v>68.144935406604347</v>
      </c>
      <c r="F162" s="518">
        <v>75.311800825522639</v>
      </c>
      <c r="G162" s="518">
        <v>83.232412060273177</v>
      </c>
      <c r="H162" s="518">
        <v>91.986041250302719</v>
      </c>
      <c r="I162" s="518">
        <v>94.314678971119221</v>
      </c>
      <c r="J162" s="518">
        <v>96.702266436495918</v>
      </c>
      <c r="K162" s="518">
        <v>99.150295966321238</v>
      </c>
      <c r="L162" s="518">
        <v>101.66029765874146</v>
      </c>
      <c r="M162" s="518">
        <v>104.2338403465218</v>
      </c>
      <c r="N162" s="518">
        <v>106.87253257761807</v>
      </c>
      <c r="O162" s="518">
        <v>109.57802362057143</v>
      </c>
      <c r="P162" s="518">
        <v>112.3520044953549</v>
      </c>
      <c r="Q162" s="518">
        <v>115.19620903031598</v>
      </c>
      <c r="R162" s="518">
        <v>118.11241494587573</v>
      </c>
      <c r="AA162" s="517"/>
      <c r="AB162" s="517"/>
      <c r="AC162" s="517"/>
      <c r="AD162" s="517"/>
      <c r="AE162" s="517"/>
      <c r="AF162" s="517"/>
      <c r="AG162" s="517"/>
      <c r="AH162" s="517"/>
      <c r="AI162" s="517"/>
      <c r="AJ162" s="517"/>
      <c r="AK162" s="517"/>
      <c r="AL162" s="517"/>
      <c r="AM162" s="517"/>
      <c r="AN162" s="517"/>
      <c r="AO162" s="517"/>
      <c r="AP162" s="517"/>
    </row>
    <row r="163" spans="1:42">
      <c r="A163" s="507" t="s">
        <v>831</v>
      </c>
      <c r="B163" s="518">
        <v>29.974287066607285</v>
      </c>
      <c r="C163" s="518">
        <v>33.126710356065388</v>
      </c>
      <c r="D163" s="518">
        <v>36.61067689703885</v>
      </c>
      <c r="E163" s="518">
        <v>40.461055397671331</v>
      </c>
      <c r="F163" s="518">
        <v>44.716381740154063</v>
      </c>
      <c r="G163" s="518">
        <v>49.419244660787193</v>
      </c>
      <c r="H163" s="518">
        <v>54.616711992367236</v>
      </c>
      <c r="I163" s="518">
        <v>55.99934063910203</v>
      </c>
      <c r="J163" s="518">
        <v>57.416970696669445</v>
      </c>
      <c r="K163" s="518">
        <v>58.870488230003232</v>
      </c>
      <c r="L163" s="518">
        <v>60.360801734877732</v>
      </c>
      <c r="M163" s="518">
        <v>61.888842705747315</v>
      </c>
      <c r="N163" s="518">
        <v>63.45556621796073</v>
      </c>
      <c r="O163" s="518">
        <v>65.061951524714289</v>
      </c>
      <c r="P163" s="518">
        <v>66.709002669116984</v>
      </c>
      <c r="Q163" s="518">
        <v>68.39774911175013</v>
      </c>
      <c r="R163" s="518">
        <v>70.129246374113734</v>
      </c>
      <c r="AA163" s="517"/>
      <c r="AB163" s="517"/>
      <c r="AC163" s="517"/>
      <c r="AD163" s="517"/>
      <c r="AE163" s="517"/>
      <c r="AF163" s="517"/>
      <c r="AG163" s="517"/>
      <c r="AH163" s="517"/>
      <c r="AI163" s="517"/>
      <c r="AJ163" s="517"/>
      <c r="AK163" s="517"/>
      <c r="AL163" s="517"/>
      <c r="AM163" s="517"/>
      <c r="AN163" s="517"/>
      <c r="AO163" s="517"/>
      <c r="AP163" s="517"/>
    </row>
    <row r="164" spans="1:42">
      <c r="A164" s="507" t="s">
        <v>833</v>
      </c>
      <c r="B164" s="518">
        <v>12.620752449097804</v>
      </c>
      <c r="C164" s="518">
        <v>13.9480885709749</v>
      </c>
      <c r="D164" s="518">
        <v>15.415021851384779</v>
      </c>
      <c r="E164" s="518">
        <v>17.036233851651087</v>
      </c>
      <c r="F164" s="518">
        <v>18.82795020638066</v>
      </c>
      <c r="G164" s="518">
        <v>20.808103015068294</v>
      </c>
      <c r="H164" s="518">
        <v>22.99651031257568</v>
      </c>
      <c r="I164" s="518">
        <v>23.578669742779805</v>
      </c>
      <c r="J164" s="518">
        <v>24.17556660912398</v>
      </c>
      <c r="K164" s="518">
        <v>24.787573991580309</v>
      </c>
      <c r="L164" s="518">
        <v>25.415074414685364</v>
      </c>
      <c r="M164" s="518">
        <v>26.058460086630451</v>
      </c>
      <c r="N164" s="518">
        <v>26.718133144404518</v>
      </c>
      <c r="O164" s="518">
        <v>27.394505905142857</v>
      </c>
      <c r="P164" s="518">
        <v>28.088001123838726</v>
      </c>
      <c r="Q164" s="518">
        <v>28.799052257578996</v>
      </c>
      <c r="R164" s="518">
        <v>29.528103736468932</v>
      </c>
      <c r="AA164" s="517"/>
      <c r="AB164" s="517"/>
      <c r="AC164" s="517"/>
      <c r="AD164" s="517"/>
      <c r="AE164" s="517"/>
      <c r="AF164" s="517"/>
      <c r="AG164" s="517"/>
      <c r="AH164" s="517"/>
      <c r="AI164" s="517"/>
      <c r="AJ164" s="517"/>
      <c r="AK164" s="517"/>
      <c r="AL164" s="517"/>
      <c r="AM164" s="517"/>
      <c r="AN164" s="517"/>
      <c r="AO164" s="517"/>
      <c r="AP164" s="517"/>
    </row>
    <row r="165" spans="1:42">
      <c r="A165" s="521" t="s">
        <v>835</v>
      </c>
      <c r="B165" s="540">
        <v>25.241504898195608</v>
      </c>
      <c r="C165" s="540">
        <v>27.896177141949799</v>
      </c>
      <c r="D165" s="540">
        <v>30.830043702769558</v>
      </c>
      <c r="E165" s="540">
        <v>34.072467703302173</v>
      </c>
      <c r="F165" s="540">
        <v>37.655900412761319</v>
      </c>
      <c r="G165" s="540">
        <v>41.616206030136588</v>
      </c>
      <c r="H165" s="540">
        <v>45.99302062515136</v>
      </c>
      <c r="I165" s="540">
        <v>47.157339485559611</v>
      </c>
      <c r="J165" s="540">
        <v>48.351133218247959</v>
      </c>
      <c r="K165" s="540">
        <v>49.575147983160619</v>
      </c>
      <c r="L165" s="540">
        <v>50.830148829370728</v>
      </c>
      <c r="M165" s="540">
        <v>52.116920173260901</v>
      </c>
      <c r="N165" s="540">
        <v>53.436266288809037</v>
      </c>
      <c r="O165" s="540">
        <v>54.789011810285714</v>
      </c>
      <c r="P165" s="540">
        <v>56.176002247677452</v>
      </c>
      <c r="Q165" s="540">
        <v>57.598104515157992</v>
      </c>
      <c r="R165" s="540">
        <v>59.056207472937864</v>
      </c>
      <c r="AA165" s="517"/>
      <c r="AB165" s="517"/>
      <c r="AC165" s="517"/>
      <c r="AD165" s="517"/>
      <c r="AE165" s="517"/>
      <c r="AF165" s="517"/>
      <c r="AG165" s="517"/>
      <c r="AH165" s="517"/>
      <c r="AI165" s="517"/>
      <c r="AJ165" s="517"/>
      <c r="AK165" s="517"/>
      <c r="AL165" s="517"/>
      <c r="AM165" s="517"/>
      <c r="AN165" s="517"/>
      <c r="AO165" s="517"/>
      <c r="AP165" s="517"/>
    </row>
    <row r="166" spans="1:42">
      <c r="A166" s="507"/>
      <c r="B166" s="518"/>
      <c r="C166" s="518"/>
      <c r="D166" s="518"/>
      <c r="E166" s="518"/>
      <c r="F166" s="518"/>
      <c r="G166" s="518"/>
      <c r="H166" s="518"/>
      <c r="I166" s="518"/>
      <c r="J166" s="518"/>
      <c r="K166" s="518"/>
      <c r="L166" s="518"/>
      <c r="M166" s="518"/>
      <c r="N166" s="518"/>
      <c r="O166" s="518"/>
      <c r="P166" s="518"/>
      <c r="Q166" s="518"/>
      <c r="R166" s="518"/>
      <c r="AA166" s="517"/>
      <c r="AB166" s="517"/>
      <c r="AC166" s="517"/>
      <c r="AD166" s="517"/>
      <c r="AE166" s="517"/>
      <c r="AF166" s="517"/>
      <c r="AG166" s="517"/>
      <c r="AH166" s="517"/>
      <c r="AI166" s="517"/>
      <c r="AJ166" s="517"/>
      <c r="AK166" s="517"/>
      <c r="AL166" s="517"/>
      <c r="AM166" s="517"/>
      <c r="AN166" s="517"/>
      <c r="AO166" s="517"/>
      <c r="AP166" s="517"/>
    </row>
    <row r="167" spans="1:42">
      <c r="A167" s="536"/>
      <c r="B167" s="518"/>
      <c r="C167" s="518"/>
      <c r="D167" s="518"/>
      <c r="E167" s="518"/>
      <c r="F167" s="518"/>
      <c r="G167" s="518"/>
      <c r="H167" s="518"/>
      <c r="I167" s="518"/>
      <c r="J167" s="518"/>
      <c r="K167" s="518"/>
      <c r="L167" s="518"/>
      <c r="M167" s="518"/>
      <c r="N167" s="518"/>
      <c r="O167" s="518"/>
      <c r="P167" s="518"/>
      <c r="Q167" s="518"/>
      <c r="R167" s="518"/>
      <c r="AA167" s="517"/>
      <c r="AB167" s="517"/>
      <c r="AC167" s="517"/>
      <c r="AD167" s="517"/>
      <c r="AE167" s="517"/>
      <c r="AF167" s="517"/>
      <c r="AG167" s="517"/>
      <c r="AH167" s="517"/>
      <c r="AI167" s="517"/>
      <c r="AJ167" s="517"/>
      <c r="AK167" s="517"/>
      <c r="AL167" s="517"/>
      <c r="AM167" s="517"/>
      <c r="AN167" s="517"/>
      <c r="AO167" s="517"/>
      <c r="AP167" s="517"/>
    </row>
    <row r="168" spans="1:42">
      <c r="A168" s="541" t="s">
        <v>23</v>
      </c>
      <c r="B168" s="542">
        <f>SUM(B169:B185)</f>
        <v>3920.8307386577299</v>
      </c>
      <c r="C168" s="542">
        <f t="shared" ref="C168:R168" si="11">SUM(C169:C185)</f>
        <v>4333.1881070615837</v>
      </c>
      <c r="D168" s="542">
        <f t="shared" si="11"/>
        <v>4788.913478475728</v>
      </c>
      <c r="E168" s="542">
        <f t="shared" si="11"/>
        <v>5292.5679055918654</v>
      </c>
      <c r="F168" s="542">
        <f t="shared" si="11"/>
        <v>5849.1921312006689</v>
      </c>
      <c r="G168" s="542">
        <f t="shared" si="11"/>
        <v>6464.3570376398966</v>
      </c>
      <c r="H168" s="542">
        <f t="shared" si="11"/>
        <v>7144.2194020572597</v>
      </c>
      <c r="I168" s="542">
        <f t="shared" si="11"/>
        <v>7325.0761772733022</v>
      </c>
      <c r="J168" s="542">
        <f t="shared" si="11"/>
        <v>7510.5113635515972</v>
      </c>
      <c r="K168" s="542">
        <f t="shared" si="11"/>
        <v>7700.640863919999</v>
      </c>
      <c r="L168" s="542">
        <f t="shared" si="11"/>
        <v>7895.5835155054765</v>
      </c>
      <c r="M168" s="542">
        <f t="shared" si="11"/>
        <v>8095.461163811191</v>
      </c>
      <c r="N168" s="542">
        <f t="shared" si="11"/>
        <v>8300.3987388739042</v>
      </c>
      <c r="O168" s="542">
        <f t="shared" si="11"/>
        <v>8510.5243333493127</v>
      </c>
      <c r="P168" s="542">
        <f t="shared" si="11"/>
        <v>8725.9692825741386</v>
      </c>
      <c r="Q168" s="542">
        <f t="shared" si="11"/>
        <v>8946.8682466549653</v>
      </c>
      <c r="R168" s="542">
        <f t="shared" si="11"/>
        <v>9173.3592946352219</v>
      </c>
      <c r="AA168" s="517"/>
      <c r="AB168" s="517"/>
      <c r="AC168" s="517"/>
      <c r="AD168" s="517"/>
      <c r="AE168" s="517"/>
      <c r="AF168" s="517"/>
      <c r="AG168" s="517"/>
      <c r="AH168" s="517"/>
      <c r="AI168" s="517"/>
      <c r="AJ168" s="517"/>
      <c r="AK168" s="517"/>
      <c r="AL168" s="517"/>
      <c r="AM168" s="517"/>
      <c r="AN168" s="517"/>
      <c r="AO168" s="517"/>
      <c r="AP168" s="517"/>
    </row>
    <row r="169" spans="1:42">
      <c r="A169" s="543" t="s">
        <v>803</v>
      </c>
      <c r="B169" s="518">
        <v>185.5948790691159</v>
      </c>
      <c r="C169" s="518">
        <v>205.11406289095365</v>
      </c>
      <c r="D169" s="518">
        <v>226.68609719542138</v>
      </c>
      <c r="E169" s="518">
        <v>250.52688215244936</v>
      </c>
      <c r="F169" s="518">
        <v>276.87502435105205</v>
      </c>
      <c r="G169" s="518">
        <v>305.99422485426953</v>
      </c>
      <c r="H169" s="518">
        <v>338.17591840803925</v>
      </c>
      <c r="I169" s="518">
        <v>346.73688254099818</v>
      </c>
      <c r="J169" s="518">
        <v>355.51456851278829</v>
      </c>
      <c r="K169" s="518">
        <v>364.51446266287985</v>
      </c>
      <c r="L169" s="518">
        <v>373.74219021808807</v>
      </c>
      <c r="M169" s="518">
        <v>383.20351880852297</v>
      </c>
      <c r="N169" s="518">
        <v>392.90436207254595</v>
      </c>
      <c r="O169" s="518">
        <v>402.8507833529863</v>
      </c>
      <c r="P169" s="518">
        <v>413.0489994869277</v>
      </c>
      <c r="Q169" s="518">
        <v>423.50538469143402</v>
      </c>
      <c r="R169" s="518">
        <v>434.22647454764228</v>
      </c>
      <c r="AA169" s="517"/>
      <c r="AB169" s="517"/>
      <c r="AC169" s="517"/>
      <c r="AD169" s="517"/>
      <c r="AE169" s="517"/>
      <c r="AF169" s="517"/>
      <c r="AG169" s="517"/>
      <c r="AH169" s="517"/>
      <c r="AI169" s="517"/>
      <c r="AJ169" s="517"/>
      <c r="AK169" s="517"/>
      <c r="AL169" s="517"/>
      <c r="AM169" s="517"/>
      <c r="AN169" s="517"/>
      <c r="AO169" s="517"/>
      <c r="AP169" s="517"/>
    </row>
    <row r="170" spans="1:42">
      <c r="A170" s="518" t="s">
        <v>805</v>
      </c>
      <c r="B170" s="518">
        <v>88.907726500175286</v>
      </c>
      <c r="C170" s="518">
        <v>98.258233720217319</v>
      </c>
      <c r="D170" s="518">
        <v>108.59214236906413</v>
      </c>
      <c r="E170" s="518">
        <v>120.01287767782006</v>
      </c>
      <c r="F170" s="518">
        <v>132.6347422040968</v>
      </c>
      <c r="G170" s="518">
        <v>146.58405981042853</v>
      </c>
      <c r="H170" s="518">
        <v>162.00043995594694</v>
      </c>
      <c r="I170" s="518">
        <v>166.10150061844223</v>
      </c>
      <c r="J170" s="518">
        <v>170.30638012588659</v>
      </c>
      <c r="K170" s="518">
        <v>174.61770666485262</v>
      </c>
      <c r="L170" s="518">
        <v>179.03817495477273</v>
      </c>
      <c r="M170" s="518">
        <v>183.57054793222659</v>
      </c>
      <c r="N170" s="518">
        <v>188.21765847786634</v>
      </c>
      <c r="O170" s="518">
        <v>192.98241118705931</v>
      </c>
      <c r="P170" s="518">
        <v>197.86778418535459</v>
      </c>
      <c r="Q170" s="518">
        <v>202.87683098990851</v>
      </c>
      <c r="R170" s="518">
        <v>208.01268241803223</v>
      </c>
    </row>
    <row r="171" spans="1:42">
      <c r="A171" s="518" t="s">
        <v>807</v>
      </c>
      <c r="B171" s="518">
        <v>41.119823506331073</v>
      </c>
      <c r="C171" s="518">
        <v>45.444433095600509</v>
      </c>
      <c r="D171" s="518">
        <v>50.223865845692167</v>
      </c>
      <c r="E171" s="518">
        <v>55.505955925991778</v>
      </c>
      <c r="F171" s="518">
        <v>61.343568269394773</v>
      </c>
      <c r="G171" s="518">
        <v>67.795127662323196</v>
      </c>
      <c r="H171" s="518">
        <v>74.925203479625466</v>
      </c>
      <c r="I171" s="518">
        <v>76.821944036029535</v>
      </c>
      <c r="J171" s="518">
        <v>78.766700808222552</v>
      </c>
      <c r="K171" s="518">
        <v>80.760689332494337</v>
      </c>
      <c r="L171" s="518">
        <v>82.805155916582393</v>
      </c>
      <c r="M171" s="518">
        <v>84.901378418654801</v>
      </c>
      <c r="N171" s="518">
        <v>87.050667046013189</v>
      </c>
      <c r="O171" s="518">
        <v>89.254365174014936</v>
      </c>
      <c r="P171" s="518">
        <v>91.513850185726511</v>
      </c>
      <c r="Q171" s="518">
        <v>93.830534332832698</v>
      </c>
      <c r="R171" s="518">
        <v>96.205865618339914</v>
      </c>
    </row>
    <row r="172" spans="1:42">
      <c r="A172" s="518" t="s">
        <v>809</v>
      </c>
      <c r="B172" s="518">
        <v>58.901368806366129</v>
      </c>
      <c r="C172" s="518">
        <v>65.096079839643977</v>
      </c>
      <c r="D172" s="518">
        <v>71.942294319504995</v>
      </c>
      <c r="E172" s="518">
        <v>79.508531461555791</v>
      </c>
      <c r="F172" s="518">
        <v>87.870516710214133</v>
      </c>
      <c r="G172" s="518">
        <v>97.11193962440889</v>
      </c>
      <c r="H172" s="518">
        <v>107.32529147081485</v>
      </c>
      <c r="I172" s="518">
        <v>110.04224415971798</v>
      </c>
      <c r="J172" s="518">
        <v>112.82797683339987</v>
      </c>
      <c r="K172" s="518">
        <v>115.68423066546485</v>
      </c>
      <c r="L172" s="518">
        <v>118.61279090753692</v>
      </c>
      <c r="M172" s="518">
        <v>121.61548800510009</v>
      </c>
      <c r="N172" s="518">
        <v>124.69419874158643</v>
      </c>
      <c r="O172" s="518">
        <v>127.85084741142678</v>
      </c>
      <c r="P172" s="518">
        <v>131.08740702279741</v>
      </c>
      <c r="Q172" s="518">
        <v>134.40590053081439</v>
      </c>
      <c r="R172" s="518">
        <v>137.80840210194634</v>
      </c>
    </row>
    <row r="173" spans="1:42">
      <c r="A173" s="518" t="s">
        <v>811</v>
      </c>
      <c r="B173" s="518">
        <v>304.50896326310033</v>
      </c>
      <c r="C173" s="518">
        <v>336.53445049174428</v>
      </c>
      <c r="D173" s="518">
        <v>371.92808761404461</v>
      </c>
      <c r="E173" s="518">
        <v>411.04410604653361</v>
      </c>
      <c r="F173" s="518">
        <v>454.27399204903145</v>
      </c>
      <c r="G173" s="518">
        <v>502.0504048507176</v>
      </c>
      <c r="H173" s="518">
        <v>554.85150684911821</v>
      </c>
      <c r="I173" s="518">
        <v>568.89763961816459</v>
      </c>
      <c r="J173" s="518">
        <v>583.29935193116148</v>
      </c>
      <c r="K173" s="518">
        <v>598.06564532712002</v>
      </c>
      <c r="L173" s="518">
        <v>613.20574922009644</v>
      </c>
      <c r="M173" s="518">
        <v>628.7291266678759</v>
      </c>
      <c r="N173" s="518">
        <v>644.64548028669208</v>
      </c>
      <c r="O173" s="518">
        <v>660.96475831567807</v>
      </c>
      <c r="P173" s="518">
        <v>677.69716083483945</v>
      </c>
      <c r="Q173" s="518">
        <v>694.85314614043671</v>
      </c>
      <c r="R173" s="518">
        <v>712.44343728176045</v>
      </c>
    </row>
    <row r="174" spans="1:42">
      <c r="A174" s="518" t="s">
        <v>813</v>
      </c>
      <c r="B174" s="518">
        <v>870.18437312046569</v>
      </c>
      <c r="C174" s="518">
        <v>961.70246253662708</v>
      </c>
      <c r="D174" s="518">
        <v>1062.8455934372153</v>
      </c>
      <c r="E174" s="518">
        <v>1174.6260402716639</v>
      </c>
      <c r="F174" s="518">
        <v>1298.1625393225975</v>
      </c>
      <c r="G174" s="518">
        <v>1434.6914853945691</v>
      </c>
      <c r="H174" s="518">
        <v>1585.5793060688306</v>
      </c>
      <c r="I174" s="518">
        <v>1625.7184373030034</v>
      </c>
      <c r="J174" s="518">
        <v>1666.873695482115</v>
      </c>
      <c r="K174" s="518">
        <v>1709.0708039822448</v>
      </c>
      <c r="L174" s="518">
        <v>1752.3361373698378</v>
      </c>
      <c r="M174" s="518">
        <v>1796.6967378866675</v>
      </c>
      <c r="N174" s="518">
        <v>1842.1803323521167</v>
      </c>
      <c r="O174" s="518">
        <v>1888.8153494933429</v>
      </c>
      <c r="P174" s="518">
        <v>1936.6309377141581</v>
      </c>
      <c r="Q174" s="518">
        <v>1985.6569833137296</v>
      </c>
      <c r="R174" s="518">
        <v>2035.9241291664905</v>
      </c>
    </row>
    <row r="175" spans="1:42">
      <c r="A175" s="518" t="s">
        <v>815</v>
      </c>
      <c r="B175" s="518">
        <v>770.16318080776841</v>
      </c>
      <c r="C175" s="518">
        <v>851.1619496013825</v>
      </c>
      <c r="D175" s="518">
        <v>940.67943327201806</v>
      </c>
      <c r="E175" s="518">
        <v>1039.6115528841162</v>
      </c>
      <c r="F175" s="518">
        <v>1148.9484543429885</v>
      </c>
      <c r="G175" s="518">
        <v>1269.7844181078369</v>
      </c>
      <c r="H175" s="518">
        <v>1403.3288111183901</v>
      </c>
      <c r="I175" s="518">
        <v>1438.8542491072556</v>
      </c>
      <c r="J175" s="518">
        <v>1475.2790178404923</v>
      </c>
      <c r="K175" s="518">
        <v>1512.6258839842853</v>
      </c>
      <c r="L175" s="518">
        <v>1550.9181905457183</v>
      </c>
      <c r="M175" s="518">
        <v>1590.1798714629122</v>
      </c>
      <c r="N175" s="518">
        <v>1630.4354665645167</v>
      </c>
      <c r="O175" s="518">
        <v>1671.7101369079007</v>
      </c>
      <c r="P175" s="518">
        <v>1714.0296805056337</v>
      </c>
      <c r="Q175" s="518">
        <v>1757.4205484500822</v>
      </c>
      <c r="R175" s="518">
        <v>1801.9098614462039</v>
      </c>
    </row>
    <row r="176" spans="1:42">
      <c r="A176" s="507" t="s">
        <v>817</v>
      </c>
      <c r="B176" s="518">
        <v>617.90869917621831</v>
      </c>
      <c r="C176" s="518">
        <v>682.89472435551045</v>
      </c>
      <c r="D176" s="518">
        <v>754.71538946499584</v>
      </c>
      <c r="E176" s="518">
        <v>834.08949986084951</v>
      </c>
      <c r="F176" s="518">
        <v>921.81145831847289</v>
      </c>
      <c r="G176" s="518">
        <v>1018.7592156824784</v>
      </c>
      <c r="H176" s="518">
        <v>1125.9030576938314</v>
      </c>
      <c r="I176" s="518">
        <v>1154.4054292981737</v>
      </c>
      <c r="J176" s="518">
        <v>1183.6293418749119</v>
      </c>
      <c r="K176" s="518">
        <v>1213.5930613207256</v>
      </c>
      <c r="L176" s="518">
        <v>1244.3153159356705</v>
      </c>
      <c r="M176" s="518">
        <v>1275.8153081289747</v>
      </c>
      <c r="N176" s="518">
        <v>1308.1127264211711</v>
      </c>
      <c r="O176" s="518">
        <v>1341.2277577500624</v>
      </c>
      <c r="P176" s="518">
        <v>1375.1811000882146</v>
      </c>
      <c r="Q176" s="518">
        <v>1409.9939753798644</v>
      </c>
      <c r="R176" s="518">
        <v>1445.6881428053243</v>
      </c>
    </row>
    <row r="177" spans="1:18">
      <c r="A177" s="507" t="s">
        <v>819</v>
      </c>
      <c r="B177" s="518">
        <v>384.52591711325812</v>
      </c>
      <c r="C177" s="518">
        <v>424.9668608399399</v>
      </c>
      <c r="D177" s="518">
        <v>469.66101574620239</v>
      </c>
      <c r="E177" s="518">
        <v>519.05569595657175</v>
      </c>
      <c r="F177" s="518">
        <v>573.64526003271862</v>
      </c>
      <c r="G177" s="518">
        <v>633.97605868010328</v>
      </c>
      <c r="H177" s="518">
        <v>700.65190280947047</v>
      </c>
      <c r="I177" s="518">
        <v>718.38899017476263</v>
      </c>
      <c r="J177" s="518">
        <v>736.57509404445943</v>
      </c>
      <c r="K177" s="518">
        <v>755.22158132548748</v>
      </c>
      <c r="L177" s="518">
        <v>774.34010667939197</v>
      </c>
      <c r="M177" s="518">
        <v>793.94261980687986</v>
      </c>
      <c r="N177" s="518">
        <v>814.04137291677182</v>
      </c>
      <c r="O177" s="518">
        <v>834.64892838403148</v>
      </c>
      <c r="P177" s="518">
        <v>855.77816660165865</v>
      </c>
      <c r="Q177" s="518">
        <v>877.44229403135444</v>
      </c>
      <c r="R177" s="518">
        <v>899.65485145798948</v>
      </c>
    </row>
    <row r="178" spans="1:18">
      <c r="A178" s="507" t="s">
        <v>821</v>
      </c>
      <c r="B178" s="518">
        <v>270.05721924428241</v>
      </c>
      <c r="C178" s="518">
        <v>298.45938492516007</v>
      </c>
      <c r="D178" s="518">
        <v>329.8486324460323</v>
      </c>
      <c r="E178" s="518">
        <v>364.53911594637839</v>
      </c>
      <c r="F178" s="518">
        <v>402.87802944494399</v>
      </c>
      <c r="G178" s="518">
        <v>445.24908167417658</v>
      </c>
      <c r="H178" s="518">
        <v>492.0763363661888</v>
      </c>
      <c r="I178" s="518">
        <v>504.53330812851829</v>
      </c>
      <c r="J178" s="518">
        <v>517.30562963238049</v>
      </c>
      <c r="K178" s="518">
        <v>530.40128399448975</v>
      </c>
      <c r="L178" s="518">
        <v>543.82845642512211</v>
      </c>
      <c r="M178" s="518">
        <v>557.59553934413816</v>
      </c>
      <c r="N178" s="518">
        <v>571.71113762651896</v>
      </c>
      <c r="O178" s="518">
        <v>586.18407398069257</v>
      </c>
      <c r="P178" s="518">
        <v>601.02339446301448</v>
      </c>
      <c r="Q178" s="518">
        <v>616.23837413184708</v>
      </c>
      <c r="R178" s="518">
        <v>631.83852284477291</v>
      </c>
    </row>
    <row r="179" spans="1:18">
      <c r="A179" s="507" t="s">
        <v>823</v>
      </c>
      <c r="B179" s="518">
        <v>170.03602693158524</v>
      </c>
      <c r="C179" s="518">
        <v>187.91887198991563</v>
      </c>
      <c r="D179" s="518">
        <v>207.68247228083519</v>
      </c>
      <c r="E179" s="518">
        <v>229.52462855883087</v>
      </c>
      <c r="F179" s="518">
        <v>253.66394446533513</v>
      </c>
      <c r="G179" s="518">
        <v>280.34201438744452</v>
      </c>
      <c r="H179" s="518">
        <v>309.82584141574853</v>
      </c>
      <c r="I179" s="518">
        <v>317.6691199327708</v>
      </c>
      <c r="J179" s="518">
        <v>325.71095199075813</v>
      </c>
      <c r="K179" s="518">
        <v>333.95636399653063</v>
      </c>
      <c r="L179" s="518">
        <v>342.41050960100284</v>
      </c>
      <c r="M179" s="518">
        <v>351.07867292038333</v>
      </c>
      <c r="N179" s="518">
        <v>359.96627183891934</v>
      </c>
      <c r="O179" s="518">
        <v>369.0788613952509</v>
      </c>
      <c r="P179" s="518">
        <v>378.42213725449062</v>
      </c>
      <c r="Q179" s="518">
        <v>388.00193926820003</v>
      </c>
      <c r="R179" s="518">
        <v>397.82425512448663</v>
      </c>
    </row>
    <row r="180" spans="1:18">
      <c r="A180" s="507" t="s">
        <v>825</v>
      </c>
      <c r="B180" s="518">
        <v>100.02119231269721</v>
      </c>
      <c r="C180" s="518">
        <v>110.54051293524449</v>
      </c>
      <c r="D180" s="518">
        <v>122.16616016519717</v>
      </c>
      <c r="E180" s="518">
        <v>135.01448738754758</v>
      </c>
      <c r="F180" s="518">
        <v>149.21408497960891</v>
      </c>
      <c r="G180" s="518">
        <v>164.90706728673209</v>
      </c>
      <c r="H180" s="518">
        <v>182.2504949504403</v>
      </c>
      <c r="I180" s="518">
        <v>186.86418819574752</v>
      </c>
      <c r="J180" s="518">
        <v>191.59467764162241</v>
      </c>
      <c r="K180" s="518">
        <v>196.44491999795918</v>
      </c>
      <c r="L180" s="518">
        <v>201.4179468241193</v>
      </c>
      <c r="M180" s="518">
        <v>206.51686642375489</v>
      </c>
      <c r="N180" s="518">
        <v>211.74486578759962</v>
      </c>
      <c r="O180" s="518">
        <v>217.10521258544171</v>
      </c>
      <c r="P180" s="518">
        <v>222.60125720852392</v>
      </c>
      <c r="Q180" s="518">
        <v>228.23643486364708</v>
      </c>
      <c r="R180" s="518">
        <v>234.01426772028626</v>
      </c>
    </row>
    <row r="181" spans="1:18">
      <c r="A181" s="507" t="s">
        <v>827</v>
      </c>
      <c r="B181" s="518">
        <v>37.785783762574496</v>
      </c>
      <c r="C181" s="518">
        <v>41.759749331092358</v>
      </c>
      <c r="D181" s="518">
        <v>46.151660506852259</v>
      </c>
      <c r="E181" s="518">
        <v>51.005473013073527</v>
      </c>
      <c r="F181" s="518">
        <v>56.36976543674114</v>
      </c>
      <c r="G181" s="518">
        <v>62.298225419432121</v>
      </c>
      <c r="H181" s="518">
        <v>68.850186981277446</v>
      </c>
      <c r="I181" s="518">
        <v>70.593137762837941</v>
      </c>
      <c r="J181" s="518">
        <v>72.380211553501795</v>
      </c>
      <c r="K181" s="518">
        <v>74.21252533256235</v>
      </c>
      <c r="L181" s="518">
        <v>76.091224355778394</v>
      </c>
      <c r="M181" s="518">
        <v>78.017482871196279</v>
      </c>
      <c r="N181" s="518">
        <v>79.99250485309318</v>
      </c>
      <c r="O181" s="518">
        <v>82.017524754500201</v>
      </c>
      <c r="P181" s="518">
        <v>84.093808278775697</v>
      </c>
      <c r="Q181" s="518">
        <v>86.222653170711112</v>
      </c>
      <c r="R181" s="518">
        <v>88.405390027663685</v>
      </c>
    </row>
    <row r="182" spans="1:18">
      <c r="A182" s="507" t="s">
        <v>829</v>
      </c>
      <c r="B182" s="518">
        <v>14.447505556278484</v>
      </c>
      <c r="C182" s="518">
        <v>15.966962979535314</v>
      </c>
      <c r="D182" s="518">
        <v>17.646223134972921</v>
      </c>
      <c r="E182" s="518">
        <v>19.502092622645758</v>
      </c>
      <c r="F182" s="518">
        <v>21.553145608165728</v>
      </c>
      <c r="G182" s="518">
        <v>23.819909719194634</v>
      </c>
      <c r="H182" s="518">
        <v>26.325071492841378</v>
      </c>
      <c r="I182" s="518">
        <v>26.991493850496862</v>
      </c>
      <c r="J182" s="518">
        <v>27.674786770456571</v>
      </c>
      <c r="K182" s="518">
        <v>28.375377333038546</v>
      </c>
      <c r="L182" s="518">
        <v>29.093703430150565</v>
      </c>
      <c r="M182" s="518">
        <v>29.830214038986817</v>
      </c>
      <c r="N182" s="518">
        <v>30.585369502653279</v>
      </c>
      <c r="O182" s="518">
        <v>31.359641817897138</v>
      </c>
      <c r="P182" s="518">
        <v>32.153514930120124</v>
      </c>
      <c r="Q182" s="518">
        <v>32.967485035860136</v>
      </c>
      <c r="R182" s="518">
        <v>33.802060892930243</v>
      </c>
    </row>
    <row r="183" spans="1:18">
      <c r="A183" s="507" t="s">
        <v>831</v>
      </c>
      <c r="B183" s="518">
        <v>5.5567329062609554</v>
      </c>
      <c r="C183" s="518">
        <v>6.1411396075135825</v>
      </c>
      <c r="D183" s="518">
        <v>6.7870088980665084</v>
      </c>
      <c r="E183" s="518">
        <v>7.5008048548637536</v>
      </c>
      <c r="F183" s="518">
        <v>8.2896713877560497</v>
      </c>
      <c r="G183" s="518">
        <v>9.161503738151783</v>
      </c>
      <c r="H183" s="518">
        <v>10.125027497246684</v>
      </c>
      <c r="I183" s="518">
        <v>10.381343788652639</v>
      </c>
      <c r="J183" s="518">
        <v>10.644148757867912</v>
      </c>
      <c r="K183" s="518">
        <v>10.913606666553289</v>
      </c>
      <c r="L183" s="518">
        <v>11.189885934673296</v>
      </c>
      <c r="M183" s="518">
        <v>11.473159245764162</v>
      </c>
      <c r="N183" s="518">
        <v>11.763603654866646</v>
      </c>
      <c r="O183" s="518">
        <v>12.061400699191207</v>
      </c>
      <c r="P183" s="518">
        <v>12.366736511584662</v>
      </c>
      <c r="Q183" s="518">
        <v>12.679801936869282</v>
      </c>
      <c r="R183" s="518">
        <v>13.000792651127014</v>
      </c>
    </row>
    <row r="184" spans="1:18">
      <c r="A184" s="507" t="s">
        <v>833</v>
      </c>
      <c r="B184" s="518">
        <v>0</v>
      </c>
      <c r="C184" s="518">
        <v>0</v>
      </c>
      <c r="D184" s="518">
        <v>0</v>
      </c>
      <c r="E184" s="518">
        <v>0</v>
      </c>
      <c r="F184" s="518">
        <v>0</v>
      </c>
      <c r="G184" s="518">
        <v>0</v>
      </c>
      <c r="H184" s="518">
        <v>0</v>
      </c>
      <c r="I184" s="518">
        <v>0</v>
      </c>
      <c r="J184" s="518">
        <v>0</v>
      </c>
      <c r="K184" s="518">
        <v>0</v>
      </c>
      <c r="L184" s="518">
        <v>0</v>
      </c>
      <c r="M184" s="518">
        <v>0</v>
      </c>
      <c r="N184" s="518">
        <v>0</v>
      </c>
      <c r="O184" s="518">
        <v>0</v>
      </c>
      <c r="P184" s="518">
        <v>0</v>
      </c>
      <c r="Q184" s="518">
        <v>0</v>
      </c>
      <c r="R184" s="518">
        <v>0</v>
      </c>
    </row>
    <row r="185" spans="1:18">
      <c r="A185" s="521" t="s">
        <v>835</v>
      </c>
      <c r="B185" s="540">
        <v>1.1113465812521912</v>
      </c>
      <c r="C185" s="540">
        <v>1.2282279215027165</v>
      </c>
      <c r="D185" s="540">
        <v>1.3574017796133018</v>
      </c>
      <c r="E185" s="540">
        <v>1.5001609709727508</v>
      </c>
      <c r="F185" s="540">
        <v>1.65793427755121</v>
      </c>
      <c r="G185" s="540">
        <v>1.8323007476303566</v>
      </c>
      <c r="H185" s="540">
        <v>2.0250054994493367</v>
      </c>
      <c r="I185" s="540">
        <v>2.0762687577305279</v>
      </c>
      <c r="J185" s="540">
        <v>2.1288297515735826</v>
      </c>
      <c r="K185" s="540">
        <v>2.1827213333106577</v>
      </c>
      <c r="L185" s="540">
        <v>2.2379771869346592</v>
      </c>
      <c r="M185" s="540">
        <v>2.2946318491528324</v>
      </c>
      <c r="N185" s="540">
        <v>2.3527207309733296</v>
      </c>
      <c r="O185" s="540">
        <v>2.4122801398382419</v>
      </c>
      <c r="P185" s="540">
        <v>2.4733473023169332</v>
      </c>
      <c r="Q185" s="540">
        <v>2.5359603873738572</v>
      </c>
      <c r="R185" s="540">
        <v>2.6001585302254036</v>
      </c>
    </row>
    <row r="186" spans="1:18">
      <c r="A186" s="531" t="s">
        <v>755</v>
      </c>
      <c r="B186" s="518"/>
      <c r="C186" s="518"/>
      <c r="D186" s="518"/>
      <c r="E186" s="518"/>
      <c r="F186" s="518"/>
      <c r="G186" s="518"/>
      <c r="H186" s="518"/>
      <c r="I186" s="518"/>
      <c r="J186" s="518"/>
      <c r="K186" s="518"/>
      <c r="L186" s="518"/>
      <c r="M186" s="518"/>
      <c r="N186" s="518"/>
      <c r="O186" s="518"/>
      <c r="P186" s="518"/>
      <c r="Q186" s="518"/>
      <c r="R186" s="518"/>
    </row>
    <row r="187" spans="1:18">
      <c r="A187" s="531" t="s">
        <v>842</v>
      </c>
      <c r="B187" s="518"/>
      <c r="C187" s="518"/>
      <c r="D187" s="518"/>
      <c r="E187" s="518"/>
      <c r="F187" s="518"/>
      <c r="G187" s="518"/>
      <c r="H187" s="518"/>
      <c r="I187" s="518"/>
      <c r="J187" s="518"/>
      <c r="K187" s="518"/>
      <c r="L187" s="518"/>
      <c r="M187" s="518"/>
      <c r="N187" s="518"/>
      <c r="O187" s="518"/>
      <c r="P187" s="518"/>
      <c r="Q187" s="518"/>
      <c r="R187" s="518"/>
    </row>
    <row r="188" spans="1:18">
      <c r="A188" s="532" t="s">
        <v>843</v>
      </c>
      <c r="B188" s="508"/>
      <c r="C188" s="508"/>
      <c r="D188" s="508"/>
      <c r="E188" s="508"/>
      <c r="F188" s="508"/>
      <c r="G188" s="508"/>
      <c r="H188" s="508"/>
      <c r="I188" s="508"/>
      <c r="J188" s="508"/>
      <c r="K188" s="508"/>
      <c r="L188" s="508"/>
      <c r="M188" s="508"/>
      <c r="N188" s="508"/>
      <c r="O188" s="508"/>
      <c r="P188" s="508"/>
      <c r="Q188" s="508"/>
      <c r="R188" s="508"/>
    </row>
    <row r="189" spans="1:18">
      <c r="A189" s="532" t="s">
        <v>844</v>
      </c>
      <c r="G189" s="535"/>
    </row>
    <row r="190" spans="1:18">
      <c r="A190" s="532" t="s">
        <v>117</v>
      </c>
      <c r="G190" s="535"/>
    </row>
    <row r="191" spans="1:18" ht="3" customHeight="1">
      <c r="G191" s="535"/>
    </row>
    <row r="192" spans="1:18">
      <c r="G192" s="535"/>
    </row>
    <row r="193" spans="7:7">
      <c r="G193" s="535"/>
    </row>
    <row r="194" spans="7:7">
      <c r="G194" s="535"/>
    </row>
    <row r="195" spans="7:7">
      <c r="G195" s="535"/>
    </row>
    <row r="221" spans="16:16">
      <c r="P221" s="544"/>
    </row>
  </sheetData>
  <mergeCells count="8">
    <mergeCell ref="A65:C65"/>
    <mergeCell ref="A126:C126"/>
    <mergeCell ref="A1:R1"/>
    <mergeCell ref="A2:R2"/>
    <mergeCell ref="AK5:AL5"/>
    <mergeCell ref="AM5:AN5"/>
    <mergeCell ref="AK32:AL32"/>
    <mergeCell ref="AM32:AN32"/>
  </mergeCells>
  <pageMargins left="0.7" right="0.7" top="0.75" bottom="0.75" header="0.3" footer="0.3"/>
  <pageSetup paperSize="9" orientation="portrait" horizontalDpi="4294967295" verticalDpi="4294967295"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AY223"/>
  <sheetViews>
    <sheetView topLeftCell="A181" zoomScaleNormal="100" workbookViewId="0">
      <selection activeCell="W196" sqref="W196"/>
    </sheetView>
  </sheetViews>
  <sheetFormatPr defaultRowHeight="15"/>
  <cols>
    <col min="1" max="1" width="11.85546875" style="68" customWidth="1"/>
    <col min="2" max="18" width="8.85546875" style="68" customWidth="1"/>
    <col min="19" max="224" width="9.140625" style="68"/>
    <col min="225" max="225" width="11.85546875" style="68" customWidth="1"/>
    <col min="226" max="266" width="8.85546875" style="68" customWidth="1"/>
    <col min="267" max="480" width="9.140625" style="68"/>
    <col min="481" max="481" width="11.85546875" style="68" customWidth="1"/>
    <col min="482" max="522" width="8.85546875" style="68" customWidth="1"/>
    <col min="523" max="736" width="9.140625" style="68"/>
    <col min="737" max="737" width="11.85546875" style="68" customWidth="1"/>
    <col min="738" max="778" width="8.85546875" style="68" customWidth="1"/>
    <col min="779" max="992" width="9.140625" style="68"/>
    <col min="993" max="993" width="11.85546875" style="68" customWidth="1"/>
    <col min="994" max="1034" width="8.85546875" style="68" customWidth="1"/>
    <col min="1035" max="1248" width="9.140625" style="68"/>
    <col min="1249" max="1249" width="11.85546875" style="68" customWidth="1"/>
    <col min="1250" max="1290" width="8.85546875" style="68" customWidth="1"/>
    <col min="1291" max="1504" width="9.140625" style="68"/>
    <col min="1505" max="1505" width="11.85546875" style="68" customWidth="1"/>
    <col min="1506" max="1546" width="8.85546875" style="68" customWidth="1"/>
    <col min="1547" max="1760" width="9.140625" style="68"/>
    <col min="1761" max="1761" width="11.85546875" style="68" customWidth="1"/>
    <col min="1762" max="1802" width="8.85546875" style="68" customWidth="1"/>
    <col min="1803" max="2016" width="9.140625" style="68"/>
    <col min="2017" max="2017" width="11.85546875" style="68" customWidth="1"/>
    <col min="2018" max="2058" width="8.85546875" style="68" customWidth="1"/>
    <col min="2059" max="2272" width="9.140625" style="68"/>
    <col min="2273" max="2273" width="11.85546875" style="68" customWidth="1"/>
    <col min="2274" max="2314" width="8.85546875" style="68" customWidth="1"/>
    <col min="2315" max="2528" width="9.140625" style="68"/>
    <col min="2529" max="2529" width="11.85546875" style="68" customWidth="1"/>
    <col min="2530" max="2570" width="8.85546875" style="68" customWidth="1"/>
    <col min="2571" max="2784" width="9.140625" style="68"/>
    <col min="2785" max="2785" width="11.85546875" style="68" customWidth="1"/>
    <col min="2786" max="2826" width="8.85546875" style="68" customWidth="1"/>
    <col min="2827" max="3040" width="9.140625" style="68"/>
    <col min="3041" max="3041" width="11.85546875" style="68" customWidth="1"/>
    <col min="3042" max="3082" width="8.85546875" style="68" customWidth="1"/>
    <col min="3083" max="3296" width="9.140625" style="68"/>
    <col min="3297" max="3297" width="11.85546875" style="68" customWidth="1"/>
    <col min="3298" max="3338" width="8.85546875" style="68" customWidth="1"/>
    <col min="3339" max="3552" width="9.140625" style="68"/>
    <col min="3553" max="3553" width="11.85546875" style="68" customWidth="1"/>
    <col min="3554" max="3594" width="8.85546875" style="68" customWidth="1"/>
    <col min="3595" max="3808" width="9.140625" style="68"/>
    <col min="3809" max="3809" width="11.85546875" style="68" customWidth="1"/>
    <col min="3810" max="3850" width="8.85546875" style="68" customWidth="1"/>
    <col min="3851" max="4064" width="9.140625" style="68"/>
    <col min="4065" max="4065" width="11.85546875" style="68" customWidth="1"/>
    <col min="4066" max="4106" width="8.85546875" style="68" customWidth="1"/>
    <col min="4107" max="4320" width="9.140625" style="68"/>
    <col min="4321" max="4321" width="11.85546875" style="68" customWidth="1"/>
    <col min="4322" max="4362" width="8.85546875" style="68" customWidth="1"/>
    <col min="4363" max="4576" width="9.140625" style="68"/>
    <col min="4577" max="4577" width="11.85546875" style="68" customWidth="1"/>
    <col min="4578" max="4618" width="8.85546875" style="68" customWidth="1"/>
    <col min="4619" max="4832" width="9.140625" style="68"/>
    <col min="4833" max="4833" width="11.85546875" style="68" customWidth="1"/>
    <col min="4834" max="4874" width="8.85546875" style="68" customWidth="1"/>
    <col min="4875" max="5088" width="9.140625" style="68"/>
    <col min="5089" max="5089" width="11.85546875" style="68" customWidth="1"/>
    <col min="5090" max="5130" width="8.85546875" style="68" customWidth="1"/>
    <col min="5131" max="5344" width="9.140625" style="68"/>
    <col min="5345" max="5345" width="11.85546875" style="68" customWidth="1"/>
    <col min="5346" max="5386" width="8.85546875" style="68" customWidth="1"/>
    <col min="5387" max="5600" width="9.140625" style="68"/>
    <col min="5601" max="5601" width="11.85546875" style="68" customWidth="1"/>
    <col min="5602" max="5642" width="8.85546875" style="68" customWidth="1"/>
    <col min="5643" max="5856" width="9.140625" style="68"/>
    <col min="5857" max="5857" width="11.85546875" style="68" customWidth="1"/>
    <col min="5858" max="5898" width="8.85546875" style="68" customWidth="1"/>
    <col min="5899" max="6112" width="9.140625" style="68"/>
    <col min="6113" max="6113" width="11.85546875" style="68" customWidth="1"/>
    <col min="6114" max="6154" width="8.85546875" style="68" customWidth="1"/>
    <col min="6155" max="6368" width="9.140625" style="68"/>
    <col min="6369" max="6369" width="11.85546875" style="68" customWidth="1"/>
    <col min="6370" max="6410" width="8.85546875" style="68" customWidth="1"/>
    <col min="6411" max="6624" width="9.140625" style="68"/>
    <col min="6625" max="6625" width="11.85546875" style="68" customWidth="1"/>
    <col min="6626" max="6666" width="8.85546875" style="68" customWidth="1"/>
    <col min="6667" max="6880" width="9.140625" style="68"/>
    <col min="6881" max="6881" width="11.85546875" style="68" customWidth="1"/>
    <col min="6882" max="6922" width="8.85546875" style="68" customWidth="1"/>
    <col min="6923" max="7136" width="9.140625" style="68"/>
    <col min="7137" max="7137" width="11.85546875" style="68" customWidth="1"/>
    <col min="7138" max="7178" width="8.85546875" style="68" customWidth="1"/>
    <col min="7179" max="7392" width="9.140625" style="68"/>
    <col min="7393" max="7393" width="11.85546875" style="68" customWidth="1"/>
    <col min="7394" max="7434" width="8.85546875" style="68" customWidth="1"/>
    <col min="7435" max="7648" width="9.140625" style="68"/>
    <col min="7649" max="7649" width="11.85546875" style="68" customWidth="1"/>
    <col min="7650" max="7690" width="8.85546875" style="68" customWidth="1"/>
    <col min="7691" max="7904" width="9.140625" style="68"/>
    <col min="7905" max="7905" width="11.85546875" style="68" customWidth="1"/>
    <col min="7906" max="7946" width="8.85546875" style="68" customWidth="1"/>
    <col min="7947" max="8160" width="9.140625" style="68"/>
    <col min="8161" max="8161" width="11.85546875" style="68" customWidth="1"/>
    <col min="8162" max="8202" width="8.85546875" style="68" customWidth="1"/>
    <col min="8203" max="8416" width="9.140625" style="68"/>
    <col min="8417" max="8417" width="11.85546875" style="68" customWidth="1"/>
    <col min="8418" max="8458" width="8.85546875" style="68" customWidth="1"/>
    <col min="8459" max="8672" width="9.140625" style="68"/>
    <col min="8673" max="8673" width="11.85546875" style="68" customWidth="1"/>
    <col min="8674" max="8714" width="8.85546875" style="68" customWidth="1"/>
    <col min="8715" max="8928" width="9.140625" style="68"/>
    <col min="8929" max="8929" width="11.85546875" style="68" customWidth="1"/>
    <col min="8930" max="8970" width="8.85546875" style="68" customWidth="1"/>
    <col min="8971" max="9184" width="9.140625" style="68"/>
    <col min="9185" max="9185" width="11.85546875" style="68" customWidth="1"/>
    <col min="9186" max="9226" width="8.85546875" style="68" customWidth="1"/>
    <col min="9227" max="9440" width="9.140625" style="68"/>
    <col min="9441" max="9441" width="11.85546875" style="68" customWidth="1"/>
    <col min="9442" max="9482" width="8.85546875" style="68" customWidth="1"/>
    <col min="9483" max="9696" width="9.140625" style="68"/>
    <col min="9697" max="9697" width="11.85546875" style="68" customWidth="1"/>
    <col min="9698" max="9738" width="8.85546875" style="68" customWidth="1"/>
    <col min="9739" max="9952" width="9.140625" style="68"/>
    <col min="9953" max="9953" width="11.85546875" style="68" customWidth="1"/>
    <col min="9954" max="9994" width="8.85546875" style="68" customWidth="1"/>
    <col min="9995" max="10208" width="9.140625" style="68"/>
    <col min="10209" max="10209" width="11.85546875" style="68" customWidth="1"/>
    <col min="10210" max="10250" width="8.85546875" style="68" customWidth="1"/>
    <col min="10251" max="10464" width="9.140625" style="68"/>
    <col min="10465" max="10465" width="11.85546875" style="68" customWidth="1"/>
    <col min="10466" max="10506" width="8.85546875" style="68" customWidth="1"/>
    <col min="10507" max="10720" width="9.140625" style="68"/>
    <col min="10721" max="10721" width="11.85546875" style="68" customWidth="1"/>
    <col min="10722" max="10762" width="8.85546875" style="68" customWidth="1"/>
    <col min="10763" max="10976" width="9.140625" style="68"/>
    <col min="10977" max="10977" width="11.85546875" style="68" customWidth="1"/>
    <col min="10978" max="11018" width="8.85546875" style="68" customWidth="1"/>
    <col min="11019" max="11232" width="9.140625" style="68"/>
    <col min="11233" max="11233" width="11.85546875" style="68" customWidth="1"/>
    <col min="11234" max="11274" width="8.85546875" style="68" customWidth="1"/>
    <col min="11275" max="11488" width="9.140625" style="68"/>
    <col min="11489" max="11489" width="11.85546875" style="68" customWidth="1"/>
    <col min="11490" max="11530" width="8.85546875" style="68" customWidth="1"/>
    <col min="11531" max="11744" width="9.140625" style="68"/>
    <col min="11745" max="11745" width="11.85546875" style="68" customWidth="1"/>
    <col min="11746" max="11786" width="8.85546875" style="68" customWidth="1"/>
    <col min="11787" max="12000" width="9.140625" style="68"/>
    <col min="12001" max="12001" width="11.85546875" style="68" customWidth="1"/>
    <col min="12002" max="12042" width="8.85546875" style="68" customWidth="1"/>
    <col min="12043" max="12256" width="9.140625" style="68"/>
    <col min="12257" max="12257" width="11.85546875" style="68" customWidth="1"/>
    <col min="12258" max="12298" width="8.85546875" style="68" customWidth="1"/>
    <col min="12299" max="12512" width="9.140625" style="68"/>
    <col min="12513" max="12513" width="11.85546875" style="68" customWidth="1"/>
    <col min="12514" max="12554" width="8.85546875" style="68" customWidth="1"/>
    <col min="12555" max="12768" width="9.140625" style="68"/>
    <col min="12769" max="12769" width="11.85546875" style="68" customWidth="1"/>
    <col min="12770" max="12810" width="8.85546875" style="68" customWidth="1"/>
    <col min="12811" max="13024" width="9.140625" style="68"/>
    <col min="13025" max="13025" width="11.85546875" style="68" customWidth="1"/>
    <col min="13026" max="13066" width="8.85546875" style="68" customWidth="1"/>
    <col min="13067" max="13280" width="9.140625" style="68"/>
    <col min="13281" max="13281" width="11.85546875" style="68" customWidth="1"/>
    <col min="13282" max="13322" width="8.85546875" style="68" customWidth="1"/>
    <col min="13323" max="13536" width="9.140625" style="68"/>
    <col min="13537" max="13537" width="11.85546875" style="68" customWidth="1"/>
    <col min="13538" max="13578" width="8.85546875" style="68" customWidth="1"/>
    <col min="13579" max="13792" width="9.140625" style="68"/>
    <col min="13793" max="13793" width="11.85546875" style="68" customWidth="1"/>
    <col min="13794" max="13834" width="8.85546875" style="68" customWidth="1"/>
    <col min="13835" max="14048" width="9.140625" style="68"/>
    <col min="14049" max="14049" width="11.85546875" style="68" customWidth="1"/>
    <col min="14050" max="14090" width="8.85546875" style="68" customWidth="1"/>
    <col min="14091" max="14304" width="9.140625" style="68"/>
    <col min="14305" max="14305" width="11.85546875" style="68" customWidth="1"/>
    <col min="14306" max="14346" width="8.85546875" style="68" customWidth="1"/>
    <col min="14347" max="14560" width="9.140625" style="68"/>
    <col min="14561" max="14561" width="11.85546875" style="68" customWidth="1"/>
    <col min="14562" max="14602" width="8.85546875" style="68" customWidth="1"/>
    <col min="14603" max="14816" width="9.140625" style="68"/>
    <col min="14817" max="14817" width="11.85546875" style="68" customWidth="1"/>
    <col min="14818" max="14858" width="8.85546875" style="68" customWidth="1"/>
    <col min="14859" max="15072" width="9.140625" style="68"/>
    <col min="15073" max="15073" width="11.85546875" style="68" customWidth="1"/>
    <col min="15074" max="15114" width="8.85546875" style="68" customWidth="1"/>
    <col min="15115" max="15328" width="9.140625" style="68"/>
    <col min="15329" max="15329" width="11.85546875" style="68" customWidth="1"/>
    <col min="15330" max="15370" width="8.85546875" style="68" customWidth="1"/>
    <col min="15371" max="15584" width="9.140625" style="68"/>
    <col min="15585" max="15585" width="11.85546875" style="68" customWidth="1"/>
    <col min="15586" max="15626" width="8.85546875" style="68" customWidth="1"/>
    <col min="15627" max="15840" width="9.140625" style="68"/>
    <col min="15841" max="15841" width="11.85546875" style="68" customWidth="1"/>
    <col min="15842" max="15882" width="8.85546875" style="68" customWidth="1"/>
    <col min="15883" max="16096" width="9.140625" style="68"/>
    <col min="16097" max="16097" width="11.85546875" style="68" customWidth="1"/>
    <col min="16098" max="16138" width="8.85546875" style="68" customWidth="1"/>
    <col min="16139" max="16371" width="9.140625" style="68"/>
    <col min="16372" max="16384" width="9.140625" style="68" customWidth="1"/>
  </cols>
  <sheetData>
    <row r="1" spans="1:47" ht="18.75">
      <c r="A1" s="1436" t="s">
        <v>862</v>
      </c>
      <c r="B1" s="1436"/>
      <c r="C1" s="1436"/>
      <c r="D1" s="1436"/>
      <c r="E1" s="1436"/>
      <c r="F1" s="1436"/>
      <c r="G1" s="1436"/>
      <c r="H1" s="1436"/>
      <c r="I1" s="1436"/>
      <c r="J1" s="1436"/>
      <c r="K1" s="1436"/>
      <c r="L1" s="1436"/>
      <c r="M1" s="1436"/>
      <c r="N1" s="1436"/>
      <c r="O1" s="1436"/>
      <c r="P1" s="1436"/>
      <c r="Q1" s="1436"/>
      <c r="R1" s="1436"/>
    </row>
    <row r="2" spans="1:47" ht="15.75">
      <c r="A2" s="1437" t="s">
        <v>863</v>
      </c>
      <c r="B2" s="1437"/>
      <c r="C2" s="1437"/>
      <c r="D2" s="1437"/>
      <c r="E2" s="1437"/>
      <c r="F2" s="1437"/>
      <c r="G2" s="1437"/>
      <c r="H2" s="1437"/>
      <c r="I2" s="1437"/>
      <c r="J2" s="1437"/>
      <c r="K2" s="1437"/>
      <c r="L2" s="1437"/>
      <c r="M2" s="1437"/>
      <c r="N2" s="1437"/>
      <c r="O2" s="1437"/>
      <c r="P2" s="1437"/>
      <c r="Q2" s="1437"/>
      <c r="R2" s="1437"/>
    </row>
    <row r="3" spans="1:47" ht="15.75">
      <c r="A3" s="546"/>
      <c r="B3" s="546"/>
      <c r="C3" s="546"/>
      <c r="D3" s="546"/>
      <c r="E3" s="546"/>
      <c r="F3" s="546"/>
      <c r="G3" s="546"/>
      <c r="H3" s="546"/>
      <c r="I3" s="546"/>
      <c r="J3" s="546"/>
      <c r="K3" s="546"/>
      <c r="L3" s="546"/>
      <c r="M3" s="546"/>
      <c r="N3" s="546"/>
      <c r="O3" s="546"/>
      <c r="P3" s="546"/>
      <c r="Q3" s="546"/>
      <c r="R3" s="546"/>
    </row>
    <row r="4" spans="1:47" ht="18.75">
      <c r="A4" s="536" t="s">
        <v>858</v>
      </c>
      <c r="B4" s="507"/>
      <c r="C4" s="537"/>
      <c r="D4" s="537"/>
      <c r="E4" s="537"/>
      <c r="F4" s="537"/>
      <c r="G4" s="537"/>
      <c r="H4" s="537"/>
      <c r="I4" s="537"/>
      <c r="J4" s="537"/>
      <c r="K4" s="537"/>
      <c r="L4" s="537"/>
      <c r="M4" s="537"/>
      <c r="N4" s="537"/>
      <c r="O4" s="537"/>
      <c r="P4" s="537"/>
      <c r="Q4" s="537"/>
      <c r="R4" s="538" t="s">
        <v>859</v>
      </c>
      <c r="S4" s="508"/>
      <c r="T4" s="508"/>
      <c r="U4" s="508"/>
      <c r="V4" s="508"/>
      <c r="W4" s="508"/>
      <c r="X4" s="508"/>
      <c r="Y4" s="508"/>
      <c r="Z4" s="508"/>
      <c r="AA4" s="508"/>
      <c r="AB4" s="508"/>
      <c r="AC4" s="508"/>
      <c r="AD4" s="508"/>
      <c r="AE4" s="508"/>
      <c r="AF4" s="508"/>
      <c r="AG4" s="508"/>
    </row>
    <row r="5" spans="1:47" s="547" customFormat="1">
      <c r="A5" s="510" t="s">
        <v>802</v>
      </c>
      <c r="B5" s="511">
        <v>2014</v>
      </c>
      <c r="C5" s="511">
        <v>2015</v>
      </c>
      <c r="D5" s="511">
        <v>2016</v>
      </c>
      <c r="E5" s="511">
        <v>2017</v>
      </c>
      <c r="F5" s="511">
        <v>2018</v>
      </c>
      <c r="G5" s="511">
        <v>2019</v>
      </c>
      <c r="H5" s="511">
        <v>2020</v>
      </c>
      <c r="I5" s="511">
        <v>2021</v>
      </c>
      <c r="J5" s="511">
        <v>2022</v>
      </c>
      <c r="K5" s="511">
        <v>2023</v>
      </c>
      <c r="L5" s="511">
        <v>2024</v>
      </c>
      <c r="M5" s="511">
        <v>2025</v>
      </c>
      <c r="N5" s="511">
        <v>2026</v>
      </c>
      <c r="O5" s="511">
        <v>2027</v>
      </c>
      <c r="P5" s="511">
        <v>2028</v>
      </c>
      <c r="Q5" s="511">
        <v>2029</v>
      </c>
      <c r="R5" s="511">
        <v>2030</v>
      </c>
      <c r="T5" s="513"/>
      <c r="U5" s="513"/>
      <c r="V5" s="513"/>
      <c r="W5" s="513"/>
      <c r="X5" s="513"/>
      <c r="Y5" s="513"/>
      <c r="Z5" s="513"/>
      <c r="AA5" s="513"/>
      <c r="AB5" s="513"/>
      <c r="AC5" s="513"/>
      <c r="AD5" s="513"/>
      <c r="AE5" s="513"/>
      <c r="AF5" s="513"/>
      <c r="AG5" s="513"/>
      <c r="AI5" s="1440" t="s">
        <v>1184</v>
      </c>
      <c r="AJ5" s="1441"/>
      <c r="AK5" s="1442" t="s">
        <v>1185</v>
      </c>
      <c r="AL5" s="1442"/>
      <c r="AP5" s="542">
        <f>SUM(AP6:AP25)</f>
        <v>102222</v>
      </c>
      <c r="AQ5" s="542">
        <f>SUM(AQ6:AQ25)</f>
        <v>107822</v>
      </c>
      <c r="AT5" s="542">
        <f>SUM(AT6:AT25)</f>
        <v>42421.475951910688</v>
      </c>
      <c r="AU5" s="542">
        <f>SUM(AU6:AU25)</f>
        <v>4548.5894809112624</v>
      </c>
    </row>
    <row r="6" spans="1:47">
      <c r="A6" s="542" t="s">
        <v>21</v>
      </c>
      <c r="B6" s="542">
        <f>SUM(B7:B23)</f>
        <v>220179.62219195405</v>
      </c>
      <c r="C6" s="542">
        <f t="shared" ref="C6:R6" si="0">SUM(C7:C23)</f>
        <v>224405.84751415948</v>
      </c>
      <c r="D6" s="542">
        <f t="shared" si="0"/>
        <v>228765.22716050717</v>
      </c>
      <c r="E6" s="542">
        <f t="shared" si="0"/>
        <v>233257.27868020732</v>
      </c>
      <c r="F6" s="542">
        <f t="shared" si="0"/>
        <v>237918.5188393018</v>
      </c>
      <c r="G6" s="542">
        <f t="shared" si="0"/>
        <v>242827.77905105206</v>
      </c>
      <c r="H6" s="542">
        <f t="shared" si="0"/>
        <v>248016.55398042992</v>
      </c>
      <c r="I6" s="542">
        <f t="shared" si="0"/>
        <v>249893.34380809646</v>
      </c>
      <c r="J6" s="542">
        <f t="shared" si="0"/>
        <v>251647.75971653825</v>
      </c>
      <c r="K6" s="542">
        <f t="shared" si="0"/>
        <v>253270.52637844003</v>
      </c>
      <c r="L6" s="542">
        <f t="shared" si="0"/>
        <v>254773.38681166337</v>
      </c>
      <c r="M6" s="542">
        <f t="shared" si="0"/>
        <v>256154.10284365615</v>
      </c>
      <c r="N6" s="542">
        <f t="shared" si="0"/>
        <v>257396.45558762024</v>
      </c>
      <c r="O6" s="542">
        <f t="shared" si="0"/>
        <v>258573.24593073202</v>
      </c>
      <c r="P6" s="542">
        <f t="shared" si="0"/>
        <v>259687.29503472356</v>
      </c>
      <c r="Q6" s="542">
        <f t="shared" si="0"/>
        <v>260760.44484913498</v>
      </c>
      <c r="R6" s="542">
        <f t="shared" si="0"/>
        <v>261763.55863756043</v>
      </c>
      <c r="T6" s="517"/>
      <c r="U6" s="517"/>
      <c r="V6" s="517"/>
      <c r="W6" s="517"/>
      <c r="X6" s="517"/>
      <c r="Y6" s="517"/>
      <c r="Z6" s="517"/>
      <c r="AA6" s="517"/>
      <c r="AB6" s="517"/>
      <c r="AC6" s="517"/>
      <c r="AD6" s="517"/>
      <c r="AE6" s="517"/>
      <c r="AF6" s="517"/>
      <c r="AG6" s="517"/>
      <c r="AH6" s="512"/>
      <c r="AI6" s="512" t="s">
        <v>22</v>
      </c>
      <c r="AJ6" s="512" t="s">
        <v>23</v>
      </c>
      <c r="AK6" s="512" t="s">
        <v>22</v>
      </c>
      <c r="AL6" s="512" t="s">
        <v>23</v>
      </c>
      <c r="AP6" s="518">
        <v>11162</v>
      </c>
      <c r="AQ6" s="518">
        <v>10218</v>
      </c>
      <c r="AT6" s="518">
        <v>431.00072843489016</v>
      </c>
      <c r="AU6" s="518">
        <v>316.05222684266039</v>
      </c>
    </row>
    <row r="7" spans="1:47">
      <c r="A7" s="518" t="s">
        <v>803</v>
      </c>
      <c r="B7" s="518">
        <v>23875.99584031948</v>
      </c>
      <c r="C7" s="518">
        <v>23878.012060891564</v>
      </c>
      <c r="D7" s="518">
        <v>23800.341995037208</v>
      </c>
      <c r="E7" s="518">
        <v>23552.439319973255</v>
      </c>
      <c r="F7" s="518">
        <v>23504.805426565963</v>
      </c>
      <c r="G7" s="518">
        <v>23555.9944374193</v>
      </c>
      <c r="H7" s="518">
        <v>23120.618752720224</v>
      </c>
      <c r="I7" s="518">
        <v>22623.608152092253</v>
      </c>
      <c r="J7" s="518">
        <v>22127.052955277552</v>
      </c>
      <c r="K7" s="518">
        <v>21603.964690878533</v>
      </c>
      <c r="L7" s="518">
        <v>21060.355179345581</v>
      </c>
      <c r="M7" s="518">
        <v>20506.236540365197</v>
      </c>
      <c r="N7" s="518">
        <v>19969.621200435216</v>
      </c>
      <c r="O7" s="518">
        <v>19470.521900631757</v>
      </c>
      <c r="P7" s="518">
        <v>19040.951704572821</v>
      </c>
      <c r="Q7" s="518">
        <v>18694.924006583464</v>
      </c>
      <c r="R7" s="518">
        <v>18424.452540067705</v>
      </c>
      <c r="T7" s="517"/>
      <c r="U7" s="517"/>
      <c r="V7" s="517"/>
      <c r="W7" s="517"/>
      <c r="X7" s="517"/>
      <c r="Y7" s="517"/>
      <c r="Z7" s="517"/>
      <c r="AE7" s="517"/>
      <c r="AF7" s="517"/>
      <c r="AG7" s="517"/>
      <c r="AH7" s="512" t="s">
        <v>804</v>
      </c>
      <c r="AI7" s="548">
        <f>AP6*-1</f>
        <v>-11162</v>
      </c>
      <c r="AJ7" s="518">
        <v>10218</v>
      </c>
      <c r="AK7" s="548">
        <f>AT6*-1</f>
        <v>-431.00072843489016</v>
      </c>
      <c r="AL7" s="517">
        <f>AU6</f>
        <v>316.05222684266039</v>
      </c>
      <c r="AP7" s="518">
        <v>11797</v>
      </c>
      <c r="AQ7" s="518">
        <v>10670</v>
      </c>
      <c r="AT7" s="518">
        <v>220.08547834973118</v>
      </c>
      <c r="AU7" s="518">
        <v>138.80672124846572</v>
      </c>
    </row>
    <row r="8" spans="1:47">
      <c r="A8" s="518" t="s">
        <v>805</v>
      </c>
      <c r="B8" s="518">
        <v>21430.358157112711</v>
      </c>
      <c r="C8" s="518">
        <v>22455.062786505216</v>
      </c>
      <c r="D8" s="518">
        <v>23163.839769861272</v>
      </c>
      <c r="E8" s="518">
        <v>23739.907058549801</v>
      </c>
      <c r="F8" s="518">
        <v>23724.505526085293</v>
      </c>
      <c r="G8" s="518">
        <v>23244.901378870902</v>
      </c>
      <c r="H8" s="518">
        <v>23231.388820481588</v>
      </c>
      <c r="I8" s="518">
        <v>23117.031119617772</v>
      </c>
      <c r="J8" s="518">
        <v>22825.892199598198</v>
      </c>
      <c r="K8" s="518">
        <v>22730.977598886304</v>
      </c>
      <c r="L8" s="518">
        <v>22727.292996152399</v>
      </c>
      <c r="M8" s="518">
        <v>22232.84421382302</v>
      </c>
      <c r="N8" s="518">
        <v>21727.637221720128</v>
      </c>
      <c r="O8" s="518">
        <v>21220.678140792446</v>
      </c>
      <c r="P8" s="518">
        <v>20684.973246941259</v>
      </c>
      <c r="Q8" s="518">
        <v>20132.528974943038</v>
      </c>
      <c r="R8" s="518">
        <v>19565.351922471407</v>
      </c>
      <c r="T8" s="517"/>
      <c r="U8" s="517"/>
      <c r="V8" s="517"/>
      <c r="W8" s="517"/>
      <c r="X8" s="517"/>
      <c r="Y8" s="517"/>
      <c r="Z8" s="517"/>
      <c r="AE8" s="517"/>
      <c r="AF8" s="517"/>
      <c r="AG8" s="517"/>
      <c r="AH8" s="512" t="s">
        <v>806</v>
      </c>
      <c r="AI8" s="548">
        <f t="shared" ref="AI8:AI22" si="1">AP7*-1</f>
        <v>-11797</v>
      </c>
      <c r="AJ8" s="518">
        <v>10670</v>
      </c>
      <c r="AK8" s="548">
        <f t="shared" ref="AK8:AK22" si="2">AT7*-1</f>
        <v>-220.08547834973118</v>
      </c>
      <c r="AL8" s="517">
        <f t="shared" ref="AL8:AL22" si="3">AU7</f>
        <v>138.80672124846572</v>
      </c>
      <c r="AP8" s="518">
        <v>11949</v>
      </c>
      <c r="AQ8" s="518">
        <v>10961</v>
      </c>
      <c r="AT8" s="518">
        <v>143.66690947829676</v>
      </c>
      <c r="AU8" s="518">
        <v>81.148544729872285</v>
      </c>
    </row>
    <row r="9" spans="1:47">
      <c r="A9" s="518" t="s">
        <v>807</v>
      </c>
      <c r="B9" s="518">
        <v>18264.363958419985</v>
      </c>
      <c r="C9" s="518">
        <v>18021.707233676007</v>
      </c>
      <c r="D9" s="518">
        <v>18088.348662522763</v>
      </c>
      <c r="E9" s="518">
        <v>18635.424772965198</v>
      </c>
      <c r="F9" s="518">
        <v>19717.086451783875</v>
      </c>
      <c r="G9" s="518">
        <v>20886.500454660592</v>
      </c>
      <c r="H9" s="518">
        <v>21898.851075125302</v>
      </c>
      <c r="I9" s="518">
        <v>22585.26474086638</v>
      </c>
      <c r="J9" s="518">
        <v>23134.815454208168</v>
      </c>
      <c r="K9" s="518">
        <v>23089.506684527201</v>
      </c>
      <c r="L9" s="518">
        <v>22578.341989027696</v>
      </c>
      <c r="M9" s="518">
        <v>22534.325014964914</v>
      </c>
      <c r="N9" s="518">
        <v>22398.459501924837</v>
      </c>
      <c r="O9" s="518">
        <v>22097.749284161502</v>
      </c>
      <c r="P9" s="518">
        <v>21989.198292993562</v>
      </c>
      <c r="Q9" s="518">
        <v>21974.81055926147</v>
      </c>
      <c r="R9" s="518">
        <v>21472.590215846889</v>
      </c>
      <c r="T9" s="517"/>
      <c r="U9" s="517"/>
      <c r="V9" s="517"/>
      <c r="W9" s="517"/>
      <c r="X9" s="517"/>
      <c r="Y9" s="517"/>
      <c r="Z9" s="517"/>
      <c r="AE9" s="517"/>
      <c r="AF9" s="517"/>
      <c r="AG9" s="517"/>
      <c r="AH9" s="512" t="s">
        <v>808</v>
      </c>
      <c r="AI9" s="548">
        <f t="shared" si="1"/>
        <v>-11949</v>
      </c>
      <c r="AJ9" s="518">
        <v>10961</v>
      </c>
      <c r="AK9" s="548">
        <f t="shared" si="2"/>
        <v>-143.66690947829676</v>
      </c>
      <c r="AL9" s="517">
        <f t="shared" si="3"/>
        <v>81.148544729872285</v>
      </c>
      <c r="AP9" s="518">
        <v>9201</v>
      </c>
      <c r="AQ9" s="518">
        <v>8601</v>
      </c>
      <c r="AT9" s="518">
        <v>1103.4841345035134</v>
      </c>
      <c r="AU9" s="518">
        <v>55.522688499386298</v>
      </c>
    </row>
    <row r="10" spans="1:47">
      <c r="A10" s="518" t="s">
        <v>809</v>
      </c>
      <c r="B10" s="518">
        <v>17636.054617185866</v>
      </c>
      <c r="C10" s="518">
        <v>18493.688766761214</v>
      </c>
      <c r="D10" s="518">
        <v>19020.015378268363</v>
      </c>
      <c r="E10" s="518">
        <v>19141.738304072867</v>
      </c>
      <c r="F10" s="518">
        <v>18717.635421339761</v>
      </c>
      <c r="G10" s="518">
        <v>18496.566417289661</v>
      </c>
      <c r="H10" s="518">
        <v>18338.481393237449</v>
      </c>
      <c r="I10" s="518">
        <v>18410.390842583194</v>
      </c>
      <c r="J10" s="518">
        <v>18961.006823002899</v>
      </c>
      <c r="K10" s="518">
        <v>20039.347220415853</v>
      </c>
      <c r="L10" s="518">
        <v>21210.430373525553</v>
      </c>
      <c r="M10" s="518">
        <v>22221.275085281974</v>
      </c>
      <c r="N10" s="518">
        <v>22921.900634634054</v>
      </c>
      <c r="O10" s="518">
        <v>23483.326788579634</v>
      </c>
      <c r="P10" s="518">
        <v>23451.573814520489</v>
      </c>
      <c r="Q10" s="518">
        <v>22955.662492930114</v>
      </c>
      <c r="R10" s="518">
        <v>22929.614130342197</v>
      </c>
      <c r="T10" s="517"/>
      <c r="U10" s="517"/>
      <c r="V10" s="517"/>
      <c r="W10" s="517"/>
      <c r="X10" s="517"/>
      <c r="Y10" s="517"/>
      <c r="Z10" s="517"/>
      <c r="AE10" s="517"/>
      <c r="AF10" s="517"/>
      <c r="AG10" s="517"/>
      <c r="AH10" s="512" t="s">
        <v>810</v>
      </c>
      <c r="AI10" s="548">
        <f t="shared" si="1"/>
        <v>-9201</v>
      </c>
      <c r="AJ10" s="518">
        <v>8601</v>
      </c>
      <c r="AK10" s="548">
        <f t="shared" si="2"/>
        <v>-1103.4841345035134</v>
      </c>
      <c r="AL10" s="517">
        <f t="shared" si="3"/>
        <v>55.522688499386298</v>
      </c>
      <c r="AP10" s="518">
        <v>8846</v>
      </c>
      <c r="AQ10" s="518">
        <v>8188</v>
      </c>
      <c r="AT10" s="518">
        <v>8069.8008728234763</v>
      </c>
      <c r="AU10" s="518">
        <v>273.34246645851721</v>
      </c>
    </row>
    <row r="11" spans="1:47">
      <c r="A11" s="518" t="s">
        <v>811</v>
      </c>
      <c r="B11" s="518">
        <v>20873.502745183963</v>
      </c>
      <c r="C11" s="518">
        <v>20132.574967575965</v>
      </c>
      <c r="D11" s="518">
        <v>20056.823066141886</v>
      </c>
      <c r="E11" s="518">
        <v>20549.313742008031</v>
      </c>
      <c r="F11" s="518">
        <v>21595.646565909788</v>
      </c>
      <c r="G11" s="518">
        <v>22986.010020577603</v>
      </c>
      <c r="H11" s="518">
        <v>24518.243437152174</v>
      </c>
      <c r="I11" s="518">
        <v>25146.15039627489</v>
      </c>
      <c r="J11" s="518">
        <v>25377.143339281996</v>
      </c>
      <c r="K11" s="518">
        <v>25057.351018468504</v>
      </c>
      <c r="L11" s="518">
        <v>24937.905445509306</v>
      </c>
      <c r="M11" s="518">
        <v>24870.941973970741</v>
      </c>
      <c r="N11" s="518">
        <v>25115.599383911009</v>
      </c>
      <c r="O11" s="518">
        <v>25850.019968622186</v>
      </c>
      <c r="P11" s="518">
        <v>27110.349623568218</v>
      </c>
      <c r="Q11" s="518">
        <v>28475.737937574271</v>
      </c>
      <c r="R11" s="518">
        <v>29680.338286324677</v>
      </c>
      <c r="T11" s="517"/>
      <c r="U11" s="517"/>
      <c r="V11" s="517"/>
      <c r="W11" s="517"/>
      <c r="X11" s="517"/>
      <c r="Y11" s="517"/>
      <c r="Z11" s="517"/>
      <c r="AE11" s="517"/>
      <c r="AF11" s="517"/>
      <c r="AG11" s="517"/>
      <c r="AH11" s="512" t="s">
        <v>812</v>
      </c>
      <c r="AI11" s="548">
        <f t="shared" si="1"/>
        <v>-8846</v>
      </c>
      <c r="AJ11" s="518">
        <v>8188</v>
      </c>
      <c r="AK11" s="548">
        <f t="shared" si="2"/>
        <v>-8069.8008728234763</v>
      </c>
      <c r="AL11" s="517">
        <f t="shared" si="3"/>
        <v>273.34246645851721</v>
      </c>
      <c r="AP11" s="518">
        <v>6326</v>
      </c>
      <c r="AQ11" s="518">
        <v>6378</v>
      </c>
      <c r="AT11" s="518">
        <v>12740.503802245546</v>
      </c>
      <c r="AU11" s="518">
        <v>1304.783179735578</v>
      </c>
    </row>
    <row r="12" spans="1:47">
      <c r="A12" s="518" t="s">
        <v>813</v>
      </c>
      <c r="B12" s="518">
        <v>26453.282752339721</v>
      </c>
      <c r="C12" s="518">
        <v>26672.425660993526</v>
      </c>
      <c r="D12" s="518">
        <v>26727.670377317976</v>
      </c>
      <c r="E12" s="518">
        <v>26723.546452883391</v>
      </c>
      <c r="F12" s="518">
        <v>26845.480500029509</v>
      </c>
      <c r="G12" s="518">
        <v>26740.890536570183</v>
      </c>
      <c r="H12" s="518">
        <v>26783.290252817278</v>
      </c>
      <c r="I12" s="518">
        <v>26502.507610808701</v>
      </c>
      <c r="J12" s="518">
        <v>26749.286981981124</v>
      </c>
      <c r="K12" s="518">
        <v>27500.845114730171</v>
      </c>
      <c r="L12" s="518">
        <v>28533.404244463192</v>
      </c>
      <c r="M12" s="518">
        <v>29647.192232503694</v>
      </c>
      <c r="N12" s="518">
        <v>30423.442708512022</v>
      </c>
      <c r="O12" s="518">
        <v>30802.395216511548</v>
      </c>
      <c r="P12" s="518">
        <v>30638.295364611455</v>
      </c>
      <c r="Q12" s="518">
        <v>30681.394978519824</v>
      </c>
      <c r="R12" s="518">
        <v>30777.952258942878</v>
      </c>
      <c r="T12" s="517"/>
      <c r="U12" s="517"/>
      <c r="V12" s="517"/>
      <c r="W12" s="517"/>
      <c r="X12" s="517"/>
      <c r="Y12" s="517"/>
      <c r="Z12" s="517"/>
      <c r="AE12" s="517"/>
      <c r="AF12" s="517"/>
      <c r="AG12" s="517"/>
      <c r="AH12" s="512" t="s">
        <v>814</v>
      </c>
      <c r="AI12" s="548">
        <f t="shared" si="1"/>
        <v>-6326</v>
      </c>
      <c r="AJ12" s="518">
        <v>6378</v>
      </c>
      <c r="AK12" s="548">
        <f t="shared" si="2"/>
        <v>-12740.503802245546</v>
      </c>
      <c r="AL12" s="517">
        <f t="shared" si="3"/>
        <v>1304.783179735578</v>
      </c>
      <c r="AP12" s="518">
        <v>6243</v>
      </c>
      <c r="AQ12" s="518">
        <v>8679</v>
      </c>
      <c r="AT12" s="518">
        <v>8577.2201701298018</v>
      </c>
      <c r="AU12" s="518">
        <v>1012.2213211041962</v>
      </c>
    </row>
    <row r="13" spans="1:47">
      <c r="A13" s="507" t="s">
        <v>815</v>
      </c>
      <c r="B13" s="518">
        <v>20436.127431995566</v>
      </c>
      <c r="C13" s="518">
        <v>21768.626450022224</v>
      </c>
      <c r="D13" s="518">
        <v>23097.497853140674</v>
      </c>
      <c r="E13" s="518">
        <v>23911.565205927054</v>
      </c>
      <c r="F13" s="518">
        <v>24809.264542590459</v>
      </c>
      <c r="G13" s="518">
        <v>25561.708780966503</v>
      </c>
      <c r="H13" s="518">
        <v>25844.758910989785</v>
      </c>
      <c r="I13" s="518">
        <v>25248.677337216272</v>
      </c>
      <c r="J13" s="518">
        <v>24511.441491234</v>
      </c>
      <c r="K13" s="518">
        <v>23806.199358346545</v>
      </c>
      <c r="L13" s="518">
        <v>22768.102670123299</v>
      </c>
      <c r="M13" s="518">
        <v>21757.306999236615</v>
      </c>
      <c r="N13" s="518">
        <v>21371.971856699784</v>
      </c>
      <c r="O13" s="518">
        <v>21505.260791566645</v>
      </c>
      <c r="P13" s="518">
        <v>22139.341493155032</v>
      </c>
      <c r="Q13" s="518">
        <v>23059.385895858071</v>
      </c>
      <c r="R13" s="518">
        <v>24046.570286608781</v>
      </c>
      <c r="T13" s="517"/>
      <c r="U13" s="517"/>
      <c r="V13" s="517"/>
      <c r="W13" s="517"/>
      <c r="X13" s="517"/>
      <c r="Y13" s="517"/>
      <c r="Z13" s="517"/>
      <c r="AE13" s="517"/>
      <c r="AF13" s="517"/>
      <c r="AG13" s="517"/>
      <c r="AH13" s="512" t="s">
        <v>816</v>
      </c>
      <c r="AI13" s="548">
        <f t="shared" si="1"/>
        <v>-6243</v>
      </c>
      <c r="AJ13" s="518">
        <v>8679</v>
      </c>
      <c r="AK13" s="548">
        <f t="shared" si="2"/>
        <v>-8577.2201701298018</v>
      </c>
      <c r="AL13" s="517">
        <f t="shared" si="3"/>
        <v>1012.2213211041962</v>
      </c>
      <c r="AP13" s="518">
        <v>6630</v>
      </c>
      <c r="AQ13" s="518">
        <v>9172</v>
      </c>
      <c r="AT13" s="518">
        <v>5120.0441143861062</v>
      </c>
      <c r="AU13" s="518">
        <v>589.39469330117754</v>
      </c>
    </row>
    <row r="14" spans="1:47">
      <c r="A14" s="507" t="s">
        <v>817</v>
      </c>
      <c r="B14" s="518">
        <v>14492.588417228597</v>
      </c>
      <c r="C14" s="518">
        <v>15279.059637474169</v>
      </c>
      <c r="D14" s="518">
        <v>15927.498913743264</v>
      </c>
      <c r="E14" s="518">
        <v>16958.37352675504</v>
      </c>
      <c r="F14" s="518">
        <v>18034.515414325127</v>
      </c>
      <c r="G14" s="518">
        <v>19067.159522687216</v>
      </c>
      <c r="H14" s="518">
        <v>20364.986191258417</v>
      </c>
      <c r="I14" s="518">
        <v>21226.472261256633</v>
      </c>
      <c r="J14" s="518">
        <v>21511.438807687286</v>
      </c>
      <c r="K14" s="518">
        <v>21820.973939230738</v>
      </c>
      <c r="L14" s="518">
        <v>21913.167995049233</v>
      </c>
      <c r="M14" s="518">
        <v>21460.113601251775</v>
      </c>
      <c r="N14" s="518">
        <v>20766.90572878849</v>
      </c>
      <c r="O14" s="518">
        <v>19934.641752810552</v>
      </c>
      <c r="P14" s="518">
        <v>19125.42151353283</v>
      </c>
      <c r="Q14" s="518">
        <v>17981.347378637249</v>
      </c>
      <c r="R14" s="518">
        <v>16866.524307255964</v>
      </c>
      <c r="T14" s="517"/>
      <c r="U14" s="517"/>
      <c r="V14" s="517"/>
      <c r="W14" s="517"/>
      <c r="X14" s="517"/>
      <c r="Y14" s="517"/>
      <c r="Z14" s="517"/>
      <c r="AE14" s="517"/>
      <c r="AF14" s="517"/>
      <c r="AG14" s="517"/>
      <c r="AH14" s="512" t="s">
        <v>818</v>
      </c>
      <c r="AI14" s="548">
        <f t="shared" si="1"/>
        <v>-6630</v>
      </c>
      <c r="AJ14" s="518">
        <v>9172</v>
      </c>
      <c r="AK14" s="548">
        <f t="shared" si="2"/>
        <v>-5120.0441143861062</v>
      </c>
      <c r="AL14" s="517">
        <f t="shared" si="3"/>
        <v>589.39469330117754</v>
      </c>
      <c r="AP14" s="518">
        <v>5028</v>
      </c>
      <c r="AQ14" s="518">
        <v>6915</v>
      </c>
      <c r="AT14" s="518">
        <v>2916.1325881339385</v>
      </c>
      <c r="AU14" s="518">
        <v>324.5941789194892</v>
      </c>
    </row>
    <row r="15" spans="1:47">
      <c r="A15" s="507" t="s">
        <v>819</v>
      </c>
      <c r="B15" s="518">
        <v>12432.807722376621</v>
      </c>
      <c r="C15" s="518">
        <v>12475.736693746441</v>
      </c>
      <c r="D15" s="518">
        <v>12685.378618387482</v>
      </c>
      <c r="E15" s="518">
        <v>12807.701554775182</v>
      </c>
      <c r="F15" s="518">
        <v>12971.880543901672</v>
      </c>
      <c r="G15" s="518">
        <v>13363.319377817075</v>
      </c>
      <c r="H15" s="518">
        <v>14113.674657588292</v>
      </c>
      <c r="I15" s="518">
        <v>14475.712938082741</v>
      </c>
      <c r="J15" s="518">
        <v>15183.726767053427</v>
      </c>
      <c r="K15" s="518">
        <v>15904.766155748128</v>
      </c>
      <c r="L15" s="518">
        <v>16535.882381455383</v>
      </c>
      <c r="M15" s="518">
        <v>17379.128019554482</v>
      </c>
      <c r="N15" s="518">
        <v>18172.556976376763</v>
      </c>
      <c r="O15" s="518">
        <v>18390.224522898847</v>
      </c>
      <c r="P15" s="518">
        <v>18631.187329288798</v>
      </c>
      <c r="Q15" s="518">
        <v>18654.503500326795</v>
      </c>
      <c r="R15" s="518">
        <v>18130.232611722546</v>
      </c>
      <c r="T15" s="517"/>
      <c r="U15" s="517"/>
      <c r="V15" s="517"/>
      <c r="W15" s="517"/>
      <c r="X15" s="517"/>
      <c r="Y15" s="517"/>
      <c r="Z15" s="517"/>
      <c r="AE15" s="517"/>
      <c r="AF15" s="517"/>
      <c r="AG15" s="517"/>
      <c r="AH15" s="512" t="s">
        <v>820</v>
      </c>
      <c r="AI15" s="548">
        <f t="shared" si="1"/>
        <v>-5028</v>
      </c>
      <c r="AJ15" s="518">
        <v>6915</v>
      </c>
      <c r="AK15" s="548">
        <f t="shared" si="2"/>
        <v>-2916.1325881339385</v>
      </c>
      <c r="AL15" s="517">
        <f t="shared" si="3"/>
        <v>324.5941789194892</v>
      </c>
      <c r="AP15" s="518">
        <v>4021</v>
      </c>
      <c r="AQ15" s="518">
        <v>5616</v>
      </c>
      <c r="AT15" s="518">
        <v>1693.4354861909871</v>
      </c>
      <c r="AU15" s="518">
        <v>230.6327060743738</v>
      </c>
    </row>
    <row r="16" spans="1:47">
      <c r="A16" s="507" t="s">
        <v>821</v>
      </c>
      <c r="B16" s="518">
        <v>11045.451673972333</v>
      </c>
      <c r="C16" s="518">
        <v>11043.090778686626</v>
      </c>
      <c r="D16" s="518">
        <v>11294.840045028408</v>
      </c>
      <c r="E16" s="518">
        <v>11603.867938896015</v>
      </c>
      <c r="F16" s="518">
        <v>11506.465814819046</v>
      </c>
      <c r="G16" s="518">
        <v>11549.060840268538</v>
      </c>
      <c r="H16" s="518">
        <v>11579.230279228708</v>
      </c>
      <c r="I16" s="518">
        <v>11628.562779334843</v>
      </c>
      <c r="J16" s="518">
        <v>11561.068192265362</v>
      </c>
      <c r="K16" s="518">
        <v>11526.77621044978</v>
      </c>
      <c r="L16" s="518">
        <v>11688.717277985041</v>
      </c>
      <c r="M16" s="518">
        <v>12180.922609664078</v>
      </c>
      <c r="N16" s="518">
        <v>12499.42421048606</v>
      </c>
      <c r="O16" s="518">
        <v>13164.254895660579</v>
      </c>
      <c r="P16" s="518">
        <v>13841.448311118203</v>
      </c>
      <c r="Q16" s="518">
        <v>14423.03895454029</v>
      </c>
      <c r="R16" s="518">
        <v>15221.062196921164</v>
      </c>
      <c r="T16" s="517"/>
      <c r="U16" s="517"/>
      <c r="V16" s="517"/>
      <c r="W16" s="517"/>
      <c r="X16" s="517"/>
      <c r="Y16" s="517"/>
      <c r="Z16" s="517"/>
      <c r="AE16" s="517"/>
      <c r="AF16" s="517"/>
      <c r="AG16" s="517"/>
      <c r="AH16" s="512" t="s">
        <v>822</v>
      </c>
      <c r="AI16" s="548">
        <f t="shared" si="1"/>
        <v>-4021</v>
      </c>
      <c r="AJ16" s="518">
        <v>5616</v>
      </c>
      <c r="AK16" s="548">
        <f t="shared" si="2"/>
        <v>-1693.4354861909871</v>
      </c>
      <c r="AL16" s="517">
        <f t="shared" si="3"/>
        <v>230.6327060743738</v>
      </c>
      <c r="AP16" s="518">
        <v>4108</v>
      </c>
      <c r="AQ16" s="518">
        <v>5308</v>
      </c>
      <c r="AT16" s="518">
        <v>813.09357279206245</v>
      </c>
      <c r="AU16" s="518">
        <v>102.50342492194392</v>
      </c>
    </row>
    <row r="17" spans="1:47">
      <c r="A17" s="507" t="s">
        <v>823</v>
      </c>
      <c r="B17" s="518">
        <v>9543.9835458716625</v>
      </c>
      <c r="C17" s="518">
        <v>9692.2535142160377</v>
      </c>
      <c r="D17" s="518">
        <v>9554.8104212828275</v>
      </c>
      <c r="E17" s="518">
        <v>9489.2102992712717</v>
      </c>
      <c r="F17" s="518">
        <v>9736.0676587974958</v>
      </c>
      <c r="G17" s="518">
        <v>10020.06163912328</v>
      </c>
      <c r="H17" s="518">
        <v>9990.9428052100757</v>
      </c>
      <c r="I17" s="518">
        <v>10140.990827293854</v>
      </c>
      <c r="J17" s="518">
        <v>10331.596997714007</v>
      </c>
      <c r="K17" s="518">
        <v>10102.775446062942</v>
      </c>
      <c r="L17" s="518">
        <v>10006.5406596254</v>
      </c>
      <c r="M17" s="518">
        <v>9879.90749243348</v>
      </c>
      <c r="N17" s="518">
        <v>9891.8911745508958</v>
      </c>
      <c r="O17" s="518">
        <v>9797.5073215922566</v>
      </c>
      <c r="P17" s="518">
        <v>9729.7719444833419</v>
      </c>
      <c r="Q17" s="518">
        <v>9859.7014594684442</v>
      </c>
      <c r="R17" s="518">
        <v>10309.312698371059</v>
      </c>
      <c r="T17" s="517"/>
      <c r="U17" s="517"/>
      <c r="V17" s="517"/>
      <c r="W17" s="517"/>
      <c r="X17" s="517"/>
      <c r="Y17" s="517"/>
      <c r="Z17" s="517"/>
      <c r="AE17" s="517"/>
      <c r="AF17" s="517"/>
      <c r="AG17" s="517"/>
      <c r="AH17" s="512" t="s">
        <v>824</v>
      </c>
      <c r="AI17" s="548">
        <f t="shared" si="1"/>
        <v>-4108</v>
      </c>
      <c r="AJ17" s="518">
        <v>5308</v>
      </c>
      <c r="AK17" s="548">
        <f t="shared" si="2"/>
        <v>-813.09357279206245</v>
      </c>
      <c r="AL17" s="517">
        <f t="shared" si="3"/>
        <v>102.50342492194392</v>
      </c>
      <c r="AP17" s="518">
        <v>3697</v>
      </c>
      <c r="AQ17" s="518">
        <v>4348</v>
      </c>
      <c r="AT17" s="518">
        <v>357.63890231831317</v>
      </c>
      <c r="AU17" s="518">
        <v>66.200128595422115</v>
      </c>
    </row>
    <row r="18" spans="1:47">
      <c r="A18" s="507" t="s">
        <v>825</v>
      </c>
      <c r="B18" s="518">
        <v>7713.2633761149973</v>
      </c>
      <c r="C18" s="518">
        <v>8249.5338485175289</v>
      </c>
      <c r="D18" s="518">
        <v>8644.2516978666881</v>
      </c>
      <c r="E18" s="518">
        <v>8888.6743170428308</v>
      </c>
      <c r="F18" s="518">
        <v>8860.0861691718419</v>
      </c>
      <c r="G18" s="518">
        <v>8641.8016346277182</v>
      </c>
      <c r="H18" s="518">
        <v>8769.1681574570121</v>
      </c>
      <c r="I18" s="518">
        <v>8585.3744079546486</v>
      </c>
      <c r="J18" s="518">
        <v>8468.8390309137358</v>
      </c>
      <c r="K18" s="518">
        <v>8648.5685670642742</v>
      </c>
      <c r="L18" s="518">
        <v>8860.5697227156343</v>
      </c>
      <c r="M18" s="518">
        <v>8756.8493739482165</v>
      </c>
      <c r="N18" s="518">
        <v>8882.4145709112254</v>
      </c>
      <c r="O18" s="518">
        <v>9050.2725422292424</v>
      </c>
      <c r="P18" s="518">
        <v>8810.4306995203497</v>
      </c>
      <c r="Q18" s="518">
        <v>8700.8966420286361</v>
      </c>
      <c r="R18" s="518">
        <v>8552.6781613739695</v>
      </c>
      <c r="T18" s="517"/>
      <c r="U18" s="517"/>
      <c r="V18" s="517"/>
      <c r="W18" s="517"/>
      <c r="X18" s="517"/>
      <c r="Y18" s="517"/>
      <c r="Z18" s="517"/>
      <c r="AE18" s="517"/>
      <c r="AF18" s="517"/>
      <c r="AG18" s="517"/>
      <c r="AH18" s="512" t="s">
        <v>826</v>
      </c>
      <c r="AI18" s="548">
        <f t="shared" si="1"/>
        <v>-3697</v>
      </c>
      <c r="AJ18" s="518">
        <v>4348</v>
      </c>
      <c r="AK18" s="548">
        <f t="shared" si="2"/>
        <v>-357.63890231831317</v>
      </c>
      <c r="AL18" s="517">
        <f t="shared" si="3"/>
        <v>66.200128595422115</v>
      </c>
      <c r="AP18" s="518">
        <v>3842</v>
      </c>
      <c r="AQ18" s="518">
        <v>3998</v>
      </c>
      <c r="AT18" s="518">
        <v>171.1775942720131</v>
      </c>
      <c r="AU18" s="518">
        <v>36.303296326521817</v>
      </c>
    </row>
    <row r="19" spans="1:47">
      <c r="A19" s="507" t="s">
        <v>827</v>
      </c>
      <c r="B19" s="518">
        <v>4067.3145226955794</v>
      </c>
      <c r="C19" s="518">
        <v>4370.7060604883991</v>
      </c>
      <c r="D19" s="518">
        <v>4921.2956567691836</v>
      </c>
      <c r="E19" s="518">
        <v>5502.2093124490193</v>
      </c>
      <c r="F19" s="518">
        <v>6193.5862800704917</v>
      </c>
      <c r="G19" s="518">
        <v>6972.5804574939339</v>
      </c>
      <c r="H19" s="518">
        <v>7480.3619281589399</v>
      </c>
      <c r="I19" s="518">
        <v>7832.3581691572172</v>
      </c>
      <c r="J19" s="518">
        <v>8047.4808905985346</v>
      </c>
      <c r="K19" s="518">
        <v>7994.7332943505526</v>
      </c>
      <c r="L19" s="518">
        <v>7754.118663336596</v>
      </c>
      <c r="M19" s="518">
        <v>7849.6403635875886</v>
      </c>
      <c r="N19" s="518">
        <v>7670.3018463459357</v>
      </c>
      <c r="O19" s="518">
        <v>7554.1066502226577</v>
      </c>
      <c r="P19" s="518">
        <v>7721.0584034091389</v>
      </c>
      <c r="Q19" s="518">
        <v>7921.1608259448676</v>
      </c>
      <c r="R19" s="518">
        <v>7813.4177320425788</v>
      </c>
      <c r="T19" s="517"/>
      <c r="U19" s="517"/>
      <c r="V19" s="517"/>
      <c r="W19" s="517"/>
      <c r="X19" s="517"/>
      <c r="Y19" s="517"/>
      <c r="Z19" s="517"/>
      <c r="AE19" s="517"/>
      <c r="AF19" s="517"/>
      <c r="AG19" s="517"/>
      <c r="AH19" s="512" t="s">
        <v>828</v>
      </c>
      <c r="AI19" s="548">
        <f t="shared" si="1"/>
        <v>-3842</v>
      </c>
      <c r="AJ19" s="518">
        <v>3998</v>
      </c>
      <c r="AK19" s="548">
        <f t="shared" si="2"/>
        <v>-171.1775942720131</v>
      </c>
      <c r="AL19" s="517">
        <f t="shared" si="3"/>
        <v>36.303296326521817</v>
      </c>
      <c r="AP19" s="518">
        <v>2419</v>
      </c>
      <c r="AQ19" s="518">
        <v>2337</v>
      </c>
      <c r="AT19" s="518">
        <v>36.680913058288525</v>
      </c>
      <c r="AU19" s="518">
        <v>10.677440096035827</v>
      </c>
    </row>
    <row r="20" spans="1:47">
      <c r="A20" s="507" t="s">
        <v>829</v>
      </c>
      <c r="B20" s="518">
        <v>3210.7232282585719</v>
      </c>
      <c r="C20" s="518">
        <v>3241.3233928723193</v>
      </c>
      <c r="D20" s="518">
        <v>3204.1970191856431</v>
      </c>
      <c r="E20" s="518">
        <v>3297.372867416545</v>
      </c>
      <c r="F20" s="518">
        <v>3327.88272252156</v>
      </c>
      <c r="G20" s="518">
        <v>3496.7617123102818</v>
      </c>
      <c r="H20" s="518">
        <v>3780.0486590162895</v>
      </c>
      <c r="I20" s="518">
        <v>4276.1890712487511</v>
      </c>
      <c r="J20" s="518">
        <v>4803.3583531543245</v>
      </c>
      <c r="K20" s="518">
        <v>5431.5572355722643</v>
      </c>
      <c r="L20" s="518">
        <v>6149.7864678431097</v>
      </c>
      <c r="M20" s="518">
        <v>6604.0468182770437</v>
      </c>
      <c r="N20" s="518">
        <v>6931.3390746341156</v>
      </c>
      <c r="O20" s="518">
        <v>7131.6640446166148</v>
      </c>
      <c r="P20" s="518">
        <v>7084.0225563739132</v>
      </c>
      <c r="Q20" s="518">
        <v>6858.4154590200806</v>
      </c>
      <c r="R20" s="518">
        <v>6951.8436231646156</v>
      </c>
      <c r="T20" s="517"/>
      <c r="U20" s="517"/>
      <c r="V20" s="517"/>
      <c r="W20" s="517"/>
      <c r="X20" s="517"/>
      <c r="Y20" s="517"/>
      <c r="Z20" s="517"/>
      <c r="AE20" s="517"/>
      <c r="AF20" s="517"/>
      <c r="AG20" s="517"/>
      <c r="AH20" s="512" t="s">
        <v>830</v>
      </c>
      <c r="AI20" s="548">
        <f t="shared" si="1"/>
        <v>-2419</v>
      </c>
      <c r="AJ20" s="518">
        <v>2337</v>
      </c>
      <c r="AK20" s="548">
        <f t="shared" si="2"/>
        <v>-36.680913058288525</v>
      </c>
      <c r="AL20" s="517">
        <f t="shared" si="3"/>
        <v>10.677440096035827</v>
      </c>
      <c r="AP20" s="518">
        <v>1335</v>
      </c>
      <c r="AQ20" s="518">
        <v>1341</v>
      </c>
      <c r="AT20" s="518">
        <v>9.1702282645721329</v>
      </c>
      <c r="AU20" s="518">
        <v>2.1354880192071652</v>
      </c>
    </row>
    <row r="21" spans="1:47">
      <c r="A21" s="507" t="s">
        <v>831</v>
      </c>
      <c r="B21" s="518">
        <v>3518.9021014392051</v>
      </c>
      <c r="C21" s="518">
        <v>3289.5228308661422</v>
      </c>
      <c r="D21" s="518">
        <v>3123.2088429767864</v>
      </c>
      <c r="E21" s="518">
        <v>2903.9670036109183</v>
      </c>
      <c r="F21" s="518">
        <v>2777.8049006949905</v>
      </c>
      <c r="G21" s="518">
        <v>2610.7309201846474</v>
      </c>
      <c r="H21" s="518">
        <v>2641.7543299941876</v>
      </c>
      <c r="I21" s="518">
        <v>2608.0265771541499</v>
      </c>
      <c r="J21" s="518">
        <v>2687.3057162837795</v>
      </c>
      <c r="K21" s="518">
        <v>2723.591921854118</v>
      </c>
      <c r="L21" s="518">
        <v>2863.8853727529649</v>
      </c>
      <c r="M21" s="518">
        <v>3117.1862523966838</v>
      </c>
      <c r="N21" s="518">
        <v>3567.494748844847</v>
      </c>
      <c r="O21" s="518">
        <v>4043.8110549177768</v>
      </c>
      <c r="P21" s="518">
        <v>4609.1353683170655</v>
      </c>
      <c r="Q21" s="518">
        <v>5245.4678917491447</v>
      </c>
      <c r="R21" s="518">
        <v>5651.808833051984</v>
      </c>
      <c r="T21" s="517"/>
      <c r="U21" s="517"/>
      <c r="V21" s="517"/>
      <c r="W21" s="517"/>
      <c r="X21" s="517"/>
      <c r="Y21" s="517"/>
      <c r="Z21" s="517"/>
      <c r="AE21" s="517"/>
      <c r="AF21" s="517"/>
      <c r="AG21" s="517"/>
      <c r="AH21" s="512" t="s">
        <v>832</v>
      </c>
      <c r="AI21" s="548">
        <f t="shared" si="1"/>
        <v>-1335</v>
      </c>
      <c r="AJ21" s="518">
        <v>1341</v>
      </c>
      <c r="AK21" s="548">
        <f t="shared" si="2"/>
        <v>-9.1702282645721329</v>
      </c>
      <c r="AL21" s="517">
        <f t="shared" si="3"/>
        <v>2.1354880192071652</v>
      </c>
      <c r="AP21" s="523">
        <f>SUM(AP24:AP25)</f>
        <v>2809</v>
      </c>
      <c r="AQ21" s="523">
        <f>SUM(AQ24:AQ25)</f>
        <v>2546</v>
      </c>
      <c r="AT21" s="523">
        <f>SUM(AT24:AT25)</f>
        <v>9.1702282645721329</v>
      </c>
      <c r="AU21" s="523">
        <f>SUM(AU24:AU25)</f>
        <v>2.1354880192071652</v>
      </c>
    </row>
    <row r="22" spans="1:47">
      <c r="A22" s="507" t="s">
        <v>833</v>
      </c>
      <c r="B22" s="518">
        <v>2839</v>
      </c>
      <c r="C22" s="518">
        <v>2862</v>
      </c>
      <c r="D22" s="518">
        <v>2830</v>
      </c>
      <c r="E22" s="518">
        <v>2811</v>
      </c>
      <c r="F22" s="518">
        <v>2718</v>
      </c>
      <c r="G22" s="518">
        <v>2658</v>
      </c>
      <c r="H22" s="518">
        <v>2485</v>
      </c>
      <c r="I22" s="518">
        <v>2352</v>
      </c>
      <c r="J22" s="518">
        <v>2180</v>
      </c>
      <c r="K22" s="518">
        <v>2079</v>
      </c>
      <c r="L22" s="518">
        <v>1950</v>
      </c>
      <c r="M22" s="518">
        <v>1982</v>
      </c>
      <c r="N22" s="518">
        <v>1959</v>
      </c>
      <c r="O22" s="518">
        <v>2022</v>
      </c>
      <c r="P22" s="518">
        <v>2060</v>
      </c>
      <c r="Q22" s="518">
        <v>2180</v>
      </c>
      <c r="R22" s="518">
        <v>2399</v>
      </c>
      <c r="T22" s="517"/>
      <c r="U22" s="517"/>
      <c r="V22" s="517"/>
      <c r="W22" s="517"/>
      <c r="X22" s="517"/>
      <c r="Y22" s="517"/>
      <c r="Z22" s="517"/>
      <c r="AE22" s="517"/>
      <c r="AF22" s="517"/>
      <c r="AG22" s="517"/>
      <c r="AH22" s="512" t="s">
        <v>834</v>
      </c>
      <c r="AI22" s="548">
        <f t="shared" si="1"/>
        <v>-2809</v>
      </c>
      <c r="AJ22" s="523">
        <v>2546</v>
      </c>
      <c r="AK22" s="548">
        <f t="shared" si="2"/>
        <v>-9.1702282645721329</v>
      </c>
      <c r="AL22" s="517">
        <f t="shared" si="3"/>
        <v>2.1354880192071652</v>
      </c>
    </row>
    <row r="23" spans="1:47">
      <c r="A23" s="521" t="s">
        <v>835</v>
      </c>
      <c r="B23" s="540">
        <v>2345.9021014392051</v>
      </c>
      <c r="C23" s="540">
        <v>2480.5228308661422</v>
      </c>
      <c r="D23" s="540">
        <v>2625.2088429767864</v>
      </c>
      <c r="E23" s="540">
        <v>2740.9670036109183</v>
      </c>
      <c r="F23" s="540">
        <v>2877.8049006949905</v>
      </c>
      <c r="G23" s="540">
        <v>2975.7309201846474</v>
      </c>
      <c r="H23" s="540">
        <v>3075.7543299941876</v>
      </c>
      <c r="I23" s="540">
        <v>3134.0265771541499</v>
      </c>
      <c r="J23" s="540">
        <v>3186.3057162837795</v>
      </c>
      <c r="K23" s="540">
        <v>3209.591921854118</v>
      </c>
      <c r="L23" s="540">
        <v>3234.8853727529649</v>
      </c>
      <c r="M23" s="540">
        <v>3174.1862523966838</v>
      </c>
      <c r="N23" s="540">
        <v>3126.494748844847</v>
      </c>
      <c r="O23" s="540">
        <v>3054.8110549177768</v>
      </c>
      <c r="P23" s="540">
        <v>3020.1353683170655</v>
      </c>
      <c r="Q23" s="540">
        <v>2961.4678917491447</v>
      </c>
      <c r="R23" s="540">
        <v>2970.8088330519845</v>
      </c>
      <c r="T23" s="517"/>
      <c r="U23" s="517"/>
      <c r="V23" s="517"/>
      <c r="W23" s="517"/>
      <c r="X23" s="517"/>
      <c r="Y23" s="517"/>
      <c r="Z23" s="517"/>
      <c r="AA23" s="517"/>
      <c r="AB23" s="517"/>
      <c r="AC23" s="517"/>
      <c r="AD23" s="517"/>
      <c r="AE23" s="517"/>
      <c r="AF23" s="517"/>
      <c r="AG23" s="517"/>
      <c r="AH23" s="68" t="s">
        <v>836</v>
      </c>
      <c r="AI23" s="523">
        <f>SUM(AI7:AI22)</f>
        <v>-99413</v>
      </c>
      <c r="AJ23" s="523">
        <f>SUM(AJ7:AJ22)</f>
        <v>105276</v>
      </c>
      <c r="AK23" s="523">
        <f t="shared" ref="AK23:AL23" si="4">SUM(AK7:AK22)</f>
        <v>-42412.305723646117</v>
      </c>
      <c r="AL23" s="523">
        <f t="shared" si="4"/>
        <v>4546.4539928920549</v>
      </c>
      <c r="AP23" s="517"/>
      <c r="AQ23" s="517"/>
    </row>
    <row r="24" spans="1:47">
      <c r="A24" s="507"/>
      <c r="B24" s="518"/>
      <c r="C24" s="518"/>
      <c r="D24" s="518"/>
      <c r="E24" s="518"/>
      <c r="F24" s="518"/>
      <c r="G24" s="518"/>
      <c r="H24" s="518"/>
      <c r="I24" s="518"/>
      <c r="J24" s="518"/>
      <c r="K24" s="518"/>
      <c r="L24" s="518"/>
      <c r="M24" s="518"/>
      <c r="N24" s="518"/>
      <c r="O24" s="518"/>
      <c r="P24" s="518"/>
      <c r="Q24" s="518"/>
      <c r="R24" s="518"/>
      <c r="T24" s="517"/>
      <c r="U24" s="517"/>
      <c r="V24" s="517"/>
      <c r="W24" s="517"/>
      <c r="X24" s="517"/>
      <c r="Y24" s="517"/>
      <c r="Z24" s="517"/>
      <c r="AA24" s="517"/>
      <c r="AB24" s="517"/>
      <c r="AC24" s="517"/>
      <c r="AD24" s="517"/>
      <c r="AE24" s="517"/>
      <c r="AF24" s="517"/>
      <c r="AG24" s="517"/>
      <c r="AH24" s="517"/>
      <c r="AI24" s="517"/>
      <c r="AJ24" s="517"/>
      <c r="AK24" s="517"/>
      <c r="AL24" s="517"/>
      <c r="AP24" s="518">
        <v>1072</v>
      </c>
      <c r="AQ24" s="518">
        <v>1108</v>
      </c>
      <c r="AT24" s="518">
        <v>0</v>
      </c>
      <c r="AU24" s="518">
        <v>0</v>
      </c>
    </row>
    <row r="25" spans="1:47">
      <c r="A25" s="536"/>
      <c r="B25" s="518"/>
      <c r="C25" s="518"/>
      <c r="D25" s="518"/>
      <c r="E25" s="518"/>
      <c r="F25" s="518"/>
      <c r="G25" s="518"/>
      <c r="H25" s="518"/>
      <c r="I25" s="518"/>
      <c r="J25" s="518"/>
      <c r="K25" s="518"/>
      <c r="L25" s="518"/>
      <c r="M25" s="518"/>
      <c r="N25" s="518"/>
      <c r="O25" s="518"/>
      <c r="P25" s="518"/>
      <c r="Q25" s="518"/>
      <c r="R25" s="518"/>
      <c r="T25" s="517"/>
      <c r="U25" s="517"/>
      <c r="V25" s="517"/>
      <c r="W25" s="517"/>
      <c r="X25" s="517"/>
      <c r="Y25" s="517"/>
      <c r="Z25" s="517"/>
      <c r="AA25" s="517"/>
      <c r="AB25" s="517"/>
      <c r="AC25" s="517"/>
      <c r="AD25" s="517"/>
      <c r="AE25" s="517"/>
      <c r="AF25" s="517"/>
      <c r="AG25" s="517"/>
      <c r="AH25" s="517"/>
      <c r="AI25" s="517"/>
      <c r="AJ25" s="517"/>
      <c r="AK25" s="517"/>
      <c r="AL25" s="517"/>
      <c r="AP25" s="540">
        <v>1737</v>
      </c>
      <c r="AQ25" s="540">
        <v>1438</v>
      </c>
      <c r="AT25" s="540">
        <v>9.1702282645721329</v>
      </c>
      <c r="AU25" s="540">
        <v>2.1354880192071652</v>
      </c>
    </row>
    <row r="26" spans="1:47">
      <c r="A26" s="542" t="s">
        <v>837</v>
      </c>
      <c r="B26" s="542">
        <f>SUM(B27:B43)</f>
        <v>116607.16508572652</v>
      </c>
      <c r="C26" s="542">
        <f t="shared" ref="C26:R26" si="5">SUM(C27:C43)</f>
        <v>119802.77174505685</v>
      </c>
      <c r="D26" s="542">
        <f t="shared" si="5"/>
        <v>123178.28010458603</v>
      </c>
      <c r="E26" s="542">
        <f t="shared" si="5"/>
        <v>126739.44670096223</v>
      </c>
      <c r="F26" s="542">
        <f t="shared" si="5"/>
        <v>130532.73690943942</v>
      </c>
      <c r="G26" s="542">
        <f t="shared" si="5"/>
        <v>134586.60983492032</v>
      </c>
      <c r="H26" s="542">
        <f t="shared" si="5"/>
        <v>138959.83316525223</v>
      </c>
      <c r="I26" s="542">
        <f t="shared" si="5"/>
        <v>140417.14216424804</v>
      </c>
      <c r="J26" s="542">
        <f t="shared" si="5"/>
        <v>141825.30572364613</v>
      </c>
      <c r="K26" s="542">
        <f t="shared" si="5"/>
        <v>143172.97835475917</v>
      </c>
      <c r="L26" s="542">
        <f t="shared" si="5"/>
        <v>144477.83113793258</v>
      </c>
      <c r="M26" s="542">
        <f t="shared" si="5"/>
        <v>145737.55214199168</v>
      </c>
      <c r="N26" s="542">
        <f t="shared" si="5"/>
        <v>146949.84685430708</v>
      </c>
      <c r="O26" s="542">
        <f t="shared" si="5"/>
        <v>148132.43862174693</v>
      </c>
      <c r="P26" s="542">
        <f t="shared" si="5"/>
        <v>149300.0691027928</v>
      </c>
      <c r="Q26" s="542">
        <f t="shared" si="5"/>
        <v>150478.49873110009</v>
      </c>
      <c r="R26" s="542">
        <f t="shared" si="5"/>
        <v>151618.50719079378</v>
      </c>
      <c r="T26" s="517"/>
      <c r="U26" s="517"/>
      <c r="V26" s="517"/>
      <c r="W26" s="517"/>
      <c r="X26" s="517"/>
      <c r="Y26" s="517"/>
      <c r="Z26" s="517"/>
      <c r="AA26" s="517"/>
      <c r="AB26" s="517"/>
      <c r="AC26" s="517"/>
      <c r="AD26" s="517"/>
      <c r="AE26" s="517"/>
      <c r="AF26" s="517"/>
      <c r="AG26" s="517"/>
      <c r="AH26" s="517"/>
      <c r="AI26" s="517"/>
      <c r="AJ26" s="517"/>
      <c r="AK26" s="517"/>
      <c r="AL26" s="517"/>
    </row>
    <row r="27" spans="1:47" s="312" customFormat="1">
      <c r="A27" s="518" t="s">
        <v>803</v>
      </c>
      <c r="B27" s="518">
        <v>12564.002110060355</v>
      </c>
      <c r="C27" s="518">
        <v>12577.665788544362</v>
      </c>
      <c r="D27" s="518">
        <v>12506.818197819577</v>
      </c>
      <c r="E27" s="518">
        <v>12360.721079988156</v>
      </c>
      <c r="F27" s="518">
        <v>12306.663704809438</v>
      </c>
      <c r="G27" s="518">
        <v>12341.96576480892</v>
      </c>
      <c r="H27" s="518">
        <v>12115.980574868508</v>
      </c>
      <c r="I27" s="518">
        <v>11853.35928253398</v>
      </c>
      <c r="J27" s="518">
        <v>11593.00072843489</v>
      </c>
      <c r="K27" s="518">
        <v>11317.911563821337</v>
      </c>
      <c r="L27" s="518">
        <v>11030.098608320612</v>
      </c>
      <c r="M27" s="518">
        <v>10738.568854199699</v>
      </c>
      <c r="N27" s="518">
        <v>10455.32947073566</v>
      </c>
      <c r="O27" s="518">
        <v>10193.387808696671</v>
      </c>
      <c r="P27" s="518">
        <v>9965.7514049364891</v>
      </c>
      <c r="Q27" s="518">
        <v>9782.4279871052331</v>
      </c>
      <c r="R27" s="518">
        <v>9638.4254784794175</v>
      </c>
      <c r="T27" s="517"/>
      <c r="U27" s="517"/>
      <c r="V27" s="517"/>
      <c r="W27" s="517"/>
      <c r="X27" s="517"/>
      <c r="Y27" s="517"/>
      <c r="Z27" s="517"/>
      <c r="AA27" s="517"/>
      <c r="AB27" s="517"/>
      <c r="AC27" s="517"/>
      <c r="AD27" s="517"/>
      <c r="AE27" s="517"/>
      <c r="AF27" s="517"/>
      <c r="AG27" s="517"/>
      <c r="AH27" s="517"/>
      <c r="AI27" s="517"/>
      <c r="AJ27" s="517"/>
      <c r="AK27" s="517"/>
      <c r="AL27" s="517"/>
    </row>
    <row r="28" spans="1:47">
      <c r="A28" s="518" t="s">
        <v>805</v>
      </c>
      <c r="B28" s="518">
        <v>11003.894694498906</v>
      </c>
      <c r="C28" s="518">
        <v>11575.978275001376</v>
      </c>
      <c r="D28" s="518">
        <v>12032.332696758933</v>
      </c>
      <c r="E28" s="518">
        <v>12377.091615313102</v>
      </c>
      <c r="F28" s="518">
        <v>12431.402742881415</v>
      </c>
      <c r="G28" s="518">
        <v>12269.429326710939</v>
      </c>
      <c r="H28" s="518">
        <v>12276.351782911579</v>
      </c>
      <c r="I28" s="518">
        <v>12188.651548527991</v>
      </c>
      <c r="J28" s="518">
        <v>12017.085478349731</v>
      </c>
      <c r="K28" s="518">
        <v>11936.656968759831</v>
      </c>
      <c r="L28" s="518">
        <v>11940.369502121164</v>
      </c>
      <c r="M28" s="518">
        <v>11682.226648953038</v>
      </c>
      <c r="N28" s="518">
        <v>11416.232070162891</v>
      </c>
      <c r="O28" s="518">
        <v>11149.389519334471</v>
      </c>
      <c r="P28" s="518">
        <v>10867.702845073953</v>
      </c>
      <c r="Q28" s="518">
        <v>10578.175993415438</v>
      </c>
      <c r="R28" s="518">
        <v>10278.813010287362</v>
      </c>
      <c r="T28" s="517"/>
      <c r="U28" s="517"/>
      <c r="V28" s="517"/>
      <c r="W28" s="517"/>
      <c r="X28" s="517"/>
      <c r="Y28" s="517"/>
      <c r="Z28" s="517"/>
      <c r="AA28" s="517"/>
      <c r="AB28" s="517"/>
      <c r="AC28" s="517"/>
      <c r="AD28" s="517"/>
      <c r="AE28" s="517"/>
      <c r="AF28" s="517"/>
      <c r="AG28" s="517"/>
      <c r="AH28" s="517"/>
      <c r="AI28" s="517"/>
      <c r="AJ28" s="517"/>
      <c r="AK28" s="517"/>
      <c r="AL28" s="517"/>
    </row>
    <row r="29" spans="1:47">
      <c r="A29" s="518" t="s">
        <v>807</v>
      </c>
      <c r="B29" s="518">
        <v>9467.0007033534512</v>
      </c>
      <c r="C29" s="518">
        <v>9302.888596181454</v>
      </c>
      <c r="D29" s="518">
        <v>9335.606065939859</v>
      </c>
      <c r="E29" s="518">
        <v>9622.2403599960526</v>
      </c>
      <c r="F29" s="518">
        <v>10170.887901603146</v>
      </c>
      <c r="G29" s="518">
        <v>10752.655254936306</v>
      </c>
      <c r="H29" s="518">
        <v>11316.660191622836</v>
      </c>
      <c r="I29" s="518">
        <v>11763.11976084466</v>
      </c>
      <c r="J29" s="518">
        <v>12092.666909478297</v>
      </c>
      <c r="K29" s="518">
        <v>12132.303854607111</v>
      </c>
      <c r="L29" s="518">
        <v>11951.032869440203</v>
      </c>
      <c r="M29" s="518">
        <v>11939.856284733232</v>
      </c>
      <c r="N29" s="518">
        <v>11840.77649024522</v>
      </c>
      <c r="O29" s="518">
        <v>11666.795936232224</v>
      </c>
      <c r="P29" s="518">
        <v>11581.91713497883</v>
      </c>
      <c r="Q29" s="518">
        <v>11579.142662368411</v>
      </c>
      <c r="R29" s="518">
        <v>11315.475159493139</v>
      </c>
      <c r="T29" s="517"/>
      <c r="U29" s="517"/>
      <c r="V29" s="517"/>
      <c r="W29" s="517"/>
      <c r="X29" s="517"/>
      <c r="Y29" s="517"/>
      <c r="Z29" s="517"/>
      <c r="AA29" s="517"/>
      <c r="AB29" s="517"/>
      <c r="AC29" s="517"/>
      <c r="AD29" s="517"/>
      <c r="AE29" s="517"/>
      <c r="AF29" s="517"/>
      <c r="AG29" s="517"/>
      <c r="AH29" s="517"/>
      <c r="AI29" s="517"/>
      <c r="AJ29" s="517"/>
      <c r="AK29" s="517"/>
      <c r="AL29" s="517"/>
    </row>
    <row r="30" spans="1:47">
      <c r="A30" s="518" t="s">
        <v>809</v>
      </c>
      <c r="B30" s="518">
        <v>9221.069232140344</v>
      </c>
      <c r="C30" s="518">
        <v>9847.6549621596769</v>
      </c>
      <c r="D30" s="518">
        <v>10169.612549027428</v>
      </c>
      <c r="E30" s="518">
        <v>10222.612126778189</v>
      </c>
      <c r="F30" s="518">
        <v>10044.394308058207</v>
      </c>
      <c r="G30" s="518">
        <v>10034.777596425674</v>
      </c>
      <c r="H30" s="518">
        <v>9961.666578209446</v>
      </c>
      <c r="I30" s="518">
        <v>10005.239014147282</v>
      </c>
      <c r="J30" s="518">
        <v>10304.484134503513</v>
      </c>
      <c r="K30" s="518">
        <v>10866.418968365266</v>
      </c>
      <c r="L30" s="518">
        <v>11456.060975913057</v>
      </c>
      <c r="M30" s="518">
        <v>12035.428059333983</v>
      </c>
      <c r="N30" s="518">
        <v>12499.53857401116</v>
      </c>
      <c r="O30" s="518">
        <v>12849.411339996443</v>
      </c>
      <c r="P30" s="518">
        <v>12909.065653773565</v>
      </c>
      <c r="Q30" s="518">
        <v>12751.521300319073</v>
      </c>
      <c r="R30" s="518">
        <v>12765.79856546858</v>
      </c>
      <c r="T30" s="517"/>
      <c r="U30" s="517"/>
      <c r="V30" s="517"/>
      <c r="W30" s="517"/>
      <c r="X30" s="517"/>
      <c r="Y30" s="517"/>
      <c r="Z30" s="517"/>
      <c r="AA30" s="517"/>
      <c r="AB30" s="517"/>
      <c r="AC30" s="517"/>
      <c r="AD30" s="517"/>
      <c r="AE30" s="517"/>
      <c r="AF30" s="517"/>
      <c r="AG30" s="517"/>
      <c r="AH30" s="517"/>
      <c r="AI30" s="517"/>
      <c r="AJ30" s="517"/>
      <c r="AK30" s="517"/>
      <c r="AL30" s="517"/>
    </row>
    <row r="31" spans="1:47">
      <c r="A31" s="518" t="s">
        <v>811</v>
      </c>
      <c r="B31" s="518">
        <v>11464.805464959856</v>
      </c>
      <c r="C31" s="518">
        <v>11560.87008338379</v>
      </c>
      <c r="D31" s="518">
        <v>12058.532214494204</v>
      </c>
      <c r="E31" s="518">
        <v>12890.69256148038</v>
      </c>
      <c r="F31" s="518">
        <v>13921.767238985227</v>
      </c>
      <c r="G31" s="518">
        <v>15020.74197940106</v>
      </c>
      <c r="H31" s="518">
        <v>16310.232040091236</v>
      </c>
      <c r="I31" s="518">
        <v>16746.556779359627</v>
      </c>
      <c r="J31" s="518">
        <v>16915.800872823478</v>
      </c>
      <c r="K31" s="518">
        <v>16849.088854527145</v>
      </c>
      <c r="L31" s="518">
        <v>16950.548411109332</v>
      </c>
      <c r="M31" s="518">
        <v>16979.310461611392</v>
      </c>
      <c r="N31" s="518">
        <v>17206.509239305986</v>
      </c>
      <c r="O31" s="518">
        <v>17694.282375597249</v>
      </c>
      <c r="P31" s="518">
        <v>18443.770986044903</v>
      </c>
      <c r="Q31" s="518">
        <v>19237.11975856607</v>
      </c>
      <c r="R31" s="518">
        <v>20016.477043869942</v>
      </c>
      <c r="T31" s="517"/>
      <c r="U31" s="517"/>
      <c r="V31" s="517"/>
      <c r="W31" s="517"/>
      <c r="X31" s="517"/>
      <c r="Y31" s="517"/>
      <c r="Z31" s="517"/>
      <c r="AA31" s="517"/>
      <c r="AB31" s="517"/>
      <c r="AC31" s="517"/>
      <c r="AD31" s="517"/>
      <c r="AE31" s="517"/>
      <c r="AF31" s="517"/>
      <c r="AG31" s="517"/>
    </row>
    <row r="32" spans="1:47">
      <c r="A32" s="518" t="s">
        <v>813</v>
      </c>
      <c r="B32" s="518">
        <v>14714.126203769953</v>
      </c>
      <c r="C32" s="518">
        <v>15131.631252857438</v>
      </c>
      <c r="D32" s="518">
        <v>15584.703890156003</v>
      </c>
      <c r="E32" s="518">
        <v>16078.081286458419</v>
      </c>
      <c r="F32" s="518">
        <v>16718.314337913042</v>
      </c>
      <c r="G32" s="518">
        <v>17385.853246266517</v>
      </c>
      <c r="H32" s="518">
        <v>18179.142099659191</v>
      </c>
      <c r="I32" s="518">
        <v>18473.939642564743</v>
      </c>
      <c r="J32" s="518">
        <v>19066.503802245548</v>
      </c>
      <c r="K32" s="518">
        <v>19805.03119154134</v>
      </c>
      <c r="L32" s="518">
        <v>20557.723400569583</v>
      </c>
      <c r="M32" s="518">
        <v>21438.787122725862</v>
      </c>
      <c r="N32" s="518">
        <v>22012.434283873998</v>
      </c>
      <c r="O32" s="518">
        <v>22321.882174806567</v>
      </c>
      <c r="P32" s="518">
        <v>22402.353587058773</v>
      </c>
      <c r="Q32" s="518">
        <v>22654.076952160372</v>
      </c>
      <c r="R32" s="518">
        <v>22835.286484412845</v>
      </c>
      <c r="T32" s="517"/>
      <c r="U32" s="517"/>
      <c r="V32" s="517"/>
      <c r="W32" s="517"/>
      <c r="X32" s="517"/>
      <c r="Y32" s="517"/>
      <c r="Z32" s="517"/>
      <c r="AA32" s="517"/>
      <c r="AB32" s="517"/>
      <c r="AC32" s="517"/>
      <c r="AD32" s="517"/>
      <c r="AE32" s="517"/>
      <c r="AF32" s="517"/>
      <c r="AG32" s="517"/>
      <c r="AI32" s="1438" t="s">
        <v>838</v>
      </c>
      <c r="AJ32" s="1438"/>
      <c r="AK32" s="1443" t="s">
        <v>839</v>
      </c>
      <c r="AL32" s="1443"/>
    </row>
    <row r="33" spans="1:38">
      <c r="A33" s="507" t="s">
        <v>815</v>
      </c>
      <c r="B33" s="518">
        <v>11106.701566165664</v>
      </c>
      <c r="C33" s="518">
        <v>11871.625550748073</v>
      </c>
      <c r="D33" s="518">
        <v>12699.077043132856</v>
      </c>
      <c r="E33" s="518">
        <v>13335.264896785586</v>
      </c>
      <c r="F33" s="518">
        <v>14057.945785072938</v>
      </c>
      <c r="G33" s="518">
        <v>14627.481815984611</v>
      </c>
      <c r="H33" s="518">
        <v>15108.904206248488</v>
      </c>
      <c r="I33" s="518">
        <v>14979.447849576936</v>
      </c>
      <c r="J33" s="518">
        <v>14820.220170129802</v>
      </c>
      <c r="K33" s="518">
        <v>14720.3535325012</v>
      </c>
      <c r="L33" s="518">
        <v>14550.983652110905</v>
      </c>
      <c r="M33" s="518">
        <v>14400.249680030896</v>
      </c>
      <c r="N33" s="518">
        <v>14614.294289959316</v>
      </c>
      <c r="O33" s="518">
        <v>15115.263767396167</v>
      </c>
      <c r="P33" s="518">
        <v>15757.308101076515</v>
      </c>
      <c r="Q33" s="518">
        <v>16419.581076718336</v>
      </c>
      <c r="R33" s="518">
        <v>17200.240373143584</v>
      </c>
      <c r="T33" s="517"/>
      <c r="U33" s="517"/>
      <c r="V33" s="517"/>
      <c r="W33" s="517"/>
      <c r="X33" s="517"/>
      <c r="Y33" s="517"/>
      <c r="Z33" s="517"/>
      <c r="AA33" s="517"/>
      <c r="AB33" s="517"/>
      <c r="AC33" s="517"/>
      <c r="AD33" s="517"/>
      <c r="AE33" s="517"/>
      <c r="AF33" s="517"/>
      <c r="AG33" s="517"/>
      <c r="AI33" s="68" t="s">
        <v>22</v>
      </c>
      <c r="AJ33" s="68" t="s">
        <v>23</v>
      </c>
      <c r="AK33" s="68" t="s">
        <v>22</v>
      </c>
      <c r="AL33" s="68" t="s">
        <v>23</v>
      </c>
    </row>
    <row r="34" spans="1:38">
      <c r="A34" s="507" t="s">
        <v>817</v>
      </c>
      <c r="B34" s="518">
        <v>7679.8974067453619</v>
      </c>
      <c r="C34" s="518">
        <v>8169.00848093479</v>
      </c>
      <c r="D34" s="518">
        <v>8567.6842648779511</v>
      </c>
      <c r="E34" s="518">
        <v>9159.0341062422867</v>
      </c>
      <c r="F34" s="518">
        <v>9758.4943656440373</v>
      </c>
      <c r="G34" s="518">
        <v>10407.862808900292</v>
      </c>
      <c r="H34" s="518">
        <v>11154.336616345765</v>
      </c>
      <c r="I34" s="518">
        <v>11574.629774783098</v>
      </c>
      <c r="J34" s="518">
        <v>11750.044114386106</v>
      </c>
      <c r="K34" s="518">
        <v>11952.658648232184</v>
      </c>
      <c r="L34" s="518">
        <v>11944.554389624293</v>
      </c>
      <c r="M34" s="518">
        <v>11775.814402726925</v>
      </c>
      <c r="N34" s="518">
        <v>11568.523854483909</v>
      </c>
      <c r="O34" s="518">
        <v>11328.770067850526</v>
      </c>
      <c r="P34" s="518">
        <v>11148.642576373186</v>
      </c>
      <c r="Q34" s="518">
        <v>10894.233180150823</v>
      </c>
      <c r="R34" s="518">
        <v>10658.636003212936</v>
      </c>
      <c r="T34" s="517"/>
      <c r="U34" s="517"/>
      <c r="V34" s="517"/>
      <c r="W34" s="517"/>
      <c r="X34" s="517"/>
      <c r="Y34" s="517"/>
      <c r="Z34" s="517"/>
      <c r="AA34" s="517"/>
      <c r="AB34" s="517"/>
      <c r="AC34" s="517"/>
      <c r="AD34" s="517"/>
      <c r="AE34" s="517"/>
      <c r="AF34" s="517"/>
      <c r="AG34" s="517"/>
      <c r="AH34" s="68" t="s">
        <v>804</v>
      </c>
      <c r="AI34" s="548">
        <v>-9112</v>
      </c>
      <c r="AJ34" s="548">
        <v>8400</v>
      </c>
      <c r="AK34" s="548">
        <v>-526.42547847941728</v>
      </c>
      <c r="AL34" s="548">
        <v>386.0270615882892</v>
      </c>
    </row>
    <row r="35" spans="1:38">
      <c r="A35" s="507" t="s">
        <v>819</v>
      </c>
      <c r="B35" s="518">
        <v>6241.3547021104932</v>
      </c>
      <c r="C35" s="518">
        <v>6312.4621437682326</v>
      </c>
      <c r="D35" s="518">
        <v>6454.40823205586</v>
      </c>
      <c r="E35" s="518">
        <v>6560.9639028985921</v>
      </c>
      <c r="F35" s="518">
        <v>6756.0863431787529</v>
      </c>
      <c r="G35" s="518">
        <v>7019.9385789199277</v>
      </c>
      <c r="H35" s="518">
        <v>7485.9111235784239</v>
      </c>
      <c r="I35" s="518">
        <v>7634.1330179958659</v>
      </c>
      <c r="J35" s="518">
        <v>7944.132588133938</v>
      </c>
      <c r="K35" s="518">
        <v>8226.9548360677636</v>
      </c>
      <c r="L35" s="518">
        <v>8527.6459031054183</v>
      </c>
      <c r="M35" s="518">
        <v>8874.2530986277543</v>
      </c>
      <c r="N35" s="518">
        <v>9240.8249296582999</v>
      </c>
      <c r="O35" s="518">
        <v>9361.4111311817323</v>
      </c>
      <c r="P35" s="518">
        <v>9513.0626972298633</v>
      </c>
      <c r="Q35" s="518">
        <v>9446.8319127545583</v>
      </c>
      <c r="R35" s="518">
        <v>9219.772386307548</v>
      </c>
      <c r="T35" s="517"/>
      <c r="U35" s="517"/>
      <c r="V35" s="517"/>
      <c r="W35" s="517"/>
      <c r="X35" s="517"/>
      <c r="Y35" s="517"/>
      <c r="Z35" s="517"/>
      <c r="AA35" s="517"/>
      <c r="AB35" s="517"/>
      <c r="AC35" s="517"/>
      <c r="AD35" s="517"/>
      <c r="AE35" s="517"/>
      <c r="AF35" s="517"/>
      <c r="AG35" s="517"/>
      <c r="AH35" s="68" t="s">
        <v>806</v>
      </c>
      <c r="AI35" s="548">
        <v>-10010</v>
      </c>
      <c r="AJ35" s="548">
        <v>9117</v>
      </c>
      <c r="AK35" s="548">
        <v>-268.81301028736203</v>
      </c>
      <c r="AL35" s="548">
        <v>169.53891218404596</v>
      </c>
    </row>
    <row r="36" spans="1:38">
      <c r="A36" s="507" t="s">
        <v>821</v>
      </c>
      <c r="B36" s="518">
        <v>5569.0508437832423</v>
      </c>
      <c r="C36" s="518">
        <v>5506.0272826494765</v>
      </c>
      <c r="D36" s="518">
        <v>5601.782138950678</v>
      </c>
      <c r="E36" s="518">
        <v>5759.3438178258075</v>
      </c>
      <c r="F36" s="518">
        <v>5696.8488827264464</v>
      </c>
      <c r="G36" s="518">
        <v>5711.5534305258279</v>
      </c>
      <c r="H36" s="518">
        <v>5772.8456629585398</v>
      </c>
      <c r="I36" s="518">
        <v>5773.624415062588</v>
      </c>
      <c r="J36" s="518">
        <v>5714.4354861909869</v>
      </c>
      <c r="K36" s="518">
        <v>5732.3050096242569</v>
      </c>
      <c r="L36" s="518">
        <v>5794.2597802100645</v>
      </c>
      <c r="M36" s="518">
        <v>6029.3272711108757</v>
      </c>
      <c r="N36" s="518">
        <v>6145.5356509755738</v>
      </c>
      <c r="O36" s="518">
        <v>6422.9138015457866</v>
      </c>
      <c r="P36" s="518">
        <v>6672.4913357079076</v>
      </c>
      <c r="Q36" s="518">
        <v>6934.2986160021228</v>
      </c>
      <c r="R36" s="518">
        <v>7247.3667735999798</v>
      </c>
      <c r="T36" s="517"/>
      <c r="U36" s="517"/>
      <c r="V36" s="517"/>
      <c r="W36" s="517"/>
      <c r="X36" s="517"/>
      <c r="Y36" s="517"/>
      <c r="Z36" s="517"/>
      <c r="AA36" s="517"/>
      <c r="AB36" s="517"/>
      <c r="AC36" s="517"/>
      <c r="AD36" s="517"/>
      <c r="AE36" s="517"/>
      <c r="AF36" s="517"/>
      <c r="AG36" s="517"/>
      <c r="AH36" s="68" t="s">
        <v>808</v>
      </c>
      <c r="AI36" s="548">
        <v>-11140</v>
      </c>
      <c r="AJ36" s="548">
        <v>10058</v>
      </c>
      <c r="AK36" s="548">
        <v>-175.47515949313913</v>
      </c>
      <c r="AL36" s="548">
        <v>99.115056353749964</v>
      </c>
    </row>
    <row r="37" spans="1:38">
      <c r="A37" s="507" t="s">
        <v>823</v>
      </c>
      <c r="B37" s="518">
        <v>4856.4720657876214</v>
      </c>
      <c r="C37" s="518">
        <v>4897.1141826439725</v>
      </c>
      <c r="D37" s="518">
        <v>4768.4513519149468</v>
      </c>
      <c r="E37" s="518">
        <v>4708.9773565734022</v>
      </c>
      <c r="F37" s="518">
        <v>4818.2379112007839</v>
      </c>
      <c r="G37" s="518">
        <v>4937.8361236820765</v>
      </c>
      <c r="H37" s="518">
        <v>4853.4385313122229</v>
      </c>
      <c r="I37" s="518">
        <v>4865.0182209506293</v>
      </c>
      <c r="J37" s="518">
        <v>4921.0935727920623</v>
      </c>
      <c r="K37" s="518">
        <v>4747.677134584932</v>
      </c>
      <c r="L37" s="518">
        <v>4643.7817717254102</v>
      </c>
      <c r="M37" s="518">
        <v>4569.4206752987238</v>
      </c>
      <c r="N37" s="518">
        <v>4541.6073703240127</v>
      </c>
      <c r="O37" s="518">
        <v>4462.3557242079041</v>
      </c>
      <c r="P37" s="518">
        <v>4453.6799554120998</v>
      </c>
      <c r="Q37" s="518">
        <v>4492.5946423403693</v>
      </c>
      <c r="R37" s="518">
        <v>4698.1147324505318</v>
      </c>
      <c r="T37" s="517"/>
      <c r="U37" s="517"/>
      <c r="V37" s="517"/>
      <c r="W37" s="517"/>
      <c r="X37" s="517"/>
      <c r="Y37" s="517"/>
      <c r="Z37" s="517"/>
      <c r="AA37" s="517"/>
      <c r="AB37" s="517"/>
      <c r="AC37" s="517"/>
      <c r="AD37" s="517"/>
      <c r="AE37" s="517"/>
      <c r="AF37" s="517"/>
      <c r="AG37" s="517"/>
      <c r="AH37" s="68" t="s">
        <v>810</v>
      </c>
      <c r="AI37" s="548">
        <v>-11418</v>
      </c>
      <c r="AJ37" s="548">
        <v>10096</v>
      </c>
      <c r="AK37" s="548">
        <v>-1347.798565468579</v>
      </c>
      <c r="AL37" s="548">
        <v>67.815564873618385</v>
      </c>
    </row>
    <row r="38" spans="1:38">
      <c r="A38" s="507" t="s">
        <v>825</v>
      </c>
      <c r="B38" s="518">
        <v>4052.703878560721</v>
      </c>
      <c r="C38" s="518">
        <v>4300.3396968772358</v>
      </c>
      <c r="D38" s="518">
        <v>4497.0406322332656</v>
      </c>
      <c r="E38" s="518">
        <v>4527.0238748837892</v>
      </c>
      <c r="F38" s="518">
        <v>4418.5294571822997</v>
      </c>
      <c r="G38" s="518">
        <v>4297.8226559052746</v>
      </c>
      <c r="H38" s="518">
        <v>4322.1966472313161</v>
      </c>
      <c r="I38" s="518">
        <v>4154.8087663579836</v>
      </c>
      <c r="J38" s="518">
        <v>4054.6389023183133</v>
      </c>
      <c r="K38" s="518">
        <v>4106.6925742347257</v>
      </c>
      <c r="L38" s="518">
        <v>4164.9754409468906</v>
      </c>
      <c r="M38" s="518">
        <v>4016.4933045486869</v>
      </c>
      <c r="N38" s="518">
        <v>4012.2521140146973</v>
      </c>
      <c r="O38" s="518">
        <v>4053.2579689185145</v>
      </c>
      <c r="P38" s="518">
        <v>3871.5171232451721</v>
      </c>
      <c r="Q38" s="518">
        <v>3760.0359893000873</v>
      </c>
      <c r="R38" s="518">
        <v>3668.8211417169632</v>
      </c>
      <c r="T38" s="517"/>
      <c r="U38" s="517"/>
      <c r="V38" s="517"/>
      <c r="W38" s="517"/>
      <c r="X38" s="517"/>
      <c r="Y38" s="517"/>
      <c r="Z38" s="517"/>
      <c r="AA38" s="517"/>
      <c r="AB38" s="517"/>
      <c r="AC38" s="517"/>
      <c r="AD38" s="517"/>
      <c r="AE38" s="517"/>
      <c r="AF38" s="517"/>
      <c r="AG38" s="517"/>
      <c r="AH38" s="68" t="s">
        <v>812</v>
      </c>
      <c r="AI38" s="548">
        <v>-10160</v>
      </c>
      <c r="AJ38" s="548">
        <v>9330</v>
      </c>
      <c r="AK38" s="548">
        <v>-9856.4770438699416</v>
      </c>
      <c r="AL38" s="548">
        <v>333.86124245473661</v>
      </c>
    </row>
    <row r="39" spans="1:38">
      <c r="A39" s="507" t="s">
        <v>827</v>
      </c>
      <c r="B39" s="518">
        <v>2171.3625401658151</v>
      </c>
      <c r="C39" s="518">
        <v>2309.760880556626</v>
      </c>
      <c r="D39" s="518">
        <v>2576.1476530347254</v>
      </c>
      <c r="E39" s="518">
        <v>2888.6268119101901</v>
      </c>
      <c r="F39" s="518">
        <v>3243.3132444633229</v>
      </c>
      <c r="G39" s="518">
        <v>3604.3339207751742</v>
      </c>
      <c r="H39" s="518">
        <v>3833.8291644867836</v>
      </c>
      <c r="I39" s="518">
        <v>4002.9512044106586</v>
      </c>
      <c r="J39" s="518">
        <v>4013.1775942720133</v>
      </c>
      <c r="K39" s="518">
        <v>3886.5109757020909</v>
      </c>
      <c r="L39" s="518">
        <v>3747.9540572053493</v>
      </c>
      <c r="M39" s="518">
        <v>3748.5096158523629</v>
      </c>
      <c r="N39" s="518">
        <v>3586.1804990155815</v>
      </c>
      <c r="O39" s="518">
        <v>3482.9696261490326</v>
      </c>
      <c r="P39" s="518">
        <v>3527.8799906130735</v>
      </c>
      <c r="Q39" s="518">
        <v>3578.914661545341</v>
      </c>
      <c r="R39" s="518">
        <v>3433.0767857790593</v>
      </c>
      <c r="T39" s="517"/>
      <c r="U39" s="517"/>
      <c r="V39" s="517"/>
      <c r="W39" s="517"/>
      <c r="X39" s="517"/>
      <c r="Y39" s="517"/>
      <c r="Z39" s="517"/>
      <c r="AA39" s="517"/>
      <c r="AB39" s="517"/>
      <c r="AC39" s="517"/>
      <c r="AD39" s="517"/>
      <c r="AE39" s="517"/>
      <c r="AF39" s="517"/>
      <c r="AG39" s="517"/>
      <c r="AH39" s="68" t="s">
        <v>814</v>
      </c>
      <c r="AI39" s="548">
        <v>-7274</v>
      </c>
      <c r="AJ39" s="548">
        <v>6349</v>
      </c>
      <c r="AK39" s="548">
        <v>-15561.286484412845</v>
      </c>
      <c r="AL39" s="548">
        <v>1593.6657745300322</v>
      </c>
    </row>
    <row r="40" spans="1:38">
      <c r="A40" s="507" t="s">
        <v>829</v>
      </c>
      <c r="B40" s="518">
        <v>1651.1491157498176</v>
      </c>
      <c r="C40" s="518">
        <v>1689.1630458335626</v>
      </c>
      <c r="D40" s="518">
        <v>1652.3887827931555</v>
      </c>
      <c r="E40" s="518">
        <v>1688.8486025521836</v>
      </c>
      <c r="F40" s="518">
        <v>1714.5671238135692</v>
      </c>
      <c r="G40" s="518">
        <v>1817.571554451823</v>
      </c>
      <c r="H40" s="518">
        <v>1943.8919638185964</v>
      </c>
      <c r="I40" s="518">
        <v>2180.7752580879983</v>
      </c>
      <c r="J40" s="518">
        <v>2455.6809130582888</v>
      </c>
      <c r="K40" s="518">
        <v>2770.6094947933052</v>
      </c>
      <c r="L40" s="518">
        <v>3094.5615836868606</v>
      </c>
      <c r="M40" s="518">
        <v>3292.5377748255064</v>
      </c>
      <c r="N40" s="518">
        <v>3446.5386783604818</v>
      </c>
      <c r="O40" s="518">
        <v>3451.5649198890783</v>
      </c>
      <c r="P40" s="518">
        <v>3333.6171408456585</v>
      </c>
      <c r="Q40" s="518">
        <v>3207.6959989025731</v>
      </c>
      <c r="R40" s="518">
        <v>3205.8021683812271</v>
      </c>
      <c r="T40" s="517"/>
      <c r="U40" s="517"/>
      <c r="V40" s="517"/>
      <c r="W40" s="517"/>
      <c r="X40" s="517"/>
      <c r="Y40" s="517"/>
      <c r="Z40" s="517"/>
      <c r="AA40" s="517"/>
      <c r="AB40" s="517"/>
      <c r="AC40" s="517"/>
      <c r="AD40" s="517"/>
      <c r="AE40" s="517"/>
      <c r="AF40" s="517"/>
      <c r="AG40" s="517"/>
      <c r="AH40" s="68" t="s">
        <v>816</v>
      </c>
      <c r="AI40" s="548">
        <v>-6724</v>
      </c>
      <c r="AJ40" s="548">
        <v>5610</v>
      </c>
      <c r="AK40" s="548">
        <v>-10476.240373143582</v>
      </c>
      <c r="AL40" s="548">
        <v>1236.3299134651966</v>
      </c>
    </row>
    <row r="41" spans="1:38">
      <c r="A41" s="507" t="s">
        <v>831</v>
      </c>
      <c r="B41" s="518">
        <v>1836.7872789374544</v>
      </c>
      <c r="C41" s="518">
        <v>1705.2907614583908</v>
      </c>
      <c r="D41" s="518">
        <v>1589.8471956982889</v>
      </c>
      <c r="E41" s="518">
        <v>1465.4621506380458</v>
      </c>
      <c r="F41" s="518">
        <v>1414.1417809533923</v>
      </c>
      <c r="G41" s="518">
        <v>1312.8928886129559</v>
      </c>
      <c r="H41" s="518">
        <v>1346.722990954649</v>
      </c>
      <c r="I41" s="518">
        <v>1313.9438145219997</v>
      </c>
      <c r="J41" s="518">
        <v>1344.1702282645722</v>
      </c>
      <c r="K41" s="518">
        <v>1371.4023736983263</v>
      </c>
      <c r="L41" s="518">
        <v>1457.6403959217153</v>
      </c>
      <c r="M41" s="518">
        <v>1567.8844437063765</v>
      </c>
      <c r="N41" s="518">
        <v>1779.1346695901204</v>
      </c>
      <c r="O41" s="518">
        <v>2023.3912299722697</v>
      </c>
      <c r="P41" s="518">
        <v>2303.6542852114148</v>
      </c>
      <c r="Q41" s="518">
        <v>2588.9239997256432</v>
      </c>
      <c r="R41" s="518">
        <v>2761.2005420953069</v>
      </c>
      <c r="T41" s="517"/>
      <c r="U41" s="517"/>
      <c r="V41" s="517"/>
      <c r="W41" s="517"/>
      <c r="X41" s="517"/>
      <c r="Y41" s="517"/>
      <c r="Z41" s="517"/>
      <c r="AA41" s="517"/>
      <c r="AB41" s="517"/>
      <c r="AC41" s="517"/>
      <c r="AD41" s="517"/>
      <c r="AE41" s="517"/>
      <c r="AF41" s="517"/>
      <c r="AG41" s="517"/>
      <c r="AH41" s="68" t="s">
        <v>818</v>
      </c>
      <c r="AI41" s="548">
        <v>-4405</v>
      </c>
      <c r="AJ41" s="548">
        <v>5488</v>
      </c>
      <c r="AK41" s="548">
        <v>-6253.636003212936</v>
      </c>
      <c r="AL41" s="548">
        <v>719.88830404302587</v>
      </c>
    </row>
    <row r="42" spans="1:38">
      <c r="A42" s="507" t="s">
        <v>833</v>
      </c>
      <c r="B42" s="518">
        <v>1557</v>
      </c>
      <c r="C42" s="518">
        <v>1526</v>
      </c>
      <c r="D42" s="518">
        <v>1519</v>
      </c>
      <c r="E42" s="518">
        <v>1500</v>
      </c>
      <c r="F42" s="518">
        <v>1405</v>
      </c>
      <c r="G42" s="518">
        <v>1348</v>
      </c>
      <c r="H42" s="518">
        <v>1258</v>
      </c>
      <c r="I42" s="518">
        <v>1168</v>
      </c>
      <c r="J42" s="518">
        <v>1072</v>
      </c>
      <c r="K42" s="518">
        <v>1031</v>
      </c>
      <c r="L42" s="518">
        <v>952</v>
      </c>
      <c r="M42" s="518">
        <v>983</v>
      </c>
      <c r="N42" s="518">
        <v>960</v>
      </c>
      <c r="O42" s="518">
        <v>982</v>
      </c>
      <c r="P42" s="518">
        <v>1008</v>
      </c>
      <c r="Q42" s="518">
        <v>1081</v>
      </c>
      <c r="R42" s="518">
        <v>1177</v>
      </c>
      <c r="T42" s="517"/>
      <c r="U42" s="517"/>
      <c r="V42" s="517"/>
      <c r="W42" s="517"/>
      <c r="X42" s="517"/>
      <c r="Y42" s="517"/>
      <c r="Z42" s="517"/>
      <c r="AA42" s="517"/>
      <c r="AB42" s="517"/>
      <c r="AC42" s="517"/>
      <c r="AD42" s="517"/>
      <c r="AE42" s="517"/>
      <c r="AF42" s="517"/>
      <c r="AG42" s="517"/>
      <c r="AH42" s="68" t="s">
        <v>820</v>
      </c>
      <c r="AI42" s="548">
        <v>-5658</v>
      </c>
      <c r="AJ42" s="548">
        <v>8514</v>
      </c>
      <c r="AK42" s="548">
        <v>-3561.7723863075475</v>
      </c>
      <c r="AL42" s="548">
        <v>396.46022541499963</v>
      </c>
    </row>
    <row r="43" spans="1:38">
      <c r="A43" s="521" t="s">
        <v>835</v>
      </c>
      <c r="B43" s="540">
        <v>1449.7872789374544</v>
      </c>
      <c r="C43" s="540">
        <v>1519.2907614583908</v>
      </c>
      <c r="D43" s="540">
        <v>1564.8471956982889</v>
      </c>
      <c r="E43" s="540">
        <v>1594.4621506380458</v>
      </c>
      <c r="F43" s="540">
        <v>1656.1417809533923</v>
      </c>
      <c r="G43" s="540">
        <v>1695.8928886129559</v>
      </c>
      <c r="H43" s="540">
        <v>1719.722990954649</v>
      </c>
      <c r="I43" s="540">
        <v>1738.9438145219997</v>
      </c>
      <c r="J43" s="540">
        <v>1746.1702282645722</v>
      </c>
      <c r="K43" s="540">
        <v>1719.4023736983263</v>
      </c>
      <c r="L43" s="540">
        <v>1713.6403959217153</v>
      </c>
      <c r="M43" s="540">
        <v>1665.8844437063765</v>
      </c>
      <c r="N43" s="540">
        <v>1624.1346695901204</v>
      </c>
      <c r="O43" s="540">
        <v>1573.3912299722697</v>
      </c>
      <c r="P43" s="540">
        <v>1539.6542852114146</v>
      </c>
      <c r="Q43" s="540">
        <v>1491.9239997256432</v>
      </c>
      <c r="R43" s="540">
        <v>1498.2005420953067</v>
      </c>
      <c r="T43" s="517"/>
      <c r="U43" s="517"/>
      <c r="V43" s="517"/>
      <c r="W43" s="517"/>
      <c r="X43" s="517"/>
      <c r="Y43" s="517"/>
      <c r="Z43" s="517"/>
      <c r="AA43" s="517"/>
      <c r="AB43" s="517"/>
      <c r="AC43" s="517"/>
      <c r="AD43" s="517"/>
      <c r="AE43" s="517"/>
      <c r="AF43" s="517"/>
      <c r="AG43" s="517"/>
      <c r="AH43" s="68" t="s">
        <v>822</v>
      </c>
      <c r="AI43" s="548">
        <v>-5179</v>
      </c>
      <c r="AJ43" s="548">
        <v>7692</v>
      </c>
      <c r="AK43" s="548">
        <v>-2068.3667735999798</v>
      </c>
      <c r="AL43" s="548">
        <v>281.69542332118397</v>
      </c>
    </row>
    <row r="44" spans="1:38">
      <c r="A44" s="507"/>
      <c r="B44" s="518"/>
      <c r="C44" s="518"/>
      <c r="D44" s="518"/>
      <c r="E44" s="518"/>
      <c r="F44" s="518"/>
      <c r="G44" s="518"/>
      <c r="H44" s="518"/>
      <c r="I44" s="518"/>
      <c r="J44" s="518"/>
      <c r="K44" s="518"/>
      <c r="L44" s="518"/>
      <c r="M44" s="518"/>
      <c r="N44" s="518"/>
      <c r="O44" s="518"/>
      <c r="P44" s="518"/>
      <c r="Q44" s="518"/>
      <c r="R44" s="518"/>
      <c r="T44" s="517"/>
      <c r="U44" s="517"/>
      <c r="V44" s="517"/>
      <c r="W44" s="517"/>
      <c r="X44" s="517"/>
      <c r="Y44" s="517"/>
      <c r="Z44" s="517"/>
      <c r="AA44" s="517"/>
      <c r="AB44" s="517"/>
      <c r="AC44" s="517"/>
      <c r="AD44" s="517"/>
      <c r="AE44" s="517"/>
      <c r="AF44" s="517"/>
      <c r="AG44" s="517"/>
      <c r="AH44" s="68" t="s">
        <v>824</v>
      </c>
      <c r="AI44" s="548">
        <v>-3705</v>
      </c>
      <c r="AJ44" s="548">
        <v>5486</v>
      </c>
      <c r="AK44" s="548">
        <v>-993.11473245053196</v>
      </c>
      <c r="AL44" s="548">
        <v>125.19796592052629</v>
      </c>
    </row>
    <row r="45" spans="1:38">
      <c r="A45" s="536"/>
      <c r="B45" s="518"/>
      <c r="C45" s="518"/>
      <c r="D45" s="518"/>
      <c r="E45" s="518"/>
      <c r="F45" s="518"/>
      <c r="G45" s="518"/>
      <c r="H45" s="518"/>
      <c r="I45" s="518"/>
      <c r="J45" s="518"/>
      <c r="K45" s="518"/>
      <c r="L45" s="518"/>
      <c r="M45" s="518"/>
      <c r="N45" s="518"/>
      <c r="O45" s="518"/>
      <c r="P45" s="518"/>
      <c r="Q45" s="518"/>
      <c r="R45" s="518"/>
      <c r="T45" s="517"/>
      <c r="U45" s="517"/>
      <c r="V45" s="517"/>
      <c r="W45" s="517"/>
      <c r="X45" s="517"/>
      <c r="Y45" s="517"/>
      <c r="Z45" s="517"/>
      <c r="AA45" s="517"/>
      <c r="AB45" s="517"/>
      <c r="AC45" s="517"/>
      <c r="AD45" s="517"/>
      <c r="AE45" s="517"/>
      <c r="AF45" s="517"/>
      <c r="AG45" s="517"/>
      <c r="AH45" s="68" t="s">
        <v>826</v>
      </c>
      <c r="AI45" s="548">
        <v>-3232</v>
      </c>
      <c r="AJ45" s="548">
        <v>4803</v>
      </c>
      <c r="AK45" s="548">
        <v>-436.82114171696327</v>
      </c>
      <c r="AL45" s="548">
        <v>80.857019657006546</v>
      </c>
    </row>
    <row r="46" spans="1:38">
      <c r="A46" s="542" t="s">
        <v>23</v>
      </c>
      <c r="B46" s="542">
        <f>SUM(B47:B63)</f>
        <v>103572.45710622755</v>
      </c>
      <c r="C46" s="542">
        <f t="shared" ref="C46:R46" si="6">SUM(C47:C63)</f>
        <v>104603.07576910268</v>
      </c>
      <c r="D46" s="542">
        <f t="shared" si="6"/>
        <v>105586.94705592121</v>
      </c>
      <c r="E46" s="542">
        <f t="shared" si="6"/>
        <v>106517.83197924511</v>
      </c>
      <c r="F46" s="542">
        <f t="shared" si="6"/>
        <v>107385.78192986245</v>
      </c>
      <c r="G46" s="542">
        <f t="shared" si="6"/>
        <v>108241.16921613176</v>
      </c>
      <c r="H46" s="542">
        <f t="shared" si="6"/>
        <v>109056.72081517766</v>
      </c>
      <c r="I46" s="542">
        <f t="shared" si="6"/>
        <v>109476.20164384843</v>
      </c>
      <c r="J46" s="542">
        <f t="shared" si="6"/>
        <v>109822.45399289207</v>
      </c>
      <c r="K46" s="542">
        <f t="shared" si="6"/>
        <v>110097.54802368087</v>
      </c>
      <c r="L46" s="542">
        <f t="shared" si="6"/>
        <v>110295.55567373079</v>
      </c>
      <c r="M46" s="542">
        <f t="shared" si="6"/>
        <v>110416.5507016645</v>
      </c>
      <c r="N46" s="542">
        <f t="shared" si="6"/>
        <v>110446.60873331322</v>
      </c>
      <c r="O46" s="542">
        <f t="shared" si="6"/>
        <v>110440.80730898512</v>
      </c>
      <c r="P46" s="542">
        <f t="shared" si="6"/>
        <v>110387.22593193073</v>
      </c>
      <c r="Q46" s="542">
        <f t="shared" si="6"/>
        <v>110281.9461180348</v>
      </c>
      <c r="R46" s="542">
        <f t="shared" si="6"/>
        <v>110145.05144676668</v>
      </c>
      <c r="T46" s="517"/>
      <c r="U46" s="517"/>
      <c r="V46" s="517"/>
      <c r="W46" s="517"/>
      <c r="X46" s="517"/>
      <c r="Y46" s="517"/>
      <c r="Z46" s="517"/>
      <c r="AA46" s="517"/>
      <c r="AB46" s="517"/>
      <c r="AC46" s="517"/>
      <c r="AD46" s="517"/>
      <c r="AE46" s="517"/>
      <c r="AF46" s="517"/>
      <c r="AG46" s="517"/>
      <c r="AH46" s="68" t="s">
        <v>828</v>
      </c>
      <c r="AI46" s="548">
        <v>-3224</v>
      </c>
      <c r="AJ46" s="548">
        <v>4336</v>
      </c>
      <c r="AK46" s="548">
        <v>-209.07678577905941</v>
      </c>
      <c r="AL46" s="548">
        <v>44.340946263519712</v>
      </c>
    </row>
    <row r="47" spans="1:38">
      <c r="A47" s="518" t="s">
        <v>803</v>
      </c>
      <c r="B47" s="518">
        <v>11311.993730259126</v>
      </c>
      <c r="C47" s="518">
        <v>11300.346272347204</v>
      </c>
      <c r="D47" s="518">
        <v>11293.523797217631</v>
      </c>
      <c r="E47" s="518">
        <v>11191.718239985099</v>
      </c>
      <c r="F47" s="518">
        <v>11198.141721756525</v>
      </c>
      <c r="G47" s="518">
        <v>11214.02867261038</v>
      </c>
      <c r="H47" s="518">
        <v>11004.638177851713</v>
      </c>
      <c r="I47" s="518">
        <v>10770.248869558274</v>
      </c>
      <c r="J47" s="518">
        <v>10534.052226842661</v>
      </c>
      <c r="K47" s="518">
        <v>10286.053127057197</v>
      </c>
      <c r="L47" s="518">
        <v>10030.256571024967</v>
      </c>
      <c r="M47" s="518">
        <v>9767.6676861654978</v>
      </c>
      <c r="N47" s="518">
        <v>9514.2917296995565</v>
      </c>
      <c r="O47" s="518">
        <v>9277.134091935086</v>
      </c>
      <c r="P47" s="518">
        <v>9075.2002996363299</v>
      </c>
      <c r="Q47" s="518">
        <v>8912.4960194782307</v>
      </c>
      <c r="R47" s="518">
        <v>8786.0270615882891</v>
      </c>
      <c r="T47" s="517"/>
      <c r="U47" s="517"/>
      <c r="V47" s="517"/>
      <c r="W47" s="517"/>
      <c r="X47" s="517"/>
      <c r="Y47" s="517"/>
      <c r="Z47" s="517"/>
      <c r="AA47" s="517"/>
      <c r="AB47" s="517"/>
      <c r="AC47" s="517"/>
      <c r="AD47" s="517"/>
      <c r="AE47" s="517"/>
      <c r="AF47" s="517"/>
      <c r="AG47" s="517"/>
      <c r="AH47" s="68" t="s">
        <v>830</v>
      </c>
      <c r="AI47" s="548">
        <v>-3161</v>
      </c>
      <c r="AJ47" s="548">
        <v>3733</v>
      </c>
      <c r="AK47" s="548">
        <v>-44.802168381226998</v>
      </c>
      <c r="AL47" s="548">
        <v>13.041454783388154</v>
      </c>
    </row>
    <row r="48" spans="1:38">
      <c r="A48" s="518" t="s">
        <v>805</v>
      </c>
      <c r="B48" s="518">
        <v>10426.463462613805</v>
      </c>
      <c r="C48" s="518">
        <v>10879.084511503839</v>
      </c>
      <c r="D48" s="518">
        <v>11131.507073102337</v>
      </c>
      <c r="E48" s="518">
        <v>11362.815443236699</v>
      </c>
      <c r="F48" s="518">
        <v>11293.10278320388</v>
      </c>
      <c r="G48" s="518">
        <v>10975.472052159965</v>
      </c>
      <c r="H48" s="518">
        <v>10955.037037570009</v>
      </c>
      <c r="I48" s="518">
        <v>10928.379571089783</v>
      </c>
      <c r="J48" s="518">
        <v>10808.806721248466</v>
      </c>
      <c r="K48" s="518">
        <v>10794.320630126471</v>
      </c>
      <c r="L48" s="518">
        <v>10786.923494031236</v>
      </c>
      <c r="M48" s="518">
        <v>10550.617564869983</v>
      </c>
      <c r="N48" s="518">
        <v>10311.405151557237</v>
      </c>
      <c r="O48" s="518">
        <v>10071.288621457978</v>
      </c>
      <c r="P48" s="518">
        <v>9817.2704018673066</v>
      </c>
      <c r="Q48" s="518">
        <v>9554.3529815276015</v>
      </c>
      <c r="R48" s="518">
        <v>9286.5389121840453</v>
      </c>
      <c r="T48" s="517"/>
      <c r="U48" s="517"/>
      <c r="V48" s="517"/>
      <c r="W48" s="517"/>
      <c r="X48" s="517"/>
      <c r="Y48" s="517"/>
      <c r="Z48" s="517"/>
      <c r="AA48" s="517"/>
      <c r="AB48" s="517"/>
      <c r="AC48" s="517"/>
      <c r="AD48" s="517"/>
      <c r="AE48" s="517"/>
      <c r="AF48" s="517"/>
      <c r="AG48" s="517"/>
      <c r="AH48" s="68" t="s">
        <v>832</v>
      </c>
      <c r="AI48" s="548">
        <v>-2750</v>
      </c>
      <c r="AJ48" s="548">
        <v>2888</v>
      </c>
      <c r="AK48" s="548">
        <v>-11.200542095306751</v>
      </c>
      <c r="AL48" s="548">
        <v>2.6082909566776307</v>
      </c>
    </row>
    <row r="49" spans="1:51">
      <c r="A49" s="518" t="s">
        <v>807</v>
      </c>
      <c r="B49" s="518">
        <v>8797.3632550665316</v>
      </c>
      <c r="C49" s="518">
        <v>8718.8186374945526</v>
      </c>
      <c r="D49" s="518">
        <v>8752.7425965829061</v>
      </c>
      <c r="E49" s="518">
        <v>9013.1844129691472</v>
      </c>
      <c r="F49" s="518">
        <v>9546.1985501807303</v>
      </c>
      <c r="G49" s="518">
        <v>10133.845199724286</v>
      </c>
      <c r="H49" s="518">
        <v>10582.190883502466</v>
      </c>
      <c r="I49" s="518">
        <v>10822.14498002172</v>
      </c>
      <c r="J49" s="518">
        <v>11042.148544729873</v>
      </c>
      <c r="K49" s="518">
        <v>10957.20282992009</v>
      </c>
      <c r="L49" s="518">
        <v>10627.309119587491</v>
      </c>
      <c r="M49" s="518">
        <v>10594.468730231682</v>
      </c>
      <c r="N49" s="518">
        <v>10557.683011679615</v>
      </c>
      <c r="O49" s="518">
        <v>10430.953347929279</v>
      </c>
      <c r="P49" s="518">
        <v>10407.281158014734</v>
      </c>
      <c r="Q49" s="518">
        <v>10395.667896893059</v>
      </c>
      <c r="R49" s="518">
        <v>10157.11505635375</v>
      </c>
      <c r="T49" s="517"/>
      <c r="U49" s="517"/>
      <c r="V49" s="517"/>
      <c r="W49" s="517"/>
      <c r="X49" s="517"/>
      <c r="Y49" s="517"/>
      <c r="Z49" s="517"/>
      <c r="AA49" s="517"/>
      <c r="AB49" s="517"/>
      <c r="AC49" s="517"/>
      <c r="AD49" s="517"/>
      <c r="AE49" s="517"/>
      <c r="AF49" s="517"/>
      <c r="AG49" s="517"/>
      <c r="AH49" s="68" t="s">
        <v>834</v>
      </c>
      <c r="AI49" s="548">
        <v>-2664</v>
      </c>
      <c r="AJ49" s="548">
        <v>2692</v>
      </c>
      <c r="AK49" s="548">
        <v>-11.200542095306751</v>
      </c>
      <c r="AL49" s="548">
        <v>2.6082909566776307</v>
      </c>
    </row>
    <row r="50" spans="1:51">
      <c r="A50" s="518" t="s">
        <v>809</v>
      </c>
      <c r="B50" s="518">
        <v>8414.985385045522</v>
      </c>
      <c r="C50" s="518">
        <v>8646.0338046015349</v>
      </c>
      <c r="D50" s="518">
        <v>8850.4028292409348</v>
      </c>
      <c r="E50" s="518">
        <v>8919.12617729468</v>
      </c>
      <c r="F50" s="518">
        <v>8673.2411132815523</v>
      </c>
      <c r="G50" s="518">
        <v>8461.7888208639852</v>
      </c>
      <c r="H50" s="518">
        <v>8376.8148150280031</v>
      </c>
      <c r="I50" s="518">
        <v>8405.1518284359136</v>
      </c>
      <c r="J50" s="518">
        <v>8656.5226884993863</v>
      </c>
      <c r="K50" s="518">
        <v>9172.9282520505894</v>
      </c>
      <c r="L50" s="518">
        <v>9754.3693976124941</v>
      </c>
      <c r="M50" s="518">
        <v>10185.847025947993</v>
      </c>
      <c r="N50" s="518">
        <v>10422.362060622894</v>
      </c>
      <c r="O50" s="518">
        <v>10633.915448583191</v>
      </c>
      <c r="P50" s="518">
        <v>10542.508160746924</v>
      </c>
      <c r="Q50" s="518">
        <v>10204.141192611041</v>
      </c>
      <c r="R50" s="518">
        <v>10163.815564873619</v>
      </c>
      <c r="T50" s="517"/>
      <c r="U50" s="517"/>
      <c r="V50" s="517"/>
      <c r="W50" s="517"/>
      <c r="X50" s="517"/>
      <c r="Y50" s="517"/>
      <c r="Z50" s="517"/>
      <c r="AA50" s="517"/>
      <c r="AB50" s="517"/>
      <c r="AC50" s="517"/>
      <c r="AD50" s="517"/>
      <c r="AE50" s="517"/>
      <c r="AF50" s="517"/>
      <c r="AG50" s="517"/>
      <c r="AH50" s="68" t="s">
        <v>836</v>
      </c>
      <c r="AI50" s="523">
        <f>SUM(AI34:AI49)</f>
        <v>-99816</v>
      </c>
      <c r="AJ50" s="523">
        <f>SUM(AJ34:AJ49)</f>
        <v>104592</v>
      </c>
      <c r="AK50" s="523">
        <f>SUM(AK34:AK49)</f>
        <v>-51802.507190793716</v>
      </c>
      <c r="AL50" s="523">
        <f>SUM(AL34:AL49)</f>
        <v>5553.0514467666735</v>
      </c>
    </row>
    <row r="51" spans="1:51">
      <c r="A51" s="518" t="s">
        <v>811</v>
      </c>
      <c r="B51" s="518">
        <v>9408.6972802241089</v>
      </c>
      <c r="C51" s="518">
        <v>8571.7048841921751</v>
      </c>
      <c r="D51" s="518">
        <v>7998.2908516476809</v>
      </c>
      <c r="E51" s="518">
        <v>7658.6211805276544</v>
      </c>
      <c r="F51" s="518">
        <v>7673.8793269245625</v>
      </c>
      <c r="G51" s="518">
        <v>7965.2680411765441</v>
      </c>
      <c r="H51" s="518">
        <v>8208.0113970609418</v>
      </c>
      <c r="I51" s="518">
        <v>8399.5936169152646</v>
      </c>
      <c r="J51" s="518">
        <v>8461.3424664585164</v>
      </c>
      <c r="K51" s="518">
        <v>8208.2621639413592</v>
      </c>
      <c r="L51" s="518">
        <v>7987.3570343999718</v>
      </c>
      <c r="M51" s="518">
        <v>7891.6315123593495</v>
      </c>
      <c r="N51" s="518">
        <v>7909.0901446050211</v>
      </c>
      <c r="O51" s="518">
        <v>8155.73759302494</v>
      </c>
      <c r="P51" s="518">
        <v>8666.5786375233129</v>
      </c>
      <c r="Q51" s="518">
        <v>9238.6181790081991</v>
      </c>
      <c r="R51" s="518">
        <v>9663.8612424547373</v>
      </c>
      <c r="T51" s="517"/>
      <c r="U51" s="517"/>
      <c r="V51" s="517"/>
      <c r="W51" s="517"/>
      <c r="X51" s="517"/>
      <c r="Y51" s="517"/>
      <c r="Z51" s="517"/>
      <c r="AA51" s="517"/>
      <c r="AB51" s="517"/>
      <c r="AC51" s="517"/>
      <c r="AD51" s="517"/>
      <c r="AE51" s="517"/>
      <c r="AF51" s="517"/>
      <c r="AG51" s="517"/>
      <c r="AH51" s="517"/>
      <c r="AI51" s="517"/>
      <c r="AJ51" s="517"/>
      <c r="AK51" s="517"/>
      <c r="AL51" s="517"/>
    </row>
    <row r="52" spans="1:51">
      <c r="A52" s="518" t="s">
        <v>813</v>
      </c>
      <c r="B52" s="518">
        <v>11739.156548569768</v>
      </c>
      <c r="C52" s="518">
        <v>11540.794408136089</v>
      </c>
      <c r="D52" s="518">
        <v>11142.966487161977</v>
      </c>
      <c r="E52" s="518">
        <v>10645.465166424972</v>
      </c>
      <c r="F52" s="518">
        <v>10127.166162116466</v>
      </c>
      <c r="G52" s="518">
        <v>9355.0372903036623</v>
      </c>
      <c r="H52" s="518">
        <v>8604.1481531580848</v>
      </c>
      <c r="I52" s="518">
        <v>8028.567968243955</v>
      </c>
      <c r="J52" s="518">
        <v>7682.7831797355775</v>
      </c>
      <c r="K52" s="518">
        <v>7695.8139231888308</v>
      </c>
      <c r="L52" s="518">
        <v>7975.6808438936159</v>
      </c>
      <c r="M52" s="518">
        <v>8208.405109777832</v>
      </c>
      <c r="N52" s="518">
        <v>8411.008424638032</v>
      </c>
      <c r="O52" s="518">
        <v>8480.5130417049859</v>
      </c>
      <c r="P52" s="518">
        <v>8235.9417775526872</v>
      </c>
      <c r="Q52" s="518">
        <v>8027.3180263594495</v>
      </c>
      <c r="R52" s="518">
        <v>7942.6657745300326</v>
      </c>
      <c r="T52" s="517"/>
      <c r="U52" s="517"/>
      <c r="V52" s="517"/>
      <c r="W52" s="517"/>
      <c r="X52" s="517"/>
      <c r="Y52" s="517"/>
      <c r="Z52" s="517"/>
      <c r="AA52" s="517"/>
      <c r="AB52" s="517"/>
      <c r="AC52" s="517"/>
      <c r="AD52" s="517"/>
      <c r="AE52" s="517"/>
      <c r="AF52" s="517"/>
      <c r="AG52" s="517"/>
      <c r="AH52" s="517"/>
      <c r="AI52" s="517"/>
      <c r="AJ52" s="517"/>
      <c r="AK52" s="517"/>
      <c r="AL52" s="517"/>
    </row>
    <row r="53" spans="1:51">
      <c r="A53" s="507" t="s">
        <v>815</v>
      </c>
      <c r="B53" s="518">
        <v>9329.4258658299022</v>
      </c>
      <c r="C53" s="518">
        <v>9897.0008992741514</v>
      </c>
      <c r="D53" s="518">
        <v>10398.420810007818</v>
      </c>
      <c r="E53" s="518">
        <v>10576.300309141468</v>
      </c>
      <c r="F53" s="518">
        <v>10751.31875751752</v>
      </c>
      <c r="G53" s="518">
        <v>10934.226964981892</v>
      </c>
      <c r="H53" s="518">
        <v>10735.854704741298</v>
      </c>
      <c r="I53" s="518">
        <v>10269.229487639337</v>
      </c>
      <c r="J53" s="518">
        <v>9691.2213211041962</v>
      </c>
      <c r="K53" s="518">
        <v>9085.8458258453466</v>
      </c>
      <c r="L53" s="518">
        <v>8217.1190180123958</v>
      </c>
      <c r="M53" s="518">
        <v>7357.0573192057163</v>
      </c>
      <c r="N53" s="518">
        <v>6757.677566740469</v>
      </c>
      <c r="O53" s="518">
        <v>6389.9970241704796</v>
      </c>
      <c r="P53" s="518">
        <v>6382.033392078516</v>
      </c>
      <c r="Q53" s="518">
        <v>6639.8048191397374</v>
      </c>
      <c r="R53" s="518">
        <v>6846.329913465197</v>
      </c>
      <c r="T53" s="517"/>
      <c r="U53" s="517"/>
      <c r="V53" s="517"/>
      <c r="W53" s="517"/>
      <c r="X53" s="517"/>
      <c r="Y53" s="517"/>
      <c r="Z53" s="517"/>
      <c r="AA53" s="517"/>
      <c r="AB53" s="517"/>
      <c r="AC53" s="517"/>
      <c r="AD53" s="517"/>
      <c r="AE53" s="517"/>
      <c r="AF53" s="517"/>
      <c r="AG53" s="517"/>
      <c r="AH53" s="517"/>
      <c r="AI53" s="517"/>
      <c r="AJ53" s="517"/>
      <c r="AK53" s="517"/>
      <c r="AL53" s="517"/>
    </row>
    <row r="54" spans="1:51">
      <c r="A54" s="507" t="s">
        <v>817</v>
      </c>
      <c r="B54" s="518">
        <v>6812.6910104832341</v>
      </c>
      <c r="C54" s="518">
        <v>7110.051156539379</v>
      </c>
      <c r="D54" s="518">
        <v>7359.8146488653119</v>
      </c>
      <c r="E54" s="518">
        <v>7799.3394205127533</v>
      </c>
      <c r="F54" s="518">
        <v>8276.0210486810884</v>
      </c>
      <c r="G54" s="518">
        <v>8659.2967137869236</v>
      </c>
      <c r="H54" s="518">
        <v>9210.6495749126534</v>
      </c>
      <c r="I54" s="518">
        <v>9651.8424864735371</v>
      </c>
      <c r="J54" s="518">
        <v>9761.3946933011775</v>
      </c>
      <c r="K54" s="518">
        <v>9868.3152909985547</v>
      </c>
      <c r="L54" s="518">
        <v>9968.61360542494</v>
      </c>
      <c r="M54" s="518">
        <v>9684.2991985248482</v>
      </c>
      <c r="N54" s="518">
        <v>9198.3818743045777</v>
      </c>
      <c r="O54" s="518">
        <v>8605.871684960026</v>
      </c>
      <c r="P54" s="518">
        <v>7976.7789371596427</v>
      </c>
      <c r="Q54" s="518">
        <v>7087.1141984864289</v>
      </c>
      <c r="R54" s="518">
        <v>6207.8883040430255</v>
      </c>
      <c r="T54" s="517"/>
      <c r="U54" s="517"/>
      <c r="V54" s="517"/>
      <c r="W54" s="517"/>
      <c r="X54" s="517"/>
      <c r="Y54" s="517"/>
      <c r="Z54" s="517"/>
      <c r="AA54" s="517"/>
      <c r="AB54" s="517"/>
      <c r="AC54" s="517"/>
      <c r="AD54" s="517"/>
      <c r="AE54" s="517"/>
      <c r="AF54" s="517"/>
      <c r="AG54" s="517"/>
      <c r="AH54" s="517"/>
      <c r="AI54" s="517"/>
      <c r="AJ54" s="517"/>
      <c r="AK54" s="517"/>
      <c r="AL54" s="517"/>
    </row>
    <row r="55" spans="1:51">
      <c r="A55" s="507" t="s">
        <v>819</v>
      </c>
      <c r="B55" s="518">
        <v>6191.453020266129</v>
      </c>
      <c r="C55" s="518">
        <v>6163.2745499782086</v>
      </c>
      <c r="D55" s="518">
        <v>6230.9703863316208</v>
      </c>
      <c r="E55" s="518">
        <v>6246.7376518765886</v>
      </c>
      <c r="F55" s="518">
        <v>6215.7942007229176</v>
      </c>
      <c r="G55" s="518">
        <v>6343.3807988971466</v>
      </c>
      <c r="H55" s="518">
        <v>6627.7635340098677</v>
      </c>
      <c r="I55" s="518">
        <v>6841.579920086876</v>
      </c>
      <c r="J55" s="518">
        <v>7239.5941789194894</v>
      </c>
      <c r="K55" s="518">
        <v>7677.8113196803642</v>
      </c>
      <c r="L55" s="518">
        <v>8008.236478349967</v>
      </c>
      <c r="M55" s="518">
        <v>8504.874920926728</v>
      </c>
      <c r="N55" s="518">
        <v>8931.7320467184636</v>
      </c>
      <c r="O55" s="518">
        <v>9028.8133917171162</v>
      </c>
      <c r="P55" s="518">
        <v>9118.1246320589344</v>
      </c>
      <c r="Q55" s="518">
        <v>9207.6715875722366</v>
      </c>
      <c r="R55" s="518">
        <v>8910.4602254149995</v>
      </c>
      <c r="T55" s="517"/>
      <c r="U55" s="517"/>
      <c r="V55" s="517"/>
      <c r="W55" s="517"/>
      <c r="X55" s="517"/>
      <c r="Y55" s="517"/>
      <c r="Z55" s="517"/>
      <c r="AA55" s="517"/>
      <c r="AB55" s="517"/>
      <c r="AC55" s="517"/>
      <c r="AD55" s="517"/>
      <c r="AE55" s="517"/>
      <c r="AF55" s="517"/>
      <c r="AG55" s="517"/>
      <c r="AH55" s="517"/>
      <c r="AI55" s="517"/>
      <c r="AJ55" s="517"/>
      <c r="AK55" s="517"/>
      <c r="AL55" s="517"/>
    </row>
    <row r="56" spans="1:51">
      <c r="A56" s="507" t="s">
        <v>821</v>
      </c>
      <c r="B56" s="518">
        <v>5476.4008301890917</v>
      </c>
      <c r="C56" s="518">
        <v>5537.0634960371481</v>
      </c>
      <c r="D56" s="518">
        <v>5693.0579060777309</v>
      </c>
      <c r="E56" s="518">
        <v>5844.5241210702079</v>
      </c>
      <c r="F56" s="518">
        <v>5809.6169320925992</v>
      </c>
      <c r="G56" s="518">
        <v>5837.5074097427096</v>
      </c>
      <c r="H56" s="518">
        <v>5806.3846162701693</v>
      </c>
      <c r="I56" s="518">
        <v>5854.9383642722541</v>
      </c>
      <c r="J56" s="518">
        <v>5846.6327060743733</v>
      </c>
      <c r="K56" s="518">
        <v>5794.4712008255219</v>
      </c>
      <c r="L56" s="518">
        <v>5894.4574977749762</v>
      </c>
      <c r="M56" s="518">
        <v>6151.5953385532011</v>
      </c>
      <c r="N56" s="518">
        <v>6353.8885595104866</v>
      </c>
      <c r="O56" s="518">
        <v>6741.3410941147931</v>
      </c>
      <c r="P56" s="518">
        <v>7168.9569754102949</v>
      </c>
      <c r="Q56" s="518">
        <v>7488.7403385381676</v>
      </c>
      <c r="R56" s="518">
        <v>7973.6954233211836</v>
      </c>
      <c r="T56" s="517"/>
      <c r="U56" s="517"/>
      <c r="V56" s="517"/>
      <c r="W56" s="517"/>
      <c r="X56" s="517"/>
      <c r="Y56" s="517"/>
      <c r="Z56" s="517"/>
      <c r="AA56" s="517"/>
      <c r="AB56" s="517"/>
      <c r="AC56" s="517"/>
      <c r="AD56" s="517"/>
      <c r="AE56" s="517"/>
      <c r="AF56" s="517"/>
      <c r="AG56" s="517"/>
      <c r="AH56" s="517"/>
      <c r="AI56" s="517"/>
      <c r="AJ56" s="517"/>
      <c r="AK56" s="517"/>
      <c r="AL56" s="517"/>
    </row>
    <row r="57" spans="1:51">
      <c r="A57" s="507" t="s">
        <v>823</v>
      </c>
      <c r="B57" s="518">
        <v>4687.5114800840411</v>
      </c>
      <c r="C57" s="518">
        <v>4795.1393315720661</v>
      </c>
      <c r="D57" s="518">
        <v>4786.3590693678807</v>
      </c>
      <c r="E57" s="518">
        <v>4780.2329426978704</v>
      </c>
      <c r="F57" s="518">
        <v>4917.8297475967111</v>
      </c>
      <c r="G57" s="518">
        <v>5082.2255154412042</v>
      </c>
      <c r="H57" s="518">
        <v>5137.5042738978527</v>
      </c>
      <c r="I57" s="518">
        <v>5275.9726063432236</v>
      </c>
      <c r="J57" s="518">
        <v>5410.5034249219443</v>
      </c>
      <c r="K57" s="518">
        <v>5355.0983114780101</v>
      </c>
      <c r="L57" s="518">
        <v>5362.7588878999895</v>
      </c>
      <c r="M57" s="518">
        <v>5310.4868171347562</v>
      </c>
      <c r="N57" s="518">
        <v>5350.2838042268831</v>
      </c>
      <c r="O57" s="518">
        <v>5335.1515973843525</v>
      </c>
      <c r="P57" s="518">
        <v>5276.0919890712421</v>
      </c>
      <c r="Q57" s="518">
        <v>5367.1068171280749</v>
      </c>
      <c r="R57" s="518">
        <v>5611.1979659205263</v>
      </c>
      <c r="T57" s="517"/>
      <c r="U57" s="517"/>
      <c r="V57" s="517"/>
      <c r="W57" s="517"/>
      <c r="X57" s="517"/>
      <c r="Y57" s="517"/>
      <c r="Z57" s="517"/>
      <c r="AA57" s="517"/>
      <c r="AB57" s="517"/>
      <c r="AC57" s="517"/>
      <c r="AD57" s="517"/>
      <c r="AE57" s="517"/>
      <c r="AF57" s="517"/>
      <c r="AG57" s="517"/>
      <c r="AH57" s="517"/>
      <c r="AI57" s="517"/>
      <c r="AJ57" s="517"/>
      <c r="AK57" s="517"/>
      <c r="AL57" s="517"/>
    </row>
    <row r="58" spans="1:51">
      <c r="A58" s="507" t="s">
        <v>825</v>
      </c>
      <c r="B58" s="518">
        <v>3660.5594975542763</v>
      </c>
      <c r="C58" s="518">
        <v>3949.1941516402926</v>
      </c>
      <c r="D58" s="518">
        <v>4147.2110656334225</v>
      </c>
      <c r="E58" s="518">
        <v>4361.6504421590416</v>
      </c>
      <c r="F58" s="518">
        <v>4441.5567119895422</v>
      </c>
      <c r="G58" s="518">
        <v>4343.9789787224445</v>
      </c>
      <c r="H58" s="518">
        <v>4446.9715102256969</v>
      </c>
      <c r="I58" s="518">
        <v>4430.565641596665</v>
      </c>
      <c r="J58" s="518">
        <v>4414.200128595422</v>
      </c>
      <c r="K58" s="518">
        <v>4541.8759928295476</v>
      </c>
      <c r="L58" s="518">
        <v>4695.5942817687428</v>
      </c>
      <c r="M58" s="518">
        <v>4740.3560693995296</v>
      </c>
      <c r="N58" s="518">
        <v>4870.162456896529</v>
      </c>
      <c r="O58" s="518">
        <v>4997.0145733107274</v>
      </c>
      <c r="P58" s="518">
        <v>4938.9135762751775</v>
      </c>
      <c r="Q58" s="518">
        <v>4940.8606527285483</v>
      </c>
      <c r="R58" s="518">
        <v>4883.8570196570063</v>
      </c>
      <c r="T58" s="517"/>
      <c r="U58" s="517"/>
      <c r="V58" s="517"/>
      <c r="W58" s="517"/>
      <c r="X58" s="517"/>
      <c r="Y58" s="517"/>
      <c r="Z58" s="517"/>
      <c r="AA58" s="517"/>
      <c r="AB58" s="517"/>
      <c r="AC58" s="517"/>
      <c r="AD58" s="517"/>
      <c r="AE58" s="517"/>
      <c r="AF58" s="517"/>
      <c r="AG58" s="517"/>
      <c r="AH58" s="517"/>
      <c r="AI58" s="517"/>
      <c r="AJ58" s="517"/>
      <c r="AK58" s="517"/>
      <c r="AL58" s="517"/>
    </row>
    <row r="59" spans="1:51">
      <c r="A59" s="507" t="s">
        <v>827</v>
      </c>
      <c r="B59" s="518">
        <v>1895.9519825297643</v>
      </c>
      <c r="C59" s="518">
        <v>2060.9451799317735</v>
      </c>
      <c r="D59" s="518">
        <v>2345.1480037344577</v>
      </c>
      <c r="E59" s="518">
        <v>2613.5825005388292</v>
      </c>
      <c r="F59" s="518">
        <v>2950.2730356071684</v>
      </c>
      <c r="G59" s="518">
        <v>3368.2465367187597</v>
      </c>
      <c r="H59" s="518">
        <v>3646.5327636721563</v>
      </c>
      <c r="I59" s="518">
        <v>3829.4069647465585</v>
      </c>
      <c r="J59" s="518">
        <v>4034.3032963265218</v>
      </c>
      <c r="K59" s="518">
        <v>4108.2223186484616</v>
      </c>
      <c r="L59" s="518">
        <v>4006.1646061312463</v>
      </c>
      <c r="M59" s="518">
        <v>4101.1307477352266</v>
      </c>
      <c r="N59" s="518">
        <v>4084.1213473303542</v>
      </c>
      <c r="O59" s="518">
        <v>4071.1370240736246</v>
      </c>
      <c r="P59" s="518">
        <v>4193.1784127960645</v>
      </c>
      <c r="Q59" s="518">
        <v>4342.2461643995266</v>
      </c>
      <c r="R59" s="518">
        <v>4380.34094626352</v>
      </c>
      <c r="T59" s="517"/>
      <c r="U59" s="517"/>
      <c r="V59" s="517"/>
      <c r="W59" s="517"/>
      <c r="X59" s="517"/>
      <c r="Y59" s="517"/>
      <c r="Z59" s="517"/>
      <c r="AA59" s="517"/>
      <c r="AB59" s="517"/>
      <c r="AC59" s="517"/>
      <c r="AD59" s="517"/>
      <c r="AE59" s="517"/>
      <c r="AF59" s="517"/>
      <c r="AG59" s="517"/>
      <c r="AH59" s="517"/>
      <c r="AI59" s="517"/>
      <c r="AJ59" s="517"/>
      <c r="AK59" s="517"/>
      <c r="AL59" s="517"/>
    </row>
    <row r="60" spans="1:51">
      <c r="A60" s="507" t="s">
        <v>829</v>
      </c>
      <c r="B60" s="518">
        <v>1559.5741125087543</v>
      </c>
      <c r="C60" s="518">
        <v>1552.160347038757</v>
      </c>
      <c r="D60" s="518">
        <v>1551.8082363924875</v>
      </c>
      <c r="E60" s="518">
        <v>1608.5242648643614</v>
      </c>
      <c r="F60" s="518">
        <v>1613.3155987079908</v>
      </c>
      <c r="G60" s="518">
        <v>1679.1901578584589</v>
      </c>
      <c r="H60" s="518">
        <v>1836.1566951976929</v>
      </c>
      <c r="I60" s="518">
        <v>2095.4138131607524</v>
      </c>
      <c r="J60" s="518">
        <v>2347.6774400960358</v>
      </c>
      <c r="K60" s="518">
        <v>2660.9477407789595</v>
      </c>
      <c r="L60" s="518">
        <v>3055.2248841562491</v>
      </c>
      <c r="M60" s="518">
        <v>3311.5090434515373</v>
      </c>
      <c r="N60" s="518">
        <v>3484.8003962736339</v>
      </c>
      <c r="O60" s="518">
        <v>3680.0991247275365</v>
      </c>
      <c r="P60" s="518">
        <v>3750.4054155282543</v>
      </c>
      <c r="Q60" s="518">
        <v>3650.7194601175079</v>
      </c>
      <c r="R60" s="518">
        <v>3746.041454783388</v>
      </c>
      <c r="T60" s="517"/>
      <c r="U60" s="517"/>
      <c r="V60" s="517"/>
      <c r="W60" s="517"/>
      <c r="X60" s="517"/>
      <c r="Y60" s="517"/>
      <c r="Z60" s="517"/>
      <c r="AA60" s="517"/>
      <c r="AB60" s="517"/>
      <c r="AC60" s="517"/>
      <c r="AD60" s="517"/>
      <c r="AE60" s="517"/>
      <c r="AF60" s="517"/>
      <c r="AG60" s="517"/>
      <c r="AH60" s="517"/>
      <c r="AI60" s="517"/>
      <c r="AJ60" s="517"/>
      <c r="AK60" s="517"/>
      <c r="AL60" s="517"/>
    </row>
    <row r="61" spans="1:51">
      <c r="A61" s="507" t="s">
        <v>831</v>
      </c>
      <c r="B61" s="518">
        <v>1682.114822501751</v>
      </c>
      <c r="C61" s="518">
        <v>1584.2320694077514</v>
      </c>
      <c r="D61" s="518">
        <v>1533.3616472784975</v>
      </c>
      <c r="E61" s="518">
        <v>1438.5048529728722</v>
      </c>
      <c r="F61" s="518">
        <v>1363.6631197415982</v>
      </c>
      <c r="G61" s="518">
        <v>1297.8380315716918</v>
      </c>
      <c r="H61" s="518">
        <v>1295.0313390395386</v>
      </c>
      <c r="I61" s="518">
        <v>1294.0827626321504</v>
      </c>
      <c r="J61" s="518">
        <v>1343.1354880192071</v>
      </c>
      <c r="K61" s="518">
        <v>1352.189548155792</v>
      </c>
      <c r="L61" s="518">
        <v>1406.2449768312497</v>
      </c>
      <c r="M61" s="518">
        <v>1549.3018086903073</v>
      </c>
      <c r="N61" s="518">
        <v>1788.3600792547268</v>
      </c>
      <c r="O61" s="518">
        <v>2020.4198249455073</v>
      </c>
      <c r="P61" s="518">
        <v>2305.4810831056507</v>
      </c>
      <c r="Q61" s="518">
        <v>2656.5438920235015</v>
      </c>
      <c r="R61" s="518">
        <v>2890.6082909566776</v>
      </c>
      <c r="T61" s="517"/>
      <c r="U61" s="517"/>
      <c r="V61" s="517"/>
      <c r="W61" s="517"/>
      <c r="X61" s="517"/>
      <c r="Y61" s="517"/>
      <c r="Z61" s="517"/>
      <c r="AA61" s="517"/>
      <c r="AB61" s="517"/>
      <c r="AC61" s="517"/>
      <c r="AD61" s="517"/>
      <c r="AE61" s="517"/>
      <c r="AF61" s="517"/>
      <c r="AG61" s="517"/>
      <c r="AH61" s="517"/>
      <c r="AI61" s="517"/>
      <c r="AJ61" s="517"/>
      <c r="AK61" s="517"/>
      <c r="AL61" s="517"/>
    </row>
    <row r="62" spans="1:51">
      <c r="A62" s="507" t="s">
        <v>833</v>
      </c>
      <c r="B62" s="518">
        <v>1282</v>
      </c>
      <c r="C62" s="518">
        <v>1336</v>
      </c>
      <c r="D62" s="518">
        <v>1311</v>
      </c>
      <c r="E62" s="518">
        <v>1311</v>
      </c>
      <c r="F62" s="518">
        <v>1313</v>
      </c>
      <c r="G62" s="518">
        <v>1310</v>
      </c>
      <c r="H62" s="518">
        <v>1227</v>
      </c>
      <c r="I62" s="518">
        <v>1184</v>
      </c>
      <c r="J62" s="518">
        <v>1108</v>
      </c>
      <c r="K62" s="518">
        <v>1048</v>
      </c>
      <c r="L62" s="518">
        <v>998</v>
      </c>
      <c r="M62" s="518">
        <v>999</v>
      </c>
      <c r="N62" s="518">
        <v>999</v>
      </c>
      <c r="O62" s="518">
        <v>1040</v>
      </c>
      <c r="P62" s="518">
        <v>1052</v>
      </c>
      <c r="Q62" s="518">
        <v>1099</v>
      </c>
      <c r="R62" s="518">
        <v>1222</v>
      </c>
      <c r="T62" s="517"/>
      <c r="U62" s="517"/>
      <c r="V62" s="517"/>
      <c r="W62" s="517"/>
      <c r="X62" s="517"/>
      <c r="Y62" s="517"/>
      <c r="Z62" s="517"/>
      <c r="AA62" s="517"/>
      <c r="AB62" s="517"/>
      <c r="AC62" s="517"/>
      <c r="AD62" s="517"/>
      <c r="AE62" s="517"/>
      <c r="AF62" s="517"/>
      <c r="AG62" s="517"/>
      <c r="AH62" s="517"/>
      <c r="AI62" s="517"/>
      <c r="AJ62" s="517"/>
      <c r="AK62" s="517"/>
      <c r="AL62" s="517"/>
    </row>
    <row r="63" spans="1:51">
      <c r="A63" s="521" t="s">
        <v>835</v>
      </c>
      <c r="B63" s="540">
        <v>896.11482250175084</v>
      </c>
      <c r="C63" s="540">
        <v>961.2320694077514</v>
      </c>
      <c r="D63" s="540">
        <v>1060.3616472784975</v>
      </c>
      <c r="E63" s="540">
        <v>1146.5048529728722</v>
      </c>
      <c r="F63" s="540">
        <v>1221.6631197415982</v>
      </c>
      <c r="G63" s="540">
        <v>1279.8380315716918</v>
      </c>
      <c r="H63" s="540">
        <v>1356.0313390395386</v>
      </c>
      <c r="I63" s="540">
        <v>1395.0827626321504</v>
      </c>
      <c r="J63" s="540">
        <v>1440.1354880192071</v>
      </c>
      <c r="K63" s="540">
        <v>1490.189548155792</v>
      </c>
      <c r="L63" s="540">
        <v>1521.2449768312497</v>
      </c>
      <c r="M63" s="540">
        <v>1508.3018086903073</v>
      </c>
      <c r="N63" s="540">
        <v>1502.3600792547268</v>
      </c>
      <c r="O63" s="540">
        <v>1481.4198249455073</v>
      </c>
      <c r="P63" s="540">
        <v>1480.4810831056509</v>
      </c>
      <c r="Q63" s="540">
        <v>1469.5438920235015</v>
      </c>
      <c r="R63" s="540">
        <v>1472.6082909566776</v>
      </c>
      <c r="T63" s="517"/>
      <c r="U63" s="517"/>
      <c r="V63" s="517"/>
      <c r="W63" s="517"/>
      <c r="X63" s="517"/>
      <c r="Y63" s="517"/>
      <c r="Z63" s="513"/>
      <c r="AA63" s="513"/>
      <c r="AB63" s="513"/>
      <c r="AC63" s="513"/>
      <c r="AD63" s="513"/>
      <c r="AE63" s="513"/>
      <c r="AF63" s="513"/>
      <c r="AG63" s="513"/>
      <c r="AH63" s="513"/>
      <c r="AI63" s="513"/>
      <c r="AJ63" s="513"/>
      <c r="AK63" s="513"/>
      <c r="AL63" s="513"/>
      <c r="AM63" s="513"/>
      <c r="AN63" s="513"/>
      <c r="AO63" s="513"/>
    </row>
    <row r="64" spans="1:51">
      <c r="A64" s="507"/>
      <c r="B64" s="518"/>
      <c r="C64" s="518"/>
      <c r="D64" s="518"/>
      <c r="E64" s="518"/>
      <c r="F64" s="518"/>
      <c r="G64" s="518"/>
      <c r="H64" s="518"/>
      <c r="I64" s="518"/>
      <c r="J64" s="518"/>
      <c r="K64" s="518"/>
      <c r="L64" s="518"/>
      <c r="M64" s="518"/>
      <c r="N64" s="518"/>
      <c r="O64" s="518"/>
      <c r="P64" s="518"/>
      <c r="Q64" s="518"/>
      <c r="R64" s="518"/>
      <c r="T64" s="517"/>
      <c r="U64" s="517"/>
      <c r="V64" s="517"/>
      <c r="W64" s="517"/>
      <c r="X64" s="517"/>
      <c r="Y64" s="517"/>
      <c r="Z64" s="517"/>
      <c r="AA64" s="517"/>
      <c r="AB64" s="517"/>
      <c r="AC64" s="517"/>
      <c r="AD64" s="517"/>
      <c r="AE64" s="517"/>
      <c r="AF64" s="517"/>
      <c r="AG64" s="517"/>
      <c r="AH64" s="517"/>
      <c r="AI64" s="517"/>
      <c r="AJ64" s="517"/>
      <c r="AK64" s="517"/>
      <c r="AL64" s="517"/>
      <c r="AM64" s="517"/>
      <c r="AN64" s="517"/>
      <c r="AO64" s="517"/>
      <c r="AP64" s="517"/>
      <c r="AQ64" s="517"/>
      <c r="AR64" s="517"/>
      <c r="AS64" s="517"/>
      <c r="AT64" s="517"/>
      <c r="AU64" s="517"/>
      <c r="AV64" s="517"/>
      <c r="AW64" s="517"/>
      <c r="AX64" s="517"/>
      <c r="AY64" s="517"/>
    </row>
    <row r="65" spans="1:51">
      <c r="A65" s="507"/>
      <c r="B65" s="518"/>
      <c r="C65" s="518"/>
      <c r="D65" s="518"/>
      <c r="E65" s="518"/>
      <c r="F65" s="518"/>
      <c r="G65" s="518"/>
      <c r="H65" s="518"/>
      <c r="I65" s="518"/>
      <c r="J65" s="518"/>
      <c r="K65" s="518"/>
      <c r="L65" s="518"/>
      <c r="M65" s="518"/>
      <c r="N65" s="518"/>
      <c r="O65" s="518"/>
      <c r="P65" s="518"/>
      <c r="Q65" s="518"/>
      <c r="R65" s="518"/>
      <c r="T65" s="517"/>
      <c r="U65" s="517"/>
      <c r="V65" s="517"/>
      <c r="W65" s="517"/>
      <c r="X65" s="517"/>
      <c r="Y65" s="517"/>
      <c r="Z65" s="517"/>
      <c r="AA65" s="517"/>
      <c r="AB65" s="517"/>
      <c r="AC65" s="517"/>
      <c r="AD65" s="517"/>
      <c r="AE65" s="517"/>
      <c r="AF65" s="517"/>
      <c r="AG65" s="517"/>
      <c r="AH65" s="517"/>
      <c r="AI65" s="517"/>
      <c r="AJ65" s="517"/>
      <c r="AK65" s="517"/>
      <c r="AL65" s="517"/>
      <c r="AM65" s="517"/>
      <c r="AN65" s="517"/>
      <c r="AO65" s="517"/>
      <c r="AP65" s="517"/>
      <c r="AQ65" s="517"/>
      <c r="AR65" s="517"/>
      <c r="AS65" s="517"/>
      <c r="AT65" s="517"/>
      <c r="AU65" s="517"/>
      <c r="AV65" s="517"/>
      <c r="AW65" s="517"/>
      <c r="AX65" s="517"/>
      <c r="AY65" s="517"/>
    </row>
    <row r="66" spans="1:51" ht="18.75">
      <c r="A66" s="1435" t="s">
        <v>840</v>
      </c>
      <c r="B66" s="1435"/>
      <c r="C66" s="1435"/>
      <c r="D66" s="518"/>
      <c r="E66" s="518"/>
      <c r="F66" s="518"/>
      <c r="G66" s="518"/>
      <c r="H66" s="518"/>
      <c r="I66" s="518"/>
      <c r="J66" s="518"/>
      <c r="K66" s="518"/>
      <c r="L66" s="518"/>
      <c r="M66" s="518"/>
      <c r="N66" s="518"/>
      <c r="O66" s="518"/>
      <c r="P66" s="518"/>
      <c r="Q66" s="518"/>
      <c r="R66" s="538" t="s">
        <v>860</v>
      </c>
      <c r="T66" s="517"/>
      <c r="U66" s="517"/>
      <c r="V66" s="517"/>
      <c r="W66" s="517"/>
      <c r="X66" s="517"/>
      <c r="Y66" s="517"/>
      <c r="Z66" s="517"/>
      <c r="AA66" s="517"/>
      <c r="AB66" s="517"/>
      <c r="AC66" s="517"/>
      <c r="AD66" s="517"/>
      <c r="AE66" s="517"/>
      <c r="AF66" s="517"/>
      <c r="AG66" s="517"/>
      <c r="AH66" s="517"/>
      <c r="AI66" s="517"/>
      <c r="AJ66" s="517"/>
      <c r="AK66" s="517"/>
      <c r="AL66" s="517"/>
      <c r="AM66" s="517"/>
      <c r="AN66" s="517"/>
      <c r="AO66" s="517"/>
      <c r="AP66" s="517"/>
      <c r="AQ66" s="517"/>
      <c r="AR66" s="517"/>
      <c r="AS66" s="517"/>
      <c r="AT66" s="517"/>
      <c r="AU66" s="517"/>
      <c r="AV66" s="517"/>
      <c r="AW66" s="517"/>
      <c r="AX66" s="517"/>
      <c r="AY66" s="517"/>
    </row>
    <row r="67" spans="1:51" s="549" customFormat="1">
      <c r="A67" s="510" t="s">
        <v>802</v>
      </c>
      <c r="B67" s="511">
        <v>2014</v>
      </c>
      <c r="C67" s="511">
        <v>2015</v>
      </c>
      <c r="D67" s="511">
        <v>2016</v>
      </c>
      <c r="E67" s="511">
        <v>2017</v>
      </c>
      <c r="F67" s="511">
        <v>2018</v>
      </c>
      <c r="G67" s="511">
        <v>2019</v>
      </c>
      <c r="H67" s="511">
        <v>2020</v>
      </c>
      <c r="I67" s="511">
        <v>2021</v>
      </c>
      <c r="J67" s="511">
        <v>2022</v>
      </c>
      <c r="K67" s="511">
        <v>2023</v>
      </c>
      <c r="L67" s="511">
        <v>2024</v>
      </c>
      <c r="M67" s="511">
        <v>2025</v>
      </c>
      <c r="N67" s="511">
        <v>2026</v>
      </c>
      <c r="O67" s="511">
        <v>2027</v>
      </c>
      <c r="P67" s="511">
        <v>2028</v>
      </c>
      <c r="Q67" s="511">
        <v>2029</v>
      </c>
      <c r="R67" s="511">
        <v>2030</v>
      </c>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row>
    <row r="68" spans="1:51">
      <c r="A68" s="542" t="s">
        <v>21</v>
      </c>
      <c r="B68" s="542">
        <f>SUM(B69:B85)</f>
        <v>195665</v>
      </c>
      <c r="C68" s="542">
        <f t="shared" ref="C68:R68" si="7">SUM(C69:C85)</f>
        <v>197313</v>
      </c>
      <c r="D68" s="542">
        <f t="shared" si="7"/>
        <v>198823</v>
      </c>
      <c r="E68" s="542">
        <f t="shared" si="7"/>
        <v>200166</v>
      </c>
      <c r="F68" s="542">
        <f t="shared" si="7"/>
        <v>201347</v>
      </c>
      <c r="G68" s="542">
        <f t="shared" si="7"/>
        <v>202410</v>
      </c>
      <c r="H68" s="542">
        <f t="shared" si="7"/>
        <v>203348</v>
      </c>
      <c r="I68" s="542">
        <f t="shared" si="7"/>
        <v>204094</v>
      </c>
      <c r="J68" s="542">
        <f t="shared" si="7"/>
        <v>204689</v>
      </c>
      <c r="K68" s="542">
        <f t="shared" si="7"/>
        <v>205123</v>
      </c>
      <c r="L68" s="542">
        <f t="shared" si="7"/>
        <v>205407</v>
      </c>
      <c r="M68" s="542">
        <f t="shared" si="7"/>
        <v>205538</v>
      </c>
      <c r="N68" s="542">
        <f t="shared" si="7"/>
        <v>205499</v>
      </c>
      <c r="O68" s="542">
        <f t="shared" si="7"/>
        <v>205362</v>
      </c>
      <c r="P68" s="542">
        <f t="shared" si="7"/>
        <v>205129</v>
      </c>
      <c r="Q68" s="542">
        <f t="shared" si="7"/>
        <v>204821</v>
      </c>
      <c r="R68" s="542">
        <f t="shared" si="7"/>
        <v>204408</v>
      </c>
      <c r="T68" s="517"/>
      <c r="U68" s="517"/>
      <c r="V68" s="517"/>
      <c r="W68" s="517"/>
      <c r="X68" s="517"/>
      <c r="Y68" s="517"/>
      <c r="Z68" s="517"/>
      <c r="AA68" s="517"/>
      <c r="AB68" s="517"/>
      <c r="AC68" s="517"/>
      <c r="AD68" s="517"/>
      <c r="AE68" s="517"/>
      <c r="AF68" s="517"/>
      <c r="AG68" s="517"/>
      <c r="AH68" s="517"/>
      <c r="AI68" s="517"/>
      <c r="AJ68" s="517"/>
      <c r="AK68" s="517"/>
      <c r="AL68" s="517"/>
      <c r="AM68" s="517"/>
      <c r="AN68" s="517"/>
      <c r="AO68" s="517"/>
      <c r="AP68" s="517"/>
      <c r="AQ68" s="517"/>
      <c r="AR68" s="517"/>
      <c r="AS68" s="517"/>
      <c r="AT68" s="517"/>
      <c r="AU68" s="517"/>
      <c r="AV68" s="517"/>
      <c r="AW68" s="517"/>
      <c r="AX68" s="517"/>
      <c r="AY68" s="517"/>
    </row>
    <row r="69" spans="1:51">
      <c r="A69" s="518" t="s">
        <v>803</v>
      </c>
      <c r="B69" s="518">
        <v>23486</v>
      </c>
      <c r="C69" s="518">
        <v>23447</v>
      </c>
      <c r="D69" s="518">
        <v>23324</v>
      </c>
      <c r="E69" s="518">
        <v>23026</v>
      </c>
      <c r="F69" s="518">
        <v>22923</v>
      </c>
      <c r="G69" s="518">
        <v>22913</v>
      </c>
      <c r="H69" s="518">
        <v>22410</v>
      </c>
      <c r="I69" s="518">
        <v>21895</v>
      </c>
      <c r="J69" s="518">
        <v>21380</v>
      </c>
      <c r="K69" s="518">
        <v>20838</v>
      </c>
      <c r="L69" s="518">
        <v>20275</v>
      </c>
      <c r="M69" s="518">
        <v>19701</v>
      </c>
      <c r="N69" s="518">
        <v>19144</v>
      </c>
      <c r="O69" s="518">
        <v>18624</v>
      </c>
      <c r="P69" s="518">
        <v>18173</v>
      </c>
      <c r="Q69" s="518">
        <v>17805</v>
      </c>
      <c r="R69" s="518">
        <v>17512</v>
      </c>
      <c r="T69" s="517"/>
      <c r="U69" s="517"/>
      <c r="V69" s="517"/>
      <c r="W69" s="517"/>
      <c r="X69" s="517"/>
      <c r="Y69" s="517"/>
      <c r="Z69" s="517"/>
      <c r="AA69" s="517"/>
      <c r="AB69" s="517"/>
      <c r="AC69" s="517"/>
      <c r="AD69" s="517"/>
      <c r="AE69" s="517"/>
      <c r="AF69" s="517"/>
      <c r="AG69" s="517"/>
      <c r="AH69" s="517"/>
      <c r="AI69" s="517"/>
      <c r="AJ69" s="517"/>
      <c r="AK69" s="517"/>
      <c r="AL69" s="517"/>
      <c r="AM69" s="517"/>
      <c r="AN69" s="517"/>
      <c r="AO69" s="517"/>
      <c r="AP69" s="517"/>
      <c r="AQ69" s="517"/>
      <c r="AR69" s="517"/>
      <c r="AS69" s="517"/>
      <c r="AT69" s="517"/>
      <c r="AU69" s="517"/>
      <c r="AV69" s="517"/>
      <c r="AW69" s="517"/>
      <c r="AX69" s="517"/>
      <c r="AY69" s="517"/>
    </row>
    <row r="70" spans="1:51">
      <c r="A70" s="518" t="s">
        <v>805</v>
      </c>
      <c r="B70" s="518">
        <v>21243</v>
      </c>
      <c r="C70" s="518">
        <v>22248</v>
      </c>
      <c r="D70" s="518">
        <v>22935</v>
      </c>
      <c r="E70" s="518">
        <v>23487</v>
      </c>
      <c r="F70" s="518">
        <v>23445</v>
      </c>
      <c r="G70" s="518">
        <v>22936</v>
      </c>
      <c r="H70" s="518">
        <v>22890</v>
      </c>
      <c r="I70" s="518">
        <v>22767</v>
      </c>
      <c r="J70" s="518">
        <v>22467</v>
      </c>
      <c r="K70" s="518">
        <v>22363</v>
      </c>
      <c r="L70" s="518">
        <v>22350</v>
      </c>
      <c r="M70" s="518">
        <v>21846</v>
      </c>
      <c r="N70" s="518">
        <v>21331</v>
      </c>
      <c r="O70" s="518">
        <v>20814</v>
      </c>
      <c r="P70" s="518">
        <v>20268</v>
      </c>
      <c r="Q70" s="518">
        <v>19705</v>
      </c>
      <c r="R70" s="518">
        <v>19127</v>
      </c>
      <c r="T70" s="517"/>
      <c r="U70" s="517"/>
      <c r="V70" s="517"/>
      <c r="W70" s="517"/>
      <c r="X70" s="517"/>
      <c r="Y70" s="517"/>
      <c r="Z70" s="517"/>
      <c r="AA70" s="517"/>
      <c r="AB70" s="517"/>
      <c r="AC70" s="517"/>
      <c r="AD70" s="517"/>
      <c r="AE70" s="517"/>
      <c r="AF70" s="517"/>
      <c r="AG70" s="517"/>
      <c r="AH70" s="517"/>
      <c r="AI70" s="517"/>
      <c r="AJ70" s="517"/>
      <c r="AK70" s="517"/>
      <c r="AL70" s="517"/>
      <c r="AM70" s="517"/>
      <c r="AN70" s="517"/>
      <c r="AO70" s="517"/>
      <c r="AP70" s="517"/>
      <c r="AQ70" s="517"/>
      <c r="AR70" s="517"/>
      <c r="AS70" s="517"/>
      <c r="AT70" s="517"/>
      <c r="AU70" s="517"/>
      <c r="AV70" s="517"/>
      <c r="AW70" s="517"/>
      <c r="AX70" s="517"/>
      <c r="AY70" s="517"/>
    </row>
    <row r="71" spans="1:51">
      <c r="A71" s="518" t="s">
        <v>807</v>
      </c>
      <c r="B71" s="518">
        <v>18147</v>
      </c>
      <c r="C71" s="518">
        <v>17892</v>
      </c>
      <c r="D71" s="518">
        <v>17945</v>
      </c>
      <c r="E71" s="518">
        <v>18477</v>
      </c>
      <c r="F71" s="518">
        <v>19542</v>
      </c>
      <c r="G71" s="518">
        <v>20693</v>
      </c>
      <c r="H71" s="518">
        <v>21685</v>
      </c>
      <c r="I71" s="518">
        <v>22366</v>
      </c>
      <c r="J71" s="518">
        <v>22910</v>
      </c>
      <c r="K71" s="518">
        <v>22859</v>
      </c>
      <c r="L71" s="518">
        <v>22342</v>
      </c>
      <c r="M71" s="518">
        <v>22292</v>
      </c>
      <c r="N71" s="518">
        <v>22150</v>
      </c>
      <c r="O71" s="518">
        <v>21843</v>
      </c>
      <c r="P71" s="518">
        <v>21728</v>
      </c>
      <c r="Q71" s="518">
        <v>21707</v>
      </c>
      <c r="R71" s="518">
        <v>21198</v>
      </c>
      <c r="T71" s="517"/>
      <c r="U71" s="517"/>
      <c r="V71" s="517"/>
      <c r="W71" s="517"/>
      <c r="X71" s="517"/>
      <c r="Y71" s="517"/>
      <c r="Z71" s="517"/>
      <c r="AA71" s="517"/>
      <c r="AB71" s="517"/>
      <c r="AC71" s="517"/>
      <c r="AD71" s="517"/>
      <c r="AE71" s="517"/>
      <c r="AF71" s="517"/>
      <c r="AG71" s="517"/>
      <c r="AH71" s="517"/>
      <c r="AI71" s="517"/>
      <c r="AJ71" s="517"/>
      <c r="AK71" s="517"/>
      <c r="AL71" s="517"/>
      <c r="AM71" s="517"/>
      <c r="AN71" s="517"/>
      <c r="AO71" s="517"/>
      <c r="AP71" s="517"/>
      <c r="AQ71" s="517"/>
      <c r="AR71" s="517"/>
      <c r="AS71" s="517"/>
      <c r="AT71" s="517"/>
      <c r="AU71" s="517"/>
      <c r="AV71" s="517"/>
      <c r="AW71" s="517"/>
      <c r="AX71" s="517"/>
      <c r="AY71" s="517"/>
    </row>
    <row r="72" spans="1:51">
      <c r="A72" s="518" t="s">
        <v>809</v>
      </c>
      <c r="B72" s="518">
        <v>17031</v>
      </c>
      <c r="C72" s="518">
        <v>17825</v>
      </c>
      <c r="D72" s="518">
        <v>18281</v>
      </c>
      <c r="E72" s="518">
        <v>18325</v>
      </c>
      <c r="F72" s="518">
        <v>17815</v>
      </c>
      <c r="G72" s="518">
        <v>17499</v>
      </c>
      <c r="H72" s="518">
        <v>17236</v>
      </c>
      <c r="I72" s="518">
        <v>17280</v>
      </c>
      <c r="J72" s="518">
        <v>17802</v>
      </c>
      <c r="K72" s="518">
        <v>18851</v>
      </c>
      <c r="L72" s="518">
        <v>19992</v>
      </c>
      <c r="M72" s="518">
        <v>20972</v>
      </c>
      <c r="N72" s="518">
        <v>21641</v>
      </c>
      <c r="O72" s="518">
        <v>22170</v>
      </c>
      <c r="P72" s="518">
        <v>22105</v>
      </c>
      <c r="Q72" s="518">
        <v>21575</v>
      </c>
      <c r="R72" s="518">
        <v>21514</v>
      </c>
      <c r="T72" s="517"/>
      <c r="U72" s="517"/>
      <c r="V72" s="517"/>
      <c r="W72" s="517"/>
      <c r="X72" s="517"/>
      <c r="Y72" s="517"/>
      <c r="Z72" s="517"/>
      <c r="AA72" s="517"/>
      <c r="AB72" s="517"/>
      <c r="AC72" s="517"/>
      <c r="AD72" s="517"/>
      <c r="AE72" s="517"/>
      <c r="AF72" s="517"/>
      <c r="AG72" s="517"/>
      <c r="AH72" s="517"/>
      <c r="AI72" s="517"/>
      <c r="AJ72" s="517"/>
      <c r="AK72" s="517"/>
      <c r="AL72" s="517"/>
      <c r="AM72" s="517"/>
      <c r="AN72" s="517"/>
      <c r="AO72" s="517"/>
      <c r="AP72" s="517"/>
      <c r="AQ72" s="517"/>
      <c r="AR72" s="517"/>
      <c r="AS72" s="517"/>
      <c r="AT72" s="517"/>
      <c r="AU72" s="517"/>
      <c r="AV72" s="517"/>
      <c r="AW72" s="517"/>
      <c r="AX72" s="517"/>
      <c r="AY72" s="517"/>
    </row>
    <row r="73" spans="1:51">
      <c r="A73" s="518" t="s">
        <v>811</v>
      </c>
      <c r="B73" s="518">
        <v>16518</v>
      </c>
      <c r="C73" s="518">
        <v>15319</v>
      </c>
      <c r="D73" s="518">
        <v>14737</v>
      </c>
      <c r="E73" s="518">
        <v>14670</v>
      </c>
      <c r="F73" s="518">
        <v>15098</v>
      </c>
      <c r="G73" s="518">
        <v>15805</v>
      </c>
      <c r="H73" s="518">
        <v>16582</v>
      </c>
      <c r="I73" s="518">
        <v>17009</v>
      </c>
      <c r="J73" s="518">
        <v>17034</v>
      </c>
      <c r="K73" s="518">
        <v>16503</v>
      </c>
      <c r="L73" s="518">
        <v>16167</v>
      </c>
      <c r="M73" s="518">
        <v>15878</v>
      </c>
      <c r="N73" s="518">
        <v>15895</v>
      </c>
      <c r="O73" s="518">
        <v>16396</v>
      </c>
      <c r="P73" s="518">
        <v>17417</v>
      </c>
      <c r="Q73" s="518">
        <v>18537</v>
      </c>
      <c r="R73" s="518">
        <v>19490</v>
      </c>
      <c r="T73" s="517"/>
      <c r="U73" s="517"/>
      <c r="V73" s="517"/>
      <c r="W73" s="517"/>
      <c r="X73" s="517"/>
      <c r="Y73" s="517"/>
      <c r="Z73" s="517"/>
      <c r="AA73" s="517"/>
      <c r="AB73" s="517"/>
      <c r="AC73" s="517"/>
      <c r="AD73" s="517"/>
      <c r="AE73" s="517"/>
      <c r="AF73" s="517"/>
      <c r="AG73" s="517"/>
      <c r="AH73" s="517"/>
      <c r="AI73" s="517"/>
      <c r="AJ73" s="517"/>
      <c r="AK73" s="517"/>
      <c r="AL73" s="517"/>
      <c r="AM73" s="517"/>
      <c r="AN73" s="517"/>
      <c r="AO73" s="517"/>
      <c r="AP73" s="517"/>
      <c r="AQ73" s="517"/>
      <c r="AR73" s="517"/>
      <c r="AS73" s="517"/>
      <c r="AT73" s="517"/>
      <c r="AU73" s="517"/>
      <c r="AV73" s="517"/>
      <c r="AW73" s="517"/>
      <c r="AX73" s="517"/>
      <c r="AY73" s="517"/>
    </row>
    <row r="74" spans="1:51">
      <c r="A74" s="518" t="s">
        <v>813</v>
      </c>
      <c r="B74" s="518">
        <v>19121</v>
      </c>
      <c r="C74" s="518">
        <v>18569</v>
      </c>
      <c r="D74" s="518">
        <v>17772</v>
      </c>
      <c r="E74" s="518">
        <v>16826</v>
      </c>
      <c r="F74" s="518">
        <v>15907</v>
      </c>
      <c r="G74" s="518">
        <v>14652</v>
      </c>
      <c r="H74" s="518">
        <v>13423</v>
      </c>
      <c r="I74" s="518">
        <v>12804</v>
      </c>
      <c r="J74" s="518">
        <v>12704</v>
      </c>
      <c r="K74" s="518">
        <v>13100</v>
      </c>
      <c r="L74" s="518">
        <v>13768</v>
      </c>
      <c r="M74" s="518">
        <v>14508</v>
      </c>
      <c r="N74" s="518">
        <v>14901</v>
      </c>
      <c r="O74" s="518">
        <v>14887</v>
      </c>
      <c r="P74" s="518">
        <v>14320</v>
      </c>
      <c r="Q74" s="518">
        <v>13950</v>
      </c>
      <c r="R74" s="518">
        <v>13623</v>
      </c>
      <c r="T74" s="517"/>
      <c r="U74" s="517"/>
      <c r="V74" s="517"/>
      <c r="W74" s="517"/>
      <c r="X74" s="517"/>
      <c r="Y74" s="517"/>
      <c r="Z74" s="517"/>
      <c r="AA74" s="517"/>
      <c r="AB74" s="517"/>
      <c r="AC74" s="517"/>
      <c r="AD74" s="517"/>
      <c r="AE74" s="517"/>
      <c r="AF74" s="517"/>
      <c r="AG74" s="517"/>
      <c r="AH74" s="517"/>
      <c r="AI74" s="517"/>
      <c r="AJ74" s="517"/>
      <c r="AK74" s="517"/>
      <c r="AL74" s="517"/>
      <c r="AM74" s="517"/>
      <c r="AN74" s="517"/>
      <c r="AO74" s="517"/>
      <c r="AP74" s="517"/>
      <c r="AQ74" s="517"/>
      <c r="AR74" s="517"/>
      <c r="AS74" s="517"/>
      <c r="AT74" s="517"/>
      <c r="AU74" s="517"/>
      <c r="AV74" s="517"/>
      <c r="AW74" s="517"/>
      <c r="AX74" s="517"/>
      <c r="AY74" s="517"/>
    </row>
    <row r="75" spans="1:51">
      <c r="A75" s="507" t="s">
        <v>815</v>
      </c>
      <c r="B75" s="518">
        <v>15430</v>
      </c>
      <c r="C75" s="518">
        <v>16236</v>
      </c>
      <c r="D75" s="518">
        <v>16983</v>
      </c>
      <c r="E75" s="518">
        <v>17154</v>
      </c>
      <c r="F75" s="518">
        <v>17341</v>
      </c>
      <c r="G75" s="518">
        <v>17308</v>
      </c>
      <c r="H75" s="518">
        <v>16723</v>
      </c>
      <c r="I75" s="518">
        <v>15896</v>
      </c>
      <c r="J75" s="518">
        <v>14922</v>
      </c>
      <c r="K75" s="518">
        <v>13974</v>
      </c>
      <c r="L75" s="518">
        <v>12687</v>
      </c>
      <c r="M75" s="518">
        <v>11421</v>
      </c>
      <c r="N75" s="518">
        <v>10774</v>
      </c>
      <c r="O75" s="518">
        <v>10639</v>
      </c>
      <c r="P75" s="518">
        <v>10998</v>
      </c>
      <c r="Q75" s="518">
        <v>11636</v>
      </c>
      <c r="R75" s="518">
        <v>12334</v>
      </c>
      <c r="T75" s="517"/>
      <c r="U75" s="517"/>
      <c r="V75" s="517"/>
      <c r="W75" s="517"/>
      <c r="X75" s="517"/>
      <c r="Y75" s="517"/>
      <c r="Z75" s="517"/>
      <c r="AA75" s="517"/>
      <c r="AB75" s="517"/>
      <c r="AC75" s="517"/>
      <c r="AD75" s="517"/>
      <c r="AE75" s="517"/>
      <c r="AF75" s="517"/>
      <c r="AG75" s="517"/>
      <c r="AH75" s="517"/>
      <c r="AI75" s="517"/>
      <c r="AJ75" s="517"/>
      <c r="AK75" s="517"/>
      <c r="AL75" s="517"/>
      <c r="AM75" s="517"/>
      <c r="AN75" s="517"/>
      <c r="AO75" s="517"/>
      <c r="AP75" s="517"/>
      <c r="AQ75" s="517"/>
      <c r="AR75" s="517"/>
      <c r="AS75" s="517"/>
      <c r="AT75" s="517"/>
      <c r="AU75" s="517"/>
      <c r="AV75" s="517"/>
      <c r="AW75" s="517"/>
      <c r="AX75" s="517"/>
      <c r="AY75" s="517"/>
    </row>
    <row r="76" spans="1:51">
      <c r="A76" s="507" t="s">
        <v>817</v>
      </c>
      <c r="B76" s="518">
        <v>11512</v>
      </c>
      <c r="C76" s="518">
        <v>11985</v>
      </c>
      <c r="D76" s="518">
        <v>12287</v>
      </c>
      <c r="E76" s="518">
        <v>12935</v>
      </c>
      <c r="F76" s="518">
        <v>13588</v>
      </c>
      <c r="G76" s="518">
        <v>14153</v>
      </c>
      <c r="H76" s="518">
        <v>14934</v>
      </c>
      <c r="I76" s="518">
        <v>15658</v>
      </c>
      <c r="J76" s="518">
        <v>15802</v>
      </c>
      <c r="K76" s="518">
        <v>15967</v>
      </c>
      <c r="L76" s="518">
        <v>15911</v>
      </c>
      <c r="M76" s="518">
        <v>15306</v>
      </c>
      <c r="N76" s="518">
        <v>14457</v>
      </c>
      <c r="O76" s="518">
        <v>13465</v>
      </c>
      <c r="P76" s="518">
        <v>12492</v>
      </c>
      <c r="Q76" s="518">
        <v>11180</v>
      </c>
      <c r="R76" s="518">
        <v>9893</v>
      </c>
      <c r="T76" s="517"/>
      <c r="U76" s="517"/>
      <c r="V76" s="517"/>
      <c r="W76" s="517"/>
      <c r="X76" s="517"/>
      <c r="Y76" s="517"/>
      <c r="Z76" s="517"/>
      <c r="AA76" s="517"/>
      <c r="AB76" s="517"/>
      <c r="AC76" s="517"/>
      <c r="AD76" s="517"/>
      <c r="AE76" s="517"/>
      <c r="AF76" s="517"/>
      <c r="AG76" s="517"/>
      <c r="AH76" s="517"/>
      <c r="AI76" s="517"/>
      <c r="AJ76" s="517"/>
      <c r="AK76" s="517"/>
      <c r="AL76" s="517"/>
      <c r="AM76" s="517"/>
      <c r="AN76" s="517"/>
      <c r="AO76" s="517"/>
      <c r="AP76" s="517"/>
      <c r="AQ76" s="517"/>
      <c r="AR76" s="517"/>
      <c r="AS76" s="517"/>
      <c r="AT76" s="517"/>
      <c r="AU76" s="517"/>
      <c r="AV76" s="517"/>
      <c r="AW76" s="517"/>
      <c r="AX76" s="517"/>
      <c r="AY76" s="517"/>
    </row>
    <row r="77" spans="1:51">
      <c r="A77" s="507" t="s">
        <v>819</v>
      </c>
      <c r="B77" s="518">
        <v>10741</v>
      </c>
      <c r="C77" s="518">
        <v>10606</v>
      </c>
      <c r="D77" s="518">
        <v>10619</v>
      </c>
      <c r="E77" s="518">
        <v>10524</v>
      </c>
      <c r="F77" s="518">
        <v>10448</v>
      </c>
      <c r="G77" s="518">
        <v>10574</v>
      </c>
      <c r="H77" s="518">
        <v>11031</v>
      </c>
      <c r="I77" s="518">
        <v>11315</v>
      </c>
      <c r="J77" s="518">
        <v>11943</v>
      </c>
      <c r="K77" s="518">
        <v>12582</v>
      </c>
      <c r="L77" s="518">
        <v>13129</v>
      </c>
      <c r="M77" s="518">
        <v>13886</v>
      </c>
      <c r="N77" s="518">
        <v>14591</v>
      </c>
      <c r="O77" s="518">
        <v>14718</v>
      </c>
      <c r="P77" s="518">
        <v>14866</v>
      </c>
      <c r="Q77" s="518">
        <v>14794</v>
      </c>
      <c r="R77" s="518">
        <v>14172</v>
      </c>
      <c r="T77" s="517"/>
      <c r="U77" s="517"/>
      <c r="V77" s="517"/>
      <c r="W77" s="517"/>
      <c r="X77" s="517"/>
      <c r="Y77" s="517"/>
      <c r="Z77" s="517"/>
      <c r="AA77" s="517"/>
      <c r="AB77" s="517"/>
      <c r="AC77" s="517"/>
      <c r="AD77" s="517"/>
      <c r="AE77" s="517"/>
      <c r="AF77" s="517"/>
      <c r="AG77" s="517"/>
      <c r="AH77" s="517"/>
      <c r="AI77" s="517"/>
      <c r="AJ77" s="517"/>
      <c r="AK77" s="517"/>
      <c r="AL77" s="517"/>
      <c r="AM77" s="517"/>
      <c r="AN77" s="517"/>
      <c r="AO77" s="517"/>
      <c r="AP77" s="517"/>
      <c r="AQ77" s="517"/>
      <c r="AR77" s="517"/>
      <c r="AS77" s="517"/>
      <c r="AT77" s="517"/>
      <c r="AU77" s="517"/>
      <c r="AV77" s="517"/>
      <c r="AW77" s="517"/>
      <c r="AX77" s="517"/>
      <c r="AY77" s="517"/>
    </row>
    <row r="78" spans="1:51">
      <c r="A78" s="507" t="s">
        <v>821</v>
      </c>
      <c r="B78" s="518">
        <v>10041</v>
      </c>
      <c r="C78" s="518">
        <v>9933</v>
      </c>
      <c r="D78" s="518">
        <v>10068</v>
      </c>
      <c r="E78" s="518">
        <v>10248</v>
      </c>
      <c r="F78" s="518">
        <v>10008</v>
      </c>
      <c r="G78" s="518">
        <v>9893</v>
      </c>
      <c r="H78" s="518">
        <v>9749</v>
      </c>
      <c r="I78" s="518">
        <v>9752</v>
      </c>
      <c r="J78" s="518">
        <v>9637</v>
      </c>
      <c r="K78" s="518">
        <v>9554</v>
      </c>
      <c r="L78" s="518">
        <v>9666</v>
      </c>
      <c r="M78" s="518">
        <v>10107</v>
      </c>
      <c r="N78" s="518">
        <v>10373</v>
      </c>
      <c r="O78" s="518">
        <v>10984</v>
      </c>
      <c r="P78" s="518">
        <v>11606</v>
      </c>
      <c r="Q78" s="518">
        <v>12131</v>
      </c>
      <c r="R78" s="518">
        <v>12871</v>
      </c>
      <c r="T78" s="517"/>
      <c r="U78" s="517"/>
      <c r="V78" s="517"/>
      <c r="W78" s="517"/>
      <c r="X78" s="517"/>
      <c r="Y78" s="517"/>
      <c r="Z78" s="517"/>
      <c r="AA78" s="517"/>
      <c r="AB78" s="517"/>
      <c r="AC78" s="517"/>
      <c r="AD78" s="517"/>
      <c r="AE78" s="517"/>
      <c r="AF78" s="517"/>
      <c r="AG78" s="517"/>
      <c r="AH78" s="517"/>
      <c r="AI78" s="517"/>
      <c r="AJ78" s="517"/>
      <c r="AK78" s="517"/>
      <c r="AL78" s="517"/>
      <c r="AM78" s="517"/>
      <c r="AN78" s="517"/>
      <c r="AO78" s="517"/>
      <c r="AP78" s="517"/>
      <c r="AQ78" s="517"/>
      <c r="AR78" s="517"/>
      <c r="AS78" s="517"/>
      <c r="AT78" s="517"/>
      <c r="AU78" s="517"/>
      <c r="AV78" s="517"/>
      <c r="AW78" s="517"/>
      <c r="AX78" s="517"/>
      <c r="AY78" s="517"/>
    </row>
    <row r="79" spans="1:51">
      <c r="A79" s="507" t="s">
        <v>823</v>
      </c>
      <c r="B79" s="518">
        <v>9066</v>
      </c>
      <c r="C79" s="518">
        <v>9164</v>
      </c>
      <c r="D79" s="518">
        <v>8971</v>
      </c>
      <c r="E79" s="518">
        <v>8844</v>
      </c>
      <c r="F79" s="518">
        <v>9023</v>
      </c>
      <c r="G79" s="518">
        <v>9232</v>
      </c>
      <c r="H79" s="518">
        <v>9120</v>
      </c>
      <c r="I79" s="518">
        <v>9248</v>
      </c>
      <c r="J79" s="518">
        <v>9416</v>
      </c>
      <c r="K79" s="518">
        <v>9164</v>
      </c>
      <c r="L79" s="518">
        <v>9044</v>
      </c>
      <c r="M79" s="518">
        <v>8893</v>
      </c>
      <c r="N79" s="518">
        <v>8880</v>
      </c>
      <c r="O79" s="518">
        <v>8760</v>
      </c>
      <c r="P79" s="518">
        <v>8666</v>
      </c>
      <c r="Q79" s="518">
        <v>8769</v>
      </c>
      <c r="R79" s="518">
        <v>9191</v>
      </c>
      <c r="T79" s="517"/>
      <c r="U79" s="517"/>
      <c r="V79" s="517"/>
      <c r="W79" s="517"/>
      <c r="X79" s="517"/>
      <c r="Y79" s="517"/>
      <c r="Z79" s="517"/>
      <c r="AA79" s="517"/>
      <c r="AB79" s="517"/>
      <c r="AC79" s="517"/>
      <c r="AD79" s="517"/>
      <c r="AE79" s="517"/>
      <c r="AF79" s="517"/>
      <c r="AG79" s="517"/>
      <c r="AH79" s="517"/>
      <c r="AI79" s="517"/>
      <c r="AJ79" s="517"/>
      <c r="AK79" s="517"/>
      <c r="AL79" s="517"/>
      <c r="AM79" s="517"/>
      <c r="AN79" s="517"/>
      <c r="AO79" s="517"/>
      <c r="AP79" s="517"/>
      <c r="AQ79" s="517"/>
      <c r="AR79" s="517"/>
      <c r="AS79" s="517"/>
      <c r="AT79" s="517"/>
      <c r="AU79" s="517"/>
      <c r="AV79" s="517"/>
      <c r="AW79" s="517"/>
      <c r="AX79" s="517"/>
      <c r="AY79" s="517"/>
    </row>
    <row r="80" spans="1:51">
      <c r="A80" s="507" t="s">
        <v>825</v>
      </c>
      <c r="B80" s="518">
        <v>7492</v>
      </c>
      <c r="C80" s="518">
        <v>8005</v>
      </c>
      <c r="D80" s="518">
        <v>8374</v>
      </c>
      <c r="E80" s="518">
        <v>8590</v>
      </c>
      <c r="F80" s="518">
        <v>8530</v>
      </c>
      <c r="G80" s="518">
        <v>8277</v>
      </c>
      <c r="H80" s="518">
        <v>8366</v>
      </c>
      <c r="I80" s="518">
        <v>8172</v>
      </c>
      <c r="J80" s="518">
        <v>8045</v>
      </c>
      <c r="K80" s="518">
        <v>8214</v>
      </c>
      <c r="L80" s="518">
        <v>8415</v>
      </c>
      <c r="M80" s="518">
        <v>8300</v>
      </c>
      <c r="N80" s="518">
        <v>8414</v>
      </c>
      <c r="O80" s="518">
        <v>8570</v>
      </c>
      <c r="P80" s="518">
        <v>8318</v>
      </c>
      <c r="Q80" s="518">
        <v>8196</v>
      </c>
      <c r="R80" s="518">
        <v>8035</v>
      </c>
      <c r="T80" s="517"/>
      <c r="U80" s="517"/>
      <c r="V80" s="517"/>
      <c r="W80" s="517"/>
      <c r="X80" s="517"/>
      <c r="Y80" s="517"/>
      <c r="Z80" s="517"/>
      <c r="AA80" s="517"/>
      <c r="AB80" s="517"/>
      <c r="AC80" s="517"/>
      <c r="AD80" s="517"/>
      <c r="AE80" s="517"/>
      <c r="AF80" s="517"/>
      <c r="AG80" s="517"/>
      <c r="AH80" s="517"/>
      <c r="AI80" s="517"/>
      <c r="AJ80" s="517"/>
      <c r="AK80" s="517"/>
      <c r="AL80" s="517"/>
      <c r="AM80" s="517"/>
      <c r="AN80" s="517"/>
      <c r="AO80" s="517"/>
      <c r="AP80" s="517"/>
      <c r="AQ80" s="517"/>
      <c r="AR80" s="517"/>
      <c r="AS80" s="517"/>
      <c r="AT80" s="517"/>
      <c r="AU80" s="517"/>
      <c r="AV80" s="517"/>
      <c r="AW80" s="517"/>
      <c r="AX80" s="517"/>
      <c r="AY80" s="517"/>
    </row>
    <row r="81" spans="1:51">
      <c r="A81" s="507" t="s">
        <v>827</v>
      </c>
      <c r="B81" s="518">
        <v>3959</v>
      </c>
      <c r="C81" s="518">
        <v>4251</v>
      </c>
      <c r="D81" s="518">
        <v>4789</v>
      </c>
      <c r="E81" s="518">
        <v>5356</v>
      </c>
      <c r="F81" s="518">
        <v>6032</v>
      </c>
      <c r="G81" s="518">
        <v>6794</v>
      </c>
      <c r="H81" s="518">
        <v>7283</v>
      </c>
      <c r="I81" s="518">
        <v>7630</v>
      </c>
      <c r="J81" s="518">
        <v>7840</v>
      </c>
      <c r="K81" s="518">
        <v>7782</v>
      </c>
      <c r="L81" s="518">
        <v>7536</v>
      </c>
      <c r="M81" s="518">
        <v>7626</v>
      </c>
      <c r="N81" s="518">
        <v>7441</v>
      </c>
      <c r="O81" s="518">
        <v>7319</v>
      </c>
      <c r="P81" s="518">
        <v>7480</v>
      </c>
      <c r="Q81" s="518">
        <v>7674</v>
      </c>
      <c r="R81" s="518">
        <v>7560</v>
      </c>
      <c r="T81" s="517"/>
      <c r="U81" s="517"/>
      <c r="V81" s="517"/>
      <c r="W81" s="517"/>
      <c r="X81" s="517"/>
      <c r="Y81" s="517"/>
      <c r="Z81" s="517"/>
      <c r="AA81" s="517"/>
      <c r="AB81" s="517"/>
      <c r="AC81" s="517"/>
      <c r="AD81" s="517"/>
      <c r="AE81" s="517"/>
      <c r="AF81" s="517"/>
      <c r="AG81" s="517"/>
      <c r="AH81" s="517"/>
      <c r="AI81" s="517"/>
      <c r="AJ81" s="517"/>
      <c r="AK81" s="517"/>
      <c r="AL81" s="517"/>
      <c r="AM81" s="517"/>
      <c r="AN81" s="517"/>
      <c r="AO81" s="517"/>
      <c r="AP81" s="517"/>
      <c r="AQ81" s="517"/>
      <c r="AR81" s="517"/>
      <c r="AS81" s="517"/>
      <c r="AT81" s="517"/>
      <c r="AU81" s="517"/>
      <c r="AV81" s="517"/>
      <c r="AW81" s="517"/>
      <c r="AX81" s="517"/>
      <c r="AY81" s="517"/>
    </row>
    <row r="82" spans="1:51">
      <c r="A82" s="507" t="s">
        <v>829</v>
      </c>
      <c r="B82" s="518">
        <v>3186</v>
      </c>
      <c r="C82" s="518">
        <v>3214</v>
      </c>
      <c r="D82" s="518">
        <v>3174</v>
      </c>
      <c r="E82" s="518">
        <v>3264</v>
      </c>
      <c r="F82" s="518">
        <v>3291</v>
      </c>
      <c r="G82" s="518">
        <v>3456</v>
      </c>
      <c r="H82" s="518">
        <v>3735</v>
      </c>
      <c r="I82" s="518">
        <v>4230</v>
      </c>
      <c r="J82" s="518">
        <v>4756</v>
      </c>
      <c r="K82" s="518">
        <v>5383</v>
      </c>
      <c r="L82" s="518">
        <v>6100</v>
      </c>
      <c r="M82" s="518">
        <v>6553</v>
      </c>
      <c r="N82" s="518">
        <v>6879</v>
      </c>
      <c r="O82" s="518">
        <v>7078</v>
      </c>
      <c r="P82" s="518">
        <v>7029</v>
      </c>
      <c r="Q82" s="518">
        <v>6802</v>
      </c>
      <c r="R82" s="518">
        <v>6894</v>
      </c>
      <c r="T82" s="517"/>
      <c r="U82" s="517"/>
      <c r="V82" s="517"/>
      <c r="W82" s="517"/>
      <c r="X82" s="517"/>
      <c r="Y82" s="517"/>
      <c r="Z82" s="517"/>
      <c r="AA82" s="517"/>
      <c r="AB82" s="517"/>
      <c r="AC82" s="517"/>
      <c r="AD82" s="517"/>
      <c r="AE82" s="517"/>
      <c r="AF82" s="517"/>
      <c r="AG82" s="517"/>
      <c r="AH82" s="517"/>
      <c r="AI82" s="517"/>
      <c r="AJ82" s="517"/>
      <c r="AK82" s="517"/>
      <c r="AL82" s="517"/>
      <c r="AM82" s="517"/>
      <c r="AN82" s="517"/>
      <c r="AO82" s="517"/>
      <c r="AP82" s="517"/>
      <c r="AQ82" s="517"/>
      <c r="AR82" s="517"/>
      <c r="AS82" s="517"/>
      <c r="AT82" s="517"/>
      <c r="AU82" s="517"/>
      <c r="AV82" s="517"/>
      <c r="AW82" s="517"/>
      <c r="AX82" s="517"/>
      <c r="AY82" s="517"/>
    </row>
    <row r="83" spans="1:51">
      <c r="A83" s="507" t="s">
        <v>831</v>
      </c>
      <c r="B83" s="518">
        <v>3513</v>
      </c>
      <c r="C83" s="518">
        <v>3283</v>
      </c>
      <c r="D83" s="518">
        <v>3116</v>
      </c>
      <c r="E83" s="518">
        <v>2896</v>
      </c>
      <c r="F83" s="518">
        <v>2769</v>
      </c>
      <c r="G83" s="518">
        <v>2601</v>
      </c>
      <c r="H83" s="518">
        <v>2631</v>
      </c>
      <c r="I83" s="518">
        <v>2597</v>
      </c>
      <c r="J83" s="518">
        <v>2676</v>
      </c>
      <c r="K83" s="518">
        <v>2712</v>
      </c>
      <c r="L83" s="518">
        <v>2852</v>
      </c>
      <c r="M83" s="518">
        <v>3105</v>
      </c>
      <c r="N83" s="518">
        <v>3555</v>
      </c>
      <c r="O83" s="518">
        <v>4031</v>
      </c>
      <c r="P83" s="518">
        <v>4596</v>
      </c>
      <c r="Q83" s="518">
        <v>5232</v>
      </c>
      <c r="R83" s="518">
        <v>5638</v>
      </c>
      <c r="T83" s="517"/>
      <c r="U83" s="517"/>
      <c r="V83" s="517"/>
      <c r="W83" s="517"/>
      <c r="X83" s="517"/>
      <c r="Y83" s="517"/>
      <c r="Z83" s="517"/>
      <c r="AA83" s="517"/>
      <c r="AB83" s="517"/>
      <c r="AC83" s="517"/>
      <c r="AD83" s="517"/>
      <c r="AE83" s="517"/>
      <c r="AF83" s="517"/>
      <c r="AG83" s="517"/>
      <c r="AH83" s="517"/>
      <c r="AI83" s="517"/>
      <c r="AJ83" s="517"/>
      <c r="AK83" s="517"/>
      <c r="AL83" s="517"/>
      <c r="AM83" s="517"/>
      <c r="AN83" s="517"/>
      <c r="AO83" s="517"/>
      <c r="AP83" s="517"/>
      <c r="AQ83" s="517"/>
      <c r="AR83" s="517"/>
      <c r="AS83" s="517"/>
      <c r="AT83" s="517"/>
      <c r="AU83" s="517"/>
      <c r="AV83" s="517"/>
      <c r="AW83" s="517"/>
      <c r="AX83" s="517"/>
      <c r="AY83" s="517"/>
    </row>
    <row r="84" spans="1:51">
      <c r="A84" s="507" t="s">
        <v>833</v>
      </c>
      <c r="B84" s="518">
        <v>2839</v>
      </c>
      <c r="C84" s="518">
        <v>2862</v>
      </c>
      <c r="D84" s="518">
        <v>2830</v>
      </c>
      <c r="E84" s="518">
        <v>2811</v>
      </c>
      <c r="F84" s="518">
        <v>2718</v>
      </c>
      <c r="G84" s="518">
        <v>2658</v>
      </c>
      <c r="H84" s="518">
        <v>2485</v>
      </c>
      <c r="I84" s="518">
        <v>2352</v>
      </c>
      <c r="J84" s="518">
        <v>2180</v>
      </c>
      <c r="K84" s="518">
        <v>2079</v>
      </c>
      <c r="L84" s="518">
        <v>1950</v>
      </c>
      <c r="M84" s="518">
        <v>1982</v>
      </c>
      <c r="N84" s="518">
        <v>1959</v>
      </c>
      <c r="O84" s="518">
        <v>2022</v>
      </c>
      <c r="P84" s="518">
        <v>2060</v>
      </c>
      <c r="Q84" s="518">
        <v>2180</v>
      </c>
      <c r="R84" s="518">
        <v>2399</v>
      </c>
      <c r="T84" s="517"/>
      <c r="U84" s="517"/>
      <c r="V84" s="517"/>
      <c r="W84" s="517"/>
      <c r="X84" s="517"/>
      <c r="Y84" s="517"/>
      <c r="Z84" s="517"/>
      <c r="AA84" s="517"/>
      <c r="AB84" s="517"/>
      <c r="AC84" s="517"/>
      <c r="AD84" s="517"/>
      <c r="AE84" s="517"/>
      <c r="AF84" s="517"/>
      <c r="AG84" s="517"/>
      <c r="AH84" s="517"/>
      <c r="AI84" s="517"/>
      <c r="AJ84" s="517"/>
      <c r="AK84" s="517"/>
      <c r="AL84" s="517"/>
      <c r="AM84" s="517"/>
      <c r="AN84" s="517"/>
      <c r="AO84" s="517"/>
      <c r="AP84" s="517"/>
      <c r="AQ84" s="517"/>
      <c r="AR84" s="517"/>
      <c r="AS84" s="517"/>
      <c r="AT84" s="517"/>
      <c r="AU84" s="517"/>
      <c r="AV84" s="517"/>
      <c r="AW84" s="517"/>
      <c r="AX84" s="517"/>
      <c r="AY84" s="517"/>
    </row>
    <row r="85" spans="1:51">
      <c r="A85" s="521" t="s">
        <v>835</v>
      </c>
      <c r="B85" s="540">
        <v>2340</v>
      </c>
      <c r="C85" s="540">
        <v>2474</v>
      </c>
      <c r="D85" s="540">
        <v>2618</v>
      </c>
      <c r="E85" s="540">
        <v>2733</v>
      </c>
      <c r="F85" s="540">
        <v>2869</v>
      </c>
      <c r="G85" s="540">
        <v>2966</v>
      </c>
      <c r="H85" s="540">
        <v>3065</v>
      </c>
      <c r="I85" s="540">
        <v>3123</v>
      </c>
      <c r="J85" s="540">
        <v>3175</v>
      </c>
      <c r="K85" s="540">
        <v>3198</v>
      </c>
      <c r="L85" s="540">
        <v>3223</v>
      </c>
      <c r="M85" s="540">
        <v>3162</v>
      </c>
      <c r="N85" s="540">
        <v>3114</v>
      </c>
      <c r="O85" s="540">
        <v>3042</v>
      </c>
      <c r="P85" s="540">
        <v>3007</v>
      </c>
      <c r="Q85" s="540">
        <v>2948</v>
      </c>
      <c r="R85" s="540">
        <v>2957</v>
      </c>
      <c r="T85" s="517"/>
      <c r="U85" s="517"/>
      <c r="V85" s="517"/>
      <c r="W85" s="517"/>
      <c r="X85" s="517"/>
      <c r="Y85" s="517"/>
      <c r="Z85" s="517"/>
      <c r="AA85" s="517"/>
      <c r="AB85" s="517"/>
      <c r="AC85" s="517"/>
      <c r="AD85" s="517"/>
      <c r="AE85" s="517"/>
      <c r="AF85" s="517"/>
      <c r="AG85" s="517"/>
      <c r="AH85" s="517"/>
      <c r="AI85" s="517"/>
      <c r="AJ85" s="517"/>
      <c r="AK85" s="517"/>
      <c r="AL85" s="517"/>
      <c r="AM85" s="517"/>
      <c r="AN85" s="517"/>
      <c r="AO85" s="517"/>
      <c r="AP85" s="517"/>
      <c r="AQ85" s="517"/>
      <c r="AR85" s="517"/>
      <c r="AS85" s="517"/>
      <c r="AT85" s="517"/>
      <c r="AU85" s="517"/>
      <c r="AV85" s="517"/>
      <c r="AW85" s="517"/>
      <c r="AX85" s="517"/>
      <c r="AY85" s="517"/>
    </row>
    <row r="86" spans="1:51">
      <c r="A86" s="507"/>
      <c r="B86" s="518"/>
      <c r="C86" s="518"/>
      <c r="D86" s="518"/>
      <c r="E86" s="518"/>
      <c r="F86" s="518"/>
      <c r="G86" s="518"/>
      <c r="H86" s="518"/>
      <c r="I86" s="518"/>
      <c r="J86" s="518"/>
      <c r="K86" s="518"/>
      <c r="L86" s="518"/>
      <c r="M86" s="518"/>
      <c r="N86" s="518"/>
      <c r="O86" s="518"/>
      <c r="P86" s="518"/>
      <c r="Q86" s="518"/>
      <c r="R86" s="518"/>
      <c r="T86" s="517"/>
      <c r="U86" s="517"/>
      <c r="V86" s="517"/>
      <c r="W86" s="517"/>
      <c r="X86" s="517"/>
      <c r="Y86" s="517"/>
      <c r="Z86" s="517"/>
      <c r="AA86" s="517"/>
      <c r="AB86" s="517"/>
      <c r="AC86" s="517"/>
      <c r="AD86" s="517"/>
      <c r="AE86" s="517"/>
      <c r="AF86" s="517"/>
      <c r="AG86" s="517"/>
      <c r="AH86" s="517"/>
      <c r="AI86" s="517"/>
      <c r="AJ86" s="517"/>
      <c r="AK86" s="517"/>
      <c r="AL86" s="517"/>
      <c r="AM86" s="517"/>
      <c r="AN86" s="517"/>
      <c r="AO86" s="517"/>
      <c r="AP86" s="517"/>
      <c r="AQ86" s="517"/>
      <c r="AR86" s="517"/>
      <c r="AS86" s="517"/>
      <c r="AT86" s="517"/>
      <c r="AU86" s="517"/>
      <c r="AV86" s="517"/>
      <c r="AW86" s="517"/>
      <c r="AX86" s="517"/>
      <c r="AY86" s="517"/>
    </row>
    <row r="87" spans="1:51">
      <c r="A87" s="536"/>
      <c r="B87" s="518"/>
      <c r="C87" s="518"/>
      <c r="D87" s="518"/>
      <c r="E87" s="518"/>
      <c r="F87" s="518"/>
      <c r="G87" s="518"/>
      <c r="H87" s="518"/>
      <c r="I87" s="518"/>
      <c r="J87" s="518"/>
      <c r="K87" s="518"/>
      <c r="L87" s="518"/>
      <c r="M87" s="518"/>
      <c r="N87" s="518"/>
      <c r="O87" s="518"/>
      <c r="P87" s="518"/>
      <c r="Q87" s="518"/>
      <c r="R87" s="518"/>
      <c r="T87" s="517"/>
      <c r="U87" s="517"/>
      <c r="V87" s="517"/>
      <c r="W87" s="517"/>
      <c r="X87" s="517"/>
      <c r="Y87" s="517"/>
      <c r="Z87" s="517"/>
      <c r="AA87" s="517"/>
      <c r="AB87" s="517"/>
      <c r="AC87" s="517"/>
      <c r="AD87" s="517"/>
      <c r="AE87" s="517"/>
      <c r="AF87" s="517"/>
      <c r="AG87" s="517"/>
      <c r="AH87" s="517"/>
      <c r="AI87" s="517"/>
      <c r="AJ87" s="517"/>
      <c r="AK87" s="517"/>
      <c r="AL87" s="517"/>
      <c r="AM87" s="517"/>
      <c r="AN87" s="517"/>
      <c r="AO87" s="517"/>
      <c r="AP87" s="517"/>
      <c r="AQ87" s="517"/>
      <c r="AR87" s="517"/>
      <c r="AS87" s="517"/>
      <c r="AT87" s="517"/>
      <c r="AU87" s="517"/>
      <c r="AV87" s="517"/>
      <c r="AW87" s="517"/>
      <c r="AX87" s="517"/>
      <c r="AY87" s="517"/>
    </row>
    <row r="88" spans="1:51">
      <c r="A88" s="542" t="s">
        <v>837</v>
      </c>
      <c r="B88" s="542">
        <f>SUM(B89:B105)</f>
        <v>94466</v>
      </c>
      <c r="C88" s="542">
        <f t="shared" ref="C88:R88" si="8">SUM(C89:C105)</f>
        <v>95333</v>
      </c>
      <c r="D88" s="542">
        <f t="shared" si="8"/>
        <v>96135</v>
      </c>
      <c r="E88" s="542">
        <f t="shared" si="8"/>
        <v>96852</v>
      </c>
      <c r="F88" s="542">
        <f t="shared" si="8"/>
        <v>97502</v>
      </c>
      <c r="G88" s="542">
        <f t="shared" si="8"/>
        <v>98082</v>
      </c>
      <c r="H88" s="542">
        <f t="shared" si="8"/>
        <v>98616</v>
      </c>
      <c r="I88" s="542">
        <f t="shared" si="8"/>
        <v>99052</v>
      </c>
      <c r="J88" s="542">
        <f t="shared" si="8"/>
        <v>99413</v>
      </c>
      <c r="K88" s="542">
        <f t="shared" si="8"/>
        <v>99687</v>
      </c>
      <c r="L88" s="542">
        <f t="shared" si="8"/>
        <v>99891</v>
      </c>
      <c r="M88" s="542">
        <f t="shared" si="8"/>
        <v>100022</v>
      </c>
      <c r="N88" s="542">
        <f t="shared" si="8"/>
        <v>100077</v>
      </c>
      <c r="O88" s="542">
        <f t="shared" si="8"/>
        <v>100073</v>
      </c>
      <c r="P88" s="542">
        <f t="shared" si="8"/>
        <v>100024</v>
      </c>
      <c r="Q88" s="542">
        <f t="shared" si="8"/>
        <v>99955</v>
      </c>
      <c r="R88" s="542">
        <f t="shared" si="8"/>
        <v>99816</v>
      </c>
      <c r="T88" s="517"/>
      <c r="W88" s="517"/>
      <c r="X88" s="517"/>
      <c r="Y88" s="517"/>
      <c r="Z88" s="517"/>
      <c r="AA88" s="517"/>
      <c r="AB88" s="517"/>
      <c r="AC88" s="517"/>
      <c r="AD88" s="517"/>
      <c r="AE88" s="517"/>
      <c r="AF88" s="517"/>
      <c r="AG88" s="517"/>
      <c r="AH88" s="517"/>
      <c r="AI88" s="517"/>
      <c r="AJ88" s="517"/>
      <c r="AK88" s="517"/>
      <c r="AL88" s="517"/>
      <c r="AM88" s="517"/>
      <c r="AN88" s="517"/>
      <c r="AO88" s="517"/>
      <c r="AP88" s="517"/>
      <c r="AQ88" s="517"/>
      <c r="AR88" s="517"/>
      <c r="AS88" s="517"/>
      <c r="AT88" s="517"/>
      <c r="AU88" s="517"/>
      <c r="AV88" s="517"/>
      <c r="AW88" s="517"/>
      <c r="AX88" s="517"/>
      <c r="AY88" s="517"/>
    </row>
    <row r="89" spans="1:51">
      <c r="A89" s="518" t="s">
        <v>803</v>
      </c>
      <c r="B89" s="518">
        <v>12339</v>
      </c>
      <c r="C89" s="518">
        <v>12329</v>
      </c>
      <c r="D89" s="518">
        <v>12232</v>
      </c>
      <c r="E89" s="518">
        <v>12057</v>
      </c>
      <c r="F89" s="518">
        <v>11971</v>
      </c>
      <c r="G89" s="518">
        <v>11971</v>
      </c>
      <c r="H89" s="518">
        <v>11706</v>
      </c>
      <c r="I89" s="518">
        <v>11433</v>
      </c>
      <c r="J89" s="518">
        <v>11162</v>
      </c>
      <c r="K89" s="518">
        <v>10876</v>
      </c>
      <c r="L89" s="518">
        <v>10577</v>
      </c>
      <c r="M89" s="518">
        <v>10274</v>
      </c>
      <c r="N89" s="518">
        <v>9979</v>
      </c>
      <c r="O89" s="518">
        <v>9705</v>
      </c>
      <c r="P89" s="518">
        <v>9465</v>
      </c>
      <c r="Q89" s="518">
        <v>9269</v>
      </c>
      <c r="R89" s="518">
        <v>9112</v>
      </c>
      <c r="T89" s="517"/>
      <c r="W89" s="517"/>
      <c r="X89" s="517"/>
      <c r="Y89" s="517"/>
      <c r="Z89" s="517"/>
      <c r="AA89" s="517"/>
      <c r="AB89" s="517"/>
      <c r="AC89" s="517"/>
      <c r="AD89" s="517"/>
      <c r="AE89" s="517"/>
      <c r="AF89" s="517"/>
      <c r="AG89" s="517"/>
      <c r="AH89" s="517"/>
      <c r="AI89" s="517"/>
      <c r="AJ89" s="517"/>
      <c r="AK89" s="517"/>
      <c r="AL89" s="517"/>
      <c r="AM89" s="517"/>
      <c r="AN89" s="517"/>
      <c r="AO89" s="517"/>
      <c r="AP89" s="517"/>
      <c r="AQ89" s="517"/>
      <c r="AR89" s="517"/>
      <c r="AS89" s="517"/>
      <c r="AT89" s="517"/>
      <c r="AU89" s="517"/>
      <c r="AV89" s="517"/>
      <c r="AW89" s="517"/>
      <c r="AX89" s="517"/>
      <c r="AY89" s="517"/>
    </row>
    <row r="90" spans="1:51">
      <c r="A90" s="518" t="s">
        <v>805</v>
      </c>
      <c r="B90" s="518">
        <v>10889</v>
      </c>
      <c r="C90" s="518">
        <v>11449</v>
      </c>
      <c r="D90" s="518">
        <v>11892</v>
      </c>
      <c r="E90" s="518">
        <v>12222</v>
      </c>
      <c r="F90" s="518">
        <v>12260</v>
      </c>
      <c r="G90" s="518">
        <v>12080</v>
      </c>
      <c r="H90" s="518">
        <v>12067</v>
      </c>
      <c r="I90" s="518">
        <v>11974</v>
      </c>
      <c r="J90" s="518">
        <v>11797</v>
      </c>
      <c r="K90" s="518">
        <v>11711</v>
      </c>
      <c r="L90" s="518">
        <v>11709</v>
      </c>
      <c r="M90" s="518">
        <v>11445</v>
      </c>
      <c r="N90" s="518">
        <v>11173</v>
      </c>
      <c r="O90" s="518">
        <v>10900</v>
      </c>
      <c r="P90" s="518">
        <v>10612</v>
      </c>
      <c r="Q90" s="518">
        <v>10316</v>
      </c>
      <c r="R90" s="518">
        <v>10010</v>
      </c>
      <c r="T90" s="517"/>
      <c r="W90" s="517"/>
      <c r="X90" s="517"/>
      <c r="Y90" s="517"/>
      <c r="Z90" s="517"/>
      <c r="AA90" s="517"/>
      <c r="AB90" s="517"/>
      <c r="AC90" s="517"/>
      <c r="AD90" s="517"/>
      <c r="AE90" s="517"/>
      <c r="AF90" s="517"/>
      <c r="AG90" s="517"/>
      <c r="AH90" s="517"/>
      <c r="AI90" s="517"/>
      <c r="AJ90" s="517"/>
      <c r="AK90" s="517"/>
      <c r="AL90" s="517"/>
      <c r="AM90" s="517"/>
      <c r="AN90" s="517"/>
      <c r="AO90" s="517"/>
      <c r="AP90" s="517"/>
      <c r="AQ90" s="517"/>
      <c r="AR90" s="517"/>
      <c r="AS90" s="517"/>
      <c r="AT90" s="517"/>
      <c r="AU90" s="517"/>
      <c r="AV90" s="517"/>
      <c r="AW90" s="517"/>
      <c r="AX90" s="517"/>
      <c r="AY90" s="517"/>
    </row>
    <row r="91" spans="1:51">
      <c r="A91" s="518" t="s">
        <v>807</v>
      </c>
      <c r="B91" s="518">
        <v>9392</v>
      </c>
      <c r="C91" s="518">
        <v>9220</v>
      </c>
      <c r="D91" s="518">
        <v>9244</v>
      </c>
      <c r="E91" s="518">
        <v>9521</v>
      </c>
      <c r="F91" s="518">
        <v>10059</v>
      </c>
      <c r="G91" s="518">
        <v>10629</v>
      </c>
      <c r="H91" s="518">
        <v>11180</v>
      </c>
      <c r="I91" s="518">
        <v>11623</v>
      </c>
      <c r="J91" s="518">
        <v>11949</v>
      </c>
      <c r="K91" s="518">
        <v>11985</v>
      </c>
      <c r="L91" s="518">
        <v>11800</v>
      </c>
      <c r="M91" s="518">
        <v>11785</v>
      </c>
      <c r="N91" s="518">
        <v>11682</v>
      </c>
      <c r="O91" s="518">
        <v>11504</v>
      </c>
      <c r="P91" s="518">
        <v>11415</v>
      </c>
      <c r="Q91" s="518">
        <v>11408</v>
      </c>
      <c r="R91" s="518">
        <v>11140</v>
      </c>
      <c r="T91" s="517"/>
      <c r="W91" s="517"/>
      <c r="X91" s="517"/>
      <c r="Y91" s="517"/>
      <c r="Z91" s="517"/>
      <c r="AA91" s="517"/>
      <c r="AB91" s="517"/>
      <c r="AC91" s="517"/>
      <c r="AD91" s="517"/>
      <c r="AE91" s="517"/>
      <c r="AF91" s="517"/>
      <c r="AG91" s="517"/>
      <c r="AH91" s="517"/>
      <c r="AI91" s="517"/>
      <c r="AJ91" s="517"/>
      <c r="AK91" s="517"/>
      <c r="AL91" s="517"/>
      <c r="AM91" s="517"/>
      <c r="AN91" s="517"/>
      <c r="AO91" s="517"/>
      <c r="AP91" s="517"/>
      <c r="AQ91" s="517"/>
      <c r="AR91" s="517"/>
      <c r="AS91" s="517"/>
      <c r="AT91" s="517"/>
      <c r="AU91" s="517"/>
      <c r="AV91" s="517"/>
      <c r="AW91" s="517"/>
      <c r="AX91" s="517"/>
      <c r="AY91" s="517"/>
    </row>
    <row r="92" spans="1:51">
      <c r="A92" s="518" t="s">
        <v>809</v>
      </c>
      <c r="B92" s="518">
        <v>8645</v>
      </c>
      <c r="C92" s="518">
        <v>9211</v>
      </c>
      <c r="D92" s="518">
        <v>9466</v>
      </c>
      <c r="E92" s="518">
        <v>9445</v>
      </c>
      <c r="F92" s="518">
        <v>9185</v>
      </c>
      <c r="G92" s="518">
        <v>9085</v>
      </c>
      <c r="H92" s="518">
        <v>8912</v>
      </c>
      <c r="I92" s="518">
        <v>8929</v>
      </c>
      <c r="J92" s="518">
        <v>9201</v>
      </c>
      <c r="K92" s="518">
        <v>9735</v>
      </c>
      <c r="L92" s="518">
        <v>10296</v>
      </c>
      <c r="M92" s="518">
        <v>10846</v>
      </c>
      <c r="N92" s="518">
        <v>11280</v>
      </c>
      <c r="O92" s="518">
        <v>11599</v>
      </c>
      <c r="P92" s="518">
        <v>11627</v>
      </c>
      <c r="Q92" s="518">
        <v>11437</v>
      </c>
      <c r="R92" s="518">
        <v>11418</v>
      </c>
      <c r="T92" s="517"/>
      <c r="W92" s="517"/>
      <c r="X92" s="517"/>
      <c r="Y92" s="517"/>
      <c r="Z92" s="517"/>
      <c r="AA92" s="517"/>
      <c r="AB92" s="517"/>
      <c r="AC92" s="517"/>
      <c r="AD92" s="517"/>
      <c r="AE92" s="517"/>
      <c r="AF92" s="517"/>
      <c r="AG92" s="517"/>
      <c r="AH92" s="517"/>
      <c r="AI92" s="517"/>
      <c r="AJ92" s="517"/>
      <c r="AK92" s="517"/>
      <c r="AL92" s="517"/>
      <c r="AM92" s="517"/>
      <c r="AN92" s="517"/>
      <c r="AO92" s="517"/>
      <c r="AP92" s="517"/>
      <c r="AQ92" s="517"/>
      <c r="AR92" s="517"/>
      <c r="AS92" s="517"/>
      <c r="AT92" s="517"/>
      <c r="AU92" s="517"/>
      <c r="AV92" s="517"/>
      <c r="AW92" s="517"/>
      <c r="AX92" s="517"/>
      <c r="AY92" s="517"/>
    </row>
    <row r="93" spans="1:51">
      <c r="A93" s="518" t="s">
        <v>811</v>
      </c>
      <c r="B93" s="518">
        <v>7252</v>
      </c>
      <c r="C93" s="518">
        <v>6905</v>
      </c>
      <c r="D93" s="518">
        <v>6913</v>
      </c>
      <c r="E93" s="518">
        <v>7204</v>
      </c>
      <c r="F93" s="518">
        <v>7637</v>
      </c>
      <c r="G93" s="518">
        <v>8075</v>
      </c>
      <c r="H93" s="518">
        <v>8634</v>
      </c>
      <c r="I93" s="518">
        <v>8876</v>
      </c>
      <c r="J93" s="518">
        <v>8846</v>
      </c>
      <c r="K93" s="518">
        <v>8575</v>
      </c>
      <c r="L93" s="518">
        <v>8467</v>
      </c>
      <c r="M93" s="518">
        <v>8281</v>
      </c>
      <c r="N93" s="518">
        <v>8288</v>
      </c>
      <c r="O93" s="518">
        <v>8550</v>
      </c>
      <c r="P93" s="518">
        <v>9068</v>
      </c>
      <c r="Q93" s="518">
        <v>9624</v>
      </c>
      <c r="R93" s="518">
        <v>10160</v>
      </c>
      <c r="T93" s="517"/>
      <c r="W93" s="517"/>
      <c r="X93" s="517"/>
      <c r="Y93" s="517"/>
      <c r="Z93" s="517"/>
      <c r="AA93" s="517"/>
      <c r="AB93" s="517"/>
      <c r="AC93" s="517"/>
      <c r="AD93" s="517"/>
      <c r="AE93" s="517"/>
      <c r="AF93" s="517"/>
      <c r="AG93" s="517"/>
      <c r="AH93" s="517"/>
      <c r="AI93" s="517"/>
      <c r="AJ93" s="517"/>
      <c r="AK93" s="517"/>
      <c r="AL93" s="517"/>
      <c r="AM93" s="517"/>
      <c r="AN93" s="517"/>
      <c r="AO93" s="517"/>
      <c r="AP93" s="517"/>
      <c r="AQ93" s="517"/>
      <c r="AR93" s="517"/>
      <c r="AS93" s="517"/>
      <c r="AT93" s="517"/>
      <c r="AU93" s="517"/>
      <c r="AV93" s="517"/>
      <c r="AW93" s="517"/>
      <c r="AX93" s="517"/>
      <c r="AY93" s="517"/>
    </row>
    <row r="94" spans="1:51">
      <c r="A94" s="518" t="s">
        <v>813</v>
      </c>
      <c r="B94" s="518">
        <v>8063</v>
      </c>
      <c r="C94" s="518">
        <v>7781</v>
      </c>
      <c r="D94" s="518">
        <v>7461</v>
      </c>
      <c r="E94" s="518">
        <v>7100</v>
      </c>
      <c r="F94" s="518">
        <v>6796</v>
      </c>
      <c r="G94" s="518">
        <v>6420</v>
      </c>
      <c r="H94" s="518">
        <v>6060</v>
      </c>
      <c r="I94" s="518">
        <v>6048</v>
      </c>
      <c r="J94" s="518">
        <v>6326</v>
      </c>
      <c r="K94" s="518">
        <v>6742</v>
      </c>
      <c r="L94" s="518">
        <v>7164</v>
      </c>
      <c r="M94" s="518">
        <v>7706</v>
      </c>
      <c r="N94" s="518">
        <v>7932</v>
      </c>
      <c r="O94" s="518">
        <v>7885</v>
      </c>
      <c r="P94" s="518">
        <v>7600</v>
      </c>
      <c r="Q94" s="518">
        <v>7477</v>
      </c>
      <c r="R94" s="518">
        <v>7274</v>
      </c>
      <c r="T94" s="517"/>
      <c r="W94" s="517"/>
      <c r="X94" s="517"/>
      <c r="Y94" s="517"/>
      <c r="Z94" s="517"/>
      <c r="AA94" s="517"/>
      <c r="AB94" s="517"/>
      <c r="AC94" s="517"/>
      <c r="AD94" s="517"/>
      <c r="AE94" s="517"/>
      <c r="AF94" s="517"/>
      <c r="AG94" s="517"/>
      <c r="AH94" s="517"/>
      <c r="AI94" s="517"/>
      <c r="AJ94" s="517"/>
      <c r="AK94" s="517"/>
      <c r="AL94" s="517"/>
      <c r="AM94" s="517"/>
      <c r="AN94" s="517"/>
      <c r="AO94" s="517"/>
      <c r="AP94" s="517"/>
      <c r="AQ94" s="517"/>
      <c r="AR94" s="517"/>
      <c r="AS94" s="517"/>
      <c r="AT94" s="517"/>
      <c r="AU94" s="517"/>
      <c r="AV94" s="517"/>
      <c r="AW94" s="517"/>
      <c r="AX94" s="517"/>
      <c r="AY94" s="517"/>
    </row>
    <row r="95" spans="1:51">
      <c r="A95" s="507" t="s">
        <v>815</v>
      </c>
      <c r="B95" s="518">
        <v>6629</v>
      </c>
      <c r="C95" s="518">
        <v>6923</v>
      </c>
      <c r="D95" s="518">
        <v>7230</v>
      </c>
      <c r="E95" s="518">
        <v>7291</v>
      </c>
      <c r="F95" s="518">
        <v>7378</v>
      </c>
      <c r="G95" s="518">
        <v>7245</v>
      </c>
      <c r="H95" s="518">
        <v>6950</v>
      </c>
      <c r="I95" s="518">
        <v>6614</v>
      </c>
      <c r="J95" s="518">
        <v>6243</v>
      </c>
      <c r="K95" s="518">
        <v>5926</v>
      </c>
      <c r="L95" s="518">
        <v>5534</v>
      </c>
      <c r="M95" s="518">
        <v>5155</v>
      </c>
      <c r="N95" s="518">
        <v>5135</v>
      </c>
      <c r="O95" s="518">
        <v>5396</v>
      </c>
      <c r="P95" s="518">
        <v>5792</v>
      </c>
      <c r="Q95" s="518">
        <v>6202</v>
      </c>
      <c r="R95" s="518">
        <v>6724</v>
      </c>
      <c r="T95" s="517"/>
      <c r="W95" s="517"/>
      <c r="X95" s="517"/>
      <c r="Y95" s="517"/>
      <c r="Z95" s="517"/>
      <c r="AA95" s="517"/>
      <c r="AB95" s="517"/>
      <c r="AC95" s="517"/>
      <c r="AD95" s="517"/>
      <c r="AE95" s="517"/>
      <c r="AF95" s="517"/>
      <c r="AG95" s="517"/>
      <c r="AH95" s="517"/>
      <c r="AI95" s="517"/>
      <c r="AJ95" s="517"/>
      <c r="AK95" s="517"/>
      <c r="AL95" s="517"/>
      <c r="AM95" s="517"/>
      <c r="AN95" s="517"/>
      <c r="AO95" s="517"/>
      <c r="AP95" s="517"/>
      <c r="AQ95" s="517"/>
      <c r="AR95" s="517"/>
      <c r="AS95" s="517"/>
      <c r="AT95" s="517"/>
      <c r="AU95" s="517"/>
      <c r="AV95" s="517"/>
      <c r="AW95" s="517"/>
      <c r="AX95" s="517"/>
      <c r="AY95" s="517"/>
    </row>
    <row r="96" spans="1:51">
      <c r="A96" s="507" t="s">
        <v>817</v>
      </c>
      <c r="B96" s="518">
        <v>5007</v>
      </c>
      <c r="C96" s="518">
        <v>5215</v>
      </c>
      <c r="D96" s="518">
        <v>5303</v>
      </c>
      <c r="E96" s="518">
        <v>5551</v>
      </c>
      <c r="F96" s="518">
        <v>5771</v>
      </c>
      <c r="G96" s="518">
        <v>6001</v>
      </c>
      <c r="H96" s="518">
        <v>6284</v>
      </c>
      <c r="I96" s="518">
        <v>6581</v>
      </c>
      <c r="J96" s="518">
        <v>6630</v>
      </c>
      <c r="K96" s="518">
        <v>6703</v>
      </c>
      <c r="L96" s="518">
        <v>6562</v>
      </c>
      <c r="M96" s="518">
        <v>6257</v>
      </c>
      <c r="N96" s="518">
        <v>5910</v>
      </c>
      <c r="O96" s="518">
        <v>5527</v>
      </c>
      <c r="P96" s="518">
        <v>5200</v>
      </c>
      <c r="Q96" s="518">
        <v>4795</v>
      </c>
      <c r="R96" s="518">
        <v>4405</v>
      </c>
      <c r="T96" s="517"/>
      <c r="W96" s="517"/>
      <c r="X96" s="517"/>
      <c r="Y96" s="517"/>
      <c r="Z96" s="517"/>
      <c r="AA96" s="517"/>
      <c r="AB96" s="517"/>
      <c r="AC96" s="517"/>
      <c r="AD96" s="517"/>
      <c r="AE96" s="517"/>
      <c r="AF96" s="517"/>
      <c r="AG96" s="517"/>
      <c r="AH96" s="517"/>
      <c r="AI96" s="517"/>
      <c r="AJ96" s="517"/>
      <c r="AK96" s="517"/>
      <c r="AL96" s="517"/>
      <c r="AM96" s="517"/>
      <c r="AN96" s="517"/>
      <c r="AO96" s="517"/>
      <c r="AP96" s="517"/>
      <c r="AQ96" s="517"/>
      <c r="AR96" s="517"/>
      <c r="AS96" s="517"/>
      <c r="AT96" s="517"/>
      <c r="AU96" s="517"/>
      <c r="AV96" s="517"/>
      <c r="AW96" s="517"/>
      <c r="AX96" s="517"/>
      <c r="AY96" s="517"/>
    </row>
    <row r="97" spans="1:51">
      <c r="A97" s="507" t="s">
        <v>819</v>
      </c>
      <c r="B97" s="518">
        <v>4719</v>
      </c>
      <c r="C97" s="518">
        <v>4630</v>
      </c>
      <c r="D97" s="518">
        <v>4595</v>
      </c>
      <c r="E97" s="518">
        <v>4506</v>
      </c>
      <c r="F97" s="518">
        <v>4485</v>
      </c>
      <c r="G97" s="518">
        <v>4510</v>
      </c>
      <c r="H97" s="518">
        <v>4712</v>
      </c>
      <c r="I97" s="518">
        <v>4790</v>
      </c>
      <c r="J97" s="518">
        <v>5028</v>
      </c>
      <c r="K97" s="518">
        <v>5237</v>
      </c>
      <c r="L97" s="518">
        <v>5462</v>
      </c>
      <c r="M97" s="518">
        <v>5731</v>
      </c>
      <c r="N97" s="518">
        <v>6018</v>
      </c>
      <c r="O97" s="518">
        <v>6057</v>
      </c>
      <c r="P97" s="518">
        <v>6125</v>
      </c>
      <c r="Q97" s="518">
        <v>5973</v>
      </c>
      <c r="R97" s="518">
        <v>5658</v>
      </c>
      <c r="T97" s="517"/>
      <c r="W97" s="517"/>
      <c r="X97" s="517"/>
      <c r="Y97" s="517"/>
      <c r="Z97" s="517"/>
      <c r="AA97" s="517"/>
      <c r="AB97" s="517"/>
      <c r="AC97" s="517"/>
      <c r="AD97" s="517"/>
      <c r="AE97" s="517"/>
      <c r="AF97" s="517"/>
      <c r="AG97" s="517"/>
      <c r="AH97" s="517"/>
      <c r="AI97" s="517"/>
      <c r="AJ97" s="517"/>
      <c r="AK97" s="517"/>
      <c r="AL97" s="517"/>
      <c r="AM97" s="517"/>
      <c r="AN97" s="517"/>
      <c r="AO97" s="517"/>
      <c r="AP97" s="517"/>
      <c r="AQ97" s="517"/>
      <c r="AR97" s="517"/>
      <c r="AS97" s="517"/>
      <c r="AT97" s="517"/>
      <c r="AU97" s="517"/>
      <c r="AV97" s="517"/>
      <c r="AW97" s="517"/>
      <c r="AX97" s="517"/>
      <c r="AY97" s="517"/>
    </row>
    <row r="98" spans="1:51">
      <c r="A98" s="507" t="s">
        <v>821</v>
      </c>
      <c r="B98" s="518">
        <v>4685</v>
      </c>
      <c r="C98" s="518">
        <v>4529</v>
      </c>
      <c r="D98" s="518">
        <v>4522</v>
      </c>
      <c r="E98" s="518">
        <v>4566</v>
      </c>
      <c r="F98" s="518">
        <v>4378</v>
      </c>
      <c r="G98" s="518">
        <v>4254</v>
      </c>
      <c r="H98" s="518">
        <v>4162</v>
      </c>
      <c r="I98" s="518">
        <v>4122</v>
      </c>
      <c r="J98" s="518">
        <v>4021</v>
      </c>
      <c r="K98" s="518">
        <v>3996</v>
      </c>
      <c r="L98" s="518">
        <v>4014</v>
      </c>
      <c r="M98" s="518">
        <v>4204</v>
      </c>
      <c r="N98" s="518">
        <v>4274</v>
      </c>
      <c r="O98" s="518">
        <v>4504</v>
      </c>
      <c r="P98" s="518">
        <v>4705</v>
      </c>
      <c r="Q98" s="518">
        <v>4917</v>
      </c>
      <c r="R98" s="518">
        <v>5179</v>
      </c>
      <c r="T98" s="517"/>
      <c r="W98" s="517"/>
      <c r="X98" s="517"/>
      <c r="Y98" s="517"/>
      <c r="Z98" s="517"/>
      <c r="AA98" s="517"/>
      <c r="AB98" s="517"/>
      <c r="AC98" s="517"/>
      <c r="AD98" s="517"/>
      <c r="AE98" s="517"/>
      <c r="AF98" s="517"/>
      <c r="AG98" s="517"/>
      <c r="AH98" s="517"/>
      <c r="AI98" s="517"/>
      <c r="AJ98" s="517"/>
      <c r="AK98" s="517"/>
      <c r="AL98" s="517"/>
      <c r="AM98" s="517"/>
      <c r="AN98" s="517"/>
      <c r="AO98" s="517"/>
      <c r="AP98" s="517"/>
      <c r="AQ98" s="517"/>
      <c r="AR98" s="517"/>
      <c r="AS98" s="517"/>
      <c r="AT98" s="517"/>
      <c r="AU98" s="517"/>
      <c r="AV98" s="517"/>
      <c r="AW98" s="517"/>
      <c r="AX98" s="517"/>
      <c r="AY98" s="517"/>
    </row>
    <row r="99" spans="1:51">
      <c r="A99" s="507" t="s">
        <v>823</v>
      </c>
      <c r="B99" s="518">
        <v>4432</v>
      </c>
      <c r="C99" s="518">
        <v>4428</v>
      </c>
      <c r="D99" s="518">
        <v>4250</v>
      </c>
      <c r="E99" s="518">
        <v>4136</v>
      </c>
      <c r="F99" s="518">
        <v>4185</v>
      </c>
      <c r="G99" s="518">
        <v>4238</v>
      </c>
      <c r="H99" s="518">
        <v>4080</v>
      </c>
      <c r="I99" s="518">
        <v>4072</v>
      </c>
      <c r="J99" s="518">
        <v>4108</v>
      </c>
      <c r="K99" s="518">
        <v>3914</v>
      </c>
      <c r="L99" s="518">
        <v>3789</v>
      </c>
      <c r="M99" s="518">
        <v>3693</v>
      </c>
      <c r="N99" s="518">
        <v>3643</v>
      </c>
      <c r="O99" s="518">
        <v>3541</v>
      </c>
      <c r="P99" s="518">
        <v>3509</v>
      </c>
      <c r="Q99" s="518">
        <v>3524</v>
      </c>
      <c r="R99" s="518">
        <v>3705</v>
      </c>
      <c r="T99" s="517"/>
      <c r="W99" s="517"/>
      <c r="X99" s="517"/>
      <c r="Y99" s="517"/>
      <c r="Z99" s="517"/>
      <c r="AA99" s="517"/>
      <c r="AB99" s="517"/>
      <c r="AC99" s="517"/>
      <c r="AD99" s="517"/>
      <c r="AE99" s="517"/>
      <c r="AF99" s="517"/>
      <c r="AG99" s="517"/>
      <c r="AH99" s="517"/>
      <c r="AI99" s="517"/>
      <c r="AJ99" s="517"/>
      <c r="AK99" s="517"/>
      <c r="AL99" s="517"/>
      <c r="AM99" s="517"/>
      <c r="AN99" s="517"/>
      <c r="AO99" s="517"/>
      <c r="AP99" s="517"/>
      <c r="AQ99" s="517"/>
      <c r="AR99" s="517"/>
      <c r="AS99" s="517"/>
      <c r="AT99" s="517"/>
      <c r="AU99" s="517"/>
      <c r="AV99" s="517"/>
      <c r="AW99" s="517"/>
      <c r="AX99" s="517"/>
      <c r="AY99" s="517"/>
    </row>
    <row r="100" spans="1:51">
      <c r="A100" s="507" t="s">
        <v>825</v>
      </c>
      <c r="B100" s="518">
        <v>3866</v>
      </c>
      <c r="C100" s="518">
        <v>4094</v>
      </c>
      <c r="D100" s="518">
        <v>4269</v>
      </c>
      <c r="E100" s="518">
        <v>4275</v>
      </c>
      <c r="F100" s="518">
        <v>4140</v>
      </c>
      <c r="G100" s="518">
        <v>3990</v>
      </c>
      <c r="H100" s="518">
        <v>3982</v>
      </c>
      <c r="I100" s="518">
        <v>3806</v>
      </c>
      <c r="J100" s="518">
        <v>3697</v>
      </c>
      <c r="K100" s="518">
        <v>3740</v>
      </c>
      <c r="L100" s="518">
        <v>3789</v>
      </c>
      <c r="M100" s="518">
        <v>3631</v>
      </c>
      <c r="N100" s="518">
        <v>3617</v>
      </c>
      <c r="O100" s="518">
        <v>3648</v>
      </c>
      <c r="P100" s="518">
        <v>3456</v>
      </c>
      <c r="Q100" s="518">
        <v>3334</v>
      </c>
      <c r="R100" s="518">
        <v>3232</v>
      </c>
      <c r="T100" s="517"/>
      <c r="W100" s="517"/>
      <c r="X100" s="517"/>
      <c r="Y100" s="517"/>
      <c r="Z100" s="517"/>
      <c r="AA100" s="517"/>
      <c r="AB100" s="517"/>
      <c r="AC100" s="517"/>
      <c r="AD100" s="517"/>
      <c r="AE100" s="517"/>
      <c r="AF100" s="517"/>
      <c r="AG100" s="517"/>
      <c r="AH100" s="517"/>
      <c r="AI100" s="517"/>
      <c r="AJ100" s="517"/>
      <c r="AK100" s="517"/>
      <c r="AL100" s="517"/>
      <c r="AM100" s="517"/>
      <c r="AN100" s="517"/>
      <c r="AO100" s="517"/>
      <c r="AP100" s="517"/>
      <c r="AQ100" s="517"/>
      <c r="AR100" s="517"/>
      <c r="AS100" s="517"/>
      <c r="AT100" s="517"/>
      <c r="AU100" s="517"/>
      <c r="AV100" s="517"/>
      <c r="AW100" s="517"/>
      <c r="AX100" s="517"/>
      <c r="AY100" s="517"/>
    </row>
    <row r="101" spans="1:51">
      <c r="A101" s="507" t="s">
        <v>827</v>
      </c>
      <c r="B101" s="518">
        <v>2082</v>
      </c>
      <c r="C101" s="518">
        <v>2211</v>
      </c>
      <c r="D101" s="518">
        <v>2467</v>
      </c>
      <c r="E101" s="518">
        <v>2768</v>
      </c>
      <c r="F101" s="518">
        <v>3110</v>
      </c>
      <c r="G101" s="518">
        <v>3457</v>
      </c>
      <c r="H101" s="518">
        <v>3671</v>
      </c>
      <c r="I101" s="518">
        <v>3836</v>
      </c>
      <c r="J101" s="518">
        <v>3842</v>
      </c>
      <c r="K101" s="518">
        <v>3711</v>
      </c>
      <c r="L101" s="518">
        <v>3568</v>
      </c>
      <c r="M101" s="518">
        <v>3564</v>
      </c>
      <c r="N101" s="518">
        <v>3397</v>
      </c>
      <c r="O101" s="518">
        <v>3289</v>
      </c>
      <c r="P101" s="518">
        <v>3329</v>
      </c>
      <c r="Q101" s="518">
        <v>3375</v>
      </c>
      <c r="R101" s="518">
        <v>3224</v>
      </c>
      <c r="T101" s="517"/>
      <c r="W101" s="517"/>
      <c r="X101" s="517"/>
      <c r="Y101" s="517"/>
      <c r="Z101" s="517"/>
      <c r="AA101" s="517"/>
      <c r="AB101" s="517"/>
      <c r="AC101" s="517"/>
      <c r="AD101" s="517"/>
      <c r="AE101" s="517"/>
      <c r="AF101" s="517"/>
      <c r="AG101" s="517"/>
      <c r="AH101" s="517"/>
      <c r="AI101" s="517"/>
      <c r="AJ101" s="517"/>
      <c r="AK101" s="517"/>
      <c r="AL101" s="517"/>
      <c r="AM101" s="517"/>
      <c r="AN101" s="517"/>
      <c r="AO101" s="517"/>
      <c r="AP101" s="517"/>
      <c r="AQ101" s="517"/>
      <c r="AR101" s="517"/>
      <c r="AS101" s="517"/>
      <c r="AT101" s="517"/>
      <c r="AU101" s="517"/>
      <c r="AV101" s="517"/>
      <c r="AW101" s="517"/>
      <c r="AX101" s="517"/>
      <c r="AY101" s="517"/>
    </row>
    <row r="102" spans="1:51">
      <c r="A102" s="507" t="s">
        <v>829</v>
      </c>
      <c r="B102" s="518">
        <v>1632</v>
      </c>
      <c r="C102" s="518">
        <v>1668</v>
      </c>
      <c r="D102" s="518">
        <v>1629</v>
      </c>
      <c r="E102" s="518">
        <v>1663</v>
      </c>
      <c r="F102" s="518">
        <v>1686</v>
      </c>
      <c r="G102" s="518">
        <v>1786</v>
      </c>
      <c r="H102" s="518">
        <v>1909</v>
      </c>
      <c r="I102" s="518">
        <v>2145</v>
      </c>
      <c r="J102" s="518">
        <v>2419</v>
      </c>
      <c r="K102" s="518">
        <v>2733</v>
      </c>
      <c r="L102" s="518">
        <v>3056</v>
      </c>
      <c r="M102" s="518">
        <v>3253</v>
      </c>
      <c r="N102" s="518">
        <v>3406</v>
      </c>
      <c r="O102" s="518">
        <v>3410</v>
      </c>
      <c r="P102" s="518">
        <v>3291</v>
      </c>
      <c r="Q102" s="518">
        <v>3164</v>
      </c>
      <c r="R102" s="518">
        <v>3161</v>
      </c>
      <c r="T102" s="517"/>
      <c r="W102" s="517"/>
      <c r="X102" s="517"/>
      <c r="Y102" s="517"/>
      <c r="Z102" s="517"/>
      <c r="AA102" s="517"/>
      <c r="AB102" s="517"/>
      <c r="AC102" s="517"/>
      <c r="AD102" s="517"/>
      <c r="AE102" s="517"/>
      <c r="AF102" s="517"/>
      <c r="AG102" s="517"/>
      <c r="AH102" s="517"/>
      <c r="AI102" s="517"/>
      <c r="AJ102" s="517"/>
      <c r="AK102" s="517"/>
      <c r="AL102" s="517"/>
      <c r="AM102" s="517"/>
      <c r="AN102" s="517"/>
      <c r="AO102" s="517"/>
      <c r="AP102" s="517"/>
      <c r="AQ102" s="517"/>
      <c r="AR102" s="517"/>
      <c r="AS102" s="517"/>
      <c r="AT102" s="517"/>
      <c r="AU102" s="517"/>
      <c r="AV102" s="517"/>
      <c r="AW102" s="517"/>
      <c r="AX102" s="517"/>
      <c r="AY102" s="517"/>
    </row>
    <row r="103" spans="1:51">
      <c r="A103" s="507" t="s">
        <v>831</v>
      </c>
      <c r="B103" s="518">
        <v>1832</v>
      </c>
      <c r="C103" s="518">
        <v>1700</v>
      </c>
      <c r="D103" s="518">
        <v>1584</v>
      </c>
      <c r="E103" s="518">
        <v>1459</v>
      </c>
      <c r="F103" s="518">
        <v>1407</v>
      </c>
      <c r="G103" s="518">
        <v>1305</v>
      </c>
      <c r="H103" s="518">
        <v>1338</v>
      </c>
      <c r="I103" s="518">
        <v>1305</v>
      </c>
      <c r="J103" s="518">
        <v>1335</v>
      </c>
      <c r="K103" s="518">
        <v>1362</v>
      </c>
      <c r="L103" s="518">
        <v>1448</v>
      </c>
      <c r="M103" s="518">
        <v>1558</v>
      </c>
      <c r="N103" s="518">
        <v>1769</v>
      </c>
      <c r="O103" s="518">
        <v>2013</v>
      </c>
      <c r="P103" s="518">
        <v>2293</v>
      </c>
      <c r="Q103" s="518">
        <v>2578</v>
      </c>
      <c r="R103" s="518">
        <v>2750</v>
      </c>
      <c r="T103" s="517"/>
      <c r="W103" s="517"/>
      <c r="X103" s="517"/>
      <c r="Y103" s="517"/>
      <c r="Z103" s="517"/>
      <c r="AA103" s="517"/>
      <c r="AB103" s="517"/>
      <c r="AC103" s="517"/>
      <c r="AD103" s="517"/>
      <c r="AE103" s="517"/>
      <c r="AF103" s="517"/>
      <c r="AG103" s="517"/>
      <c r="AH103" s="517"/>
      <c r="AI103" s="517"/>
      <c r="AJ103" s="517"/>
      <c r="AK103" s="517"/>
      <c r="AL103" s="517"/>
      <c r="AM103" s="517"/>
      <c r="AN103" s="517"/>
      <c r="AO103" s="517"/>
      <c r="AP103" s="517"/>
      <c r="AQ103" s="517"/>
      <c r="AR103" s="517"/>
      <c r="AS103" s="517"/>
      <c r="AT103" s="517"/>
      <c r="AU103" s="517"/>
      <c r="AV103" s="517"/>
      <c r="AW103" s="517"/>
      <c r="AX103" s="517"/>
      <c r="AY103" s="517"/>
    </row>
    <row r="104" spans="1:51">
      <c r="A104" s="507" t="s">
        <v>833</v>
      </c>
      <c r="B104" s="518">
        <v>1557</v>
      </c>
      <c r="C104" s="518">
        <v>1526</v>
      </c>
      <c r="D104" s="518">
        <v>1519</v>
      </c>
      <c r="E104" s="518">
        <v>1500</v>
      </c>
      <c r="F104" s="518">
        <v>1405</v>
      </c>
      <c r="G104" s="518">
        <v>1348</v>
      </c>
      <c r="H104" s="518">
        <v>1258</v>
      </c>
      <c r="I104" s="518">
        <v>1168</v>
      </c>
      <c r="J104" s="518">
        <v>1072</v>
      </c>
      <c r="K104" s="518">
        <v>1031</v>
      </c>
      <c r="L104" s="518">
        <v>952</v>
      </c>
      <c r="M104" s="518">
        <v>983</v>
      </c>
      <c r="N104" s="518">
        <v>960</v>
      </c>
      <c r="O104" s="518">
        <v>982</v>
      </c>
      <c r="P104" s="518">
        <v>1008</v>
      </c>
      <c r="Q104" s="518">
        <v>1081</v>
      </c>
      <c r="R104" s="518">
        <v>1177</v>
      </c>
      <c r="T104" s="517"/>
      <c r="W104" s="517"/>
      <c r="X104" s="517"/>
      <c r="Y104" s="517"/>
      <c r="Z104" s="517"/>
      <c r="AA104" s="517"/>
      <c r="AB104" s="517"/>
      <c r="AC104" s="517"/>
      <c r="AD104" s="517"/>
      <c r="AE104" s="517"/>
      <c r="AF104" s="517"/>
      <c r="AG104" s="517"/>
      <c r="AH104" s="517"/>
      <c r="AI104" s="517"/>
      <c r="AJ104" s="517"/>
      <c r="AK104" s="517"/>
      <c r="AL104" s="517"/>
      <c r="AM104" s="517"/>
      <c r="AN104" s="517"/>
      <c r="AO104" s="517"/>
      <c r="AP104" s="517"/>
      <c r="AQ104" s="517"/>
      <c r="AR104" s="517"/>
      <c r="AS104" s="517"/>
      <c r="AT104" s="517"/>
      <c r="AU104" s="517"/>
      <c r="AV104" s="517"/>
      <c r="AW104" s="517"/>
      <c r="AX104" s="517"/>
      <c r="AY104" s="517"/>
    </row>
    <row r="105" spans="1:51">
      <c r="A105" s="521" t="s">
        <v>835</v>
      </c>
      <c r="B105" s="540">
        <v>1445</v>
      </c>
      <c r="C105" s="540">
        <v>1514</v>
      </c>
      <c r="D105" s="540">
        <v>1559</v>
      </c>
      <c r="E105" s="540">
        <v>1588</v>
      </c>
      <c r="F105" s="540">
        <v>1649</v>
      </c>
      <c r="G105" s="540">
        <v>1688</v>
      </c>
      <c r="H105" s="540">
        <v>1711</v>
      </c>
      <c r="I105" s="540">
        <v>1730</v>
      </c>
      <c r="J105" s="540">
        <v>1737</v>
      </c>
      <c r="K105" s="540">
        <v>1710</v>
      </c>
      <c r="L105" s="540">
        <v>1704</v>
      </c>
      <c r="M105" s="540">
        <v>1656</v>
      </c>
      <c r="N105" s="540">
        <v>1614</v>
      </c>
      <c r="O105" s="540">
        <v>1563</v>
      </c>
      <c r="P105" s="540">
        <v>1529</v>
      </c>
      <c r="Q105" s="540">
        <v>1481</v>
      </c>
      <c r="R105" s="540">
        <v>1487</v>
      </c>
      <c r="T105" s="517"/>
      <c r="W105" s="517"/>
      <c r="X105" s="517"/>
      <c r="Y105" s="517"/>
      <c r="Z105" s="517"/>
      <c r="AA105" s="517"/>
      <c r="AB105" s="517"/>
      <c r="AC105" s="517"/>
      <c r="AD105" s="517"/>
      <c r="AE105" s="517"/>
      <c r="AF105" s="517"/>
      <c r="AG105" s="517"/>
      <c r="AH105" s="517"/>
      <c r="AI105" s="517"/>
      <c r="AJ105" s="517"/>
      <c r="AK105" s="517"/>
      <c r="AL105" s="517"/>
      <c r="AM105" s="517"/>
      <c r="AN105" s="517"/>
      <c r="AO105" s="517"/>
      <c r="AP105" s="517"/>
      <c r="AQ105" s="517"/>
      <c r="AR105" s="517"/>
      <c r="AS105" s="517"/>
      <c r="AT105" s="517"/>
      <c r="AU105" s="517"/>
      <c r="AV105" s="517"/>
      <c r="AW105" s="517"/>
      <c r="AX105" s="517"/>
      <c r="AY105" s="517"/>
    </row>
    <row r="106" spans="1:51">
      <c r="A106" s="507"/>
      <c r="B106" s="518"/>
      <c r="C106" s="518"/>
      <c r="D106" s="518"/>
      <c r="E106" s="518"/>
      <c r="F106" s="518"/>
      <c r="G106" s="518"/>
      <c r="H106" s="518"/>
      <c r="I106" s="518"/>
      <c r="J106" s="518"/>
      <c r="K106" s="518"/>
      <c r="L106" s="518"/>
      <c r="M106" s="518"/>
      <c r="N106" s="518"/>
      <c r="O106" s="518"/>
      <c r="P106" s="518"/>
      <c r="Q106" s="518"/>
      <c r="R106" s="518"/>
      <c r="T106" s="517"/>
      <c r="W106" s="517"/>
      <c r="X106" s="517"/>
      <c r="Y106" s="517"/>
      <c r="Z106" s="517"/>
      <c r="AA106" s="517"/>
      <c r="AB106" s="517"/>
      <c r="AC106" s="517"/>
      <c r="AD106" s="517"/>
      <c r="AE106" s="517"/>
      <c r="AF106" s="517"/>
      <c r="AG106" s="517"/>
      <c r="AH106" s="517"/>
      <c r="AI106" s="517"/>
      <c r="AJ106" s="517"/>
      <c r="AK106" s="517"/>
      <c r="AL106" s="517"/>
      <c r="AM106" s="517"/>
      <c r="AN106" s="517"/>
      <c r="AO106" s="517"/>
      <c r="AP106" s="517"/>
      <c r="AQ106" s="517"/>
      <c r="AR106" s="517"/>
      <c r="AS106" s="517"/>
      <c r="AT106" s="517"/>
      <c r="AU106" s="517"/>
      <c r="AV106" s="517"/>
      <c r="AW106" s="517"/>
      <c r="AX106" s="517"/>
      <c r="AY106" s="517"/>
    </row>
    <row r="107" spans="1:51">
      <c r="A107" s="536"/>
      <c r="B107" s="518"/>
      <c r="C107" s="518"/>
      <c r="D107" s="518"/>
      <c r="E107" s="518"/>
      <c r="F107" s="518"/>
      <c r="G107" s="518"/>
      <c r="H107" s="518"/>
      <c r="I107" s="518"/>
      <c r="J107" s="518"/>
      <c r="K107" s="518"/>
      <c r="L107" s="518"/>
      <c r="M107" s="518"/>
      <c r="N107" s="518"/>
      <c r="O107" s="518"/>
      <c r="P107" s="518"/>
      <c r="Q107" s="518"/>
      <c r="R107" s="518"/>
      <c r="T107" s="517"/>
      <c r="W107" s="517"/>
      <c r="X107" s="517"/>
      <c r="Y107" s="517"/>
      <c r="Z107" s="517"/>
      <c r="AA107" s="517"/>
      <c r="AB107" s="517"/>
      <c r="AC107" s="517"/>
      <c r="AD107" s="517"/>
      <c r="AE107" s="517"/>
      <c r="AF107" s="517"/>
      <c r="AG107" s="517"/>
      <c r="AH107" s="517"/>
      <c r="AI107" s="517"/>
      <c r="AJ107" s="517"/>
      <c r="AK107" s="517"/>
      <c r="AL107" s="517"/>
      <c r="AM107" s="517"/>
      <c r="AN107" s="517"/>
      <c r="AO107" s="517"/>
      <c r="AP107" s="517"/>
      <c r="AQ107" s="517"/>
      <c r="AR107" s="517"/>
      <c r="AS107" s="517"/>
      <c r="AT107" s="517"/>
      <c r="AU107" s="517"/>
      <c r="AV107" s="517"/>
      <c r="AW107" s="517"/>
      <c r="AX107" s="517"/>
      <c r="AY107" s="517"/>
    </row>
    <row r="108" spans="1:51">
      <c r="A108" s="542" t="s">
        <v>23</v>
      </c>
      <c r="B108" s="542">
        <f>SUM(B109:B125)</f>
        <v>101199</v>
      </c>
      <c r="C108" s="542">
        <f t="shared" ref="C108:R108" si="9">SUM(C109:C125)</f>
        <v>101980</v>
      </c>
      <c r="D108" s="542">
        <f t="shared" si="9"/>
        <v>102688</v>
      </c>
      <c r="E108" s="542">
        <f t="shared" si="9"/>
        <v>103314</v>
      </c>
      <c r="F108" s="542">
        <f t="shared" si="9"/>
        <v>103845</v>
      </c>
      <c r="G108" s="542">
        <f t="shared" si="9"/>
        <v>104328</v>
      </c>
      <c r="H108" s="542">
        <f t="shared" si="9"/>
        <v>104732</v>
      </c>
      <c r="I108" s="542">
        <f t="shared" si="9"/>
        <v>105042</v>
      </c>
      <c r="J108" s="542">
        <f t="shared" si="9"/>
        <v>105276</v>
      </c>
      <c r="K108" s="542">
        <f t="shared" si="9"/>
        <v>105436</v>
      </c>
      <c r="L108" s="542">
        <f t="shared" si="9"/>
        <v>105516</v>
      </c>
      <c r="M108" s="542">
        <f t="shared" si="9"/>
        <v>105516</v>
      </c>
      <c r="N108" s="542">
        <f t="shared" si="9"/>
        <v>105422</v>
      </c>
      <c r="O108" s="542">
        <f t="shared" si="9"/>
        <v>105289</v>
      </c>
      <c r="P108" s="542">
        <f t="shared" si="9"/>
        <v>105105</v>
      </c>
      <c r="Q108" s="542">
        <f t="shared" si="9"/>
        <v>104866</v>
      </c>
      <c r="R108" s="542">
        <f t="shared" si="9"/>
        <v>104592</v>
      </c>
      <c r="T108" s="517"/>
      <c r="W108" s="517"/>
      <c r="X108" s="517"/>
      <c r="Y108" s="517"/>
      <c r="Z108" s="517"/>
      <c r="AA108" s="517"/>
      <c r="AB108" s="517"/>
      <c r="AC108" s="517"/>
      <c r="AD108" s="517"/>
      <c r="AE108" s="517"/>
      <c r="AF108" s="517"/>
      <c r="AG108" s="517"/>
      <c r="AH108" s="517"/>
      <c r="AI108" s="517"/>
      <c r="AJ108" s="517"/>
      <c r="AK108" s="517"/>
      <c r="AL108" s="517"/>
      <c r="AM108" s="517"/>
      <c r="AN108" s="517"/>
      <c r="AO108" s="517"/>
      <c r="AP108" s="517"/>
      <c r="AQ108" s="517"/>
      <c r="AR108" s="517"/>
      <c r="AS108" s="517"/>
      <c r="AT108" s="517"/>
      <c r="AU108" s="517"/>
      <c r="AV108" s="517"/>
      <c r="AW108" s="517"/>
      <c r="AX108" s="517"/>
      <c r="AY108" s="517"/>
    </row>
    <row r="109" spans="1:51">
      <c r="A109" s="518" t="s">
        <v>803</v>
      </c>
      <c r="B109" s="518">
        <v>11147</v>
      </c>
      <c r="C109" s="518">
        <v>11118</v>
      </c>
      <c r="D109" s="518">
        <v>11092</v>
      </c>
      <c r="E109" s="518">
        <v>10969</v>
      </c>
      <c r="F109" s="518">
        <v>10952</v>
      </c>
      <c r="G109" s="518">
        <v>10942</v>
      </c>
      <c r="H109" s="518">
        <v>10704</v>
      </c>
      <c r="I109" s="518">
        <v>10462</v>
      </c>
      <c r="J109" s="518">
        <v>10218</v>
      </c>
      <c r="K109" s="518">
        <v>9962</v>
      </c>
      <c r="L109" s="518">
        <v>9698</v>
      </c>
      <c r="M109" s="518">
        <v>9427</v>
      </c>
      <c r="N109" s="518">
        <v>9165</v>
      </c>
      <c r="O109" s="518">
        <v>8919</v>
      </c>
      <c r="P109" s="518">
        <v>8708</v>
      </c>
      <c r="Q109" s="518">
        <v>8536</v>
      </c>
      <c r="R109" s="518">
        <v>8400</v>
      </c>
      <c r="T109" s="517"/>
      <c r="W109" s="517"/>
      <c r="X109" s="517"/>
      <c r="Y109" s="517"/>
      <c r="Z109" s="517"/>
      <c r="AA109" s="517"/>
      <c r="AB109" s="517"/>
      <c r="AC109" s="517"/>
      <c r="AD109" s="517"/>
      <c r="AE109" s="517"/>
      <c r="AF109" s="517"/>
      <c r="AG109" s="517"/>
      <c r="AH109" s="517"/>
      <c r="AI109" s="517"/>
      <c r="AJ109" s="517"/>
      <c r="AK109" s="517"/>
      <c r="AL109" s="517"/>
      <c r="AM109" s="517"/>
      <c r="AN109" s="517"/>
      <c r="AO109" s="517"/>
      <c r="AP109" s="517"/>
      <c r="AQ109" s="517"/>
      <c r="AR109" s="517"/>
      <c r="AS109" s="517"/>
      <c r="AT109" s="517"/>
      <c r="AU109" s="517"/>
      <c r="AV109" s="517"/>
      <c r="AW109" s="517"/>
      <c r="AX109" s="517"/>
      <c r="AY109" s="517"/>
    </row>
    <row r="110" spans="1:51">
      <c r="A110" s="518" t="s">
        <v>805</v>
      </c>
      <c r="B110" s="518">
        <v>10354</v>
      </c>
      <c r="C110" s="518">
        <v>10799</v>
      </c>
      <c r="D110" s="518">
        <v>11043</v>
      </c>
      <c r="E110" s="518">
        <v>11265</v>
      </c>
      <c r="F110" s="518">
        <v>11185</v>
      </c>
      <c r="G110" s="518">
        <v>10856</v>
      </c>
      <c r="H110" s="518">
        <v>10823</v>
      </c>
      <c r="I110" s="518">
        <v>10793</v>
      </c>
      <c r="J110" s="518">
        <v>10670</v>
      </c>
      <c r="K110" s="518">
        <v>10652</v>
      </c>
      <c r="L110" s="518">
        <v>10641</v>
      </c>
      <c r="M110" s="518">
        <v>10401</v>
      </c>
      <c r="N110" s="518">
        <v>10158</v>
      </c>
      <c r="O110" s="518">
        <v>9914</v>
      </c>
      <c r="P110" s="518">
        <v>9656</v>
      </c>
      <c r="Q110" s="518">
        <v>9389</v>
      </c>
      <c r="R110" s="518">
        <v>9117</v>
      </c>
      <c r="T110" s="517"/>
      <c r="W110" s="517"/>
      <c r="X110" s="517"/>
      <c r="Y110" s="517"/>
      <c r="Z110" s="517"/>
      <c r="AA110" s="517"/>
      <c r="AB110" s="517"/>
      <c r="AC110" s="517"/>
      <c r="AD110" s="517"/>
      <c r="AE110" s="517"/>
      <c r="AF110" s="517"/>
      <c r="AG110" s="517"/>
      <c r="AH110" s="517"/>
      <c r="AI110" s="517"/>
      <c r="AJ110" s="517"/>
      <c r="AK110" s="517"/>
      <c r="AL110" s="517"/>
      <c r="AM110" s="517"/>
      <c r="AN110" s="517"/>
      <c r="AO110" s="517"/>
      <c r="AP110" s="517"/>
      <c r="AQ110" s="517"/>
      <c r="AR110" s="517"/>
      <c r="AS110" s="517"/>
      <c r="AT110" s="517"/>
      <c r="AU110" s="517"/>
      <c r="AV110" s="517"/>
      <c r="AW110" s="517"/>
      <c r="AX110" s="517"/>
      <c r="AY110" s="517"/>
    </row>
    <row r="111" spans="1:51">
      <c r="A111" s="518" t="s">
        <v>807</v>
      </c>
      <c r="B111" s="518">
        <v>8755</v>
      </c>
      <c r="C111" s="518">
        <v>8672</v>
      </c>
      <c r="D111" s="518">
        <v>8701</v>
      </c>
      <c r="E111" s="518">
        <v>8956</v>
      </c>
      <c r="F111" s="518">
        <v>9483</v>
      </c>
      <c r="G111" s="518">
        <v>10064</v>
      </c>
      <c r="H111" s="518">
        <v>10505</v>
      </c>
      <c r="I111" s="518">
        <v>10743</v>
      </c>
      <c r="J111" s="518">
        <v>10961</v>
      </c>
      <c r="K111" s="518">
        <v>10874</v>
      </c>
      <c r="L111" s="518">
        <v>10542</v>
      </c>
      <c r="M111" s="518">
        <v>10507</v>
      </c>
      <c r="N111" s="518">
        <v>10468</v>
      </c>
      <c r="O111" s="518">
        <v>10339</v>
      </c>
      <c r="P111" s="518">
        <v>10313</v>
      </c>
      <c r="Q111" s="518">
        <v>10299</v>
      </c>
      <c r="R111" s="518">
        <v>10058</v>
      </c>
      <c r="T111" s="517"/>
      <c r="W111" s="517"/>
      <c r="X111" s="517"/>
      <c r="Y111" s="517"/>
      <c r="Z111" s="517"/>
      <c r="AA111" s="517"/>
      <c r="AB111" s="517"/>
      <c r="AC111" s="517"/>
      <c r="AD111" s="517"/>
      <c r="AE111" s="517"/>
      <c r="AF111" s="517"/>
      <c r="AG111" s="517"/>
      <c r="AH111" s="517"/>
      <c r="AI111" s="517"/>
      <c r="AJ111" s="517"/>
      <c r="AK111" s="517"/>
      <c r="AL111" s="517"/>
      <c r="AM111" s="517"/>
      <c r="AN111" s="517"/>
      <c r="AO111" s="517"/>
      <c r="AP111" s="517"/>
      <c r="AQ111" s="517"/>
      <c r="AR111" s="517"/>
      <c r="AS111" s="517"/>
      <c r="AT111" s="517"/>
      <c r="AU111" s="517"/>
      <c r="AV111" s="517"/>
      <c r="AW111" s="517"/>
      <c r="AX111" s="517"/>
      <c r="AY111" s="517"/>
    </row>
    <row r="112" spans="1:51">
      <c r="A112" s="518" t="s">
        <v>809</v>
      </c>
      <c r="B112" s="518">
        <v>8386</v>
      </c>
      <c r="C112" s="518">
        <v>8614</v>
      </c>
      <c r="D112" s="518">
        <v>8815</v>
      </c>
      <c r="E112" s="518">
        <v>8880</v>
      </c>
      <c r="F112" s="518">
        <v>8630</v>
      </c>
      <c r="G112" s="518">
        <v>8414</v>
      </c>
      <c r="H112" s="518">
        <v>8324</v>
      </c>
      <c r="I112" s="518">
        <v>8351</v>
      </c>
      <c r="J112" s="518">
        <v>8601</v>
      </c>
      <c r="K112" s="518">
        <v>9116</v>
      </c>
      <c r="L112" s="518">
        <v>9696</v>
      </c>
      <c r="M112" s="518">
        <v>10126</v>
      </c>
      <c r="N112" s="518">
        <v>10361</v>
      </c>
      <c r="O112" s="518">
        <v>10571</v>
      </c>
      <c r="P112" s="518">
        <v>10478</v>
      </c>
      <c r="Q112" s="518">
        <v>10138</v>
      </c>
      <c r="R112" s="518">
        <v>10096</v>
      </c>
      <c r="T112" s="517"/>
      <c r="W112" s="517"/>
      <c r="X112" s="517"/>
      <c r="Y112" s="517"/>
      <c r="Z112" s="517"/>
      <c r="AA112" s="517"/>
      <c r="AB112" s="517"/>
      <c r="AC112" s="517"/>
      <c r="AD112" s="517"/>
      <c r="AE112" s="517"/>
      <c r="AF112" s="517"/>
      <c r="AG112" s="517"/>
      <c r="AH112" s="517"/>
      <c r="AI112" s="517"/>
      <c r="AJ112" s="517"/>
      <c r="AK112" s="517"/>
      <c r="AL112" s="517"/>
      <c r="AM112" s="517"/>
      <c r="AN112" s="517"/>
      <c r="AO112" s="517"/>
      <c r="AP112" s="517"/>
      <c r="AQ112" s="517"/>
      <c r="AR112" s="517"/>
      <c r="AS112" s="517"/>
      <c r="AT112" s="517"/>
      <c r="AU112" s="517"/>
      <c r="AV112" s="517"/>
      <c r="AW112" s="517"/>
      <c r="AX112" s="517"/>
      <c r="AY112" s="517"/>
    </row>
    <row r="113" spans="1:51">
      <c r="A113" s="518" t="s">
        <v>811</v>
      </c>
      <c r="B113" s="518">
        <v>9266</v>
      </c>
      <c r="C113" s="518">
        <v>8414</v>
      </c>
      <c r="D113" s="518">
        <v>7824</v>
      </c>
      <c r="E113" s="518">
        <v>7466</v>
      </c>
      <c r="F113" s="518">
        <v>7461</v>
      </c>
      <c r="G113" s="518">
        <v>7730</v>
      </c>
      <c r="H113" s="518">
        <v>7948</v>
      </c>
      <c r="I113" s="518">
        <v>8133</v>
      </c>
      <c r="J113" s="518">
        <v>8188</v>
      </c>
      <c r="K113" s="518">
        <v>7928</v>
      </c>
      <c r="L113" s="518">
        <v>7700</v>
      </c>
      <c r="M113" s="518">
        <v>7597</v>
      </c>
      <c r="N113" s="518">
        <v>7607</v>
      </c>
      <c r="O113" s="518">
        <v>7846</v>
      </c>
      <c r="P113" s="518">
        <v>8349</v>
      </c>
      <c r="Q113" s="518">
        <v>8913</v>
      </c>
      <c r="R113" s="518">
        <v>9330</v>
      </c>
      <c r="T113" s="517"/>
      <c r="W113" s="517"/>
      <c r="X113" s="517"/>
      <c r="Y113" s="517"/>
      <c r="Z113" s="517"/>
      <c r="AA113" s="517"/>
      <c r="AB113" s="517"/>
      <c r="AC113" s="517"/>
      <c r="AD113" s="517"/>
      <c r="AE113" s="517"/>
      <c r="AF113" s="517"/>
      <c r="AG113" s="517"/>
      <c r="AH113" s="517"/>
      <c r="AI113" s="517"/>
      <c r="AJ113" s="517"/>
      <c r="AK113" s="517"/>
      <c r="AL113" s="517"/>
      <c r="AM113" s="517"/>
      <c r="AN113" s="517"/>
      <c r="AO113" s="517"/>
      <c r="AP113" s="517"/>
      <c r="AQ113" s="517"/>
      <c r="AR113" s="517"/>
      <c r="AS113" s="517"/>
      <c r="AT113" s="517"/>
      <c r="AU113" s="517"/>
      <c r="AV113" s="517"/>
      <c r="AW113" s="517"/>
      <c r="AX113" s="517"/>
      <c r="AY113" s="517"/>
    </row>
    <row r="114" spans="1:51">
      <c r="A114" s="518" t="s">
        <v>813</v>
      </c>
      <c r="B114" s="518">
        <v>11058</v>
      </c>
      <c r="C114" s="518">
        <v>10788</v>
      </c>
      <c r="D114" s="518">
        <v>10311</v>
      </c>
      <c r="E114" s="518">
        <v>9726</v>
      </c>
      <c r="F114" s="518">
        <v>9111</v>
      </c>
      <c r="G114" s="518">
        <v>8232</v>
      </c>
      <c r="H114" s="518">
        <v>7363</v>
      </c>
      <c r="I114" s="518">
        <v>6756</v>
      </c>
      <c r="J114" s="518">
        <v>6378</v>
      </c>
      <c r="K114" s="518">
        <v>6358</v>
      </c>
      <c r="L114" s="518">
        <v>6604</v>
      </c>
      <c r="M114" s="518">
        <v>6802</v>
      </c>
      <c r="N114" s="518">
        <v>6969</v>
      </c>
      <c r="O114" s="518">
        <v>7002</v>
      </c>
      <c r="P114" s="518">
        <v>6720</v>
      </c>
      <c r="Q114" s="518">
        <v>6473</v>
      </c>
      <c r="R114" s="518">
        <v>6349</v>
      </c>
      <c r="T114" s="517"/>
      <c r="W114" s="517"/>
      <c r="X114" s="517"/>
      <c r="Y114" s="517"/>
      <c r="Z114" s="517"/>
      <c r="AA114" s="517"/>
      <c r="AB114" s="517"/>
      <c r="AC114" s="517"/>
      <c r="AD114" s="517"/>
      <c r="AE114" s="517"/>
      <c r="AF114" s="517"/>
      <c r="AG114" s="517"/>
      <c r="AH114" s="517"/>
      <c r="AI114" s="517"/>
      <c r="AJ114" s="517"/>
      <c r="AK114" s="517"/>
      <c r="AL114" s="517"/>
      <c r="AM114" s="517"/>
      <c r="AN114" s="517"/>
      <c r="AO114" s="517"/>
      <c r="AP114" s="517"/>
      <c r="AQ114" s="517"/>
      <c r="AR114" s="517"/>
      <c r="AS114" s="517"/>
      <c r="AT114" s="517"/>
      <c r="AU114" s="517"/>
      <c r="AV114" s="517"/>
      <c r="AW114" s="517"/>
      <c r="AX114" s="517"/>
      <c r="AY114" s="517"/>
    </row>
    <row r="115" spans="1:51">
      <c r="A115" s="507" t="s">
        <v>815</v>
      </c>
      <c r="B115" s="518">
        <v>8801</v>
      </c>
      <c r="C115" s="518">
        <v>9313</v>
      </c>
      <c r="D115" s="518">
        <v>9753</v>
      </c>
      <c r="E115" s="518">
        <v>9863</v>
      </c>
      <c r="F115" s="518">
        <v>9963</v>
      </c>
      <c r="G115" s="518">
        <v>10063</v>
      </c>
      <c r="H115" s="518">
        <v>9773</v>
      </c>
      <c r="I115" s="518">
        <v>9282</v>
      </c>
      <c r="J115" s="518">
        <v>8679</v>
      </c>
      <c r="K115" s="518">
        <v>8048</v>
      </c>
      <c r="L115" s="518">
        <v>7153</v>
      </c>
      <c r="M115" s="518">
        <v>6266</v>
      </c>
      <c r="N115" s="518">
        <v>5639</v>
      </c>
      <c r="O115" s="518">
        <v>5243</v>
      </c>
      <c r="P115" s="518">
        <v>5206</v>
      </c>
      <c r="Q115" s="518">
        <v>5434</v>
      </c>
      <c r="R115" s="518">
        <v>5610</v>
      </c>
      <c r="T115" s="517"/>
      <c r="W115" s="517"/>
      <c r="X115" s="517"/>
      <c r="Y115" s="517"/>
      <c r="Z115" s="517"/>
      <c r="AA115" s="517"/>
      <c r="AB115" s="517"/>
      <c r="AC115" s="517"/>
      <c r="AD115" s="517"/>
      <c r="AE115" s="517"/>
      <c r="AF115" s="517"/>
      <c r="AG115" s="517"/>
      <c r="AH115" s="517"/>
      <c r="AI115" s="517"/>
      <c r="AJ115" s="517"/>
      <c r="AK115" s="517"/>
      <c r="AL115" s="517"/>
      <c r="AM115" s="517"/>
      <c r="AN115" s="517"/>
      <c r="AO115" s="517"/>
      <c r="AP115" s="517"/>
      <c r="AQ115" s="517"/>
      <c r="AR115" s="517"/>
      <c r="AS115" s="517"/>
      <c r="AT115" s="517"/>
      <c r="AU115" s="517"/>
      <c r="AV115" s="517"/>
      <c r="AW115" s="517"/>
      <c r="AX115" s="517"/>
      <c r="AY115" s="517"/>
    </row>
    <row r="116" spans="1:51">
      <c r="A116" s="507" t="s">
        <v>817</v>
      </c>
      <c r="B116" s="518">
        <v>6505</v>
      </c>
      <c r="C116" s="518">
        <v>6770</v>
      </c>
      <c r="D116" s="518">
        <v>6984</v>
      </c>
      <c r="E116" s="518">
        <v>7384</v>
      </c>
      <c r="F116" s="518">
        <v>7817</v>
      </c>
      <c r="G116" s="518">
        <v>8152</v>
      </c>
      <c r="H116" s="518">
        <v>8650</v>
      </c>
      <c r="I116" s="518">
        <v>9077</v>
      </c>
      <c r="J116" s="518">
        <v>9172</v>
      </c>
      <c r="K116" s="518">
        <v>9264</v>
      </c>
      <c r="L116" s="518">
        <v>9349</v>
      </c>
      <c r="M116" s="518">
        <v>9049</v>
      </c>
      <c r="N116" s="518">
        <v>8547</v>
      </c>
      <c r="O116" s="518">
        <v>7938</v>
      </c>
      <c r="P116" s="518">
        <v>7292</v>
      </c>
      <c r="Q116" s="518">
        <v>6385</v>
      </c>
      <c r="R116" s="518">
        <v>5488</v>
      </c>
      <c r="T116" s="517"/>
      <c r="W116" s="517"/>
      <c r="X116" s="517"/>
      <c r="Y116" s="517"/>
      <c r="Z116" s="517"/>
      <c r="AA116" s="517"/>
      <c r="AB116" s="517"/>
      <c r="AC116" s="517"/>
      <c r="AD116" s="517"/>
      <c r="AE116" s="517"/>
      <c r="AF116" s="517"/>
      <c r="AG116" s="517"/>
      <c r="AH116" s="517"/>
      <c r="AI116" s="517"/>
      <c r="AJ116" s="517"/>
      <c r="AK116" s="517"/>
      <c r="AL116" s="517"/>
      <c r="AM116" s="517"/>
      <c r="AN116" s="517"/>
      <c r="AO116" s="517"/>
      <c r="AP116" s="517"/>
      <c r="AQ116" s="517"/>
      <c r="AR116" s="517"/>
      <c r="AS116" s="517"/>
      <c r="AT116" s="517"/>
      <c r="AU116" s="517"/>
      <c r="AV116" s="517"/>
      <c r="AW116" s="517"/>
      <c r="AX116" s="517"/>
      <c r="AY116" s="517"/>
    </row>
    <row r="117" spans="1:51">
      <c r="A117" s="507" t="s">
        <v>819</v>
      </c>
      <c r="B117" s="518">
        <v>6022</v>
      </c>
      <c r="C117" s="518">
        <v>5976</v>
      </c>
      <c r="D117" s="518">
        <v>6024</v>
      </c>
      <c r="E117" s="518">
        <v>6018</v>
      </c>
      <c r="F117" s="518">
        <v>5963</v>
      </c>
      <c r="G117" s="518">
        <v>6064</v>
      </c>
      <c r="H117" s="518">
        <v>6319</v>
      </c>
      <c r="I117" s="518">
        <v>6525</v>
      </c>
      <c r="J117" s="518">
        <v>6915</v>
      </c>
      <c r="K117" s="518">
        <v>7345</v>
      </c>
      <c r="L117" s="518">
        <v>7667</v>
      </c>
      <c r="M117" s="518">
        <v>8155</v>
      </c>
      <c r="N117" s="518">
        <v>8573</v>
      </c>
      <c r="O117" s="518">
        <v>8661</v>
      </c>
      <c r="P117" s="518">
        <v>8741</v>
      </c>
      <c r="Q117" s="518">
        <v>8821</v>
      </c>
      <c r="R117" s="518">
        <v>8514</v>
      </c>
      <c r="T117" s="517"/>
      <c r="W117" s="517"/>
      <c r="X117" s="517"/>
      <c r="Y117" s="517"/>
      <c r="Z117" s="517"/>
      <c r="AA117" s="517"/>
      <c r="AB117" s="517"/>
      <c r="AC117" s="517"/>
      <c r="AD117" s="517"/>
      <c r="AE117" s="517"/>
      <c r="AF117" s="517"/>
      <c r="AG117" s="517"/>
      <c r="AH117" s="517"/>
      <c r="AI117" s="517"/>
      <c r="AJ117" s="517"/>
      <c r="AK117" s="517"/>
      <c r="AL117" s="517"/>
      <c r="AM117" s="517"/>
      <c r="AN117" s="517"/>
      <c r="AO117" s="517"/>
      <c r="AP117" s="517"/>
      <c r="AQ117" s="517"/>
      <c r="AR117" s="517"/>
      <c r="AS117" s="517"/>
      <c r="AT117" s="517"/>
      <c r="AU117" s="517"/>
      <c r="AV117" s="517"/>
      <c r="AW117" s="517"/>
      <c r="AX117" s="517"/>
      <c r="AY117" s="517"/>
    </row>
    <row r="118" spans="1:51">
      <c r="A118" s="507" t="s">
        <v>821</v>
      </c>
      <c r="B118" s="518">
        <v>5356</v>
      </c>
      <c r="C118" s="518">
        <v>5404</v>
      </c>
      <c r="D118" s="518">
        <v>5546</v>
      </c>
      <c r="E118" s="518">
        <v>5682</v>
      </c>
      <c r="F118" s="518">
        <v>5630</v>
      </c>
      <c r="G118" s="518">
        <v>5639</v>
      </c>
      <c r="H118" s="518">
        <v>5587</v>
      </c>
      <c r="I118" s="518">
        <v>5630</v>
      </c>
      <c r="J118" s="518">
        <v>5616</v>
      </c>
      <c r="K118" s="518">
        <v>5558</v>
      </c>
      <c r="L118" s="518">
        <v>5652</v>
      </c>
      <c r="M118" s="518">
        <v>5903</v>
      </c>
      <c r="N118" s="518">
        <v>6099</v>
      </c>
      <c r="O118" s="518">
        <v>6480</v>
      </c>
      <c r="P118" s="518">
        <v>6901</v>
      </c>
      <c r="Q118" s="518">
        <v>7214</v>
      </c>
      <c r="R118" s="518">
        <v>7692</v>
      </c>
      <c r="T118" s="517"/>
      <c r="W118" s="517"/>
      <c r="X118" s="517"/>
      <c r="Y118" s="517"/>
      <c r="Z118" s="517"/>
      <c r="AA118" s="517"/>
      <c r="AB118" s="517"/>
      <c r="AC118" s="517"/>
      <c r="AD118" s="517"/>
      <c r="AE118" s="517"/>
      <c r="AF118" s="517"/>
      <c r="AG118" s="517"/>
      <c r="AH118" s="517"/>
      <c r="AI118" s="517"/>
      <c r="AJ118" s="517"/>
      <c r="AK118" s="517"/>
      <c r="AL118" s="517"/>
      <c r="AM118" s="517"/>
      <c r="AN118" s="517"/>
      <c r="AO118" s="517"/>
      <c r="AP118" s="517"/>
      <c r="AQ118" s="517"/>
      <c r="AR118" s="517"/>
      <c r="AS118" s="517"/>
      <c r="AT118" s="517"/>
      <c r="AU118" s="517"/>
      <c r="AV118" s="517"/>
      <c r="AW118" s="517"/>
      <c r="AX118" s="517"/>
      <c r="AY118" s="517"/>
    </row>
    <row r="119" spans="1:51">
      <c r="A119" s="507" t="s">
        <v>823</v>
      </c>
      <c r="B119" s="518">
        <v>4634</v>
      </c>
      <c r="C119" s="518">
        <v>4736</v>
      </c>
      <c r="D119" s="518">
        <v>4721</v>
      </c>
      <c r="E119" s="518">
        <v>4708</v>
      </c>
      <c r="F119" s="518">
        <v>4838</v>
      </c>
      <c r="G119" s="518">
        <v>4994</v>
      </c>
      <c r="H119" s="518">
        <v>5040</v>
      </c>
      <c r="I119" s="518">
        <v>5176</v>
      </c>
      <c r="J119" s="518">
        <v>5308</v>
      </c>
      <c r="K119" s="518">
        <v>5250</v>
      </c>
      <c r="L119" s="518">
        <v>5255</v>
      </c>
      <c r="M119" s="518">
        <v>5200</v>
      </c>
      <c r="N119" s="518">
        <v>5237</v>
      </c>
      <c r="O119" s="518">
        <v>5219</v>
      </c>
      <c r="P119" s="518">
        <v>5157</v>
      </c>
      <c r="Q119" s="518">
        <v>5245</v>
      </c>
      <c r="R119" s="518">
        <v>5486</v>
      </c>
      <c r="T119" s="517"/>
      <c r="W119" s="517"/>
      <c r="X119" s="517"/>
      <c r="Y119" s="517"/>
      <c r="Z119" s="517"/>
      <c r="AA119" s="517"/>
      <c r="AB119" s="517"/>
      <c r="AC119" s="517"/>
      <c r="AD119" s="517"/>
      <c r="AE119" s="517"/>
      <c r="AF119" s="517"/>
      <c r="AG119" s="517"/>
      <c r="AH119" s="517"/>
      <c r="AI119" s="517"/>
      <c r="AJ119" s="517"/>
      <c r="AK119" s="517"/>
      <c r="AL119" s="517"/>
      <c r="AM119" s="517"/>
      <c r="AN119" s="517"/>
      <c r="AO119" s="517"/>
      <c r="AP119" s="517"/>
      <c r="AQ119" s="517"/>
      <c r="AR119" s="517"/>
      <c r="AS119" s="517"/>
      <c r="AT119" s="517"/>
      <c r="AU119" s="517"/>
      <c r="AV119" s="517"/>
      <c r="AW119" s="517"/>
      <c r="AX119" s="517"/>
      <c r="AY119" s="517"/>
    </row>
    <row r="120" spans="1:51">
      <c r="A120" s="507" t="s">
        <v>825</v>
      </c>
      <c r="B120" s="518">
        <v>3626</v>
      </c>
      <c r="C120" s="518">
        <v>3911</v>
      </c>
      <c r="D120" s="518">
        <v>4105</v>
      </c>
      <c r="E120" s="518">
        <v>4315</v>
      </c>
      <c r="F120" s="518">
        <v>4390</v>
      </c>
      <c r="G120" s="518">
        <v>4287</v>
      </c>
      <c r="H120" s="518">
        <v>4384</v>
      </c>
      <c r="I120" s="518">
        <v>4366</v>
      </c>
      <c r="J120" s="518">
        <v>4348</v>
      </c>
      <c r="K120" s="518">
        <v>4474</v>
      </c>
      <c r="L120" s="518">
        <v>4626</v>
      </c>
      <c r="M120" s="518">
        <v>4669</v>
      </c>
      <c r="N120" s="518">
        <v>4797</v>
      </c>
      <c r="O120" s="518">
        <v>4922</v>
      </c>
      <c r="P120" s="518">
        <v>4862</v>
      </c>
      <c r="Q120" s="518">
        <v>4862</v>
      </c>
      <c r="R120" s="518">
        <v>4803</v>
      </c>
      <c r="T120" s="517"/>
      <c r="W120" s="517"/>
      <c r="X120" s="517"/>
      <c r="Y120" s="517"/>
      <c r="Z120" s="517"/>
      <c r="AA120" s="517"/>
      <c r="AB120" s="517"/>
      <c r="AC120" s="517"/>
      <c r="AD120" s="517"/>
      <c r="AE120" s="517"/>
      <c r="AF120" s="517"/>
      <c r="AG120" s="517"/>
      <c r="AH120" s="517"/>
      <c r="AI120" s="517"/>
      <c r="AJ120" s="517"/>
      <c r="AK120" s="517"/>
      <c r="AL120" s="517"/>
      <c r="AM120" s="517"/>
      <c r="AN120" s="517"/>
      <c r="AO120" s="517"/>
      <c r="AP120" s="517"/>
      <c r="AQ120" s="517"/>
      <c r="AR120" s="517"/>
      <c r="AS120" s="517"/>
      <c r="AT120" s="517"/>
      <c r="AU120" s="517"/>
      <c r="AV120" s="517"/>
      <c r="AW120" s="517"/>
      <c r="AX120" s="517"/>
      <c r="AY120" s="517"/>
    </row>
    <row r="121" spans="1:51">
      <c r="A121" s="507" t="s">
        <v>827</v>
      </c>
      <c r="B121" s="518">
        <v>1877</v>
      </c>
      <c r="C121" s="518">
        <v>2040</v>
      </c>
      <c r="D121" s="518">
        <v>2322</v>
      </c>
      <c r="E121" s="518">
        <v>2588</v>
      </c>
      <c r="F121" s="518">
        <v>2922</v>
      </c>
      <c r="G121" s="518">
        <v>3337</v>
      </c>
      <c r="H121" s="518">
        <v>3612</v>
      </c>
      <c r="I121" s="518">
        <v>3794</v>
      </c>
      <c r="J121" s="518">
        <v>3998</v>
      </c>
      <c r="K121" s="518">
        <v>4071</v>
      </c>
      <c r="L121" s="518">
        <v>3968</v>
      </c>
      <c r="M121" s="518">
        <v>4062</v>
      </c>
      <c r="N121" s="518">
        <v>4044</v>
      </c>
      <c r="O121" s="518">
        <v>4030</v>
      </c>
      <c r="P121" s="518">
        <v>4151</v>
      </c>
      <c r="Q121" s="518">
        <v>4299</v>
      </c>
      <c r="R121" s="518">
        <v>4336</v>
      </c>
      <c r="T121" s="517"/>
      <c r="W121" s="517"/>
      <c r="X121" s="517"/>
      <c r="Y121" s="517"/>
      <c r="Z121" s="517"/>
      <c r="AA121" s="517"/>
      <c r="AB121" s="517"/>
      <c r="AC121" s="517"/>
      <c r="AD121" s="517"/>
      <c r="AE121" s="517"/>
      <c r="AF121" s="517"/>
      <c r="AG121" s="517"/>
      <c r="AH121" s="517"/>
      <c r="AI121" s="517"/>
      <c r="AJ121" s="517"/>
      <c r="AK121" s="517"/>
      <c r="AL121" s="517"/>
      <c r="AM121" s="517"/>
      <c r="AN121" s="517"/>
      <c r="AO121" s="517"/>
      <c r="AP121" s="517"/>
      <c r="AQ121" s="517"/>
      <c r="AR121" s="517"/>
      <c r="AS121" s="517"/>
      <c r="AT121" s="517"/>
      <c r="AU121" s="517"/>
      <c r="AV121" s="517"/>
      <c r="AW121" s="517"/>
      <c r="AX121" s="517"/>
      <c r="AY121" s="517"/>
    </row>
    <row r="122" spans="1:51">
      <c r="A122" s="507" t="s">
        <v>829</v>
      </c>
      <c r="B122" s="518">
        <v>1554</v>
      </c>
      <c r="C122" s="518">
        <v>1546</v>
      </c>
      <c r="D122" s="518">
        <v>1545</v>
      </c>
      <c r="E122" s="518">
        <v>1601</v>
      </c>
      <c r="F122" s="518">
        <v>1605</v>
      </c>
      <c r="G122" s="518">
        <v>1670</v>
      </c>
      <c r="H122" s="518">
        <v>1826</v>
      </c>
      <c r="I122" s="518">
        <v>2085</v>
      </c>
      <c r="J122" s="518">
        <v>2337</v>
      </c>
      <c r="K122" s="518">
        <v>2650</v>
      </c>
      <c r="L122" s="518">
        <v>3044</v>
      </c>
      <c r="M122" s="518">
        <v>3300</v>
      </c>
      <c r="N122" s="518">
        <v>3473</v>
      </c>
      <c r="O122" s="518">
        <v>3668</v>
      </c>
      <c r="P122" s="518">
        <v>3738</v>
      </c>
      <c r="Q122" s="518">
        <v>3638</v>
      </c>
      <c r="R122" s="518">
        <v>3733</v>
      </c>
      <c r="T122" s="517"/>
      <c r="W122" s="517"/>
      <c r="X122" s="517"/>
      <c r="Y122" s="517"/>
      <c r="Z122" s="517"/>
      <c r="AA122" s="517"/>
      <c r="AB122" s="517"/>
      <c r="AC122" s="517"/>
      <c r="AD122" s="517"/>
      <c r="AE122" s="517"/>
      <c r="AF122" s="517"/>
      <c r="AG122" s="517"/>
      <c r="AH122" s="517"/>
      <c r="AI122" s="517"/>
      <c r="AJ122" s="517"/>
      <c r="AK122" s="517"/>
      <c r="AL122" s="517"/>
      <c r="AM122" s="517"/>
      <c r="AN122" s="517"/>
      <c r="AO122" s="517"/>
      <c r="AP122" s="517"/>
      <c r="AQ122" s="517"/>
      <c r="AR122" s="517"/>
      <c r="AS122" s="517"/>
      <c r="AT122" s="517"/>
      <c r="AU122" s="517"/>
      <c r="AV122" s="517"/>
      <c r="AW122" s="517"/>
      <c r="AX122" s="517"/>
      <c r="AY122" s="517"/>
    </row>
    <row r="123" spans="1:51">
      <c r="A123" s="507" t="s">
        <v>831</v>
      </c>
      <c r="B123" s="518">
        <v>1681</v>
      </c>
      <c r="C123" s="518">
        <v>1583</v>
      </c>
      <c r="D123" s="518">
        <v>1532</v>
      </c>
      <c r="E123" s="518">
        <v>1437</v>
      </c>
      <c r="F123" s="518">
        <v>1362</v>
      </c>
      <c r="G123" s="518">
        <v>1296</v>
      </c>
      <c r="H123" s="518">
        <v>1293</v>
      </c>
      <c r="I123" s="518">
        <v>1292</v>
      </c>
      <c r="J123" s="518">
        <v>1341</v>
      </c>
      <c r="K123" s="518">
        <v>1350</v>
      </c>
      <c r="L123" s="518">
        <v>1404</v>
      </c>
      <c r="M123" s="518">
        <v>1547</v>
      </c>
      <c r="N123" s="518">
        <v>1786</v>
      </c>
      <c r="O123" s="518">
        <v>2018</v>
      </c>
      <c r="P123" s="518">
        <v>2303</v>
      </c>
      <c r="Q123" s="518">
        <v>2654</v>
      </c>
      <c r="R123" s="518">
        <v>2888</v>
      </c>
      <c r="T123" s="517"/>
      <c r="W123" s="517"/>
      <c r="X123" s="517"/>
      <c r="Y123" s="517"/>
      <c r="Z123" s="517"/>
      <c r="AA123" s="517"/>
      <c r="AB123" s="517"/>
      <c r="AC123" s="517"/>
      <c r="AD123" s="517"/>
      <c r="AE123" s="517"/>
      <c r="AF123" s="517"/>
      <c r="AG123" s="517"/>
      <c r="AH123" s="517"/>
      <c r="AI123" s="517"/>
      <c r="AJ123" s="517"/>
      <c r="AK123" s="517"/>
      <c r="AL123" s="517"/>
      <c r="AM123" s="517"/>
      <c r="AN123" s="517"/>
      <c r="AO123" s="517"/>
      <c r="AP123" s="517"/>
      <c r="AQ123" s="517"/>
      <c r="AR123" s="517"/>
      <c r="AS123" s="517"/>
      <c r="AT123" s="517"/>
      <c r="AU123" s="517"/>
      <c r="AV123" s="517"/>
      <c r="AW123" s="517"/>
      <c r="AX123" s="517"/>
      <c r="AY123" s="517"/>
    </row>
    <row r="124" spans="1:51">
      <c r="A124" s="507" t="s">
        <v>833</v>
      </c>
      <c r="B124" s="518">
        <v>1282</v>
      </c>
      <c r="C124" s="518">
        <v>1336</v>
      </c>
      <c r="D124" s="518">
        <v>1311</v>
      </c>
      <c r="E124" s="518">
        <v>1311</v>
      </c>
      <c r="F124" s="518">
        <v>1313</v>
      </c>
      <c r="G124" s="518">
        <v>1310</v>
      </c>
      <c r="H124" s="518">
        <v>1227</v>
      </c>
      <c r="I124" s="518">
        <v>1184</v>
      </c>
      <c r="J124" s="518">
        <v>1108</v>
      </c>
      <c r="K124" s="518">
        <v>1048</v>
      </c>
      <c r="L124" s="518">
        <v>998</v>
      </c>
      <c r="M124" s="518">
        <v>999</v>
      </c>
      <c r="N124" s="518">
        <v>999</v>
      </c>
      <c r="O124" s="518">
        <v>1040</v>
      </c>
      <c r="P124" s="518">
        <v>1052</v>
      </c>
      <c r="Q124" s="518">
        <v>1099</v>
      </c>
      <c r="R124" s="518">
        <v>1222</v>
      </c>
      <c r="T124" s="517"/>
      <c r="W124" s="517"/>
      <c r="X124" s="517"/>
      <c r="Y124" s="517"/>
      <c r="Z124" s="517"/>
      <c r="AA124" s="517"/>
      <c r="AB124" s="517"/>
      <c r="AC124" s="517"/>
      <c r="AD124" s="517"/>
      <c r="AE124" s="517"/>
      <c r="AF124" s="517"/>
      <c r="AG124" s="517"/>
      <c r="AH124" s="517"/>
      <c r="AI124" s="517"/>
      <c r="AJ124" s="517"/>
      <c r="AK124" s="517"/>
      <c r="AL124" s="517"/>
      <c r="AM124" s="517"/>
      <c r="AN124" s="517"/>
      <c r="AO124" s="517"/>
      <c r="AP124" s="517"/>
      <c r="AQ124" s="517"/>
      <c r="AR124" s="517"/>
      <c r="AS124" s="517"/>
      <c r="AT124" s="517"/>
      <c r="AU124" s="517"/>
      <c r="AV124" s="517"/>
      <c r="AW124" s="517"/>
      <c r="AX124" s="517"/>
      <c r="AY124" s="517"/>
    </row>
    <row r="125" spans="1:51">
      <c r="A125" s="521" t="s">
        <v>835</v>
      </c>
      <c r="B125" s="540">
        <v>895</v>
      </c>
      <c r="C125" s="540">
        <v>960</v>
      </c>
      <c r="D125" s="540">
        <v>1059</v>
      </c>
      <c r="E125" s="540">
        <v>1145</v>
      </c>
      <c r="F125" s="540">
        <v>1220</v>
      </c>
      <c r="G125" s="540">
        <v>1278</v>
      </c>
      <c r="H125" s="540">
        <v>1354</v>
      </c>
      <c r="I125" s="540">
        <v>1393</v>
      </c>
      <c r="J125" s="540">
        <v>1438</v>
      </c>
      <c r="K125" s="540">
        <v>1488</v>
      </c>
      <c r="L125" s="540">
        <v>1519</v>
      </c>
      <c r="M125" s="540">
        <v>1506</v>
      </c>
      <c r="N125" s="540">
        <v>1500</v>
      </c>
      <c r="O125" s="540">
        <v>1479</v>
      </c>
      <c r="P125" s="540">
        <v>1478</v>
      </c>
      <c r="Q125" s="540">
        <v>1467</v>
      </c>
      <c r="R125" s="540">
        <v>1470</v>
      </c>
      <c r="T125" s="517"/>
      <c r="W125" s="517"/>
      <c r="X125" s="517"/>
      <c r="Y125" s="517"/>
      <c r="Z125" s="517"/>
      <c r="AA125" s="517"/>
      <c r="AB125" s="517"/>
      <c r="AC125" s="517"/>
      <c r="AD125" s="517"/>
      <c r="AE125" s="517"/>
      <c r="AF125" s="517"/>
      <c r="AG125" s="517"/>
      <c r="AH125" s="517"/>
      <c r="AI125" s="517"/>
      <c r="AJ125" s="517"/>
      <c r="AK125" s="517"/>
      <c r="AL125" s="517"/>
      <c r="AM125" s="517"/>
      <c r="AN125" s="517"/>
      <c r="AO125" s="517"/>
      <c r="AP125" s="517"/>
      <c r="AQ125" s="517"/>
      <c r="AR125" s="517"/>
      <c r="AS125" s="517"/>
      <c r="AT125" s="517"/>
      <c r="AU125" s="517"/>
      <c r="AV125" s="517"/>
      <c r="AW125" s="517"/>
      <c r="AX125" s="517"/>
      <c r="AY125" s="517"/>
    </row>
    <row r="126" spans="1:51">
      <c r="A126" s="507"/>
      <c r="B126" s="518"/>
      <c r="C126" s="518"/>
      <c r="D126" s="518"/>
      <c r="E126" s="518"/>
      <c r="F126" s="518"/>
      <c r="G126" s="518"/>
      <c r="H126" s="518"/>
      <c r="I126" s="518"/>
      <c r="J126" s="518"/>
      <c r="K126" s="518"/>
      <c r="L126" s="518"/>
      <c r="M126" s="518"/>
      <c r="N126" s="518"/>
      <c r="O126" s="518"/>
      <c r="P126" s="518"/>
      <c r="Q126" s="518"/>
      <c r="R126" s="518"/>
      <c r="T126" s="517"/>
      <c r="U126" s="517"/>
      <c r="V126" s="517"/>
      <c r="W126" s="517"/>
      <c r="X126" s="517"/>
      <c r="Y126" s="517"/>
      <c r="Z126" s="517"/>
      <c r="AA126" s="517"/>
      <c r="AB126" s="517"/>
      <c r="AC126" s="517"/>
      <c r="AD126" s="517"/>
      <c r="AE126" s="517"/>
      <c r="AF126" s="517"/>
      <c r="AG126" s="517"/>
      <c r="AH126" s="517"/>
      <c r="AI126" s="517"/>
      <c r="AJ126" s="517"/>
      <c r="AK126" s="517"/>
      <c r="AL126" s="517"/>
      <c r="AM126" s="517"/>
      <c r="AN126" s="517"/>
      <c r="AO126" s="517"/>
      <c r="AP126" s="517"/>
      <c r="AQ126" s="517"/>
      <c r="AR126" s="517"/>
      <c r="AS126" s="517"/>
      <c r="AT126" s="517"/>
      <c r="AU126" s="517"/>
      <c r="AV126" s="517"/>
      <c r="AW126" s="517"/>
      <c r="AX126" s="517"/>
      <c r="AY126" s="517"/>
    </row>
    <row r="127" spans="1:51">
      <c r="A127" s="507"/>
      <c r="B127" s="518"/>
      <c r="C127" s="518"/>
      <c r="D127" s="518"/>
      <c r="E127" s="518"/>
      <c r="F127" s="518"/>
      <c r="G127" s="518"/>
      <c r="H127" s="518"/>
      <c r="I127" s="518"/>
      <c r="J127" s="518"/>
      <c r="K127" s="518"/>
      <c r="L127" s="518"/>
      <c r="M127" s="518"/>
      <c r="N127" s="518"/>
      <c r="O127" s="518"/>
      <c r="P127" s="518"/>
      <c r="Q127" s="518"/>
      <c r="R127" s="518"/>
      <c r="T127" s="517"/>
      <c r="U127" s="517"/>
      <c r="V127" s="517"/>
      <c r="W127" s="517"/>
      <c r="X127" s="517"/>
      <c r="Y127" s="517"/>
      <c r="Z127" s="517"/>
      <c r="AA127" s="517"/>
      <c r="AB127" s="517"/>
      <c r="AC127" s="517"/>
      <c r="AD127" s="517"/>
      <c r="AE127" s="517"/>
      <c r="AF127" s="517"/>
      <c r="AG127" s="517"/>
      <c r="AH127" s="517"/>
      <c r="AI127" s="517"/>
      <c r="AJ127" s="517"/>
      <c r="AK127" s="517"/>
      <c r="AL127" s="517"/>
      <c r="AM127" s="517"/>
      <c r="AN127" s="517"/>
      <c r="AO127" s="517"/>
      <c r="AP127" s="517"/>
      <c r="AQ127" s="517"/>
      <c r="AR127" s="517"/>
      <c r="AS127" s="517"/>
      <c r="AT127" s="517"/>
      <c r="AU127" s="517"/>
      <c r="AV127" s="517"/>
      <c r="AW127" s="517"/>
      <c r="AX127" s="517"/>
      <c r="AY127" s="517"/>
    </row>
    <row r="128" spans="1:51" ht="18.75">
      <c r="A128" s="1435" t="s">
        <v>841</v>
      </c>
      <c r="B128" s="1435"/>
      <c r="C128" s="1435"/>
      <c r="D128" s="518"/>
      <c r="E128" s="518"/>
      <c r="F128" s="518"/>
      <c r="G128" s="518"/>
      <c r="H128" s="518"/>
      <c r="I128" s="518"/>
      <c r="J128" s="518"/>
      <c r="K128" s="518"/>
      <c r="L128" s="518"/>
      <c r="M128" s="518"/>
      <c r="N128" s="518"/>
      <c r="O128" s="518"/>
      <c r="P128" s="518"/>
      <c r="Q128" s="518"/>
      <c r="R128" s="538" t="s">
        <v>861</v>
      </c>
      <c r="Z128" s="517"/>
      <c r="AA128" s="517"/>
      <c r="AB128" s="517"/>
      <c r="AC128" s="517"/>
      <c r="AD128" s="517"/>
      <c r="AE128" s="517"/>
      <c r="AF128" s="517"/>
      <c r="AG128" s="517"/>
      <c r="AH128" s="517"/>
      <c r="AI128" s="517"/>
      <c r="AJ128" s="517"/>
      <c r="AK128" s="517"/>
      <c r="AL128" s="517"/>
      <c r="AM128" s="517"/>
      <c r="AN128" s="517"/>
      <c r="AO128" s="517"/>
    </row>
    <row r="129" spans="1:41" s="549" customFormat="1">
      <c r="A129" s="510" t="s">
        <v>802</v>
      </c>
      <c r="B129" s="511">
        <v>2014</v>
      </c>
      <c r="C129" s="511">
        <v>2015</v>
      </c>
      <c r="D129" s="511">
        <v>2016</v>
      </c>
      <c r="E129" s="511">
        <v>2017</v>
      </c>
      <c r="F129" s="511">
        <v>2018</v>
      </c>
      <c r="G129" s="511">
        <v>2019</v>
      </c>
      <c r="H129" s="511">
        <v>2020</v>
      </c>
      <c r="I129" s="511">
        <v>2021</v>
      </c>
      <c r="J129" s="511">
        <v>2022</v>
      </c>
      <c r="K129" s="511">
        <v>2023</v>
      </c>
      <c r="L129" s="511">
        <v>2024</v>
      </c>
      <c r="M129" s="511">
        <v>2025</v>
      </c>
      <c r="N129" s="511">
        <v>2026</v>
      </c>
      <c r="O129" s="511">
        <v>2027</v>
      </c>
      <c r="P129" s="511">
        <v>2028</v>
      </c>
      <c r="Q129" s="511">
        <v>2029</v>
      </c>
      <c r="R129" s="511">
        <v>2030</v>
      </c>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row>
    <row r="130" spans="1:41">
      <c r="A130" s="542" t="s">
        <v>21</v>
      </c>
      <c r="B130" s="542">
        <f>SUM(B131:B147)</f>
        <v>24514.622191954066</v>
      </c>
      <c r="C130" s="542">
        <f t="shared" ref="C130:R130" si="10">SUM(C131:C147)</f>
        <v>27092.847514159519</v>
      </c>
      <c r="D130" s="542">
        <f t="shared" si="10"/>
        <v>29942.227160507209</v>
      </c>
      <c r="E130" s="542">
        <f t="shared" si="10"/>
        <v>33091.278680207339</v>
      </c>
      <c r="F130" s="542">
        <f t="shared" si="10"/>
        <v>36571.518839301862</v>
      </c>
      <c r="G130" s="542">
        <f t="shared" si="10"/>
        <v>40417.779051052094</v>
      </c>
      <c r="H130" s="542">
        <f t="shared" si="10"/>
        <v>44668.553980429926</v>
      </c>
      <c r="I130" s="542">
        <f t="shared" si="10"/>
        <v>45799.343808096455</v>
      </c>
      <c r="J130" s="542">
        <f t="shared" si="10"/>
        <v>46958.759716538159</v>
      </c>
      <c r="K130" s="542">
        <f t="shared" si="10"/>
        <v>48147.526378440016</v>
      </c>
      <c r="L130" s="542">
        <f t="shared" si="10"/>
        <v>49366.386811663346</v>
      </c>
      <c r="M130" s="542">
        <f t="shared" si="10"/>
        <v>50616.10284365619</v>
      </c>
      <c r="N130" s="542">
        <f t="shared" si="10"/>
        <v>51897.455587620228</v>
      </c>
      <c r="O130" s="542">
        <f>SUM(O131:O147)</f>
        <v>53211.245930732039</v>
      </c>
      <c r="P130" s="542">
        <f t="shared" si="10"/>
        <v>54558.295034723546</v>
      </c>
      <c r="Q130" s="542">
        <f t="shared" si="10"/>
        <v>55939.44484913491</v>
      </c>
      <c r="R130" s="542">
        <f t="shared" si="10"/>
        <v>57355.558637560396</v>
      </c>
      <c r="T130" s="517"/>
      <c r="U130" s="517"/>
      <c r="V130" s="517"/>
      <c r="W130" s="517"/>
      <c r="X130" s="517"/>
      <c r="Y130" s="517"/>
      <c r="Z130" s="517"/>
      <c r="AA130" s="517"/>
      <c r="AB130" s="517"/>
      <c r="AC130" s="517"/>
      <c r="AD130" s="517"/>
      <c r="AE130" s="517"/>
      <c r="AF130" s="517"/>
      <c r="AG130" s="517"/>
      <c r="AH130" s="517"/>
      <c r="AI130" s="517"/>
      <c r="AJ130" s="517"/>
      <c r="AK130" s="517"/>
      <c r="AL130" s="517"/>
      <c r="AM130" s="517"/>
      <c r="AN130" s="517"/>
      <c r="AO130" s="517"/>
    </row>
    <row r="131" spans="1:41">
      <c r="A131" s="518" t="s">
        <v>803</v>
      </c>
      <c r="B131" s="518">
        <v>389.99584031948132</v>
      </c>
      <c r="C131" s="518">
        <v>431.012060891565</v>
      </c>
      <c r="D131" s="518">
        <v>476.34199503720782</v>
      </c>
      <c r="E131" s="518">
        <v>526.43931997325649</v>
      </c>
      <c r="F131" s="518">
        <v>581.80542656596344</v>
      </c>
      <c r="G131" s="518">
        <v>642.99443741929974</v>
      </c>
      <c r="H131" s="518">
        <v>710.61875272022223</v>
      </c>
      <c r="I131" s="518">
        <v>728.6081520922537</v>
      </c>
      <c r="J131" s="518">
        <v>747.05295527755072</v>
      </c>
      <c r="K131" s="518">
        <v>765.96469087853268</v>
      </c>
      <c r="L131" s="518">
        <v>785.35517934557981</v>
      </c>
      <c r="M131" s="518">
        <v>805.23654036519724</v>
      </c>
      <c r="N131" s="518">
        <v>825.62120043521645</v>
      </c>
      <c r="O131" s="518">
        <v>846.52190063175749</v>
      </c>
      <c r="P131" s="518">
        <v>867.95170457281915</v>
      </c>
      <c r="Q131" s="518">
        <v>889.92400658346355</v>
      </c>
      <c r="R131" s="518">
        <v>912.45254006770642</v>
      </c>
      <c r="T131" s="517"/>
      <c r="U131" s="517"/>
      <c r="V131" s="517"/>
      <c r="W131" s="517"/>
      <c r="X131" s="517"/>
      <c r="Y131" s="517"/>
      <c r="Z131" s="517"/>
      <c r="AA131" s="517"/>
      <c r="AB131" s="517"/>
      <c r="AC131" s="517"/>
      <c r="AD131" s="517"/>
      <c r="AE131" s="517"/>
      <c r="AF131" s="517"/>
      <c r="AG131" s="517"/>
      <c r="AH131" s="517"/>
      <c r="AI131" s="517"/>
      <c r="AJ131" s="517"/>
      <c r="AK131" s="517"/>
      <c r="AL131" s="517"/>
      <c r="AM131" s="517"/>
      <c r="AN131" s="517"/>
      <c r="AO131" s="517"/>
    </row>
    <row r="132" spans="1:41">
      <c r="A132" s="518" t="s">
        <v>805</v>
      </c>
      <c r="B132" s="518">
        <v>187.35815711271022</v>
      </c>
      <c r="C132" s="518">
        <v>207.0627865052154</v>
      </c>
      <c r="D132" s="518">
        <v>228.83976986127075</v>
      </c>
      <c r="E132" s="518">
        <v>252.90705854980052</v>
      </c>
      <c r="F132" s="518">
        <v>279.50552608529472</v>
      </c>
      <c r="G132" s="518">
        <v>308.90137887090197</v>
      </c>
      <c r="H132" s="518">
        <v>341.38882048158831</v>
      </c>
      <c r="I132" s="518">
        <v>350.03111961777222</v>
      </c>
      <c r="J132" s="518">
        <v>358.8921995981969</v>
      </c>
      <c r="K132" s="518">
        <v>367.97759888630264</v>
      </c>
      <c r="L132" s="518">
        <v>377.29299615239933</v>
      </c>
      <c r="M132" s="518">
        <v>386.84421382302014</v>
      </c>
      <c r="N132" s="518">
        <v>396.63722172012803</v>
      </c>
      <c r="O132" s="518">
        <v>406.67814079244744</v>
      </c>
      <c r="P132" s="518">
        <v>416.97324694125899</v>
      </c>
      <c r="Q132" s="518">
        <v>427.52897494303943</v>
      </c>
      <c r="R132" s="518">
        <v>438.3519224714081</v>
      </c>
      <c r="T132" s="517"/>
      <c r="U132" s="517"/>
      <c r="V132" s="517"/>
      <c r="W132" s="517"/>
      <c r="X132" s="517"/>
      <c r="Y132" s="517"/>
      <c r="Z132" s="517"/>
      <c r="AA132" s="517"/>
      <c r="AB132" s="517"/>
      <c r="AC132" s="517"/>
      <c r="AD132" s="517"/>
      <c r="AE132" s="517"/>
      <c r="AF132" s="517"/>
      <c r="AG132" s="517"/>
      <c r="AH132" s="517"/>
      <c r="AI132" s="517"/>
      <c r="AJ132" s="517"/>
      <c r="AK132" s="517"/>
      <c r="AL132" s="517"/>
      <c r="AM132" s="517"/>
      <c r="AN132" s="517"/>
      <c r="AO132" s="517"/>
    </row>
    <row r="133" spans="1:41">
      <c r="A133" s="518" t="s">
        <v>807</v>
      </c>
      <c r="B133" s="518">
        <v>117.36395841998419</v>
      </c>
      <c r="C133" s="518">
        <v>129.70723367600607</v>
      </c>
      <c r="D133" s="518">
        <v>143.34866252276419</v>
      </c>
      <c r="E133" s="518">
        <v>158.42477296519948</v>
      </c>
      <c r="F133" s="518">
        <v>175.08645178387556</v>
      </c>
      <c r="G133" s="518">
        <v>193.50045466059339</v>
      </c>
      <c r="H133" s="518">
        <v>213.85107512530328</v>
      </c>
      <c r="I133" s="518">
        <v>219.26474086637901</v>
      </c>
      <c r="J133" s="518">
        <v>224.815454208169</v>
      </c>
      <c r="K133" s="518">
        <v>230.50668452720305</v>
      </c>
      <c r="L133" s="518">
        <v>236.34198902769569</v>
      </c>
      <c r="M133" s="518">
        <v>242.32501496491506</v>
      </c>
      <c r="N133" s="518">
        <v>248.45950192483593</v>
      </c>
      <c r="O133" s="518">
        <v>254.74928416150271</v>
      </c>
      <c r="P133" s="518">
        <v>261.19829299356309</v>
      </c>
      <c r="Q133" s="518">
        <v>267.81055926147019</v>
      </c>
      <c r="R133" s="518">
        <v>274.59021584688907</v>
      </c>
      <c r="T133" s="517"/>
      <c r="U133" s="517"/>
      <c r="V133" s="517"/>
      <c r="W133" s="517"/>
      <c r="X133" s="517"/>
      <c r="Y133" s="517"/>
      <c r="Z133" s="517"/>
      <c r="AA133" s="517"/>
      <c r="AB133" s="517"/>
      <c r="AC133" s="517"/>
      <c r="AD133" s="517"/>
      <c r="AE133" s="517"/>
      <c r="AF133" s="517"/>
      <c r="AG133" s="517"/>
      <c r="AH133" s="517"/>
      <c r="AI133" s="517"/>
      <c r="AJ133" s="517"/>
      <c r="AK133" s="517"/>
      <c r="AL133" s="517"/>
      <c r="AM133" s="517"/>
      <c r="AN133" s="517"/>
      <c r="AO133" s="517"/>
    </row>
    <row r="134" spans="1:41">
      <c r="A134" s="518" t="s">
        <v>809</v>
      </c>
      <c r="B134" s="518">
        <v>605.05461718586582</v>
      </c>
      <c r="C134" s="518">
        <v>668.68876676121306</v>
      </c>
      <c r="D134" s="518">
        <v>739.01537826836238</v>
      </c>
      <c r="E134" s="518">
        <v>816.738304072868</v>
      </c>
      <c r="F134" s="518">
        <v>902.6354213397592</v>
      </c>
      <c r="G134" s="518">
        <v>997.56641728966076</v>
      </c>
      <c r="H134" s="518">
        <v>1102.4813932374491</v>
      </c>
      <c r="I134" s="518">
        <v>1130.3908425831955</v>
      </c>
      <c r="J134" s="518">
        <v>1159.0068230028996</v>
      </c>
      <c r="K134" s="518">
        <v>1188.3472204158531</v>
      </c>
      <c r="L134" s="518">
        <v>1218.4303735255507</v>
      </c>
      <c r="M134" s="518">
        <v>1249.275085281975</v>
      </c>
      <c r="N134" s="518">
        <v>1280.9006346340543</v>
      </c>
      <c r="O134" s="518">
        <v>1313.3267885796329</v>
      </c>
      <c r="P134" s="518">
        <v>1346.5738145204871</v>
      </c>
      <c r="Q134" s="518">
        <v>1380.6624929301136</v>
      </c>
      <c r="R134" s="518">
        <v>1415.6141303421975</v>
      </c>
      <c r="T134" s="517"/>
      <c r="U134" s="517"/>
      <c r="V134" s="517"/>
      <c r="W134" s="517"/>
      <c r="X134" s="517"/>
      <c r="Y134" s="517"/>
      <c r="Z134" s="517"/>
      <c r="AA134" s="517"/>
      <c r="AB134" s="517"/>
      <c r="AC134" s="517"/>
      <c r="AD134" s="517"/>
      <c r="AE134" s="517"/>
      <c r="AF134" s="517"/>
      <c r="AG134" s="517"/>
      <c r="AH134" s="517"/>
      <c r="AI134" s="517"/>
      <c r="AJ134" s="517"/>
      <c r="AK134" s="517"/>
      <c r="AL134" s="517"/>
      <c r="AM134" s="517"/>
      <c r="AN134" s="517"/>
      <c r="AO134" s="517"/>
    </row>
    <row r="135" spans="1:41">
      <c r="A135" s="518" t="s">
        <v>811</v>
      </c>
      <c r="B135" s="518">
        <v>4355.5027451839633</v>
      </c>
      <c r="C135" s="518">
        <v>4813.5749675759644</v>
      </c>
      <c r="D135" s="518">
        <v>5319.8230661418856</v>
      </c>
      <c r="E135" s="518">
        <v>5879.3137420080329</v>
      </c>
      <c r="F135" s="518">
        <v>6497.6465659097903</v>
      </c>
      <c r="G135" s="518">
        <v>7181.0100205776034</v>
      </c>
      <c r="H135" s="518">
        <v>7936.2434371521758</v>
      </c>
      <c r="I135" s="518">
        <v>8137.1503962748902</v>
      </c>
      <c r="J135" s="518">
        <v>8343.1433392819945</v>
      </c>
      <c r="K135" s="518">
        <v>8554.3510184685038</v>
      </c>
      <c r="L135" s="518">
        <v>8770.9054455093046</v>
      </c>
      <c r="M135" s="518">
        <v>8992.9419739707409</v>
      </c>
      <c r="N135" s="518">
        <v>9220.599383911007</v>
      </c>
      <c r="O135" s="518">
        <v>9454.0199686221858</v>
      </c>
      <c r="P135" s="518">
        <v>9693.3496235682178</v>
      </c>
      <c r="Q135" s="518">
        <v>9938.7379375742712</v>
      </c>
      <c r="R135" s="518">
        <v>10190.338286324677</v>
      </c>
      <c r="T135" s="517"/>
      <c r="U135" s="517"/>
      <c r="V135" s="517"/>
      <c r="W135" s="517"/>
      <c r="X135" s="517"/>
      <c r="Y135" s="517"/>
      <c r="Z135" s="517"/>
      <c r="AA135" s="517"/>
      <c r="AB135" s="517"/>
      <c r="AC135" s="517"/>
      <c r="AD135" s="517"/>
      <c r="AE135" s="517"/>
      <c r="AF135" s="517"/>
      <c r="AG135" s="517"/>
      <c r="AH135" s="517"/>
      <c r="AI135" s="517"/>
      <c r="AJ135" s="517"/>
      <c r="AK135" s="517"/>
      <c r="AL135" s="517"/>
      <c r="AM135" s="517"/>
      <c r="AN135" s="517"/>
      <c r="AO135" s="517"/>
    </row>
    <row r="136" spans="1:41">
      <c r="A136" s="518" t="s">
        <v>813</v>
      </c>
      <c r="B136" s="518">
        <v>7332.2827523397218</v>
      </c>
      <c r="C136" s="518">
        <v>8103.4256609935255</v>
      </c>
      <c r="D136" s="518">
        <v>8955.6703773179761</v>
      </c>
      <c r="E136" s="518">
        <v>9897.5464528833909</v>
      </c>
      <c r="F136" s="518">
        <v>10938.480500029509</v>
      </c>
      <c r="G136" s="518">
        <v>12088.890536570183</v>
      </c>
      <c r="H136" s="518">
        <v>13360.290252817278</v>
      </c>
      <c r="I136" s="518">
        <v>13698.5076108087</v>
      </c>
      <c r="J136" s="518">
        <v>14045.286981981124</v>
      </c>
      <c r="K136" s="518">
        <v>14400.845114730171</v>
      </c>
      <c r="L136" s="518">
        <v>14765.404244463192</v>
      </c>
      <c r="M136" s="518">
        <v>15139.192232503696</v>
      </c>
      <c r="N136" s="518">
        <v>15522.442708512022</v>
      </c>
      <c r="O136" s="518">
        <v>15915.395216511548</v>
      </c>
      <c r="P136" s="518">
        <v>16318.295364611457</v>
      </c>
      <c r="Q136" s="518">
        <v>16731.394978519824</v>
      </c>
      <c r="R136" s="518">
        <v>17154.952258942878</v>
      </c>
      <c r="T136" s="517"/>
      <c r="U136" s="517"/>
      <c r="V136" s="517"/>
      <c r="W136" s="517"/>
      <c r="X136" s="517"/>
      <c r="Y136" s="517"/>
      <c r="Z136" s="517"/>
      <c r="AA136" s="517"/>
      <c r="AB136" s="517"/>
      <c r="AC136" s="517"/>
      <c r="AD136" s="517"/>
      <c r="AE136" s="517"/>
      <c r="AF136" s="517"/>
      <c r="AG136" s="517"/>
      <c r="AH136" s="517"/>
      <c r="AI136" s="517"/>
      <c r="AJ136" s="517"/>
      <c r="AK136" s="517"/>
      <c r="AL136" s="517"/>
      <c r="AM136" s="517"/>
      <c r="AN136" s="517"/>
      <c r="AO136" s="517"/>
    </row>
    <row r="137" spans="1:41">
      <c r="A137" s="507" t="s">
        <v>815</v>
      </c>
      <c r="B137" s="518">
        <v>5006.1274319955664</v>
      </c>
      <c r="C137" s="518">
        <v>5532.6264500222233</v>
      </c>
      <c r="D137" s="518">
        <v>6114.4978531406741</v>
      </c>
      <c r="E137" s="518">
        <v>6757.5652059270551</v>
      </c>
      <c r="F137" s="518">
        <v>7468.2645425904584</v>
      </c>
      <c r="G137" s="518">
        <v>8253.7087809665009</v>
      </c>
      <c r="H137" s="518">
        <v>9121.7589109897854</v>
      </c>
      <c r="I137" s="518">
        <v>9352.6773372162734</v>
      </c>
      <c r="J137" s="518">
        <v>9589.4414912339998</v>
      </c>
      <c r="K137" s="518">
        <v>9832.1993583465446</v>
      </c>
      <c r="L137" s="518">
        <v>10081.1026701233</v>
      </c>
      <c r="M137" s="518">
        <v>10336.306999236615</v>
      </c>
      <c r="N137" s="518">
        <v>10597.971856699785</v>
      </c>
      <c r="O137" s="518">
        <v>10866.260791566647</v>
      </c>
      <c r="P137" s="518">
        <v>11141.341493155032</v>
      </c>
      <c r="Q137" s="518">
        <v>11423.385895858071</v>
      </c>
      <c r="R137" s="518">
        <v>11712.570286608779</v>
      </c>
      <c r="T137" s="517"/>
      <c r="U137" s="517"/>
      <c r="V137" s="517"/>
      <c r="W137" s="517"/>
      <c r="X137" s="517"/>
      <c r="Y137" s="517"/>
      <c r="Z137" s="517"/>
      <c r="AA137" s="517"/>
      <c r="AB137" s="517"/>
      <c r="AC137" s="517"/>
      <c r="AD137" s="517"/>
      <c r="AE137" s="517"/>
      <c r="AF137" s="517"/>
      <c r="AG137" s="517"/>
      <c r="AH137" s="517"/>
      <c r="AI137" s="517"/>
      <c r="AJ137" s="517"/>
      <c r="AK137" s="517"/>
      <c r="AL137" s="517"/>
      <c r="AM137" s="517"/>
      <c r="AN137" s="517"/>
      <c r="AO137" s="517"/>
    </row>
    <row r="138" spans="1:41">
      <c r="A138" s="507" t="s">
        <v>817</v>
      </c>
      <c r="B138" s="518">
        <v>2980.5884172285969</v>
      </c>
      <c r="C138" s="518">
        <v>3294.0596374741694</v>
      </c>
      <c r="D138" s="518">
        <v>3640.4989137432631</v>
      </c>
      <c r="E138" s="518">
        <v>4023.3735267550405</v>
      </c>
      <c r="F138" s="518">
        <v>4446.5154143251257</v>
      </c>
      <c r="G138" s="518">
        <v>4914.1595226872168</v>
      </c>
      <c r="H138" s="518">
        <v>5430.9861912584183</v>
      </c>
      <c r="I138" s="518">
        <v>5568.4722612566347</v>
      </c>
      <c r="J138" s="518">
        <v>5709.4388076872856</v>
      </c>
      <c r="K138" s="518">
        <v>5853.9739392307401</v>
      </c>
      <c r="L138" s="518">
        <v>6002.1679950492307</v>
      </c>
      <c r="M138" s="518">
        <v>6154.1136012517727</v>
      </c>
      <c r="N138" s="518">
        <v>6309.9057287884889</v>
      </c>
      <c r="O138" s="518">
        <v>6469.641752810553</v>
      </c>
      <c r="P138" s="518">
        <v>6633.4215135328295</v>
      </c>
      <c r="Q138" s="518">
        <v>6801.3473786372506</v>
      </c>
      <c r="R138" s="518">
        <v>6973.5243072559633</v>
      </c>
      <c r="T138" s="517"/>
      <c r="U138" s="517"/>
      <c r="V138" s="517"/>
      <c r="W138" s="517"/>
      <c r="X138" s="517"/>
      <c r="Y138" s="517"/>
      <c r="Z138" s="517"/>
      <c r="AA138" s="517"/>
      <c r="AB138" s="517"/>
      <c r="AC138" s="517"/>
      <c r="AD138" s="517"/>
      <c r="AE138" s="517"/>
      <c r="AF138" s="517"/>
      <c r="AG138" s="517"/>
      <c r="AH138" s="517"/>
      <c r="AI138" s="517"/>
      <c r="AJ138" s="517"/>
      <c r="AK138" s="517"/>
      <c r="AL138" s="517"/>
      <c r="AM138" s="517"/>
      <c r="AN138" s="517"/>
      <c r="AO138" s="517"/>
    </row>
    <row r="139" spans="1:41">
      <c r="A139" s="507" t="s">
        <v>819</v>
      </c>
      <c r="B139" s="518">
        <v>1691.8077223766218</v>
      </c>
      <c r="C139" s="518">
        <v>1869.7366937464419</v>
      </c>
      <c r="D139" s="518">
        <v>2066.3786183874818</v>
      </c>
      <c r="E139" s="518">
        <v>2283.7015547751812</v>
      </c>
      <c r="F139" s="518">
        <v>2523.8805439016714</v>
      </c>
      <c r="G139" s="518">
        <v>2789.3193778170748</v>
      </c>
      <c r="H139" s="518">
        <v>3082.6746575882917</v>
      </c>
      <c r="I139" s="518">
        <v>3160.7129380827405</v>
      </c>
      <c r="J139" s="518">
        <v>3240.7267670534275</v>
      </c>
      <c r="K139" s="518">
        <v>3322.7661557481283</v>
      </c>
      <c r="L139" s="518">
        <v>3406.8823814553843</v>
      </c>
      <c r="M139" s="518">
        <v>3493.1280195544819</v>
      </c>
      <c r="N139" s="518">
        <v>3581.5569763767626</v>
      </c>
      <c r="O139" s="518">
        <v>3672.2245228988486</v>
      </c>
      <c r="P139" s="518">
        <v>3765.1873292887963</v>
      </c>
      <c r="Q139" s="518">
        <v>3860.5035003267949</v>
      </c>
      <c r="R139" s="518">
        <v>3958.2326117225462</v>
      </c>
      <c r="T139" s="517"/>
      <c r="U139" s="517"/>
      <c r="V139" s="517"/>
      <c r="W139" s="517"/>
      <c r="X139" s="517"/>
      <c r="Y139" s="517"/>
      <c r="Z139" s="517"/>
      <c r="AA139" s="517"/>
      <c r="AB139" s="517"/>
      <c r="AC139" s="517"/>
      <c r="AD139" s="517"/>
      <c r="AE139" s="517"/>
      <c r="AF139" s="517"/>
      <c r="AG139" s="517"/>
      <c r="AH139" s="517"/>
      <c r="AI139" s="517"/>
      <c r="AJ139" s="517"/>
      <c r="AK139" s="517"/>
      <c r="AL139" s="517"/>
      <c r="AM139" s="517"/>
      <c r="AN139" s="517"/>
      <c r="AO139" s="517"/>
    </row>
    <row r="140" spans="1:41">
      <c r="A140" s="507" t="s">
        <v>821</v>
      </c>
      <c r="B140" s="518">
        <v>1004.4516739723338</v>
      </c>
      <c r="C140" s="518">
        <v>1110.0907786866255</v>
      </c>
      <c r="D140" s="518">
        <v>1226.8400450284084</v>
      </c>
      <c r="E140" s="518">
        <v>1355.8679388960152</v>
      </c>
      <c r="F140" s="518">
        <v>1498.4658148190456</v>
      </c>
      <c r="G140" s="518">
        <v>1656.060840268538</v>
      </c>
      <c r="H140" s="518">
        <v>1830.2302792287085</v>
      </c>
      <c r="I140" s="518">
        <v>1876.5627793348426</v>
      </c>
      <c r="J140" s="518">
        <v>1924.0681922653614</v>
      </c>
      <c r="K140" s="518">
        <v>1972.776210449779</v>
      </c>
      <c r="L140" s="518">
        <v>2022.7172779850409</v>
      </c>
      <c r="M140" s="518">
        <v>2073.9226096640768</v>
      </c>
      <c r="N140" s="518">
        <v>2126.4242104860605</v>
      </c>
      <c r="O140" s="518">
        <v>2180.2548956605788</v>
      </c>
      <c r="P140" s="518">
        <v>2235.448311118203</v>
      </c>
      <c r="Q140" s="518">
        <v>2292.0389545402904</v>
      </c>
      <c r="R140" s="518">
        <v>2350.0621969211643</v>
      </c>
      <c r="T140" s="517"/>
      <c r="U140" s="517"/>
      <c r="V140" s="517"/>
      <c r="W140" s="517"/>
      <c r="X140" s="517"/>
      <c r="Y140" s="517"/>
      <c r="Z140" s="517"/>
      <c r="AA140" s="517"/>
      <c r="AB140" s="517"/>
      <c r="AC140" s="517"/>
      <c r="AD140" s="517"/>
      <c r="AE140" s="517"/>
      <c r="AF140" s="517"/>
      <c r="AG140" s="517"/>
      <c r="AH140" s="517"/>
      <c r="AI140" s="517"/>
      <c r="AJ140" s="517"/>
      <c r="AK140" s="517"/>
      <c r="AL140" s="517"/>
      <c r="AM140" s="517"/>
      <c r="AN140" s="517"/>
      <c r="AO140" s="517"/>
    </row>
    <row r="141" spans="1:41">
      <c r="A141" s="507" t="s">
        <v>823</v>
      </c>
      <c r="B141" s="518">
        <v>477.9835458716625</v>
      </c>
      <c r="C141" s="518">
        <v>528.25351421603864</v>
      </c>
      <c r="D141" s="518">
        <v>583.81042128282672</v>
      </c>
      <c r="E141" s="518">
        <v>645.21029927127222</v>
      </c>
      <c r="F141" s="518">
        <v>713.06765879749537</v>
      </c>
      <c r="G141" s="518">
        <v>788.06163912328066</v>
      </c>
      <c r="H141" s="518">
        <v>870.9428052100759</v>
      </c>
      <c r="I141" s="518">
        <v>892.99082729385316</v>
      </c>
      <c r="J141" s="518">
        <v>915.59699771400653</v>
      </c>
      <c r="K141" s="518">
        <v>938.77544606294157</v>
      </c>
      <c r="L141" s="518">
        <v>962.5406596253996</v>
      </c>
      <c r="M141" s="518">
        <v>986.90749243347977</v>
      </c>
      <c r="N141" s="518">
        <v>1011.8911745508954</v>
      </c>
      <c r="O141" s="518">
        <v>1037.5073215922566</v>
      </c>
      <c r="P141" s="518">
        <v>1063.7719444833424</v>
      </c>
      <c r="Q141" s="518">
        <v>1090.701459468444</v>
      </c>
      <c r="R141" s="518">
        <v>1118.3126983710583</v>
      </c>
      <c r="T141" s="517"/>
      <c r="U141" s="517"/>
      <c r="V141" s="517"/>
      <c r="W141" s="517"/>
      <c r="X141" s="517"/>
      <c r="Y141" s="517"/>
      <c r="Z141" s="517"/>
      <c r="AA141" s="517"/>
      <c r="AB141" s="517"/>
      <c r="AC141" s="517"/>
      <c r="AD141" s="517"/>
      <c r="AE141" s="517"/>
      <c r="AF141" s="517"/>
      <c r="AG141" s="517"/>
      <c r="AH141" s="517"/>
      <c r="AI141" s="517"/>
      <c r="AJ141" s="517"/>
      <c r="AK141" s="517"/>
      <c r="AL141" s="517"/>
      <c r="AM141" s="517"/>
      <c r="AN141" s="517"/>
      <c r="AO141" s="517"/>
    </row>
    <row r="142" spans="1:41">
      <c r="A142" s="507" t="s">
        <v>825</v>
      </c>
      <c r="B142" s="518">
        <v>221.26337611499716</v>
      </c>
      <c r="C142" s="518">
        <v>244.53384851752872</v>
      </c>
      <c r="D142" s="518">
        <v>270.25169786668852</v>
      </c>
      <c r="E142" s="518">
        <v>298.67431704283081</v>
      </c>
      <c r="F142" s="518">
        <v>330.08616917184236</v>
      </c>
      <c r="G142" s="518">
        <v>364.80163462771856</v>
      </c>
      <c r="H142" s="518">
        <v>403.16815745701263</v>
      </c>
      <c r="I142" s="518">
        <v>413.37440795464886</v>
      </c>
      <c r="J142" s="518">
        <v>423.83903091373526</v>
      </c>
      <c r="K142" s="518">
        <v>434.56856706427357</v>
      </c>
      <c r="L142" s="518">
        <v>445.56972271563399</v>
      </c>
      <c r="M142" s="518">
        <v>456.84937394821674</v>
      </c>
      <c r="N142" s="518">
        <v>468.41457091122572</v>
      </c>
      <c r="O142" s="518">
        <v>480.27254222924205</v>
      </c>
      <c r="P142" s="518">
        <v>492.43069952034904</v>
      </c>
      <c r="Q142" s="518">
        <v>504.89664202863548</v>
      </c>
      <c r="R142" s="518">
        <v>517.67816137396983</v>
      </c>
      <c r="T142" s="517"/>
      <c r="U142" s="517"/>
      <c r="V142" s="517"/>
      <c r="W142" s="517"/>
      <c r="X142" s="517"/>
      <c r="Y142" s="517"/>
      <c r="Z142" s="517"/>
      <c r="AA142" s="517"/>
      <c r="AB142" s="517"/>
      <c r="AC142" s="517"/>
      <c r="AD142" s="517"/>
      <c r="AE142" s="517"/>
      <c r="AF142" s="517"/>
      <c r="AG142" s="517"/>
      <c r="AH142" s="517"/>
      <c r="AI142" s="517"/>
      <c r="AJ142" s="517"/>
      <c r="AK142" s="517"/>
      <c r="AL142" s="517"/>
      <c r="AM142" s="517"/>
      <c r="AN142" s="517"/>
      <c r="AO142" s="517"/>
    </row>
    <row r="143" spans="1:41">
      <c r="A143" s="507" t="s">
        <v>827</v>
      </c>
      <c r="B143" s="518">
        <v>108.3145226955795</v>
      </c>
      <c r="C143" s="518">
        <v>119.70606048839917</v>
      </c>
      <c r="D143" s="518">
        <v>132.29565676918313</v>
      </c>
      <c r="E143" s="518">
        <v>146.20931244901894</v>
      </c>
      <c r="F143" s="518">
        <v>161.58628007049145</v>
      </c>
      <c r="G143" s="518">
        <v>178.58045749393381</v>
      </c>
      <c r="H143" s="518">
        <v>197.36192815894</v>
      </c>
      <c r="I143" s="518">
        <v>202.35816915721725</v>
      </c>
      <c r="J143" s="518">
        <v>207.48089059853493</v>
      </c>
      <c r="K143" s="518">
        <v>212.73329435055271</v>
      </c>
      <c r="L143" s="518">
        <v>218.11866333659574</v>
      </c>
      <c r="M143" s="518">
        <v>223.64036358758898</v>
      </c>
      <c r="N143" s="518">
        <v>229.30184634593587</v>
      </c>
      <c r="O143" s="518">
        <v>235.10665022265735</v>
      </c>
      <c r="P143" s="518">
        <v>241.05840340913863</v>
      </c>
      <c r="Q143" s="518">
        <v>247.16082594486736</v>
      </c>
      <c r="R143" s="518">
        <v>253.41773204257908</v>
      </c>
      <c r="T143" s="517"/>
      <c r="U143" s="517"/>
      <c r="V143" s="517"/>
      <c r="W143" s="517"/>
      <c r="X143" s="517"/>
      <c r="Y143" s="517"/>
      <c r="Z143" s="517"/>
      <c r="AA143" s="517"/>
      <c r="AB143" s="517"/>
      <c r="AC143" s="517"/>
      <c r="AD143" s="517"/>
      <c r="AE143" s="517"/>
      <c r="AF143" s="517"/>
      <c r="AG143" s="517"/>
      <c r="AH143" s="517"/>
      <c r="AI143" s="517"/>
      <c r="AJ143" s="517"/>
      <c r="AK143" s="517"/>
      <c r="AL143" s="517"/>
      <c r="AM143" s="517"/>
      <c r="AN143" s="517"/>
      <c r="AO143" s="517"/>
    </row>
    <row r="144" spans="1:41">
      <c r="A144" s="507" t="s">
        <v>829</v>
      </c>
      <c r="B144" s="518">
        <v>24.723228258571762</v>
      </c>
      <c r="C144" s="518">
        <v>27.323392872319552</v>
      </c>
      <c r="D144" s="518">
        <v>30.197019185643001</v>
      </c>
      <c r="E144" s="518">
        <v>33.372867416545034</v>
      </c>
      <c r="F144" s="518">
        <v>36.882722521559934</v>
      </c>
      <c r="G144" s="518">
        <v>40.761712310281773</v>
      </c>
      <c r="H144" s="518">
        <v>45.048659016289534</v>
      </c>
      <c r="I144" s="518">
        <v>46.189071248750793</v>
      </c>
      <c r="J144" s="518">
        <v>47.358353154324348</v>
      </c>
      <c r="K144" s="518">
        <v>48.557235572264545</v>
      </c>
      <c r="L144" s="518">
        <v>49.786467843109492</v>
      </c>
      <c r="M144" s="518">
        <v>51.046818277043414</v>
      </c>
      <c r="N144" s="518">
        <v>52.339074634115399</v>
      </c>
      <c r="O144" s="518">
        <v>53.664044616615108</v>
      </c>
      <c r="P144" s="518">
        <v>55.022556373913034</v>
      </c>
      <c r="Q144" s="518">
        <v>56.415459020080824</v>
      </c>
      <c r="R144" s="518">
        <v>57.84362316461516</v>
      </c>
      <c r="T144" s="517"/>
      <c r="U144" s="517"/>
      <c r="V144" s="517"/>
      <c r="W144" s="517"/>
      <c r="X144" s="517"/>
      <c r="Y144" s="517"/>
      <c r="Z144" s="517"/>
      <c r="AA144" s="517"/>
      <c r="AB144" s="517"/>
      <c r="AC144" s="517"/>
      <c r="AD144" s="517"/>
      <c r="AE144" s="517"/>
      <c r="AF144" s="517"/>
      <c r="AG144" s="517"/>
      <c r="AH144" s="517"/>
      <c r="AI144" s="517"/>
      <c r="AJ144" s="517"/>
      <c r="AK144" s="517"/>
      <c r="AL144" s="517"/>
      <c r="AM144" s="517"/>
      <c r="AN144" s="517"/>
      <c r="AO144" s="517"/>
    </row>
    <row r="145" spans="1:41">
      <c r="A145" s="507" t="s">
        <v>831</v>
      </c>
      <c r="B145" s="518">
        <v>5.9021014392052287</v>
      </c>
      <c r="C145" s="518">
        <v>6.5228308661420442</v>
      </c>
      <c r="D145" s="518">
        <v>7.2088429767863751</v>
      </c>
      <c r="E145" s="518">
        <v>7.9670036109181837</v>
      </c>
      <c r="F145" s="518">
        <v>8.8049006949904491</v>
      </c>
      <c r="G145" s="518">
        <v>9.7309201846475037</v>
      </c>
      <c r="H145" s="518">
        <v>10.754329994187733</v>
      </c>
      <c r="I145" s="518">
        <v>11.026577154150075</v>
      </c>
      <c r="J145" s="518">
        <v>11.305716283779299</v>
      </c>
      <c r="K145" s="518">
        <v>11.591921854118169</v>
      </c>
      <c r="L145" s="518">
        <v>11.885372752964932</v>
      </c>
      <c r="M145" s="518">
        <v>12.186252396684003</v>
      </c>
      <c r="N145" s="518">
        <v>12.494748844847168</v>
      </c>
      <c r="O145" s="518">
        <v>12.811054917776941</v>
      </c>
      <c r="P145" s="518">
        <v>13.135368317065542</v>
      </c>
      <c r="Q145" s="518">
        <v>13.467891749144819</v>
      </c>
      <c r="R145" s="518">
        <v>13.808833051984379</v>
      </c>
      <c r="T145" s="517"/>
      <c r="U145" s="517"/>
      <c r="V145" s="517"/>
      <c r="W145" s="517"/>
      <c r="X145" s="517"/>
      <c r="Y145" s="517"/>
      <c r="Z145" s="517"/>
      <c r="AA145" s="517"/>
      <c r="AB145" s="517"/>
      <c r="AC145" s="517"/>
      <c r="AD145" s="517"/>
      <c r="AE145" s="517"/>
      <c r="AF145" s="517"/>
      <c r="AG145" s="517"/>
      <c r="AH145" s="517"/>
      <c r="AI145" s="517"/>
      <c r="AJ145" s="517"/>
      <c r="AK145" s="517"/>
      <c r="AL145" s="517"/>
      <c r="AM145" s="517"/>
      <c r="AN145" s="517"/>
      <c r="AO145" s="517"/>
    </row>
    <row r="146" spans="1:41">
      <c r="A146" s="507" t="s">
        <v>833</v>
      </c>
      <c r="B146" s="518">
        <v>0</v>
      </c>
      <c r="C146" s="518">
        <v>0</v>
      </c>
      <c r="D146" s="518">
        <v>0</v>
      </c>
      <c r="E146" s="518">
        <v>0</v>
      </c>
      <c r="F146" s="518">
        <v>0</v>
      </c>
      <c r="G146" s="518">
        <v>0</v>
      </c>
      <c r="H146" s="518">
        <v>0</v>
      </c>
      <c r="I146" s="518">
        <v>0</v>
      </c>
      <c r="J146" s="518">
        <v>0</v>
      </c>
      <c r="K146" s="518">
        <v>0</v>
      </c>
      <c r="L146" s="518">
        <v>0</v>
      </c>
      <c r="M146" s="518">
        <v>0</v>
      </c>
      <c r="N146" s="518">
        <v>0</v>
      </c>
      <c r="O146" s="518">
        <v>0</v>
      </c>
      <c r="P146" s="518">
        <v>0</v>
      </c>
      <c r="Q146" s="518">
        <v>0</v>
      </c>
      <c r="R146" s="518">
        <v>0</v>
      </c>
      <c r="T146" s="517"/>
      <c r="U146" s="517"/>
      <c r="V146" s="517"/>
      <c r="W146" s="517"/>
      <c r="X146" s="517"/>
      <c r="Y146" s="517"/>
      <c r="Z146" s="517"/>
      <c r="AA146" s="517"/>
      <c r="AB146" s="517"/>
      <c r="AC146" s="517"/>
      <c r="AD146" s="517"/>
      <c r="AE146" s="517"/>
      <c r="AF146" s="517"/>
      <c r="AG146" s="517"/>
      <c r="AH146" s="517"/>
      <c r="AI146" s="517"/>
      <c r="AJ146" s="517"/>
      <c r="AK146" s="517"/>
      <c r="AL146" s="517"/>
      <c r="AM146" s="517"/>
      <c r="AN146" s="517"/>
      <c r="AO146" s="517"/>
    </row>
    <row r="147" spans="1:41">
      <c r="A147" s="521" t="s">
        <v>835</v>
      </c>
      <c r="B147" s="540">
        <v>5.9021014392052278</v>
      </c>
      <c r="C147" s="540">
        <v>6.5228308661420442</v>
      </c>
      <c r="D147" s="540">
        <v>7.2088429767863751</v>
      </c>
      <c r="E147" s="540">
        <v>7.9670036109181837</v>
      </c>
      <c r="F147" s="540">
        <v>8.8049006949904491</v>
      </c>
      <c r="G147" s="540">
        <v>9.7309201846475037</v>
      </c>
      <c r="H147" s="540">
        <v>10.754329994187732</v>
      </c>
      <c r="I147" s="540">
        <v>11.026577154150075</v>
      </c>
      <c r="J147" s="540">
        <v>11.305716283779297</v>
      </c>
      <c r="K147" s="540">
        <v>11.591921854118169</v>
      </c>
      <c r="L147" s="540">
        <v>11.885372752964932</v>
      </c>
      <c r="M147" s="540">
        <v>12.186252396684001</v>
      </c>
      <c r="N147" s="540">
        <v>12.494748844847166</v>
      </c>
      <c r="O147" s="540">
        <v>12.811054917776939</v>
      </c>
      <c r="P147" s="540">
        <v>13.135368317065542</v>
      </c>
      <c r="Q147" s="540">
        <v>13.467891749144819</v>
      </c>
      <c r="R147" s="540">
        <v>13.808833051984383</v>
      </c>
      <c r="T147" s="517"/>
      <c r="U147" s="517"/>
      <c r="V147" s="517"/>
      <c r="W147" s="517"/>
      <c r="X147" s="517"/>
      <c r="Y147" s="517"/>
      <c r="Z147" s="517"/>
      <c r="AA147" s="517"/>
      <c r="AB147" s="517"/>
      <c r="AC147" s="517"/>
      <c r="AD147" s="517"/>
      <c r="AE147" s="517"/>
      <c r="AF147" s="517"/>
      <c r="AG147" s="517"/>
      <c r="AH147" s="517"/>
      <c r="AI147" s="517"/>
      <c r="AJ147" s="517"/>
      <c r="AK147" s="517"/>
      <c r="AL147" s="517"/>
      <c r="AM147" s="517"/>
      <c r="AN147" s="517"/>
      <c r="AO147" s="517"/>
    </row>
    <row r="148" spans="1:41">
      <c r="A148" s="507"/>
      <c r="B148" s="518"/>
      <c r="C148" s="518"/>
      <c r="D148" s="518"/>
      <c r="E148" s="518"/>
      <c r="F148" s="518"/>
      <c r="G148" s="518"/>
      <c r="H148" s="518"/>
      <c r="I148" s="518"/>
      <c r="J148" s="518"/>
      <c r="K148" s="518"/>
      <c r="L148" s="518"/>
      <c r="M148" s="518"/>
      <c r="N148" s="518"/>
      <c r="O148" s="518"/>
      <c r="P148" s="518"/>
      <c r="Q148" s="518"/>
      <c r="R148" s="518"/>
      <c r="T148" s="517"/>
      <c r="U148" s="517"/>
      <c r="V148" s="517"/>
      <c r="W148" s="517"/>
      <c r="X148" s="517"/>
      <c r="Y148" s="517"/>
      <c r="Z148" s="517"/>
      <c r="AA148" s="517"/>
      <c r="AB148" s="517"/>
      <c r="AC148" s="517"/>
      <c r="AD148" s="517"/>
      <c r="AE148" s="517"/>
      <c r="AF148" s="517"/>
      <c r="AG148" s="517"/>
      <c r="AH148" s="517"/>
      <c r="AI148" s="517"/>
      <c r="AJ148" s="517"/>
      <c r="AK148" s="517"/>
      <c r="AL148" s="517"/>
      <c r="AM148" s="517"/>
      <c r="AN148" s="517"/>
      <c r="AO148" s="517"/>
    </row>
    <row r="149" spans="1:41">
      <c r="A149" s="536"/>
      <c r="B149" s="518"/>
      <c r="C149" s="518"/>
      <c r="D149" s="518"/>
      <c r="E149" s="518"/>
      <c r="F149" s="518"/>
      <c r="G149" s="518"/>
      <c r="H149" s="518"/>
      <c r="I149" s="518"/>
      <c r="J149" s="518"/>
      <c r="K149" s="518"/>
      <c r="L149" s="518"/>
      <c r="M149" s="518"/>
      <c r="N149" s="518"/>
      <c r="O149" s="518"/>
      <c r="P149" s="518"/>
      <c r="Q149" s="518"/>
      <c r="R149" s="518"/>
      <c r="T149" s="517"/>
      <c r="U149" s="517"/>
      <c r="V149" s="517"/>
      <c r="W149" s="517"/>
      <c r="X149" s="517"/>
      <c r="Y149" s="517"/>
      <c r="Z149" s="517"/>
      <c r="AA149" s="517"/>
      <c r="AB149" s="517"/>
      <c r="AC149" s="517"/>
      <c r="AD149" s="517"/>
      <c r="AE149" s="517"/>
      <c r="AF149" s="517"/>
      <c r="AG149" s="517"/>
      <c r="AH149" s="517"/>
      <c r="AI149" s="517"/>
      <c r="AJ149" s="517"/>
      <c r="AK149" s="517"/>
      <c r="AL149" s="517"/>
      <c r="AM149" s="517"/>
      <c r="AN149" s="517"/>
      <c r="AO149" s="517"/>
    </row>
    <row r="150" spans="1:41">
      <c r="A150" s="542" t="s">
        <v>837</v>
      </c>
      <c r="B150" s="542">
        <f>SUM(B151:B167)</f>
        <v>22141.165085726512</v>
      </c>
      <c r="C150" s="542">
        <f t="shared" ref="C150:R150" si="11">SUM(C151:C167)</f>
        <v>24469.771745056845</v>
      </c>
      <c r="D150" s="542">
        <f t="shared" si="11"/>
        <v>27043.280104586025</v>
      </c>
      <c r="E150" s="542">
        <f t="shared" si="11"/>
        <v>29887.446700962235</v>
      </c>
      <c r="F150" s="542">
        <f t="shared" si="11"/>
        <v>33030.736909439423</v>
      </c>
      <c r="G150" s="542">
        <f t="shared" si="11"/>
        <v>36504.609834920331</v>
      </c>
      <c r="H150" s="542">
        <f t="shared" si="11"/>
        <v>40343.833165252239</v>
      </c>
      <c r="I150" s="542">
        <f t="shared" si="11"/>
        <v>41365.142164248042</v>
      </c>
      <c r="J150" s="542">
        <f t="shared" si="11"/>
        <v>42412.305723646117</v>
      </c>
      <c r="K150" s="542">
        <f t="shared" si="11"/>
        <v>43485.978354759151</v>
      </c>
      <c r="L150" s="542">
        <f t="shared" si="11"/>
        <v>44586.831137932561</v>
      </c>
      <c r="M150" s="542">
        <f t="shared" si="11"/>
        <v>45715.552141991677</v>
      </c>
      <c r="N150" s="542">
        <f t="shared" si="11"/>
        <v>46872.846854307034</v>
      </c>
      <c r="O150" s="542">
        <f t="shared" si="11"/>
        <v>48059.438621746907</v>
      </c>
      <c r="P150" s="542">
        <f t="shared" si="11"/>
        <v>49276.069102792819</v>
      </c>
      <c r="Q150" s="542">
        <f t="shared" si="11"/>
        <v>50523.49873110011</v>
      </c>
      <c r="R150" s="542">
        <f t="shared" si="11"/>
        <v>51802.507190793716</v>
      </c>
      <c r="T150" s="517"/>
      <c r="U150" s="517"/>
      <c r="V150" s="517"/>
      <c r="W150" s="517"/>
      <c r="X150" s="517"/>
      <c r="Y150" s="517"/>
      <c r="Z150" s="517"/>
      <c r="AA150" s="517"/>
      <c r="AB150" s="517"/>
      <c r="AC150" s="517"/>
      <c r="AD150" s="517"/>
      <c r="AE150" s="517"/>
      <c r="AF150" s="517"/>
      <c r="AG150" s="517"/>
      <c r="AH150" s="517"/>
      <c r="AI150" s="517"/>
      <c r="AJ150" s="517"/>
      <c r="AK150" s="517"/>
      <c r="AL150" s="517"/>
      <c r="AM150" s="517"/>
      <c r="AN150" s="517"/>
      <c r="AO150" s="517"/>
    </row>
    <row r="151" spans="1:41">
      <c r="A151" s="518" t="s">
        <v>803</v>
      </c>
      <c r="B151" s="518">
        <v>225.0021100603559</v>
      </c>
      <c r="C151" s="518">
        <v>248.6657885443615</v>
      </c>
      <c r="D151" s="518">
        <v>274.81819781957677</v>
      </c>
      <c r="E151" s="518">
        <v>303.72107998815665</v>
      </c>
      <c r="F151" s="518">
        <v>335.66370480943823</v>
      </c>
      <c r="G151" s="518">
        <v>370.9657648089202</v>
      </c>
      <c r="H151" s="518">
        <v>409.98057486850911</v>
      </c>
      <c r="I151" s="518">
        <v>420.35928253397998</v>
      </c>
      <c r="J151" s="518">
        <v>431.00072843489016</v>
      </c>
      <c r="K151" s="518">
        <v>441.91156382133613</v>
      </c>
      <c r="L151" s="518">
        <v>453.0986083206119</v>
      </c>
      <c r="M151" s="518">
        <v>464.56885419969933</v>
      </c>
      <c r="N151" s="518">
        <v>476.32947073566061</v>
      </c>
      <c r="O151" s="518">
        <v>488.38780869667119</v>
      </c>
      <c r="P151" s="518">
        <v>500.75140493648917</v>
      </c>
      <c r="Q151" s="518">
        <v>513.42798710523346</v>
      </c>
      <c r="R151" s="518">
        <v>526.42547847941728</v>
      </c>
      <c r="T151" s="517"/>
      <c r="U151" s="517"/>
      <c r="V151" s="517"/>
      <c r="W151" s="517"/>
      <c r="X151" s="517"/>
      <c r="Y151" s="517"/>
      <c r="Z151" s="517"/>
      <c r="AA151" s="517"/>
      <c r="AB151" s="517"/>
      <c r="AC151" s="517"/>
      <c r="AD151" s="517"/>
      <c r="AE151" s="517"/>
      <c r="AF151" s="517"/>
      <c r="AG151" s="517"/>
      <c r="AH151" s="517"/>
      <c r="AI151" s="517"/>
      <c r="AJ151" s="517"/>
      <c r="AK151" s="517"/>
      <c r="AL151" s="517"/>
      <c r="AM151" s="517"/>
      <c r="AN151" s="517"/>
      <c r="AO151" s="517"/>
    </row>
    <row r="152" spans="1:41">
      <c r="A152" s="518" t="s">
        <v>805</v>
      </c>
      <c r="B152" s="518">
        <v>114.89469449890511</v>
      </c>
      <c r="C152" s="518">
        <v>126.97827500137608</v>
      </c>
      <c r="D152" s="518">
        <v>140.33269675893285</v>
      </c>
      <c r="E152" s="518">
        <v>155.09161531310124</v>
      </c>
      <c r="F152" s="518">
        <v>171.40274288141529</v>
      </c>
      <c r="G152" s="518">
        <v>189.42932671093794</v>
      </c>
      <c r="H152" s="518">
        <v>209.35178291157919</v>
      </c>
      <c r="I152" s="518">
        <v>214.65154852798977</v>
      </c>
      <c r="J152" s="518">
        <v>220.08547834973118</v>
      </c>
      <c r="K152" s="518">
        <v>225.65696875983122</v>
      </c>
      <c r="L152" s="518">
        <v>231.36950212116358</v>
      </c>
      <c r="M152" s="518">
        <v>237.22664895303791</v>
      </c>
      <c r="N152" s="518">
        <v>243.23207016289049</v>
      </c>
      <c r="O152" s="518">
        <v>249.38951933447035</v>
      </c>
      <c r="P152" s="518">
        <v>255.70284507395192</v>
      </c>
      <c r="Q152" s="518">
        <v>262.17599341543831</v>
      </c>
      <c r="R152" s="518">
        <v>268.81301028736203</v>
      </c>
      <c r="T152" s="517"/>
      <c r="U152" s="517"/>
      <c r="V152" s="517"/>
      <c r="W152" s="517"/>
      <c r="X152" s="517"/>
      <c r="Y152" s="517"/>
      <c r="Z152" s="517"/>
      <c r="AA152" s="517"/>
      <c r="AB152" s="517"/>
      <c r="AC152" s="517"/>
      <c r="AD152" s="517"/>
      <c r="AE152" s="517"/>
      <c r="AF152" s="517"/>
      <c r="AG152" s="517"/>
      <c r="AH152" s="517"/>
      <c r="AI152" s="517"/>
      <c r="AJ152" s="517"/>
      <c r="AK152" s="517"/>
      <c r="AL152" s="517"/>
      <c r="AM152" s="517"/>
      <c r="AN152" s="517"/>
      <c r="AO152" s="517"/>
    </row>
    <row r="153" spans="1:41">
      <c r="A153" s="518" t="s">
        <v>807</v>
      </c>
      <c r="B153" s="518">
        <v>75.000703353451954</v>
      </c>
      <c r="C153" s="518">
        <v>82.888596181453792</v>
      </c>
      <c r="D153" s="518">
        <v>91.606065939858965</v>
      </c>
      <c r="E153" s="518">
        <v>101.24035999605226</v>
      </c>
      <c r="F153" s="518">
        <v>111.8879016031461</v>
      </c>
      <c r="G153" s="518">
        <v>123.65525493630669</v>
      </c>
      <c r="H153" s="518">
        <v>136.66019162283641</v>
      </c>
      <c r="I153" s="518">
        <v>140.11976084466002</v>
      </c>
      <c r="J153" s="518">
        <v>143.66690947829676</v>
      </c>
      <c r="K153" s="518">
        <v>147.30385460711204</v>
      </c>
      <c r="L153" s="518">
        <v>151.03286944020402</v>
      </c>
      <c r="M153" s="518">
        <v>154.85628473323308</v>
      </c>
      <c r="N153" s="518">
        <v>158.77649024522017</v>
      </c>
      <c r="O153" s="518">
        <v>162.79593623222374</v>
      </c>
      <c r="P153" s="518">
        <v>166.91713497882972</v>
      </c>
      <c r="Q153" s="518">
        <v>171.1426623684111</v>
      </c>
      <c r="R153" s="518">
        <v>175.47515949313913</v>
      </c>
      <c r="T153" s="517"/>
      <c r="U153" s="517"/>
      <c r="V153" s="517"/>
      <c r="W153" s="517"/>
      <c r="X153" s="517"/>
      <c r="Y153" s="517"/>
      <c r="Z153" s="517"/>
      <c r="AA153" s="517"/>
      <c r="AB153" s="517"/>
      <c r="AC153" s="517"/>
      <c r="AD153" s="517"/>
      <c r="AE153" s="517"/>
      <c r="AF153" s="517"/>
      <c r="AG153" s="517"/>
      <c r="AH153" s="517"/>
      <c r="AI153" s="517"/>
      <c r="AJ153" s="517"/>
      <c r="AK153" s="517"/>
      <c r="AL153" s="517"/>
      <c r="AM153" s="517"/>
      <c r="AN153" s="517"/>
      <c r="AO153" s="517"/>
    </row>
    <row r="154" spans="1:41">
      <c r="A154" s="518" t="s">
        <v>809</v>
      </c>
      <c r="B154" s="518">
        <v>576.06923214034362</v>
      </c>
      <c r="C154" s="518">
        <v>636.65496215967732</v>
      </c>
      <c r="D154" s="518">
        <v>703.61254902742735</v>
      </c>
      <c r="E154" s="518">
        <v>777.61212677818844</v>
      </c>
      <c r="F154" s="518">
        <v>859.39430805820723</v>
      </c>
      <c r="G154" s="518">
        <v>949.77759642567514</v>
      </c>
      <c r="H154" s="518">
        <v>1049.6665782094453</v>
      </c>
      <c r="I154" s="518">
        <v>1076.239014147282</v>
      </c>
      <c r="J154" s="518">
        <v>1103.4841345035134</v>
      </c>
      <c r="K154" s="518">
        <v>1131.4189683652648</v>
      </c>
      <c r="L154" s="518">
        <v>1160.0609759130564</v>
      </c>
      <c r="M154" s="518">
        <v>1189.428059333982</v>
      </c>
      <c r="N154" s="518">
        <v>1219.5385740111594</v>
      </c>
      <c r="O154" s="518">
        <v>1250.4113399964419</v>
      </c>
      <c r="P154" s="518">
        <v>1282.0656537735642</v>
      </c>
      <c r="Q154" s="518">
        <v>1314.5213003190729</v>
      </c>
      <c r="R154" s="518">
        <v>1347.798565468579</v>
      </c>
      <c r="T154" s="517"/>
      <c r="U154" s="517"/>
      <c r="V154" s="517"/>
      <c r="W154" s="517"/>
      <c r="X154" s="517"/>
      <c r="Y154" s="517"/>
      <c r="Z154" s="517"/>
      <c r="AA154" s="517"/>
      <c r="AB154" s="517"/>
      <c r="AC154" s="517"/>
      <c r="AD154" s="517"/>
      <c r="AE154" s="517"/>
      <c r="AF154" s="517"/>
      <c r="AG154" s="517"/>
      <c r="AH154" s="517"/>
      <c r="AI154" s="517"/>
      <c r="AJ154" s="517"/>
      <c r="AK154" s="517"/>
      <c r="AL154" s="517"/>
      <c r="AM154" s="517"/>
      <c r="AN154" s="517"/>
      <c r="AO154" s="517"/>
    </row>
    <row r="155" spans="1:41">
      <c r="A155" s="518" t="s">
        <v>811</v>
      </c>
      <c r="B155" s="518">
        <v>4212.8054649598553</v>
      </c>
      <c r="C155" s="518">
        <v>4655.8700833837893</v>
      </c>
      <c r="D155" s="518">
        <v>5145.5322144942047</v>
      </c>
      <c r="E155" s="518">
        <v>5686.6925614803795</v>
      </c>
      <c r="F155" s="518">
        <v>6284.7672389852269</v>
      </c>
      <c r="G155" s="518">
        <v>6945.7419794010593</v>
      </c>
      <c r="H155" s="518">
        <v>7676.2320400912367</v>
      </c>
      <c r="I155" s="518">
        <v>7870.5567793596274</v>
      </c>
      <c r="J155" s="518">
        <v>8069.8008728234763</v>
      </c>
      <c r="K155" s="518">
        <v>8274.0888545271446</v>
      </c>
      <c r="L155" s="518">
        <v>8483.5484111093319</v>
      </c>
      <c r="M155" s="518">
        <v>8698.3104616113924</v>
      </c>
      <c r="N155" s="518">
        <v>8918.5092393059858</v>
      </c>
      <c r="O155" s="518">
        <v>9144.2823755972495</v>
      </c>
      <c r="P155" s="518">
        <v>9375.7709860449031</v>
      </c>
      <c r="Q155" s="518">
        <v>9613.1197585660721</v>
      </c>
      <c r="R155" s="518">
        <v>9856.4770438699416</v>
      </c>
      <c r="T155" s="517"/>
      <c r="U155" s="517"/>
      <c r="V155" s="517"/>
      <c r="W155" s="517"/>
      <c r="X155" s="517"/>
      <c r="Y155" s="517"/>
      <c r="Z155" s="517"/>
      <c r="AA155" s="517"/>
      <c r="AB155" s="517"/>
      <c r="AC155" s="517"/>
      <c r="AD155" s="517"/>
      <c r="AE155" s="517"/>
      <c r="AF155" s="517"/>
      <c r="AG155" s="517"/>
      <c r="AH155" s="517"/>
      <c r="AI155" s="517"/>
      <c r="AJ155" s="517"/>
      <c r="AK155" s="517"/>
      <c r="AL155" s="517"/>
      <c r="AM155" s="517"/>
      <c r="AN155" s="517"/>
      <c r="AO155" s="517"/>
    </row>
    <row r="156" spans="1:41">
      <c r="A156" s="518" t="s">
        <v>813</v>
      </c>
      <c r="B156" s="518">
        <v>6651.1262037699535</v>
      </c>
      <c r="C156" s="518">
        <v>7350.6312528574372</v>
      </c>
      <c r="D156" s="518">
        <v>8123.7038901560027</v>
      </c>
      <c r="E156" s="518">
        <v>8978.0812864584186</v>
      </c>
      <c r="F156" s="518">
        <v>9922.3143379130433</v>
      </c>
      <c r="G156" s="518">
        <v>10965.853246266517</v>
      </c>
      <c r="H156" s="518">
        <v>12119.142099659191</v>
      </c>
      <c r="I156" s="518">
        <v>12425.939642564743</v>
      </c>
      <c r="J156" s="518">
        <v>12740.503802245546</v>
      </c>
      <c r="K156" s="518">
        <v>13063.031191541339</v>
      </c>
      <c r="L156" s="518">
        <v>13393.723400569583</v>
      </c>
      <c r="M156" s="518">
        <v>13732.787122725862</v>
      </c>
      <c r="N156" s="518">
        <v>14080.434283873996</v>
      </c>
      <c r="O156" s="518">
        <v>14436.882174806566</v>
      </c>
      <c r="P156" s="518">
        <v>14802.353587058773</v>
      </c>
      <c r="Q156" s="518">
        <v>15177.076952160374</v>
      </c>
      <c r="R156" s="518">
        <v>15561.286484412845</v>
      </c>
      <c r="T156" s="517"/>
      <c r="U156" s="517"/>
      <c r="V156" s="517"/>
      <c r="W156" s="517"/>
      <c r="X156" s="517"/>
      <c r="Y156" s="517"/>
      <c r="Z156" s="517"/>
      <c r="AA156" s="517"/>
      <c r="AB156" s="517"/>
      <c r="AC156" s="517"/>
      <c r="AD156" s="517"/>
      <c r="AE156" s="517"/>
      <c r="AF156" s="517"/>
      <c r="AG156" s="517"/>
      <c r="AH156" s="517"/>
      <c r="AI156" s="517"/>
      <c r="AJ156" s="517"/>
      <c r="AK156" s="517"/>
      <c r="AL156" s="517"/>
      <c r="AM156" s="517"/>
      <c r="AN156" s="517"/>
      <c r="AO156" s="517"/>
    </row>
    <row r="157" spans="1:41">
      <c r="A157" s="507" t="s">
        <v>815</v>
      </c>
      <c r="B157" s="518">
        <v>4477.7015661656642</v>
      </c>
      <c r="C157" s="518">
        <v>4948.6255507480728</v>
      </c>
      <c r="D157" s="518">
        <v>5469.0770431328556</v>
      </c>
      <c r="E157" s="518">
        <v>6044.2648967855866</v>
      </c>
      <c r="F157" s="518">
        <v>6679.9457850729368</v>
      </c>
      <c r="G157" s="518">
        <v>7382.4818159846109</v>
      </c>
      <c r="H157" s="518">
        <v>8158.9042062484878</v>
      </c>
      <c r="I157" s="518">
        <v>8365.4478495769363</v>
      </c>
      <c r="J157" s="518">
        <v>8577.2201701298018</v>
      </c>
      <c r="K157" s="518">
        <v>8794.3535325011999</v>
      </c>
      <c r="L157" s="518">
        <v>9016.9836521109046</v>
      </c>
      <c r="M157" s="518">
        <v>9245.2496800308963</v>
      </c>
      <c r="N157" s="518">
        <v>9479.2942899593163</v>
      </c>
      <c r="O157" s="518">
        <v>9719.2637673961672</v>
      </c>
      <c r="P157" s="518">
        <v>9965.3081010765145</v>
      </c>
      <c r="Q157" s="518">
        <v>10217.581076718334</v>
      </c>
      <c r="R157" s="518">
        <v>10476.240373143582</v>
      </c>
      <c r="T157" s="517"/>
      <c r="U157" s="517"/>
      <c r="V157" s="517"/>
      <c r="W157" s="517"/>
      <c r="X157" s="517"/>
      <c r="Y157" s="517"/>
      <c r="Z157" s="517"/>
      <c r="AA157" s="517"/>
      <c r="AB157" s="517"/>
      <c r="AC157" s="517"/>
      <c r="AD157" s="517"/>
      <c r="AE157" s="517"/>
      <c r="AF157" s="517"/>
      <c r="AG157" s="517"/>
      <c r="AH157" s="517"/>
      <c r="AI157" s="517"/>
      <c r="AJ157" s="517"/>
      <c r="AK157" s="517"/>
      <c r="AL157" s="517"/>
      <c r="AM157" s="517"/>
      <c r="AN157" s="517"/>
      <c r="AO157" s="517"/>
    </row>
    <row r="158" spans="1:41">
      <c r="A158" s="507" t="s">
        <v>817</v>
      </c>
      <c r="B158" s="518">
        <v>2672.8974067453623</v>
      </c>
      <c r="C158" s="518">
        <v>2954.00848093479</v>
      </c>
      <c r="D158" s="518">
        <v>3264.6842648779516</v>
      </c>
      <c r="E158" s="518">
        <v>3608.0341062422872</v>
      </c>
      <c r="F158" s="518">
        <v>3987.4943656440364</v>
      </c>
      <c r="G158" s="518">
        <v>4406.8628089002923</v>
      </c>
      <c r="H158" s="518">
        <v>4870.3366163457649</v>
      </c>
      <c r="I158" s="518">
        <v>4993.6297747830977</v>
      </c>
      <c r="J158" s="518">
        <v>5120.0441143861062</v>
      </c>
      <c r="K158" s="518">
        <v>5249.6586482321845</v>
      </c>
      <c r="L158" s="518">
        <v>5382.5543896242916</v>
      </c>
      <c r="M158" s="518">
        <v>5518.8144027269245</v>
      </c>
      <c r="N158" s="518">
        <v>5658.5238544839094</v>
      </c>
      <c r="O158" s="518">
        <v>5801.7700678505262</v>
      </c>
      <c r="P158" s="518">
        <v>5948.6425763731859</v>
      </c>
      <c r="Q158" s="518">
        <v>6099.2331801508235</v>
      </c>
      <c r="R158" s="518">
        <v>6253.636003212936</v>
      </c>
      <c r="T158" s="517"/>
      <c r="U158" s="517"/>
      <c r="V158" s="517"/>
      <c r="W158" s="517"/>
      <c r="X158" s="517"/>
      <c r="Y158" s="517"/>
      <c r="Z158" s="517"/>
      <c r="AA158" s="517"/>
      <c r="AB158" s="517"/>
      <c r="AC158" s="517"/>
      <c r="AD158" s="517"/>
      <c r="AE158" s="517"/>
      <c r="AF158" s="517"/>
      <c r="AG158" s="517"/>
      <c r="AH158" s="517"/>
      <c r="AI158" s="517"/>
      <c r="AJ158" s="517"/>
      <c r="AK158" s="517"/>
      <c r="AL158" s="517"/>
      <c r="AM158" s="517"/>
      <c r="AN158" s="517"/>
      <c r="AO158" s="517"/>
    </row>
    <row r="159" spans="1:41">
      <c r="A159" s="507" t="s">
        <v>819</v>
      </c>
      <c r="B159" s="518">
        <v>1522.354702110493</v>
      </c>
      <c r="C159" s="518">
        <v>1682.4621437682329</v>
      </c>
      <c r="D159" s="518">
        <v>1859.4082320558603</v>
      </c>
      <c r="E159" s="518">
        <v>2054.9639028985921</v>
      </c>
      <c r="F159" s="518">
        <v>2271.0863431787534</v>
      </c>
      <c r="G159" s="518">
        <v>2509.9385789199282</v>
      </c>
      <c r="H159" s="518">
        <v>2773.9111235784235</v>
      </c>
      <c r="I159" s="518">
        <v>2844.1330179958654</v>
      </c>
      <c r="J159" s="518">
        <v>2916.1325881339385</v>
      </c>
      <c r="K159" s="518">
        <v>2989.9548360677636</v>
      </c>
      <c r="L159" s="518">
        <v>3065.6459031054178</v>
      </c>
      <c r="M159" s="518">
        <v>3143.2530986277538</v>
      </c>
      <c r="N159" s="518">
        <v>3222.8249296582994</v>
      </c>
      <c r="O159" s="518">
        <v>3304.4111311817328</v>
      </c>
      <c r="P159" s="518">
        <v>3388.0626972298633</v>
      </c>
      <c r="Q159" s="518">
        <v>3473.8319127545583</v>
      </c>
      <c r="R159" s="518">
        <v>3561.7723863075475</v>
      </c>
      <c r="T159" s="517"/>
      <c r="U159" s="517"/>
      <c r="V159" s="517"/>
      <c r="W159" s="517"/>
      <c r="X159" s="517"/>
      <c r="Y159" s="517"/>
      <c r="Z159" s="517"/>
      <c r="AA159" s="517"/>
      <c r="AB159" s="517"/>
      <c r="AC159" s="517"/>
      <c r="AD159" s="517"/>
      <c r="AE159" s="517"/>
      <c r="AF159" s="517"/>
      <c r="AG159" s="517"/>
      <c r="AH159" s="517"/>
      <c r="AI159" s="517"/>
      <c r="AJ159" s="517"/>
      <c r="AK159" s="517"/>
      <c r="AL159" s="517"/>
      <c r="AM159" s="517"/>
      <c r="AN159" s="517"/>
      <c r="AO159" s="517"/>
    </row>
    <row r="160" spans="1:41">
      <c r="A160" s="507" t="s">
        <v>821</v>
      </c>
      <c r="B160" s="518">
        <v>884.05084378324227</v>
      </c>
      <c r="C160" s="518">
        <v>977.027282649477</v>
      </c>
      <c r="D160" s="518">
        <v>1079.782138950678</v>
      </c>
      <c r="E160" s="518">
        <v>1193.3438178258073</v>
      </c>
      <c r="F160" s="518">
        <v>1318.8488827264459</v>
      </c>
      <c r="G160" s="518">
        <v>1457.5534305258284</v>
      </c>
      <c r="H160" s="518">
        <v>1610.8456629585398</v>
      </c>
      <c r="I160" s="518">
        <v>1651.6244150625885</v>
      </c>
      <c r="J160" s="518">
        <v>1693.4354861909871</v>
      </c>
      <c r="K160" s="518">
        <v>1736.3050096242569</v>
      </c>
      <c r="L160" s="518">
        <v>1780.2597802100647</v>
      </c>
      <c r="M160" s="518">
        <v>1825.3272711108755</v>
      </c>
      <c r="N160" s="518">
        <v>1871.5356509755741</v>
      </c>
      <c r="O160" s="518">
        <v>1918.9138015457861</v>
      </c>
      <c r="P160" s="518">
        <v>1967.4913357079076</v>
      </c>
      <c r="Q160" s="518">
        <v>2017.2986160021233</v>
      </c>
      <c r="R160" s="518">
        <v>2068.3667735999798</v>
      </c>
      <c r="T160" s="517"/>
      <c r="U160" s="517"/>
      <c r="V160" s="517"/>
      <c r="W160" s="517"/>
      <c r="X160" s="517"/>
      <c r="Y160" s="517"/>
      <c r="Z160" s="517"/>
      <c r="AA160" s="517"/>
      <c r="AB160" s="517"/>
      <c r="AC160" s="517"/>
      <c r="AD160" s="517"/>
      <c r="AE160" s="517"/>
      <c r="AF160" s="517"/>
      <c r="AG160" s="517"/>
      <c r="AH160" s="517"/>
      <c r="AI160" s="517"/>
      <c r="AJ160" s="517"/>
      <c r="AK160" s="517"/>
      <c r="AL160" s="517"/>
      <c r="AM160" s="517"/>
      <c r="AN160" s="517"/>
      <c r="AO160" s="517"/>
    </row>
    <row r="161" spans="1:41">
      <c r="A161" s="507" t="s">
        <v>823</v>
      </c>
      <c r="B161" s="518">
        <v>424.47206578762177</v>
      </c>
      <c r="C161" s="518">
        <v>469.1141826439727</v>
      </c>
      <c r="D161" s="518">
        <v>518.45135191494649</v>
      </c>
      <c r="E161" s="518">
        <v>572.97735657340206</v>
      </c>
      <c r="F161" s="518">
        <v>633.23791120078431</v>
      </c>
      <c r="G161" s="518">
        <v>699.83612368207628</v>
      </c>
      <c r="H161" s="518">
        <v>773.43853131222295</v>
      </c>
      <c r="I161" s="518">
        <v>793.01822095062892</v>
      </c>
      <c r="J161" s="518">
        <v>813.09357279206245</v>
      </c>
      <c r="K161" s="518">
        <v>833.67713458493199</v>
      </c>
      <c r="L161" s="518">
        <v>854.78177172541007</v>
      </c>
      <c r="M161" s="518">
        <v>876.42067529872384</v>
      </c>
      <c r="N161" s="518">
        <v>898.60737032401221</v>
      </c>
      <c r="O161" s="518">
        <v>921.35572420790459</v>
      </c>
      <c r="P161" s="518">
        <v>944.67995541210007</v>
      </c>
      <c r="Q161" s="518">
        <v>968.59464234036955</v>
      </c>
      <c r="R161" s="518">
        <v>993.11473245053196</v>
      </c>
      <c r="T161" s="517"/>
      <c r="U161" s="517"/>
      <c r="V161" s="517"/>
      <c r="W161" s="517"/>
      <c r="X161" s="517"/>
      <c r="Y161" s="517"/>
      <c r="Z161" s="517"/>
      <c r="AA161" s="517"/>
      <c r="AB161" s="517"/>
      <c r="AC161" s="517"/>
      <c r="AD161" s="517"/>
      <c r="AE161" s="517"/>
      <c r="AF161" s="517"/>
      <c r="AG161" s="517"/>
      <c r="AH161" s="517"/>
      <c r="AI161" s="517"/>
      <c r="AJ161" s="517"/>
      <c r="AK161" s="517"/>
      <c r="AL161" s="517"/>
      <c r="AM161" s="517"/>
      <c r="AN161" s="517"/>
      <c r="AO161" s="517"/>
    </row>
    <row r="162" spans="1:41">
      <c r="A162" s="507" t="s">
        <v>825</v>
      </c>
      <c r="B162" s="518">
        <v>186.70387856072082</v>
      </c>
      <c r="C162" s="518">
        <v>206.33969687723615</v>
      </c>
      <c r="D162" s="518">
        <v>228.04063223326591</v>
      </c>
      <c r="E162" s="518">
        <v>252.02387488378963</v>
      </c>
      <c r="F162" s="518">
        <v>278.52945718229989</v>
      </c>
      <c r="G162" s="518">
        <v>307.82265590527419</v>
      </c>
      <c r="H162" s="518">
        <v>340.19664723131609</v>
      </c>
      <c r="I162" s="518">
        <v>348.80876635798342</v>
      </c>
      <c r="J162" s="518">
        <v>357.63890231831317</v>
      </c>
      <c r="K162" s="518">
        <v>366.69257423472573</v>
      </c>
      <c r="L162" s="518">
        <v>375.97544094689079</v>
      </c>
      <c r="M162" s="518">
        <v>385.49330454868669</v>
      </c>
      <c r="N162" s="518">
        <v>395.2521140146971</v>
      </c>
      <c r="O162" s="518">
        <v>405.25796891851439</v>
      </c>
      <c r="P162" s="518">
        <v>415.51712324517194</v>
      </c>
      <c r="Q162" s="518">
        <v>426.03598930008729</v>
      </c>
      <c r="R162" s="518">
        <v>436.82114171696327</v>
      </c>
      <c r="T162" s="517"/>
      <c r="U162" s="517"/>
      <c r="V162" s="517"/>
      <c r="W162" s="517"/>
      <c r="X162" s="517"/>
      <c r="Y162" s="517"/>
      <c r="Z162" s="517"/>
      <c r="AA162" s="517"/>
      <c r="AB162" s="517"/>
      <c r="AC162" s="517"/>
      <c r="AD162" s="517"/>
      <c r="AE162" s="517"/>
      <c r="AF162" s="517"/>
      <c r="AG162" s="517"/>
      <c r="AH162" s="517"/>
      <c r="AI162" s="517"/>
      <c r="AJ162" s="517"/>
      <c r="AK162" s="517"/>
      <c r="AL162" s="517"/>
      <c r="AM162" s="517"/>
      <c r="AN162" s="517"/>
      <c r="AO162" s="517"/>
    </row>
    <row r="163" spans="1:41">
      <c r="A163" s="507" t="s">
        <v>827</v>
      </c>
      <c r="B163" s="518">
        <v>89.362540165815091</v>
      </c>
      <c r="C163" s="518">
        <v>98.760880556625835</v>
      </c>
      <c r="D163" s="518">
        <v>109.14765303472555</v>
      </c>
      <c r="E163" s="518">
        <v>120.6268119101899</v>
      </c>
      <c r="F163" s="518">
        <v>133.31324446332303</v>
      </c>
      <c r="G163" s="518">
        <v>147.33392077517399</v>
      </c>
      <c r="H163" s="518">
        <v>162.82916448678381</v>
      </c>
      <c r="I163" s="518">
        <v>166.95120441065873</v>
      </c>
      <c r="J163" s="518">
        <v>171.1775942720131</v>
      </c>
      <c r="K163" s="518">
        <v>175.51097570209095</v>
      </c>
      <c r="L163" s="518">
        <v>179.9540572053495</v>
      </c>
      <c r="M163" s="518">
        <v>184.50961585236283</v>
      </c>
      <c r="N163" s="518">
        <v>189.18049901558152</v>
      </c>
      <c r="O163" s="518">
        <v>193.96962614903256</v>
      </c>
      <c r="P163" s="518">
        <v>198.87999061307363</v>
      </c>
      <c r="Q163" s="518">
        <v>203.91466154534086</v>
      </c>
      <c r="R163" s="518">
        <v>209.07678577905941</v>
      </c>
      <c r="T163" s="517"/>
      <c r="U163" s="517"/>
      <c r="V163" s="517"/>
      <c r="W163" s="517"/>
      <c r="X163" s="517"/>
      <c r="Y163" s="517"/>
      <c r="Z163" s="517"/>
      <c r="AA163" s="517"/>
      <c r="AB163" s="517"/>
      <c r="AC163" s="517"/>
      <c r="AD163" s="517"/>
      <c r="AE163" s="517"/>
      <c r="AF163" s="517"/>
      <c r="AG163" s="517"/>
      <c r="AH163" s="517"/>
      <c r="AI163" s="517"/>
      <c r="AJ163" s="517"/>
      <c r="AK163" s="517"/>
      <c r="AL163" s="517"/>
      <c r="AM163" s="517"/>
      <c r="AN163" s="517"/>
      <c r="AO163" s="517"/>
    </row>
    <row r="164" spans="1:41">
      <c r="A164" s="507" t="s">
        <v>829</v>
      </c>
      <c r="B164" s="518">
        <v>19.149115749817522</v>
      </c>
      <c r="C164" s="518">
        <v>21.163045833562677</v>
      </c>
      <c r="D164" s="518">
        <v>23.388782793155471</v>
      </c>
      <c r="E164" s="518">
        <v>25.84860255218355</v>
      </c>
      <c r="F164" s="518">
        <v>28.567123813569225</v>
      </c>
      <c r="G164" s="518">
        <v>31.571554451822998</v>
      </c>
      <c r="H164" s="518">
        <v>34.89196381859653</v>
      </c>
      <c r="I164" s="518">
        <v>35.775258087998303</v>
      </c>
      <c r="J164" s="518">
        <v>36.680913058288525</v>
      </c>
      <c r="K164" s="518">
        <v>37.609494793305203</v>
      </c>
      <c r="L164" s="518">
        <v>38.561583686860587</v>
      </c>
      <c r="M164" s="518">
        <v>39.537774825506318</v>
      </c>
      <c r="N164" s="518">
        <v>40.538678360481747</v>
      </c>
      <c r="O164" s="518">
        <v>41.564919889078396</v>
      </c>
      <c r="P164" s="518">
        <v>42.617140845658639</v>
      </c>
      <c r="Q164" s="518">
        <v>43.695998902573052</v>
      </c>
      <c r="R164" s="518">
        <v>44.802168381226998</v>
      </c>
      <c r="T164" s="517"/>
      <c r="U164" s="517"/>
      <c r="V164" s="517"/>
      <c r="W164" s="517"/>
      <c r="X164" s="517"/>
      <c r="Y164" s="517"/>
      <c r="Z164" s="517"/>
      <c r="AA164" s="517"/>
      <c r="AB164" s="517"/>
      <c r="AC164" s="517"/>
      <c r="AD164" s="517"/>
      <c r="AE164" s="517"/>
      <c r="AF164" s="517"/>
      <c r="AG164" s="517"/>
      <c r="AH164" s="517"/>
      <c r="AI164" s="517"/>
      <c r="AJ164" s="517"/>
      <c r="AK164" s="517"/>
      <c r="AL164" s="517"/>
      <c r="AM164" s="517"/>
      <c r="AN164" s="517"/>
      <c r="AO164" s="517"/>
    </row>
    <row r="165" spans="1:41">
      <c r="A165" s="507" t="s">
        <v>831</v>
      </c>
      <c r="B165" s="518">
        <v>4.7872789374543805</v>
      </c>
      <c r="C165" s="518">
        <v>5.2907614583906692</v>
      </c>
      <c r="D165" s="518">
        <v>5.8471956982888686</v>
      </c>
      <c r="E165" s="518">
        <v>6.4621506380458875</v>
      </c>
      <c r="F165" s="518">
        <v>7.1417809533923062</v>
      </c>
      <c r="G165" s="518">
        <v>7.8928886129557494</v>
      </c>
      <c r="H165" s="518">
        <v>8.7229909546491307</v>
      </c>
      <c r="I165" s="518">
        <v>8.9438145219995775</v>
      </c>
      <c r="J165" s="518">
        <v>9.1702282645721329</v>
      </c>
      <c r="K165" s="518">
        <v>9.4023736983263007</v>
      </c>
      <c r="L165" s="518">
        <v>9.6403959217151503</v>
      </c>
      <c r="M165" s="518">
        <v>9.8844437063765813</v>
      </c>
      <c r="N165" s="518">
        <v>10.134669590120437</v>
      </c>
      <c r="O165" s="518">
        <v>10.391229972269599</v>
      </c>
      <c r="P165" s="518">
        <v>10.654285211414662</v>
      </c>
      <c r="Q165" s="518">
        <v>10.923999725643263</v>
      </c>
      <c r="R165" s="518">
        <v>11.200542095306751</v>
      </c>
      <c r="T165" s="517"/>
      <c r="U165" s="517"/>
      <c r="V165" s="517"/>
      <c r="W165" s="517"/>
      <c r="X165" s="517"/>
      <c r="Y165" s="517"/>
      <c r="Z165" s="517"/>
      <c r="AA165" s="517"/>
      <c r="AB165" s="517"/>
      <c r="AC165" s="517"/>
      <c r="AD165" s="517"/>
      <c r="AE165" s="517"/>
      <c r="AF165" s="517"/>
      <c r="AG165" s="517"/>
      <c r="AH165" s="517"/>
      <c r="AI165" s="517"/>
      <c r="AJ165" s="517"/>
      <c r="AK165" s="517"/>
      <c r="AL165" s="517"/>
      <c r="AM165" s="517"/>
      <c r="AN165" s="517"/>
      <c r="AO165" s="517"/>
    </row>
    <row r="166" spans="1:41">
      <c r="A166" s="507" t="s">
        <v>833</v>
      </c>
      <c r="B166" s="518">
        <v>0</v>
      </c>
      <c r="C166" s="518">
        <v>0</v>
      </c>
      <c r="D166" s="518">
        <v>0</v>
      </c>
      <c r="E166" s="518">
        <v>0</v>
      </c>
      <c r="F166" s="518">
        <v>0</v>
      </c>
      <c r="G166" s="518">
        <v>0</v>
      </c>
      <c r="H166" s="518">
        <v>0</v>
      </c>
      <c r="I166" s="518">
        <v>0</v>
      </c>
      <c r="J166" s="518">
        <v>0</v>
      </c>
      <c r="K166" s="518">
        <v>0</v>
      </c>
      <c r="L166" s="518">
        <v>0</v>
      </c>
      <c r="M166" s="518">
        <v>0</v>
      </c>
      <c r="N166" s="518">
        <v>0</v>
      </c>
      <c r="O166" s="518">
        <v>0</v>
      </c>
      <c r="P166" s="518">
        <v>0</v>
      </c>
      <c r="Q166" s="518">
        <v>0</v>
      </c>
      <c r="R166" s="518">
        <v>0</v>
      </c>
      <c r="T166" s="517"/>
      <c r="U166" s="517"/>
      <c r="V166" s="517"/>
      <c r="W166" s="517"/>
      <c r="X166" s="517"/>
      <c r="Y166" s="517"/>
      <c r="Z166" s="517"/>
      <c r="AA166" s="517"/>
      <c r="AB166" s="517"/>
      <c r="AC166" s="517"/>
      <c r="AD166" s="517"/>
      <c r="AE166" s="517"/>
      <c r="AF166" s="517"/>
      <c r="AG166" s="517"/>
      <c r="AH166" s="517"/>
      <c r="AI166" s="517"/>
      <c r="AJ166" s="517"/>
      <c r="AK166" s="517"/>
      <c r="AL166" s="517"/>
      <c r="AM166" s="517"/>
      <c r="AN166" s="517"/>
      <c r="AO166" s="517"/>
    </row>
    <row r="167" spans="1:41">
      <c r="A167" s="521" t="s">
        <v>835</v>
      </c>
      <c r="B167" s="540">
        <v>4.7872789374543805</v>
      </c>
      <c r="C167" s="540">
        <v>5.2907614583906692</v>
      </c>
      <c r="D167" s="540">
        <v>5.8471956982888686</v>
      </c>
      <c r="E167" s="540">
        <v>6.4621506380458875</v>
      </c>
      <c r="F167" s="540">
        <v>7.1417809533923062</v>
      </c>
      <c r="G167" s="540">
        <v>7.8928886129557494</v>
      </c>
      <c r="H167" s="540">
        <v>8.7229909546491307</v>
      </c>
      <c r="I167" s="540">
        <v>8.9438145219995775</v>
      </c>
      <c r="J167" s="540">
        <v>9.1702282645721329</v>
      </c>
      <c r="K167" s="540">
        <v>9.4023736983263007</v>
      </c>
      <c r="L167" s="540">
        <v>9.6403959217151503</v>
      </c>
      <c r="M167" s="540">
        <v>9.8844437063765813</v>
      </c>
      <c r="N167" s="540">
        <v>10.134669590120437</v>
      </c>
      <c r="O167" s="540">
        <v>10.391229972269599</v>
      </c>
      <c r="P167" s="540">
        <v>10.654285211414662</v>
      </c>
      <c r="Q167" s="540">
        <v>10.923999725643263</v>
      </c>
      <c r="R167" s="540">
        <v>11.200542095306751</v>
      </c>
      <c r="T167" s="517"/>
      <c r="U167" s="517"/>
      <c r="V167" s="517"/>
      <c r="W167" s="517"/>
      <c r="X167" s="517"/>
      <c r="Y167" s="517"/>
      <c r="Z167" s="517"/>
      <c r="AA167" s="517"/>
      <c r="AB167" s="517"/>
      <c r="AC167" s="517"/>
      <c r="AD167" s="517"/>
      <c r="AE167" s="517"/>
      <c r="AF167" s="517"/>
      <c r="AG167" s="517"/>
      <c r="AH167" s="517"/>
      <c r="AI167" s="517"/>
      <c r="AJ167" s="517"/>
      <c r="AK167" s="517"/>
      <c r="AL167" s="517"/>
      <c r="AM167" s="517"/>
      <c r="AN167" s="517"/>
      <c r="AO167" s="517"/>
    </row>
    <row r="168" spans="1:41">
      <c r="A168" s="507"/>
      <c r="B168" s="518"/>
      <c r="C168" s="518"/>
      <c r="D168" s="518"/>
      <c r="E168" s="518"/>
      <c r="F168" s="518"/>
      <c r="G168" s="518"/>
      <c r="H168" s="518"/>
      <c r="I168" s="518"/>
      <c r="J168" s="518"/>
      <c r="K168" s="518"/>
      <c r="L168" s="518"/>
      <c r="M168" s="518"/>
      <c r="N168" s="518"/>
      <c r="O168" s="518"/>
      <c r="P168" s="518"/>
      <c r="Q168" s="518"/>
      <c r="R168" s="518"/>
      <c r="T168" s="517"/>
      <c r="U168" s="517"/>
      <c r="V168" s="517"/>
      <c r="W168" s="517"/>
      <c r="X168" s="517"/>
      <c r="Y168" s="517"/>
      <c r="Z168" s="517"/>
      <c r="AA168" s="517"/>
      <c r="AB168" s="517"/>
      <c r="AC168" s="517"/>
      <c r="AD168" s="517"/>
      <c r="AE168" s="517"/>
      <c r="AF168" s="517"/>
      <c r="AG168" s="517"/>
      <c r="AH168" s="517"/>
      <c r="AI168" s="517"/>
      <c r="AJ168" s="517"/>
      <c r="AK168" s="517"/>
      <c r="AL168" s="517"/>
      <c r="AM168" s="517"/>
      <c r="AN168" s="517"/>
      <c r="AO168" s="517"/>
    </row>
    <row r="169" spans="1:41">
      <c r="A169" s="536"/>
      <c r="B169" s="518"/>
      <c r="C169" s="518"/>
      <c r="D169" s="518"/>
      <c r="E169" s="518"/>
      <c r="F169" s="518"/>
      <c r="G169" s="518"/>
      <c r="H169" s="518"/>
      <c r="I169" s="518"/>
      <c r="J169" s="518"/>
      <c r="K169" s="518"/>
      <c r="L169" s="518"/>
      <c r="M169" s="518"/>
      <c r="N169" s="518"/>
      <c r="O169" s="518"/>
      <c r="P169" s="518"/>
      <c r="Q169" s="518"/>
      <c r="R169" s="518"/>
      <c r="T169" s="517"/>
      <c r="U169" s="517"/>
      <c r="V169" s="517"/>
      <c r="W169" s="517"/>
      <c r="X169" s="517"/>
      <c r="Y169" s="517"/>
      <c r="Z169" s="517"/>
      <c r="AA169" s="517"/>
      <c r="AB169" s="517"/>
      <c r="AC169" s="517"/>
      <c r="AD169" s="517"/>
      <c r="AE169" s="517"/>
      <c r="AF169" s="517"/>
      <c r="AG169" s="517"/>
      <c r="AH169" s="517"/>
      <c r="AI169" s="517"/>
      <c r="AJ169" s="517"/>
      <c r="AK169" s="517"/>
      <c r="AL169" s="517"/>
      <c r="AM169" s="517"/>
      <c r="AN169" s="517"/>
      <c r="AO169" s="517"/>
    </row>
    <row r="170" spans="1:41">
      <c r="A170" s="542" t="s">
        <v>23</v>
      </c>
      <c r="B170" s="542">
        <f>SUM(B171:B187)</f>
        <v>2373.457106227555</v>
      </c>
      <c r="C170" s="542">
        <f t="shared" ref="C170:R170" si="12">SUM(C171:C187)</f>
        <v>2623.0757691026765</v>
      </c>
      <c r="D170" s="542">
        <f t="shared" si="12"/>
        <v>2898.9470559211904</v>
      </c>
      <c r="E170" s="542">
        <f t="shared" si="12"/>
        <v>3203.8319792451193</v>
      </c>
      <c r="F170" s="542">
        <f t="shared" si="12"/>
        <v>3540.7819298624468</v>
      </c>
      <c r="G170" s="542">
        <f t="shared" si="12"/>
        <v>3913.1692161317442</v>
      </c>
      <c r="H170" s="542">
        <f t="shared" si="12"/>
        <v>4324.7208151776822</v>
      </c>
      <c r="I170" s="542">
        <f t="shared" si="12"/>
        <v>4434.2016438484115</v>
      </c>
      <c r="J170" s="542">
        <f t="shared" si="12"/>
        <v>4546.4539928920549</v>
      </c>
      <c r="K170" s="542">
        <f t="shared" si="12"/>
        <v>4661.5480236808871</v>
      </c>
      <c r="L170" s="542">
        <f t="shared" si="12"/>
        <v>4779.5556737307816</v>
      </c>
      <c r="M170" s="542">
        <f t="shared" si="12"/>
        <v>4900.5507016644951</v>
      </c>
      <c r="N170" s="542">
        <f t="shared" si="12"/>
        <v>5024.6087333132064</v>
      </c>
      <c r="O170" s="542">
        <f>SUM(O171:O187)</f>
        <v>5151.8073089851296</v>
      </c>
      <c r="P170" s="542">
        <f t="shared" si="12"/>
        <v>5282.2259319307204</v>
      </c>
      <c r="Q170" s="542">
        <f t="shared" si="12"/>
        <v>5415.9461180348117</v>
      </c>
      <c r="R170" s="542">
        <f t="shared" si="12"/>
        <v>5553.0514467666735</v>
      </c>
      <c r="T170" s="517"/>
      <c r="U170" s="517"/>
      <c r="V170" s="517"/>
      <c r="W170" s="517"/>
      <c r="X170" s="517"/>
      <c r="Y170" s="517"/>
      <c r="Z170" s="517"/>
      <c r="AA170" s="517"/>
      <c r="AB170" s="517"/>
      <c r="AC170" s="517"/>
      <c r="AD170" s="517"/>
      <c r="AE170" s="517"/>
      <c r="AF170" s="517"/>
      <c r="AG170" s="517"/>
      <c r="AH170" s="517"/>
      <c r="AI170" s="517"/>
      <c r="AJ170" s="517"/>
      <c r="AK170" s="517"/>
      <c r="AL170" s="517"/>
      <c r="AM170" s="517"/>
      <c r="AN170" s="517"/>
      <c r="AO170" s="517"/>
    </row>
    <row r="171" spans="1:41">
      <c r="A171" s="518" t="s">
        <v>803</v>
      </c>
      <c r="B171" s="518">
        <v>164.99373025912544</v>
      </c>
      <c r="C171" s="518">
        <v>182.34627234720338</v>
      </c>
      <c r="D171" s="518">
        <v>201.52379721763089</v>
      </c>
      <c r="E171" s="518">
        <v>222.71823998509984</v>
      </c>
      <c r="F171" s="518">
        <v>246.14172175652521</v>
      </c>
      <c r="G171" s="518">
        <v>272.0286726103796</v>
      </c>
      <c r="H171" s="518">
        <v>300.63817785171301</v>
      </c>
      <c r="I171" s="518">
        <v>308.24886955827384</v>
      </c>
      <c r="J171" s="518">
        <v>316.05222684266039</v>
      </c>
      <c r="K171" s="518">
        <v>324.05312705719649</v>
      </c>
      <c r="L171" s="518">
        <v>332.25657102496751</v>
      </c>
      <c r="M171" s="518">
        <v>340.66768616549808</v>
      </c>
      <c r="N171" s="518">
        <v>349.29172969955607</v>
      </c>
      <c r="O171" s="518">
        <v>358.13409193508653</v>
      </c>
      <c r="P171" s="518">
        <v>367.20029963632993</v>
      </c>
      <c r="Q171" s="518">
        <v>376.49601947823004</v>
      </c>
      <c r="R171" s="518">
        <v>386.0270615882892</v>
      </c>
      <c r="T171" s="517"/>
      <c r="U171" s="517"/>
      <c r="V171" s="517"/>
      <c r="W171" s="517"/>
      <c r="X171" s="517"/>
      <c r="Y171" s="517"/>
      <c r="Z171" s="517"/>
      <c r="AA171" s="517"/>
      <c r="AB171" s="517"/>
      <c r="AC171" s="517"/>
      <c r="AD171" s="517"/>
      <c r="AE171" s="517"/>
      <c r="AF171" s="517"/>
      <c r="AG171" s="517"/>
      <c r="AH171" s="517"/>
      <c r="AI171" s="517"/>
      <c r="AJ171" s="517"/>
      <c r="AK171" s="517"/>
      <c r="AL171" s="517"/>
      <c r="AM171" s="517"/>
      <c r="AN171" s="517"/>
      <c r="AO171" s="517"/>
    </row>
    <row r="172" spans="1:41">
      <c r="A172" s="518" t="s">
        <v>805</v>
      </c>
      <c r="B172" s="518">
        <v>72.463462613805106</v>
      </c>
      <c r="C172" s="518">
        <v>80.084511503839352</v>
      </c>
      <c r="D172" s="518">
        <v>88.507073102337912</v>
      </c>
      <c r="E172" s="518">
        <v>97.815443236699267</v>
      </c>
      <c r="F172" s="518">
        <v>108.10278320387931</v>
      </c>
      <c r="G172" s="518">
        <v>119.47205215996404</v>
      </c>
      <c r="H172" s="518">
        <v>132.03703757000909</v>
      </c>
      <c r="I172" s="518">
        <v>135.37957108978242</v>
      </c>
      <c r="J172" s="518">
        <v>138.80672124846572</v>
      </c>
      <c r="K172" s="518">
        <v>142.32063012647146</v>
      </c>
      <c r="L172" s="518">
        <v>145.92349403123575</v>
      </c>
      <c r="M172" s="518">
        <v>149.61756486998226</v>
      </c>
      <c r="N172" s="518">
        <v>153.40515155723739</v>
      </c>
      <c r="O172" s="518">
        <v>157.28862145797717</v>
      </c>
      <c r="P172" s="518">
        <v>161.2704018673071</v>
      </c>
      <c r="Q172" s="518">
        <v>165.35298152760103</v>
      </c>
      <c r="R172" s="518">
        <v>169.53891218404596</v>
      </c>
      <c r="Z172" s="517"/>
      <c r="AA172" s="517"/>
      <c r="AB172" s="517"/>
      <c r="AC172" s="517"/>
      <c r="AD172" s="517"/>
      <c r="AE172" s="517"/>
      <c r="AF172" s="517"/>
      <c r="AG172" s="517"/>
      <c r="AH172" s="517"/>
      <c r="AI172" s="517"/>
      <c r="AJ172" s="517"/>
      <c r="AK172" s="517"/>
      <c r="AL172" s="517"/>
      <c r="AM172" s="517"/>
      <c r="AN172" s="517"/>
      <c r="AO172" s="517"/>
    </row>
    <row r="173" spans="1:41">
      <c r="A173" s="518" t="s">
        <v>807</v>
      </c>
      <c r="B173" s="518">
        <v>42.363255066532204</v>
      </c>
      <c r="C173" s="518">
        <v>46.818637494552242</v>
      </c>
      <c r="D173" s="518">
        <v>51.742596582905236</v>
      </c>
      <c r="E173" s="518">
        <v>57.18441296914726</v>
      </c>
      <c r="F173" s="518">
        <v>63.198550180729455</v>
      </c>
      <c r="G173" s="518">
        <v>69.845199724286644</v>
      </c>
      <c r="H173" s="518">
        <v>77.19088350246686</v>
      </c>
      <c r="I173" s="518">
        <v>79.144980021718951</v>
      </c>
      <c r="J173" s="518">
        <v>81.148544729872285</v>
      </c>
      <c r="K173" s="518">
        <v>83.202829920091006</v>
      </c>
      <c r="L173" s="518">
        <v>85.309119587491665</v>
      </c>
      <c r="M173" s="518">
        <v>87.468730231681945</v>
      </c>
      <c r="N173" s="518">
        <v>89.683011679615731</v>
      </c>
      <c r="O173" s="518">
        <v>91.953347929278962</v>
      </c>
      <c r="P173" s="518">
        <v>94.281158014733407</v>
      </c>
      <c r="Q173" s="518">
        <v>96.667896893059108</v>
      </c>
      <c r="R173" s="518">
        <v>99.115056353749964</v>
      </c>
      <c r="Z173" s="517"/>
      <c r="AA173" s="517"/>
      <c r="AB173" s="517"/>
      <c r="AC173" s="517"/>
      <c r="AD173" s="517"/>
      <c r="AE173" s="517"/>
      <c r="AF173" s="517"/>
      <c r="AG173" s="517"/>
      <c r="AH173" s="517"/>
      <c r="AI173" s="517"/>
      <c r="AJ173" s="517"/>
      <c r="AK173" s="517"/>
      <c r="AL173" s="517"/>
      <c r="AM173" s="517"/>
      <c r="AN173" s="517"/>
      <c r="AO173" s="517"/>
    </row>
    <row r="174" spans="1:41">
      <c r="A174" s="518" t="s">
        <v>809</v>
      </c>
      <c r="B174" s="518">
        <v>28.985385045522033</v>
      </c>
      <c r="C174" s="518">
        <v>32.033804601535742</v>
      </c>
      <c r="D174" s="518">
        <v>35.402829240935162</v>
      </c>
      <c r="E174" s="518">
        <v>39.1261772946797</v>
      </c>
      <c r="F174" s="518">
        <v>43.241113281551733</v>
      </c>
      <c r="G174" s="518">
        <v>47.788820863985606</v>
      </c>
      <c r="H174" s="518">
        <v>52.814815028003629</v>
      </c>
      <c r="I174" s="518">
        <v>54.151828435912954</v>
      </c>
      <c r="J174" s="518">
        <v>55.522688499386298</v>
      </c>
      <c r="K174" s="518">
        <v>56.928252050588583</v>
      </c>
      <c r="L174" s="518">
        <v>58.369397612494282</v>
      </c>
      <c r="M174" s="518">
        <v>59.84702594799289</v>
      </c>
      <c r="N174" s="518">
        <v>61.362060622894965</v>
      </c>
      <c r="O174" s="518">
        <v>62.915448583190859</v>
      </c>
      <c r="P174" s="518">
        <v>64.508160746922854</v>
      </c>
      <c r="Q174" s="518">
        <v>66.141192611040424</v>
      </c>
      <c r="R174" s="518">
        <v>67.815564873618385</v>
      </c>
      <c r="Z174" s="517"/>
      <c r="AA174" s="517"/>
      <c r="AB174" s="517"/>
      <c r="AC174" s="517"/>
      <c r="AD174" s="517"/>
      <c r="AE174" s="517"/>
      <c r="AF174" s="517"/>
      <c r="AG174" s="517"/>
      <c r="AH174" s="517"/>
      <c r="AI174" s="517"/>
      <c r="AJ174" s="517"/>
      <c r="AK174" s="517"/>
      <c r="AL174" s="517"/>
      <c r="AM174" s="517"/>
      <c r="AN174" s="517"/>
      <c r="AO174" s="517"/>
    </row>
    <row r="175" spans="1:41">
      <c r="A175" s="518" t="s">
        <v>811</v>
      </c>
      <c r="B175" s="518">
        <v>142.69728022410851</v>
      </c>
      <c r="C175" s="518">
        <v>157.70488419217594</v>
      </c>
      <c r="D175" s="518">
        <v>174.29085164768082</v>
      </c>
      <c r="E175" s="518">
        <v>192.62118052765391</v>
      </c>
      <c r="F175" s="518">
        <v>212.87932692456235</v>
      </c>
      <c r="G175" s="518">
        <v>235.2680411765445</v>
      </c>
      <c r="H175" s="518">
        <v>260.01139706094102</v>
      </c>
      <c r="I175" s="518">
        <v>266.59361691526385</v>
      </c>
      <c r="J175" s="518">
        <v>273.34246645851721</v>
      </c>
      <c r="K175" s="518">
        <v>280.26216394135918</v>
      </c>
      <c r="L175" s="518">
        <v>287.35703439997189</v>
      </c>
      <c r="M175" s="518">
        <v>294.63151235934964</v>
      </c>
      <c r="N175" s="518">
        <v>302.09014460502135</v>
      </c>
      <c r="O175" s="518">
        <v>309.73759302493966</v>
      </c>
      <c r="P175" s="518">
        <v>317.57863752331252</v>
      </c>
      <c r="Q175" s="518">
        <v>325.61817900819898</v>
      </c>
      <c r="R175" s="518">
        <v>333.86124245473661</v>
      </c>
      <c r="Z175" s="517"/>
      <c r="AA175" s="517"/>
      <c r="AB175" s="517"/>
      <c r="AC175" s="517"/>
      <c r="AD175" s="517"/>
      <c r="AE175" s="517"/>
      <c r="AF175" s="517"/>
      <c r="AG175" s="517"/>
      <c r="AH175" s="517"/>
      <c r="AI175" s="517"/>
      <c r="AJ175" s="517"/>
      <c r="AK175" s="517"/>
      <c r="AL175" s="517"/>
      <c r="AM175" s="517"/>
      <c r="AN175" s="517"/>
      <c r="AO175" s="517"/>
    </row>
    <row r="176" spans="1:41">
      <c r="A176" s="518" t="s">
        <v>813</v>
      </c>
      <c r="B176" s="518">
        <v>681.15654856976789</v>
      </c>
      <c r="C176" s="518">
        <v>752.79440813608994</v>
      </c>
      <c r="D176" s="518">
        <v>831.96648716197626</v>
      </c>
      <c r="E176" s="518">
        <v>919.46516642497295</v>
      </c>
      <c r="F176" s="518">
        <v>1016.1661621164654</v>
      </c>
      <c r="G176" s="518">
        <v>1123.0372903036616</v>
      </c>
      <c r="H176" s="518">
        <v>1241.1481531580855</v>
      </c>
      <c r="I176" s="518">
        <v>1272.5679682439545</v>
      </c>
      <c r="J176" s="518">
        <v>1304.783179735578</v>
      </c>
      <c r="K176" s="518">
        <v>1337.8139231888313</v>
      </c>
      <c r="L176" s="518">
        <v>1371.6808438936157</v>
      </c>
      <c r="M176" s="518">
        <v>1406.4051097778329</v>
      </c>
      <c r="N176" s="518">
        <v>1442.0084246380313</v>
      </c>
      <c r="O176" s="518">
        <v>1478.5130417049852</v>
      </c>
      <c r="P176" s="518">
        <v>1515.9417775526865</v>
      </c>
      <c r="Q176" s="518">
        <v>1554.3180263594497</v>
      </c>
      <c r="R176" s="518">
        <v>1593.6657745300322</v>
      </c>
      <c r="Z176" s="517"/>
      <c r="AA176" s="517"/>
      <c r="AB176" s="517"/>
      <c r="AC176" s="517"/>
      <c r="AD176" s="517"/>
      <c r="AE176" s="517"/>
      <c r="AF176" s="517"/>
      <c r="AG176" s="517"/>
      <c r="AH176" s="517"/>
      <c r="AI176" s="517"/>
      <c r="AJ176" s="517"/>
      <c r="AK176" s="517"/>
      <c r="AL176" s="517"/>
      <c r="AM176" s="517"/>
      <c r="AN176" s="517"/>
      <c r="AO176" s="517"/>
    </row>
    <row r="177" spans="1:41">
      <c r="A177" s="507" t="s">
        <v>815</v>
      </c>
      <c r="B177" s="518">
        <v>528.4258658299018</v>
      </c>
      <c r="C177" s="518">
        <v>584.00089927415161</v>
      </c>
      <c r="D177" s="518">
        <v>645.42081000781775</v>
      </c>
      <c r="E177" s="518">
        <v>713.30030914146823</v>
      </c>
      <c r="F177" s="518">
        <v>788.31875751751977</v>
      </c>
      <c r="G177" s="518">
        <v>871.22696498189111</v>
      </c>
      <c r="H177" s="518">
        <v>962.85470474129716</v>
      </c>
      <c r="I177" s="518">
        <v>987.22948763933653</v>
      </c>
      <c r="J177" s="518">
        <v>1012.2213211041962</v>
      </c>
      <c r="K177" s="518">
        <v>1037.8458258453456</v>
      </c>
      <c r="L177" s="518">
        <v>1064.1190180123958</v>
      </c>
      <c r="M177" s="518">
        <v>1091.0573192057168</v>
      </c>
      <c r="N177" s="518">
        <v>1118.6775667404695</v>
      </c>
      <c r="O177" s="518">
        <v>1146.9970241704793</v>
      </c>
      <c r="P177" s="518">
        <v>1176.0333920785163</v>
      </c>
      <c r="Q177" s="518">
        <v>1205.804819139737</v>
      </c>
      <c r="R177" s="518">
        <v>1236.3299134651966</v>
      </c>
      <c r="Z177" s="517"/>
      <c r="AA177" s="517"/>
      <c r="AB177" s="517"/>
      <c r="AC177" s="517"/>
      <c r="AD177" s="517"/>
      <c r="AE177" s="517"/>
      <c r="AF177" s="517"/>
      <c r="AG177" s="517"/>
      <c r="AH177" s="517"/>
      <c r="AI177" s="517"/>
      <c r="AJ177" s="517"/>
      <c r="AK177" s="517"/>
      <c r="AL177" s="517"/>
      <c r="AM177" s="517"/>
      <c r="AN177" s="517"/>
      <c r="AO177" s="517"/>
    </row>
    <row r="178" spans="1:41">
      <c r="A178" s="507" t="s">
        <v>817</v>
      </c>
      <c r="B178" s="518">
        <v>307.69101048323387</v>
      </c>
      <c r="C178" s="518">
        <v>340.05115653937935</v>
      </c>
      <c r="D178" s="518">
        <v>375.81464886531171</v>
      </c>
      <c r="E178" s="518">
        <v>415.3394205127538</v>
      </c>
      <c r="F178" s="518">
        <v>459.02104868108756</v>
      </c>
      <c r="G178" s="518">
        <v>507.2967137869241</v>
      </c>
      <c r="H178" s="518">
        <v>560.64957491265386</v>
      </c>
      <c r="I178" s="518">
        <v>574.84248647353763</v>
      </c>
      <c r="J178" s="518">
        <v>589.39469330117754</v>
      </c>
      <c r="K178" s="518">
        <v>604.31529099855561</v>
      </c>
      <c r="L178" s="518">
        <v>619.61360542493946</v>
      </c>
      <c r="M178" s="518">
        <v>635.29919852484772</v>
      </c>
      <c r="N178" s="518">
        <v>651.38187430457742</v>
      </c>
      <c r="O178" s="518">
        <v>667.87168496002619</v>
      </c>
      <c r="P178" s="518">
        <v>684.77893715964251</v>
      </c>
      <c r="Q178" s="518">
        <v>702.11419848642902</v>
      </c>
      <c r="R178" s="518">
        <v>719.88830404302587</v>
      </c>
      <c r="Z178" s="517"/>
      <c r="AA178" s="517"/>
      <c r="AB178" s="517"/>
      <c r="AC178" s="517"/>
      <c r="AD178" s="517"/>
      <c r="AE178" s="517"/>
      <c r="AF178" s="517"/>
      <c r="AG178" s="517"/>
      <c r="AH178" s="517"/>
      <c r="AI178" s="517"/>
      <c r="AJ178" s="517"/>
      <c r="AK178" s="517"/>
      <c r="AL178" s="517"/>
      <c r="AM178" s="517"/>
      <c r="AN178" s="517"/>
      <c r="AO178" s="517"/>
    </row>
    <row r="179" spans="1:41">
      <c r="A179" s="507" t="s">
        <v>819</v>
      </c>
      <c r="B179" s="518">
        <v>169.45302026612885</v>
      </c>
      <c r="C179" s="518">
        <v>187.27454997820888</v>
      </c>
      <c r="D179" s="518">
        <v>206.97038633162094</v>
      </c>
      <c r="E179" s="518">
        <v>228.73765187658896</v>
      </c>
      <c r="F179" s="518">
        <v>252.79420072291774</v>
      </c>
      <c r="G179" s="518">
        <v>279.38079889714658</v>
      </c>
      <c r="H179" s="518">
        <v>308.76353400986739</v>
      </c>
      <c r="I179" s="518">
        <v>316.57992008687575</v>
      </c>
      <c r="J179" s="518">
        <v>324.5941789194892</v>
      </c>
      <c r="K179" s="518">
        <v>332.81131968036397</v>
      </c>
      <c r="L179" s="518">
        <v>341.23647834996655</v>
      </c>
      <c r="M179" s="518">
        <v>349.87492092672761</v>
      </c>
      <c r="N179" s="518">
        <v>358.73204671846281</v>
      </c>
      <c r="O179" s="518">
        <v>367.81339171711579</v>
      </c>
      <c r="P179" s="518">
        <v>377.12463205893346</v>
      </c>
      <c r="Q179" s="518">
        <v>386.67158757223626</v>
      </c>
      <c r="R179" s="518">
        <v>396.46022541499963</v>
      </c>
      <c r="Z179" s="517"/>
      <c r="AA179" s="517"/>
      <c r="AB179" s="517"/>
      <c r="AC179" s="517"/>
      <c r="AD179" s="517"/>
      <c r="AE179" s="517"/>
      <c r="AF179" s="517"/>
      <c r="AG179" s="517"/>
      <c r="AH179" s="517"/>
      <c r="AI179" s="517"/>
      <c r="AJ179" s="517"/>
      <c r="AK179" s="517"/>
      <c r="AL179" s="517"/>
      <c r="AM179" s="517"/>
      <c r="AN179" s="517"/>
      <c r="AO179" s="517"/>
    </row>
    <row r="180" spans="1:41">
      <c r="A180" s="507" t="s">
        <v>821</v>
      </c>
      <c r="B180" s="518">
        <v>120.40083018909154</v>
      </c>
      <c r="C180" s="518">
        <v>133.06349603714844</v>
      </c>
      <c r="D180" s="518">
        <v>147.05790607773065</v>
      </c>
      <c r="E180" s="518">
        <v>162.52412107020794</v>
      </c>
      <c r="F180" s="518">
        <v>179.61693209259943</v>
      </c>
      <c r="G180" s="518">
        <v>198.50740974270937</v>
      </c>
      <c r="H180" s="518">
        <v>219.38461627016892</v>
      </c>
      <c r="I180" s="518">
        <v>224.93836427225386</v>
      </c>
      <c r="J180" s="518">
        <v>230.6327060743738</v>
      </c>
      <c r="K180" s="518">
        <v>236.47120082552178</v>
      </c>
      <c r="L180" s="518">
        <v>242.4574977749763</v>
      </c>
      <c r="M180" s="518">
        <v>248.59533855320123</v>
      </c>
      <c r="N180" s="518">
        <v>254.88855951048677</v>
      </c>
      <c r="O180" s="518">
        <v>261.34109411479278</v>
      </c>
      <c r="P180" s="518">
        <v>267.95697541029483</v>
      </c>
      <c r="Q180" s="518">
        <v>274.74033853816786</v>
      </c>
      <c r="R180" s="518">
        <v>281.69542332118397</v>
      </c>
      <c r="Z180" s="517"/>
      <c r="AA180" s="517"/>
      <c r="AB180" s="517"/>
      <c r="AC180" s="517"/>
      <c r="AD180" s="517"/>
      <c r="AE180" s="517"/>
      <c r="AF180" s="517"/>
      <c r="AG180" s="517"/>
      <c r="AH180" s="517"/>
      <c r="AI180" s="517"/>
      <c r="AJ180" s="517"/>
      <c r="AK180" s="517"/>
      <c r="AL180" s="517"/>
      <c r="AM180" s="517"/>
      <c r="AN180" s="517"/>
      <c r="AO180" s="517"/>
    </row>
    <row r="181" spans="1:41">
      <c r="A181" s="507" t="s">
        <v>823</v>
      </c>
      <c r="B181" s="518">
        <v>53.511480084040691</v>
      </c>
      <c r="C181" s="518">
        <v>59.139331572065991</v>
      </c>
      <c r="D181" s="518">
        <v>65.359069367880309</v>
      </c>
      <c r="E181" s="518">
        <v>72.232942697870229</v>
      </c>
      <c r="F181" s="518">
        <v>79.829747596710888</v>
      </c>
      <c r="G181" s="518">
        <v>88.225515441204195</v>
      </c>
      <c r="H181" s="518">
        <v>97.504273897852897</v>
      </c>
      <c r="I181" s="518">
        <v>99.972606343223973</v>
      </c>
      <c r="J181" s="518">
        <v>102.50342492194392</v>
      </c>
      <c r="K181" s="518">
        <v>105.09831147800969</v>
      </c>
      <c r="L181" s="518">
        <v>107.75888789998949</v>
      </c>
      <c r="M181" s="518">
        <v>110.48681713475617</v>
      </c>
      <c r="N181" s="518">
        <v>113.28380422688302</v>
      </c>
      <c r="O181" s="518">
        <v>116.15159738435237</v>
      </c>
      <c r="P181" s="518">
        <v>119.09198907124218</v>
      </c>
      <c r="Q181" s="518">
        <v>122.10681712807467</v>
      </c>
      <c r="R181" s="518">
        <v>125.19796592052629</v>
      </c>
      <c r="Z181" s="517"/>
      <c r="AA181" s="517"/>
      <c r="AB181" s="517"/>
      <c r="AC181" s="517"/>
      <c r="AD181" s="517"/>
      <c r="AE181" s="517"/>
      <c r="AF181" s="517"/>
      <c r="AG181" s="517"/>
      <c r="AH181" s="517"/>
      <c r="AI181" s="517"/>
      <c r="AJ181" s="517"/>
      <c r="AK181" s="517"/>
      <c r="AL181" s="517"/>
      <c r="AM181" s="517"/>
      <c r="AN181" s="517"/>
      <c r="AO181" s="517"/>
    </row>
    <row r="182" spans="1:41">
      <c r="A182" s="507" t="s">
        <v>825</v>
      </c>
      <c r="B182" s="518">
        <v>34.559497554276277</v>
      </c>
      <c r="C182" s="518">
        <v>38.194151640292617</v>
      </c>
      <c r="D182" s="518">
        <v>42.211065633422692</v>
      </c>
      <c r="E182" s="518">
        <v>46.650442159041177</v>
      </c>
      <c r="F182" s="518">
        <v>51.556711989542443</v>
      </c>
      <c r="G182" s="518">
        <v>56.978978722444374</v>
      </c>
      <c r="H182" s="518">
        <v>62.971510225696633</v>
      </c>
      <c r="I182" s="518">
        <v>64.565641596665444</v>
      </c>
      <c r="J182" s="518">
        <v>66.200128595422115</v>
      </c>
      <c r="K182" s="518">
        <v>67.875992829547926</v>
      </c>
      <c r="L182" s="518">
        <v>69.594281768743187</v>
      </c>
      <c r="M182" s="518">
        <v>71.356069399529986</v>
      </c>
      <c r="N182" s="518">
        <v>73.16245689652861</v>
      </c>
      <c r="O182" s="518">
        <v>75.014573310727556</v>
      </c>
      <c r="P182" s="518">
        <v>76.913576275177235</v>
      </c>
      <c r="Q182" s="518">
        <v>78.860652728548217</v>
      </c>
      <c r="R182" s="518">
        <v>80.857019657006546</v>
      </c>
      <c r="Z182" s="517"/>
      <c r="AA182" s="517"/>
      <c r="AB182" s="517"/>
      <c r="AC182" s="517"/>
      <c r="AD182" s="517"/>
      <c r="AE182" s="517"/>
      <c r="AF182" s="517"/>
      <c r="AG182" s="517"/>
      <c r="AH182" s="517"/>
      <c r="AI182" s="517"/>
      <c r="AJ182" s="517"/>
      <c r="AK182" s="517"/>
      <c r="AL182" s="517"/>
      <c r="AM182" s="517"/>
      <c r="AN182" s="517"/>
      <c r="AO182" s="517"/>
    </row>
    <row r="183" spans="1:41">
      <c r="A183" s="507" t="s">
        <v>827</v>
      </c>
      <c r="B183" s="518">
        <v>18.951982529764408</v>
      </c>
      <c r="C183" s="518">
        <v>20.945179931773371</v>
      </c>
      <c r="D183" s="518">
        <v>23.14800373445761</v>
      </c>
      <c r="E183" s="518">
        <v>25.582500538829034</v>
      </c>
      <c r="F183" s="518">
        <v>28.273035607168445</v>
      </c>
      <c r="G183" s="518">
        <v>31.24653671875982</v>
      </c>
      <c r="H183" s="518">
        <v>34.532763672156229</v>
      </c>
      <c r="I183" s="518">
        <v>35.406964746558479</v>
      </c>
      <c r="J183" s="518">
        <v>36.303296326521817</v>
      </c>
      <c r="K183" s="518">
        <v>37.222318648461766</v>
      </c>
      <c r="L183" s="518">
        <v>38.164606131246266</v>
      </c>
      <c r="M183" s="518">
        <v>39.13074773522613</v>
      </c>
      <c r="N183" s="518">
        <v>40.121347330354403</v>
      </c>
      <c r="O183" s="518">
        <v>41.137024073624808</v>
      </c>
      <c r="P183" s="518">
        <v>42.178412796064954</v>
      </c>
      <c r="Q183" s="518">
        <v>43.246164399526442</v>
      </c>
      <c r="R183" s="518">
        <v>44.340946263519712</v>
      </c>
      <c r="Z183" s="517"/>
      <c r="AA183" s="517"/>
      <c r="AB183" s="517"/>
      <c r="AC183" s="517"/>
      <c r="AD183" s="517"/>
      <c r="AE183" s="517"/>
      <c r="AF183" s="517"/>
      <c r="AG183" s="517"/>
      <c r="AH183" s="517"/>
      <c r="AI183" s="517"/>
      <c r="AJ183" s="517"/>
      <c r="AK183" s="517"/>
      <c r="AL183" s="517"/>
      <c r="AM183" s="517"/>
      <c r="AN183" s="517"/>
      <c r="AO183" s="517"/>
    </row>
    <row r="184" spans="1:41">
      <c r="A184" s="507" t="s">
        <v>829</v>
      </c>
      <c r="B184" s="518">
        <v>5.5741125087542374</v>
      </c>
      <c r="C184" s="518">
        <v>6.1603470387568731</v>
      </c>
      <c r="D184" s="518">
        <v>6.8082363924875313</v>
      </c>
      <c r="E184" s="518">
        <v>7.5242648643614807</v>
      </c>
      <c r="F184" s="518">
        <v>8.3155987079907163</v>
      </c>
      <c r="G184" s="518">
        <v>9.19015785845877</v>
      </c>
      <c r="H184" s="518">
        <v>10.156695197693008</v>
      </c>
      <c r="I184" s="518">
        <v>10.413813160752493</v>
      </c>
      <c r="J184" s="518">
        <v>10.677440096035827</v>
      </c>
      <c r="K184" s="518">
        <v>10.947740778959343</v>
      </c>
      <c r="L184" s="518">
        <v>11.224884156248905</v>
      </c>
      <c r="M184" s="518">
        <v>11.509043451537098</v>
      </c>
      <c r="N184" s="518">
        <v>11.800396273633648</v>
      </c>
      <c r="O184" s="518">
        <v>12.099124727536704</v>
      </c>
      <c r="P184" s="518">
        <v>12.405415528254395</v>
      </c>
      <c r="Q184" s="518">
        <v>12.719460117507777</v>
      </c>
      <c r="R184" s="518">
        <v>13.041454783388154</v>
      </c>
      <c r="Z184" s="517"/>
      <c r="AA184" s="517"/>
      <c r="AB184" s="517"/>
      <c r="AC184" s="517"/>
      <c r="AD184" s="517"/>
      <c r="AE184" s="517"/>
      <c r="AF184" s="517"/>
      <c r="AG184" s="517"/>
      <c r="AH184" s="517"/>
      <c r="AI184" s="517"/>
      <c r="AJ184" s="517"/>
      <c r="AK184" s="517"/>
      <c r="AL184" s="517"/>
      <c r="AM184" s="517"/>
      <c r="AN184" s="517"/>
      <c r="AO184" s="517"/>
    </row>
    <row r="185" spans="1:41">
      <c r="A185" s="507" t="s">
        <v>831</v>
      </c>
      <c r="B185" s="518">
        <v>1.1148225017508475</v>
      </c>
      <c r="C185" s="518">
        <v>1.2320694077513745</v>
      </c>
      <c r="D185" s="518">
        <v>1.3616472784975062</v>
      </c>
      <c r="E185" s="518">
        <v>1.5048529728722961</v>
      </c>
      <c r="F185" s="518">
        <v>1.6631197415981434</v>
      </c>
      <c r="G185" s="518">
        <v>1.8380315716917541</v>
      </c>
      <c r="H185" s="518">
        <v>2.0313390395386017</v>
      </c>
      <c r="I185" s="518">
        <v>2.0827626321504988</v>
      </c>
      <c r="J185" s="518">
        <v>2.1354880192071652</v>
      </c>
      <c r="K185" s="518">
        <v>2.1895481557918686</v>
      </c>
      <c r="L185" s="518">
        <v>2.2449768312497809</v>
      </c>
      <c r="M185" s="518">
        <v>2.3018086903074195</v>
      </c>
      <c r="N185" s="518">
        <v>2.3600792547267297</v>
      </c>
      <c r="O185" s="518">
        <v>2.4198249455073411</v>
      </c>
      <c r="P185" s="518">
        <v>2.4810831056508791</v>
      </c>
      <c r="Q185" s="518">
        <v>2.5438920235015554</v>
      </c>
      <c r="R185" s="518">
        <v>2.6082909566776307</v>
      </c>
      <c r="Z185" s="517"/>
      <c r="AA185" s="517"/>
      <c r="AB185" s="517"/>
      <c r="AC185" s="517"/>
      <c r="AD185" s="517"/>
      <c r="AE185" s="517"/>
      <c r="AF185" s="517"/>
      <c r="AG185" s="517"/>
      <c r="AH185" s="517"/>
      <c r="AI185" s="517"/>
      <c r="AJ185" s="517"/>
      <c r="AK185" s="517"/>
      <c r="AL185" s="517"/>
      <c r="AM185" s="517"/>
      <c r="AN185" s="517"/>
      <c r="AO185" s="517"/>
    </row>
    <row r="186" spans="1:41">
      <c r="A186" s="507" t="s">
        <v>833</v>
      </c>
      <c r="B186" s="518">
        <v>0</v>
      </c>
      <c r="C186" s="518">
        <v>0</v>
      </c>
      <c r="D186" s="518">
        <v>0</v>
      </c>
      <c r="E186" s="518">
        <v>0</v>
      </c>
      <c r="F186" s="518">
        <v>0</v>
      </c>
      <c r="G186" s="518">
        <v>0</v>
      </c>
      <c r="H186" s="518">
        <v>0</v>
      </c>
      <c r="I186" s="518">
        <v>0</v>
      </c>
      <c r="J186" s="518">
        <v>0</v>
      </c>
      <c r="K186" s="518">
        <v>0</v>
      </c>
      <c r="L186" s="518">
        <v>0</v>
      </c>
      <c r="M186" s="518">
        <v>0</v>
      </c>
      <c r="N186" s="518">
        <v>0</v>
      </c>
      <c r="O186" s="518">
        <v>0</v>
      </c>
      <c r="P186" s="518">
        <v>0</v>
      </c>
      <c r="Q186" s="518">
        <v>0</v>
      </c>
      <c r="R186" s="518">
        <v>0</v>
      </c>
      <c r="Z186" s="517"/>
      <c r="AA186" s="517"/>
      <c r="AB186" s="517"/>
      <c r="AC186" s="517"/>
      <c r="AD186" s="517"/>
      <c r="AE186" s="517"/>
      <c r="AF186" s="517"/>
      <c r="AG186" s="517"/>
      <c r="AH186" s="517"/>
      <c r="AI186" s="517"/>
      <c r="AJ186" s="517"/>
      <c r="AK186" s="517"/>
      <c r="AL186" s="517"/>
      <c r="AM186" s="517"/>
      <c r="AN186" s="517"/>
      <c r="AO186" s="517"/>
    </row>
    <row r="187" spans="1:41">
      <c r="A187" s="521" t="s">
        <v>835</v>
      </c>
      <c r="B187" s="540">
        <v>1.1148225017508475</v>
      </c>
      <c r="C187" s="540">
        <v>1.2320694077513745</v>
      </c>
      <c r="D187" s="540">
        <v>1.3616472784975062</v>
      </c>
      <c r="E187" s="540">
        <v>1.5048529728722961</v>
      </c>
      <c r="F187" s="540">
        <v>1.6631197415981434</v>
      </c>
      <c r="G187" s="540">
        <v>1.8380315716917541</v>
      </c>
      <c r="H187" s="540">
        <v>2.0313390395386017</v>
      </c>
      <c r="I187" s="540">
        <v>2.0827626321504988</v>
      </c>
      <c r="J187" s="540">
        <v>2.1354880192071652</v>
      </c>
      <c r="K187" s="540">
        <v>2.1895481557918686</v>
      </c>
      <c r="L187" s="540">
        <v>2.2449768312497809</v>
      </c>
      <c r="M187" s="540">
        <v>2.3018086903074195</v>
      </c>
      <c r="N187" s="540">
        <v>2.3600792547267297</v>
      </c>
      <c r="O187" s="540">
        <v>2.4198249455073411</v>
      </c>
      <c r="P187" s="540">
        <v>2.4810831056508791</v>
      </c>
      <c r="Q187" s="540">
        <v>2.5438920235015554</v>
      </c>
      <c r="R187" s="540">
        <v>2.6082909566776307</v>
      </c>
      <c r="Z187" s="517"/>
      <c r="AA187" s="517"/>
      <c r="AB187" s="517"/>
      <c r="AC187" s="517"/>
      <c r="AD187" s="517"/>
      <c r="AE187" s="517"/>
      <c r="AF187" s="517"/>
      <c r="AG187" s="517"/>
      <c r="AH187" s="517"/>
      <c r="AI187" s="517"/>
      <c r="AJ187" s="517"/>
      <c r="AK187" s="517"/>
      <c r="AL187" s="517"/>
      <c r="AM187" s="517"/>
      <c r="AN187" s="517"/>
      <c r="AO187" s="517"/>
    </row>
    <row r="188" spans="1:41">
      <c r="A188" s="531" t="s">
        <v>755</v>
      </c>
      <c r="B188" s="518"/>
      <c r="C188" s="518"/>
      <c r="D188" s="518"/>
      <c r="E188" s="518"/>
      <c r="F188" s="518"/>
      <c r="G188" s="518"/>
      <c r="H188" s="518"/>
      <c r="I188" s="518"/>
      <c r="J188" s="518"/>
      <c r="K188" s="518"/>
      <c r="L188" s="518"/>
      <c r="M188" s="518"/>
      <c r="N188" s="518"/>
      <c r="O188" s="518"/>
      <c r="P188" s="518"/>
      <c r="Q188" s="518"/>
      <c r="R188" s="518"/>
      <c r="Z188" s="517"/>
      <c r="AA188" s="517"/>
      <c r="AB188" s="517"/>
      <c r="AC188" s="517"/>
      <c r="AD188" s="517"/>
      <c r="AE188" s="517"/>
      <c r="AF188" s="517"/>
      <c r="AG188" s="517"/>
      <c r="AH188" s="517"/>
      <c r="AI188" s="517"/>
      <c r="AJ188" s="517"/>
      <c r="AK188" s="517"/>
      <c r="AL188" s="517"/>
      <c r="AM188" s="517"/>
      <c r="AN188" s="517"/>
      <c r="AO188" s="517"/>
    </row>
    <row r="189" spans="1:41">
      <c r="A189" s="531" t="s">
        <v>842</v>
      </c>
      <c r="B189" s="518"/>
      <c r="C189" s="518"/>
      <c r="D189" s="518"/>
      <c r="E189" s="518"/>
      <c r="F189" s="518"/>
      <c r="G189" s="518"/>
      <c r="H189" s="518"/>
      <c r="I189" s="518"/>
      <c r="J189" s="518"/>
      <c r="K189" s="518"/>
      <c r="L189" s="518"/>
      <c r="M189" s="518"/>
      <c r="N189" s="518"/>
      <c r="O189" s="518"/>
      <c r="P189" s="518"/>
      <c r="Q189" s="518"/>
      <c r="R189" s="518"/>
      <c r="Z189" s="517"/>
      <c r="AA189" s="517"/>
      <c r="AB189" s="517"/>
      <c r="AC189" s="517"/>
      <c r="AD189" s="517"/>
      <c r="AE189" s="517"/>
      <c r="AF189" s="517"/>
      <c r="AG189" s="517"/>
      <c r="AH189" s="517"/>
      <c r="AI189" s="517"/>
      <c r="AJ189" s="517"/>
      <c r="AK189" s="517"/>
      <c r="AL189" s="517"/>
      <c r="AM189" s="517"/>
      <c r="AN189" s="517"/>
      <c r="AO189" s="517"/>
    </row>
    <row r="190" spans="1:41">
      <c r="A190" s="532" t="s">
        <v>843</v>
      </c>
      <c r="B190" s="508"/>
      <c r="C190" s="508"/>
      <c r="D190" s="508"/>
      <c r="E190" s="508"/>
      <c r="F190" s="508"/>
      <c r="G190" s="508"/>
      <c r="H190" s="508"/>
      <c r="I190" s="508"/>
      <c r="J190" s="508"/>
      <c r="K190" s="508"/>
      <c r="L190" s="508"/>
      <c r="M190" s="508"/>
      <c r="N190" s="508"/>
      <c r="O190" s="508"/>
      <c r="P190" s="508"/>
      <c r="Q190" s="508"/>
      <c r="R190" s="508"/>
      <c r="Z190" s="517"/>
      <c r="AA190" s="517"/>
      <c r="AB190" s="517"/>
      <c r="AC190" s="517"/>
      <c r="AD190" s="517"/>
      <c r="AE190" s="517"/>
      <c r="AF190" s="517"/>
      <c r="AG190" s="517"/>
      <c r="AH190" s="517"/>
      <c r="AI190" s="517"/>
      <c r="AJ190" s="517"/>
      <c r="AK190" s="517"/>
      <c r="AL190" s="517"/>
      <c r="AM190" s="517"/>
      <c r="AN190" s="517"/>
      <c r="AO190" s="517"/>
    </row>
    <row r="191" spans="1:41">
      <c r="A191" s="532" t="s">
        <v>844</v>
      </c>
      <c r="G191" s="535"/>
      <c r="Z191" s="517"/>
      <c r="AA191" s="517"/>
      <c r="AB191" s="517"/>
      <c r="AC191" s="517"/>
      <c r="AD191" s="517"/>
      <c r="AE191" s="517"/>
      <c r="AF191" s="517"/>
      <c r="AG191" s="517"/>
      <c r="AH191" s="517"/>
      <c r="AI191" s="517"/>
      <c r="AJ191" s="517"/>
      <c r="AK191" s="517"/>
      <c r="AL191" s="517"/>
      <c r="AM191" s="517"/>
      <c r="AN191" s="517"/>
      <c r="AO191" s="517"/>
    </row>
    <row r="192" spans="1:41">
      <c r="A192" s="532" t="s">
        <v>117</v>
      </c>
      <c r="G192" s="535"/>
      <c r="Z192" s="517"/>
      <c r="AA192" s="517"/>
      <c r="AB192" s="517"/>
      <c r="AC192" s="517"/>
      <c r="AD192" s="517"/>
      <c r="AE192" s="517"/>
      <c r="AF192" s="517"/>
      <c r="AG192" s="517"/>
      <c r="AH192" s="517"/>
      <c r="AI192" s="517"/>
      <c r="AJ192" s="517"/>
      <c r="AK192" s="517"/>
      <c r="AL192" s="517"/>
      <c r="AM192" s="517"/>
      <c r="AN192" s="517"/>
      <c r="AO192" s="517"/>
    </row>
    <row r="193" spans="7:41">
      <c r="G193" s="535"/>
      <c r="Z193" s="517"/>
      <c r="AA193" s="517"/>
      <c r="AB193" s="517"/>
      <c r="AC193" s="517"/>
      <c r="AD193" s="517"/>
      <c r="AE193" s="517"/>
      <c r="AF193" s="517"/>
      <c r="AG193" s="517"/>
      <c r="AH193" s="517"/>
      <c r="AI193" s="517"/>
      <c r="AJ193" s="517"/>
      <c r="AK193" s="517"/>
      <c r="AL193" s="517"/>
      <c r="AM193" s="517"/>
      <c r="AN193" s="517"/>
      <c r="AO193" s="517"/>
    </row>
    <row r="194" spans="7:41">
      <c r="G194" s="535"/>
      <c r="Z194" s="517"/>
      <c r="AA194" s="517"/>
      <c r="AB194" s="517"/>
      <c r="AC194" s="517"/>
      <c r="AD194" s="517"/>
      <c r="AE194" s="517"/>
      <c r="AF194" s="517"/>
      <c r="AG194" s="517"/>
      <c r="AH194" s="517"/>
      <c r="AI194" s="517"/>
      <c r="AJ194" s="517"/>
      <c r="AK194" s="517"/>
      <c r="AL194" s="517"/>
      <c r="AM194" s="517"/>
      <c r="AN194" s="517"/>
      <c r="AO194" s="517"/>
    </row>
    <row r="195" spans="7:41">
      <c r="G195" s="535"/>
      <c r="Z195" s="517"/>
      <c r="AA195" s="517"/>
      <c r="AB195" s="517"/>
      <c r="AC195" s="517"/>
      <c r="AD195" s="517"/>
      <c r="AE195" s="517"/>
      <c r="AF195" s="517"/>
      <c r="AG195" s="517"/>
      <c r="AH195" s="517"/>
      <c r="AI195" s="517"/>
      <c r="AJ195" s="517"/>
      <c r="AK195" s="517"/>
      <c r="AL195" s="517"/>
      <c r="AM195" s="517"/>
      <c r="AN195" s="517"/>
      <c r="AO195" s="517"/>
    </row>
    <row r="196" spans="7:41">
      <c r="G196" s="535"/>
      <c r="Z196" s="517"/>
      <c r="AA196" s="517"/>
      <c r="AB196" s="517"/>
      <c r="AC196" s="517"/>
      <c r="AD196" s="517"/>
      <c r="AE196" s="517"/>
      <c r="AF196" s="517"/>
      <c r="AG196" s="517"/>
      <c r="AH196" s="517"/>
      <c r="AI196" s="517"/>
      <c r="AJ196" s="517"/>
      <c r="AK196" s="517"/>
      <c r="AL196" s="517"/>
      <c r="AM196" s="517"/>
      <c r="AN196" s="517"/>
      <c r="AO196" s="517"/>
    </row>
    <row r="197" spans="7:41">
      <c r="G197" s="535"/>
      <c r="Z197" s="517"/>
      <c r="AA197" s="517"/>
      <c r="AB197" s="517"/>
      <c r="AC197" s="517"/>
      <c r="AD197" s="517"/>
      <c r="AE197" s="517"/>
      <c r="AF197" s="517"/>
      <c r="AG197" s="517"/>
      <c r="AH197" s="517"/>
      <c r="AI197" s="517"/>
      <c r="AJ197" s="517"/>
      <c r="AK197" s="517"/>
      <c r="AL197" s="517"/>
      <c r="AM197" s="517"/>
      <c r="AN197" s="517"/>
      <c r="AO197" s="517"/>
    </row>
    <row r="198" spans="7:41">
      <c r="Z198" s="517"/>
      <c r="AA198" s="517"/>
      <c r="AB198" s="517"/>
      <c r="AC198" s="517"/>
      <c r="AD198" s="517"/>
      <c r="AE198" s="517"/>
      <c r="AF198" s="517"/>
      <c r="AG198" s="517"/>
      <c r="AH198" s="517"/>
      <c r="AI198" s="517"/>
      <c r="AJ198" s="517"/>
      <c r="AK198" s="517"/>
      <c r="AL198" s="517"/>
      <c r="AM198" s="517"/>
      <c r="AN198" s="517"/>
      <c r="AO198" s="517"/>
    </row>
    <row r="199" spans="7:41">
      <c r="Z199" s="517"/>
      <c r="AA199" s="517"/>
      <c r="AB199" s="517"/>
      <c r="AC199" s="517"/>
      <c r="AD199" s="517"/>
      <c r="AE199" s="517"/>
      <c r="AF199" s="517"/>
      <c r="AG199" s="517"/>
      <c r="AH199" s="517"/>
      <c r="AI199" s="517"/>
      <c r="AJ199" s="517"/>
      <c r="AK199" s="517"/>
      <c r="AL199" s="517"/>
      <c r="AM199" s="517"/>
      <c r="AN199" s="517"/>
      <c r="AO199" s="517"/>
    </row>
    <row r="200" spans="7:41">
      <c r="Z200" s="517"/>
      <c r="AA200" s="517"/>
      <c r="AB200" s="517"/>
      <c r="AC200" s="517"/>
      <c r="AD200" s="517"/>
      <c r="AE200" s="517"/>
      <c r="AF200" s="517"/>
      <c r="AG200" s="517"/>
      <c r="AH200" s="517"/>
      <c r="AI200" s="517"/>
      <c r="AJ200" s="517"/>
      <c r="AK200" s="517"/>
      <c r="AL200" s="517"/>
      <c r="AM200" s="517"/>
      <c r="AN200" s="517"/>
      <c r="AO200" s="517"/>
    </row>
    <row r="201" spans="7:41">
      <c r="Z201" s="517"/>
      <c r="AA201" s="517"/>
      <c r="AB201" s="517"/>
      <c r="AC201" s="517"/>
      <c r="AD201" s="517"/>
      <c r="AE201" s="517"/>
      <c r="AF201" s="517"/>
      <c r="AG201" s="517"/>
      <c r="AH201" s="517"/>
      <c r="AI201" s="517"/>
      <c r="AJ201" s="517"/>
      <c r="AK201" s="517"/>
      <c r="AL201" s="517"/>
      <c r="AM201" s="517"/>
      <c r="AN201" s="517"/>
      <c r="AO201" s="517"/>
    </row>
    <row r="202" spans="7:41">
      <c r="Z202" s="517"/>
      <c r="AA202" s="517"/>
      <c r="AB202" s="517"/>
      <c r="AC202" s="517"/>
      <c r="AD202" s="517"/>
      <c r="AE202" s="517"/>
      <c r="AF202" s="517"/>
      <c r="AG202" s="517"/>
      <c r="AH202" s="517"/>
      <c r="AI202" s="517"/>
      <c r="AJ202" s="517"/>
      <c r="AK202" s="517"/>
      <c r="AL202" s="517"/>
      <c r="AM202" s="517"/>
      <c r="AN202" s="517"/>
      <c r="AO202" s="517"/>
    </row>
    <row r="203" spans="7:41">
      <c r="Z203" s="517"/>
      <c r="AA203" s="517"/>
      <c r="AB203" s="517"/>
      <c r="AC203" s="517"/>
      <c r="AD203" s="517"/>
      <c r="AE203" s="517"/>
      <c r="AF203" s="517"/>
      <c r="AG203" s="517"/>
      <c r="AH203" s="517"/>
      <c r="AI203" s="517"/>
      <c r="AJ203" s="517"/>
      <c r="AK203" s="517"/>
      <c r="AL203" s="517"/>
      <c r="AM203" s="517"/>
      <c r="AN203" s="517"/>
      <c r="AO203" s="517"/>
    </row>
    <row r="204" spans="7:41">
      <c r="Z204" s="517"/>
      <c r="AA204" s="517"/>
      <c r="AB204" s="517"/>
      <c r="AC204" s="517"/>
      <c r="AD204" s="517"/>
      <c r="AE204" s="517"/>
      <c r="AF204" s="517"/>
      <c r="AG204" s="517"/>
      <c r="AH204" s="517"/>
      <c r="AI204" s="517"/>
      <c r="AJ204" s="517"/>
      <c r="AK204" s="517"/>
      <c r="AL204" s="517"/>
      <c r="AM204" s="517"/>
      <c r="AN204" s="517"/>
      <c r="AO204" s="517"/>
    </row>
    <row r="205" spans="7:41">
      <c r="Z205" s="517"/>
      <c r="AA205" s="517"/>
      <c r="AB205" s="517"/>
      <c r="AC205" s="517"/>
      <c r="AD205" s="517"/>
      <c r="AE205" s="517"/>
      <c r="AF205" s="517"/>
      <c r="AG205" s="517"/>
      <c r="AH205" s="517"/>
      <c r="AI205" s="517"/>
      <c r="AJ205" s="517"/>
      <c r="AK205" s="517"/>
      <c r="AL205" s="517"/>
      <c r="AM205" s="517"/>
      <c r="AN205" s="517"/>
      <c r="AO205" s="517"/>
    </row>
    <row r="206" spans="7:41">
      <c r="Z206" s="517"/>
      <c r="AA206" s="517"/>
      <c r="AB206" s="517"/>
      <c r="AC206" s="517"/>
      <c r="AD206" s="517"/>
      <c r="AE206" s="517"/>
      <c r="AF206" s="517"/>
      <c r="AG206" s="517"/>
      <c r="AH206" s="517"/>
      <c r="AI206" s="517"/>
      <c r="AJ206" s="517"/>
      <c r="AK206" s="517"/>
      <c r="AL206" s="517"/>
      <c r="AM206" s="517"/>
      <c r="AN206" s="517"/>
      <c r="AO206" s="517"/>
    </row>
    <row r="207" spans="7:41">
      <c r="Z207" s="517"/>
      <c r="AA207" s="517"/>
      <c r="AB207" s="517"/>
      <c r="AC207" s="517"/>
      <c r="AD207" s="517"/>
      <c r="AE207" s="517"/>
      <c r="AF207" s="517"/>
      <c r="AG207" s="517"/>
      <c r="AH207" s="517"/>
      <c r="AI207" s="517"/>
      <c r="AJ207" s="517"/>
      <c r="AK207" s="517"/>
      <c r="AL207" s="517"/>
      <c r="AM207" s="517"/>
      <c r="AN207" s="517"/>
      <c r="AO207" s="517"/>
    </row>
    <row r="208" spans="7:41">
      <c r="Z208" s="517"/>
      <c r="AA208" s="517"/>
      <c r="AB208" s="517"/>
      <c r="AC208" s="517"/>
      <c r="AD208" s="517"/>
      <c r="AE208" s="517"/>
      <c r="AF208" s="517"/>
      <c r="AG208" s="517"/>
      <c r="AH208" s="517"/>
      <c r="AI208" s="517"/>
      <c r="AJ208" s="517"/>
      <c r="AK208" s="517"/>
      <c r="AL208" s="517"/>
      <c r="AM208" s="517"/>
      <c r="AN208" s="517"/>
      <c r="AO208" s="517"/>
    </row>
    <row r="209" spans="16:41">
      <c r="Z209" s="517"/>
      <c r="AA209" s="517"/>
      <c r="AB209" s="517"/>
      <c r="AC209" s="517"/>
      <c r="AD209" s="517"/>
      <c r="AE209" s="517"/>
      <c r="AF209" s="517"/>
      <c r="AG209" s="517"/>
      <c r="AH209" s="517"/>
      <c r="AI209" s="517"/>
      <c r="AJ209" s="517"/>
      <c r="AK209" s="517"/>
      <c r="AL209" s="517"/>
      <c r="AM209" s="517"/>
      <c r="AN209" s="517"/>
      <c r="AO209" s="517"/>
    </row>
    <row r="210" spans="16:41">
      <c r="Z210" s="517"/>
      <c r="AA210" s="517"/>
      <c r="AB210" s="517"/>
      <c r="AC210" s="517"/>
      <c r="AD210" s="517"/>
      <c r="AE210" s="517"/>
      <c r="AF210" s="517"/>
      <c r="AG210" s="517"/>
      <c r="AH210" s="517"/>
      <c r="AI210" s="517"/>
      <c r="AJ210" s="517"/>
      <c r="AK210" s="517"/>
      <c r="AL210" s="517"/>
      <c r="AM210" s="517"/>
      <c r="AN210" s="517"/>
      <c r="AO210" s="517"/>
    </row>
    <row r="211" spans="16:41">
      <c r="Z211" s="517"/>
      <c r="AA211" s="517"/>
      <c r="AB211" s="517"/>
      <c r="AC211" s="517"/>
      <c r="AD211" s="517"/>
      <c r="AE211" s="517"/>
      <c r="AF211" s="517"/>
      <c r="AG211" s="517"/>
      <c r="AH211" s="517"/>
      <c r="AI211" s="517"/>
      <c r="AJ211" s="517"/>
      <c r="AK211" s="517"/>
      <c r="AL211" s="517"/>
      <c r="AM211" s="517"/>
      <c r="AN211" s="517"/>
      <c r="AO211" s="517"/>
    </row>
    <row r="212" spans="16:41">
      <c r="Z212" s="517"/>
      <c r="AA212" s="517"/>
      <c r="AB212" s="517"/>
      <c r="AC212" s="517"/>
      <c r="AD212" s="517"/>
      <c r="AE212" s="517"/>
      <c r="AF212" s="517"/>
      <c r="AG212" s="517"/>
      <c r="AH212" s="517"/>
      <c r="AI212" s="517"/>
      <c r="AJ212" s="517"/>
      <c r="AK212" s="517"/>
      <c r="AL212" s="517"/>
      <c r="AM212" s="517"/>
      <c r="AN212" s="517"/>
      <c r="AO212" s="517"/>
    </row>
    <row r="213" spans="16:41">
      <c r="Z213" s="517"/>
      <c r="AA213" s="517"/>
      <c r="AB213" s="517"/>
      <c r="AC213" s="517"/>
      <c r="AD213" s="517"/>
      <c r="AE213" s="517"/>
      <c r="AF213" s="517"/>
      <c r="AG213" s="517"/>
      <c r="AH213" s="517"/>
      <c r="AI213" s="517"/>
      <c r="AJ213" s="517"/>
      <c r="AK213" s="517"/>
      <c r="AL213" s="517"/>
      <c r="AM213" s="517"/>
      <c r="AN213" s="517"/>
      <c r="AO213" s="517"/>
    </row>
    <row r="214" spans="16:41">
      <c r="Z214" s="517"/>
      <c r="AA214" s="517"/>
      <c r="AB214" s="517"/>
      <c r="AC214" s="517"/>
      <c r="AD214" s="517"/>
      <c r="AE214" s="517"/>
      <c r="AF214" s="517"/>
      <c r="AG214" s="517"/>
      <c r="AH214" s="517"/>
      <c r="AI214" s="517"/>
      <c r="AJ214" s="517"/>
      <c r="AK214" s="517"/>
      <c r="AL214" s="517"/>
      <c r="AM214" s="517"/>
      <c r="AN214" s="517"/>
      <c r="AO214" s="517"/>
    </row>
    <row r="215" spans="16:41">
      <c r="Z215" s="517"/>
      <c r="AA215" s="517"/>
      <c r="AB215" s="517"/>
      <c r="AC215" s="517"/>
      <c r="AD215" s="517"/>
      <c r="AE215" s="517"/>
      <c r="AF215" s="517"/>
      <c r="AG215" s="517"/>
      <c r="AH215" s="517"/>
      <c r="AI215" s="517"/>
      <c r="AJ215" s="517"/>
      <c r="AK215" s="517"/>
      <c r="AL215" s="517"/>
      <c r="AM215" s="517"/>
      <c r="AN215" s="517"/>
      <c r="AO215" s="517"/>
    </row>
    <row r="216" spans="16:41">
      <c r="Z216" s="517"/>
      <c r="AA216" s="517"/>
      <c r="AB216" s="517"/>
      <c r="AC216" s="517"/>
      <c r="AD216" s="517"/>
      <c r="AE216" s="517"/>
      <c r="AF216" s="517"/>
      <c r="AG216" s="517"/>
      <c r="AH216" s="517"/>
      <c r="AI216" s="517"/>
      <c r="AJ216" s="517"/>
      <c r="AK216" s="517"/>
      <c r="AL216" s="517"/>
      <c r="AM216" s="517"/>
      <c r="AN216" s="517"/>
      <c r="AO216" s="517"/>
    </row>
    <row r="223" spans="16:41">
      <c r="P223" s="544"/>
    </row>
  </sheetData>
  <mergeCells count="8">
    <mergeCell ref="A66:C66"/>
    <mergeCell ref="A128:C128"/>
    <mergeCell ref="A1:R1"/>
    <mergeCell ref="A2:R2"/>
    <mergeCell ref="AI5:AJ5"/>
    <mergeCell ref="AK5:AL5"/>
    <mergeCell ref="AI32:AJ32"/>
    <mergeCell ref="AK32:AL3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BP221"/>
  <sheetViews>
    <sheetView topLeftCell="A100" workbookViewId="0">
      <selection activeCell="V17" sqref="V17"/>
    </sheetView>
  </sheetViews>
  <sheetFormatPr defaultRowHeight="15"/>
  <cols>
    <col min="1" max="1" width="11.85546875" style="68" customWidth="1"/>
    <col min="2" max="18" width="7.7109375" style="507" customWidth="1"/>
    <col min="19" max="236" width="9.140625" style="68"/>
    <col min="237" max="237" width="11.85546875" style="68" customWidth="1"/>
    <col min="238" max="278" width="8.85546875" style="68" customWidth="1"/>
    <col min="279" max="492" width="9.140625" style="68"/>
    <col min="493" max="493" width="11.85546875" style="68" customWidth="1"/>
    <col min="494" max="534" width="8.85546875" style="68" customWidth="1"/>
    <col min="535" max="748" width="9.140625" style="68"/>
    <col min="749" max="749" width="11.85546875" style="68" customWidth="1"/>
    <col min="750" max="790" width="8.85546875" style="68" customWidth="1"/>
    <col min="791" max="1004" width="9.140625" style="68"/>
    <col min="1005" max="1005" width="11.85546875" style="68" customWidth="1"/>
    <col min="1006" max="1046" width="8.85546875" style="68" customWidth="1"/>
    <col min="1047" max="1260" width="9.140625" style="68"/>
    <col min="1261" max="1261" width="11.85546875" style="68" customWidth="1"/>
    <col min="1262" max="1302" width="8.85546875" style="68" customWidth="1"/>
    <col min="1303" max="1516" width="9.140625" style="68"/>
    <col min="1517" max="1517" width="11.85546875" style="68" customWidth="1"/>
    <col min="1518" max="1558" width="8.85546875" style="68" customWidth="1"/>
    <col min="1559" max="1772" width="9.140625" style="68"/>
    <col min="1773" max="1773" width="11.85546875" style="68" customWidth="1"/>
    <col min="1774" max="1814" width="8.85546875" style="68" customWidth="1"/>
    <col min="1815" max="2028" width="9.140625" style="68"/>
    <col min="2029" max="2029" width="11.85546875" style="68" customWidth="1"/>
    <col min="2030" max="2070" width="8.85546875" style="68" customWidth="1"/>
    <col min="2071" max="2284" width="9.140625" style="68"/>
    <col min="2285" max="2285" width="11.85546875" style="68" customWidth="1"/>
    <col min="2286" max="2326" width="8.85546875" style="68" customWidth="1"/>
    <col min="2327" max="2540" width="9.140625" style="68"/>
    <col min="2541" max="2541" width="11.85546875" style="68" customWidth="1"/>
    <col min="2542" max="2582" width="8.85546875" style="68" customWidth="1"/>
    <col min="2583" max="2796" width="9.140625" style="68"/>
    <col min="2797" max="2797" width="11.85546875" style="68" customWidth="1"/>
    <col min="2798" max="2838" width="8.85546875" style="68" customWidth="1"/>
    <col min="2839" max="3052" width="9.140625" style="68"/>
    <col min="3053" max="3053" width="11.85546875" style="68" customWidth="1"/>
    <col min="3054" max="3094" width="8.85546875" style="68" customWidth="1"/>
    <col min="3095" max="3308" width="9.140625" style="68"/>
    <col min="3309" max="3309" width="11.85546875" style="68" customWidth="1"/>
    <col min="3310" max="3350" width="8.85546875" style="68" customWidth="1"/>
    <col min="3351" max="3564" width="9.140625" style="68"/>
    <col min="3565" max="3565" width="11.85546875" style="68" customWidth="1"/>
    <col min="3566" max="3606" width="8.85546875" style="68" customWidth="1"/>
    <col min="3607" max="3820" width="9.140625" style="68"/>
    <col min="3821" max="3821" width="11.85546875" style="68" customWidth="1"/>
    <col min="3822" max="3862" width="8.85546875" style="68" customWidth="1"/>
    <col min="3863" max="4076" width="9.140625" style="68"/>
    <col min="4077" max="4077" width="11.85546875" style="68" customWidth="1"/>
    <col min="4078" max="4118" width="8.85546875" style="68" customWidth="1"/>
    <col min="4119" max="4332" width="9.140625" style="68"/>
    <col min="4333" max="4333" width="11.85546875" style="68" customWidth="1"/>
    <col min="4334" max="4374" width="8.85546875" style="68" customWidth="1"/>
    <col min="4375" max="4588" width="9.140625" style="68"/>
    <col min="4589" max="4589" width="11.85546875" style="68" customWidth="1"/>
    <col min="4590" max="4630" width="8.85546875" style="68" customWidth="1"/>
    <col min="4631" max="4844" width="9.140625" style="68"/>
    <col min="4845" max="4845" width="11.85546875" style="68" customWidth="1"/>
    <col min="4846" max="4886" width="8.85546875" style="68" customWidth="1"/>
    <col min="4887" max="5100" width="9.140625" style="68"/>
    <col min="5101" max="5101" width="11.85546875" style="68" customWidth="1"/>
    <col min="5102" max="5142" width="8.85546875" style="68" customWidth="1"/>
    <col min="5143" max="5356" width="9.140625" style="68"/>
    <col min="5357" max="5357" width="11.85546875" style="68" customWidth="1"/>
    <col min="5358" max="5398" width="8.85546875" style="68" customWidth="1"/>
    <col min="5399" max="5612" width="9.140625" style="68"/>
    <col min="5613" max="5613" width="11.85546875" style="68" customWidth="1"/>
    <col min="5614" max="5654" width="8.85546875" style="68" customWidth="1"/>
    <col min="5655" max="5868" width="9.140625" style="68"/>
    <col min="5869" max="5869" width="11.85546875" style="68" customWidth="1"/>
    <col min="5870" max="5910" width="8.85546875" style="68" customWidth="1"/>
    <col min="5911" max="6124" width="9.140625" style="68"/>
    <col min="6125" max="6125" width="11.85546875" style="68" customWidth="1"/>
    <col min="6126" max="6166" width="8.85546875" style="68" customWidth="1"/>
    <col min="6167" max="6380" width="9.140625" style="68"/>
    <col min="6381" max="6381" width="11.85546875" style="68" customWidth="1"/>
    <col min="6382" max="6422" width="8.85546875" style="68" customWidth="1"/>
    <col min="6423" max="6636" width="9.140625" style="68"/>
    <col min="6637" max="6637" width="11.85546875" style="68" customWidth="1"/>
    <col min="6638" max="6678" width="8.85546875" style="68" customWidth="1"/>
    <col min="6679" max="6892" width="9.140625" style="68"/>
    <col min="6893" max="6893" width="11.85546875" style="68" customWidth="1"/>
    <col min="6894" max="6934" width="8.85546875" style="68" customWidth="1"/>
    <col min="6935" max="7148" width="9.140625" style="68"/>
    <col min="7149" max="7149" width="11.85546875" style="68" customWidth="1"/>
    <col min="7150" max="7190" width="8.85546875" style="68" customWidth="1"/>
    <col min="7191" max="7404" width="9.140625" style="68"/>
    <col min="7405" max="7405" width="11.85546875" style="68" customWidth="1"/>
    <col min="7406" max="7446" width="8.85546875" style="68" customWidth="1"/>
    <col min="7447" max="7660" width="9.140625" style="68"/>
    <col min="7661" max="7661" width="11.85546875" style="68" customWidth="1"/>
    <col min="7662" max="7702" width="8.85546875" style="68" customWidth="1"/>
    <col min="7703" max="7916" width="9.140625" style="68"/>
    <col min="7917" max="7917" width="11.85546875" style="68" customWidth="1"/>
    <col min="7918" max="7958" width="8.85546875" style="68" customWidth="1"/>
    <col min="7959" max="8172" width="9.140625" style="68"/>
    <col min="8173" max="8173" width="11.85546875" style="68" customWidth="1"/>
    <col min="8174" max="8214" width="8.85546875" style="68" customWidth="1"/>
    <col min="8215" max="8428" width="9.140625" style="68"/>
    <col min="8429" max="8429" width="11.85546875" style="68" customWidth="1"/>
    <col min="8430" max="8470" width="8.85546875" style="68" customWidth="1"/>
    <col min="8471" max="8684" width="9.140625" style="68"/>
    <col min="8685" max="8685" width="11.85546875" style="68" customWidth="1"/>
    <col min="8686" max="8726" width="8.85546875" style="68" customWidth="1"/>
    <col min="8727" max="8940" width="9.140625" style="68"/>
    <col min="8941" max="8941" width="11.85546875" style="68" customWidth="1"/>
    <col min="8942" max="8982" width="8.85546875" style="68" customWidth="1"/>
    <col min="8983" max="9196" width="9.140625" style="68"/>
    <col min="9197" max="9197" width="11.85546875" style="68" customWidth="1"/>
    <col min="9198" max="9238" width="8.85546875" style="68" customWidth="1"/>
    <col min="9239" max="9452" width="9.140625" style="68"/>
    <col min="9453" max="9453" width="11.85546875" style="68" customWidth="1"/>
    <col min="9454" max="9494" width="8.85546875" style="68" customWidth="1"/>
    <col min="9495" max="9708" width="9.140625" style="68"/>
    <col min="9709" max="9709" width="11.85546875" style="68" customWidth="1"/>
    <col min="9710" max="9750" width="8.85546875" style="68" customWidth="1"/>
    <col min="9751" max="9964" width="9.140625" style="68"/>
    <col min="9965" max="9965" width="11.85546875" style="68" customWidth="1"/>
    <col min="9966" max="10006" width="8.85546875" style="68" customWidth="1"/>
    <col min="10007" max="10220" width="9.140625" style="68"/>
    <col min="10221" max="10221" width="11.85546875" style="68" customWidth="1"/>
    <col min="10222" max="10262" width="8.85546875" style="68" customWidth="1"/>
    <col min="10263" max="10476" width="9.140625" style="68"/>
    <col min="10477" max="10477" width="11.85546875" style="68" customWidth="1"/>
    <col min="10478" max="10518" width="8.85546875" style="68" customWidth="1"/>
    <col min="10519" max="10732" width="9.140625" style="68"/>
    <col min="10733" max="10733" width="11.85546875" style="68" customWidth="1"/>
    <col min="10734" max="10774" width="8.85546875" style="68" customWidth="1"/>
    <col min="10775" max="10988" width="9.140625" style="68"/>
    <col min="10989" max="10989" width="11.85546875" style="68" customWidth="1"/>
    <col min="10990" max="11030" width="8.85546875" style="68" customWidth="1"/>
    <col min="11031" max="11244" width="9.140625" style="68"/>
    <col min="11245" max="11245" width="11.85546875" style="68" customWidth="1"/>
    <col min="11246" max="11286" width="8.85546875" style="68" customWidth="1"/>
    <col min="11287" max="11500" width="9.140625" style="68"/>
    <col min="11501" max="11501" width="11.85546875" style="68" customWidth="1"/>
    <col min="11502" max="11542" width="8.85546875" style="68" customWidth="1"/>
    <col min="11543" max="11756" width="9.140625" style="68"/>
    <col min="11757" max="11757" width="11.85546875" style="68" customWidth="1"/>
    <col min="11758" max="11798" width="8.85546875" style="68" customWidth="1"/>
    <col min="11799" max="12012" width="9.140625" style="68"/>
    <col min="12013" max="12013" width="11.85546875" style="68" customWidth="1"/>
    <col min="12014" max="12054" width="8.85546875" style="68" customWidth="1"/>
    <col min="12055" max="12268" width="9.140625" style="68"/>
    <col min="12269" max="12269" width="11.85546875" style="68" customWidth="1"/>
    <col min="12270" max="12310" width="8.85546875" style="68" customWidth="1"/>
    <col min="12311" max="12524" width="9.140625" style="68"/>
    <col min="12525" max="12525" width="11.85546875" style="68" customWidth="1"/>
    <col min="12526" max="12566" width="8.85546875" style="68" customWidth="1"/>
    <col min="12567" max="12780" width="9.140625" style="68"/>
    <col min="12781" max="12781" width="11.85546875" style="68" customWidth="1"/>
    <col min="12782" max="12822" width="8.85546875" style="68" customWidth="1"/>
    <col min="12823" max="13036" width="9.140625" style="68"/>
    <col min="13037" max="13037" width="11.85546875" style="68" customWidth="1"/>
    <col min="13038" max="13078" width="8.85546875" style="68" customWidth="1"/>
    <col min="13079" max="13292" width="9.140625" style="68"/>
    <col min="13293" max="13293" width="11.85546875" style="68" customWidth="1"/>
    <col min="13294" max="13334" width="8.85546875" style="68" customWidth="1"/>
    <col min="13335" max="13548" width="9.140625" style="68"/>
    <col min="13549" max="13549" width="11.85546875" style="68" customWidth="1"/>
    <col min="13550" max="13590" width="8.85546875" style="68" customWidth="1"/>
    <col min="13591" max="13804" width="9.140625" style="68"/>
    <col min="13805" max="13805" width="11.85546875" style="68" customWidth="1"/>
    <col min="13806" max="13846" width="8.85546875" style="68" customWidth="1"/>
    <col min="13847" max="14060" width="9.140625" style="68"/>
    <col min="14061" max="14061" width="11.85546875" style="68" customWidth="1"/>
    <col min="14062" max="14102" width="8.85546875" style="68" customWidth="1"/>
    <col min="14103" max="14316" width="9.140625" style="68"/>
    <col min="14317" max="14317" width="11.85546875" style="68" customWidth="1"/>
    <col min="14318" max="14358" width="8.85546875" style="68" customWidth="1"/>
    <col min="14359" max="14572" width="9.140625" style="68"/>
    <col min="14573" max="14573" width="11.85546875" style="68" customWidth="1"/>
    <col min="14574" max="14614" width="8.85546875" style="68" customWidth="1"/>
    <col min="14615" max="14828" width="9.140625" style="68"/>
    <col min="14829" max="14829" width="11.85546875" style="68" customWidth="1"/>
    <col min="14830" max="14870" width="8.85546875" style="68" customWidth="1"/>
    <col min="14871" max="15084" width="9.140625" style="68"/>
    <col min="15085" max="15085" width="11.85546875" style="68" customWidth="1"/>
    <col min="15086" max="15126" width="8.85546875" style="68" customWidth="1"/>
    <col min="15127" max="15340" width="9.140625" style="68"/>
    <col min="15341" max="15341" width="11.85546875" style="68" customWidth="1"/>
    <col min="15342" max="15382" width="8.85546875" style="68" customWidth="1"/>
    <col min="15383" max="15596" width="9.140625" style="68"/>
    <col min="15597" max="15597" width="11.85546875" style="68" customWidth="1"/>
    <col min="15598" max="15638" width="8.85546875" style="68" customWidth="1"/>
    <col min="15639" max="15852" width="9.140625" style="68"/>
    <col min="15853" max="15853" width="11.85546875" style="68" customWidth="1"/>
    <col min="15854" max="15894" width="8.85546875" style="68" customWidth="1"/>
    <col min="15895" max="16108" width="9.140625" style="68"/>
    <col min="16109" max="16109" width="11.85546875" style="68" customWidth="1"/>
    <col min="16110" max="16150" width="8.85546875" style="68" customWidth="1"/>
    <col min="16151" max="16384" width="9.140625" style="68"/>
  </cols>
  <sheetData>
    <row r="1" spans="1:43" ht="18.75">
      <c r="A1" s="1436" t="s">
        <v>865</v>
      </c>
      <c r="B1" s="1436"/>
      <c r="C1" s="1436"/>
      <c r="D1" s="1436"/>
      <c r="E1" s="1436"/>
      <c r="F1" s="1436"/>
      <c r="G1" s="1436"/>
      <c r="H1" s="1436"/>
      <c r="I1" s="1436"/>
      <c r="J1" s="1436"/>
      <c r="K1" s="1436"/>
      <c r="L1" s="1436"/>
      <c r="M1" s="1436"/>
      <c r="N1" s="1436"/>
      <c r="O1" s="1436"/>
      <c r="P1" s="1436"/>
      <c r="Q1" s="1436"/>
      <c r="R1" s="1436"/>
    </row>
    <row r="2" spans="1:43" ht="15.75">
      <c r="A2" s="1437" t="s">
        <v>866</v>
      </c>
      <c r="B2" s="1437"/>
      <c r="C2" s="1437"/>
      <c r="D2" s="1437"/>
      <c r="E2" s="1437"/>
      <c r="F2" s="1437"/>
      <c r="G2" s="1437"/>
      <c r="H2" s="1437"/>
      <c r="I2" s="1437"/>
      <c r="J2" s="1437"/>
      <c r="K2" s="1437"/>
      <c r="L2" s="1437"/>
      <c r="M2" s="1437"/>
      <c r="N2" s="1437"/>
      <c r="O2" s="1437"/>
      <c r="P2" s="1437"/>
      <c r="Q2" s="1437"/>
      <c r="R2" s="1437"/>
    </row>
    <row r="3" spans="1:43" ht="15.75">
      <c r="A3" s="546"/>
      <c r="B3" s="546"/>
      <c r="C3" s="546"/>
      <c r="D3" s="546"/>
      <c r="E3" s="546"/>
      <c r="F3" s="546"/>
      <c r="G3" s="546"/>
      <c r="H3" s="546"/>
      <c r="I3" s="546"/>
      <c r="J3" s="546"/>
      <c r="K3" s="546"/>
      <c r="L3" s="546"/>
      <c r="M3" s="546"/>
      <c r="N3" s="546"/>
      <c r="O3" s="546"/>
      <c r="P3" s="546"/>
      <c r="Q3" s="546"/>
      <c r="R3" s="546"/>
    </row>
    <row r="4" spans="1:43" ht="18.75">
      <c r="A4" s="506" t="s">
        <v>864</v>
      </c>
      <c r="C4" s="537"/>
      <c r="D4" s="537"/>
      <c r="E4" s="537"/>
      <c r="F4" s="537"/>
      <c r="G4" s="537"/>
      <c r="H4" s="537"/>
      <c r="I4" s="537"/>
      <c r="J4" s="537"/>
      <c r="K4" s="537"/>
      <c r="L4" s="537"/>
      <c r="M4" s="537"/>
      <c r="N4" s="537"/>
      <c r="O4" s="537"/>
      <c r="P4" s="537"/>
      <c r="Q4" s="537"/>
      <c r="R4" s="538" t="s">
        <v>867</v>
      </c>
      <c r="S4" s="508"/>
      <c r="T4" s="508"/>
      <c r="U4" s="508"/>
      <c r="V4" s="508"/>
      <c r="W4" s="508"/>
      <c r="X4" s="508"/>
      <c r="Y4" s="508"/>
      <c r="Z4" s="508"/>
      <c r="AA4" s="508"/>
      <c r="AB4" s="508"/>
      <c r="AC4" s="508"/>
      <c r="AD4" s="508"/>
      <c r="AE4" s="508"/>
      <c r="AF4" s="508"/>
      <c r="AM4" s="508"/>
    </row>
    <row r="5" spans="1:43" s="547" customFormat="1">
      <c r="A5" s="510" t="s">
        <v>802</v>
      </c>
      <c r="B5" s="511">
        <v>2014</v>
      </c>
      <c r="C5" s="511">
        <v>2015</v>
      </c>
      <c r="D5" s="511">
        <v>2016</v>
      </c>
      <c r="E5" s="511">
        <v>2017</v>
      </c>
      <c r="F5" s="511">
        <v>2018</v>
      </c>
      <c r="G5" s="511">
        <v>2019</v>
      </c>
      <c r="H5" s="511">
        <v>2020</v>
      </c>
      <c r="I5" s="511">
        <v>2021</v>
      </c>
      <c r="J5" s="511">
        <v>2022</v>
      </c>
      <c r="K5" s="511">
        <v>2023</v>
      </c>
      <c r="L5" s="511">
        <v>2024</v>
      </c>
      <c r="M5" s="511">
        <v>2025</v>
      </c>
      <c r="N5" s="511">
        <v>2026</v>
      </c>
      <c r="O5" s="511">
        <v>2027</v>
      </c>
      <c r="P5" s="511">
        <v>2028</v>
      </c>
      <c r="Q5" s="511">
        <v>2029</v>
      </c>
      <c r="R5" s="511">
        <v>2030</v>
      </c>
      <c r="T5" s="513"/>
      <c r="U5" s="513"/>
      <c r="V5" s="513"/>
      <c r="W5" s="513"/>
      <c r="X5" s="513"/>
      <c r="Y5" s="513"/>
      <c r="Z5" s="513"/>
      <c r="AA5" s="513"/>
      <c r="AB5" s="513"/>
      <c r="AC5" s="513"/>
      <c r="AD5" s="513"/>
      <c r="AE5" s="513"/>
      <c r="AF5" s="513"/>
      <c r="AH5" s="1441" t="s">
        <v>848</v>
      </c>
      <c r="AI5" s="1441"/>
      <c r="AJ5" s="1442" t="s">
        <v>849</v>
      </c>
      <c r="AK5" s="1442"/>
      <c r="AL5" s="513"/>
      <c r="AM5" s="513"/>
    </row>
    <row r="6" spans="1:43">
      <c r="A6" s="542" t="s">
        <v>21</v>
      </c>
      <c r="B6" s="551">
        <f>SUM(B7:B23)</f>
        <v>49847.959860787167</v>
      </c>
      <c r="C6" s="551">
        <f t="shared" ref="C6:R6" si="0">SUM(C7:C23)</f>
        <v>54015.984247896507</v>
      </c>
      <c r="D6" s="551">
        <f t="shared" si="0"/>
        <v>58594.059412341274</v>
      </c>
      <c r="E6" s="551">
        <f t="shared" si="0"/>
        <v>63624.565212042042</v>
      </c>
      <c r="F6" s="551">
        <f t="shared" si="0"/>
        <v>69154.318994759131</v>
      </c>
      <c r="G6" s="551">
        <f t="shared" si="0"/>
        <v>75235.041775670485</v>
      </c>
      <c r="H6" s="551">
        <f t="shared" si="0"/>
        <v>81923.873429646745</v>
      </c>
      <c r="I6" s="551">
        <f t="shared" si="0"/>
        <v>84014.129927177171</v>
      </c>
      <c r="J6" s="551">
        <f t="shared" si="0"/>
        <v>86157.732030215891</v>
      </c>
      <c r="K6" s="551">
        <f t="shared" si="0"/>
        <v>88356.041529246577</v>
      </c>
      <c r="L6" s="551">
        <f t="shared" si="0"/>
        <v>90610.454987350851</v>
      </c>
      <c r="M6" s="551">
        <f t="shared" si="0"/>
        <v>92922.404628349163</v>
      </c>
      <c r="N6" s="551">
        <f t="shared" si="0"/>
        <v>95293.359247631844</v>
      </c>
      <c r="O6" s="551">
        <f t="shared" si="0"/>
        <v>97724.825146261312</v>
      </c>
      <c r="P6" s="551">
        <f t="shared" si="0"/>
        <v>100218.34708893904</v>
      </c>
      <c r="Q6" s="551">
        <f t="shared" si="0"/>
        <v>102775.50928644801</v>
      </c>
      <c r="R6" s="551">
        <f t="shared" si="0"/>
        <v>105397.93640319539</v>
      </c>
      <c r="T6" s="517"/>
      <c r="U6" s="517"/>
      <c r="V6" s="517"/>
      <c r="W6" s="517"/>
      <c r="X6" s="517"/>
      <c r="Y6" s="517"/>
      <c r="Z6" s="517"/>
      <c r="AA6" s="517"/>
      <c r="AB6" s="517"/>
      <c r="AC6" s="517"/>
      <c r="AD6" s="517"/>
      <c r="AE6" s="517"/>
      <c r="AF6" s="517"/>
      <c r="AG6" s="512"/>
      <c r="AH6" s="512" t="s">
        <v>22</v>
      </c>
      <c r="AI6" s="512" t="s">
        <v>23</v>
      </c>
      <c r="AJ6" s="512" t="s">
        <v>22</v>
      </c>
      <c r="AK6" s="512" t="s">
        <v>23</v>
      </c>
      <c r="AM6" s="517"/>
    </row>
    <row r="7" spans="1:43">
      <c r="A7" s="518" t="s">
        <v>803</v>
      </c>
      <c r="B7" s="518">
        <v>18.766077166545017</v>
      </c>
      <c r="C7" s="518">
        <v>20.266742913215772</v>
      </c>
      <c r="D7" s="518">
        <v>21.912776317183834</v>
      </c>
      <c r="E7" s="518">
        <v>23.719137653476196</v>
      </c>
      <c r="F7" s="518">
        <v>25.702351938539643</v>
      </c>
      <c r="G7" s="518">
        <v>27.880673267829728</v>
      </c>
      <c r="H7" s="518">
        <v>30.274266430936898</v>
      </c>
      <c r="I7" s="518">
        <v>31.047857221944746</v>
      </c>
      <c r="J7" s="518">
        <v>31.841221056152222</v>
      </c>
      <c r="K7" s="518">
        <v>32.654863482116795</v>
      </c>
      <c r="L7" s="518">
        <v>33.489302977901694</v>
      </c>
      <c r="M7" s="518">
        <v>34.34507128185129</v>
      </c>
      <c r="N7" s="518">
        <v>35.222713731831369</v>
      </c>
      <c r="O7" s="518">
        <v>36.12278961315085</v>
      </c>
      <c r="P7" s="518">
        <v>37.045872515387366</v>
      </c>
      <c r="Q7" s="518">
        <v>37.992550698344552</v>
      </c>
      <c r="R7" s="518">
        <v>38.963427467374743</v>
      </c>
      <c r="T7" s="517"/>
      <c r="U7" s="517"/>
      <c r="V7" s="517"/>
      <c r="W7" s="517"/>
      <c r="X7" s="517"/>
      <c r="Y7" s="517"/>
      <c r="Z7" s="517"/>
      <c r="AA7" s="517"/>
      <c r="AB7" s="517"/>
      <c r="AC7" s="517"/>
      <c r="AD7" s="517"/>
      <c r="AE7" s="517"/>
      <c r="AF7" s="517"/>
      <c r="AG7" s="512" t="s">
        <v>804</v>
      </c>
      <c r="AH7" s="548">
        <v>-3.3288013647467469</v>
      </c>
      <c r="AI7" s="548">
        <v>3.3288013647467469</v>
      </c>
      <c r="AJ7" s="548">
        <v>-19.044749209046152</v>
      </c>
      <c r="AK7" s="548">
        <v>0</v>
      </c>
      <c r="AL7" s="523"/>
      <c r="AM7" s="517"/>
    </row>
    <row r="8" spans="1:43">
      <c r="A8" s="518" t="s">
        <v>805</v>
      </c>
      <c r="B8" s="518">
        <v>12.055049652821516</v>
      </c>
      <c r="C8" s="518">
        <v>12.849910474643041</v>
      </c>
      <c r="D8" s="518">
        <v>13.715908801833168</v>
      </c>
      <c r="E8" s="518">
        <v>14.660198056191643</v>
      </c>
      <c r="F8" s="518">
        <v>15.690675347016834</v>
      </c>
      <c r="G8" s="518">
        <v>16.816059457699996</v>
      </c>
      <c r="H8" s="518">
        <v>18.045977028243328</v>
      </c>
      <c r="I8" s="518">
        <v>18.510007199214392</v>
      </c>
      <c r="J8" s="518">
        <v>18.985973848979242</v>
      </c>
      <c r="K8" s="518">
        <v>19.474184142522901</v>
      </c>
      <c r="L8" s="518">
        <v>19.974953152232128</v>
      </c>
      <c r="M8" s="518">
        <v>20.488604061535618</v>
      </c>
      <c r="N8" s="518">
        <v>21.015468373790604</v>
      </c>
      <c r="O8" s="518">
        <v>21.555886126551144</v>
      </c>
      <c r="P8" s="518">
        <v>22.110206111356668</v>
      </c>
      <c r="Q8" s="518">
        <v>22.678786099183156</v>
      </c>
      <c r="R8" s="518">
        <v>23.261993071702843</v>
      </c>
      <c r="T8" s="517"/>
      <c r="U8" s="517"/>
      <c r="V8" s="517"/>
      <c r="W8" s="517"/>
      <c r="X8" s="517"/>
      <c r="Y8" s="517"/>
      <c r="Z8" s="517"/>
      <c r="AA8" s="517"/>
      <c r="AB8" s="517"/>
      <c r="AC8" s="517"/>
      <c r="AD8" s="517"/>
      <c r="AE8" s="517"/>
      <c r="AF8" s="517"/>
      <c r="AG8" s="512" t="s">
        <v>806</v>
      </c>
      <c r="AH8" s="548">
        <v>-5.548002274577911</v>
      </c>
      <c r="AI8" s="548">
        <v>1.1096004549155822</v>
      </c>
      <c r="AJ8" s="548">
        <v>-2.3805936511307686</v>
      </c>
      <c r="AK8" s="548">
        <v>6.6524789663925734</v>
      </c>
      <c r="AL8" s="523"/>
      <c r="AM8" s="517"/>
    </row>
    <row r="9" spans="1:43">
      <c r="A9" s="518" t="s">
        <v>807</v>
      </c>
      <c r="B9" s="518">
        <v>9.5957596458181271</v>
      </c>
      <c r="C9" s="518">
        <v>9.9743147405844255</v>
      </c>
      <c r="D9" s="518">
        <v>10.376071172869873</v>
      </c>
      <c r="E9" s="518">
        <v>10.803031482042623</v>
      </c>
      <c r="F9" s="518">
        <v>11.257397290455426</v>
      </c>
      <c r="G9" s="518">
        <v>11.741589937582219</v>
      </c>
      <c r="H9" s="518">
        <v>12.258273276268659</v>
      </c>
      <c r="I9" s="518">
        <v>12.578185058372133</v>
      </c>
      <c r="J9" s="518">
        <v>12.906448111248313</v>
      </c>
      <c r="K9" s="518">
        <v>13.243280503770983</v>
      </c>
      <c r="L9" s="518">
        <v>13.588906000564551</v>
      </c>
      <c r="M9" s="518">
        <v>13.943554210810518</v>
      </c>
      <c r="N9" s="518">
        <v>14.307460740942641</v>
      </c>
      <c r="O9" s="518">
        <v>14.68086735133242</v>
      </c>
      <c r="P9" s="518">
        <v>15.064022117069246</v>
      </c>
      <c r="Q9" s="518">
        <v>15.457179592942214</v>
      </c>
      <c r="R9" s="518">
        <v>15.860600982733452</v>
      </c>
      <c r="T9" s="517"/>
      <c r="U9" s="517"/>
      <c r="V9" s="517"/>
      <c r="W9" s="517"/>
      <c r="X9" s="517"/>
      <c r="Y9" s="517"/>
      <c r="Z9" s="517"/>
      <c r="AA9" s="517"/>
      <c r="AB9" s="517"/>
      <c r="AC9" s="517"/>
      <c r="AD9" s="517"/>
      <c r="AE9" s="517"/>
      <c r="AF9" s="517"/>
      <c r="AG9" s="512" t="s">
        <v>808</v>
      </c>
      <c r="AH9" s="548">
        <v>-4.4384018196623281</v>
      </c>
      <c r="AI9" s="548">
        <v>4.4384018196623289</v>
      </c>
      <c r="AJ9" s="548">
        <v>-2.3805936511307686</v>
      </c>
      <c r="AK9" s="548">
        <v>0</v>
      </c>
      <c r="AL9" s="523"/>
      <c r="AM9" s="517"/>
    </row>
    <row r="10" spans="1:43">
      <c r="A10" s="518" t="s">
        <v>809</v>
      </c>
      <c r="B10" s="518">
        <v>1238.553122563166</v>
      </c>
      <c r="C10" s="518">
        <v>1304.8817862012054</v>
      </c>
      <c r="D10" s="518">
        <v>1376.5022903369825</v>
      </c>
      <c r="E10" s="518">
        <v>1453.926824379949</v>
      </c>
      <c r="F10" s="518">
        <v>1537.7202767299136</v>
      </c>
      <c r="G10" s="518">
        <v>1628.5057464004185</v>
      </c>
      <c r="H10" s="518">
        <v>1726.9706334938958</v>
      </c>
      <c r="I10" s="518">
        <v>1771.6615040527313</v>
      </c>
      <c r="J10" s="518">
        <v>1817.5093433462584</v>
      </c>
      <c r="K10" s="518">
        <v>1864.5441148734428</v>
      </c>
      <c r="L10" s="518">
        <v>1912.7965584349724</v>
      </c>
      <c r="M10" s="518">
        <v>1962.2982102535595</v>
      </c>
      <c r="N10" s="518">
        <v>2013.081423615931</v>
      </c>
      <c r="O10" s="518">
        <v>2065.1793900500197</v>
      </c>
      <c r="P10" s="518">
        <v>2118.6261610512565</v>
      </c>
      <c r="Q10" s="518">
        <v>2173.456670372193</v>
      </c>
      <c r="R10" s="518">
        <v>2229.7067568900688</v>
      </c>
      <c r="T10" s="517"/>
      <c r="U10" s="517"/>
      <c r="V10" s="517"/>
      <c r="W10" s="517"/>
      <c r="X10" s="517"/>
      <c r="Y10" s="517"/>
      <c r="Z10" s="517"/>
      <c r="AA10" s="517"/>
      <c r="AB10" s="517"/>
      <c r="AC10" s="517"/>
      <c r="AD10" s="517"/>
      <c r="AE10" s="517"/>
      <c r="AF10" s="517"/>
      <c r="AG10" s="512" t="s">
        <v>810</v>
      </c>
      <c r="AH10" s="548">
        <v>-857.72115164974502</v>
      </c>
      <c r="AI10" s="548">
        <v>42.164817286792122</v>
      </c>
      <c r="AJ10" s="548">
        <v>-554.67832071346902</v>
      </c>
      <c r="AK10" s="548">
        <v>83.155987079907163</v>
      </c>
      <c r="AL10" s="523"/>
      <c r="AM10" s="517"/>
      <c r="AN10" s="68">
        <v>3.3288013647467469</v>
      </c>
      <c r="AO10" s="68">
        <v>3.3288013647467469</v>
      </c>
      <c r="AP10" s="68">
        <v>19.044749209046152</v>
      </c>
      <c r="AQ10" s="68">
        <v>0</v>
      </c>
    </row>
    <row r="11" spans="1:43">
      <c r="A11" s="518" t="s">
        <v>811</v>
      </c>
      <c r="B11" s="518">
        <v>8785.6120026773096</v>
      </c>
      <c r="C11" s="518">
        <v>9425.1055225609507</v>
      </c>
      <c r="D11" s="518">
        <v>10124.36123272584</v>
      </c>
      <c r="E11" s="518">
        <v>10889.466980357949</v>
      </c>
      <c r="F11" s="518">
        <v>11727.145677490589</v>
      </c>
      <c r="G11" s="518">
        <v>12644.82195439423</v>
      </c>
      <c r="H11" s="518">
        <v>13650.695819356828</v>
      </c>
      <c r="I11" s="518">
        <v>14000.592072909454</v>
      </c>
      <c r="J11" s="518">
        <v>14359.459975993646</v>
      </c>
      <c r="K11" s="518">
        <v>14727.529649437422</v>
      </c>
      <c r="L11" s="518">
        <v>15105.037118692368</v>
      </c>
      <c r="M11" s="518">
        <v>15492.224465393161</v>
      </c>
      <c r="N11" s="518">
        <v>15889.339982808633</v>
      </c>
      <c r="O11" s="518">
        <v>16296.638335284484</v>
      </c>
      <c r="P11" s="518">
        <v>16714.380721780104</v>
      </c>
      <c r="Q11" s="518">
        <v>17142.83504360462</v>
      </c>
      <c r="R11" s="518">
        <v>17582.276076460148</v>
      </c>
      <c r="T11" s="517"/>
      <c r="U11" s="517"/>
      <c r="V11" s="517"/>
      <c r="W11" s="517"/>
      <c r="X11" s="517"/>
      <c r="Y11" s="517"/>
      <c r="Z11" s="517"/>
      <c r="AA11" s="517"/>
      <c r="AB11" s="517"/>
      <c r="AC11" s="517"/>
      <c r="AD11" s="517"/>
      <c r="AE11" s="517"/>
      <c r="AF11" s="517"/>
      <c r="AG11" s="512" t="s">
        <v>812</v>
      </c>
      <c r="AH11" s="548">
        <v>-3827.0119690038428</v>
      </c>
      <c r="AI11" s="548">
        <v>177.53607278649318</v>
      </c>
      <c r="AJ11" s="548">
        <v>-6977.5199914642799</v>
      </c>
      <c r="AK11" s="548">
        <v>745.07764423596825</v>
      </c>
      <c r="AL11" s="523"/>
      <c r="AM11" s="517"/>
      <c r="AN11" s="68">
        <v>5.548002274577911</v>
      </c>
      <c r="AO11" s="68">
        <v>1.1096004549155822</v>
      </c>
      <c r="AP11" s="68">
        <v>2.3805936511307686</v>
      </c>
      <c r="AQ11" s="68">
        <v>6.6524789663925734</v>
      </c>
    </row>
    <row r="12" spans="1:43">
      <c r="A12" s="518" t="s">
        <v>813</v>
      </c>
      <c r="B12" s="518">
        <v>13191.991030935629</v>
      </c>
      <c r="C12" s="518">
        <v>14332.036394293118</v>
      </c>
      <c r="D12" s="518">
        <v>15585.465455709333</v>
      </c>
      <c r="E12" s="518">
        <v>16964.031247305324</v>
      </c>
      <c r="F12" s="518">
        <v>18480.71835733869</v>
      </c>
      <c r="G12" s="518">
        <v>20149.872335004558</v>
      </c>
      <c r="H12" s="518">
        <v>21987.342701721387</v>
      </c>
      <c r="I12" s="518">
        <v>22547.71744000035</v>
      </c>
      <c r="J12" s="518">
        <v>23122.377240341069</v>
      </c>
      <c r="K12" s="518">
        <v>23711.686341410674</v>
      </c>
      <c r="L12" s="518">
        <v>24316.018271387711</v>
      </c>
      <c r="M12" s="518">
        <v>24935.756084938621</v>
      </c>
      <c r="N12" s="518">
        <v>25571.292606240924</v>
      </c>
      <c r="O12" s="518">
        <v>26223.030678207724</v>
      </c>
      <c r="P12" s="518">
        <v>26891.383418071378</v>
      </c>
      <c r="Q12" s="518">
        <v>27576.774479489097</v>
      </c>
      <c r="R12" s="518">
        <v>28279.638321336548</v>
      </c>
      <c r="T12" s="517"/>
      <c r="U12" s="517"/>
      <c r="V12" s="517"/>
      <c r="W12" s="517"/>
      <c r="X12" s="517"/>
      <c r="Y12" s="517"/>
      <c r="Z12" s="517"/>
      <c r="AA12" s="517"/>
      <c r="AB12" s="517"/>
      <c r="AC12" s="517"/>
      <c r="AD12" s="517"/>
      <c r="AE12" s="517"/>
      <c r="AF12" s="517"/>
      <c r="AG12" s="512" t="s">
        <v>814</v>
      </c>
      <c r="AH12" s="548">
        <v>-3382.0621865826952</v>
      </c>
      <c r="AI12" s="548">
        <v>99.864040942402369</v>
      </c>
      <c r="AJ12" s="548">
        <v>-13847.913268627679</v>
      </c>
      <c r="AK12" s="548">
        <v>1150.878861185915</v>
      </c>
      <c r="AL12" s="523"/>
      <c r="AM12" s="517"/>
      <c r="AN12" s="68">
        <v>4.4384018196623281</v>
      </c>
      <c r="AO12" s="68">
        <v>4.4384018196623289</v>
      </c>
      <c r="AP12" s="68">
        <v>2.3805936511307686</v>
      </c>
      <c r="AQ12" s="68">
        <v>0</v>
      </c>
    </row>
    <row r="13" spans="1:43" ht="12" customHeight="1">
      <c r="A13" s="507" t="s">
        <v>815</v>
      </c>
      <c r="B13" s="518">
        <v>10373.797445014663</v>
      </c>
      <c r="C13" s="518">
        <v>11291.708632991216</v>
      </c>
      <c r="D13" s="518">
        <v>12301.597485575447</v>
      </c>
      <c r="E13" s="518">
        <v>13413.017266165085</v>
      </c>
      <c r="F13" s="518">
        <v>14636.522799775175</v>
      </c>
      <c r="G13" s="518">
        <v>15983.775724853709</v>
      </c>
      <c r="H13" s="518">
        <v>17467.660812332047</v>
      </c>
      <c r="I13" s="518">
        <v>17912.489787108399</v>
      </c>
      <c r="J13" s="518">
        <v>18368.649017660431</v>
      </c>
      <c r="K13" s="518">
        <v>18836.427157699054</v>
      </c>
      <c r="L13" s="518">
        <v>19316.120216361462</v>
      </c>
      <c r="M13" s="518">
        <v>19808.031745682289</v>
      </c>
      <c r="N13" s="518">
        <v>20312.473032843882</v>
      </c>
      <c r="O13" s="518">
        <v>20829.76329732779</v>
      </c>
      <c r="P13" s="518">
        <v>21360.229893092346</v>
      </c>
      <c r="Q13" s="518">
        <v>21904.208515904375</v>
      </c>
      <c r="R13" s="518">
        <v>22462.043415956756</v>
      </c>
      <c r="T13" s="517"/>
      <c r="U13" s="517"/>
      <c r="V13" s="517"/>
      <c r="W13" s="517"/>
      <c r="X13" s="517"/>
      <c r="Y13" s="517"/>
      <c r="Z13" s="517"/>
      <c r="AA13" s="517"/>
      <c r="AB13" s="517"/>
      <c r="AC13" s="517"/>
      <c r="AD13" s="517"/>
      <c r="AE13" s="517"/>
      <c r="AF13" s="517"/>
      <c r="AG13" s="512" t="s">
        <v>816</v>
      </c>
      <c r="AH13" s="548">
        <v>-2387.8601789783343</v>
      </c>
      <c r="AI13" s="548">
        <v>48.822420016285619</v>
      </c>
      <c r="AJ13" s="548">
        <v>-11364.954090498286</v>
      </c>
      <c r="AK13" s="548">
        <v>834.88611028226796</v>
      </c>
      <c r="AL13" s="523"/>
      <c r="AM13" s="517"/>
      <c r="AN13" s="68">
        <v>857.72115164974502</v>
      </c>
      <c r="AO13" s="68">
        <v>42.164817286792122</v>
      </c>
      <c r="AP13" s="68">
        <v>554.67832071346902</v>
      </c>
      <c r="AQ13" s="68">
        <v>83.155987079907163</v>
      </c>
    </row>
    <row r="14" spans="1:43">
      <c r="A14" s="507" t="s">
        <v>817</v>
      </c>
      <c r="B14" s="518">
        <v>6826.0497161286039</v>
      </c>
      <c r="C14" s="518">
        <v>7436.9005328840703</v>
      </c>
      <c r="D14" s="518">
        <v>8109.1752633695614</v>
      </c>
      <c r="E14" s="518">
        <v>8849.2596400536368</v>
      </c>
      <c r="F14" s="518">
        <v>9664.2090322263539</v>
      </c>
      <c r="G14" s="518">
        <v>10561.818820781866</v>
      </c>
      <c r="H14" s="518">
        <v>11550.702173023963</v>
      </c>
      <c r="I14" s="518">
        <v>11844.737852484544</v>
      </c>
      <c r="J14" s="518">
        <v>12146.259970569556</v>
      </c>
      <c r="K14" s="518">
        <v>12455.459177137313</v>
      </c>
      <c r="L14" s="518">
        <v>12772.530978129274</v>
      </c>
      <c r="M14" s="518">
        <v>13097.675859286266</v>
      </c>
      <c r="N14" s="518">
        <v>13431.099413017226</v>
      </c>
      <c r="O14" s="518">
        <v>13773.012468500838</v>
      </c>
      <c r="P14" s="518">
        <v>14123.631225102463</v>
      </c>
      <c r="Q14" s="518">
        <v>14483.177389190856</v>
      </c>
      <c r="R14" s="518">
        <v>14851.878314441339</v>
      </c>
      <c r="T14" s="517"/>
      <c r="U14" s="517"/>
      <c r="V14" s="517"/>
      <c r="W14" s="517"/>
      <c r="X14" s="517"/>
      <c r="Y14" s="517"/>
      <c r="Z14" s="517"/>
      <c r="AA14" s="517"/>
      <c r="AB14" s="517"/>
      <c r="AC14" s="517"/>
      <c r="AD14" s="517"/>
      <c r="AE14" s="517"/>
      <c r="AF14" s="517"/>
      <c r="AG14" s="512" t="s">
        <v>818</v>
      </c>
      <c r="AH14" s="548">
        <v>-1485.7550091319645</v>
      </c>
      <c r="AI14" s="548">
        <v>21.082408643396064</v>
      </c>
      <c r="AJ14" s="548">
        <v>-7691.6980868035116</v>
      </c>
      <c r="AK14" s="548">
        <v>465.67352764748017</v>
      </c>
      <c r="AL14" s="523"/>
      <c r="AM14" s="517"/>
      <c r="AN14" s="68">
        <v>3827.0119690038428</v>
      </c>
      <c r="AO14" s="68">
        <v>177.53607278649318</v>
      </c>
      <c r="AP14" s="68">
        <v>6977.5199914642799</v>
      </c>
      <c r="AQ14" s="68">
        <v>745.07764423596825</v>
      </c>
    </row>
    <row r="15" spans="1:43">
      <c r="A15" s="507" t="s">
        <v>819</v>
      </c>
      <c r="B15" s="518">
        <v>4533.5924614906326</v>
      </c>
      <c r="C15" s="518">
        <v>4930.539783639404</v>
      </c>
      <c r="D15" s="518">
        <v>5367.1309699885978</v>
      </c>
      <c r="E15" s="518">
        <v>5847.4799952616058</v>
      </c>
      <c r="F15" s="518">
        <v>6376.1320452108857</v>
      </c>
      <c r="G15" s="518">
        <v>6958.1088290339703</v>
      </c>
      <c r="H15" s="518">
        <v>7598.9586563252215</v>
      </c>
      <c r="I15" s="518">
        <v>7792.5418123465397</v>
      </c>
      <c r="J15" s="518">
        <v>7991.0575430568451</v>
      </c>
      <c r="K15" s="518">
        <v>8194.6315599249392</v>
      </c>
      <c r="L15" s="518">
        <v>8403.3927790193411</v>
      </c>
      <c r="M15" s="518">
        <v>8617.4734027178474</v>
      </c>
      <c r="N15" s="518">
        <v>8837.0090035009925</v>
      </c>
      <c r="O15" s="518">
        <v>9062.1386098825369</v>
      </c>
      <c r="P15" s="518">
        <v>9293.0047945315491</v>
      </c>
      <c r="Q15" s="518">
        <v>9529.7537646419423</v>
      </c>
      <c r="R15" s="518">
        <v>9772.5354546068229</v>
      </c>
      <c r="T15" s="517"/>
      <c r="U15" s="517"/>
      <c r="V15" s="517"/>
      <c r="W15" s="517"/>
      <c r="X15" s="517"/>
      <c r="Y15" s="517"/>
      <c r="Z15" s="517"/>
      <c r="AA15" s="517"/>
      <c r="AB15" s="517"/>
      <c r="AC15" s="517"/>
      <c r="AD15" s="517"/>
      <c r="AE15" s="517"/>
      <c r="AF15" s="517"/>
      <c r="AG15" s="512" t="s">
        <v>820</v>
      </c>
      <c r="AH15" s="548">
        <v>-1108.4908544606669</v>
      </c>
      <c r="AI15" s="548">
        <v>15.53440636881815</v>
      </c>
      <c r="AJ15" s="548">
        <v>-5032.5749784904438</v>
      </c>
      <c r="AK15" s="548">
        <v>219.5318058909549</v>
      </c>
      <c r="AL15" s="523"/>
      <c r="AM15" s="517"/>
      <c r="AN15" s="68">
        <v>3382.0621865826952</v>
      </c>
      <c r="AO15" s="68">
        <v>99.864040942402369</v>
      </c>
      <c r="AP15" s="68">
        <v>13847.913268627679</v>
      </c>
      <c r="AQ15" s="68">
        <v>1150.878861185915</v>
      </c>
    </row>
    <row r="16" spans="1:43">
      <c r="A16" s="507" t="s">
        <v>821</v>
      </c>
      <c r="B16" s="518">
        <v>2567.0298667368529</v>
      </c>
      <c r="C16" s="518">
        <v>2785.1366345509241</v>
      </c>
      <c r="D16" s="518">
        <v>3024.8155832163279</v>
      </c>
      <c r="E16" s="518">
        <v>3288.2994889452993</v>
      </c>
      <c r="F16" s="518">
        <v>3578.0550030673144</v>
      </c>
      <c r="G16" s="518">
        <v>3896.8072239184821</v>
      </c>
      <c r="H16" s="518">
        <v>4247.5668523213426</v>
      </c>
      <c r="I16" s="518">
        <v>4355.8834707214546</v>
      </c>
      <c r="J16" s="518">
        <v>4466.9629191045551</v>
      </c>
      <c r="K16" s="518">
        <v>4580.87568625522</v>
      </c>
      <c r="L16" s="518">
        <v>4697.6940598094207</v>
      </c>
      <c r="M16" s="518">
        <v>4817.4921721724677</v>
      </c>
      <c r="N16" s="518">
        <v>4940.3460476094087</v>
      </c>
      <c r="O16" s="518">
        <v>5066.3336505377702</v>
      </c>
      <c r="P16" s="518">
        <v>5195.5349350533825</v>
      </c>
      <c r="Q16" s="518">
        <v>5328.0318957207692</v>
      </c>
      <c r="R16" s="518">
        <v>5463.9086196604067</v>
      </c>
      <c r="T16" s="517"/>
      <c r="U16" s="517"/>
      <c r="V16" s="517"/>
      <c r="W16" s="517"/>
      <c r="X16" s="517"/>
      <c r="Y16" s="517"/>
      <c r="Z16" s="517"/>
      <c r="AA16" s="517"/>
      <c r="AB16" s="517"/>
      <c r="AC16" s="517"/>
      <c r="AD16" s="517"/>
      <c r="AE16" s="517"/>
      <c r="AF16" s="517"/>
      <c r="AG16" s="512" t="s">
        <v>822</v>
      </c>
      <c r="AH16" s="548">
        <v>-725.67869751479077</v>
      </c>
      <c r="AI16" s="548">
        <v>4.4384018196623289</v>
      </c>
      <c r="AJ16" s="548">
        <v>-2744.8244797537754</v>
      </c>
      <c r="AK16" s="548">
        <v>103.11342397908487</v>
      </c>
      <c r="AL16" s="523"/>
      <c r="AM16" s="517"/>
      <c r="AN16" s="68">
        <v>2387.8601789783343</v>
      </c>
      <c r="AO16" s="68">
        <v>48.822420016285619</v>
      </c>
      <c r="AP16" s="68">
        <v>11364.954090498286</v>
      </c>
      <c r="AQ16" s="68">
        <v>834.88611028226796</v>
      </c>
    </row>
    <row r="17" spans="1:43">
      <c r="A17" s="507" t="s">
        <v>823</v>
      </c>
      <c r="B17" s="518">
        <v>1402.8539685504866</v>
      </c>
      <c r="C17" s="518">
        <v>1515.077581967219</v>
      </c>
      <c r="D17" s="518">
        <v>1638.1736034737355</v>
      </c>
      <c r="E17" s="518">
        <v>1773.2609904809717</v>
      </c>
      <c r="F17" s="518">
        <v>1921.5757367265778</v>
      </c>
      <c r="G17" s="518">
        <v>2084.4831640910497</v>
      </c>
      <c r="H17" s="518">
        <v>2263.4915067075913</v>
      </c>
      <c r="I17" s="518">
        <v>2321.3292255407428</v>
      </c>
      <c r="J17" s="518">
        <v>2380.6452624623007</v>
      </c>
      <c r="K17" s="518">
        <v>2441.4774139779156</v>
      </c>
      <c r="L17" s="518">
        <v>2503.8644432337373</v>
      </c>
      <c r="M17" s="518">
        <v>2567.8461047456385</v>
      </c>
      <c r="N17" s="518">
        <v>2633.4631697612649</v>
      </c>
      <c r="O17" s="518">
        <v>2700.7574522711361</v>
      </c>
      <c r="P17" s="518">
        <v>2769.7718356853725</v>
      </c>
      <c r="Q17" s="518">
        <v>2840.550300193132</v>
      </c>
      <c r="R17" s="518">
        <v>2913.1379508222003</v>
      </c>
      <c r="T17" s="517"/>
      <c r="U17" s="517"/>
      <c r="V17" s="517"/>
      <c r="W17" s="517"/>
      <c r="X17" s="517"/>
      <c r="Y17" s="517"/>
      <c r="Z17" s="517"/>
      <c r="AA17" s="517"/>
      <c r="AB17" s="517"/>
      <c r="AC17" s="517"/>
      <c r="AD17" s="517"/>
      <c r="AE17" s="517"/>
      <c r="AF17" s="517"/>
      <c r="AG17" s="512" t="s">
        <v>824</v>
      </c>
      <c r="AH17" s="548">
        <v>-486.00499925302506</v>
      </c>
      <c r="AI17" s="548">
        <v>11.096004549155822</v>
      </c>
      <c r="AJ17" s="548">
        <v>-1387.8860986092377</v>
      </c>
      <c r="AK17" s="548">
        <v>36.588634315159148</v>
      </c>
      <c r="AL17" s="523"/>
      <c r="AM17" s="517"/>
      <c r="AN17" s="68">
        <v>1485.7550091319645</v>
      </c>
      <c r="AO17" s="68">
        <v>21.082408643396064</v>
      </c>
      <c r="AP17" s="68">
        <v>7691.6980868035116</v>
      </c>
      <c r="AQ17" s="68">
        <v>465.67352764748017</v>
      </c>
    </row>
    <row r="18" spans="1:43">
      <c r="A18" s="507" t="s">
        <v>825</v>
      </c>
      <c r="B18" s="518">
        <v>564.66243635965156</v>
      </c>
      <c r="C18" s="518">
        <v>607.02122976035173</v>
      </c>
      <c r="D18" s="518">
        <v>653.38642181940986</v>
      </c>
      <c r="E18" s="518">
        <v>704.16755486372108</v>
      </c>
      <c r="F18" s="518">
        <v>759.81693196287165</v>
      </c>
      <c r="G18" s="518">
        <v>820.8341059184055</v>
      </c>
      <c r="H18" s="518">
        <v>887.77084014829234</v>
      </c>
      <c r="I18" s="518">
        <v>910.50385311544017</v>
      </c>
      <c r="J18" s="518">
        <v>933.81917701292741</v>
      </c>
      <c r="K18" s="518">
        <v>957.7317328092239</v>
      </c>
      <c r="L18" s="518">
        <v>982.25682393230784</v>
      </c>
      <c r="M18" s="518">
        <v>1007.4101460763536</v>
      </c>
      <c r="N18" s="518">
        <v>1033.2077972599657</v>
      </c>
      <c r="O18" s="518">
        <v>1059.666288142407</v>
      </c>
      <c r="P18" s="518">
        <v>1086.8025526044426</v>
      </c>
      <c r="Q18" s="518">
        <v>1114.633958600592</v>
      </c>
      <c r="R18" s="518">
        <v>1143.1783192897476</v>
      </c>
      <c r="T18" s="517"/>
      <c r="U18" s="517"/>
      <c r="V18" s="517"/>
      <c r="W18" s="517"/>
      <c r="X18" s="517"/>
      <c r="Y18" s="517"/>
      <c r="Z18" s="517"/>
      <c r="AA18" s="517"/>
      <c r="AB18" s="517"/>
      <c r="AC18" s="517"/>
      <c r="AD18" s="517"/>
      <c r="AE18" s="517"/>
      <c r="AF18" s="517"/>
      <c r="AG18" s="512" t="s">
        <v>826</v>
      </c>
      <c r="AH18" s="548">
        <v>-236.344896897019</v>
      </c>
      <c r="AI18" s="548">
        <v>3.3288013647467469</v>
      </c>
      <c r="AJ18" s="548">
        <v>-511.82763499311517</v>
      </c>
      <c r="AK18" s="548">
        <v>8.3155987079907163</v>
      </c>
      <c r="AL18" s="523"/>
      <c r="AM18" s="517"/>
      <c r="AN18" s="68">
        <v>1108.4908544606669</v>
      </c>
      <c r="AO18" s="68">
        <v>15.53440636881815</v>
      </c>
      <c r="AP18" s="68">
        <v>5032.5749784904438</v>
      </c>
      <c r="AQ18" s="68">
        <v>219.5318058909549</v>
      </c>
    </row>
    <row r="19" spans="1:43">
      <c r="A19" s="507" t="s">
        <v>827</v>
      </c>
      <c r="B19" s="518">
        <v>205.99214769354538</v>
      </c>
      <c r="C19" s="518">
        <v>219.69470405302718</v>
      </c>
      <c r="D19" s="518">
        <v>234.62864877190611</v>
      </c>
      <c r="E19" s="518">
        <v>250.91796381613116</v>
      </c>
      <c r="F19" s="518">
        <v>268.69952493410477</v>
      </c>
      <c r="G19" s="518">
        <v>288.12445387462446</v>
      </c>
      <c r="H19" s="518">
        <v>309.35961271786289</v>
      </c>
      <c r="I19" s="518">
        <v>317.31218907245966</v>
      </c>
      <c r="J19" s="518">
        <v>325.46927575727898</v>
      </c>
      <c r="K19" s="518">
        <v>333.83613400100529</v>
      </c>
      <c r="L19" s="518">
        <v>342.41816043426019</v>
      </c>
      <c r="M19" s="518">
        <v>351.22089057561931</v>
      </c>
      <c r="N19" s="518">
        <v>360.25000240741343</v>
      </c>
      <c r="O19" s="518">
        <v>369.51132004362825</v>
      </c>
      <c r="P19" s="518">
        <v>379.01081749227393</v>
      </c>
      <c r="Q19" s="518">
        <v>388.75462251466149</v>
      </c>
      <c r="R19" s="518">
        <v>398.74902058407952</v>
      </c>
      <c r="T19" s="517"/>
      <c r="U19" s="517"/>
      <c r="V19" s="517"/>
      <c r="W19" s="517"/>
      <c r="X19" s="517"/>
      <c r="Y19" s="517"/>
      <c r="Z19" s="517"/>
      <c r="AA19" s="517"/>
      <c r="AB19" s="517"/>
      <c r="AC19" s="517"/>
      <c r="AD19" s="517"/>
      <c r="AE19" s="517"/>
      <c r="AF19" s="517"/>
      <c r="AG19" s="512" t="s">
        <v>828</v>
      </c>
      <c r="AH19" s="548">
        <v>-108.74084458172703</v>
      </c>
      <c r="AI19" s="548">
        <v>3.3288013647467469</v>
      </c>
      <c r="AJ19" s="548">
        <v>-149.9774000212384</v>
      </c>
      <c r="AK19" s="548">
        <v>6.6524789663925734</v>
      </c>
      <c r="AL19" s="523"/>
      <c r="AM19" s="517"/>
      <c r="AN19" s="68">
        <v>725.67869751479077</v>
      </c>
      <c r="AO19" s="68">
        <v>4.4384018196623289</v>
      </c>
      <c r="AP19" s="68">
        <v>2744.8244797537754</v>
      </c>
      <c r="AQ19" s="68">
        <v>103.11342397908487</v>
      </c>
    </row>
    <row r="20" spans="1:43">
      <c r="A20" s="507" t="s">
        <v>829</v>
      </c>
      <c r="B20" s="518">
        <v>77.74059756568235</v>
      </c>
      <c r="C20" s="518">
        <v>82.605788860121976</v>
      </c>
      <c r="D20" s="518">
        <v>87.895445630578394</v>
      </c>
      <c r="E20" s="518">
        <v>93.651912076209271</v>
      </c>
      <c r="F20" s="518">
        <v>99.921925263396858</v>
      </c>
      <c r="G20" s="518">
        <v>106.75707553370785</v>
      </c>
      <c r="H20" s="518">
        <v>114.21431529139559</v>
      </c>
      <c r="I20" s="518">
        <v>117.15602306125247</v>
      </c>
      <c r="J20" s="518">
        <v>120.17352701147166</v>
      </c>
      <c r="K20" s="518">
        <v>123.26878087259446</v>
      </c>
      <c r="L20" s="518">
        <v>126.44378875446799</v>
      </c>
      <c r="M20" s="518">
        <v>129.70060644584711</v>
      </c>
      <c r="N20" s="518">
        <v>133.04134274753463</v>
      </c>
      <c r="O20" s="518">
        <v>136.46816083992528</v>
      </c>
      <c r="P20" s="518">
        <v>139.98327968584229</v>
      </c>
      <c r="Q20" s="518">
        <v>143.58897546957687</v>
      </c>
      <c r="R20" s="518">
        <v>147.28758307306629</v>
      </c>
      <c r="T20" s="517"/>
      <c r="U20" s="517"/>
      <c r="V20" s="517"/>
      <c r="W20" s="517"/>
      <c r="X20" s="517"/>
      <c r="Y20" s="517"/>
      <c r="Z20" s="517"/>
      <c r="AA20" s="517"/>
      <c r="AB20" s="517"/>
      <c r="AC20" s="517"/>
      <c r="AD20" s="517"/>
      <c r="AE20" s="517"/>
      <c r="AF20" s="517"/>
      <c r="AG20" s="512" t="s">
        <v>830</v>
      </c>
      <c r="AH20" s="548">
        <v>-46.603219106454439</v>
      </c>
      <c r="AI20" s="548">
        <v>0</v>
      </c>
      <c r="AJ20" s="548">
        <v>-49.992466673746129</v>
      </c>
      <c r="AK20" s="548">
        <v>3.3262394831962867</v>
      </c>
      <c r="AL20" s="523"/>
      <c r="AM20" s="517"/>
      <c r="AN20" s="68">
        <v>486.00499925302506</v>
      </c>
      <c r="AO20" s="68">
        <v>11.096004549155822</v>
      </c>
      <c r="AP20" s="68">
        <v>1387.8860986092377</v>
      </c>
      <c r="AQ20" s="68">
        <v>36.588634315159148</v>
      </c>
    </row>
    <row r="21" spans="1:43">
      <c r="A21" s="507" t="s">
        <v>831</v>
      </c>
      <c r="B21" s="518">
        <v>29.361836812363144</v>
      </c>
      <c r="C21" s="518">
        <v>31.267398602273641</v>
      </c>
      <c r="D21" s="518">
        <v>33.342223232567065</v>
      </c>
      <c r="E21" s="518">
        <v>35.603291794188905</v>
      </c>
      <c r="F21" s="518">
        <v>38.069349683910652</v>
      </c>
      <c r="G21" s="518">
        <v>40.761091588736569</v>
      </c>
      <c r="H21" s="518">
        <v>43.701365910295422</v>
      </c>
      <c r="I21" s="518">
        <v>44.825656474196748</v>
      </c>
      <c r="J21" s="518">
        <v>45.978882336949404</v>
      </c>
      <c r="K21" s="518">
        <v>47.161788478095559</v>
      </c>
      <c r="L21" s="518">
        <v>48.375139065132011</v>
      </c>
      <c r="M21" s="518">
        <v>49.61971794791409</v>
      </c>
      <c r="N21" s="518">
        <v>50.896329165803493</v>
      </c>
      <c r="O21" s="518">
        <v>52.205797467888587</v>
      </c>
      <c r="P21" s="518">
        <v>53.548968846614656</v>
      </c>
      <c r="Q21" s="518">
        <v>54.926711085169401</v>
      </c>
      <c r="R21" s="518">
        <v>56.339914318978757</v>
      </c>
      <c r="T21" s="517"/>
      <c r="U21" s="517"/>
      <c r="V21" s="517"/>
      <c r="W21" s="517"/>
      <c r="X21" s="517"/>
      <c r="Y21" s="517"/>
      <c r="Z21" s="517"/>
      <c r="AA21" s="517"/>
      <c r="AB21" s="517"/>
      <c r="AC21" s="517"/>
      <c r="AD21" s="517"/>
      <c r="AE21" s="517"/>
      <c r="AF21" s="517"/>
      <c r="AG21" s="512" t="s">
        <v>832</v>
      </c>
      <c r="AH21" s="548">
        <v>-15.53440636881815</v>
      </c>
      <c r="AI21" s="548">
        <v>1.1096004549155822</v>
      </c>
      <c r="AJ21" s="548">
        <v>-21.425342860176919</v>
      </c>
      <c r="AK21" s="548">
        <v>0</v>
      </c>
      <c r="AL21" s="523"/>
      <c r="AM21" s="517"/>
      <c r="AN21" s="68">
        <v>236.344896897019</v>
      </c>
      <c r="AO21" s="68">
        <v>3.3288013647467469</v>
      </c>
      <c r="AP21" s="68">
        <v>511.82763499311517</v>
      </c>
      <c r="AQ21" s="68">
        <v>8.3155987079907163</v>
      </c>
    </row>
    <row r="22" spans="1:43">
      <c r="A22" s="507" t="s">
        <v>833</v>
      </c>
      <c r="B22" s="518">
        <v>6.5957596458181271</v>
      </c>
      <c r="C22" s="518">
        <v>6.8952918951641005</v>
      </c>
      <c r="D22" s="518">
        <v>7.2159439453297791</v>
      </c>
      <c r="E22" s="518">
        <v>7.5596635060323756</v>
      </c>
      <c r="F22" s="518">
        <v>7.9285959257086791</v>
      </c>
      <c r="G22" s="518">
        <v>8.3251047876083568</v>
      </c>
      <c r="H22" s="518">
        <v>8.7517946669990518</v>
      </c>
      <c r="I22" s="518">
        <v>8.9793424767325298</v>
      </c>
      <c r="J22" s="518">
        <v>9.2128086026017115</v>
      </c>
      <c r="K22" s="518">
        <v>9.4523470271476508</v>
      </c>
      <c r="L22" s="518">
        <v>9.6981157405672374</v>
      </c>
      <c r="M22" s="518">
        <v>9.9502768450536472</v>
      </c>
      <c r="N22" s="518">
        <v>10.208996661854206</v>
      </c>
      <c r="O22" s="518">
        <v>10.474445841116461</v>
      </c>
      <c r="P22" s="518">
        <v>10.746799474595111</v>
      </c>
      <c r="Q22" s="518">
        <v>11.026237211294292</v>
      </c>
      <c r="R22" s="518">
        <v>11.312943376121753</v>
      </c>
      <c r="T22" s="517"/>
      <c r="U22" s="517"/>
      <c r="V22" s="517"/>
      <c r="W22" s="517"/>
      <c r="X22" s="517"/>
      <c r="Y22" s="517"/>
      <c r="Z22" s="517"/>
      <c r="AA22" s="517"/>
      <c r="AB22" s="517"/>
      <c r="AC22" s="517"/>
      <c r="AD22" s="517"/>
      <c r="AE22" s="517"/>
      <c r="AF22" s="517"/>
      <c r="AG22" s="512" t="s">
        <v>834</v>
      </c>
      <c r="AH22" s="548">
        <v>-5.548002274577911</v>
      </c>
      <c r="AI22" s="548">
        <v>1.1096004549155822</v>
      </c>
      <c r="AJ22" s="548">
        <v>-4.7611873022615372</v>
      </c>
      <c r="AK22" s="548">
        <v>1.6631197415981434</v>
      </c>
      <c r="AL22" s="533"/>
      <c r="AM22" s="517"/>
      <c r="AN22" s="68">
        <v>108.74084458172703</v>
      </c>
      <c r="AO22" s="68">
        <v>3.3288013647467469</v>
      </c>
      <c r="AP22" s="68">
        <v>149.9774000212384</v>
      </c>
      <c r="AQ22" s="68">
        <v>6.6524789663925734</v>
      </c>
    </row>
    <row r="23" spans="1:43">
      <c r="A23" s="521" t="s">
        <v>835</v>
      </c>
      <c r="B23" s="540">
        <v>3.7105821475689744</v>
      </c>
      <c r="C23" s="540">
        <v>4.0219975090217064</v>
      </c>
      <c r="D23" s="540">
        <v>4.3640882537738275</v>
      </c>
      <c r="E23" s="540">
        <v>4.7400258442243413</v>
      </c>
      <c r="F23" s="540">
        <v>5.153313847644494</v>
      </c>
      <c r="G23" s="540">
        <v>5.607822826001625</v>
      </c>
      <c r="H23" s="540">
        <v>6.1078288941781809</v>
      </c>
      <c r="I23" s="540">
        <v>6.2636483333635589</v>
      </c>
      <c r="J23" s="540">
        <v>6.4234439436134094</v>
      </c>
      <c r="K23" s="540">
        <v>6.5873172141084124</v>
      </c>
      <c r="L23" s="540">
        <v>6.755372225153935</v>
      </c>
      <c r="M23" s="540">
        <v>6.9277157143519039</v>
      </c>
      <c r="N23" s="540">
        <v>7.1044571444630211</v>
      </c>
      <c r="O23" s="540">
        <v>7.2857087730025274</v>
      </c>
      <c r="P23" s="540">
        <v>7.4715857236138108</v>
      </c>
      <c r="Q23" s="540">
        <v>7.6622060592652836</v>
      </c>
      <c r="R23" s="540">
        <v>7.857690857317114</v>
      </c>
      <c r="T23" s="517"/>
      <c r="U23" s="517"/>
      <c r="V23" s="517"/>
      <c r="W23" s="517"/>
      <c r="X23" s="517"/>
      <c r="Y23" s="517"/>
      <c r="Z23" s="517"/>
      <c r="AA23" s="517"/>
      <c r="AB23" s="517"/>
      <c r="AC23" s="517"/>
      <c r="AD23" s="517"/>
      <c r="AE23" s="517"/>
      <c r="AF23" s="517"/>
      <c r="AG23" s="68" t="s">
        <v>836</v>
      </c>
      <c r="AH23" s="523">
        <f>SUM(AH7:AH22)</f>
        <v>-14686.671621262649</v>
      </c>
      <c r="AI23" s="523">
        <f>SUM(AI7:AI22)</f>
        <v>438.29217969165506</v>
      </c>
      <c r="AJ23" s="523">
        <f>SUM(AJ7:AJ22)</f>
        <v>-50363.839283322537</v>
      </c>
      <c r="AK23" s="523">
        <f>SUM(AK7:AK22)</f>
        <v>3665.5159104823078</v>
      </c>
      <c r="AM23" s="517"/>
      <c r="AN23" s="68">
        <v>46.603219106454439</v>
      </c>
      <c r="AO23" s="68">
        <v>0</v>
      </c>
      <c r="AP23" s="68">
        <v>49.992466673746129</v>
      </c>
      <c r="AQ23" s="68">
        <v>3.3262394831962867</v>
      </c>
    </row>
    <row r="24" spans="1:43">
      <c r="A24" s="507"/>
      <c r="B24" s="518"/>
      <c r="C24" s="518"/>
      <c r="D24" s="518"/>
      <c r="E24" s="518"/>
      <c r="F24" s="518"/>
      <c r="G24" s="518"/>
      <c r="H24" s="518"/>
      <c r="I24" s="518"/>
      <c r="J24" s="518"/>
      <c r="K24" s="518"/>
      <c r="L24" s="518"/>
      <c r="M24" s="518"/>
      <c r="N24" s="518"/>
      <c r="O24" s="518"/>
      <c r="P24" s="518"/>
      <c r="Q24" s="518"/>
      <c r="R24" s="518"/>
      <c r="T24" s="517"/>
      <c r="U24" s="517"/>
      <c r="V24" s="517"/>
      <c r="W24" s="517"/>
      <c r="X24" s="517"/>
      <c r="Y24" s="517"/>
      <c r="Z24" s="517"/>
      <c r="AA24" s="517"/>
      <c r="AB24" s="517"/>
      <c r="AC24" s="517"/>
      <c r="AD24" s="517"/>
      <c r="AE24" s="517"/>
      <c r="AF24" s="517"/>
      <c r="AG24" s="517"/>
      <c r="AH24" s="517"/>
      <c r="AI24" s="517"/>
      <c r="AJ24" s="517"/>
      <c r="AK24" s="517"/>
      <c r="AL24" s="517"/>
      <c r="AM24" s="517"/>
      <c r="AN24" s="68">
        <v>15.53440636881815</v>
      </c>
      <c r="AO24" s="68">
        <v>1.1096004549155822</v>
      </c>
      <c r="AP24" s="68">
        <v>21.425342860176919</v>
      </c>
      <c r="AQ24" s="68">
        <v>0</v>
      </c>
    </row>
    <row r="25" spans="1:43">
      <c r="A25" s="536"/>
      <c r="B25" s="518"/>
      <c r="C25" s="518"/>
      <c r="D25" s="518"/>
      <c r="E25" s="518"/>
      <c r="F25" s="518"/>
      <c r="G25" s="518"/>
      <c r="H25" s="518"/>
      <c r="I25" s="518"/>
      <c r="J25" s="518"/>
      <c r="K25" s="518"/>
      <c r="L25" s="518"/>
      <c r="M25" s="518"/>
      <c r="N25" s="518"/>
      <c r="O25" s="518"/>
      <c r="P25" s="518"/>
      <c r="Q25" s="518"/>
      <c r="R25" s="518"/>
      <c r="T25" s="517"/>
      <c r="U25" s="517"/>
      <c r="V25" s="517"/>
      <c r="W25" s="517"/>
      <c r="X25" s="517"/>
      <c r="Y25" s="517"/>
      <c r="Z25" s="517"/>
      <c r="AA25" s="517"/>
      <c r="AB25" s="517"/>
      <c r="AC25" s="517"/>
      <c r="AD25" s="517"/>
      <c r="AE25" s="517"/>
      <c r="AF25" s="517"/>
      <c r="AG25" s="517"/>
      <c r="AH25" s="517"/>
      <c r="AI25" s="517"/>
      <c r="AJ25" s="517"/>
      <c r="AK25" s="517"/>
      <c r="AL25" s="517"/>
      <c r="AM25" s="517"/>
      <c r="AN25" s="68">
        <v>4.4384018196623289</v>
      </c>
      <c r="AO25" s="68">
        <v>1.1096004549155822</v>
      </c>
      <c r="AP25" s="68">
        <v>2.3805936511307686</v>
      </c>
      <c r="AQ25" s="68">
        <v>0</v>
      </c>
    </row>
    <row r="26" spans="1:43">
      <c r="A26" s="542" t="s">
        <v>837</v>
      </c>
      <c r="B26" s="551">
        <f>SUM(B27:B43)</f>
        <v>46995.8910669283</v>
      </c>
      <c r="C26" s="551">
        <f t="shared" ref="C26:R26" si="1">SUM(C27:C43)</f>
        <v>50895.098598565484</v>
      </c>
      <c r="D26" s="551">
        <f t="shared" si="1"/>
        <v>55176.905392239983</v>
      </c>
      <c r="E26" s="551">
        <f t="shared" si="1"/>
        <v>59880.825809656817</v>
      </c>
      <c r="F26" s="551">
        <f t="shared" si="1"/>
        <v>65050.510904585186</v>
      </c>
      <c r="G26" s="551">
        <f t="shared" si="1"/>
        <v>70734.182980248632</v>
      </c>
      <c r="H26" s="551">
        <f t="shared" si="1"/>
        <v>76985.115836283148</v>
      </c>
      <c r="I26" s="551">
        <f t="shared" si="1"/>
        <v>78949.873479334943</v>
      </c>
      <c r="J26" s="551">
        <f t="shared" si="1"/>
        <v>80964.787233911469</v>
      </c>
      <c r="K26" s="551">
        <f t="shared" si="1"/>
        <v>83031.137819459211</v>
      </c>
      <c r="L26" s="551">
        <f t="shared" si="1"/>
        <v>85150.238667043392</v>
      </c>
      <c r="M26" s="551">
        <f t="shared" si="1"/>
        <v>87323.436755086979</v>
      </c>
      <c r="N26" s="551">
        <f t="shared" si="1"/>
        <v>89552.113466467505</v>
      </c>
      <c r="O26" s="551">
        <f t="shared" si="1"/>
        <v>91837.685467518066</v>
      </c>
      <c r="P26" s="551">
        <f t="shared" si="1"/>
        <v>94181.605609492093</v>
      </c>
      <c r="Q26" s="551">
        <f t="shared" si="1"/>
        <v>96585.363853066927</v>
      </c>
      <c r="R26" s="551">
        <f t="shared" si="1"/>
        <v>99050.488216474041</v>
      </c>
      <c r="T26" s="517"/>
      <c r="U26" s="517"/>
      <c r="V26" s="517"/>
      <c r="W26" s="517"/>
      <c r="X26" s="517"/>
      <c r="Y26" s="517"/>
      <c r="Z26" s="517"/>
      <c r="AA26" s="517"/>
      <c r="AB26" s="517"/>
      <c r="AC26" s="517"/>
      <c r="AD26" s="517"/>
      <c r="AE26" s="517"/>
      <c r="AF26" s="517"/>
      <c r="AG26" s="517"/>
      <c r="AH26" s="517"/>
      <c r="AI26" s="517"/>
      <c r="AJ26" s="517"/>
      <c r="AK26" s="517"/>
      <c r="AL26" s="517"/>
      <c r="AM26" s="517"/>
      <c r="AN26" s="68">
        <v>1.1096004549155822</v>
      </c>
      <c r="AO26" s="68">
        <v>0</v>
      </c>
      <c r="AP26" s="68">
        <v>2.3805936511307686</v>
      </c>
      <c r="AQ26" s="68">
        <v>1.6631197415981434</v>
      </c>
    </row>
    <row r="27" spans="1:43" s="312" customFormat="1">
      <c r="A27" s="518" t="s">
        <v>803</v>
      </c>
      <c r="B27" s="518">
        <v>15.766077166545017</v>
      </c>
      <c r="C27" s="518">
        <v>17.187720067795446</v>
      </c>
      <c r="D27" s="518">
        <v>18.752649089643743</v>
      </c>
      <c r="E27" s="518">
        <v>20.475769677465948</v>
      </c>
      <c r="F27" s="518">
        <v>22.373550573792897</v>
      </c>
      <c r="G27" s="518">
        <v>24.464188117855862</v>
      </c>
      <c r="H27" s="518">
        <v>26.767787821667291</v>
      </c>
      <c r="I27" s="518">
        <v>27.449014640305144</v>
      </c>
      <c r="J27" s="518">
        <v>28.147581547505624</v>
      </c>
      <c r="K27" s="518">
        <v>28.863930005493465</v>
      </c>
      <c r="L27" s="518">
        <v>29.598512717904381</v>
      </c>
      <c r="M27" s="518">
        <v>30.351793916094422</v>
      </c>
      <c r="N27" s="518">
        <v>31.124249652742932</v>
      </c>
      <c r="O27" s="518">
        <v>31.916368102934886</v>
      </c>
      <c r="P27" s="518">
        <v>32.72864987291323</v>
      </c>
      <c r="Q27" s="518">
        <v>33.561608316696628</v>
      </c>
      <c r="R27" s="518">
        <v>34.415769860763035</v>
      </c>
      <c r="T27" s="517"/>
      <c r="U27" s="517"/>
      <c r="V27" s="517"/>
      <c r="W27" s="517"/>
      <c r="X27" s="517"/>
      <c r="Y27" s="517"/>
      <c r="Z27" s="517"/>
      <c r="AA27" s="517"/>
      <c r="AB27" s="517"/>
      <c r="AC27" s="517"/>
      <c r="AD27" s="517"/>
      <c r="AE27" s="517"/>
      <c r="AF27" s="517"/>
      <c r="AG27" s="517"/>
      <c r="AH27" s="517"/>
      <c r="AI27" s="517"/>
      <c r="AJ27" s="517"/>
      <c r="AK27" s="517"/>
      <c r="AL27" s="517"/>
      <c r="AM27" s="517"/>
      <c r="AQ27" s="68"/>
    </row>
    <row r="28" spans="1:43">
      <c r="A28" s="518" t="s">
        <v>805</v>
      </c>
      <c r="B28" s="518">
        <v>6.5957596458181271</v>
      </c>
      <c r="C28" s="518">
        <v>6.8952918951641005</v>
      </c>
      <c r="D28" s="518">
        <v>7.2159439453297791</v>
      </c>
      <c r="E28" s="518">
        <v>7.5596635060323756</v>
      </c>
      <c r="F28" s="518">
        <v>7.9285959257086791</v>
      </c>
      <c r="G28" s="518">
        <v>8.3251047876083568</v>
      </c>
      <c r="H28" s="518">
        <v>8.7517946669990536</v>
      </c>
      <c r="I28" s="518">
        <v>8.9793424767325298</v>
      </c>
      <c r="J28" s="518">
        <v>9.2128086026017115</v>
      </c>
      <c r="K28" s="518">
        <v>9.4523470271476508</v>
      </c>
      <c r="L28" s="518">
        <v>9.6981157405672374</v>
      </c>
      <c r="M28" s="518">
        <v>9.9502768450536454</v>
      </c>
      <c r="N28" s="518">
        <v>10.208996661854204</v>
      </c>
      <c r="O28" s="518">
        <v>10.474445841116463</v>
      </c>
      <c r="P28" s="518">
        <v>10.746799474595111</v>
      </c>
      <c r="Q28" s="518">
        <v>11.026237211294291</v>
      </c>
      <c r="R28" s="518">
        <v>11.312943376121751</v>
      </c>
      <c r="T28" s="517"/>
      <c r="U28" s="517"/>
      <c r="V28" s="517"/>
      <c r="W28" s="517"/>
      <c r="X28" s="517"/>
      <c r="Y28" s="517"/>
      <c r="Z28" s="517"/>
      <c r="AA28" s="517"/>
      <c r="AB28" s="517"/>
      <c r="AC28" s="517"/>
      <c r="AD28" s="517"/>
      <c r="AE28" s="517"/>
      <c r="AF28" s="517"/>
      <c r="AG28" s="517"/>
      <c r="AH28" s="517"/>
      <c r="AI28" s="517"/>
      <c r="AJ28" s="517"/>
      <c r="AK28" s="517"/>
      <c r="AL28" s="517"/>
      <c r="AM28" s="517"/>
      <c r="AN28" s="68">
        <v>14686.671621262649</v>
      </c>
      <c r="AO28" s="68">
        <v>438.29217969165506</v>
      </c>
      <c r="AP28" s="68">
        <v>50363.839283322544</v>
      </c>
      <c r="AQ28" s="68">
        <v>3665.5159104823078</v>
      </c>
    </row>
    <row r="29" spans="1:43">
      <c r="A29" s="518" t="s">
        <v>807</v>
      </c>
      <c r="B29" s="518">
        <v>5.5957596458181271</v>
      </c>
      <c r="C29" s="518">
        <v>5.8689509466906582</v>
      </c>
      <c r="D29" s="518">
        <v>6.1625682028164146</v>
      </c>
      <c r="E29" s="518">
        <v>6.478540847362293</v>
      </c>
      <c r="F29" s="518">
        <v>6.8189954707930971</v>
      </c>
      <c r="G29" s="518">
        <v>7.1862764042837348</v>
      </c>
      <c r="H29" s="518">
        <v>7.5829684639091841</v>
      </c>
      <c r="I29" s="518">
        <v>7.7797282828526626</v>
      </c>
      <c r="J29" s="518">
        <v>7.9815954330528456</v>
      </c>
      <c r="K29" s="518">
        <v>8.1887025349398748</v>
      </c>
      <c r="L29" s="518">
        <v>8.4011856539014662</v>
      </c>
      <c r="M29" s="518">
        <v>8.6191843898013563</v>
      </c>
      <c r="N29" s="518">
        <v>8.8428419688247253</v>
      </c>
      <c r="O29" s="518">
        <v>9.0723053377111427</v>
      </c>
      <c r="P29" s="518">
        <v>9.3077252604370653</v>
      </c>
      <c r="Q29" s="518">
        <v>9.5492564174116517</v>
      </c>
      <c r="R29" s="518">
        <v>9.7970575072511838</v>
      </c>
      <c r="T29" s="517"/>
      <c r="U29" s="517"/>
      <c r="V29" s="517"/>
      <c r="W29" s="517"/>
      <c r="X29" s="517"/>
      <c r="Y29" s="517"/>
      <c r="Z29" s="517"/>
      <c r="AA29" s="517"/>
      <c r="AB29" s="517"/>
      <c r="AC29" s="517"/>
      <c r="AD29" s="517"/>
      <c r="AE29" s="517"/>
      <c r="AF29" s="517"/>
      <c r="AG29" s="517"/>
      <c r="AH29" s="517"/>
      <c r="AI29" s="517"/>
      <c r="AJ29" s="517"/>
      <c r="AK29" s="517"/>
      <c r="AL29" s="517"/>
      <c r="AM29" s="517"/>
    </row>
    <row r="30" spans="1:43">
      <c r="A30" s="518" t="s">
        <v>809</v>
      </c>
      <c r="B30" s="518">
        <v>1144.8119974756235</v>
      </c>
      <c r="C30" s="518">
        <v>1204.2773597716459</v>
      </c>
      <c r="D30" s="518">
        <v>1268.3916481965994</v>
      </c>
      <c r="E30" s="518">
        <v>1337.6015147068713</v>
      </c>
      <c r="F30" s="518">
        <v>1412.399472363214</v>
      </c>
      <c r="G30" s="518">
        <v>1493.3286892494955</v>
      </c>
      <c r="H30" s="518">
        <v>1580.988285799551</v>
      </c>
      <c r="I30" s="518">
        <v>1621.9380330777713</v>
      </c>
      <c r="J30" s="518">
        <v>1663.9488419430431</v>
      </c>
      <c r="K30" s="518">
        <v>1707.0482163799545</v>
      </c>
      <c r="L30" s="518">
        <v>1751.2643735791842</v>
      </c>
      <c r="M30" s="518">
        <v>1796.6262624386018</v>
      </c>
      <c r="N30" s="518">
        <v>1843.1635825444741</v>
      </c>
      <c r="O30" s="518">
        <v>1890.9068036452506</v>
      </c>
      <c r="P30" s="518">
        <v>1939.8871856307069</v>
      </c>
      <c r="Q30" s="518">
        <v>1990.1367990295746</v>
      </c>
      <c r="R30" s="518">
        <v>2041.6885460391063</v>
      </c>
      <c r="T30" s="517"/>
      <c r="U30" s="517"/>
      <c r="V30" s="517"/>
      <c r="W30" s="517"/>
      <c r="X30" s="517"/>
      <c r="Y30" s="517"/>
      <c r="Z30" s="517"/>
      <c r="AA30" s="517"/>
      <c r="AB30" s="517"/>
      <c r="AC30" s="517"/>
      <c r="AD30" s="517"/>
      <c r="AE30" s="517"/>
      <c r="AF30" s="517"/>
      <c r="AG30" s="517"/>
      <c r="AH30" s="517"/>
      <c r="AI30" s="517"/>
      <c r="AJ30" s="517"/>
      <c r="AK30" s="517"/>
      <c r="AL30" s="517"/>
      <c r="AM30" s="517"/>
    </row>
    <row r="31" spans="1:43">
      <c r="A31" s="518" t="s">
        <v>811</v>
      </c>
      <c r="B31" s="518">
        <v>8126.1715218929294</v>
      </c>
      <c r="C31" s="518">
        <v>8708.9238761325869</v>
      </c>
      <c r="D31" s="518">
        <v>9345.8031331568181</v>
      </c>
      <c r="E31" s="518">
        <v>10042.313223123947</v>
      </c>
      <c r="F31" s="518">
        <v>10804.531960468126</v>
      </c>
      <c r="G31" s="518">
        <v>11639.171268944381</v>
      </c>
      <c r="H31" s="518">
        <v>12553.643737149159</v>
      </c>
      <c r="I31" s="518">
        <v>12875.57614268525</v>
      </c>
      <c r="J31" s="518">
        <v>13205.767236261017</v>
      </c>
      <c r="K31" s="518">
        <v>13544.428956889416</v>
      </c>
      <c r="L31" s="518">
        <v>13891.778684425941</v>
      </c>
      <c r="M31" s="518">
        <v>14248.039379295071</v>
      </c>
      <c r="N31" s="518">
        <v>14613.439725806338</v>
      </c>
      <c r="O31" s="518">
        <v>14988.214279152349</v>
      </c>
      <c r="P31" s="518">
        <v>15372.603616183223</v>
      </c>
      <c r="Q31" s="518">
        <v>15766.854490054699</v>
      </c>
      <c r="R31" s="518">
        <v>16171.219988849283</v>
      </c>
      <c r="T31" s="517"/>
      <c r="U31" s="517"/>
      <c r="V31" s="517"/>
      <c r="W31" s="517"/>
      <c r="X31" s="517"/>
      <c r="Y31" s="517"/>
      <c r="Z31" s="517"/>
      <c r="AA31" s="517"/>
      <c r="AB31" s="517"/>
      <c r="AC31" s="517"/>
      <c r="AD31" s="517"/>
      <c r="AE31" s="517"/>
      <c r="AF31" s="517"/>
      <c r="AM31" s="517"/>
    </row>
    <row r="32" spans="1:43">
      <c r="A32" s="518" t="s">
        <v>813</v>
      </c>
      <c r="B32" s="518">
        <v>12330.533859724044</v>
      </c>
      <c r="C32" s="518">
        <v>13387.073678766559</v>
      </c>
      <c r="D32" s="518">
        <v>14548.401722162846</v>
      </c>
      <c r="E32" s="518">
        <v>15825.371950797387</v>
      </c>
      <c r="F32" s="518">
        <v>17229.975455210373</v>
      </c>
      <c r="G32" s="518">
        <v>18775.459932894642</v>
      </c>
      <c r="H32" s="518">
        <v>20476.461728082584</v>
      </c>
      <c r="I32" s="518">
        <v>20998.480421103017</v>
      </c>
      <c r="J32" s="518">
        <v>21533.810345790309</v>
      </c>
      <c r="K32" s="518">
        <v>22082.791013303999</v>
      </c>
      <c r="L32" s="518">
        <v>22645.770596362945</v>
      </c>
      <c r="M32" s="518">
        <v>23223.106150273172</v>
      </c>
      <c r="N32" s="518">
        <v>23815.163839597382</v>
      </c>
      <c r="O32" s="518">
        <v>24422.319170610168</v>
      </c>
      <c r="P32" s="518">
        <v>25044.957229686748</v>
      </c>
      <c r="Q32" s="518">
        <v>25683.472927776576</v>
      </c>
      <c r="R32" s="518">
        <v>26338.271251117279</v>
      </c>
      <c r="T32" s="517"/>
      <c r="U32" s="517"/>
      <c r="V32" s="517"/>
      <c r="W32" s="517"/>
      <c r="X32" s="517"/>
      <c r="Y32" s="517"/>
      <c r="Z32" s="517"/>
      <c r="AA32" s="517"/>
      <c r="AB32" s="517"/>
      <c r="AC32" s="517"/>
      <c r="AD32" s="517"/>
      <c r="AE32" s="517"/>
      <c r="AF32" s="517"/>
      <c r="AH32" s="1438" t="s">
        <v>838</v>
      </c>
      <c r="AI32" s="1438"/>
      <c r="AJ32" s="1443" t="s">
        <v>839</v>
      </c>
      <c r="AK32" s="1443"/>
      <c r="AL32" s="506"/>
      <c r="AM32" s="517"/>
    </row>
    <row r="33" spans="1:43">
      <c r="A33" s="507" t="s">
        <v>815</v>
      </c>
      <c r="B33" s="518">
        <v>9770.1565491357396</v>
      </c>
      <c r="C33" s="518">
        <v>10628.050788567198</v>
      </c>
      <c r="D33" s="518">
        <v>11571.702019099113</v>
      </c>
      <c r="E33" s="518">
        <v>12610.011676801705</v>
      </c>
      <c r="F33" s="518">
        <v>13752.814269476621</v>
      </c>
      <c r="G33" s="518">
        <v>15010.975426998164</v>
      </c>
      <c r="H33" s="518">
        <v>16396.500261547713</v>
      </c>
      <c r="I33" s="518">
        <v>16814.159921238133</v>
      </c>
      <c r="J33" s="518">
        <v>17242.460652558282</v>
      </c>
      <c r="K33" s="518">
        <v>17681.673625834392</v>
      </c>
      <c r="L33" s="518">
        <v>18132.076923260785</v>
      </c>
      <c r="M33" s="518">
        <v>18593.955715116866</v>
      </c>
      <c r="N33" s="518">
        <v>19067.602440477764</v>
      </c>
      <c r="O33" s="518">
        <v>19553.316992533273</v>
      </c>
      <c r="P33" s="518">
        <v>20051.406908632649</v>
      </c>
      <c r="Q33" s="518">
        <v>20562.187565175758</v>
      </c>
      <c r="R33" s="518">
        <v>21085.982377474276</v>
      </c>
      <c r="T33" s="517"/>
      <c r="U33" s="517"/>
      <c r="V33" s="517"/>
      <c r="W33" s="517"/>
      <c r="X33" s="517"/>
      <c r="Y33" s="517"/>
      <c r="Z33" s="517"/>
      <c r="AA33" s="517"/>
      <c r="AB33" s="517"/>
      <c r="AC33" s="517"/>
      <c r="AD33" s="517"/>
      <c r="AE33" s="517"/>
      <c r="AF33" s="517"/>
      <c r="AH33" s="68" t="s">
        <v>22</v>
      </c>
      <c r="AI33" s="68" t="s">
        <v>23</v>
      </c>
      <c r="AJ33" s="68" t="s">
        <v>22</v>
      </c>
      <c r="AK33" s="68" t="s">
        <v>23</v>
      </c>
      <c r="AM33" s="517"/>
    </row>
    <row r="34" spans="1:43">
      <c r="A34" s="507" t="s">
        <v>817</v>
      </c>
      <c r="B34" s="518">
        <v>6494.8994156383678</v>
      </c>
      <c r="C34" s="518">
        <v>7072.4206206926901</v>
      </c>
      <c r="D34" s="518">
        <v>7707.8998862825074</v>
      </c>
      <c r="E34" s="518">
        <v>8407.3594771346616</v>
      </c>
      <c r="F34" s="518">
        <v>9177.4530959354761</v>
      </c>
      <c r="G34" s="518">
        <v>10025.532241425009</v>
      </c>
      <c r="H34" s="518">
        <v>10959.719544094447</v>
      </c>
      <c r="I34" s="518">
        <v>11238.771645798688</v>
      </c>
      <c r="J34" s="518">
        <v>11524.93027497012</v>
      </c>
      <c r="K34" s="518">
        <v>11818.376448163641</v>
      </c>
      <c r="L34" s="518">
        <v>12119.295793732685</v>
      </c>
      <c r="M34" s="518">
        <v>12427.878669350392</v>
      </c>
      <c r="N34" s="518">
        <v>12744.320282526183</v>
      </c>
      <c r="O34" s="518">
        <v>13068.82081419408</v>
      </c>
      <c r="P34" s="518">
        <v>13401.585545451213</v>
      </c>
      <c r="Q34" s="518">
        <v>13742.824987526656</v>
      </c>
      <c r="R34" s="518">
        <v>14092.755015063058</v>
      </c>
      <c r="T34" s="517"/>
      <c r="U34" s="517"/>
      <c r="V34" s="517"/>
      <c r="W34" s="517"/>
      <c r="X34" s="517"/>
      <c r="Y34" s="517"/>
      <c r="Z34" s="517"/>
      <c r="AA34" s="517"/>
      <c r="AB34" s="517"/>
      <c r="AC34" s="517"/>
      <c r="AD34" s="517"/>
      <c r="AE34" s="517"/>
      <c r="AF34" s="517"/>
      <c r="AG34" s="68" t="s">
        <v>804</v>
      </c>
      <c r="AH34" s="548">
        <v>-4.5476576066117005</v>
      </c>
      <c r="AI34" s="548">
        <v>4.5476576066117005</v>
      </c>
      <c r="AJ34" s="548">
        <v>-29.868112254151335</v>
      </c>
      <c r="AK34" s="548">
        <v>0</v>
      </c>
      <c r="AM34" s="517"/>
    </row>
    <row r="35" spans="1:43">
      <c r="A35" s="507" t="s">
        <v>819</v>
      </c>
      <c r="B35" s="518">
        <v>4372.4358912595208</v>
      </c>
      <c r="C35" s="518">
        <v>4753.5378485375932</v>
      </c>
      <c r="D35" s="518">
        <v>5172.6462688317397</v>
      </c>
      <c r="E35" s="518">
        <v>5633.7036856210807</v>
      </c>
      <c r="F35" s="518">
        <v>6141.0658329511125</v>
      </c>
      <c r="G35" s="518">
        <v>6699.5450642041151</v>
      </c>
      <c r="H35" s="518">
        <v>7314.4583362628682</v>
      </c>
      <c r="I35" s="518">
        <v>7500.8225461883567</v>
      </c>
      <c r="J35" s="518">
        <v>7691.9361401478145</v>
      </c>
      <c r="K35" s="518">
        <v>7887.9201804695031</v>
      </c>
      <c r="L35" s="518">
        <v>8088.8988160810477</v>
      </c>
      <c r="M35" s="518">
        <v>8294.9993612237377</v>
      </c>
      <c r="N35" s="518">
        <v>8506.352376174651</v>
      </c>
      <c r="O35" s="518">
        <v>8723.0917500278938</v>
      </c>
      <c r="P35" s="518">
        <v>8945.3547855874203</v>
      </c>
      <c r="Q35" s="518">
        <v>9173.2822864253794</v>
      </c>
      <c r="R35" s="518">
        <v>9407.0186461611902</v>
      </c>
      <c r="T35" s="517"/>
      <c r="U35" s="517"/>
      <c r="V35" s="517"/>
      <c r="W35" s="517"/>
      <c r="X35" s="517"/>
      <c r="Y35" s="517"/>
      <c r="Z35" s="517"/>
      <c r="AA35" s="517"/>
      <c r="AB35" s="517"/>
      <c r="AC35" s="517"/>
      <c r="AD35" s="517"/>
      <c r="AE35" s="517"/>
      <c r="AF35" s="517"/>
      <c r="AG35" s="68" t="s">
        <v>806</v>
      </c>
      <c r="AH35" s="548">
        <v>-7.5794293443528344</v>
      </c>
      <c r="AI35" s="548">
        <v>1.515885868870567</v>
      </c>
      <c r="AJ35" s="548">
        <v>-3.7335140317689168</v>
      </c>
      <c r="AK35" s="548">
        <v>10.433163826710523</v>
      </c>
      <c r="AM35" s="517"/>
    </row>
    <row r="36" spans="1:43">
      <c r="A36" s="507" t="s">
        <v>821</v>
      </c>
      <c r="B36" s="518">
        <v>2493.9108716282999</v>
      </c>
      <c r="C36" s="518">
        <v>2704.6429674764449</v>
      </c>
      <c r="D36" s="518">
        <v>2936.1799489794294</v>
      </c>
      <c r="E36" s="518">
        <v>3190.6741139925375</v>
      </c>
      <c r="F36" s="518">
        <v>3470.503177268567</v>
      </c>
      <c r="G36" s="518">
        <v>3778.2939529402947</v>
      </c>
      <c r="H36" s="518">
        <v>4116.9485270575897</v>
      </c>
      <c r="I36" s="518">
        <v>4221.9537307526034</v>
      </c>
      <c r="J36" s="518">
        <v>4329.6378092355144</v>
      </c>
      <c r="K36" s="518">
        <v>4440.0691226272947</v>
      </c>
      <c r="L36" s="518">
        <v>4553.3177759252694</v>
      </c>
      <c r="M36" s="518">
        <v>4669.4556635523986</v>
      </c>
      <c r="N36" s="518">
        <v>4788.5565150442326</v>
      </c>
      <c r="O36" s="518">
        <v>4910.6959419026953</v>
      </c>
      <c r="P36" s="518">
        <v>5035.9514856463957</v>
      </c>
      <c r="Q36" s="518">
        <v>5164.4026670881412</v>
      </c>
      <c r="R36" s="518">
        <v>5296.1310368709119</v>
      </c>
      <c r="T36" s="517"/>
      <c r="U36" s="517"/>
      <c r="V36" s="517"/>
      <c r="W36" s="517"/>
      <c r="X36" s="517"/>
      <c r="Y36" s="517"/>
      <c r="Z36" s="517"/>
      <c r="AA36" s="517"/>
      <c r="AB36" s="517"/>
      <c r="AC36" s="517"/>
      <c r="AD36" s="517"/>
      <c r="AE36" s="517"/>
      <c r="AF36" s="517"/>
      <c r="AG36" s="68" t="s">
        <v>808</v>
      </c>
      <c r="AH36" s="548">
        <v>-6.0635434754822679</v>
      </c>
      <c r="AI36" s="548">
        <v>6.0635434754822679</v>
      </c>
      <c r="AJ36" s="548">
        <v>-3.7335140317689168</v>
      </c>
      <c r="AK36" s="548">
        <v>0</v>
      </c>
      <c r="AM36" s="517"/>
    </row>
    <row r="37" spans="1:43">
      <c r="A37" s="507" t="s">
        <v>823</v>
      </c>
      <c r="B37" s="518">
        <v>1368.3278735119679</v>
      </c>
      <c r="C37" s="518">
        <v>1477.7086455119543</v>
      </c>
      <c r="D37" s="518">
        <v>1597.6836059216571</v>
      </c>
      <c r="E37" s="518">
        <v>1729.3429984910804</v>
      </c>
      <c r="F37" s="518">
        <v>1873.891097862263</v>
      </c>
      <c r="G37" s="518">
        <v>2032.6581856805844</v>
      </c>
      <c r="H37" s="518">
        <v>2207.1137858068441</v>
      </c>
      <c r="I37" s="518">
        <v>2263.5123056946331</v>
      </c>
      <c r="J37" s="518">
        <v>2321.3523943442542</v>
      </c>
      <c r="K37" s="518">
        <v>2380.6709096284167</v>
      </c>
      <c r="L37" s="518">
        <v>2441.5056520795852</v>
      </c>
      <c r="M37" s="518">
        <v>2503.8953890063517</v>
      </c>
      <c r="N37" s="518">
        <v>2567.8798792269822</v>
      </c>
      <c r="O37" s="518">
        <v>2633.4998984359213</v>
      </c>
      <c r="P37" s="518">
        <v>2700.7972652194726</v>
      </c>
      <c r="Q37" s="518">
        <v>2769.8148677372706</v>
      </c>
      <c r="R37" s="518">
        <v>2840.5966910865873</v>
      </c>
      <c r="T37" s="517"/>
      <c r="U37" s="517"/>
      <c r="V37" s="517"/>
      <c r="W37" s="517"/>
      <c r="X37" s="517"/>
      <c r="Y37" s="517"/>
      <c r="Z37" s="517"/>
      <c r="AA37" s="517"/>
      <c r="AB37" s="517"/>
      <c r="AC37" s="517"/>
      <c r="AD37" s="517"/>
      <c r="AE37" s="517"/>
      <c r="AF37" s="517"/>
      <c r="AG37" s="68" t="s">
        <v>810</v>
      </c>
      <c r="AH37" s="548">
        <v>-1171.7797766369479</v>
      </c>
      <c r="AI37" s="548">
        <v>57.603663017081544</v>
      </c>
      <c r="AJ37" s="548">
        <v>-869.90876940215776</v>
      </c>
      <c r="AK37" s="548">
        <v>130.41454783388147</v>
      </c>
      <c r="AM37" s="517"/>
    </row>
    <row r="38" spans="1:43">
      <c r="A38" s="507" t="s">
        <v>825</v>
      </c>
      <c r="B38" s="518">
        <v>556.08832385089727</v>
      </c>
      <c r="C38" s="518">
        <v>597.78185987617451</v>
      </c>
      <c r="D38" s="518">
        <v>643.41805819938224</v>
      </c>
      <c r="E38" s="518">
        <v>693.3999220233494</v>
      </c>
      <c r="F38" s="518">
        <v>748.17253189013422</v>
      </c>
      <c r="G38" s="518">
        <v>808.22746290997293</v>
      </c>
      <c r="H38" s="518">
        <v>874.10766634132972</v>
      </c>
      <c r="I38" s="518">
        <v>896.49119737304807</v>
      </c>
      <c r="J38" s="518">
        <v>919.44809740824496</v>
      </c>
      <c r="K38" s="518">
        <v>942.99305855364128</v>
      </c>
      <c r="L38" s="518">
        <v>967.14114951606155</v>
      </c>
      <c r="M38" s="518">
        <v>991.90782525905956</v>
      </c>
      <c r="N38" s="518">
        <v>1017.3089369072437</v>
      </c>
      <c r="O38" s="518">
        <v>1043.3607419046543</v>
      </c>
      <c r="P38" s="518">
        <v>1070.0799144337141</v>
      </c>
      <c r="Q38" s="518">
        <v>1097.4835561014363</v>
      </c>
      <c r="R38" s="518">
        <v>1125.5892068997478</v>
      </c>
      <c r="T38" s="517"/>
      <c r="U38" s="517"/>
      <c r="V38" s="517"/>
      <c r="W38" s="517"/>
      <c r="X38" s="517"/>
      <c r="Y38" s="517"/>
      <c r="Z38" s="517"/>
      <c r="AA38" s="517"/>
      <c r="AB38" s="517"/>
      <c r="AC38" s="517"/>
      <c r="AD38" s="517"/>
      <c r="AE38" s="517"/>
      <c r="AF38" s="517"/>
      <c r="AG38" s="68" t="s">
        <v>812</v>
      </c>
      <c r="AH38" s="548">
        <v>-5228.2903617345864</v>
      </c>
      <c r="AI38" s="548">
        <v>242.54173901929073</v>
      </c>
      <c r="AJ38" s="548">
        <v>-10942.929627114698</v>
      </c>
      <c r="AK38" s="548">
        <v>1168.5143485915778</v>
      </c>
      <c r="AM38" s="517"/>
      <c r="AN38" s="68">
        <v>4.5476576066117005</v>
      </c>
      <c r="AO38" s="68">
        <v>4.5476576066117005</v>
      </c>
      <c r="AP38" s="68">
        <v>29.868112254151335</v>
      </c>
      <c r="AQ38" s="68">
        <v>0</v>
      </c>
    </row>
    <row r="39" spans="1:43">
      <c r="A39" s="507" t="s">
        <v>827</v>
      </c>
      <c r="B39" s="518">
        <v>198.532857686542</v>
      </c>
      <c r="C39" s="518">
        <v>211.68740357660135</v>
      </c>
      <c r="D39" s="518">
        <v>226.02193243037601</v>
      </c>
      <c r="E39" s="518">
        <v>241.65518394863173</v>
      </c>
      <c r="F39" s="518">
        <v>258.71824460296546</v>
      </c>
      <c r="G39" s="518">
        <v>277.35584243788361</v>
      </c>
      <c r="H39" s="518">
        <v>297.72777795043885</v>
      </c>
      <c r="I39" s="518">
        <v>305.38229596221811</v>
      </c>
      <c r="J39" s="518">
        <v>313.2336841718037</v>
      </c>
      <c r="K39" s="518">
        <v>321.28700790121451</v>
      </c>
      <c r="L39" s="518">
        <v>329.54746284926375</v>
      </c>
      <c r="M39" s="518">
        <v>338.0203784486327</v>
      </c>
      <c r="N39" s="518">
        <v>346.71122130941808</v>
      </c>
      <c r="O39" s="518">
        <v>355.62559875138288</v>
      </c>
      <c r="P39" s="518">
        <v>364.76926242719628</v>
      </c>
      <c r="Q39" s="518">
        <v>374.14811203900729</v>
      </c>
      <c r="R39" s="518">
        <v>383.76819915075725</v>
      </c>
      <c r="T39" s="517"/>
      <c r="U39" s="517"/>
      <c r="V39" s="517"/>
      <c r="W39" s="517"/>
      <c r="X39" s="517"/>
      <c r="Y39" s="517"/>
      <c r="Z39" s="517"/>
      <c r="AA39" s="517"/>
      <c r="AB39" s="517"/>
      <c r="AC39" s="517"/>
      <c r="AD39" s="517"/>
      <c r="AE39" s="517"/>
      <c r="AF39" s="517"/>
      <c r="AG39" s="68" t="s">
        <v>814</v>
      </c>
      <c r="AH39" s="548">
        <v>-4620.420128317488</v>
      </c>
      <c r="AI39" s="548">
        <v>136.429728198351</v>
      </c>
      <c r="AJ39" s="548">
        <v>-21717.851122799791</v>
      </c>
      <c r="AK39" s="548">
        <v>1804.9373420209197</v>
      </c>
      <c r="AM39" s="517"/>
      <c r="AN39" s="68">
        <v>7.5794293443528344</v>
      </c>
      <c r="AO39" s="68">
        <v>1.515885868870567</v>
      </c>
      <c r="AP39" s="68">
        <v>3.7335140317689168</v>
      </c>
      <c r="AQ39" s="68">
        <v>10.433163826710523</v>
      </c>
    </row>
    <row r="40" spans="1:43">
      <c r="A40" s="507" t="s">
        <v>829</v>
      </c>
      <c r="B40" s="518">
        <v>75.510952562180663</v>
      </c>
      <c r="C40" s="518">
        <v>80.14165004461924</v>
      </c>
      <c r="D40" s="518">
        <v>85.172151073583379</v>
      </c>
      <c r="E40" s="518">
        <v>90.642206130464672</v>
      </c>
      <c r="F40" s="518">
        <v>96.595685780200569</v>
      </c>
      <c r="G40" s="518">
        <v>103.08101239032433</v>
      </c>
      <c r="H40" s="518">
        <v>110.15163721231838</v>
      </c>
      <c r="I40" s="518">
        <v>112.99049779695147</v>
      </c>
      <c r="J40" s="518">
        <v>115.90255097305734</v>
      </c>
      <c r="K40" s="518">
        <v>118.88968456101072</v>
      </c>
      <c r="L40" s="518">
        <v>121.95383509196841</v>
      </c>
      <c r="M40" s="518">
        <v>125.09698906523228</v>
      </c>
      <c r="N40" s="518">
        <v>128.32118423808114</v>
      </c>
      <c r="O40" s="518">
        <v>131.62851094891059</v>
      </c>
      <c r="P40" s="518">
        <v>135.02111347454053</v>
      </c>
      <c r="Q40" s="518">
        <v>138.50119142257375</v>
      </c>
      <c r="R40" s="518">
        <v>142.07100115971102</v>
      </c>
      <c r="T40" s="517"/>
      <c r="U40" s="517"/>
      <c r="V40" s="517"/>
      <c r="W40" s="517"/>
      <c r="X40" s="517"/>
      <c r="Y40" s="517"/>
      <c r="Z40" s="517"/>
      <c r="AA40" s="517"/>
      <c r="AB40" s="517"/>
      <c r="AC40" s="517"/>
      <c r="AD40" s="517"/>
      <c r="AE40" s="517"/>
      <c r="AF40" s="517"/>
      <c r="AG40" s="68" t="s">
        <v>816</v>
      </c>
      <c r="AH40" s="548">
        <v>-3262.1863898094603</v>
      </c>
      <c r="AI40" s="548">
        <v>66.698978230304959</v>
      </c>
      <c r="AJ40" s="548">
        <v>-17823.795987664813</v>
      </c>
      <c r="AK40" s="548">
        <v>1309.3620602521701</v>
      </c>
      <c r="AM40" s="517"/>
      <c r="AN40" s="68">
        <v>6.0635434754822679</v>
      </c>
      <c r="AO40" s="68">
        <v>6.0635434754822679</v>
      </c>
      <c r="AP40" s="68">
        <v>3.7335140317689168</v>
      </c>
      <c r="AQ40" s="68">
        <v>0</v>
      </c>
    </row>
    <row r="41" spans="1:43">
      <c r="A41" s="507" t="s">
        <v>831</v>
      </c>
      <c r="B41" s="518">
        <v>28.361836812363144</v>
      </c>
      <c r="C41" s="518">
        <v>30.241057653800198</v>
      </c>
      <c r="D41" s="518">
        <v>32.288847490053705</v>
      </c>
      <c r="E41" s="518">
        <v>34.522169135518823</v>
      </c>
      <c r="F41" s="518">
        <v>36.959749228995065</v>
      </c>
      <c r="G41" s="518">
        <v>39.622263205411947</v>
      </c>
      <c r="H41" s="518">
        <v>42.532539707205551</v>
      </c>
      <c r="I41" s="518">
        <v>43.626042280316881</v>
      </c>
      <c r="J41" s="518">
        <v>44.747669167400538</v>
      </c>
      <c r="K41" s="518">
        <v>45.898143985887778</v>
      </c>
      <c r="L41" s="518">
        <v>47.078208978466243</v>
      </c>
      <c r="M41" s="518">
        <v>48.288625492661801</v>
      </c>
      <c r="N41" s="518">
        <v>49.530174472774007</v>
      </c>
      <c r="O41" s="518">
        <v>50.803656964483267</v>
      </c>
      <c r="P41" s="518">
        <v>52.109894632456609</v>
      </c>
      <c r="Q41" s="518">
        <v>53.449730291286762</v>
      </c>
      <c r="R41" s="518">
        <v>54.824028450108187</v>
      </c>
      <c r="T41" s="517"/>
      <c r="U41" s="517"/>
      <c r="V41" s="517"/>
      <c r="W41" s="517"/>
      <c r="X41" s="517"/>
      <c r="Y41" s="517"/>
      <c r="Z41" s="517"/>
      <c r="AA41" s="517"/>
      <c r="AB41" s="517"/>
      <c r="AC41" s="517"/>
      <c r="AD41" s="517"/>
      <c r="AE41" s="517"/>
      <c r="AF41" s="517"/>
      <c r="AG41" s="68" t="s">
        <v>818</v>
      </c>
      <c r="AH41" s="548">
        <v>-2029.771178417689</v>
      </c>
      <c r="AI41" s="548">
        <v>28.801831508540769</v>
      </c>
      <c r="AJ41" s="548">
        <v>-12062.983836645371</v>
      </c>
      <c r="AK41" s="548">
        <v>730.32146786973613</v>
      </c>
      <c r="AM41" s="517"/>
      <c r="AN41" s="68">
        <v>1171.7797766369479</v>
      </c>
      <c r="AO41" s="68">
        <v>57.603663017081544</v>
      </c>
      <c r="AP41" s="68">
        <v>869.90876940215776</v>
      </c>
      <c r="AQ41" s="68">
        <v>130.41454783388147</v>
      </c>
    </row>
    <row r="42" spans="1:43">
      <c r="A42" s="507" t="s">
        <v>833</v>
      </c>
      <c r="B42" s="518">
        <v>5.5957596458181271</v>
      </c>
      <c r="C42" s="518">
        <v>5.8689509466906582</v>
      </c>
      <c r="D42" s="518">
        <v>6.1625682028164146</v>
      </c>
      <c r="E42" s="518">
        <v>6.478540847362293</v>
      </c>
      <c r="F42" s="518">
        <v>6.8189954707930971</v>
      </c>
      <c r="G42" s="518">
        <v>7.1862764042837348</v>
      </c>
      <c r="H42" s="518">
        <v>7.5829684639091841</v>
      </c>
      <c r="I42" s="518">
        <v>7.7797282828526626</v>
      </c>
      <c r="J42" s="518">
        <v>7.9815954330528456</v>
      </c>
      <c r="K42" s="518">
        <v>8.1887025349398748</v>
      </c>
      <c r="L42" s="518">
        <v>8.4011856539014662</v>
      </c>
      <c r="M42" s="518">
        <v>8.6191843898013563</v>
      </c>
      <c r="N42" s="518">
        <v>8.8428419688247271</v>
      </c>
      <c r="O42" s="518">
        <v>9.0723053377111427</v>
      </c>
      <c r="P42" s="518">
        <v>9.307725260437067</v>
      </c>
      <c r="Q42" s="518">
        <v>9.5492564174116517</v>
      </c>
      <c r="R42" s="518">
        <v>9.7970575072511856</v>
      </c>
      <c r="T42" s="517"/>
      <c r="U42" s="517"/>
      <c r="V42" s="517"/>
      <c r="W42" s="517"/>
      <c r="X42" s="517"/>
      <c r="Y42" s="517"/>
      <c r="Z42" s="517"/>
      <c r="AA42" s="517"/>
      <c r="AB42" s="517"/>
      <c r="AC42" s="517"/>
      <c r="AD42" s="517"/>
      <c r="AE42" s="517"/>
      <c r="AF42" s="517"/>
      <c r="AG42" s="68" t="s">
        <v>820</v>
      </c>
      <c r="AH42" s="548">
        <v>-1514.369983001696</v>
      </c>
      <c r="AI42" s="548">
        <v>21.222402164187937</v>
      </c>
      <c r="AJ42" s="548">
        <v>-7892.6486631594926</v>
      </c>
      <c r="AK42" s="548">
        <v>344.29440628144715</v>
      </c>
      <c r="AM42" s="517"/>
      <c r="AN42" s="68">
        <v>5228.2903617345864</v>
      </c>
      <c r="AO42" s="68">
        <v>242.54173901929073</v>
      </c>
      <c r="AP42" s="68">
        <v>10942.929627114698</v>
      </c>
      <c r="AQ42" s="68">
        <v>1168.5143485915778</v>
      </c>
    </row>
    <row r="43" spans="1:43">
      <c r="A43" s="521" t="s">
        <v>835</v>
      </c>
      <c r="B43" s="540">
        <v>2.5957596458181271</v>
      </c>
      <c r="C43" s="540">
        <v>2.7899281012703319</v>
      </c>
      <c r="D43" s="540">
        <v>3.002440975276321</v>
      </c>
      <c r="E43" s="540">
        <v>3.2351728713520451</v>
      </c>
      <c r="F43" s="540">
        <v>3.4901941060463511</v>
      </c>
      <c r="G43" s="540">
        <v>3.7697912543098715</v>
      </c>
      <c r="H43" s="540">
        <v>4.0764898546395791</v>
      </c>
      <c r="I43" s="540">
        <v>4.18088570121306</v>
      </c>
      <c r="J43" s="540">
        <v>4.2879559244062442</v>
      </c>
      <c r="K43" s="540">
        <v>4.3977690583165439</v>
      </c>
      <c r="L43" s="540">
        <v>4.5103953939041546</v>
      </c>
      <c r="M43" s="540">
        <v>4.6259070240444844</v>
      </c>
      <c r="N43" s="540">
        <v>4.7443778897362909</v>
      </c>
      <c r="O43" s="540">
        <v>4.8658838274951854</v>
      </c>
      <c r="P43" s="540">
        <v>4.9905026179629317</v>
      </c>
      <c r="Q43" s="540">
        <v>5.1183140357637287</v>
      </c>
      <c r="R43" s="540">
        <v>5.2493999006394834</v>
      </c>
      <c r="T43" s="517"/>
      <c r="U43" s="517"/>
      <c r="V43" s="517"/>
      <c r="W43" s="517"/>
      <c r="X43" s="517"/>
      <c r="Y43" s="517"/>
      <c r="Z43" s="517"/>
      <c r="AA43" s="517"/>
      <c r="AB43" s="517"/>
      <c r="AC43" s="517"/>
      <c r="AD43" s="517"/>
      <c r="AE43" s="517"/>
      <c r="AF43" s="517"/>
      <c r="AG43" s="68" t="s">
        <v>822</v>
      </c>
      <c r="AH43" s="548">
        <v>-991.38935824135081</v>
      </c>
      <c r="AI43" s="548">
        <v>6.0635434754822679</v>
      </c>
      <c r="AJ43" s="548">
        <v>-4304.7416786295607</v>
      </c>
      <c r="AK43" s="548">
        <v>161.71403931401304</v>
      </c>
      <c r="AM43" s="517"/>
      <c r="AN43" s="68">
        <v>4620.420128317488</v>
      </c>
      <c r="AO43" s="513">
        <v>136.429728198351</v>
      </c>
      <c r="AP43" s="68">
        <v>21717.851122799791</v>
      </c>
      <c r="AQ43" s="513">
        <v>1804.9373420209197</v>
      </c>
    </row>
    <row r="44" spans="1:43">
      <c r="A44" s="507"/>
      <c r="B44" s="518"/>
      <c r="C44" s="518"/>
      <c r="D44" s="518"/>
      <c r="E44" s="518"/>
      <c r="F44" s="518"/>
      <c r="G44" s="518"/>
      <c r="H44" s="518"/>
      <c r="I44" s="518"/>
      <c r="J44" s="518"/>
      <c r="K44" s="518"/>
      <c r="L44" s="518"/>
      <c r="M44" s="518"/>
      <c r="N44" s="518"/>
      <c r="O44" s="518"/>
      <c r="P44" s="518"/>
      <c r="Q44" s="518"/>
      <c r="R44" s="518"/>
      <c r="T44" s="517"/>
      <c r="U44" s="517"/>
      <c r="V44" s="517"/>
      <c r="W44" s="517"/>
      <c r="X44" s="517"/>
      <c r="Y44" s="517"/>
      <c r="Z44" s="517"/>
      <c r="AA44" s="517"/>
      <c r="AB44" s="517"/>
      <c r="AC44" s="517"/>
      <c r="AD44" s="517"/>
      <c r="AE44" s="517"/>
      <c r="AF44" s="517"/>
      <c r="AG44" s="68" t="s">
        <v>824</v>
      </c>
      <c r="AH44" s="548">
        <v>-663.9580105653082</v>
      </c>
      <c r="AI44" s="548">
        <v>15.158858688705669</v>
      </c>
      <c r="AJ44" s="548">
        <v>-2176.6386805212787</v>
      </c>
      <c r="AK44" s="548">
        <v>57.382401046907859</v>
      </c>
      <c r="AM44" s="517"/>
      <c r="AN44" s="68">
        <v>3262.1863898094603</v>
      </c>
      <c r="AO44" s="517">
        <v>66.698978230304959</v>
      </c>
      <c r="AP44" s="68">
        <v>17823.795987664813</v>
      </c>
      <c r="AQ44" s="517">
        <v>1309.3620602521701</v>
      </c>
    </row>
    <row r="45" spans="1:43">
      <c r="A45" s="536"/>
      <c r="B45" s="518"/>
      <c r="C45" s="518"/>
      <c r="D45" s="518"/>
      <c r="E45" s="518"/>
      <c r="F45" s="518"/>
      <c r="G45" s="518"/>
      <c r="H45" s="518"/>
      <c r="I45" s="518"/>
      <c r="J45" s="518"/>
      <c r="K45" s="518"/>
      <c r="L45" s="518"/>
      <c r="M45" s="518"/>
      <c r="N45" s="518"/>
      <c r="O45" s="518"/>
      <c r="P45" s="518"/>
      <c r="Q45" s="518"/>
      <c r="R45" s="518"/>
      <c r="T45" s="517"/>
      <c r="U45" s="517"/>
      <c r="V45" s="517"/>
      <c r="W45" s="517"/>
      <c r="X45" s="517"/>
      <c r="Y45" s="517"/>
      <c r="Z45" s="517"/>
      <c r="AA45" s="517"/>
      <c r="AB45" s="517"/>
      <c r="AC45" s="517"/>
      <c r="AD45" s="517"/>
      <c r="AE45" s="517"/>
      <c r="AF45" s="517"/>
      <c r="AG45" s="68" t="s">
        <v>826</v>
      </c>
      <c r="AH45" s="548">
        <v>-322.88369006943077</v>
      </c>
      <c r="AI45" s="548">
        <v>4.5476576066117005</v>
      </c>
      <c r="AJ45" s="548">
        <v>-802.70551683031726</v>
      </c>
      <c r="AK45" s="548">
        <v>13.041454783388154</v>
      </c>
      <c r="AM45" s="517"/>
      <c r="AN45" s="68">
        <v>2029.771178417689</v>
      </c>
      <c r="AO45" s="517">
        <v>28.801831508540769</v>
      </c>
      <c r="AP45" s="68">
        <v>12062.983836645371</v>
      </c>
      <c r="AQ45" s="517">
        <v>730.32146786973613</v>
      </c>
    </row>
    <row r="46" spans="1:43">
      <c r="A46" s="542" t="s">
        <v>23</v>
      </c>
      <c r="B46" s="551">
        <f>SUM(B47:B63)</f>
        <v>2852.0687938588685</v>
      </c>
      <c r="C46" s="551">
        <f t="shared" ref="C46:R46" si="2">SUM(C47:C63)</f>
        <v>3120.8856493310386</v>
      </c>
      <c r="D46" s="551">
        <f t="shared" si="2"/>
        <v>3417.1540201012831</v>
      </c>
      <c r="E46" s="551">
        <f t="shared" si="2"/>
        <v>3743.7394023852239</v>
      </c>
      <c r="F46" s="551">
        <f t="shared" si="2"/>
        <v>4103.8080901739631</v>
      </c>
      <c r="G46" s="551">
        <f t="shared" si="2"/>
        <v>4500.8587954218519</v>
      </c>
      <c r="H46" s="551">
        <f t="shared" si="2"/>
        <v>4938.7575933635762</v>
      </c>
      <c r="I46" s="551">
        <f t="shared" si="2"/>
        <v>5064.2564478422464</v>
      </c>
      <c r="J46" s="551">
        <f t="shared" si="2"/>
        <v>5192.9447963043949</v>
      </c>
      <c r="K46" s="551">
        <f t="shared" si="2"/>
        <v>5324.9037097873506</v>
      </c>
      <c r="L46" s="551">
        <f t="shared" si="2"/>
        <v>5460.2163203074961</v>
      </c>
      <c r="M46" s="551">
        <f t="shared" si="2"/>
        <v>5598.9678732622078</v>
      </c>
      <c r="N46" s="551">
        <f t="shared" si="2"/>
        <v>5741.2457811643571</v>
      </c>
      <c r="O46" s="551">
        <f t="shared" si="2"/>
        <v>5887.1396787432795</v>
      </c>
      <c r="P46" s="551">
        <f t="shared" si="2"/>
        <v>6036.7414794469641</v>
      </c>
      <c r="Q46" s="551">
        <f t="shared" si="2"/>
        <v>6190.1454333810698</v>
      </c>
      <c r="R46" s="551">
        <f t="shared" si="2"/>
        <v>6347.4481867213717</v>
      </c>
      <c r="T46" s="517"/>
      <c r="U46" s="517"/>
      <c r="V46" s="517"/>
      <c r="W46" s="517"/>
      <c r="X46" s="517"/>
      <c r="Y46" s="517"/>
      <c r="Z46" s="517"/>
      <c r="AA46" s="517"/>
      <c r="AB46" s="517"/>
      <c r="AC46" s="517"/>
      <c r="AD46" s="517"/>
      <c r="AE46" s="517"/>
      <c r="AF46" s="517"/>
      <c r="AG46" s="68" t="s">
        <v>828</v>
      </c>
      <c r="AH46" s="548">
        <v>-148.55681514931555</v>
      </c>
      <c r="AI46" s="548">
        <v>4.5476576066117005</v>
      </c>
      <c r="AJ46" s="548">
        <v>-235.21138400144173</v>
      </c>
      <c r="AK46" s="548">
        <v>10.433163826710523</v>
      </c>
      <c r="AM46" s="517"/>
      <c r="AN46" s="68">
        <v>1514.369983001696</v>
      </c>
      <c r="AO46" s="517">
        <v>21.222402164187937</v>
      </c>
      <c r="AP46" s="68">
        <v>7892.6486631594926</v>
      </c>
      <c r="AQ46" s="517">
        <v>344.29440628144715</v>
      </c>
    </row>
    <row r="47" spans="1:43">
      <c r="A47" s="518" t="s">
        <v>803</v>
      </c>
      <c r="B47" s="518">
        <v>3</v>
      </c>
      <c r="C47" s="518">
        <v>3.0790228454203259</v>
      </c>
      <c r="D47" s="518">
        <v>3.1601272275400936</v>
      </c>
      <c r="E47" s="518">
        <v>3.2433679760102487</v>
      </c>
      <c r="F47" s="518">
        <v>3.3288013647467469</v>
      </c>
      <c r="G47" s="518">
        <v>3.4164851499738642</v>
      </c>
      <c r="H47" s="518">
        <v>3.506478609269605</v>
      </c>
      <c r="I47" s="518">
        <v>3.5988425816396026</v>
      </c>
      <c r="J47" s="518">
        <v>3.6936395086466005</v>
      </c>
      <c r="K47" s="518">
        <v>3.79093347662333</v>
      </c>
      <c r="L47" s="518">
        <v>3.8907902599973121</v>
      </c>
      <c r="M47" s="518">
        <v>3.9932773657568714</v>
      </c>
      <c r="N47" s="518">
        <v>4.0984640790884352</v>
      </c>
      <c r="O47" s="518">
        <v>4.2064215102159572</v>
      </c>
      <c r="P47" s="518">
        <v>4.3172226424741345</v>
      </c>
      <c r="Q47" s="518">
        <v>4.430942381647923</v>
      </c>
      <c r="R47" s="518">
        <v>4.5476576066117005</v>
      </c>
      <c r="T47" s="517"/>
      <c r="U47" s="517"/>
      <c r="V47" s="517"/>
      <c r="W47" s="517"/>
      <c r="X47" s="517"/>
      <c r="Y47" s="517"/>
      <c r="Z47" s="517"/>
      <c r="AA47" s="517"/>
      <c r="AB47" s="517"/>
      <c r="AC47" s="517"/>
      <c r="AD47" s="517"/>
      <c r="AE47" s="517"/>
      <c r="AF47" s="517"/>
      <c r="AG47" s="68" t="s">
        <v>830</v>
      </c>
      <c r="AH47" s="548">
        <v>-63.667206492563821</v>
      </c>
      <c r="AI47" s="548">
        <v>0</v>
      </c>
      <c r="AJ47" s="548">
        <v>-78.403794667147253</v>
      </c>
      <c r="AK47" s="548">
        <v>5.2165819133552613</v>
      </c>
      <c r="AM47" s="517"/>
      <c r="AN47" s="68">
        <v>991.38935824135081</v>
      </c>
      <c r="AO47" s="550">
        <v>6.0635434754822679</v>
      </c>
      <c r="AP47" s="68">
        <v>4304.7416786295607</v>
      </c>
      <c r="AQ47" s="550">
        <v>161.71403931401304</v>
      </c>
    </row>
    <row r="48" spans="1:43">
      <c r="A48" s="518" t="s">
        <v>805</v>
      </c>
      <c r="B48" s="518">
        <v>5.4592900070033901</v>
      </c>
      <c r="C48" s="518">
        <v>5.9546185794789404</v>
      </c>
      <c r="D48" s="518">
        <v>6.4999648565033903</v>
      </c>
      <c r="E48" s="518">
        <v>7.1005345501592672</v>
      </c>
      <c r="F48" s="518">
        <v>7.7620794213081545</v>
      </c>
      <c r="G48" s="518">
        <v>8.4909546700916376</v>
      </c>
      <c r="H48" s="518">
        <v>9.2941823612442747</v>
      </c>
      <c r="I48" s="518">
        <v>9.5306647224818626</v>
      </c>
      <c r="J48" s="518">
        <v>9.7731652463775269</v>
      </c>
      <c r="K48" s="518">
        <v>10.021837115375252</v>
      </c>
      <c r="L48" s="518">
        <v>10.276837411664895</v>
      </c>
      <c r="M48" s="518">
        <v>10.538327216481969</v>
      </c>
      <c r="N48" s="518">
        <v>10.806471711936396</v>
      </c>
      <c r="O48" s="518">
        <v>11.081440285434685</v>
      </c>
      <c r="P48" s="518">
        <v>11.36340663676156</v>
      </c>
      <c r="Q48" s="518">
        <v>11.652548887888862</v>
      </c>
      <c r="R48" s="518">
        <v>11.949049695581088</v>
      </c>
      <c r="T48" s="517"/>
      <c r="U48" s="517"/>
      <c r="V48" s="517"/>
      <c r="W48" s="517"/>
      <c r="X48" s="517"/>
      <c r="Y48" s="517"/>
      <c r="Z48" s="517"/>
      <c r="AA48" s="517"/>
      <c r="AB48" s="517"/>
      <c r="AC48" s="517"/>
      <c r="AD48" s="517"/>
      <c r="AE48" s="517"/>
      <c r="AF48" s="517"/>
      <c r="AG48" s="68" t="s">
        <v>832</v>
      </c>
      <c r="AH48" s="548">
        <v>-21.22240216418794</v>
      </c>
      <c r="AI48" s="548">
        <v>1.515885868870567</v>
      </c>
      <c r="AJ48" s="548">
        <v>-33.601626285920247</v>
      </c>
      <c r="AK48" s="548">
        <v>0</v>
      </c>
      <c r="AM48" s="517"/>
      <c r="AN48" s="68">
        <v>663.9580105653082</v>
      </c>
      <c r="AO48" s="517">
        <v>15.158858688705669</v>
      </c>
      <c r="AP48" s="68">
        <v>2176.6386805212787</v>
      </c>
      <c r="AQ48" s="517">
        <v>57.382401046907859</v>
      </c>
    </row>
    <row r="49" spans="1:68">
      <c r="A49" s="518" t="s">
        <v>807</v>
      </c>
      <c r="B49" s="518">
        <v>4</v>
      </c>
      <c r="C49" s="518">
        <v>4.1053637938937682</v>
      </c>
      <c r="D49" s="518">
        <v>4.2135029700534581</v>
      </c>
      <c r="E49" s="518">
        <v>4.3244906346803313</v>
      </c>
      <c r="F49" s="518">
        <v>4.4384018196623289</v>
      </c>
      <c r="G49" s="518">
        <v>4.5553135332984853</v>
      </c>
      <c r="H49" s="518">
        <v>4.6753048123594736</v>
      </c>
      <c r="I49" s="518">
        <v>4.7984567755194698</v>
      </c>
      <c r="J49" s="518">
        <v>4.9248526781954673</v>
      </c>
      <c r="K49" s="518">
        <v>5.054577968831107</v>
      </c>
      <c r="L49" s="518">
        <v>5.1877203466630828</v>
      </c>
      <c r="M49" s="518">
        <v>5.3243698210091619</v>
      </c>
      <c r="N49" s="518">
        <v>5.4646187721179142</v>
      </c>
      <c r="O49" s="518">
        <v>5.6085620136212766</v>
      </c>
      <c r="P49" s="518">
        <v>5.7562968566321793</v>
      </c>
      <c r="Q49" s="518">
        <v>5.9079231755305637</v>
      </c>
      <c r="R49" s="518">
        <v>6.0635434754822679</v>
      </c>
      <c r="T49" s="517"/>
      <c r="U49" s="517"/>
      <c r="V49" s="517"/>
      <c r="W49" s="517"/>
      <c r="X49" s="517"/>
      <c r="Y49" s="517"/>
      <c r="Z49" s="517"/>
      <c r="AA49" s="517"/>
      <c r="AB49" s="517"/>
      <c r="AC49" s="517"/>
      <c r="AD49" s="517"/>
      <c r="AE49" s="517"/>
      <c r="AF49" s="517"/>
      <c r="AG49" s="68" t="s">
        <v>834</v>
      </c>
      <c r="AH49" s="548">
        <v>-7.5794293443528353</v>
      </c>
      <c r="AI49" s="548">
        <v>1.515885868870567</v>
      </c>
      <c r="AJ49" s="548">
        <v>-7.4670280635378337</v>
      </c>
      <c r="AK49" s="548">
        <v>2.6082909566776307</v>
      </c>
      <c r="AM49" s="517"/>
      <c r="AN49" s="68">
        <v>322.88369006943077</v>
      </c>
      <c r="AO49" s="517">
        <v>4.5476576066117005</v>
      </c>
      <c r="AP49" s="68">
        <v>802.70551683031726</v>
      </c>
      <c r="AQ49" s="517">
        <v>13.041454783388154</v>
      </c>
    </row>
    <row r="50" spans="1:68">
      <c r="A50" s="518" t="s">
        <v>809</v>
      </c>
      <c r="B50" s="518">
        <v>93.741125087542386</v>
      </c>
      <c r="C50" s="518">
        <v>100.60442642955954</v>
      </c>
      <c r="D50" s="518">
        <v>108.11064214038318</v>
      </c>
      <c r="E50" s="518">
        <v>116.32530967307795</v>
      </c>
      <c r="F50" s="518">
        <v>125.32080436669928</v>
      </c>
      <c r="G50" s="518">
        <v>135.1770571509233</v>
      </c>
      <c r="H50" s="518">
        <v>145.98234769434507</v>
      </c>
      <c r="I50" s="518">
        <v>149.72347097495992</v>
      </c>
      <c r="J50" s="518">
        <v>153.5605014032152</v>
      </c>
      <c r="K50" s="518">
        <v>157.49589849348894</v>
      </c>
      <c r="L50" s="518">
        <v>161.5321848557883</v>
      </c>
      <c r="M50" s="518">
        <v>165.67194781495797</v>
      </c>
      <c r="N50" s="518">
        <v>169.91784107145662</v>
      </c>
      <c r="O50" s="518">
        <v>174.27258640476919</v>
      </c>
      <c r="P50" s="518">
        <v>178.73897542054962</v>
      </c>
      <c r="Q50" s="518">
        <v>183.31987134261809</v>
      </c>
      <c r="R50" s="518">
        <v>188.01821085096304</v>
      </c>
      <c r="T50" s="517"/>
      <c r="U50" s="517"/>
      <c r="V50" s="517"/>
      <c r="W50" s="517"/>
      <c r="X50" s="517"/>
      <c r="Y50" s="517"/>
      <c r="Z50" s="517"/>
      <c r="AA50" s="517"/>
      <c r="AB50" s="517"/>
      <c r="AC50" s="517"/>
      <c r="AD50" s="517"/>
      <c r="AE50" s="517"/>
      <c r="AF50" s="517"/>
      <c r="AG50" s="68" t="s">
        <v>836</v>
      </c>
      <c r="AH50" s="523">
        <f>SUM(AH34:AH49)</f>
        <v>-20064.265360370824</v>
      </c>
      <c r="AI50" s="523">
        <f>SUM(AI34:AI49)</f>
        <v>598.77491820387377</v>
      </c>
      <c r="AJ50" s="523">
        <f>SUM(AJ34:AJ49)</f>
        <v>-78986.22285610321</v>
      </c>
      <c r="AK50" s="523">
        <f>SUM(AK34:AK49)</f>
        <v>5748.6732685174948</v>
      </c>
      <c r="AL50" s="517"/>
      <c r="AM50" s="517"/>
      <c r="AN50" s="68">
        <v>148.55681514931555</v>
      </c>
      <c r="AO50" s="517">
        <v>4.5476576066117005</v>
      </c>
      <c r="AP50" s="68">
        <v>235.21138400144173</v>
      </c>
      <c r="AQ50" s="517">
        <v>10.433163826710523</v>
      </c>
    </row>
    <row r="51" spans="1:68">
      <c r="A51" s="518" t="s">
        <v>811</v>
      </c>
      <c r="B51" s="518">
        <v>659.44048078437959</v>
      </c>
      <c r="C51" s="518">
        <v>716.18164642836655</v>
      </c>
      <c r="D51" s="518">
        <v>778.55809956902124</v>
      </c>
      <c r="E51" s="518">
        <v>847.153757234002</v>
      </c>
      <c r="F51" s="518">
        <v>922.6137170224614</v>
      </c>
      <c r="G51" s="518">
        <v>1005.6506854498454</v>
      </c>
      <c r="H51" s="518">
        <v>1097.0520822076724</v>
      </c>
      <c r="I51" s="518">
        <v>1125.0159302242021</v>
      </c>
      <c r="J51" s="518">
        <v>1153.6927397326288</v>
      </c>
      <c r="K51" s="518">
        <v>1183.100692548001</v>
      </c>
      <c r="L51" s="518">
        <v>1213.2584342664254</v>
      </c>
      <c r="M51" s="518">
        <v>1244.1850860980903</v>
      </c>
      <c r="N51" s="518">
        <v>1275.9002570022915</v>
      </c>
      <c r="O51" s="518">
        <v>1308.4240561321394</v>
      </c>
      <c r="P51" s="518">
        <v>1341.7771055968806</v>
      </c>
      <c r="Q51" s="518">
        <v>1375.9805535499193</v>
      </c>
      <c r="R51" s="518">
        <v>1411.0560876108686</v>
      </c>
      <c r="T51" s="517"/>
      <c r="U51" s="517"/>
      <c r="V51" s="517"/>
      <c r="W51" s="517"/>
      <c r="X51" s="517"/>
      <c r="Y51" s="517"/>
      <c r="Z51" s="517"/>
      <c r="AA51" s="517"/>
      <c r="AB51" s="517"/>
      <c r="AC51" s="517"/>
      <c r="AD51" s="517"/>
      <c r="AE51" s="517"/>
      <c r="AF51" s="517"/>
      <c r="AG51" s="517"/>
      <c r="AH51" s="517"/>
      <c r="AI51" s="517"/>
      <c r="AJ51" s="517"/>
      <c r="AK51" s="517"/>
      <c r="AL51" s="517"/>
      <c r="AM51" s="517"/>
      <c r="AN51" s="68">
        <v>63.667206492563821</v>
      </c>
      <c r="AO51" s="517">
        <v>0</v>
      </c>
      <c r="AP51" s="68">
        <v>78.403794667147253</v>
      </c>
      <c r="AQ51" s="517">
        <v>5.2165819133552613</v>
      </c>
    </row>
    <row r="52" spans="1:68">
      <c r="A52" s="518" t="s">
        <v>813</v>
      </c>
      <c r="B52" s="518">
        <v>861.45717121158646</v>
      </c>
      <c r="C52" s="518">
        <v>944.96271552656094</v>
      </c>
      <c r="D52" s="518">
        <v>1037.0637335464769</v>
      </c>
      <c r="E52" s="518">
        <v>1138.6592965079365</v>
      </c>
      <c r="F52" s="518">
        <v>1250.7429021283174</v>
      </c>
      <c r="G52" s="518">
        <v>1374.4124021099099</v>
      </c>
      <c r="H52" s="518">
        <v>1510.8809736388</v>
      </c>
      <c r="I52" s="518">
        <v>1549.2370188973332</v>
      </c>
      <c r="J52" s="518">
        <v>1588.5668945507564</v>
      </c>
      <c r="K52" s="518">
        <v>1628.8953281066729</v>
      </c>
      <c r="L52" s="518">
        <v>1670.2476750247672</v>
      </c>
      <c r="M52" s="518">
        <v>1712.64993466544</v>
      </c>
      <c r="N52" s="518">
        <v>1756.1287666435496</v>
      </c>
      <c r="O52" s="518">
        <v>1800.7115075975582</v>
      </c>
      <c r="P52" s="518">
        <v>1846.4261883846318</v>
      </c>
      <c r="Q52" s="518">
        <v>1893.3015517125134</v>
      </c>
      <c r="R52" s="518">
        <v>1941.3670702192708</v>
      </c>
      <c r="T52" s="517"/>
      <c r="U52" s="517"/>
      <c r="V52" s="517"/>
      <c r="W52" s="517"/>
      <c r="X52" s="517"/>
      <c r="Y52" s="517"/>
      <c r="Z52" s="517"/>
      <c r="AA52" s="517"/>
      <c r="AB52" s="517"/>
      <c r="AC52" s="517"/>
      <c r="AD52" s="517"/>
      <c r="AE52" s="517"/>
      <c r="AF52" s="517"/>
      <c r="AG52" s="517"/>
      <c r="AH52" s="517"/>
      <c r="AI52" s="517"/>
      <c r="AJ52" s="517"/>
      <c r="AK52" s="517"/>
      <c r="AL52" s="517"/>
      <c r="AM52" s="517"/>
      <c r="AN52" s="68">
        <v>21.22240216418794</v>
      </c>
      <c r="AO52" s="517">
        <v>1.515885868870567</v>
      </c>
      <c r="AP52" s="68">
        <v>33.601626285920247</v>
      </c>
      <c r="AQ52" s="517">
        <v>0</v>
      </c>
    </row>
    <row r="53" spans="1:68">
      <c r="A53" s="507" t="s">
        <v>815</v>
      </c>
      <c r="B53" s="518">
        <v>603.64089587892556</v>
      </c>
      <c r="C53" s="518">
        <v>663.6578444240215</v>
      </c>
      <c r="D53" s="518">
        <v>729.89546647633631</v>
      </c>
      <c r="E53" s="518">
        <v>803.0055893633762</v>
      </c>
      <c r="F53" s="518">
        <v>883.70853029855368</v>
      </c>
      <c r="G53" s="518">
        <v>972.8002978555437</v>
      </c>
      <c r="H53" s="518">
        <v>1071.1605507843324</v>
      </c>
      <c r="I53" s="518">
        <v>1098.3298658702645</v>
      </c>
      <c r="J53" s="518">
        <v>1126.1883651021469</v>
      </c>
      <c r="K53" s="518">
        <v>1154.7535318646603</v>
      </c>
      <c r="L53" s="518">
        <v>1184.0432931006837</v>
      </c>
      <c r="M53" s="518">
        <v>1214.0760305654251</v>
      </c>
      <c r="N53" s="518">
        <v>1244.870592366115</v>
      </c>
      <c r="O53" s="518">
        <v>1276.4463047945192</v>
      </c>
      <c r="P53" s="518">
        <v>1308.8229844596951</v>
      </c>
      <c r="Q53" s="518">
        <v>1342.0209507286165</v>
      </c>
      <c r="R53" s="518">
        <v>1376.0610384824749</v>
      </c>
      <c r="T53" s="517"/>
      <c r="U53" s="517"/>
      <c r="V53" s="517"/>
      <c r="W53" s="517"/>
      <c r="X53" s="517"/>
      <c r="Y53" s="517"/>
      <c r="Z53" s="517"/>
      <c r="AA53" s="517"/>
      <c r="AB53" s="517"/>
      <c r="AC53" s="517"/>
      <c r="AD53" s="517"/>
      <c r="AE53" s="517"/>
      <c r="AF53" s="517"/>
      <c r="AG53" s="517"/>
      <c r="AH53" s="517"/>
      <c r="AI53" s="517"/>
      <c r="AJ53" s="517"/>
      <c r="AK53" s="517"/>
      <c r="AL53" s="517"/>
      <c r="AM53" s="517"/>
      <c r="AN53" s="68">
        <v>6.0635434754822679</v>
      </c>
      <c r="AO53" s="517">
        <v>1.515885868870567</v>
      </c>
      <c r="AP53" s="68">
        <v>3.7335140317689168</v>
      </c>
      <c r="AQ53" s="517">
        <v>0</v>
      </c>
    </row>
    <row r="54" spans="1:68">
      <c r="A54" s="507" t="s">
        <v>817</v>
      </c>
      <c r="B54" s="518">
        <v>331.15030049023727</v>
      </c>
      <c r="C54" s="518">
        <v>364.47991219138027</v>
      </c>
      <c r="D54" s="518">
        <v>401.27537708705574</v>
      </c>
      <c r="E54" s="518">
        <v>441.90016291897444</v>
      </c>
      <c r="F54" s="518">
        <v>486.75593629087626</v>
      </c>
      <c r="G54" s="518">
        <v>536.28657935685885</v>
      </c>
      <c r="H54" s="518">
        <v>590.98262892951584</v>
      </c>
      <c r="I54" s="518">
        <v>605.96620668585695</v>
      </c>
      <c r="J54" s="518">
        <v>621.3296955994349</v>
      </c>
      <c r="K54" s="518">
        <v>637.08272897367067</v>
      </c>
      <c r="L54" s="518">
        <v>653.23518439658812</v>
      </c>
      <c r="M54" s="518">
        <v>669.79718993587085</v>
      </c>
      <c r="N54" s="518">
        <v>686.77913049104427</v>
      </c>
      <c r="O54" s="518">
        <v>704.19165430675662</v>
      </c>
      <c r="P54" s="518">
        <v>722.04567965124886</v>
      </c>
      <c r="Q54" s="518">
        <v>740.35240166420544</v>
      </c>
      <c r="R54" s="518">
        <v>759.12329937827712</v>
      </c>
      <c r="T54" s="517"/>
      <c r="U54" s="517"/>
      <c r="V54" s="517"/>
      <c r="W54" s="517"/>
      <c r="X54" s="517"/>
      <c r="Y54" s="517"/>
      <c r="Z54" s="517"/>
      <c r="AA54" s="517"/>
      <c r="AB54" s="517"/>
      <c r="AC54" s="517"/>
      <c r="AD54" s="517"/>
      <c r="AE54" s="517"/>
      <c r="AF54" s="517"/>
      <c r="AG54" s="517"/>
      <c r="AH54" s="517"/>
      <c r="AI54" s="517"/>
      <c r="AJ54" s="517"/>
      <c r="AK54" s="517"/>
      <c r="AL54" s="517"/>
      <c r="AM54" s="517"/>
      <c r="AN54" s="68">
        <v>1.515885868870567</v>
      </c>
      <c r="AO54" s="517">
        <v>0</v>
      </c>
      <c r="AP54" s="68">
        <v>3.7335140317689168</v>
      </c>
      <c r="AQ54" s="517">
        <v>2.6082909566776307</v>
      </c>
    </row>
    <row r="55" spans="1:68">
      <c r="A55" s="507" t="s">
        <v>819</v>
      </c>
      <c r="B55" s="518">
        <v>161.15657023111191</v>
      </c>
      <c r="C55" s="518">
        <v>177.00193510180958</v>
      </c>
      <c r="D55" s="518">
        <v>194.48470115685794</v>
      </c>
      <c r="E55" s="518">
        <v>213.77630964052423</v>
      </c>
      <c r="F55" s="518">
        <v>235.06621225977304</v>
      </c>
      <c r="G55" s="518">
        <v>258.56376482985627</v>
      </c>
      <c r="H55" s="518">
        <v>284.50032006235369</v>
      </c>
      <c r="I55" s="518">
        <v>291.7192661581841</v>
      </c>
      <c r="J55" s="518">
        <v>299.12140290902988</v>
      </c>
      <c r="K55" s="518">
        <v>306.71137945543546</v>
      </c>
      <c r="L55" s="518">
        <v>314.49396293829187</v>
      </c>
      <c r="M55" s="518">
        <v>322.47404149411142</v>
      </c>
      <c r="N55" s="518">
        <v>330.65662732634098</v>
      </c>
      <c r="O55" s="518">
        <v>339.04685985464346</v>
      </c>
      <c r="P55" s="518">
        <v>347.65000894412856</v>
      </c>
      <c r="Q55" s="518">
        <v>356.47147821656205</v>
      </c>
      <c r="R55" s="518">
        <v>365.51680844563509</v>
      </c>
      <c r="T55" s="517"/>
      <c r="U55" s="517"/>
      <c r="V55" s="517"/>
      <c r="W55" s="517"/>
      <c r="X55" s="517"/>
      <c r="Y55" s="517"/>
      <c r="Z55" s="517"/>
      <c r="AA55" s="517"/>
      <c r="AB55" s="517"/>
      <c r="AC55" s="517"/>
      <c r="AD55" s="517"/>
      <c r="AE55" s="517"/>
      <c r="AF55" s="517"/>
      <c r="AG55" s="517"/>
      <c r="AH55" s="517"/>
      <c r="AI55" s="517"/>
      <c r="AJ55" s="517"/>
      <c r="AK55" s="517"/>
      <c r="AL55" s="517"/>
      <c r="AM55" s="517"/>
      <c r="AN55" s="68">
        <v>20064.265360370824</v>
      </c>
      <c r="AO55" s="68">
        <v>598.77491820387377</v>
      </c>
      <c r="AP55" s="68">
        <v>78986.222856103224</v>
      </c>
      <c r="AQ55" s="68">
        <v>5748.6732685174948</v>
      </c>
    </row>
    <row r="56" spans="1:68">
      <c r="A56" s="507" t="s">
        <v>821</v>
      </c>
      <c r="B56" s="518">
        <v>73.118995108552568</v>
      </c>
      <c r="C56" s="518">
        <v>80.493667074478978</v>
      </c>
      <c r="D56" s="518">
        <v>88.635634236898824</v>
      </c>
      <c r="E56" s="518">
        <v>97.625374952762684</v>
      </c>
      <c r="F56" s="518">
        <v>107.55182579874719</v>
      </c>
      <c r="G56" s="518">
        <v>118.51327097818725</v>
      </c>
      <c r="H56" s="518">
        <v>130.61832526375281</v>
      </c>
      <c r="I56" s="518">
        <v>133.92973996885038</v>
      </c>
      <c r="J56" s="518">
        <v>137.32510986903969</v>
      </c>
      <c r="K56" s="518">
        <v>140.80656362792695</v>
      </c>
      <c r="L56" s="518">
        <v>144.37628388414953</v>
      </c>
      <c r="M56" s="518">
        <v>148.03650862006918</v>
      </c>
      <c r="N56" s="518">
        <v>151.78953256517514</v>
      </c>
      <c r="O56" s="518">
        <v>155.63770863507642</v>
      </c>
      <c r="P56" s="518">
        <v>159.58344940698666</v>
      </c>
      <c r="Q56" s="518">
        <v>163.62922863262693</v>
      </c>
      <c r="R56" s="518">
        <v>167.77758278949534</v>
      </c>
      <c r="T56" s="517"/>
      <c r="U56" s="517"/>
      <c r="V56" s="517"/>
      <c r="W56" s="517"/>
      <c r="X56" s="517"/>
      <c r="Y56" s="517"/>
      <c r="Z56" s="517"/>
      <c r="AA56" s="517"/>
      <c r="AB56" s="517"/>
      <c r="AC56" s="517"/>
      <c r="AD56" s="517"/>
      <c r="AE56" s="517"/>
      <c r="AF56" s="517"/>
      <c r="AG56" s="517"/>
      <c r="AH56" s="517"/>
      <c r="AI56" s="517"/>
      <c r="AJ56" s="517"/>
      <c r="AK56" s="517"/>
      <c r="AL56" s="517"/>
      <c r="AM56" s="517"/>
    </row>
    <row r="57" spans="1:68">
      <c r="A57" s="507" t="s">
        <v>823</v>
      </c>
      <c r="B57" s="518">
        <v>34.526095038518648</v>
      </c>
      <c r="C57" s="518">
        <v>37.368936455264659</v>
      </c>
      <c r="D57" s="518">
        <v>40.489997552078776</v>
      </c>
      <c r="E57" s="518">
        <v>43.917991989891348</v>
      </c>
      <c r="F57" s="518">
        <v>47.684638864314977</v>
      </c>
      <c r="G57" s="518">
        <v>51.824978410464787</v>
      </c>
      <c r="H57" s="518">
        <v>56.377720900747917</v>
      </c>
      <c r="I57" s="518">
        <v>57.816919846109641</v>
      </c>
      <c r="J57" s="518">
        <v>59.292868118046307</v>
      </c>
      <c r="K57" s="518">
        <v>60.80650434949888</v>
      </c>
      <c r="L57" s="518">
        <v>62.358791154152883</v>
      </c>
      <c r="M57" s="518">
        <v>63.950715739286125</v>
      </c>
      <c r="N57" s="518">
        <v>65.583290534282824</v>
      </c>
      <c r="O57" s="518">
        <v>67.257553835214694</v>
      </c>
      <c r="P57" s="518">
        <v>68.974570465899788</v>
      </c>
      <c r="Q57" s="518">
        <v>70.735432455860618</v>
      </c>
      <c r="R57" s="518">
        <v>72.541259735613536</v>
      </c>
      <c r="T57" s="517"/>
      <c r="U57" s="517"/>
      <c r="V57" s="517"/>
      <c r="W57" s="517"/>
      <c r="X57" s="517"/>
      <c r="Y57" s="517"/>
      <c r="Z57" s="517"/>
      <c r="AA57" s="517"/>
      <c r="AB57" s="517"/>
      <c r="AC57" s="517"/>
      <c r="AD57" s="517"/>
      <c r="AE57" s="517"/>
      <c r="AF57" s="517"/>
      <c r="AG57" s="517"/>
      <c r="AH57" s="517"/>
      <c r="AI57" s="517"/>
      <c r="AJ57" s="517"/>
      <c r="AK57" s="517"/>
      <c r="AL57" s="517"/>
      <c r="AM57" s="517"/>
    </row>
    <row r="58" spans="1:68">
      <c r="A58" s="507" t="s">
        <v>825</v>
      </c>
      <c r="B58" s="518">
        <v>8.5741125087542365</v>
      </c>
      <c r="C58" s="518">
        <v>9.239369884177199</v>
      </c>
      <c r="D58" s="518">
        <v>9.968363620027624</v>
      </c>
      <c r="E58" s="518">
        <v>10.767632840371729</v>
      </c>
      <c r="F58" s="518">
        <v>11.644400072737465</v>
      </c>
      <c r="G58" s="518">
        <v>12.606643008432636</v>
      </c>
      <c r="H58" s="518">
        <v>13.663173806962611</v>
      </c>
      <c r="I58" s="518">
        <v>14.012655742392095</v>
      </c>
      <c r="J58" s="518">
        <v>14.371079604682429</v>
      </c>
      <c r="K58" s="518">
        <v>14.738674255582673</v>
      </c>
      <c r="L58" s="518">
        <v>15.115674416246218</v>
      </c>
      <c r="M58" s="518">
        <v>15.502320817293969</v>
      </c>
      <c r="N58" s="518">
        <v>15.898860352722084</v>
      </c>
      <c r="O58" s="518">
        <v>16.305546237752662</v>
      </c>
      <c r="P58" s="518">
        <v>16.72263817072853</v>
      </c>
      <c r="Q58" s="518">
        <v>17.1504024991557</v>
      </c>
      <c r="R58" s="518">
        <v>17.589112389999855</v>
      </c>
      <c r="T58" s="517"/>
      <c r="U58" s="517"/>
      <c r="V58" s="517"/>
      <c r="W58" s="517"/>
      <c r="X58" s="517"/>
      <c r="Y58" s="517"/>
      <c r="Z58" s="517"/>
      <c r="AA58" s="517"/>
      <c r="AB58" s="517"/>
      <c r="AC58" s="517"/>
      <c r="AD58" s="517"/>
      <c r="AE58" s="517"/>
      <c r="AF58" s="517"/>
      <c r="AG58" s="517"/>
      <c r="AH58" s="517"/>
      <c r="AI58" s="517"/>
      <c r="AJ58" s="517"/>
      <c r="AK58" s="517"/>
      <c r="AL58" s="517"/>
      <c r="AM58" s="517"/>
    </row>
    <row r="59" spans="1:68">
      <c r="A59" s="507" t="s">
        <v>827</v>
      </c>
      <c r="B59" s="518">
        <v>7.4592900070033901</v>
      </c>
      <c r="C59" s="518">
        <v>8.007300476425824</v>
      </c>
      <c r="D59" s="518">
        <v>8.6067163415301184</v>
      </c>
      <c r="E59" s="518">
        <v>9.2627798674994324</v>
      </c>
      <c r="F59" s="518">
        <v>9.9812803311393186</v>
      </c>
      <c r="G59" s="518">
        <v>10.76861143674088</v>
      </c>
      <c r="H59" s="518">
        <v>11.63183476742401</v>
      </c>
      <c r="I59" s="518">
        <v>11.929893110241597</v>
      </c>
      <c r="J59" s="518">
        <v>12.235591585475262</v>
      </c>
      <c r="K59" s="518">
        <v>12.549126099790804</v>
      </c>
      <c r="L59" s="518">
        <v>12.870697584996435</v>
      </c>
      <c r="M59" s="518">
        <v>13.200512126986551</v>
      </c>
      <c r="N59" s="518">
        <v>13.538781097995354</v>
      </c>
      <c r="O59" s="518">
        <v>13.885721292245321</v>
      </c>
      <c r="P59" s="518">
        <v>14.241555065077652</v>
      </c>
      <c r="Q59" s="518">
        <v>14.606510475654144</v>
      </c>
      <c r="R59" s="518">
        <v>14.980821433322223</v>
      </c>
      <c r="T59" s="517"/>
      <c r="U59" s="517"/>
      <c r="V59" s="517"/>
      <c r="W59" s="517"/>
      <c r="X59" s="517"/>
      <c r="Y59" s="517"/>
      <c r="Z59" s="517"/>
      <c r="AA59" s="517"/>
      <c r="AB59" s="517"/>
      <c r="AC59" s="517"/>
      <c r="AD59" s="517"/>
      <c r="AE59" s="517"/>
      <c r="AF59" s="517"/>
      <c r="AG59" s="517"/>
      <c r="AH59" s="517"/>
      <c r="AI59" s="517"/>
      <c r="AJ59" s="517"/>
      <c r="AK59" s="517"/>
      <c r="AL59" s="517"/>
      <c r="AM59" s="517"/>
    </row>
    <row r="60" spans="1:68">
      <c r="A60" s="507" t="s">
        <v>829</v>
      </c>
      <c r="B60" s="518">
        <v>2.229645003501695</v>
      </c>
      <c r="C60" s="518">
        <v>2.464138815502749</v>
      </c>
      <c r="D60" s="518">
        <v>2.7232945569950124</v>
      </c>
      <c r="E60" s="518">
        <v>3.0097059457445923</v>
      </c>
      <c r="F60" s="518">
        <v>3.3262394831962867</v>
      </c>
      <c r="G60" s="518">
        <v>3.6760631433835083</v>
      </c>
      <c r="H60" s="518">
        <v>4.0626780790772035</v>
      </c>
      <c r="I60" s="518">
        <v>4.1655252643009977</v>
      </c>
      <c r="J60" s="518">
        <v>4.2709760384143305</v>
      </c>
      <c r="K60" s="518">
        <v>4.3790963115837371</v>
      </c>
      <c r="L60" s="518">
        <v>4.4899536624995617</v>
      </c>
      <c r="M60" s="518">
        <v>4.603617380614839</v>
      </c>
      <c r="N60" s="518">
        <v>4.7201585094534595</v>
      </c>
      <c r="O60" s="518">
        <v>4.8396498910146821</v>
      </c>
      <c r="P60" s="518">
        <v>4.9621662113017582</v>
      </c>
      <c r="Q60" s="518">
        <v>5.0877840470031108</v>
      </c>
      <c r="R60" s="518">
        <v>5.2165819133552613</v>
      </c>
      <c r="T60" s="517"/>
      <c r="U60" s="517"/>
      <c r="V60" s="517"/>
      <c r="W60" s="517"/>
      <c r="X60" s="517"/>
      <c r="Y60" s="517"/>
      <c r="Z60" s="517"/>
      <c r="AA60" s="517"/>
      <c r="AB60" s="517"/>
      <c r="AC60" s="517"/>
      <c r="AD60" s="517"/>
      <c r="AE60" s="517"/>
      <c r="AF60" s="517"/>
      <c r="AG60" s="517"/>
      <c r="AH60" s="517"/>
      <c r="AI60" s="517"/>
      <c r="AJ60" s="517"/>
      <c r="AK60" s="517"/>
      <c r="AL60" s="517"/>
      <c r="AM60" s="517"/>
    </row>
    <row r="61" spans="1:68">
      <c r="A61" s="507" t="s">
        <v>831</v>
      </c>
      <c r="B61" s="518">
        <v>1</v>
      </c>
      <c r="C61" s="518">
        <v>1.026340948473442</v>
      </c>
      <c r="D61" s="518">
        <v>1.0533757425133645</v>
      </c>
      <c r="E61" s="518">
        <v>1.0811226586700828</v>
      </c>
      <c r="F61" s="518">
        <v>1.1096004549155822</v>
      </c>
      <c r="G61" s="518">
        <v>1.1388283833246213</v>
      </c>
      <c r="H61" s="518">
        <v>1.1688262030898684</v>
      </c>
      <c r="I61" s="518">
        <v>1.1996141938798675</v>
      </c>
      <c r="J61" s="518">
        <v>1.2312131695488668</v>
      </c>
      <c r="K61" s="518">
        <v>1.2636444922077767</v>
      </c>
      <c r="L61" s="518">
        <v>1.2969300866657707</v>
      </c>
      <c r="M61" s="518">
        <v>1.3310924552522905</v>
      </c>
      <c r="N61" s="518">
        <v>1.3661546930294786</v>
      </c>
      <c r="O61" s="518">
        <v>1.4021405034053191</v>
      </c>
      <c r="P61" s="518">
        <v>1.4390742141580448</v>
      </c>
      <c r="Q61" s="518">
        <v>1.4769807938826409</v>
      </c>
      <c r="R61" s="518">
        <v>1.515885868870567</v>
      </c>
      <c r="T61" s="517"/>
      <c r="U61" s="517"/>
      <c r="V61" s="517"/>
      <c r="W61" s="517"/>
      <c r="X61" s="517"/>
      <c r="Y61" s="517"/>
      <c r="Z61" s="517"/>
      <c r="AA61" s="517"/>
      <c r="AB61" s="517"/>
      <c r="AC61" s="517"/>
      <c r="AD61" s="517"/>
      <c r="AE61" s="517"/>
      <c r="AF61" s="517"/>
      <c r="AG61" s="517"/>
      <c r="AH61" s="517"/>
      <c r="AI61" s="517"/>
      <c r="AJ61" s="517"/>
      <c r="AK61" s="517"/>
      <c r="AL61" s="517"/>
      <c r="AM61" s="517"/>
    </row>
    <row r="62" spans="1:68">
      <c r="A62" s="507" t="s">
        <v>833</v>
      </c>
      <c r="B62" s="518">
        <v>1</v>
      </c>
      <c r="C62" s="518">
        <v>1.026340948473442</v>
      </c>
      <c r="D62" s="518">
        <v>1.0533757425133645</v>
      </c>
      <c r="E62" s="518">
        <v>1.0811226586700828</v>
      </c>
      <c r="F62" s="518">
        <v>1.1096004549155822</v>
      </c>
      <c r="G62" s="518">
        <v>1.1388283833246213</v>
      </c>
      <c r="H62" s="518">
        <v>1.1688262030898684</v>
      </c>
      <c r="I62" s="518">
        <v>1.1996141938798675</v>
      </c>
      <c r="J62" s="518">
        <v>1.2312131695488668</v>
      </c>
      <c r="K62" s="518">
        <v>1.2636444922077767</v>
      </c>
      <c r="L62" s="518">
        <v>1.2969300866657707</v>
      </c>
      <c r="M62" s="518">
        <v>1.3310924552522905</v>
      </c>
      <c r="N62" s="518">
        <v>1.3661546930294786</v>
      </c>
      <c r="O62" s="518">
        <v>1.4021405034053191</v>
      </c>
      <c r="P62" s="518">
        <v>1.4390742141580448</v>
      </c>
      <c r="Q62" s="518">
        <v>1.4769807938826409</v>
      </c>
      <c r="R62" s="518">
        <v>1.515885868870567</v>
      </c>
      <c r="T62" s="517"/>
      <c r="U62" s="517"/>
      <c r="V62" s="517"/>
      <c r="W62" s="517"/>
      <c r="X62" s="517"/>
      <c r="Y62" s="517"/>
      <c r="Z62" s="517"/>
      <c r="AA62" s="517"/>
      <c r="AB62" s="517"/>
      <c r="AC62" s="517"/>
      <c r="AD62" s="517"/>
      <c r="AE62" s="517"/>
      <c r="AF62" s="517"/>
      <c r="AG62" s="517"/>
      <c r="AH62" s="517"/>
      <c r="AI62" s="517"/>
      <c r="AJ62" s="517"/>
      <c r="AK62" s="517"/>
      <c r="AL62" s="517"/>
      <c r="AM62" s="517"/>
    </row>
    <row r="63" spans="1:68">
      <c r="A63" s="521" t="s">
        <v>835</v>
      </c>
      <c r="B63" s="540">
        <v>1.1148225017508475</v>
      </c>
      <c r="C63" s="540">
        <v>1.2320694077513745</v>
      </c>
      <c r="D63" s="540">
        <v>1.3616472784975062</v>
      </c>
      <c r="E63" s="540">
        <v>1.5048529728722961</v>
      </c>
      <c r="F63" s="540">
        <v>1.6631197415981434</v>
      </c>
      <c r="G63" s="540">
        <v>1.8380315716917541</v>
      </c>
      <c r="H63" s="540">
        <v>2.0313390395386017</v>
      </c>
      <c r="I63" s="540">
        <v>2.0827626321504988</v>
      </c>
      <c r="J63" s="540">
        <v>2.1354880192071652</v>
      </c>
      <c r="K63" s="540">
        <v>2.1895481557918686</v>
      </c>
      <c r="L63" s="540">
        <v>2.2449768312497809</v>
      </c>
      <c r="M63" s="540">
        <v>2.3018086903074195</v>
      </c>
      <c r="N63" s="540">
        <v>2.3600792547267297</v>
      </c>
      <c r="O63" s="540">
        <v>2.4198249455073411</v>
      </c>
      <c r="P63" s="540">
        <v>2.4810831056508791</v>
      </c>
      <c r="Q63" s="540">
        <v>2.5438920235015554</v>
      </c>
      <c r="R63" s="540">
        <v>2.6082909566776307</v>
      </c>
      <c r="T63" s="517"/>
      <c r="U63" s="513"/>
      <c r="V63" s="513"/>
      <c r="W63" s="513"/>
      <c r="X63" s="513"/>
      <c r="Y63" s="513"/>
      <c r="Z63" s="513"/>
      <c r="AA63" s="513"/>
      <c r="AB63" s="513"/>
      <c r="AC63" s="513"/>
      <c r="AD63" s="513"/>
      <c r="AE63" s="513"/>
      <c r="AF63" s="513"/>
      <c r="AG63" s="513"/>
      <c r="AH63" s="513"/>
      <c r="AI63" s="513"/>
      <c r="AJ63" s="513"/>
      <c r="AK63" s="513"/>
      <c r="AL63" s="513"/>
      <c r="AM63" s="513"/>
      <c r="AO63" s="513"/>
      <c r="AQ63" s="513"/>
      <c r="AR63" s="513"/>
      <c r="AS63" s="513"/>
      <c r="AT63" s="513"/>
      <c r="AU63" s="513"/>
      <c r="AV63" s="513"/>
      <c r="AW63" s="513"/>
      <c r="AX63" s="513"/>
      <c r="AY63" s="513"/>
      <c r="AZ63" s="513"/>
    </row>
    <row r="64" spans="1:68">
      <c r="A64" s="507"/>
      <c r="B64" s="518"/>
      <c r="C64" s="518"/>
      <c r="D64" s="518"/>
      <c r="E64" s="518"/>
      <c r="F64" s="518"/>
      <c r="G64" s="518"/>
      <c r="H64" s="518"/>
      <c r="I64" s="518"/>
      <c r="J64" s="518"/>
      <c r="K64" s="518"/>
      <c r="L64" s="518"/>
      <c r="M64" s="518"/>
      <c r="N64" s="518"/>
      <c r="O64" s="518"/>
      <c r="P64" s="518"/>
      <c r="Q64" s="518"/>
      <c r="R64" s="518"/>
      <c r="T64" s="517"/>
      <c r="U64" s="517"/>
      <c r="V64" s="517"/>
      <c r="W64" s="517"/>
      <c r="X64" s="517"/>
      <c r="Y64" s="517"/>
      <c r="Z64" s="517"/>
      <c r="AA64" s="517"/>
      <c r="AB64" s="517"/>
      <c r="AC64" s="517"/>
      <c r="AD64" s="517"/>
      <c r="AE64" s="517"/>
      <c r="AF64" s="517"/>
      <c r="AG64" s="517"/>
      <c r="AH64" s="517"/>
      <c r="AI64" s="517"/>
      <c r="AJ64" s="517"/>
      <c r="AK64" s="517"/>
      <c r="AL64" s="517"/>
      <c r="AM64" s="517"/>
      <c r="AO64" s="517"/>
      <c r="AQ64" s="517"/>
      <c r="AR64" s="517"/>
      <c r="AS64" s="517"/>
      <c r="AT64" s="517"/>
      <c r="AU64" s="517"/>
      <c r="AV64" s="517"/>
      <c r="AW64" s="517"/>
      <c r="AX64" s="517"/>
      <c r="AY64" s="517"/>
      <c r="AZ64" s="517"/>
      <c r="BA64" s="517"/>
      <c r="BB64" s="517"/>
      <c r="BC64" s="517"/>
      <c r="BD64" s="517"/>
      <c r="BE64" s="517"/>
      <c r="BF64" s="517"/>
      <c r="BG64" s="517"/>
      <c r="BH64" s="517"/>
      <c r="BI64" s="517"/>
      <c r="BJ64" s="517"/>
      <c r="BK64" s="517"/>
      <c r="BL64" s="517"/>
      <c r="BM64" s="517"/>
      <c r="BN64" s="517"/>
      <c r="BO64" s="517"/>
      <c r="BP64" s="517"/>
    </row>
    <row r="65" spans="1:68" ht="18.75">
      <c r="A65" s="1435" t="s">
        <v>840</v>
      </c>
      <c r="B65" s="1435"/>
      <c r="C65" s="1435"/>
      <c r="D65" s="518"/>
      <c r="E65" s="518"/>
      <c r="F65" s="518"/>
      <c r="G65" s="518"/>
      <c r="H65" s="518"/>
      <c r="I65" s="518"/>
      <c r="J65" s="518"/>
      <c r="K65" s="518"/>
      <c r="L65" s="518"/>
      <c r="M65" s="518"/>
      <c r="N65" s="518"/>
      <c r="O65" s="518"/>
      <c r="P65" s="518"/>
      <c r="Q65" s="518"/>
      <c r="R65" s="538" t="s">
        <v>868</v>
      </c>
      <c r="T65" s="517"/>
      <c r="U65" s="517"/>
      <c r="V65" s="517"/>
      <c r="W65" s="517"/>
      <c r="X65" s="517"/>
      <c r="Y65" s="517"/>
      <c r="Z65" s="517"/>
      <c r="AA65" s="517"/>
      <c r="AB65" s="517"/>
      <c r="AC65" s="517"/>
      <c r="AD65" s="517"/>
      <c r="AE65" s="517"/>
      <c r="AF65" s="517"/>
      <c r="AG65" s="517"/>
      <c r="AH65" s="517"/>
      <c r="AI65" s="517"/>
      <c r="AJ65" s="517"/>
      <c r="AK65" s="517"/>
      <c r="AL65" s="517"/>
      <c r="AM65" s="517"/>
      <c r="AO65" s="517"/>
      <c r="AQ65" s="517"/>
      <c r="AR65" s="517"/>
      <c r="AS65" s="517"/>
      <c r="AT65" s="517"/>
      <c r="AU65" s="517"/>
      <c r="AV65" s="517"/>
      <c r="AW65" s="517"/>
      <c r="AX65" s="517"/>
      <c r="AY65" s="517"/>
      <c r="AZ65" s="517"/>
      <c r="BA65" s="517"/>
      <c r="BB65" s="517"/>
      <c r="BC65" s="517"/>
      <c r="BD65" s="517"/>
      <c r="BE65" s="517"/>
      <c r="BF65" s="517"/>
      <c r="BG65" s="517"/>
      <c r="BH65" s="517"/>
      <c r="BI65" s="517"/>
      <c r="BJ65" s="517"/>
      <c r="BK65" s="517"/>
      <c r="BL65" s="517"/>
      <c r="BM65" s="517"/>
      <c r="BN65" s="517"/>
      <c r="BO65" s="517"/>
      <c r="BP65" s="517"/>
    </row>
    <row r="66" spans="1:68" s="549" customFormat="1">
      <c r="A66" s="510" t="s">
        <v>802</v>
      </c>
      <c r="B66" s="511">
        <v>2014</v>
      </c>
      <c r="C66" s="511">
        <v>2015</v>
      </c>
      <c r="D66" s="511">
        <v>2016</v>
      </c>
      <c r="E66" s="511">
        <v>2017</v>
      </c>
      <c r="F66" s="511">
        <v>2018</v>
      </c>
      <c r="G66" s="511">
        <v>2019</v>
      </c>
      <c r="H66" s="511">
        <v>2020</v>
      </c>
      <c r="I66" s="511">
        <v>2021</v>
      </c>
      <c r="J66" s="511">
        <v>2022</v>
      </c>
      <c r="K66" s="511">
        <v>2023</v>
      </c>
      <c r="L66" s="511">
        <v>2024</v>
      </c>
      <c r="M66" s="511">
        <v>2025</v>
      </c>
      <c r="N66" s="511">
        <v>2026</v>
      </c>
      <c r="O66" s="511">
        <v>2027</v>
      </c>
      <c r="P66" s="511">
        <v>2028</v>
      </c>
      <c r="Q66" s="511">
        <v>2029</v>
      </c>
      <c r="R66" s="511">
        <v>2030</v>
      </c>
      <c r="T66" s="550"/>
      <c r="U66" s="550"/>
      <c r="V66" s="550"/>
      <c r="W66" s="550"/>
      <c r="X66" s="550"/>
      <c r="Y66" s="550"/>
      <c r="Z66" s="550"/>
      <c r="AA66" s="550"/>
      <c r="AB66" s="550"/>
      <c r="AC66" s="550"/>
      <c r="AD66" s="550"/>
      <c r="AE66" s="550"/>
      <c r="AF66" s="550"/>
      <c r="AG66" s="550"/>
      <c r="AH66" s="550"/>
      <c r="AI66" s="550"/>
      <c r="AJ66" s="550"/>
      <c r="AK66" s="550"/>
      <c r="AL66" s="550"/>
      <c r="AM66" s="550"/>
      <c r="AO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row>
    <row r="67" spans="1:68">
      <c r="A67" s="542" t="s">
        <v>21</v>
      </c>
      <c r="B67" s="551">
        <f>SUM(B68:B84)</f>
        <v>13631</v>
      </c>
      <c r="C67" s="551">
        <f t="shared" ref="C67:R67" si="3">SUM(C68:C84)</f>
        <v>13990.053468641485</v>
      </c>
      <c r="D67" s="551">
        <f t="shared" si="3"/>
        <v>14358.56474619967</v>
      </c>
      <c r="E67" s="551">
        <f t="shared" si="3"/>
        <v>14736.782960331902</v>
      </c>
      <c r="F67" s="551">
        <f t="shared" si="3"/>
        <v>15124.963800954303</v>
      </c>
      <c r="G67" s="551">
        <f t="shared" si="3"/>
        <v>15523.369693097915</v>
      </c>
      <c r="H67" s="551">
        <f t="shared" si="3"/>
        <v>15932.269974317995</v>
      </c>
      <c r="I67" s="551">
        <f t="shared" si="3"/>
        <v>16351.941076776477</v>
      </c>
      <c r="J67" s="551">
        <f t="shared" si="3"/>
        <v>16782.666714120605</v>
      </c>
      <c r="K67" s="551">
        <f t="shared" si="3"/>
        <v>17224.738073284207</v>
      </c>
      <c r="L67" s="551">
        <f t="shared" si="3"/>
        <v>17678.454011341124</v>
      </c>
      <c r="M67" s="551">
        <f t="shared" si="3"/>
        <v>18144.121257543968</v>
      </c>
      <c r="N67" s="551">
        <f t="shared" si="3"/>
        <v>18622.054620684823</v>
      </c>
      <c r="O67" s="551">
        <f t="shared" si="3"/>
        <v>19112.577201917902</v>
      </c>
      <c r="P67" s="551">
        <f t="shared" si="3"/>
        <v>19616.020613188302</v>
      </c>
      <c r="Q67" s="551">
        <f t="shared" si="3"/>
        <v>20132.725201414283</v>
      </c>
      <c r="R67" s="551">
        <f t="shared" si="3"/>
        <v>20663.040278574696</v>
      </c>
      <c r="T67" s="517"/>
      <c r="U67" s="517"/>
      <c r="V67" s="517"/>
      <c r="W67" s="517"/>
      <c r="X67" s="517"/>
      <c r="Y67" s="517"/>
      <c r="Z67" s="517"/>
      <c r="AA67" s="517"/>
      <c r="AB67" s="517"/>
      <c r="AC67" s="517"/>
      <c r="AD67" s="517"/>
      <c r="AE67" s="517"/>
      <c r="AF67" s="517"/>
      <c r="AG67" s="517"/>
      <c r="AH67" s="517"/>
      <c r="AI67" s="517"/>
      <c r="AJ67" s="517"/>
      <c r="AK67" s="517"/>
      <c r="AL67" s="517"/>
      <c r="AM67" s="517"/>
      <c r="AO67" s="517"/>
      <c r="AQ67" s="517"/>
      <c r="AR67" s="517"/>
      <c r="AS67" s="517"/>
      <c r="AT67" s="517"/>
      <c r="AU67" s="517"/>
      <c r="AV67" s="517"/>
      <c r="AW67" s="517"/>
      <c r="AX67" s="517"/>
      <c r="AY67" s="517"/>
      <c r="AZ67" s="517"/>
      <c r="BA67" s="517"/>
      <c r="BB67" s="517"/>
      <c r="BC67" s="517"/>
      <c r="BD67" s="517"/>
      <c r="BE67" s="517"/>
      <c r="BF67" s="517"/>
      <c r="BG67" s="517"/>
      <c r="BH67" s="517"/>
      <c r="BI67" s="517"/>
      <c r="BJ67" s="517"/>
      <c r="BK67" s="517"/>
      <c r="BL67" s="517"/>
      <c r="BM67" s="517"/>
      <c r="BN67" s="517"/>
      <c r="BO67" s="517"/>
      <c r="BP67" s="517"/>
    </row>
    <row r="68" spans="1:68">
      <c r="A68" s="518" t="s">
        <v>803</v>
      </c>
      <c r="B68" s="518">
        <v>6</v>
      </c>
      <c r="C68" s="518">
        <v>6.1580456908406518</v>
      </c>
      <c r="D68" s="518">
        <v>6.3202544550801871</v>
      </c>
      <c r="E68" s="518">
        <v>6.4867359520204975</v>
      </c>
      <c r="F68" s="518">
        <v>6.6576027294934939</v>
      </c>
      <c r="G68" s="518">
        <v>6.8329702999477284</v>
      </c>
      <c r="H68" s="518">
        <v>7.0129572185392099</v>
      </c>
      <c r="I68" s="518">
        <v>7.1976851632792052</v>
      </c>
      <c r="J68" s="518">
        <v>7.387279017293201</v>
      </c>
      <c r="K68" s="518">
        <v>7.58186695324666</v>
      </c>
      <c r="L68" s="518">
        <v>7.7815805199946242</v>
      </c>
      <c r="M68" s="518">
        <v>7.9865547315137428</v>
      </c>
      <c r="N68" s="518">
        <v>8.1969281581768705</v>
      </c>
      <c r="O68" s="518">
        <v>8.4128430204319145</v>
      </c>
      <c r="P68" s="518">
        <v>8.6344452849482689</v>
      </c>
      <c r="Q68" s="518">
        <v>8.861884763295846</v>
      </c>
      <c r="R68" s="518">
        <v>9.095315213223401</v>
      </c>
      <c r="T68" s="517"/>
      <c r="U68" s="517"/>
      <c r="V68" s="517"/>
      <c r="W68" s="517"/>
      <c r="X68" s="517"/>
      <c r="Y68" s="517"/>
      <c r="Z68" s="517"/>
      <c r="AA68" s="517"/>
      <c r="AB68" s="517"/>
      <c r="AC68" s="517"/>
      <c r="AD68" s="517"/>
      <c r="AE68" s="517"/>
      <c r="AF68" s="517"/>
      <c r="AG68" s="517"/>
      <c r="AH68" s="517"/>
      <c r="AI68" s="517"/>
      <c r="AJ68" s="517"/>
      <c r="AK68" s="517"/>
      <c r="AL68" s="517"/>
      <c r="AM68" s="517"/>
      <c r="AO68" s="517"/>
      <c r="AQ68" s="517"/>
      <c r="AR68" s="517"/>
      <c r="AS68" s="517"/>
      <c r="AT68" s="517"/>
      <c r="AU68" s="517"/>
      <c r="AV68" s="517"/>
      <c r="AW68" s="517"/>
      <c r="AX68" s="517"/>
      <c r="AY68" s="517"/>
      <c r="AZ68" s="517"/>
      <c r="BA68" s="517"/>
      <c r="BB68" s="517"/>
      <c r="BC68" s="517"/>
      <c r="BD68" s="517"/>
      <c r="BE68" s="517"/>
      <c r="BF68" s="517"/>
      <c r="BG68" s="517"/>
      <c r="BH68" s="517"/>
      <c r="BI68" s="517"/>
      <c r="BJ68" s="517"/>
      <c r="BK68" s="517"/>
      <c r="BL68" s="517"/>
      <c r="BM68" s="517"/>
      <c r="BN68" s="517"/>
      <c r="BO68" s="517"/>
      <c r="BP68" s="517"/>
    </row>
    <row r="69" spans="1:68">
      <c r="A69" s="518" t="s">
        <v>805</v>
      </c>
      <c r="B69" s="518">
        <v>6</v>
      </c>
      <c r="C69" s="518">
        <v>6.1580456908406518</v>
      </c>
      <c r="D69" s="518">
        <v>6.3202544550801871</v>
      </c>
      <c r="E69" s="518">
        <v>6.4867359520204975</v>
      </c>
      <c r="F69" s="518">
        <v>6.657602729493493</v>
      </c>
      <c r="G69" s="518">
        <v>6.8329702999477284</v>
      </c>
      <c r="H69" s="518">
        <v>7.0129572185392099</v>
      </c>
      <c r="I69" s="518">
        <v>7.1976851632792052</v>
      </c>
      <c r="J69" s="518">
        <v>7.387279017293201</v>
      </c>
      <c r="K69" s="518">
        <v>7.58186695324666</v>
      </c>
      <c r="L69" s="518">
        <v>7.7815805199946242</v>
      </c>
      <c r="M69" s="518">
        <v>7.9865547315137428</v>
      </c>
      <c r="N69" s="518">
        <v>8.1969281581768705</v>
      </c>
      <c r="O69" s="518">
        <v>8.4128430204319145</v>
      </c>
      <c r="P69" s="518">
        <v>8.6344452849482671</v>
      </c>
      <c r="Q69" s="518">
        <v>8.8618847632958442</v>
      </c>
      <c r="R69" s="518">
        <v>9.095315213223401</v>
      </c>
      <c r="T69" s="517"/>
      <c r="U69" s="517"/>
      <c r="V69" s="517"/>
      <c r="W69" s="517"/>
      <c r="X69" s="517"/>
      <c r="Y69" s="517"/>
      <c r="Z69" s="517"/>
      <c r="AA69" s="517"/>
      <c r="AB69" s="517"/>
      <c r="AC69" s="517"/>
      <c r="AD69" s="517"/>
      <c r="AE69" s="517"/>
      <c r="AF69" s="517"/>
      <c r="AG69" s="517"/>
      <c r="AH69" s="517"/>
      <c r="AI69" s="517"/>
      <c r="AJ69" s="517"/>
      <c r="AK69" s="517"/>
      <c r="AL69" s="517"/>
      <c r="AM69" s="517"/>
      <c r="AO69" s="517"/>
      <c r="AQ69" s="517"/>
      <c r="AR69" s="517"/>
      <c r="AS69" s="517"/>
      <c r="AT69" s="517"/>
      <c r="AU69" s="517"/>
      <c r="AV69" s="517"/>
      <c r="AW69" s="517"/>
      <c r="AX69" s="517"/>
      <c r="AY69" s="517"/>
      <c r="AZ69" s="517"/>
      <c r="BA69" s="517"/>
      <c r="BB69" s="517"/>
      <c r="BC69" s="517"/>
      <c r="BD69" s="517"/>
      <c r="BE69" s="517"/>
      <c r="BF69" s="517"/>
      <c r="BG69" s="517"/>
      <c r="BH69" s="517"/>
      <c r="BI69" s="517"/>
      <c r="BJ69" s="517"/>
      <c r="BK69" s="517"/>
      <c r="BL69" s="517"/>
      <c r="BM69" s="517"/>
      <c r="BN69" s="517"/>
      <c r="BO69" s="517"/>
      <c r="BP69" s="517"/>
    </row>
    <row r="70" spans="1:68">
      <c r="A70" s="518" t="s">
        <v>807</v>
      </c>
      <c r="B70" s="518">
        <v>8</v>
      </c>
      <c r="C70" s="518">
        <v>8.2107275877875363</v>
      </c>
      <c r="D70" s="518">
        <v>8.4270059401069162</v>
      </c>
      <c r="E70" s="518">
        <v>8.6489812693606627</v>
      </c>
      <c r="F70" s="518">
        <v>8.8768036393246579</v>
      </c>
      <c r="G70" s="518">
        <v>9.1106270665969706</v>
      </c>
      <c r="H70" s="518">
        <v>9.3506096247189472</v>
      </c>
      <c r="I70" s="518">
        <v>9.5969135510389414</v>
      </c>
      <c r="J70" s="518">
        <v>9.8497053563909347</v>
      </c>
      <c r="K70" s="518">
        <v>10.109155937662214</v>
      </c>
      <c r="L70" s="518">
        <v>10.375440693326166</v>
      </c>
      <c r="M70" s="518">
        <v>10.648739642018324</v>
      </c>
      <c r="N70" s="518">
        <v>10.929237544235828</v>
      </c>
      <c r="O70" s="518">
        <v>11.217124027242553</v>
      </c>
      <c r="P70" s="518">
        <v>11.512593713264359</v>
      </c>
      <c r="Q70" s="518">
        <v>11.815846351061126</v>
      </c>
      <c r="R70" s="518">
        <v>12.127086950964536</v>
      </c>
      <c r="T70" s="517"/>
      <c r="U70" s="517"/>
      <c r="V70" s="517"/>
      <c r="W70" s="517"/>
      <c r="X70" s="517"/>
      <c r="Y70" s="517"/>
      <c r="Z70" s="517"/>
      <c r="AA70" s="517"/>
      <c r="AB70" s="517"/>
      <c r="AC70" s="517"/>
      <c r="AD70" s="517"/>
      <c r="AE70" s="517"/>
      <c r="AF70" s="517"/>
      <c r="AG70" s="517"/>
      <c r="AH70" s="517"/>
      <c r="AI70" s="517"/>
      <c r="AJ70" s="517"/>
      <c r="AK70" s="517"/>
      <c r="AL70" s="517"/>
      <c r="AM70" s="517"/>
      <c r="AO70" s="517"/>
      <c r="AQ70" s="517"/>
      <c r="AR70" s="517"/>
      <c r="AS70" s="517"/>
      <c r="AT70" s="517"/>
      <c r="AU70" s="517"/>
      <c r="AV70" s="517"/>
      <c r="AW70" s="517"/>
      <c r="AX70" s="517"/>
      <c r="AY70" s="517"/>
      <c r="AZ70" s="517"/>
      <c r="BA70" s="517"/>
      <c r="BB70" s="517"/>
      <c r="BC70" s="517"/>
      <c r="BD70" s="517"/>
      <c r="BE70" s="517"/>
      <c r="BF70" s="517"/>
      <c r="BG70" s="517"/>
      <c r="BH70" s="517"/>
      <c r="BI70" s="517"/>
      <c r="BJ70" s="517"/>
      <c r="BK70" s="517"/>
      <c r="BL70" s="517"/>
      <c r="BM70" s="517"/>
      <c r="BN70" s="517"/>
      <c r="BO70" s="517"/>
      <c r="BP70" s="517"/>
    </row>
    <row r="71" spans="1:68">
      <c r="A71" s="518" t="s">
        <v>809</v>
      </c>
      <c r="B71" s="518">
        <v>811</v>
      </c>
      <c r="C71" s="518">
        <v>832.36250921196142</v>
      </c>
      <c r="D71" s="518">
        <v>854.28772717833863</v>
      </c>
      <c r="E71" s="518">
        <v>876.79047618143738</v>
      </c>
      <c r="F71" s="518">
        <v>899.88596893653698</v>
      </c>
      <c r="G71" s="518">
        <v>923.58981887626783</v>
      </c>
      <c r="H71" s="518">
        <v>947.9180507058835</v>
      </c>
      <c r="I71" s="518">
        <v>972.88711123657265</v>
      </c>
      <c r="J71" s="518">
        <v>998.51388050413107</v>
      </c>
      <c r="K71" s="518">
        <v>1024.815683180507</v>
      </c>
      <c r="L71" s="518">
        <v>1051.81030028594</v>
      </c>
      <c r="M71" s="518">
        <v>1079.5159812096074</v>
      </c>
      <c r="N71" s="518">
        <v>1107.951456046907</v>
      </c>
      <c r="O71" s="518">
        <v>1137.1359482617138</v>
      </c>
      <c r="P71" s="518">
        <v>1167.089187682174</v>
      </c>
      <c r="Q71" s="518">
        <v>1197.8314238388216</v>
      </c>
      <c r="R71" s="518">
        <v>1229.3834396540294</v>
      </c>
      <c r="T71" s="517"/>
      <c r="U71" s="517"/>
      <c r="V71" s="517"/>
      <c r="W71" s="517"/>
      <c r="X71" s="517"/>
      <c r="Y71" s="517"/>
      <c r="Z71" s="517"/>
      <c r="AA71" s="517"/>
      <c r="AB71" s="517"/>
      <c r="AC71" s="517"/>
      <c r="AD71" s="517"/>
      <c r="AE71" s="517"/>
      <c r="AF71" s="517"/>
      <c r="AG71" s="517"/>
      <c r="AH71" s="517"/>
      <c r="AI71" s="517"/>
      <c r="AJ71" s="517"/>
      <c r="AK71" s="517"/>
      <c r="AL71" s="517"/>
      <c r="AM71" s="517"/>
      <c r="AO71" s="517"/>
      <c r="AQ71" s="517"/>
      <c r="AR71" s="517"/>
      <c r="AS71" s="517"/>
      <c r="AT71" s="517"/>
      <c r="AU71" s="517"/>
      <c r="AV71" s="517"/>
      <c r="AW71" s="517"/>
      <c r="AX71" s="517"/>
      <c r="AY71" s="517"/>
      <c r="AZ71" s="517"/>
      <c r="BA71" s="517"/>
      <c r="BB71" s="517"/>
      <c r="BC71" s="517"/>
      <c r="BD71" s="517"/>
      <c r="BE71" s="517"/>
      <c r="BF71" s="517"/>
      <c r="BG71" s="517"/>
      <c r="BH71" s="517"/>
      <c r="BI71" s="517"/>
      <c r="BJ71" s="517"/>
      <c r="BK71" s="517"/>
      <c r="BL71" s="517"/>
      <c r="BM71" s="517"/>
      <c r="BN71" s="517"/>
      <c r="BO71" s="517"/>
      <c r="BP71" s="517"/>
    </row>
    <row r="72" spans="1:68">
      <c r="A72" s="518" t="s">
        <v>811</v>
      </c>
      <c r="B72" s="518">
        <v>3609</v>
      </c>
      <c r="C72" s="518">
        <v>3704.0644830406518</v>
      </c>
      <c r="D72" s="518">
        <v>3801.6330547307325</v>
      </c>
      <c r="E72" s="518">
        <v>3901.7716751403291</v>
      </c>
      <c r="F72" s="518">
        <v>4004.5480417903354</v>
      </c>
      <c r="G72" s="518">
        <v>4110.0316354185579</v>
      </c>
      <c r="H72" s="518">
        <v>4218.2937669513358</v>
      </c>
      <c r="I72" s="518">
        <v>4329.4076257124425</v>
      </c>
      <c r="J72" s="518">
        <v>4443.4483289018608</v>
      </c>
      <c r="K72" s="518">
        <v>4560.4929723778678</v>
      </c>
      <c r="L72" s="518">
        <v>4680.6206827767683</v>
      </c>
      <c r="M72" s="518">
        <v>4803.912671005517</v>
      </c>
      <c r="N72" s="518">
        <v>4930.4522871433892</v>
      </c>
      <c r="O72" s="518">
        <v>5060.3250767897971</v>
      </c>
      <c r="P72" s="518">
        <v>5193.6188388963847</v>
      </c>
      <c r="Q72" s="518">
        <v>5330.4236851224514</v>
      </c>
      <c r="R72" s="518">
        <v>5470.8321007538771</v>
      </c>
      <c r="T72" s="517"/>
      <c r="U72" s="517"/>
      <c r="V72" s="517"/>
      <c r="W72" s="517"/>
      <c r="X72" s="517"/>
      <c r="Y72" s="517"/>
      <c r="Z72" s="517"/>
      <c r="AA72" s="517"/>
      <c r="AB72" s="517"/>
      <c r="AC72" s="517"/>
      <c r="AD72" s="517"/>
      <c r="AE72" s="517"/>
      <c r="AF72" s="517"/>
      <c r="AG72" s="517"/>
      <c r="AH72" s="517"/>
      <c r="AI72" s="517"/>
      <c r="AJ72" s="517"/>
      <c r="AK72" s="517"/>
      <c r="AL72" s="517"/>
      <c r="AM72" s="517"/>
      <c r="AO72" s="517"/>
      <c r="AQ72" s="517"/>
      <c r="AR72" s="517"/>
      <c r="AS72" s="517"/>
      <c r="AT72" s="517"/>
      <c r="AU72" s="517"/>
      <c r="AV72" s="517"/>
      <c r="AW72" s="517"/>
      <c r="AX72" s="517"/>
      <c r="AY72" s="517"/>
      <c r="AZ72" s="517"/>
      <c r="BA72" s="517"/>
      <c r="BB72" s="517"/>
      <c r="BC72" s="517"/>
      <c r="BD72" s="517"/>
      <c r="BE72" s="517"/>
      <c r="BF72" s="517"/>
      <c r="BG72" s="517"/>
      <c r="BH72" s="517"/>
      <c r="BI72" s="517"/>
      <c r="BJ72" s="517"/>
      <c r="BK72" s="517"/>
      <c r="BL72" s="517"/>
      <c r="BM72" s="517"/>
      <c r="BN72" s="517"/>
      <c r="BO72" s="517"/>
      <c r="BP72" s="517"/>
    </row>
    <row r="73" spans="1:68">
      <c r="A73" s="518" t="s">
        <v>813</v>
      </c>
      <c r="B73" s="518">
        <v>3138</v>
      </c>
      <c r="C73" s="518">
        <v>3220.6578963096604</v>
      </c>
      <c r="D73" s="518">
        <v>3305.4930800069383</v>
      </c>
      <c r="E73" s="518">
        <v>3392.56290290672</v>
      </c>
      <c r="F73" s="518">
        <v>3481.9262275250971</v>
      </c>
      <c r="G73" s="518">
        <v>3573.6434668726615</v>
      </c>
      <c r="H73" s="518">
        <v>3667.7766252960073</v>
      </c>
      <c r="I73" s="518">
        <v>3764.3893403950251</v>
      </c>
      <c r="J73" s="518">
        <v>3863.5469260443451</v>
      </c>
      <c r="K73" s="518">
        <v>3965.3164165480034</v>
      </c>
      <c r="L73" s="518">
        <v>4069.7666119571891</v>
      </c>
      <c r="M73" s="518">
        <v>4176.9681245816882</v>
      </c>
      <c r="N73" s="518">
        <v>4286.9934267265044</v>
      </c>
      <c r="O73" s="518">
        <v>4399.9168996858916</v>
      </c>
      <c r="P73" s="518">
        <v>4515.8148840279437</v>
      </c>
      <c r="Q73" s="518">
        <v>4634.7657312037281</v>
      </c>
      <c r="R73" s="518">
        <v>4756.8498565158397</v>
      </c>
      <c r="T73" s="517"/>
      <c r="U73" s="517"/>
      <c r="V73" s="517"/>
      <c r="W73" s="517"/>
      <c r="X73" s="517"/>
      <c r="Y73" s="517"/>
      <c r="Z73" s="517"/>
      <c r="AA73" s="517"/>
      <c r="AB73" s="517"/>
      <c r="AC73" s="517"/>
      <c r="AD73" s="517"/>
      <c r="AE73" s="517"/>
      <c r="AF73" s="517"/>
      <c r="AG73" s="517"/>
      <c r="AH73" s="517"/>
      <c r="AI73" s="517"/>
      <c r="AJ73" s="517"/>
      <c r="AK73" s="517"/>
      <c r="AL73" s="517"/>
      <c r="AM73" s="517"/>
      <c r="AO73" s="517"/>
      <c r="AQ73" s="517"/>
      <c r="AR73" s="517"/>
      <c r="AS73" s="517"/>
      <c r="AT73" s="517"/>
      <c r="AU73" s="517"/>
      <c r="AV73" s="517"/>
      <c r="AW73" s="517"/>
      <c r="AX73" s="517"/>
      <c r="AY73" s="517"/>
      <c r="AZ73" s="517"/>
      <c r="BA73" s="517"/>
      <c r="BB73" s="517"/>
      <c r="BC73" s="517"/>
      <c r="BD73" s="517"/>
      <c r="BE73" s="517"/>
      <c r="BF73" s="517"/>
      <c r="BG73" s="517"/>
      <c r="BH73" s="517"/>
      <c r="BI73" s="517"/>
      <c r="BJ73" s="517"/>
      <c r="BK73" s="517"/>
      <c r="BL73" s="517"/>
      <c r="BM73" s="517"/>
      <c r="BN73" s="517"/>
      <c r="BO73" s="517"/>
      <c r="BP73" s="517"/>
    </row>
    <row r="74" spans="1:68">
      <c r="A74" s="507" t="s">
        <v>815</v>
      </c>
      <c r="B74" s="518">
        <v>2196</v>
      </c>
      <c r="C74" s="518">
        <v>2253.8447228476789</v>
      </c>
      <c r="D74" s="518">
        <v>2313.2131305593484</v>
      </c>
      <c r="E74" s="518">
        <v>2374.1453584395022</v>
      </c>
      <c r="F74" s="518">
        <v>2436.6825989946192</v>
      </c>
      <c r="G74" s="518">
        <v>2500.8671297808687</v>
      </c>
      <c r="H74" s="518">
        <v>2566.7423419853508</v>
      </c>
      <c r="I74" s="518">
        <v>2634.3527697601889</v>
      </c>
      <c r="J74" s="518">
        <v>2703.744120329312</v>
      </c>
      <c r="K74" s="518">
        <v>2774.9633048882779</v>
      </c>
      <c r="L74" s="518">
        <v>2848.058470318033</v>
      </c>
      <c r="M74" s="518">
        <v>2923.0790317340297</v>
      </c>
      <c r="N74" s="518">
        <v>3000.0757058927356</v>
      </c>
      <c r="O74" s="518">
        <v>3079.1005454780793</v>
      </c>
      <c r="P74" s="518">
        <v>3160.2069742910667</v>
      </c>
      <c r="Q74" s="518">
        <v>3243.4498233662789</v>
      </c>
      <c r="R74" s="518">
        <v>3328.8853680397651</v>
      </c>
      <c r="T74" s="517"/>
      <c r="U74" s="517"/>
      <c r="V74" s="517"/>
      <c r="W74" s="517"/>
      <c r="X74" s="517"/>
      <c r="Y74" s="517"/>
      <c r="Z74" s="517"/>
      <c r="AA74" s="517"/>
      <c r="AB74" s="517"/>
      <c r="AC74" s="517"/>
      <c r="AD74" s="517"/>
      <c r="AE74" s="517"/>
      <c r="AF74" s="517"/>
      <c r="AG74" s="517"/>
      <c r="AH74" s="517"/>
      <c r="AI74" s="517"/>
      <c r="AJ74" s="517"/>
      <c r="AK74" s="517"/>
      <c r="AL74" s="517"/>
      <c r="AM74" s="517"/>
      <c r="AN74" s="517"/>
      <c r="AO74" s="517"/>
      <c r="AP74" s="517"/>
      <c r="AQ74" s="517"/>
      <c r="AR74" s="517"/>
      <c r="AS74" s="517"/>
      <c r="AT74" s="517"/>
      <c r="AU74" s="517"/>
      <c r="AV74" s="517"/>
      <c r="AW74" s="517"/>
      <c r="AX74" s="517"/>
      <c r="AY74" s="517"/>
      <c r="AZ74" s="517"/>
      <c r="BA74" s="517"/>
      <c r="BB74" s="517"/>
      <c r="BC74" s="517"/>
      <c r="BD74" s="517"/>
      <c r="BE74" s="517"/>
      <c r="BF74" s="517"/>
      <c r="BG74" s="517"/>
      <c r="BH74" s="517"/>
      <c r="BI74" s="517"/>
      <c r="BJ74" s="517"/>
      <c r="BK74" s="517"/>
      <c r="BL74" s="517"/>
      <c r="BM74" s="517"/>
      <c r="BN74" s="517"/>
      <c r="BO74" s="517"/>
      <c r="BP74" s="517"/>
    </row>
    <row r="75" spans="1:68">
      <c r="A75" s="507" t="s">
        <v>817</v>
      </c>
      <c r="B75" s="518">
        <v>1358</v>
      </c>
      <c r="C75" s="518">
        <v>1393.7710080269339</v>
      </c>
      <c r="D75" s="518">
        <v>1430.484258333149</v>
      </c>
      <c r="E75" s="518">
        <v>1468.1645704739728</v>
      </c>
      <c r="F75" s="518">
        <v>1506.8374177753606</v>
      </c>
      <c r="G75" s="518">
        <v>1546.5289445548356</v>
      </c>
      <c r="H75" s="518">
        <v>1587.2659837960416</v>
      </c>
      <c r="I75" s="518">
        <v>1629.0760752888607</v>
      </c>
      <c r="J75" s="518">
        <v>1671.9874842473619</v>
      </c>
      <c r="K75" s="518">
        <v>1716.0292204181612</v>
      </c>
      <c r="L75" s="518">
        <v>1761.231057692117</v>
      </c>
      <c r="M75" s="518">
        <v>1807.623554232611</v>
      </c>
      <c r="N75" s="518">
        <v>1855.238073134032</v>
      </c>
      <c r="O75" s="518">
        <v>1904.1068036244235</v>
      </c>
      <c r="P75" s="518">
        <v>1954.262782826625</v>
      </c>
      <c r="Q75" s="518">
        <v>2005.7399180926263</v>
      </c>
      <c r="R75" s="518">
        <v>2058.5730099262296</v>
      </c>
      <c r="T75" s="517"/>
      <c r="U75" s="517"/>
      <c r="V75" s="517"/>
      <c r="W75" s="517"/>
      <c r="X75" s="517"/>
      <c r="Y75" s="517"/>
      <c r="Z75" s="517"/>
      <c r="AA75" s="517"/>
      <c r="AB75" s="517"/>
      <c r="AC75" s="517"/>
      <c r="AD75" s="517"/>
      <c r="AE75" s="517"/>
      <c r="AF75" s="517"/>
      <c r="AG75" s="517"/>
      <c r="AH75" s="517"/>
      <c r="AI75" s="517"/>
      <c r="AJ75" s="517"/>
      <c r="AK75" s="517"/>
      <c r="AL75" s="517"/>
      <c r="AM75" s="517"/>
      <c r="AN75" s="517"/>
      <c r="AO75" s="517"/>
      <c r="AP75" s="517"/>
      <c r="AQ75" s="517"/>
      <c r="AR75" s="517"/>
      <c r="AS75" s="517"/>
      <c r="AT75" s="517"/>
      <c r="AU75" s="517"/>
      <c r="AV75" s="517"/>
      <c r="AW75" s="517"/>
      <c r="AX75" s="517"/>
      <c r="AY75" s="517"/>
      <c r="AZ75" s="517"/>
      <c r="BA75" s="517"/>
      <c r="BB75" s="517"/>
      <c r="BC75" s="517"/>
      <c r="BD75" s="517"/>
      <c r="BE75" s="517"/>
      <c r="BF75" s="517"/>
      <c r="BG75" s="517"/>
      <c r="BH75" s="517"/>
      <c r="BI75" s="517"/>
      <c r="BJ75" s="517"/>
      <c r="BK75" s="517"/>
      <c r="BL75" s="517"/>
      <c r="BM75" s="517"/>
      <c r="BN75" s="517"/>
      <c r="BO75" s="517"/>
      <c r="BP75" s="517"/>
    </row>
    <row r="76" spans="1:68">
      <c r="A76" s="507" t="s">
        <v>819</v>
      </c>
      <c r="B76" s="518">
        <v>1013</v>
      </c>
      <c r="C76" s="518">
        <v>1039.6833808035967</v>
      </c>
      <c r="D76" s="518">
        <v>1067.0696271660386</v>
      </c>
      <c r="E76" s="518">
        <v>1095.1772532327939</v>
      </c>
      <c r="F76" s="518">
        <v>1124.025260829485</v>
      </c>
      <c r="G76" s="518">
        <v>1153.6331523078416</v>
      </c>
      <c r="H76" s="518">
        <v>1184.0209437300371</v>
      </c>
      <c r="I76" s="518">
        <v>1215.2091784003062</v>
      </c>
      <c r="J76" s="518">
        <v>1247.218940753002</v>
      </c>
      <c r="K76" s="518">
        <v>1280.0718706064783</v>
      </c>
      <c r="L76" s="518">
        <v>1313.790177792426</v>
      </c>
      <c r="M76" s="518">
        <v>1348.3966571705705</v>
      </c>
      <c r="N76" s="518">
        <v>1383.9147040388618</v>
      </c>
      <c r="O76" s="518">
        <v>1420.3683299495879</v>
      </c>
      <c r="P76" s="518">
        <v>1457.7821789420993</v>
      </c>
      <c r="Q76" s="518">
        <v>1496.181544203115</v>
      </c>
      <c r="R76" s="518">
        <v>1535.5923851658843</v>
      </c>
      <c r="T76" s="517"/>
      <c r="U76" s="517"/>
      <c r="V76" s="517"/>
      <c r="W76" s="517"/>
      <c r="X76" s="517"/>
      <c r="Y76" s="517"/>
      <c r="Z76" s="517"/>
      <c r="AA76" s="517"/>
      <c r="AB76" s="517"/>
      <c r="AC76" s="517"/>
      <c r="AD76" s="517"/>
      <c r="AE76" s="517"/>
      <c r="AF76" s="517"/>
      <c r="AG76" s="517"/>
      <c r="AH76" s="517"/>
      <c r="AI76" s="517"/>
      <c r="AJ76" s="517"/>
      <c r="AK76" s="517"/>
      <c r="AL76" s="517"/>
      <c r="AM76" s="517"/>
      <c r="AN76" s="517"/>
      <c r="AO76" s="517"/>
      <c r="AP76" s="517"/>
      <c r="AQ76" s="517"/>
      <c r="AR76" s="517"/>
      <c r="AS76" s="517"/>
      <c r="AT76" s="517"/>
      <c r="AU76" s="517"/>
      <c r="AV76" s="517"/>
      <c r="AW76" s="517"/>
      <c r="AX76" s="517"/>
      <c r="AY76" s="517"/>
      <c r="AZ76" s="517"/>
      <c r="BA76" s="517"/>
      <c r="BB76" s="517"/>
      <c r="BC76" s="517"/>
      <c r="BD76" s="517"/>
      <c r="BE76" s="517"/>
      <c r="BF76" s="517"/>
      <c r="BG76" s="517"/>
      <c r="BH76" s="517"/>
      <c r="BI76" s="517"/>
      <c r="BJ76" s="517"/>
      <c r="BK76" s="517"/>
      <c r="BL76" s="517"/>
      <c r="BM76" s="517"/>
      <c r="BN76" s="517"/>
      <c r="BO76" s="517"/>
      <c r="BP76" s="517"/>
    </row>
    <row r="77" spans="1:68">
      <c r="A77" s="507" t="s">
        <v>821</v>
      </c>
      <c r="B77" s="518">
        <v>658</v>
      </c>
      <c r="C77" s="518">
        <v>675.33234409552483</v>
      </c>
      <c r="D77" s="518">
        <v>693.12123857379402</v>
      </c>
      <c r="E77" s="518">
        <v>711.37870940491462</v>
      </c>
      <c r="F77" s="518">
        <v>730.1170993344532</v>
      </c>
      <c r="G77" s="518">
        <v>749.34907622760079</v>
      </c>
      <c r="H77" s="518">
        <v>769.08764163313333</v>
      </c>
      <c r="I77" s="518">
        <v>789.34613957295289</v>
      </c>
      <c r="J77" s="518">
        <v>810.1382655631545</v>
      </c>
      <c r="K77" s="518">
        <v>831.47807587271711</v>
      </c>
      <c r="L77" s="518">
        <v>853.37999702607726</v>
      </c>
      <c r="M77" s="518">
        <v>875.85883555600731</v>
      </c>
      <c r="N77" s="518">
        <v>898.929788013397</v>
      </c>
      <c r="O77" s="518">
        <v>922.60845124069988</v>
      </c>
      <c r="P77" s="518">
        <v>946.9108329159933</v>
      </c>
      <c r="Q77" s="518">
        <v>971.85336237477793</v>
      </c>
      <c r="R77" s="518">
        <v>997.45290171683314</v>
      </c>
      <c r="T77" s="517"/>
      <c r="U77" s="517"/>
      <c r="V77" s="517"/>
      <c r="W77" s="517"/>
      <c r="X77" s="517"/>
      <c r="Y77" s="517"/>
      <c r="Z77" s="517"/>
      <c r="AA77" s="517"/>
      <c r="AB77" s="517"/>
      <c r="AC77" s="517"/>
      <c r="AD77" s="517"/>
      <c r="AE77" s="517"/>
      <c r="AF77" s="517"/>
      <c r="AG77" s="517"/>
      <c r="AH77" s="517"/>
      <c r="AI77" s="517"/>
      <c r="AJ77" s="517"/>
      <c r="AK77" s="517"/>
      <c r="AL77" s="517"/>
      <c r="AM77" s="517"/>
      <c r="AN77" s="517"/>
      <c r="AO77" s="517"/>
      <c r="AP77" s="517"/>
      <c r="AQ77" s="517"/>
      <c r="AR77" s="517"/>
      <c r="AS77" s="517"/>
      <c r="AT77" s="517"/>
      <c r="AU77" s="517"/>
      <c r="AV77" s="517"/>
      <c r="AW77" s="517"/>
      <c r="AX77" s="517"/>
      <c r="AY77" s="517"/>
      <c r="AZ77" s="517"/>
      <c r="BA77" s="517"/>
      <c r="BB77" s="517"/>
      <c r="BC77" s="517"/>
      <c r="BD77" s="517"/>
      <c r="BE77" s="517"/>
      <c r="BF77" s="517"/>
      <c r="BG77" s="517"/>
      <c r="BH77" s="517"/>
      <c r="BI77" s="517"/>
      <c r="BJ77" s="517"/>
      <c r="BK77" s="517"/>
      <c r="BL77" s="517"/>
      <c r="BM77" s="517"/>
      <c r="BN77" s="517"/>
      <c r="BO77" s="517"/>
      <c r="BP77" s="517"/>
    </row>
    <row r="78" spans="1:68">
      <c r="A78" s="507" t="s">
        <v>823</v>
      </c>
      <c r="B78" s="518">
        <v>448</v>
      </c>
      <c r="C78" s="518">
        <v>459.80074491610208</v>
      </c>
      <c r="D78" s="518">
        <v>471.91233264598742</v>
      </c>
      <c r="E78" s="518">
        <v>484.34295108419707</v>
      </c>
      <c r="F78" s="518">
        <v>497.10100380218091</v>
      </c>
      <c r="G78" s="518">
        <v>510.19511572943043</v>
      </c>
      <c r="H78" s="518">
        <v>523.63413898426109</v>
      </c>
      <c r="I78" s="518">
        <v>537.42715885818063</v>
      </c>
      <c r="J78" s="518">
        <v>551.5834999578924</v>
      </c>
      <c r="K78" s="518">
        <v>566.11273250908403</v>
      </c>
      <c r="L78" s="518">
        <v>581.02467882626524</v>
      </c>
      <c r="M78" s="518">
        <v>596.3294199530261</v>
      </c>
      <c r="N78" s="518">
        <v>612.03730247720637</v>
      </c>
      <c r="O78" s="518">
        <v>628.15894552558291</v>
      </c>
      <c r="P78" s="518">
        <v>644.70524794280379</v>
      </c>
      <c r="Q78" s="518">
        <v>661.68739565942315</v>
      </c>
      <c r="R78" s="518">
        <v>679.11686925401398</v>
      </c>
      <c r="T78" s="517"/>
      <c r="U78" s="517"/>
      <c r="V78" s="517"/>
      <c r="W78" s="517"/>
      <c r="X78" s="517"/>
      <c r="Y78" s="517"/>
      <c r="Z78" s="517"/>
      <c r="AA78" s="517"/>
      <c r="AB78" s="517"/>
      <c r="AC78" s="517"/>
      <c r="AD78" s="517"/>
      <c r="AE78" s="517"/>
      <c r="AF78" s="517"/>
      <c r="AG78" s="517"/>
      <c r="AH78" s="517"/>
      <c r="AI78" s="517"/>
      <c r="AJ78" s="517"/>
      <c r="AK78" s="517"/>
      <c r="AL78" s="517"/>
      <c r="AM78" s="517"/>
      <c r="AN78" s="517"/>
      <c r="AO78" s="517"/>
      <c r="AP78" s="517"/>
      <c r="AQ78" s="517"/>
      <c r="AR78" s="517"/>
      <c r="AS78" s="517"/>
      <c r="AT78" s="517"/>
      <c r="AU78" s="517"/>
      <c r="AV78" s="517"/>
      <c r="AW78" s="517"/>
      <c r="AX78" s="517"/>
      <c r="AY78" s="517"/>
      <c r="AZ78" s="517"/>
      <c r="BA78" s="517"/>
      <c r="BB78" s="517"/>
      <c r="BC78" s="517"/>
      <c r="BD78" s="517"/>
      <c r="BE78" s="517"/>
      <c r="BF78" s="517"/>
      <c r="BG78" s="517"/>
      <c r="BH78" s="517"/>
      <c r="BI78" s="517"/>
      <c r="BJ78" s="517"/>
      <c r="BK78" s="517"/>
      <c r="BL78" s="517"/>
      <c r="BM78" s="517"/>
      <c r="BN78" s="517"/>
      <c r="BO78" s="517"/>
      <c r="BP78" s="517"/>
    </row>
    <row r="79" spans="1:68">
      <c r="A79" s="507" t="s">
        <v>825</v>
      </c>
      <c r="B79" s="518">
        <v>216</v>
      </c>
      <c r="C79" s="518">
        <v>221.68964487026349</v>
      </c>
      <c r="D79" s="518">
        <v>227.52916038288674</v>
      </c>
      <c r="E79" s="518">
        <v>233.52249427273793</v>
      </c>
      <c r="F79" s="518">
        <v>239.67369826176574</v>
      </c>
      <c r="G79" s="518">
        <v>245.98693079811821</v>
      </c>
      <c r="H79" s="518">
        <v>252.4664598674116</v>
      </c>
      <c r="I79" s="518">
        <v>259.11666587805144</v>
      </c>
      <c r="J79" s="518">
        <v>265.94204462255533</v>
      </c>
      <c r="K79" s="518">
        <v>272.94721031687988</v>
      </c>
      <c r="L79" s="518">
        <v>280.13689871980648</v>
      </c>
      <c r="M79" s="518">
        <v>287.5159703344948</v>
      </c>
      <c r="N79" s="518">
        <v>295.08941369436741</v>
      </c>
      <c r="O79" s="518">
        <v>302.86234873554895</v>
      </c>
      <c r="P79" s="518">
        <v>310.84003025813757</v>
      </c>
      <c r="Q79" s="518">
        <v>319.02785147865046</v>
      </c>
      <c r="R79" s="518">
        <v>327.43134767604249</v>
      </c>
      <c r="T79" s="517"/>
      <c r="U79" s="517"/>
      <c r="V79" s="517"/>
      <c r="W79" s="517"/>
      <c r="X79" s="517"/>
      <c r="Y79" s="517"/>
      <c r="Z79" s="517"/>
      <c r="AA79" s="517"/>
      <c r="AB79" s="517"/>
      <c r="AC79" s="517"/>
      <c r="AD79" s="517"/>
      <c r="AE79" s="517"/>
      <c r="AF79" s="517"/>
      <c r="AG79" s="517"/>
      <c r="AH79" s="517"/>
      <c r="AI79" s="517"/>
      <c r="AJ79" s="517"/>
      <c r="AK79" s="517"/>
      <c r="AL79" s="517"/>
      <c r="AM79" s="517"/>
      <c r="AN79" s="517"/>
      <c r="AO79" s="517"/>
      <c r="AP79" s="517"/>
      <c r="AQ79" s="517"/>
      <c r="AR79" s="517"/>
      <c r="AS79" s="517"/>
      <c r="AT79" s="517"/>
      <c r="AU79" s="517"/>
      <c r="AV79" s="517"/>
      <c r="AW79" s="517"/>
      <c r="AX79" s="517"/>
      <c r="AY79" s="517"/>
      <c r="AZ79" s="517"/>
      <c r="BA79" s="517"/>
      <c r="BB79" s="517"/>
      <c r="BC79" s="517"/>
      <c r="BD79" s="517"/>
      <c r="BE79" s="517"/>
      <c r="BF79" s="517"/>
      <c r="BG79" s="517"/>
      <c r="BH79" s="517"/>
      <c r="BI79" s="517"/>
      <c r="BJ79" s="517"/>
      <c r="BK79" s="517"/>
      <c r="BL79" s="517"/>
      <c r="BM79" s="517"/>
      <c r="BN79" s="517"/>
      <c r="BO79" s="517"/>
      <c r="BP79" s="517"/>
    </row>
    <row r="80" spans="1:68">
      <c r="A80" s="507" t="s">
        <v>827</v>
      </c>
      <c r="B80" s="518">
        <v>101</v>
      </c>
      <c r="C80" s="518">
        <v>103.66043579581763</v>
      </c>
      <c r="D80" s="518">
        <v>106.39094999384986</v>
      </c>
      <c r="E80" s="518">
        <v>109.19338852567837</v>
      </c>
      <c r="F80" s="518">
        <v>112.06964594647377</v>
      </c>
      <c r="G80" s="518">
        <v>115.02166671578676</v>
      </c>
      <c r="H80" s="518">
        <v>118.05144651207674</v>
      </c>
      <c r="I80" s="518">
        <v>121.16103358186663</v>
      </c>
      <c r="J80" s="518">
        <v>124.35253012443556</v>
      </c>
      <c r="K80" s="518">
        <v>127.62809371298543</v>
      </c>
      <c r="L80" s="518">
        <v>130.98993875324282</v>
      </c>
      <c r="M80" s="518">
        <v>134.44033798048136</v>
      </c>
      <c r="N80" s="518">
        <v>137.98162399597732</v>
      </c>
      <c r="O80" s="518">
        <v>141.61619084393723</v>
      </c>
      <c r="P80" s="518">
        <v>145.3464956299625</v>
      </c>
      <c r="Q80" s="518">
        <v>149.17506018214675</v>
      </c>
      <c r="R80" s="518">
        <v>153.10447275592728</v>
      </c>
      <c r="T80" s="517"/>
      <c r="U80" s="517"/>
      <c r="V80" s="517"/>
      <c r="W80" s="517"/>
      <c r="X80" s="517"/>
      <c r="Y80" s="517"/>
      <c r="Z80" s="517"/>
      <c r="AA80" s="517"/>
      <c r="AB80" s="517"/>
      <c r="AC80" s="517"/>
      <c r="AD80" s="517"/>
      <c r="AE80" s="517"/>
      <c r="AF80" s="517"/>
      <c r="AG80" s="517"/>
      <c r="AH80" s="517"/>
      <c r="AI80" s="517"/>
      <c r="AJ80" s="517"/>
      <c r="AK80" s="517"/>
      <c r="AL80" s="517"/>
      <c r="AM80" s="517"/>
      <c r="AN80" s="517"/>
      <c r="AO80" s="517"/>
      <c r="AP80" s="517"/>
      <c r="AQ80" s="517"/>
      <c r="AR80" s="517"/>
      <c r="AS80" s="517"/>
      <c r="AT80" s="517"/>
      <c r="AU80" s="517"/>
      <c r="AV80" s="517"/>
      <c r="AW80" s="517"/>
      <c r="AX80" s="517"/>
      <c r="AY80" s="517"/>
      <c r="AZ80" s="517"/>
      <c r="BA80" s="517"/>
      <c r="BB80" s="517"/>
      <c r="BC80" s="517"/>
      <c r="BD80" s="517"/>
      <c r="BE80" s="517"/>
      <c r="BF80" s="517"/>
      <c r="BG80" s="517"/>
      <c r="BH80" s="517"/>
      <c r="BI80" s="517"/>
      <c r="BJ80" s="517"/>
      <c r="BK80" s="517"/>
      <c r="BL80" s="517"/>
      <c r="BM80" s="517"/>
      <c r="BN80" s="517"/>
      <c r="BO80" s="517"/>
      <c r="BP80" s="517"/>
    </row>
    <row r="81" spans="1:68">
      <c r="A81" s="507" t="s">
        <v>829</v>
      </c>
      <c r="B81" s="518">
        <v>42</v>
      </c>
      <c r="C81" s="518">
        <v>43.106319835884555</v>
      </c>
      <c r="D81" s="518">
        <v>44.241781185561315</v>
      </c>
      <c r="E81" s="518">
        <v>45.407151664143477</v>
      </c>
      <c r="F81" s="518">
        <v>46.603219106454439</v>
      </c>
      <c r="G81" s="518">
        <v>47.83079209963411</v>
      </c>
      <c r="H81" s="518">
        <v>49.09070052977448</v>
      </c>
      <c r="I81" s="518">
        <v>50.383796142954438</v>
      </c>
      <c r="J81" s="518">
        <v>51.710953121052405</v>
      </c>
      <c r="K81" s="518">
        <v>53.07306867272662</v>
      </c>
      <c r="L81" s="518">
        <v>54.47106363996236</v>
      </c>
      <c r="M81" s="518">
        <v>55.905883120596201</v>
      </c>
      <c r="N81" s="518">
        <v>57.378497107238104</v>
      </c>
      <c r="O81" s="518">
        <v>58.889901143023408</v>
      </c>
      <c r="P81" s="518">
        <v>60.441116994637888</v>
      </c>
      <c r="Q81" s="518">
        <v>62.033193343070913</v>
      </c>
      <c r="R81" s="518">
        <v>63.667206492563821</v>
      </c>
      <c r="T81" s="517"/>
      <c r="U81" s="517"/>
      <c r="V81" s="517"/>
      <c r="W81" s="517"/>
      <c r="X81" s="517"/>
      <c r="Y81" s="517"/>
      <c r="Z81" s="517"/>
      <c r="AA81" s="517"/>
      <c r="AB81" s="517"/>
      <c r="AC81" s="517"/>
      <c r="AD81" s="517"/>
      <c r="AE81" s="517"/>
      <c r="AF81" s="517"/>
      <c r="AG81" s="517"/>
      <c r="AH81" s="517"/>
      <c r="AI81" s="517"/>
      <c r="AJ81" s="517"/>
      <c r="AK81" s="517"/>
      <c r="AL81" s="517"/>
      <c r="AM81" s="517"/>
      <c r="AN81" s="517"/>
      <c r="AO81" s="517"/>
      <c r="AP81" s="517"/>
      <c r="AQ81" s="517"/>
      <c r="AR81" s="517"/>
      <c r="AS81" s="517"/>
      <c r="AT81" s="517"/>
      <c r="AU81" s="517"/>
      <c r="AV81" s="517"/>
      <c r="AW81" s="517"/>
      <c r="AX81" s="517"/>
      <c r="AY81" s="517"/>
      <c r="AZ81" s="517"/>
      <c r="BA81" s="517"/>
      <c r="BB81" s="517"/>
      <c r="BC81" s="517"/>
      <c r="BD81" s="517"/>
      <c r="BE81" s="517"/>
      <c r="BF81" s="517"/>
      <c r="BG81" s="517"/>
      <c r="BH81" s="517"/>
      <c r="BI81" s="517"/>
      <c r="BJ81" s="517"/>
      <c r="BK81" s="517"/>
      <c r="BL81" s="517"/>
      <c r="BM81" s="517"/>
      <c r="BN81" s="517"/>
      <c r="BO81" s="517"/>
      <c r="BP81" s="517"/>
    </row>
    <row r="82" spans="1:68">
      <c r="A82" s="507" t="s">
        <v>831</v>
      </c>
      <c r="B82" s="518">
        <v>15</v>
      </c>
      <c r="C82" s="518">
        <v>15.395114227101631</v>
      </c>
      <c r="D82" s="518">
        <v>15.800636137700469</v>
      </c>
      <c r="E82" s="518">
        <v>16.216839880051243</v>
      </c>
      <c r="F82" s="518">
        <v>16.644006823733733</v>
      </c>
      <c r="G82" s="518">
        <v>17.082425749869319</v>
      </c>
      <c r="H82" s="518">
        <v>17.532393046348027</v>
      </c>
      <c r="I82" s="518">
        <v>17.994212908198012</v>
      </c>
      <c r="J82" s="518">
        <v>18.468197543233003</v>
      </c>
      <c r="K82" s="518">
        <v>18.95466738311665</v>
      </c>
      <c r="L82" s="518">
        <v>19.45395129998656</v>
      </c>
      <c r="M82" s="518">
        <v>19.966386828784358</v>
      </c>
      <c r="N82" s="518">
        <v>20.492320395442178</v>
      </c>
      <c r="O82" s="518">
        <v>21.032107551079783</v>
      </c>
      <c r="P82" s="518">
        <v>21.58611321237067</v>
      </c>
      <c r="Q82" s="518">
        <v>22.154711908239612</v>
      </c>
      <c r="R82" s="518">
        <v>22.73828803305851</v>
      </c>
      <c r="T82" s="517"/>
      <c r="U82" s="517"/>
      <c r="V82" s="517"/>
      <c r="W82" s="517"/>
      <c r="X82" s="517"/>
      <c r="Y82" s="517"/>
      <c r="Z82" s="517"/>
      <c r="AA82" s="517"/>
      <c r="AB82" s="517"/>
      <c r="AC82" s="517"/>
      <c r="AD82" s="517"/>
      <c r="AE82" s="517"/>
      <c r="AF82" s="517"/>
      <c r="AG82" s="517"/>
      <c r="AH82" s="517"/>
      <c r="AI82" s="517"/>
      <c r="AJ82" s="517"/>
      <c r="AK82" s="517"/>
      <c r="AL82" s="517"/>
      <c r="AM82" s="517"/>
      <c r="AN82" s="517"/>
      <c r="AO82" s="517"/>
      <c r="AP82" s="517"/>
      <c r="AQ82" s="517"/>
      <c r="AR82" s="517"/>
      <c r="AS82" s="517"/>
      <c r="AT82" s="517"/>
      <c r="AU82" s="517"/>
      <c r="AV82" s="517"/>
      <c r="AW82" s="517"/>
      <c r="AX82" s="517"/>
      <c r="AY82" s="517"/>
      <c r="AZ82" s="517"/>
      <c r="BA82" s="517"/>
      <c r="BB82" s="517"/>
      <c r="BC82" s="517"/>
      <c r="BD82" s="517"/>
      <c r="BE82" s="517"/>
      <c r="BF82" s="517"/>
      <c r="BG82" s="517"/>
      <c r="BH82" s="517"/>
      <c r="BI82" s="517"/>
      <c r="BJ82" s="517"/>
      <c r="BK82" s="517"/>
      <c r="BL82" s="517"/>
      <c r="BM82" s="517"/>
      <c r="BN82" s="517"/>
      <c r="BO82" s="517"/>
      <c r="BP82" s="517"/>
    </row>
    <row r="83" spans="1:68">
      <c r="A83" s="507" t="s">
        <v>833</v>
      </c>
      <c r="B83" s="518">
        <v>5</v>
      </c>
      <c r="C83" s="518">
        <v>5.1317047423672104</v>
      </c>
      <c r="D83" s="518">
        <v>5.2668787125668226</v>
      </c>
      <c r="E83" s="518">
        <v>5.405613293350414</v>
      </c>
      <c r="F83" s="518">
        <v>5.548002274577911</v>
      </c>
      <c r="G83" s="518">
        <v>5.6941419166231064</v>
      </c>
      <c r="H83" s="518">
        <v>5.8441310154493422</v>
      </c>
      <c r="I83" s="518">
        <v>5.998070969399337</v>
      </c>
      <c r="J83" s="518">
        <v>6.1560658477443342</v>
      </c>
      <c r="K83" s="518">
        <v>6.318222461038884</v>
      </c>
      <c r="L83" s="518">
        <v>6.4846504333288539</v>
      </c>
      <c r="M83" s="518">
        <v>6.6554622762614528</v>
      </c>
      <c r="N83" s="518">
        <v>6.8307734651473933</v>
      </c>
      <c r="O83" s="518">
        <v>7.010702517026596</v>
      </c>
      <c r="P83" s="518">
        <v>7.1953710707902241</v>
      </c>
      <c r="Q83" s="518">
        <v>7.3849039694132044</v>
      </c>
      <c r="R83" s="518">
        <v>7.5794293443528353</v>
      </c>
      <c r="T83" s="517"/>
      <c r="U83" s="517"/>
      <c r="V83" s="517"/>
      <c r="W83" s="517"/>
      <c r="X83" s="517"/>
      <c r="Y83" s="517"/>
      <c r="Z83" s="517"/>
      <c r="AA83" s="517"/>
      <c r="AB83" s="517"/>
      <c r="AC83" s="517"/>
      <c r="AD83" s="517"/>
      <c r="AE83" s="517"/>
      <c r="AF83" s="517"/>
      <c r="AG83" s="517"/>
      <c r="AH83" s="517"/>
      <c r="AI83" s="517"/>
      <c r="AJ83" s="517"/>
      <c r="AK83" s="517"/>
      <c r="AL83" s="517"/>
      <c r="AM83" s="517"/>
      <c r="AN83" s="517"/>
      <c r="AO83" s="517"/>
      <c r="AP83" s="517"/>
      <c r="AQ83" s="517"/>
      <c r="AR83" s="517"/>
      <c r="AS83" s="517"/>
      <c r="AT83" s="517"/>
      <c r="AU83" s="517"/>
      <c r="AV83" s="517"/>
      <c r="AW83" s="517"/>
      <c r="AX83" s="517"/>
      <c r="AY83" s="517"/>
      <c r="AZ83" s="517"/>
      <c r="BA83" s="517"/>
      <c r="BB83" s="517"/>
      <c r="BC83" s="517"/>
      <c r="BD83" s="517"/>
      <c r="BE83" s="517"/>
      <c r="BF83" s="517"/>
      <c r="BG83" s="517"/>
      <c r="BH83" s="517"/>
      <c r="BI83" s="517"/>
      <c r="BJ83" s="517"/>
      <c r="BK83" s="517"/>
      <c r="BL83" s="517"/>
      <c r="BM83" s="517"/>
      <c r="BN83" s="517"/>
      <c r="BO83" s="517"/>
      <c r="BP83" s="517"/>
    </row>
    <row r="84" spans="1:68">
      <c r="A84" s="521" t="s">
        <v>835</v>
      </c>
      <c r="B84" s="540">
        <v>1</v>
      </c>
      <c r="C84" s="540">
        <v>1.026340948473442</v>
      </c>
      <c r="D84" s="540">
        <v>1.0533757425133645</v>
      </c>
      <c r="E84" s="540">
        <v>1.0811226586700828</v>
      </c>
      <c r="F84" s="540">
        <v>1.1096004549155822</v>
      </c>
      <c r="G84" s="540">
        <v>1.1388283833246213</v>
      </c>
      <c r="H84" s="540">
        <v>1.1688262030898684</v>
      </c>
      <c r="I84" s="540">
        <v>1.1996141938798675</v>
      </c>
      <c r="J84" s="540">
        <v>1.2312131695488668</v>
      </c>
      <c r="K84" s="540">
        <v>1.2636444922077767</v>
      </c>
      <c r="L84" s="540">
        <v>1.2969300866657707</v>
      </c>
      <c r="M84" s="540">
        <v>1.3310924552522905</v>
      </c>
      <c r="N84" s="540">
        <v>1.3661546930294786</v>
      </c>
      <c r="O84" s="540">
        <v>1.4021405034053191</v>
      </c>
      <c r="P84" s="540">
        <v>1.4390742141580448</v>
      </c>
      <c r="Q84" s="540">
        <v>1.4769807938826409</v>
      </c>
      <c r="R84" s="540">
        <v>1.515885868870567</v>
      </c>
      <c r="T84" s="517"/>
      <c r="U84" s="517"/>
      <c r="V84" s="517"/>
      <c r="W84" s="517"/>
      <c r="X84" s="517"/>
      <c r="Y84" s="517"/>
      <c r="Z84" s="517"/>
      <c r="AA84" s="517"/>
      <c r="AB84" s="517"/>
      <c r="AC84" s="517"/>
      <c r="AD84" s="517"/>
      <c r="AE84" s="517"/>
      <c r="AF84" s="517"/>
      <c r="AG84" s="517"/>
      <c r="AH84" s="517"/>
      <c r="AI84" s="517"/>
      <c r="AJ84" s="517"/>
      <c r="AK84" s="517"/>
      <c r="AL84" s="517"/>
      <c r="AM84" s="517"/>
      <c r="AN84" s="517"/>
      <c r="AO84" s="517"/>
      <c r="AP84" s="517"/>
      <c r="AQ84" s="517"/>
      <c r="AR84" s="517"/>
      <c r="AS84" s="517"/>
      <c r="AT84" s="517"/>
      <c r="AU84" s="517"/>
      <c r="AV84" s="517"/>
      <c r="AW84" s="517"/>
      <c r="AX84" s="517"/>
      <c r="AY84" s="517"/>
      <c r="AZ84" s="517"/>
      <c r="BA84" s="517"/>
      <c r="BB84" s="517"/>
      <c r="BC84" s="517"/>
      <c r="BD84" s="517"/>
      <c r="BE84" s="517"/>
      <c r="BF84" s="517"/>
      <c r="BG84" s="517"/>
      <c r="BH84" s="517"/>
      <c r="BI84" s="517"/>
      <c r="BJ84" s="517"/>
      <c r="BK84" s="517"/>
      <c r="BL84" s="517"/>
      <c r="BM84" s="517"/>
      <c r="BN84" s="517"/>
      <c r="BO84" s="517"/>
      <c r="BP84" s="517"/>
    </row>
    <row r="85" spans="1:68">
      <c r="A85" s="507"/>
      <c r="B85" s="518"/>
      <c r="C85" s="518"/>
      <c r="D85" s="518"/>
      <c r="E85" s="518"/>
      <c r="F85" s="518"/>
      <c r="G85" s="518"/>
      <c r="H85" s="518"/>
      <c r="I85" s="518"/>
      <c r="J85" s="518"/>
      <c r="K85" s="518"/>
      <c r="L85" s="518"/>
      <c r="M85" s="518"/>
      <c r="N85" s="518"/>
      <c r="O85" s="518"/>
      <c r="P85" s="518"/>
      <c r="Q85" s="518"/>
      <c r="R85" s="518"/>
      <c r="T85" s="517"/>
      <c r="U85" s="517"/>
      <c r="V85" s="517"/>
      <c r="W85" s="517"/>
      <c r="X85" s="517"/>
      <c r="Y85" s="517"/>
      <c r="Z85" s="517"/>
      <c r="AA85" s="517"/>
      <c r="AB85" s="517"/>
      <c r="AC85" s="517"/>
      <c r="AD85" s="517"/>
      <c r="AE85" s="517"/>
      <c r="AF85" s="517"/>
      <c r="AG85" s="517"/>
      <c r="AH85" s="517"/>
      <c r="AI85" s="517"/>
      <c r="AJ85" s="517"/>
      <c r="AK85" s="517"/>
      <c r="AL85" s="517"/>
      <c r="AM85" s="517"/>
      <c r="AN85" s="517"/>
      <c r="AO85" s="517"/>
      <c r="AP85" s="517"/>
      <c r="AQ85" s="517"/>
      <c r="AR85" s="517"/>
      <c r="AS85" s="517"/>
      <c r="AT85" s="517"/>
      <c r="AU85" s="517"/>
      <c r="AV85" s="517"/>
      <c r="AW85" s="517"/>
      <c r="AX85" s="517"/>
      <c r="AY85" s="517"/>
      <c r="AZ85" s="517"/>
      <c r="BA85" s="517"/>
      <c r="BB85" s="517"/>
      <c r="BC85" s="517"/>
      <c r="BD85" s="517"/>
      <c r="BE85" s="517"/>
      <c r="BF85" s="517"/>
      <c r="BG85" s="517"/>
      <c r="BH85" s="517"/>
      <c r="BI85" s="517"/>
      <c r="BJ85" s="517"/>
      <c r="BK85" s="517"/>
      <c r="BL85" s="517"/>
      <c r="BM85" s="517"/>
      <c r="BN85" s="517"/>
      <c r="BO85" s="517"/>
      <c r="BP85" s="517"/>
    </row>
    <row r="86" spans="1:68">
      <c r="A86" s="536"/>
      <c r="B86" s="518"/>
      <c r="C86" s="518"/>
      <c r="D86" s="518"/>
      <c r="E86" s="518"/>
      <c r="F86" s="518"/>
      <c r="G86" s="518"/>
      <c r="H86" s="518"/>
      <c r="I86" s="518"/>
      <c r="J86" s="518"/>
      <c r="K86" s="518"/>
      <c r="L86" s="518"/>
      <c r="M86" s="518"/>
      <c r="N86" s="518"/>
      <c r="O86" s="518"/>
      <c r="P86" s="518"/>
      <c r="Q86" s="518"/>
      <c r="R86" s="518"/>
      <c r="T86" s="517"/>
      <c r="U86" s="517"/>
      <c r="V86" s="517"/>
      <c r="W86" s="517"/>
      <c r="X86" s="517"/>
      <c r="Y86" s="517"/>
      <c r="Z86" s="517"/>
      <c r="AA86" s="517"/>
      <c r="AB86" s="517"/>
      <c r="AC86" s="517"/>
      <c r="AD86" s="517"/>
      <c r="AE86" s="517"/>
      <c r="AF86" s="517"/>
      <c r="AG86" s="517"/>
      <c r="AH86" s="517"/>
      <c r="AI86" s="517"/>
      <c r="AJ86" s="517"/>
      <c r="AK86" s="517"/>
      <c r="AL86" s="517"/>
      <c r="AM86" s="517"/>
      <c r="AN86" s="517"/>
      <c r="AO86" s="517"/>
      <c r="AP86" s="517"/>
      <c r="AQ86" s="517"/>
      <c r="AR86" s="517"/>
      <c r="AS86" s="517"/>
      <c r="AT86" s="517"/>
      <c r="AU86" s="517"/>
      <c r="AV86" s="517"/>
      <c r="AW86" s="517"/>
      <c r="AX86" s="517"/>
      <c r="AY86" s="517"/>
      <c r="AZ86" s="517"/>
      <c r="BA86" s="517"/>
      <c r="BB86" s="517"/>
      <c r="BC86" s="517"/>
      <c r="BD86" s="517"/>
      <c r="BE86" s="517"/>
      <c r="BF86" s="517"/>
      <c r="BG86" s="517"/>
      <c r="BH86" s="517"/>
      <c r="BI86" s="517"/>
      <c r="BJ86" s="517"/>
      <c r="BK86" s="517"/>
      <c r="BL86" s="517"/>
      <c r="BM86" s="517"/>
      <c r="BN86" s="517"/>
      <c r="BO86" s="517"/>
      <c r="BP86" s="517"/>
    </row>
    <row r="87" spans="1:68">
      <c r="A87" s="542" t="s">
        <v>837</v>
      </c>
      <c r="B87" s="551">
        <f>SUM(B88:B104)</f>
        <v>13236</v>
      </c>
      <c r="C87" s="551">
        <f t="shared" ref="C87:R87" si="4">SUM(C88:C104)</f>
        <v>13584.64879399448</v>
      </c>
      <c r="D87" s="551">
        <f t="shared" si="4"/>
        <v>13942.481327906893</v>
      </c>
      <c r="E87" s="551">
        <f t="shared" si="4"/>
        <v>14309.739510157217</v>
      </c>
      <c r="F87" s="551">
        <f t="shared" si="4"/>
        <v>14686.671621262649</v>
      </c>
      <c r="G87" s="551">
        <f t="shared" si="4"/>
        <v>15073.53248168469</v>
      </c>
      <c r="H87" s="551">
        <f t="shared" si="4"/>
        <v>15470.583624097499</v>
      </c>
      <c r="I87" s="551">
        <f t="shared" si="4"/>
        <v>15878.093470193928</v>
      </c>
      <c r="J87" s="551">
        <f t="shared" si="4"/>
        <v>16296.337512148802</v>
      </c>
      <c r="K87" s="551">
        <f t="shared" si="4"/>
        <v>16725.598498862135</v>
      </c>
      <c r="L87" s="551">
        <f t="shared" si="4"/>
        <v>17166.166627108145</v>
      </c>
      <c r="M87" s="551">
        <f t="shared" si="4"/>
        <v>17618.339737719321</v>
      </c>
      <c r="N87" s="551">
        <f t="shared" si="4"/>
        <v>18082.423516938179</v>
      </c>
      <c r="O87" s="551">
        <f t="shared" si="4"/>
        <v>18558.731703072797</v>
      </c>
      <c r="P87" s="551">
        <f t="shared" si="4"/>
        <v>19047.586298595881</v>
      </c>
      <c r="Q87" s="551">
        <f t="shared" si="4"/>
        <v>19549.317787830634</v>
      </c>
      <c r="R87" s="551">
        <f t="shared" si="4"/>
        <v>20064.265360370824</v>
      </c>
      <c r="T87" s="517"/>
      <c r="U87" s="517"/>
      <c r="V87" s="517"/>
      <c r="W87" s="517"/>
      <c r="X87" s="517"/>
      <c r="Y87" s="517"/>
      <c r="Z87" s="517"/>
      <c r="AA87" s="517"/>
      <c r="AB87" s="517"/>
      <c r="AC87" s="517"/>
      <c r="AD87" s="517"/>
      <c r="AE87" s="517"/>
      <c r="AF87" s="517"/>
      <c r="AG87" s="517"/>
      <c r="AH87" s="517"/>
      <c r="AI87" s="517"/>
      <c r="AJ87" s="517"/>
      <c r="AK87" s="517"/>
      <c r="AL87" s="517"/>
      <c r="AM87" s="517"/>
      <c r="AN87" s="517"/>
      <c r="AO87" s="517"/>
      <c r="AP87" s="517"/>
      <c r="AQ87" s="517"/>
      <c r="AR87" s="517"/>
      <c r="AS87" s="517"/>
      <c r="AT87" s="517"/>
      <c r="AU87" s="517"/>
      <c r="AV87" s="517"/>
      <c r="AW87" s="517"/>
      <c r="AX87" s="517"/>
      <c r="AY87" s="517"/>
      <c r="AZ87" s="517"/>
      <c r="BA87" s="517"/>
      <c r="BB87" s="517"/>
      <c r="BC87" s="517"/>
      <c r="BD87" s="517"/>
      <c r="BE87" s="517"/>
      <c r="BF87" s="517"/>
      <c r="BG87" s="517"/>
      <c r="BH87" s="517"/>
      <c r="BI87" s="517"/>
      <c r="BJ87" s="517"/>
      <c r="BK87" s="517"/>
      <c r="BL87" s="517"/>
      <c r="BM87" s="517"/>
      <c r="BN87" s="517"/>
      <c r="BO87" s="517"/>
      <c r="BP87" s="517"/>
    </row>
    <row r="88" spans="1:68">
      <c r="A88" s="518" t="s">
        <v>803</v>
      </c>
      <c r="B88" s="518">
        <v>3</v>
      </c>
      <c r="C88" s="518">
        <v>3.0790228454203259</v>
      </c>
      <c r="D88" s="518">
        <v>3.1601272275400936</v>
      </c>
      <c r="E88" s="518">
        <v>3.2433679760102487</v>
      </c>
      <c r="F88" s="518">
        <v>3.3288013647467469</v>
      </c>
      <c r="G88" s="518">
        <v>3.4164851499738642</v>
      </c>
      <c r="H88" s="518">
        <v>3.506478609269605</v>
      </c>
      <c r="I88" s="518">
        <v>3.5988425816396026</v>
      </c>
      <c r="J88" s="518">
        <v>3.6936395086466005</v>
      </c>
      <c r="K88" s="518">
        <v>3.79093347662333</v>
      </c>
      <c r="L88" s="518">
        <v>3.8907902599973121</v>
      </c>
      <c r="M88" s="518">
        <v>3.9932773657568714</v>
      </c>
      <c r="N88" s="518">
        <v>4.0984640790884352</v>
      </c>
      <c r="O88" s="518">
        <v>4.2064215102159572</v>
      </c>
      <c r="P88" s="518">
        <v>4.3172226424741345</v>
      </c>
      <c r="Q88" s="518">
        <v>4.430942381647923</v>
      </c>
      <c r="R88" s="518">
        <v>4.5476576066117005</v>
      </c>
      <c r="T88" s="517"/>
      <c r="U88" s="517"/>
      <c r="V88" s="517"/>
      <c r="W88" s="517"/>
      <c r="X88" s="517"/>
      <c r="Y88" s="517"/>
      <c r="Z88" s="517"/>
      <c r="AA88" s="517"/>
      <c r="AB88" s="517"/>
      <c r="AC88" s="517"/>
      <c r="AD88" s="517"/>
      <c r="AE88" s="517"/>
      <c r="AF88" s="517"/>
      <c r="AG88" s="517"/>
      <c r="AH88" s="517"/>
      <c r="AI88" s="517"/>
      <c r="AJ88" s="517"/>
      <c r="AK88" s="517"/>
      <c r="AL88" s="517"/>
      <c r="AM88" s="517"/>
      <c r="AN88" s="517"/>
      <c r="AO88" s="517"/>
      <c r="AP88" s="517"/>
      <c r="AQ88" s="517"/>
      <c r="AR88" s="517"/>
      <c r="AS88" s="517"/>
      <c r="AT88" s="517"/>
      <c r="AU88" s="517"/>
      <c r="AV88" s="517"/>
      <c r="AW88" s="517"/>
      <c r="AX88" s="517"/>
      <c r="AY88" s="517"/>
      <c r="AZ88" s="517"/>
      <c r="BA88" s="517"/>
      <c r="BB88" s="517"/>
      <c r="BC88" s="517"/>
      <c r="BD88" s="517"/>
      <c r="BE88" s="517"/>
      <c r="BF88" s="517"/>
      <c r="BG88" s="517"/>
      <c r="BH88" s="517"/>
      <c r="BI88" s="517"/>
      <c r="BJ88" s="517"/>
      <c r="BK88" s="517"/>
      <c r="BL88" s="517"/>
      <c r="BM88" s="517"/>
      <c r="BN88" s="517"/>
      <c r="BO88" s="517"/>
      <c r="BP88" s="517"/>
    </row>
    <row r="89" spans="1:68">
      <c r="A89" s="518" t="s">
        <v>805</v>
      </c>
      <c r="B89" s="518">
        <v>5</v>
      </c>
      <c r="C89" s="518">
        <v>5.1317047423672104</v>
      </c>
      <c r="D89" s="518">
        <v>5.2668787125668226</v>
      </c>
      <c r="E89" s="518">
        <v>5.405613293350414</v>
      </c>
      <c r="F89" s="518">
        <v>5.548002274577911</v>
      </c>
      <c r="G89" s="518">
        <v>5.6941419166231064</v>
      </c>
      <c r="H89" s="518">
        <v>5.8441310154493422</v>
      </c>
      <c r="I89" s="518">
        <v>5.9980709693993379</v>
      </c>
      <c r="J89" s="518">
        <v>6.1560658477443342</v>
      </c>
      <c r="K89" s="518">
        <v>6.318222461038884</v>
      </c>
      <c r="L89" s="518">
        <v>6.4846504333288539</v>
      </c>
      <c r="M89" s="518">
        <v>6.6554622762614528</v>
      </c>
      <c r="N89" s="518">
        <v>6.8307734651473924</v>
      </c>
      <c r="O89" s="518">
        <v>7.010702517026596</v>
      </c>
      <c r="P89" s="518">
        <v>7.1953710707902232</v>
      </c>
      <c r="Q89" s="518">
        <v>7.3849039694132035</v>
      </c>
      <c r="R89" s="518">
        <v>7.5794293443528344</v>
      </c>
      <c r="T89" s="517"/>
      <c r="U89" s="517"/>
      <c r="V89" s="517"/>
      <c r="W89" s="517"/>
      <c r="X89" s="517"/>
      <c r="Y89" s="517"/>
      <c r="Z89" s="517"/>
      <c r="AA89" s="517"/>
      <c r="AB89" s="517"/>
      <c r="AC89" s="517"/>
      <c r="AD89" s="517"/>
      <c r="AE89" s="517"/>
      <c r="AF89" s="517"/>
      <c r="AG89" s="517"/>
      <c r="AH89" s="517"/>
      <c r="AI89" s="517"/>
      <c r="AJ89" s="517"/>
      <c r="AK89" s="517"/>
      <c r="AL89" s="517"/>
      <c r="AM89" s="517"/>
      <c r="AN89" s="517"/>
      <c r="AO89" s="517"/>
      <c r="AP89" s="517"/>
      <c r="AQ89" s="517"/>
      <c r="AR89" s="517"/>
      <c r="AS89" s="517"/>
      <c r="AT89" s="517"/>
      <c r="AU89" s="517"/>
      <c r="AV89" s="517"/>
      <c r="AW89" s="517"/>
      <c r="AX89" s="517"/>
      <c r="AY89" s="517"/>
      <c r="AZ89" s="517"/>
      <c r="BA89" s="517"/>
      <c r="BB89" s="517"/>
      <c r="BC89" s="517"/>
      <c r="BD89" s="517"/>
      <c r="BE89" s="517"/>
      <c r="BF89" s="517"/>
      <c r="BG89" s="517"/>
      <c r="BH89" s="517"/>
      <c r="BI89" s="517"/>
      <c r="BJ89" s="517"/>
      <c r="BK89" s="517"/>
      <c r="BL89" s="517"/>
      <c r="BM89" s="517"/>
      <c r="BN89" s="517"/>
      <c r="BO89" s="517"/>
      <c r="BP89" s="517"/>
    </row>
    <row r="90" spans="1:68">
      <c r="A90" s="518" t="s">
        <v>807</v>
      </c>
      <c r="B90" s="518">
        <v>4</v>
      </c>
      <c r="C90" s="518">
        <v>4.1053637938937682</v>
      </c>
      <c r="D90" s="518">
        <v>4.2135029700534581</v>
      </c>
      <c r="E90" s="518">
        <v>4.3244906346803313</v>
      </c>
      <c r="F90" s="518">
        <v>4.4384018196623281</v>
      </c>
      <c r="G90" s="518">
        <v>4.5553135332984853</v>
      </c>
      <c r="H90" s="518">
        <v>4.6753048123594736</v>
      </c>
      <c r="I90" s="518">
        <v>4.7984567755194698</v>
      </c>
      <c r="J90" s="518">
        <v>4.9248526781954673</v>
      </c>
      <c r="K90" s="518">
        <v>5.054577968831107</v>
      </c>
      <c r="L90" s="518">
        <v>5.1877203466630828</v>
      </c>
      <c r="M90" s="518">
        <v>5.3243698210091619</v>
      </c>
      <c r="N90" s="518">
        <v>5.4646187721179142</v>
      </c>
      <c r="O90" s="518">
        <v>5.6085620136212766</v>
      </c>
      <c r="P90" s="518">
        <v>5.7562968566321784</v>
      </c>
      <c r="Q90" s="518">
        <v>5.9079231755305628</v>
      </c>
      <c r="R90" s="518">
        <v>6.0635434754822679</v>
      </c>
      <c r="T90" s="517"/>
      <c r="U90" s="517"/>
      <c r="V90" s="517"/>
      <c r="W90" s="517"/>
      <c r="X90" s="517"/>
      <c r="Y90" s="517"/>
      <c r="Z90" s="517"/>
      <c r="AA90" s="517"/>
      <c r="AB90" s="517"/>
      <c r="AC90" s="517"/>
      <c r="AD90" s="517"/>
      <c r="AE90" s="517"/>
      <c r="AF90" s="517"/>
      <c r="AG90" s="517"/>
      <c r="AH90" s="517"/>
      <c r="AI90" s="517"/>
      <c r="AJ90" s="517"/>
      <c r="AK90" s="517"/>
      <c r="AL90" s="517"/>
      <c r="AM90" s="517"/>
      <c r="AN90" s="517"/>
      <c r="AO90" s="517"/>
      <c r="AP90" s="517"/>
      <c r="AQ90" s="517"/>
      <c r="AR90" s="517"/>
      <c r="AS90" s="517"/>
      <c r="AT90" s="517"/>
      <c r="AU90" s="517"/>
      <c r="AV90" s="517"/>
      <c r="AW90" s="517"/>
      <c r="AX90" s="517"/>
      <c r="AY90" s="517"/>
      <c r="AZ90" s="517"/>
      <c r="BA90" s="517"/>
      <c r="BB90" s="517"/>
      <c r="BC90" s="517"/>
      <c r="BD90" s="517"/>
      <c r="BE90" s="517"/>
      <c r="BF90" s="517"/>
      <c r="BG90" s="517"/>
      <c r="BH90" s="517"/>
      <c r="BI90" s="517"/>
      <c r="BJ90" s="517"/>
      <c r="BK90" s="517"/>
      <c r="BL90" s="517"/>
      <c r="BM90" s="517"/>
      <c r="BN90" s="517"/>
      <c r="BO90" s="517"/>
      <c r="BP90" s="517"/>
    </row>
    <row r="91" spans="1:68">
      <c r="A91" s="518" t="s">
        <v>809</v>
      </c>
      <c r="B91" s="518">
        <v>773</v>
      </c>
      <c r="C91" s="518">
        <v>793.36155316997076</v>
      </c>
      <c r="D91" s="518">
        <v>814.2594489628309</v>
      </c>
      <c r="E91" s="518">
        <v>835.70781515197416</v>
      </c>
      <c r="F91" s="518">
        <v>857.72115164974502</v>
      </c>
      <c r="G91" s="518">
        <v>880.31434030993216</v>
      </c>
      <c r="H91" s="518">
        <v>903.50265498846841</v>
      </c>
      <c r="I91" s="518">
        <v>927.30177186913761</v>
      </c>
      <c r="J91" s="518">
        <v>951.72778006127396</v>
      </c>
      <c r="K91" s="518">
        <v>976.79719247661149</v>
      </c>
      <c r="L91" s="518">
        <v>1002.5269569926407</v>
      </c>
      <c r="M91" s="518">
        <v>1028.9344679100204</v>
      </c>
      <c r="N91" s="518">
        <v>1056.0375777117868</v>
      </c>
      <c r="O91" s="518">
        <v>1083.8546091323117</v>
      </c>
      <c r="P91" s="518">
        <v>1112.4043675441683</v>
      </c>
      <c r="Q91" s="518">
        <v>1141.7061536712811</v>
      </c>
      <c r="R91" s="518">
        <v>1171.7797766369479</v>
      </c>
      <c r="T91" s="517"/>
      <c r="U91" s="517"/>
      <c r="V91" s="517"/>
      <c r="W91" s="517"/>
      <c r="X91" s="517"/>
      <c r="Y91" s="517"/>
      <c r="Z91" s="517"/>
      <c r="AA91" s="517"/>
      <c r="AB91" s="517"/>
      <c r="AC91" s="517"/>
      <c r="AD91" s="517"/>
      <c r="AE91" s="517"/>
      <c r="AF91" s="517"/>
      <c r="AG91" s="517"/>
      <c r="AH91" s="517"/>
      <c r="AI91" s="517"/>
      <c r="AJ91" s="517"/>
      <c r="AK91" s="517"/>
      <c r="AL91" s="517"/>
      <c r="AM91" s="517"/>
      <c r="AN91" s="517"/>
      <c r="AO91" s="517"/>
      <c r="AP91" s="517"/>
      <c r="AQ91" s="517"/>
      <c r="AR91" s="517"/>
      <c r="AS91" s="517"/>
      <c r="AT91" s="517"/>
      <c r="AU91" s="517"/>
      <c r="AV91" s="517"/>
      <c r="AW91" s="517"/>
      <c r="AX91" s="517"/>
      <c r="AY91" s="517"/>
      <c r="AZ91" s="517"/>
      <c r="BA91" s="517"/>
      <c r="BB91" s="517"/>
      <c r="BC91" s="517"/>
      <c r="BD91" s="517"/>
      <c r="BE91" s="517"/>
      <c r="BF91" s="517"/>
      <c r="BG91" s="517"/>
      <c r="BH91" s="517"/>
      <c r="BI91" s="517"/>
      <c r="BJ91" s="517"/>
      <c r="BK91" s="517"/>
      <c r="BL91" s="517"/>
      <c r="BM91" s="517"/>
      <c r="BN91" s="517"/>
      <c r="BO91" s="517"/>
      <c r="BP91" s="517"/>
    </row>
    <row r="92" spans="1:68">
      <c r="A92" s="518" t="s">
        <v>811</v>
      </c>
      <c r="B92" s="518">
        <v>3449</v>
      </c>
      <c r="C92" s="518">
        <v>3539.8499312849012</v>
      </c>
      <c r="D92" s="518">
        <v>3633.0929359285951</v>
      </c>
      <c r="E92" s="518">
        <v>3728.7920497531159</v>
      </c>
      <c r="F92" s="518">
        <v>3827.0119690038428</v>
      </c>
      <c r="G92" s="518">
        <v>3927.8190940866193</v>
      </c>
      <c r="H92" s="518">
        <v>4031.2815744569566</v>
      </c>
      <c r="I92" s="518">
        <v>4137.4693546916642</v>
      </c>
      <c r="J92" s="518">
        <v>4246.4542217740427</v>
      </c>
      <c r="K92" s="518">
        <v>4358.3098536246225</v>
      </c>
      <c r="L92" s="518">
        <v>4473.111868910245</v>
      </c>
      <c r="M92" s="518">
        <v>4590.9378781651494</v>
      </c>
      <c r="N92" s="518">
        <v>4711.867536258671</v>
      </c>
      <c r="O92" s="518">
        <v>4835.9825962449468</v>
      </c>
      <c r="P92" s="518">
        <v>4963.3669646310973</v>
      </c>
      <c r="Q92" s="518">
        <v>5094.1067581012276</v>
      </c>
      <c r="R92" s="518">
        <v>5228.2903617345864</v>
      </c>
      <c r="T92" s="517"/>
      <c r="U92" s="517"/>
      <c r="V92" s="517"/>
      <c r="W92" s="517"/>
      <c r="X92" s="517"/>
      <c r="Y92" s="517"/>
      <c r="Z92" s="517"/>
      <c r="AA92" s="517"/>
      <c r="AB92" s="517"/>
      <c r="AC92" s="517"/>
      <c r="AD92" s="517"/>
      <c r="AE92" s="517"/>
      <c r="AF92" s="517"/>
      <c r="AG92" s="517"/>
      <c r="AH92" s="517"/>
      <c r="AI92" s="517"/>
      <c r="AJ92" s="517"/>
      <c r="AK92" s="517"/>
      <c r="AL92" s="517"/>
      <c r="AM92" s="517"/>
      <c r="AN92" s="517"/>
      <c r="AO92" s="517"/>
      <c r="AP92" s="517"/>
      <c r="AQ92" s="517"/>
      <c r="AR92" s="517"/>
      <c r="AS92" s="517"/>
      <c r="AT92" s="517"/>
      <c r="AU92" s="517"/>
      <c r="AV92" s="517"/>
      <c r="AW92" s="517"/>
      <c r="AX92" s="517"/>
      <c r="AY92" s="517"/>
      <c r="AZ92" s="517"/>
      <c r="BA92" s="517"/>
      <c r="BB92" s="517"/>
      <c r="BC92" s="517"/>
      <c r="BD92" s="517"/>
      <c r="BE92" s="517"/>
      <c r="BF92" s="517"/>
      <c r="BG92" s="517"/>
      <c r="BH92" s="517"/>
      <c r="BI92" s="517"/>
      <c r="BJ92" s="517"/>
      <c r="BK92" s="517"/>
      <c r="BL92" s="517"/>
      <c r="BM92" s="517"/>
      <c r="BN92" s="517"/>
      <c r="BO92" s="517"/>
      <c r="BP92" s="517"/>
    </row>
    <row r="93" spans="1:68">
      <c r="A93" s="518" t="s">
        <v>813</v>
      </c>
      <c r="B93" s="518">
        <v>3048</v>
      </c>
      <c r="C93" s="518">
        <v>3128.2872109470518</v>
      </c>
      <c r="D93" s="518">
        <v>3210.6892631807355</v>
      </c>
      <c r="E93" s="518">
        <v>3295.2618636264128</v>
      </c>
      <c r="F93" s="518">
        <v>3382.0621865826952</v>
      </c>
      <c r="G93" s="518">
        <v>3471.1489123734464</v>
      </c>
      <c r="H93" s="518">
        <v>3562.5822670179191</v>
      </c>
      <c r="I93" s="518">
        <v>3656.4240629458368</v>
      </c>
      <c r="J93" s="518">
        <v>3752.7377407849467</v>
      </c>
      <c r="K93" s="518">
        <v>3851.5884122493035</v>
      </c>
      <c r="L93" s="518">
        <v>3953.0429041572697</v>
      </c>
      <c r="M93" s="518">
        <v>4057.169803608982</v>
      </c>
      <c r="N93" s="518">
        <v>4164.039504353851</v>
      </c>
      <c r="O93" s="518">
        <v>4273.7242543794127</v>
      </c>
      <c r="P93" s="518">
        <v>4386.2982047537207</v>
      </c>
      <c r="Q93" s="518">
        <v>4501.8374597542897</v>
      </c>
      <c r="R93" s="518">
        <v>4620.420128317488</v>
      </c>
      <c r="T93" s="517"/>
      <c r="U93" s="517"/>
      <c r="V93" s="517"/>
      <c r="W93" s="517"/>
      <c r="X93" s="517"/>
      <c r="Y93" s="517"/>
      <c r="Z93" s="517"/>
      <c r="AA93" s="517"/>
      <c r="AB93" s="517"/>
      <c r="AC93" s="517"/>
      <c r="AD93" s="517"/>
      <c r="AE93" s="517"/>
      <c r="AF93" s="517"/>
      <c r="AG93" s="517"/>
      <c r="AH93" s="517"/>
      <c r="AI93" s="517"/>
      <c r="AJ93" s="517"/>
      <c r="AK93" s="517"/>
      <c r="AL93" s="517"/>
      <c r="AM93" s="517"/>
      <c r="AN93" s="517"/>
      <c r="AO93" s="517"/>
      <c r="AP93" s="517"/>
      <c r="AQ93" s="517"/>
      <c r="AR93" s="517"/>
      <c r="AS93" s="517"/>
      <c r="AT93" s="517"/>
      <c r="AU93" s="517"/>
      <c r="AV93" s="517"/>
      <c r="AW93" s="517"/>
      <c r="AX93" s="517"/>
      <c r="AY93" s="517"/>
      <c r="AZ93" s="517"/>
      <c r="BA93" s="517"/>
      <c r="BB93" s="517"/>
      <c r="BC93" s="517"/>
      <c r="BD93" s="517"/>
      <c r="BE93" s="517"/>
      <c r="BF93" s="517"/>
      <c r="BG93" s="517"/>
      <c r="BH93" s="517"/>
      <c r="BI93" s="517"/>
      <c r="BJ93" s="517"/>
      <c r="BK93" s="517"/>
      <c r="BL93" s="517"/>
      <c r="BM93" s="517"/>
      <c r="BN93" s="517"/>
      <c r="BO93" s="517"/>
      <c r="BP93" s="517"/>
    </row>
    <row r="94" spans="1:68">
      <c r="A94" s="507" t="s">
        <v>815</v>
      </c>
      <c r="B94" s="518">
        <v>2152</v>
      </c>
      <c r="C94" s="518">
        <v>2208.6857211148476</v>
      </c>
      <c r="D94" s="518">
        <v>2266.8645978887598</v>
      </c>
      <c r="E94" s="518">
        <v>2326.5759614580193</v>
      </c>
      <c r="F94" s="518">
        <v>2387.8601789783343</v>
      </c>
      <c r="G94" s="518">
        <v>2450.758680914586</v>
      </c>
      <c r="H94" s="518">
        <v>2515.3139890493967</v>
      </c>
      <c r="I94" s="518">
        <v>2581.5697452294744</v>
      </c>
      <c r="J94" s="518">
        <v>2649.5707408691615</v>
      </c>
      <c r="K94" s="518">
        <v>2719.3629472311363</v>
      </c>
      <c r="L94" s="518">
        <v>2790.9935465047392</v>
      </c>
      <c r="M94" s="518">
        <v>2864.5109637029291</v>
      </c>
      <c r="N94" s="518">
        <v>2939.9648993994383</v>
      </c>
      <c r="O94" s="518">
        <v>3017.4063633282462</v>
      </c>
      <c r="P94" s="518">
        <v>3096.8877088681124</v>
      </c>
      <c r="Q94" s="518">
        <v>3178.4626684354425</v>
      </c>
      <c r="R94" s="518">
        <v>3262.1863898094603</v>
      </c>
      <c r="T94" s="517"/>
      <c r="U94" s="517"/>
      <c r="V94" s="517"/>
      <c r="W94" s="517"/>
      <c r="X94" s="517"/>
      <c r="Y94" s="517"/>
      <c r="Z94" s="517"/>
      <c r="AA94" s="517"/>
      <c r="AB94" s="517"/>
      <c r="AC94" s="517"/>
      <c r="AD94" s="517"/>
      <c r="AE94" s="517"/>
      <c r="AF94" s="517"/>
      <c r="AG94" s="517"/>
      <c r="AH94" s="517"/>
      <c r="AI94" s="517"/>
      <c r="AJ94" s="517"/>
      <c r="AK94" s="517"/>
      <c r="AL94" s="517"/>
      <c r="AM94" s="517"/>
      <c r="AN94" s="517"/>
      <c r="AO94" s="517"/>
      <c r="AP94" s="517"/>
      <c r="AQ94" s="517"/>
      <c r="AR94" s="517"/>
      <c r="AS94" s="517"/>
      <c r="AT94" s="517"/>
      <c r="AU94" s="517"/>
      <c r="AV94" s="517"/>
      <c r="AW94" s="517"/>
      <c r="AX94" s="517"/>
      <c r="AY94" s="517"/>
      <c r="AZ94" s="517"/>
      <c r="BA94" s="517"/>
      <c r="BB94" s="517"/>
      <c r="BC94" s="517"/>
      <c r="BD94" s="517"/>
      <c r="BE94" s="517"/>
      <c r="BF94" s="517"/>
      <c r="BG94" s="517"/>
      <c r="BH94" s="517"/>
      <c r="BI94" s="517"/>
      <c r="BJ94" s="517"/>
      <c r="BK94" s="517"/>
      <c r="BL94" s="517"/>
      <c r="BM94" s="517"/>
      <c r="BN94" s="517"/>
      <c r="BO94" s="517"/>
      <c r="BP94" s="517"/>
    </row>
    <row r="95" spans="1:68">
      <c r="A95" s="507" t="s">
        <v>817</v>
      </c>
      <c r="B95" s="518">
        <v>1339</v>
      </c>
      <c r="C95" s="518">
        <v>1374.2705300059388</v>
      </c>
      <c r="D95" s="518">
        <v>1410.4701192253951</v>
      </c>
      <c r="E95" s="518">
        <v>1447.6232399592413</v>
      </c>
      <c r="F95" s="518">
        <v>1485.7550091319645</v>
      </c>
      <c r="G95" s="518">
        <v>1524.891205271668</v>
      </c>
      <c r="H95" s="518">
        <v>1565.0582859373344</v>
      </c>
      <c r="I95" s="518">
        <v>1606.2834056051433</v>
      </c>
      <c r="J95" s="518">
        <v>1648.5944340259334</v>
      </c>
      <c r="K95" s="518">
        <v>1692.0199750662139</v>
      </c>
      <c r="L95" s="518">
        <v>1736.5893860454673</v>
      </c>
      <c r="M95" s="518">
        <v>1782.3327975828176</v>
      </c>
      <c r="N95" s="518">
        <v>1829.281133966472</v>
      </c>
      <c r="O95" s="518">
        <v>1877.4661340597222</v>
      </c>
      <c r="P95" s="518">
        <v>1926.9203727576221</v>
      </c>
      <c r="Q95" s="518">
        <v>1977.677283008856</v>
      </c>
      <c r="R95" s="518">
        <v>2029.771178417689</v>
      </c>
      <c r="T95" s="517"/>
      <c r="U95" s="517"/>
      <c r="V95" s="517"/>
      <c r="W95" s="517"/>
      <c r="X95" s="517"/>
      <c r="Y95" s="517"/>
      <c r="Z95" s="517"/>
      <c r="AA95" s="517"/>
      <c r="AB95" s="517"/>
      <c r="AC95" s="517"/>
      <c r="AD95" s="517"/>
      <c r="AE95" s="517"/>
      <c r="AF95" s="517"/>
      <c r="AG95" s="517"/>
      <c r="AH95" s="517"/>
      <c r="AI95" s="517"/>
      <c r="AJ95" s="517"/>
      <c r="AK95" s="517"/>
      <c r="AL95" s="517"/>
      <c r="AM95" s="517"/>
      <c r="AN95" s="517"/>
      <c r="AO95" s="517"/>
      <c r="AP95" s="517"/>
      <c r="AQ95" s="517"/>
      <c r="AR95" s="517"/>
      <c r="AS95" s="517"/>
      <c r="AT95" s="517"/>
      <c r="AU95" s="517"/>
      <c r="AV95" s="517"/>
      <c r="AW95" s="517"/>
      <c r="AX95" s="517"/>
      <c r="AY95" s="517"/>
      <c r="AZ95" s="517"/>
      <c r="BA95" s="517"/>
      <c r="BB95" s="517"/>
      <c r="BC95" s="517"/>
      <c r="BD95" s="517"/>
      <c r="BE95" s="517"/>
      <c r="BF95" s="517"/>
      <c r="BG95" s="517"/>
      <c r="BH95" s="517"/>
      <c r="BI95" s="517"/>
      <c r="BJ95" s="517"/>
      <c r="BK95" s="517"/>
      <c r="BL95" s="517"/>
      <c r="BM95" s="517"/>
      <c r="BN95" s="517"/>
      <c r="BO95" s="517"/>
      <c r="BP95" s="517"/>
    </row>
    <row r="96" spans="1:68">
      <c r="A96" s="507" t="s">
        <v>819</v>
      </c>
      <c r="B96" s="518">
        <v>999</v>
      </c>
      <c r="C96" s="518">
        <v>1025.3146075249688</v>
      </c>
      <c r="D96" s="518">
        <v>1052.3223667708514</v>
      </c>
      <c r="E96" s="518">
        <v>1080.041536011413</v>
      </c>
      <c r="F96" s="518">
        <v>1108.4908544606669</v>
      </c>
      <c r="G96" s="518">
        <v>1137.6895549412968</v>
      </c>
      <c r="H96" s="518">
        <v>1167.6573768867788</v>
      </c>
      <c r="I96" s="518">
        <v>1198.4145796859882</v>
      </c>
      <c r="J96" s="518">
        <v>1229.9819563793178</v>
      </c>
      <c r="K96" s="518">
        <v>1262.3808477155694</v>
      </c>
      <c r="L96" s="518">
        <v>1295.6331565791054</v>
      </c>
      <c r="M96" s="518">
        <v>1329.7613627970384</v>
      </c>
      <c r="N96" s="518">
        <v>1364.7885383364489</v>
      </c>
      <c r="O96" s="518">
        <v>1400.7383629019134</v>
      </c>
      <c r="P96" s="518">
        <v>1437.6351399438868</v>
      </c>
      <c r="Q96" s="518">
        <v>1475.5038130887581</v>
      </c>
      <c r="R96" s="518">
        <v>1514.369983001696</v>
      </c>
      <c r="T96" s="517"/>
      <c r="U96" s="517"/>
      <c r="V96" s="517"/>
      <c r="W96" s="517"/>
      <c r="X96" s="517"/>
      <c r="Y96" s="517"/>
      <c r="Z96" s="517"/>
      <c r="AA96" s="517"/>
      <c r="AB96" s="517"/>
      <c r="AC96" s="517"/>
      <c r="AD96" s="517"/>
      <c r="AE96" s="517"/>
      <c r="AF96" s="517"/>
      <c r="AG96" s="517"/>
      <c r="AH96" s="517"/>
      <c r="AI96" s="517"/>
      <c r="AJ96" s="517"/>
      <c r="AK96" s="517"/>
      <c r="AL96" s="517"/>
      <c r="AM96" s="517"/>
      <c r="AN96" s="517"/>
      <c r="AO96" s="517"/>
      <c r="AP96" s="517"/>
      <c r="AQ96" s="517"/>
      <c r="AR96" s="517"/>
      <c r="AS96" s="517"/>
      <c r="AT96" s="517"/>
      <c r="AU96" s="517"/>
      <c r="AV96" s="517"/>
      <c r="AW96" s="517"/>
      <c r="AX96" s="517"/>
      <c r="AY96" s="517"/>
      <c r="AZ96" s="517"/>
      <c r="BA96" s="517"/>
      <c r="BB96" s="517"/>
      <c r="BC96" s="517"/>
      <c r="BD96" s="517"/>
      <c r="BE96" s="517"/>
      <c r="BF96" s="517"/>
      <c r="BG96" s="517"/>
      <c r="BH96" s="517"/>
      <c r="BI96" s="517"/>
      <c r="BJ96" s="517"/>
      <c r="BK96" s="517"/>
      <c r="BL96" s="517"/>
      <c r="BM96" s="517"/>
      <c r="BN96" s="517"/>
      <c r="BO96" s="517"/>
      <c r="BP96" s="517"/>
    </row>
    <row r="97" spans="1:68">
      <c r="A97" s="507" t="s">
        <v>821</v>
      </c>
      <c r="B97" s="518">
        <v>654</v>
      </c>
      <c r="C97" s="518">
        <v>671.2269803016311</v>
      </c>
      <c r="D97" s="518">
        <v>688.90773560374055</v>
      </c>
      <c r="E97" s="518">
        <v>707.05421877023446</v>
      </c>
      <c r="F97" s="518">
        <v>725.67869751479077</v>
      </c>
      <c r="G97" s="518">
        <v>744.79376269430225</v>
      </c>
      <c r="H97" s="518">
        <v>764.41233682077393</v>
      </c>
      <c r="I97" s="518">
        <v>784.54768279743337</v>
      </c>
      <c r="J97" s="518">
        <v>805.2134128849591</v>
      </c>
      <c r="K97" s="518">
        <v>826.42349790388619</v>
      </c>
      <c r="L97" s="518">
        <v>848.19227667941425</v>
      </c>
      <c r="M97" s="518">
        <v>870.53446573499821</v>
      </c>
      <c r="N97" s="518">
        <v>893.465169241279</v>
      </c>
      <c r="O97" s="518">
        <v>916.9998892270786</v>
      </c>
      <c r="P97" s="518">
        <v>941.15453605936113</v>
      </c>
      <c r="Q97" s="518">
        <v>965.94543919924718</v>
      </c>
      <c r="R97" s="518">
        <v>991.38935824135081</v>
      </c>
      <c r="T97" s="517"/>
      <c r="U97" s="517"/>
      <c r="V97" s="517"/>
      <c r="W97" s="517"/>
      <c r="X97" s="517"/>
      <c r="Y97" s="517"/>
      <c r="Z97" s="517"/>
      <c r="AA97" s="517"/>
      <c r="AB97" s="517"/>
      <c r="AC97" s="517"/>
      <c r="AD97" s="517"/>
      <c r="AE97" s="517"/>
      <c r="AF97" s="517"/>
      <c r="AG97" s="517"/>
      <c r="AH97" s="517"/>
      <c r="AI97" s="517"/>
      <c r="AJ97" s="517"/>
      <c r="AK97" s="517"/>
      <c r="AL97" s="517"/>
      <c r="AM97" s="517"/>
      <c r="AN97" s="517"/>
      <c r="AO97" s="517"/>
      <c r="AP97" s="517"/>
      <c r="AQ97" s="517"/>
      <c r="AR97" s="517"/>
      <c r="AS97" s="517"/>
      <c r="AT97" s="517"/>
      <c r="AU97" s="517"/>
      <c r="AV97" s="517"/>
      <c r="AW97" s="517"/>
      <c r="AX97" s="517"/>
      <c r="AY97" s="517"/>
      <c r="AZ97" s="517"/>
      <c r="BA97" s="517"/>
      <c r="BB97" s="517"/>
      <c r="BC97" s="517"/>
      <c r="BD97" s="517"/>
      <c r="BE97" s="517"/>
      <c r="BF97" s="517"/>
      <c r="BG97" s="517"/>
      <c r="BH97" s="517"/>
      <c r="BI97" s="517"/>
      <c r="BJ97" s="517"/>
      <c r="BK97" s="517"/>
      <c r="BL97" s="517"/>
      <c r="BM97" s="517"/>
      <c r="BN97" s="517"/>
      <c r="BO97" s="517"/>
      <c r="BP97" s="517"/>
    </row>
    <row r="98" spans="1:68">
      <c r="A98" s="507" t="s">
        <v>823</v>
      </c>
      <c r="B98" s="518">
        <v>438</v>
      </c>
      <c r="C98" s="518">
        <v>449.53733543136769</v>
      </c>
      <c r="D98" s="518">
        <v>461.3785752208538</v>
      </c>
      <c r="E98" s="518">
        <v>473.53172449749621</v>
      </c>
      <c r="F98" s="518">
        <v>486.00499925302506</v>
      </c>
      <c r="G98" s="518">
        <v>498.80683189618424</v>
      </c>
      <c r="H98" s="518">
        <v>511.94587695336236</v>
      </c>
      <c r="I98" s="518">
        <v>525.43101691938205</v>
      </c>
      <c r="J98" s="518">
        <v>539.27136826240371</v>
      </c>
      <c r="K98" s="518">
        <v>553.47628758700637</v>
      </c>
      <c r="L98" s="518">
        <v>568.05537795960754</v>
      </c>
      <c r="M98" s="518">
        <v>583.0184954005033</v>
      </c>
      <c r="N98" s="518">
        <v>598.37575554691148</v>
      </c>
      <c r="O98" s="518">
        <v>614.13754049152965</v>
      </c>
      <c r="P98" s="518">
        <v>630.31450580122339</v>
      </c>
      <c r="Q98" s="518">
        <v>646.91758772059666</v>
      </c>
      <c r="R98" s="518">
        <v>663.9580105653082</v>
      </c>
      <c r="T98" s="517"/>
      <c r="U98" s="517"/>
      <c r="V98" s="517"/>
      <c r="W98" s="517"/>
      <c r="X98" s="517"/>
      <c r="Y98" s="517"/>
      <c r="Z98" s="517"/>
      <c r="AA98" s="517"/>
      <c r="AB98" s="517"/>
      <c r="AC98" s="517"/>
      <c r="AD98" s="517"/>
      <c r="AE98" s="517"/>
      <c r="AF98" s="517"/>
      <c r="AG98" s="517"/>
      <c r="AH98" s="517"/>
      <c r="AI98" s="517"/>
      <c r="AJ98" s="517"/>
      <c r="AK98" s="517"/>
      <c r="AL98" s="517"/>
      <c r="AM98" s="517"/>
      <c r="AN98" s="517"/>
      <c r="AO98" s="517"/>
      <c r="AP98" s="517"/>
      <c r="AQ98" s="517"/>
      <c r="AR98" s="517"/>
      <c r="AS98" s="517"/>
      <c r="AT98" s="517"/>
      <c r="AU98" s="517"/>
      <c r="AV98" s="517"/>
      <c r="AW98" s="517"/>
      <c r="AX98" s="517"/>
      <c r="AY98" s="517"/>
      <c r="AZ98" s="517"/>
      <c r="BA98" s="517"/>
      <c r="BB98" s="517"/>
      <c r="BC98" s="517"/>
      <c r="BD98" s="517"/>
      <c r="BE98" s="517"/>
      <c r="BF98" s="517"/>
      <c r="BG98" s="517"/>
      <c r="BH98" s="517"/>
      <c r="BI98" s="517"/>
      <c r="BJ98" s="517"/>
      <c r="BK98" s="517"/>
      <c r="BL98" s="517"/>
      <c r="BM98" s="517"/>
      <c r="BN98" s="517"/>
      <c r="BO98" s="517"/>
      <c r="BP98" s="517"/>
    </row>
    <row r="99" spans="1:68">
      <c r="A99" s="507" t="s">
        <v>825</v>
      </c>
      <c r="B99" s="518">
        <v>213</v>
      </c>
      <c r="C99" s="518">
        <v>218.61062202484314</v>
      </c>
      <c r="D99" s="518">
        <v>224.36903315534667</v>
      </c>
      <c r="E99" s="518">
        <v>230.2791262967277</v>
      </c>
      <c r="F99" s="518">
        <v>236.344896897019</v>
      </c>
      <c r="G99" s="518">
        <v>242.57044564814433</v>
      </c>
      <c r="H99" s="518">
        <v>248.95998125814199</v>
      </c>
      <c r="I99" s="518">
        <v>255.51782329641185</v>
      </c>
      <c r="J99" s="518">
        <v>262.24840511390869</v>
      </c>
      <c r="K99" s="518">
        <v>269.15627684025651</v>
      </c>
      <c r="L99" s="518">
        <v>276.24610845980919</v>
      </c>
      <c r="M99" s="518">
        <v>283.52269296873794</v>
      </c>
      <c r="N99" s="518">
        <v>290.99094961527902</v>
      </c>
      <c r="O99" s="518">
        <v>298.65592722533296</v>
      </c>
      <c r="P99" s="518">
        <v>306.52280761566345</v>
      </c>
      <c r="Q99" s="518">
        <v>314.59690909700254</v>
      </c>
      <c r="R99" s="518">
        <v>322.88369006943077</v>
      </c>
      <c r="T99" s="517"/>
      <c r="U99" s="517"/>
      <c r="V99" s="517"/>
      <c r="W99" s="517"/>
      <c r="X99" s="517"/>
      <c r="Y99" s="517"/>
      <c r="Z99" s="517"/>
      <c r="AA99" s="517"/>
      <c r="AB99" s="517"/>
      <c r="AC99" s="517"/>
      <c r="AD99" s="517"/>
      <c r="AE99" s="517"/>
      <c r="AF99" s="517"/>
      <c r="AG99" s="517"/>
      <c r="AH99" s="517"/>
      <c r="AI99" s="517"/>
      <c r="AJ99" s="517"/>
      <c r="AK99" s="517"/>
      <c r="AL99" s="517"/>
      <c r="AM99" s="517"/>
      <c r="AN99" s="517"/>
      <c r="AO99" s="517"/>
      <c r="AP99" s="517"/>
      <c r="AQ99" s="517"/>
      <c r="AR99" s="517"/>
      <c r="AS99" s="517"/>
      <c r="AT99" s="517"/>
      <c r="AU99" s="517"/>
      <c r="AV99" s="517"/>
      <c r="AW99" s="517"/>
      <c r="AX99" s="517"/>
      <c r="AY99" s="517"/>
      <c r="AZ99" s="517"/>
      <c r="BA99" s="517"/>
      <c r="BB99" s="517"/>
      <c r="BC99" s="517"/>
      <c r="BD99" s="517"/>
      <c r="BE99" s="517"/>
      <c r="BF99" s="517"/>
      <c r="BG99" s="517"/>
      <c r="BH99" s="517"/>
      <c r="BI99" s="517"/>
      <c r="BJ99" s="517"/>
      <c r="BK99" s="517"/>
      <c r="BL99" s="517"/>
      <c r="BM99" s="517"/>
      <c r="BN99" s="517"/>
      <c r="BO99" s="517"/>
      <c r="BP99" s="517"/>
    </row>
    <row r="100" spans="1:68">
      <c r="A100" s="507" t="s">
        <v>827</v>
      </c>
      <c r="B100" s="518">
        <v>98</v>
      </c>
      <c r="C100" s="518">
        <v>100.58141295039731</v>
      </c>
      <c r="D100" s="518">
        <v>103.23082276630976</v>
      </c>
      <c r="E100" s="518">
        <v>105.95002054966811</v>
      </c>
      <c r="F100" s="518">
        <v>108.74084458172703</v>
      </c>
      <c r="G100" s="518">
        <v>111.60518156581291</v>
      </c>
      <c r="H100" s="518">
        <v>114.5449679028071</v>
      </c>
      <c r="I100" s="518">
        <v>117.56219100022702</v>
      </c>
      <c r="J100" s="518">
        <v>120.65889061578895</v>
      </c>
      <c r="K100" s="518">
        <v>123.83716023636211</v>
      </c>
      <c r="L100" s="518">
        <v>127.09914849324554</v>
      </c>
      <c r="M100" s="518">
        <v>130.44706061472448</v>
      </c>
      <c r="N100" s="518">
        <v>133.8831599168889</v>
      </c>
      <c r="O100" s="518">
        <v>137.4097693337213</v>
      </c>
      <c r="P100" s="518">
        <v>141.02927298748835</v>
      </c>
      <c r="Q100" s="518">
        <v>144.74411780049883</v>
      </c>
      <c r="R100" s="518">
        <v>148.55681514931555</v>
      </c>
      <c r="T100" s="517"/>
      <c r="U100" s="517"/>
      <c r="V100" s="517"/>
      <c r="W100" s="517"/>
      <c r="X100" s="517"/>
      <c r="Y100" s="517"/>
      <c r="Z100" s="517"/>
      <c r="AA100" s="517"/>
      <c r="AB100" s="517"/>
      <c r="AC100" s="517"/>
      <c r="AD100" s="517"/>
      <c r="AE100" s="517"/>
      <c r="AF100" s="517"/>
      <c r="AG100" s="517"/>
      <c r="AH100" s="517"/>
      <c r="AI100" s="517"/>
      <c r="AJ100" s="517"/>
      <c r="AK100" s="517"/>
      <c r="AL100" s="517"/>
      <c r="AM100" s="517"/>
      <c r="AN100" s="517"/>
      <c r="AO100" s="517"/>
      <c r="AP100" s="517"/>
      <c r="AQ100" s="517"/>
      <c r="AR100" s="517"/>
      <c r="AS100" s="517"/>
      <c r="AT100" s="517"/>
      <c r="AU100" s="517"/>
      <c r="AV100" s="517"/>
      <c r="AW100" s="517"/>
      <c r="AX100" s="517"/>
      <c r="AY100" s="517"/>
      <c r="AZ100" s="517"/>
      <c r="BA100" s="517"/>
      <c r="BB100" s="517"/>
      <c r="BC100" s="517"/>
      <c r="BD100" s="517"/>
      <c r="BE100" s="517"/>
      <c r="BF100" s="517"/>
      <c r="BG100" s="517"/>
      <c r="BH100" s="517"/>
      <c r="BI100" s="517"/>
      <c r="BJ100" s="517"/>
      <c r="BK100" s="517"/>
      <c r="BL100" s="517"/>
      <c r="BM100" s="517"/>
      <c r="BN100" s="517"/>
      <c r="BO100" s="517"/>
      <c r="BP100" s="517"/>
    </row>
    <row r="101" spans="1:68">
      <c r="A101" s="507" t="s">
        <v>829</v>
      </c>
      <c r="B101" s="518">
        <v>42</v>
      </c>
      <c r="C101" s="518">
        <v>43.106319835884555</v>
      </c>
      <c r="D101" s="518">
        <v>44.241781185561315</v>
      </c>
      <c r="E101" s="518">
        <v>45.407151664143477</v>
      </c>
      <c r="F101" s="518">
        <v>46.603219106454439</v>
      </c>
      <c r="G101" s="518">
        <v>47.83079209963411</v>
      </c>
      <c r="H101" s="518">
        <v>49.09070052977448</v>
      </c>
      <c r="I101" s="518">
        <v>50.383796142954438</v>
      </c>
      <c r="J101" s="518">
        <v>51.710953121052405</v>
      </c>
      <c r="K101" s="518">
        <v>53.07306867272662</v>
      </c>
      <c r="L101" s="518">
        <v>54.47106363996236</v>
      </c>
      <c r="M101" s="518">
        <v>55.905883120596201</v>
      </c>
      <c r="N101" s="518">
        <v>57.378497107238104</v>
      </c>
      <c r="O101" s="518">
        <v>58.889901143023408</v>
      </c>
      <c r="P101" s="518">
        <v>60.441116994637888</v>
      </c>
      <c r="Q101" s="518">
        <v>62.033193343070913</v>
      </c>
      <c r="R101" s="518">
        <v>63.667206492563821</v>
      </c>
      <c r="T101" s="517"/>
      <c r="U101" s="517"/>
      <c r="V101" s="517"/>
      <c r="W101" s="517"/>
      <c r="X101" s="517"/>
      <c r="Y101" s="517"/>
      <c r="Z101" s="517"/>
      <c r="AA101" s="517"/>
      <c r="AB101" s="517"/>
      <c r="AC101" s="517"/>
      <c r="AD101" s="517"/>
      <c r="AE101" s="517"/>
      <c r="AF101" s="517"/>
      <c r="AG101" s="517"/>
      <c r="AH101" s="517"/>
      <c r="AI101" s="517"/>
      <c r="AJ101" s="517"/>
      <c r="AK101" s="517"/>
      <c r="AL101" s="517"/>
      <c r="AM101" s="517"/>
      <c r="AN101" s="517"/>
      <c r="AO101" s="517"/>
      <c r="AP101" s="517"/>
      <c r="AQ101" s="517"/>
      <c r="AR101" s="517"/>
      <c r="AS101" s="517"/>
      <c r="AT101" s="517"/>
      <c r="AU101" s="517"/>
      <c r="AV101" s="517"/>
      <c r="AW101" s="517"/>
      <c r="AX101" s="517"/>
      <c r="AY101" s="517"/>
      <c r="AZ101" s="517"/>
      <c r="BA101" s="517"/>
      <c r="BB101" s="517"/>
      <c r="BC101" s="517"/>
      <c r="BD101" s="517"/>
      <c r="BE101" s="517"/>
      <c r="BF101" s="517"/>
      <c r="BG101" s="517"/>
      <c r="BH101" s="517"/>
      <c r="BI101" s="517"/>
      <c r="BJ101" s="517"/>
      <c r="BK101" s="517"/>
      <c r="BL101" s="517"/>
      <c r="BM101" s="517"/>
      <c r="BN101" s="517"/>
      <c r="BO101" s="517"/>
      <c r="BP101" s="517"/>
    </row>
    <row r="102" spans="1:68">
      <c r="A102" s="507" t="s">
        <v>831</v>
      </c>
      <c r="B102" s="518">
        <v>14</v>
      </c>
      <c r="C102" s="518">
        <v>14.36877327862819</v>
      </c>
      <c r="D102" s="518">
        <v>14.747260395187103</v>
      </c>
      <c r="E102" s="518">
        <v>15.135717221381158</v>
      </c>
      <c r="F102" s="518">
        <v>15.53440636881815</v>
      </c>
      <c r="G102" s="518">
        <v>15.943597366544697</v>
      </c>
      <c r="H102" s="518">
        <v>16.363566843258159</v>
      </c>
      <c r="I102" s="518">
        <v>16.794598714318145</v>
      </c>
      <c r="J102" s="518">
        <v>17.236984373684137</v>
      </c>
      <c r="K102" s="518">
        <v>17.691022890908876</v>
      </c>
      <c r="L102" s="518">
        <v>18.157021213320789</v>
      </c>
      <c r="M102" s="518">
        <v>18.635294373532066</v>
      </c>
      <c r="N102" s="518">
        <v>19.126165702412699</v>
      </c>
      <c r="O102" s="518">
        <v>19.629967047674466</v>
      </c>
      <c r="P102" s="518">
        <v>20.147038998212622</v>
      </c>
      <c r="Q102" s="518">
        <v>20.677731114356973</v>
      </c>
      <c r="R102" s="518">
        <v>21.22240216418794</v>
      </c>
      <c r="T102" s="517"/>
      <c r="U102" s="517"/>
      <c r="V102" s="517"/>
      <c r="W102" s="517"/>
      <c r="X102" s="517"/>
      <c r="Y102" s="517"/>
      <c r="Z102" s="517"/>
      <c r="AA102" s="517"/>
      <c r="AB102" s="517"/>
      <c r="AC102" s="517"/>
      <c r="AD102" s="517"/>
      <c r="AE102" s="517"/>
      <c r="AF102" s="517"/>
      <c r="AG102" s="517"/>
      <c r="AH102" s="517"/>
      <c r="AI102" s="517"/>
      <c r="AJ102" s="517"/>
      <c r="AK102" s="517"/>
      <c r="AL102" s="517"/>
      <c r="AM102" s="517"/>
      <c r="AN102" s="517"/>
      <c r="AO102" s="517"/>
      <c r="AP102" s="517"/>
      <c r="AQ102" s="517"/>
      <c r="AR102" s="517"/>
      <c r="AS102" s="517"/>
      <c r="AT102" s="517"/>
      <c r="AU102" s="517"/>
      <c r="AV102" s="517"/>
      <c r="AW102" s="517"/>
      <c r="AX102" s="517"/>
      <c r="AY102" s="517"/>
      <c r="AZ102" s="517"/>
      <c r="BA102" s="517"/>
      <c r="BB102" s="517"/>
      <c r="BC102" s="517"/>
      <c r="BD102" s="517"/>
      <c r="BE102" s="517"/>
      <c r="BF102" s="517"/>
      <c r="BG102" s="517"/>
      <c r="BH102" s="517"/>
      <c r="BI102" s="517"/>
      <c r="BJ102" s="517"/>
      <c r="BK102" s="517"/>
      <c r="BL102" s="517"/>
      <c r="BM102" s="517"/>
      <c r="BN102" s="517"/>
      <c r="BO102" s="517"/>
      <c r="BP102" s="517"/>
    </row>
    <row r="103" spans="1:68">
      <c r="A103" s="507" t="s">
        <v>833</v>
      </c>
      <c r="B103" s="518">
        <v>4</v>
      </c>
      <c r="C103" s="518">
        <v>4.1053637938937682</v>
      </c>
      <c r="D103" s="518">
        <v>4.2135029700534581</v>
      </c>
      <c r="E103" s="518">
        <v>4.3244906346803313</v>
      </c>
      <c r="F103" s="518">
        <v>4.4384018196623289</v>
      </c>
      <c r="G103" s="518">
        <v>4.5553135332984853</v>
      </c>
      <c r="H103" s="518">
        <v>4.6753048123594736</v>
      </c>
      <c r="I103" s="518">
        <v>4.7984567755194698</v>
      </c>
      <c r="J103" s="518">
        <v>4.9248526781954673</v>
      </c>
      <c r="K103" s="518">
        <v>5.054577968831107</v>
      </c>
      <c r="L103" s="518">
        <v>5.1877203466630828</v>
      </c>
      <c r="M103" s="518">
        <v>5.3243698210091619</v>
      </c>
      <c r="N103" s="518">
        <v>5.4646187721179142</v>
      </c>
      <c r="O103" s="518">
        <v>5.6085620136212766</v>
      </c>
      <c r="P103" s="518">
        <v>5.7562968566321793</v>
      </c>
      <c r="Q103" s="518">
        <v>5.9079231755305637</v>
      </c>
      <c r="R103" s="518">
        <v>6.0635434754822679</v>
      </c>
      <c r="T103" s="517"/>
      <c r="U103" s="517"/>
      <c r="V103" s="517"/>
      <c r="W103" s="517"/>
      <c r="X103" s="517"/>
      <c r="Y103" s="517"/>
      <c r="Z103" s="517"/>
      <c r="AA103" s="517"/>
      <c r="AB103" s="517"/>
      <c r="AC103" s="517"/>
      <c r="AD103" s="517"/>
      <c r="AE103" s="517"/>
      <c r="AF103" s="517"/>
      <c r="AG103" s="517"/>
      <c r="AH103" s="517"/>
      <c r="AI103" s="517"/>
      <c r="AJ103" s="517"/>
      <c r="AK103" s="517"/>
      <c r="AL103" s="517"/>
      <c r="AM103" s="517"/>
      <c r="AN103" s="517"/>
      <c r="AO103" s="517"/>
      <c r="AP103" s="517"/>
      <c r="AQ103" s="517"/>
      <c r="AR103" s="517"/>
      <c r="AS103" s="517"/>
      <c r="AT103" s="517"/>
      <c r="AU103" s="517"/>
      <c r="AV103" s="517"/>
      <c r="AW103" s="517"/>
      <c r="AX103" s="517"/>
      <c r="AY103" s="517"/>
      <c r="AZ103" s="517"/>
      <c r="BA103" s="517"/>
      <c r="BB103" s="517"/>
      <c r="BC103" s="517"/>
      <c r="BD103" s="517"/>
      <c r="BE103" s="517"/>
      <c r="BF103" s="517"/>
      <c r="BG103" s="517"/>
      <c r="BH103" s="517"/>
      <c r="BI103" s="517"/>
      <c r="BJ103" s="517"/>
      <c r="BK103" s="517"/>
      <c r="BL103" s="517"/>
      <c r="BM103" s="517"/>
      <c r="BN103" s="517"/>
      <c r="BO103" s="517"/>
      <c r="BP103" s="517"/>
    </row>
    <row r="104" spans="1:68">
      <c r="A104" s="521" t="s">
        <v>835</v>
      </c>
      <c r="B104" s="540">
        <v>1</v>
      </c>
      <c r="C104" s="540">
        <v>1.026340948473442</v>
      </c>
      <c r="D104" s="540">
        <v>1.0533757425133645</v>
      </c>
      <c r="E104" s="540">
        <v>1.0811226586700828</v>
      </c>
      <c r="F104" s="540">
        <v>1.1096004549155822</v>
      </c>
      <c r="G104" s="540">
        <v>1.1388283833246213</v>
      </c>
      <c r="H104" s="540">
        <v>1.1688262030898684</v>
      </c>
      <c r="I104" s="540">
        <v>1.1996141938798675</v>
      </c>
      <c r="J104" s="540">
        <v>1.2312131695488668</v>
      </c>
      <c r="K104" s="540">
        <v>1.2636444922077767</v>
      </c>
      <c r="L104" s="540">
        <v>1.2969300866657707</v>
      </c>
      <c r="M104" s="540">
        <v>1.3310924552522905</v>
      </c>
      <c r="N104" s="540">
        <v>1.3661546930294786</v>
      </c>
      <c r="O104" s="540">
        <v>1.4021405034053191</v>
      </c>
      <c r="P104" s="540">
        <v>1.4390742141580448</v>
      </c>
      <c r="Q104" s="540">
        <v>1.4769807938826409</v>
      </c>
      <c r="R104" s="540">
        <v>1.515885868870567</v>
      </c>
      <c r="T104" s="517"/>
      <c r="U104" s="517"/>
      <c r="V104" s="517"/>
      <c r="W104" s="517"/>
      <c r="X104" s="517"/>
      <c r="Y104" s="517"/>
      <c r="Z104" s="517"/>
      <c r="AA104" s="517"/>
      <c r="AB104" s="517"/>
      <c r="AC104" s="517"/>
      <c r="AD104" s="517"/>
      <c r="AE104" s="517"/>
      <c r="AF104" s="517"/>
      <c r="AG104" s="517"/>
      <c r="AH104" s="517"/>
      <c r="AI104" s="517"/>
      <c r="AJ104" s="517"/>
      <c r="AK104" s="517"/>
      <c r="AL104" s="517"/>
      <c r="AM104" s="517"/>
      <c r="AN104" s="517"/>
      <c r="AO104" s="517"/>
      <c r="AP104" s="517"/>
      <c r="AQ104" s="517"/>
      <c r="AR104" s="517"/>
      <c r="AS104" s="517"/>
      <c r="AT104" s="517"/>
      <c r="AU104" s="517"/>
      <c r="AV104" s="517"/>
      <c r="AW104" s="517"/>
      <c r="AX104" s="517"/>
      <c r="AY104" s="517"/>
      <c r="AZ104" s="517"/>
      <c r="BA104" s="517"/>
      <c r="BB104" s="517"/>
      <c r="BC104" s="517"/>
      <c r="BD104" s="517"/>
      <c r="BE104" s="517"/>
      <c r="BF104" s="517"/>
      <c r="BG104" s="517"/>
      <c r="BH104" s="517"/>
      <c r="BI104" s="517"/>
      <c r="BJ104" s="517"/>
      <c r="BK104" s="517"/>
      <c r="BL104" s="517"/>
      <c r="BM104" s="517"/>
      <c r="BN104" s="517"/>
      <c r="BO104" s="517"/>
      <c r="BP104" s="517"/>
    </row>
    <row r="105" spans="1:68">
      <c r="A105" s="507"/>
      <c r="B105" s="518"/>
      <c r="C105" s="518"/>
      <c r="D105" s="518"/>
      <c r="E105" s="518"/>
      <c r="F105" s="518"/>
      <c r="G105" s="518"/>
      <c r="H105" s="518"/>
      <c r="I105" s="518"/>
      <c r="J105" s="518"/>
      <c r="K105" s="518"/>
      <c r="L105" s="518"/>
      <c r="M105" s="518"/>
      <c r="N105" s="518"/>
      <c r="O105" s="518"/>
      <c r="P105" s="518"/>
      <c r="Q105" s="518"/>
      <c r="R105" s="518"/>
      <c r="T105" s="517"/>
      <c r="U105" s="517"/>
      <c r="V105" s="517"/>
      <c r="W105" s="517"/>
      <c r="X105" s="517"/>
      <c r="Y105" s="517"/>
      <c r="Z105" s="517"/>
      <c r="AA105" s="517"/>
      <c r="AB105" s="517"/>
      <c r="AC105" s="517"/>
      <c r="AD105" s="517"/>
      <c r="AE105" s="517"/>
      <c r="AF105" s="517"/>
      <c r="AG105" s="517"/>
      <c r="AH105" s="517"/>
      <c r="AI105" s="517"/>
      <c r="AJ105" s="517"/>
      <c r="AK105" s="517"/>
      <c r="AL105" s="517"/>
      <c r="AM105" s="517"/>
      <c r="AN105" s="517"/>
      <c r="AO105" s="517"/>
      <c r="AP105" s="517"/>
      <c r="AQ105" s="517"/>
      <c r="AR105" s="517"/>
      <c r="AS105" s="517"/>
      <c r="AT105" s="517"/>
      <c r="AU105" s="517"/>
      <c r="AV105" s="517"/>
      <c r="AW105" s="517"/>
      <c r="AX105" s="517"/>
      <c r="AY105" s="517"/>
      <c r="AZ105" s="517"/>
      <c r="BA105" s="517"/>
      <c r="BB105" s="517"/>
      <c r="BC105" s="517"/>
      <c r="BD105" s="517"/>
      <c r="BE105" s="517"/>
      <c r="BF105" s="517"/>
      <c r="BG105" s="517"/>
      <c r="BH105" s="517"/>
      <c r="BI105" s="517"/>
      <c r="BJ105" s="517"/>
      <c r="BK105" s="517"/>
      <c r="BL105" s="517"/>
      <c r="BM105" s="517"/>
      <c r="BN105" s="517"/>
      <c r="BO105" s="517"/>
      <c r="BP105" s="517"/>
    </row>
    <row r="106" spans="1:68">
      <c r="A106" s="536"/>
      <c r="B106" s="518"/>
      <c r="C106" s="518"/>
      <c r="D106" s="518"/>
      <c r="E106" s="518"/>
      <c r="F106" s="518"/>
      <c r="G106" s="518"/>
      <c r="H106" s="518"/>
      <c r="I106" s="518"/>
      <c r="J106" s="518"/>
      <c r="K106" s="518"/>
      <c r="L106" s="518"/>
      <c r="M106" s="518"/>
      <c r="N106" s="518"/>
      <c r="O106" s="518"/>
      <c r="P106" s="518"/>
      <c r="Q106" s="518"/>
      <c r="R106" s="518"/>
      <c r="T106" s="517"/>
      <c r="U106" s="517"/>
      <c r="V106" s="517"/>
      <c r="W106" s="517"/>
      <c r="X106" s="517"/>
      <c r="Y106" s="517"/>
      <c r="Z106" s="517"/>
      <c r="AA106" s="517"/>
      <c r="AB106" s="517"/>
      <c r="AC106" s="517"/>
      <c r="AD106" s="517"/>
      <c r="AE106" s="517"/>
      <c r="AF106" s="517"/>
      <c r="AG106" s="517"/>
      <c r="AH106" s="517"/>
      <c r="AI106" s="517"/>
      <c r="AJ106" s="517"/>
      <c r="AK106" s="517"/>
      <c r="AL106" s="517"/>
      <c r="AM106" s="517"/>
      <c r="AN106" s="517"/>
      <c r="AO106" s="517"/>
      <c r="AP106" s="517"/>
      <c r="AQ106" s="517"/>
      <c r="AR106" s="517"/>
      <c r="AS106" s="517"/>
      <c r="AT106" s="517"/>
      <c r="AU106" s="517"/>
      <c r="AV106" s="517"/>
      <c r="AW106" s="517"/>
      <c r="AX106" s="517"/>
      <c r="AY106" s="517"/>
      <c r="AZ106" s="517"/>
      <c r="BA106" s="517"/>
      <c r="BB106" s="517"/>
      <c r="BC106" s="517"/>
      <c r="BD106" s="517"/>
      <c r="BE106" s="517"/>
      <c r="BF106" s="517"/>
      <c r="BG106" s="517"/>
      <c r="BH106" s="517"/>
      <c r="BI106" s="517"/>
      <c r="BJ106" s="517"/>
      <c r="BK106" s="517"/>
      <c r="BL106" s="517"/>
      <c r="BM106" s="517"/>
      <c r="BN106" s="517"/>
      <c r="BO106" s="517"/>
      <c r="BP106" s="517"/>
    </row>
    <row r="107" spans="1:68">
      <c r="A107" s="542" t="s">
        <v>23</v>
      </c>
      <c r="B107" s="551">
        <f>SUM(B108:B124)</f>
        <v>395</v>
      </c>
      <c r="C107" s="551">
        <f t="shared" ref="C107:R107" si="5">SUM(C108:C124)</f>
        <v>405.40467464700964</v>
      </c>
      <c r="D107" s="551">
        <f t="shared" si="5"/>
        <v>416.08341829277902</v>
      </c>
      <c r="E107" s="551">
        <f t="shared" si="5"/>
        <v>427.04345017468279</v>
      </c>
      <c r="F107" s="551">
        <f t="shared" si="5"/>
        <v>438.29217969165506</v>
      </c>
      <c r="G107" s="551">
        <f t="shared" si="5"/>
        <v>449.83721141322548</v>
      </c>
      <c r="H107" s="551">
        <f t="shared" si="5"/>
        <v>461.68635022049796</v>
      </c>
      <c r="I107" s="551">
        <f t="shared" si="5"/>
        <v>473.84760658254771</v>
      </c>
      <c r="J107" s="551">
        <f t="shared" si="5"/>
        <v>486.32920197180249</v>
      </c>
      <c r="K107" s="551">
        <f t="shared" si="5"/>
        <v>499.1395744220718</v>
      </c>
      <c r="L107" s="551">
        <f t="shared" si="5"/>
        <v>512.28738423297921</v>
      </c>
      <c r="M107" s="551">
        <f t="shared" si="5"/>
        <v>525.78151982465465</v>
      </c>
      <c r="N107" s="551">
        <f t="shared" si="5"/>
        <v>539.63110374664393</v>
      </c>
      <c r="O107" s="551">
        <f t="shared" si="5"/>
        <v>553.84549884510113</v>
      </c>
      <c r="P107" s="551">
        <f t="shared" si="5"/>
        <v>568.43431459242765</v>
      </c>
      <c r="Q107" s="551">
        <f t="shared" si="5"/>
        <v>583.40741358364312</v>
      </c>
      <c r="R107" s="551">
        <f t="shared" si="5"/>
        <v>598.77491820387377</v>
      </c>
      <c r="T107" s="517"/>
      <c r="U107" s="517"/>
      <c r="V107" s="517"/>
      <c r="W107" s="517"/>
      <c r="X107" s="517"/>
      <c r="Y107" s="517"/>
      <c r="Z107" s="517"/>
      <c r="AA107" s="517"/>
      <c r="AB107" s="517"/>
      <c r="AC107" s="517"/>
      <c r="AD107" s="517"/>
      <c r="AE107" s="517"/>
      <c r="AF107" s="517"/>
      <c r="AG107" s="517"/>
      <c r="AH107" s="517"/>
      <c r="AI107" s="517"/>
      <c r="AJ107" s="517"/>
      <c r="AK107" s="517"/>
      <c r="AL107" s="517"/>
      <c r="AM107" s="517"/>
      <c r="AN107" s="517"/>
      <c r="AO107" s="517"/>
      <c r="AP107" s="517"/>
      <c r="AQ107" s="517"/>
      <c r="AR107" s="517"/>
      <c r="AS107" s="517"/>
      <c r="AT107" s="517"/>
      <c r="AU107" s="517"/>
      <c r="AV107" s="517"/>
      <c r="AW107" s="517"/>
      <c r="AX107" s="517"/>
      <c r="AY107" s="517"/>
      <c r="AZ107" s="517"/>
      <c r="BA107" s="517"/>
      <c r="BB107" s="517"/>
      <c r="BC107" s="517"/>
      <c r="BD107" s="517"/>
      <c r="BE107" s="517"/>
      <c r="BF107" s="517"/>
      <c r="BG107" s="517"/>
      <c r="BH107" s="517"/>
      <c r="BI107" s="517"/>
      <c r="BJ107" s="517"/>
      <c r="BK107" s="517"/>
      <c r="BL107" s="517"/>
      <c r="BM107" s="517"/>
      <c r="BN107" s="517"/>
      <c r="BO107" s="517"/>
      <c r="BP107" s="517"/>
    </row>
    <row r="108" spans="1:68">
      <c r="A108" s="518" t="s">
        <v>803</v>
      </c>
      <c r="B108" s="518">
        <v>3</v>
      </c>
      <c r="C108" s="518">
        <v>3.0790228454203259</v>
      </c>
      <c r="D108" s="518">
        <v>3.1601272275400936</v>
      </c>
      <c r="E108" s="518">
        <v>3.2433679760102487</v>
      </c>
      <c r="F108" s="518">
        <v>3.3288013647467469</v>
      </c>
      <c r="G108" s="518">
        <v>3.4164851499738642</v>
      </c>
      <c r="H108" s="518">
        <v>3.506478609269605</v>
      </c>
      <c r="I108" s="518">
        <v>3.5988425816396026</v>
      </c>
      <c r="J108" s="518">
        <v>3.6936395086466005</v>
      </c>
      <c r="K108" s="518">
        <v>3.79093347662333</v>
      </c>
      <c r="L108" s="518">
        <v>3.8907902599973121</v>
      </c>
      <c r="M108" s="518">
        <v>3.9932773657568714</v>
      </c>
      <c r="N108" s="518">
        <v>4.0984640790884352</v>
      </c>
      <c r="O108" s="518">
        <v>4.2064215102159572</v>
      </c>
      <c r="P108" s="518">
        <v>4.3172226424741345</v>
      </c>
      <c r="Q108" s="518">
        <v>4.430942381647923</v>
      </c>
      <c r="R108" s="518">
        <v>4.5476576066117005</v>
      </c>
      <c r="T108" s="517"/>
      <c r="U108" s="517"/>
      <c r="V108" s="517"/>
      <c r="W108" s="517"/>
      <c r="X108" s="517"/>
      <c r="Y108" s="517"/>
      <c r="Z108" s="517"/>
      <c r="AA108" s="517"/>
      <c r="AB108" s="517"/>
      <c r="AC108" s="517"/>
      <c r="AD108" s="517"/>
      <c r="AE108" s="517"/>
      <c r="AF108" s="517"/>
      <c r="AG108" s="517"/>
      <c r="AH108" s="517"/>
      <c r="AI108" s="517"/>
      <c r="AJ108" s="517"/>
      <c r="AK108" s="517"/>
      <c r="AL108" s="517"/>
      <c r="AM108" s="517"/>
      <c r="AN108" s="517"/>
      <c r="AO108" s="517"/>
      <c r="AP108" s="517"/>
      <c r="AQ108" s="517"/>
      <c r="AR108" s="517"/>
      <c r="AS108" s="517"/>
      <c r="AT108" s="517"/>
      <c r="AU108" s="517"/>
      <c r="AV108" s="517"/>
      <c r="AW108" s="517"/>
      <c r="AX108" s="517"/>
      <c r="AY108" s="517"/>
      <c r="AZ108" s="517"/>
      <c r="BA108" s="517"/>
      <c r="BB108" s="517"/>
      <c r="BC108" s="517"/>
      <c r="BD108" s="517"/>
      <c r="BE108" s="517"/>
      <c r="BF108" s="517"/>
      <c r="BG108" s="517"/>
      <c r="BH108" s="517"/>
      <c r="BI108" s="517"/>
      <c r="BJ108" s="517"/>
      <c r="BK108" s="517"/>
      <c r="BL108" s="517"/>
      <c r="BM108" s="517"/>
      <c r="BN108" s="517"/>
      <c r="BO108" s="517"/>
      <c r="BP108" s="517"/>
    </row>
    <row r="109" spans="1:68">
      <c r="A109" s="518" t="s">
        <v>805</v>
      </c>
      <c r="B109" s="518">
        <v>1</v>
      </c>
      <c r="C109" s="518">
        <v>1.026340948473442</v>
      </c>
      <c r="D109" s="518">
        <v>1.0533757425133645</v>
      </c>
      <c r="E109" s="518">
        <v>1.0811226586700828</v>
      </c>
      <c r="F109" s="518">
        <v>1.1096004549155822</v>
      </c>
      <c r="G109" s="518">
        <v>1.1388283833246213</v>
      </c>
      <c r="H109" s="518">
        <v>1.1688262030898684</v>
      </c>
      <c r="I109" s="518">
        <v>1.1996141938798675</v>
      </c>
      <c r="J109" s="518">
        <v>1.2312131695488668</v>
      </c>
      <c r="K109" s="518">
        <v>1.2636444922077767</v>
      </c>
      <c r="L109" s="518">
        <v>1.2969300866657707</v>
      </c>
      <c r="M109" s="518">
        <v>1.3310924552522905</v>
      </c>
      <c r="N109" s="518">
        <v>1.3661546930294786</v>
      </c>
      <c r="O109" s="518">
        <v>1.4021405034053191</v>
      </c>
      <c r="P109" s="518">
        <v>1.4390742141580448</v>
      </c>
      <c r="Q109" s="518">
        <v>1.4769807938826409</v>
      </c>
      <c r="R109" s="518">
        <v>1.515885868870567</v>
      </c>
      <c r="T109" s="517"/>
      <c r="U109" s="517"/>
      <c r="V109" s="517"/>
      <c r="W109" s="517"/>
      <c r="X109" s="517"/>
      <c r="Y109" s="517"/>
      <c r="Z109" s="517"/>
      <c r="AA109" s="517"/>
      <c r="AB109" s="517"/>
      <c r="AC109" s="517"/>
      <c r="AD109" s="517"/>
      <c r="AE109" s="517"/>
      <c r="AF109" s="517"/>
      <c r="AG109" s="517"/>
      <c r="AH109" s="517"/>
      <c r="AI109" s="517"/>
      <c r="AJ109" s="517"/>
      <c r="AK109" s="517"/>
      <c r="AL109" s="517"/>
      <c r="AM109" s="517"/>
      <c r="AN109" s="517"/>
      <c r="AO109" s="517"/>
      <c r="AP109" s="517"/>
      <c r="AQ109" s="517"/>
      <c r="AR109" s="517"/>
      <c r="AS109" s="517"/>
      <c r="AT109" s="517"/>
      <c r="AU109" s="517"/>
      <c r="AV109" s="517"/>
      <c r="AW109" s="517"/>
      <c r="AX109" s="517"/>
      <c r="AY109" s="517"/>
      <c r="AZ109" s="517"/>
      <c r="BA109" s="517"/>
      <c r="BB109" s="517"/>
      <c r="BC109" s="517"/>
      <c r="BD109" s="517"/>
      <c r="BE109" s="517"/>
      <c r="BF109" s="517"/>
      <c r="BG109" s="517"/>
      <c r="BH109" s="517"/>
      <c r="BI109" s="517"/>
      <c r="BJ109" s="517"/>
      <c r="BK109" s="517"/>
      <c r="BL109" s="517"/>
      <c r="BM109" s="517"/>
      <c r="BN109" s="517"/>
      <c r="BO109" s="517"/>
      <c r="BP109" s="517"/>
    </row>
    <row r="110" spans="1:68">
      <c r="A110" s="518" t="s">
        <v>807</v>
      </c>
      <c r="B110" s="518">
        <v>4</v>
      </c>
      <c r="C110" s="518">
        <v>4.1053637938937682</v>
      </c>
      <c r="D110" s="518">
        <v>4.2135029700534581</v>
      </c>
      <c r="E110" s="518">
        <v>4.3244906346803313</v>
      </c>
      <c r="F110" s="518">
        <v>4.4384018196623289</v>
      </c>
      <c r="G110" s="518">
        <v>4.5553135332984853</v>
      </c>
      <c r="H110" s="518">
        <v>4.6753048123594736</v>
      </c>
      <c r="I110" s="518">
        <v>4.7984567755194698</v>
      </c>
      <c r="J110" s="518">
        <v>4.9248526781954673</v>
      </c>
      <c r="K110" s="518">
        <v>5.054577968831107</v>
      </c>
      <c r="L110" s="518">
        <v>5.1877203466630828</v>
      </c>
      <c r="M110" s="518">
        <v>5.3243698210091619</v>
      </c>
      <c r="N110" s="518">
        <v>5.4646187721179142</v>
      </c>
      <c r="O110" s="518">
        <v>5.6085620136212766</v>
      </c>
      <c r="P110" s="518">
        <v>5.7562968566321793</v>
      </c>
      <c r="Q110" s="518">
        <v>5.9079231755305637</v>
      </c>
      <c r="R110" s="518">
        <v>6.0635434754822679</v>
      </c>
      <c r="T110" s="517"/>
      <c r="U110" s="517"/>
      <c r="V110" s="517"/>
      <c r="W110" s="517"/>
      <c r="X110" s="517"/>
      <c r="Y110" s="517"/>
      <c r="Z110" s="517"/>
      <c r="AA110" s="517"/>
      <c r="AB110" s="517"/>
      <c r="AC110" s="517"/>
      <c r="AD110" s="517"/>
      <c r="AE110" s="517"/>
      <c r="AF110" s="517"/>
      <c r="AG110" s="517"/>
      <c r="AH110" s="517"/>
      <c r="AI110" s="517"/>
      <c r="AJ110" s="517"/>
      <c r="AK110" s="517"/>
      <c r="AL110" s="517"/>
      <c r="AM110" s="517"/>
      <c r="AN110" s="517"/>
      <c r="AO110" s="517"/>
      <c r="AP110" s="517"/>
      <c r="AQ110" s="517"/>
      <c r="AR110" s="517"/>
      <c r="AS110" s="517"/>
      <c r="AT110" s="517"/>
      <c r="AU110" s="517"/>
      <c r="AV110" s="517"/>
      <c r="AW110" s="517"/>
      <c r="AX110" s="517"/>
      <c r="AY110" s="517"/>
      <c r="AZ110" s="517"/>
      <c r="BA110" s="517"/>
      <c r="BB110" s="517"/>
      <c r="BC110" s="517"/>
      <c r="BD110" s="517"/>
      <c r="BE110" s="517"/>
      <c r="BF110" s="517"/>
      <c r="BG110" s="517"/>
      <c r="BH110" s="517"/>
      <c r="BI110" s="517"/>
      <c r="BJ110" s="517"/>
      <c r="BK110" s="517"/>
      <c r="BL110" s="517"/>
      <c r="BM110" s="517"/>
      <c r="BN110" s="517"/>
      <c r="BO110" s="517"/>
      <c r="BP110" s="517"/>
    </row>
    <row r="111" spans="1:68">
      <c r="A111" s="518" t="s">
        <v>809</v>
      </c>
      <c r="B111" s="518">
        <v>38</v>
      </c>
      <c r="C111" s="518">
        <v>39.00095604199079</v>
      </c>
      <c r="D111" s="518">
        <v>40.028278215507846</v>
      </c>
      <c r="E111" s="518">
        <v>41.082661029463146</v>
      </c>
      <c r="F111" s="518">
        <v>42.164817286792122</v>
      </c>
      <c r="G111" s="518">
        <v>43.275478566335615</v>
      </c>
      <c r="H111" s="518">
        <v>44.415395717415002</v>
      </c>
      <c r="I111" s="518">
        <v>45.585339367434969</v>
      </c>
      <c r="J111" s="518">
        <v>46.786100442856934</v>
      </c>
      <c r="K111" s="518">
        <v>48.018490703895516</v>
      </c>
      <c r="L111" s="518">
        <v>49.283343293299289</v>
      </c>
      <c r="M111" s="518">
        <v>50.581513299587037</v>
      </c>
      <c r="N111" s="518">
        <v>51.913878335120195</v>
      </c>
      <c r="O111" s="518">
        <v>53.281339129402127</v>
      </c>
      <c r="P111" s="518">
        <v>54.684820138005705</v>
      </c>
      <c r="Q111" s="518">
        <v>56.125270167540357</v>
      </c>
      <c r="R111" s="518">
        <v>57.603663017081544</v>
      </c>
      <c r="T111" s="517"/>
      <c r="U111" s="517"/>
      <c r="V111" s="517"/>
      <c r="W111" s="517"/>
      <c r="X111" s="517"/>
      <c r="Y111" s="517"/>
      <c r="Z111" s="517"/>
      <c r="AA111" s="517"/>
      <c r="AB111" s="517"/>
      <c r="AC111" s="517"/>
      <c r="AD111" s="517"/>
      <c r="AE111" s="517"/>
      <c r="AF111" s="517"/>
      <c r="AG111" s="517"/>
      <c r="AH111" s="517"/>
      <c r="AI111" s="517"/>
      <c r="AJ111" s="517"/>
      <c r="AK111" s="517"/>
      <c r="AL111" s="517"/>
      <c r="AM111" s="517"/>
      <c r="AN111" s="517"/>
      <c r="AO111" s="517"/>
      <c r="AP111" s="517"/>
      <c r="AQ111" s="517"/>
      <c r="AR111" s="517"/>
      <c r="AS111" s="517"/>
      <c r="AT111" s="517"/>
      <c r="AU111" s="517"/>
      <c r="AV111" s="517"/>
      <c r="AW111" s="517"/>
      <c r="AX111" s="517"/>
      <c r="AY111" s="517"/>
      <c r="AZ111" s="517"/>
      <c r="BA111" s="517"/>
      <c r="BB111" s="517"/>
      <c r="BC111" s="517"/>
      <c r="BD111" s="517"/>
      <c r="BE111" s="517"/>
      <c r="BF111" s="517"/>
      <c r="BG111" s="517"/>
      <c r="BH111" s="517"/>
      <c r="BI111" s="517"/>
      <c r="BJ111" s="517"/>
      <c r="BK111" s="517"/>
      <c r="BL111" s="517"/>
      <c r="BM111" s="517"/>
      <c r="BN111" s="517"/>
      <c r="BO111" s="517"/>
      <c r="BP111" s="517"/>
    </row>
    <row r="112" spans="1:68">
      <c r="A112" s="518" t="s">
        <v>811</v>
      </c>
      <c r="B112" s="518">
        <v>160</v>
      </c>
      <c r="C112" s="518">
        <v>164.21455175575073</v>
      </c>
      <c r="D112" s="518">
        <v>168.54011880213835</v>
      </c>
      <c r="E112" s="518">
        <v>172.9796253872133</v>
      </c>
      <c r="F112" s="518">
        <v>177.53607278649318</v>
      </c>
      <c r="G112" s="518">
        <v>182.21254133193941</v>
      </c>
      <c r="H112" s="518">
        <v>187.01219249437895</v>
      </c>
      <c r="I112" s="518">
        <v>191.93827102077884</v>
      </c>
      <c r="J112" s="518">
        <v>196.99410712781872</v>
      </c>
      <c r="K112" s="518">
        <v>202.18311875324429</v>
      </c>
      <c r="L112" s="518">
        <v>207.50881386652327</v>
      </c>
      <c r="M112" s="518">
        <v>212.97479284036649</v>
      </c>
      <c r="N112" s="518">
        <v>218.58475088471653</v>
      </c>
      <c r="O112" s="518">
        <v>224.3424805448511</v>
      </c>
      <c r="P112" s="518">
        <v>230.25187426528711</v>
      </c>
      <c r="Q112" s="518">
        <v>236.3169270212226</v>
      </c>
      <c r="R112" s="518">
        <v>242.54173901929073</v>
      </c>
      <c r="T112" s="517"/>
      <c r="U112" s="517"/>
      <c r="V112" s="517"/>
      <c r="W112" s="517"/>
      <c r="X112" s="517"/>
      <c r="Y112" s="517"/>
      <c r="Z112" s="517"/>
      <c r="AA112" s="517"/>
      <c r="AB112" s="517"/>
      <c r="AC112" s="517"/>
      <c r="AD112" s="517"/>
      <c r="AE112" s="517"/>
      <c r="AF112" s="517"/>
      <c r="AG112" s="517"/>
      <c r="AH112" s="517"/>
      <c r="AI112" s="517"/>
      <c r="AJ112" s="517"/>
      <c r="AK112" s="517"/>
      <c r="AL112" s="517"/>
      <c r="AM112" s="517"/>
      <c r="AN112" s="517"/>
      <c r="AO112" s="517"/>
      <c r="AP112" s="517"/>
      <c r="AQ112" s="517"/>
      <c r="AR112" s="517"/>
      <c r="AS112" s="517"/>
      <c r="AT112" s="517"/>
      <c r="AU112" s="517"/>
      <c r="AV112" s="517"/>
      <c r="AW112" s="517"/>
      <c r="AX112" s="517"/>
      <c r="AY112" s="517"/>
      <c r="AZ112" s="517"/>
      <c r="BA112" s="517"/>
      <c r="BB112" s="517"/>
      <c r="BC112" s="517"/>
      <c r="BD112" s="517"/>
      <c r="BE112" s="517"/>
      <c r="BF112" s="517"/>
      <c r="BG112" s="517"/>
      <c r="BH112" s="517"/>
      <c r="BI112" s="517"/>
      <c r="BJ112" s="517"/>
      <c r="BK112" s="517"/>
      <c r="BL112" s="517"/>
      <c r="BM112" s="517"/>
      <c r="BN112" s="517"/>
      <c r="BO112" s="517"/>
      <c r="BP112" s="517"/>
    </row>
    <row r="113" spans="1:68">
      <c r="A113" s="518" t="s">
        <v>813</v>
      </c>
      <c r="B113" s="518">
        <v>90</v>
      </c>
      <c r="C113" s="518">
        <v>92.370685362609805</v>
      </c>
      <c r="D113" s="518">
        <v>94.803816826202819</v>
      </c>
      <c r="E113" s="518">
        <v>97.30103928030745</v>
      </c>
      <c r="F113" s="518">
        <v>99.864040942402369</v>
      </c>
      <c r="G113" s="518">
        <v>102.49455449921594</v>
      </c>
      <c r="H113" s="518">
        <v>105.19435827808815</v>
      </c>
      <c r="I113" s="518">
        <v>107.96527744918809</v>
      </c>
      <c r="J113" s="518">
        <v>110.80918525939802</v>
      </c>
      <c r="K113" s="518">
        <v>113.7280042986999</v>
      </c>
      <c r="L113" s="518">
        <v>116.72370779991934</v>
      </c>
      <c r="M113" s="518">
        <v>119.79832097270614</v>
      </c>
      <c r="N113" s="518">
        <v>122.95392237265303</v>
      </c>
      <c r="O113" s="518">
        <v>126.19264530647874</v>
      </c>
      <c r="P113" s="518">
        <v>129.516679274224</v>
      </c>
      <c r="Q113" s="518">
        <v>132.92827144943763</v>
      </c>
      <c r="R113" s="518">
        <v>136.429728198351</v>
      </c>
      <c r="T113" s="517"/>
      <c r="U113" s="517"/>
      <c r="V113" s="517"/>
      <c r="W113" s="517"/>
      <c r="X113" s="517"/>
      <c r="Y113" s="517"/>
      <c r="Z113" s="517"/>
      <c r="AA113" s="517"/>
      <c r="AB113" s="517"/>
      <c r="AC113" s="517"/>
      <c r="AD113" s="517"/>
      <c r="AE113" s="517"/>
      <c r="AF113" s="517"/>
      <c r="AG113" s="517"/>
      <c r="AH113" s="517"/>
      <c r="AI113" s="517"/>
      <c r="AJ113" s="517"/>
      <c r="AK113" s="517"/>
      <c r="AL113" s="517"/>
      <c r="AM113" s="517"/>
      <c r="AN113" s="517"/>
      <c r="AO113" s="517"/>
      <c r="AP113" s="517"/>
      <c r="AQ113" s="517"/>
      <c r="AR113" s="517"/>
      <c r="AS113" s="517"/>
      <c r="AT113" s="517"/>
      <c r="AU113" s="517"/>
      <c r="AV113" s="517"/>
      <c r="AW113" s="517"/>
      <c r="AX113" s="517"/>
      <c r="AY113" s="517"/>
      <c r="AZ113" s="517"/>
      <c r="BA113" s="517"/>
      <c r="BB113" s="517"/>
      <c r="BC113" s="517"/>
      <c r="BD113" s="517"/>
      <c r="BE113" s="517"/>
      <c r="BF113" s="517"/>
      <c r="BG113" s="517"/>
      <c r="BH113" s="517"/>
      <c r="BI113" s="517"/>
      <c r="BJ113" s="517"/>
      <c r="BK113" s="517"/>
      <c r="BL113" s="517"/>
      <c r="BM113" s="517"/>
      <c r="BN113" s="517"/>
      <c r="BO113" s="517"/>
      <c r="BP113" s="517"/>
    </row>
    <row r="114" spans="1:68">
      <c r="A114" s="507" t="s">
        <v>815</v>
      </c>
      <c r="B114" s="518">
        <v>44</v>
      </c>
      <c r="C114" s="518">
        <v>45.159001732831456</v>
      </c>
      <c r="D114" s="518">
        <v>46.348532670588042</v>
      </c>
      <c r="E114" s="518">
        <v>47.569396981483642</v>
      </c>
      <c r="F114" s="518">
        <v>48.822420016285619</v>
      </c>
      <c r="G114" s="518">
        <v>50.108448866283354</v>
      </c>
      <c r="H114" s="518">
        <v>51.428352935954216</v>
      </c>
      <c r="I114" s="518">
        <v>52.783024530714172</v>
      </c>
      <c r="J114" s="518">
        <v>54.173379460150144</v>
      </c>
      <c r="K114" s="518">
        <v>55.60035765714219</v>
      </c>
      <c r="L114" s="518">
        <v>57.064923813293916</v>
      </c>
      <c r="M114" s="518">
        <v>58.568068031100786</v>
      </c>
      <c r="N114" s="518">
        <v>60.110806493297062</v>
      </c>
      <c r="O114" s="518">
        <v>61.694182149834056</v>
      </c>
      <c r="P114" s="518">
        <v>63.319265422953976</v>
      </c>
      <c r="Q114" s="518">
        <v>64.987154930836212</v>
      </c>
      <c r="R114" s="518">
        <v>66.698978230304959</v>
      </c>
      <c r="T114" s="517"/>
      <c r="U114" s="517"/>
      <c r="V114" s="517"/>
      <c r="W114" s="517"/>
      <c r="X114" s="517"/>
      <c r="Y114" s="517"/>
      <c r="Z114" s="517"/>
      <c r="AA114" s="517"/>
      <c r="AB114" s="517"/>
      <c r="AC114" s="517"/>
      <c r="AD114" s="517"/>
      <c r="AE114" s="517"/>
      <c r="AF114" s="517"/>
      <c r="AG114" s="517"/>
      <c r="AH114" s="517"/>
      <c r="AI114" s="517"/>
      <c r="AJ114" s="517"/>
      <c r="AK114" s="517"/>
      <c r="AL114" s="517"/>
      <c r="AM114" s="517"/>
      <c r="AN114" s="517"/>
      <c r="AO114" s="517"/>
      <c r="AP114" s="517"/>
      <c r="AQ114" s="517"/>
      <c r="AR114" s="517"/>
      <c r="AS114" s="517"/>
      <c r="AT114" s="517"/>
      <c r="AU114" s="517"/>
      <c r="AV114" s="517"/>
      <c r="AW114" s="517"/>
      <c r="AX114" s="517"/>
      <c r="AY114" s="517"/>
      <c r="AZ114" s="517"/>
      <c r="BA114" s="517"/>
      <c r="BB114" s="517"/>
      <c r="BC114" s="517"/>
      <c r="BD114" s="517"/>
      <c r="BE114" s="517"/>
      <c r="BF114" s="517"/>
      <c r="BG114" s="517"/>
      <c r="BH114" s="517"/>
      <c r="BI114" s="517"/>
      <c r="BJ114" s="517"/>
      <c r="BK114" s="517"/>
      <c r="BL114" s="517"/>
      <c r="BM114" s="517"/>
      <c r="BN114" s="517"/>
      <c r="BO114" s="517"/>
      <c r="BP114" s="517"/>
    </row>
    <row r="115" spans="1:68">
      <c r="A115" s="507" t="s">
        <v>817</v>
      </c>
      <c r="B115" s="518">
        <v>19</v>
      </c>
      <c r="C115" s="518">
        <v>19.500478020995399</v>
      </c>
      <c r="D115" s="518">
        <v>20.01413910775392</v>
      </c>
      <c r="E115" s="518">
        <v>20.541330514731573</v>
      </c>
      <c r="F115" s="518">
        <v>21.082408643396064</v>
      </c>
      <c r="G115" s="518">
        <v>21.637739283167807</v>
      </c>
      <c r="H115" s="518">
        <v>22.207697858707498</v>
      </c>
      <c r="I115" s="518">
        <v>22.792669683717481</v>
      </c>
      <c r="J115" s="518">
        <v>23.393050221428467</v>
      </c>
      <c r="K115" s="518">
        <v>24.009245351947762</v>
      </c>
      <c r="L115" s="518">
        <v>24.641671646649648</v>
      </c>
      <c r="M115" s="518">
        <v>25.290756649793515</v>
      </c>
      <c r="N115" s="518">
        <v>25.956939167560094</v>
      </c>
      <c r="O115" s="518">
        <v>26.640669564701067</v>
      </c>
      <c r="P115" s="518">
        <v>27.342410069002845</v>
      </c>
      <c r="Q115" s="518">
        <v>28.062635083770182</v>
      </c>
      <c r="R115" s="518">
        <v>28.801831508540769</v>
      </c>
      <c r="T115" s="517"/>
      <c r="U115" s="517"/>
      <c r="V115" s="517"/>
      <c r="W115" s="517"/>
      <c r="X115" s="517"/>
      <c r="Y115" s="517"/>
      <c r="Z115" s="517"/>
      <c r="AA115" s="517"/>
      <c r="AB115" s="517"/>
      <c r="AC115" s="517"/>
      <c r="AD115" s="517"/>
      <c r="AE115" s="517"/>
      <c r="AF115" s="517"/>
      <c r="AG115" s="517"/>
      <c r="AH115" s="517"/>
      <c r="AI115" s="517"/>
      <c r="AJ115" s="517"/>
      <c r="AK115" s="517"/>
      <c r="AL115" s="517"/>
      <c r="AM115" s="517"/>
      <c r="AN115" s="517"/>
      <c r="AO115" s="517"/>
      <c r="AP115" s="517"/>
      <c r="AQ115" s="517"/>
      <c r="AR115" s="517"/>
      <c r="AS115" s="517"/>
      <c r="AT115" s="517"/>
      <c r="AU115" s="517"/>
      <c r="AV115" s="517"/>
      <c r="AW115" s="517"/>
      <c r="AX115" s="517"/>
      <c r="AY115" s="517"/>
      <c r="AZ115" s="517"/>
      <c r="BA115" s="517"/>
      <c r="BB115" s="517"/>
      <c r="BC115" s="517"/>
      <c r="BD115" s="517"/>
      <c r="BE115" s="517"/>
      <c r="BF115" s="517"/>
      <c r="BG115" s="517"/>
      <c r="BH115" s="517"/>
      <c r="BI115" s="517"/>
      <c r="BJ115" s="517"/>
      <c r="BK115" s="517"/>
      <c r="BL115" s="517"/>
      <c r="BM115" s="517"/>
      <c r="BN115" s="517"/>
      <c r="BO115" s="517"/>
      <c r="BP115" s="517"/>
    </row>
    <row r="116" spans="1:68">
      <c r="A116" s="507" t="s">
        <v>819</v>
      </c>
      <c r="B116" s="518">
        <v>14</v>
      </c>
      <c r="C116" s="518">
        <v>14.368773278628188</v>
      </c>
      <c r="D116" s="518">
        <v>14.747260395187102</v>
      </c>
      <c r="E116" s="518">
        <v>15.13571722138116</v>
      </c>
      <c r="F116" s="518">
        <v>15.53440636881815</v>
      </c>
      <c r="G116" s="518">
        <v>15.943597366544699</v>
      </c>
      <c r="H116" s="518">
        <v>16.363566843258159</v>
      </c>
      <c r="I116" s="518">
        <v>16.794598714318148</v>
      </c>
      <c r="J116" s="518">
        <v>17.236984373684137</v>
      </c>
      <c r="K116" s="518">
        <v>17.691022890908876</v>
      </c>
      <c r="L116" s="518">
        <v>18.157021213320789</v>
      </c>
      <c r="M116" s="518">
        <v>18.635294373532066</v>
      </c>
      <c r="N116" s="518">
        <v>19.126165702412699</v>
      </c>
      <c r="O116" s="518">
        <v>19.629967047674469</v>
      </c>
      <c r="P116" s="518">
        <v>20.147038998212626</v>
      </c>
      <c r="Q116" s="518">
        <v>20.677731114356977</v>
      </c>
      <c r="R116" s="518">
        <v>21.222402164187937</v>
      </c>
      <c r="T116" s="517"/>
      <c r="U116" s="517"/>
      <c r="V116" s="517"/>
      <c r="W116" s="517"/>
      <c r="X116" s="517"/>
      <c r="Y116" s="517"/>
      <c r="Z116" s="517"/>
      <c r="AA116" s="517"/>
      <c r="AB116" s="517"/>
      <c r="AC116" s="517"/>
      <c r="AD116" s="517"/>
      <c r="AE116" s="517"/>
      <c r="AF116" s="517"/>
      <c r="AG116" s="517"/>
      <c r="AH116" s="517"/>
      <c r="AI116" s="517"/>
      <c r="AJ116" s="517"/>
      <c r="AK116" s="517"/>
      <c r="AL116" s="517"/>
      <c r="AM116" s="517"/>
      <c r="AN116" s="517"/>
      <c r="AO116" s="517"/>
      <c r="AP116" s="517"/>
      <c r="AQ116" s="517"/>
      <c r="AR116" s="517"/>
      <c r="AS116" s="517"/>
      <c r="AT116" s="517"/>
      <c r="AU116" s="517"/>
      <c r="AV116" s="517"/>
      <c r="AW116" s="517"/>
      <c r="AX116" s="517"/>
      <c r="AY116" s="517"/>
      <c r="AZ116" s="517"/>
      <c r="BA116" s="517"/>
      <c r="BB116" s="517"/>
      <c r="BC116" s="517"/>
      <c r="BD116" s="517"/>
      <c r="BE116" s="517"/>
      <c r="BF116" s="517"/>
      <c r="BG116" s="517"/>
      <c r="BH116" s="517"/>
      <c r="BI116" s="517"/>
      <c r="BJ116" s="517"/>
      <c r="BK116" s="517"/>
      <c r="BL116" s="517"/>
      <c r="BM116" s="517"/>
      <c r="BN116" s="517"/>
      <c r="BO116" s="517"/>
      <c r="BP116" s="517"/>
    </row>
    <row r="117" spans="1:68">
      <c r="A117" s="507" t="s">
        <v>821</v>
      </c>
      <c r="B117" s="518">
        <v>4</v>
      </c>
      <c r="C117" s="518">
        <v>4.1053637938937682</v>
      </c>
      <c r="D117" s="518">
        <v>4.2135029700534581</v>
      </c>
      <c r="E117" s="518">
        <v>4.3244906346803313</v>
      </c>
      <c r="F117" s="518">
        <v>4.4384018196623289</v>
      </c>
      <c r="G117" s="518">
        <v>4.5553135332984853</v>
      </c>
      <c r="H117" s="518">
        <v>4.6753048123594736</v>
      </c>
      <c r="I117" s="518">
        <v>4.7984567755194698</v>
      </c>
      <c r="J117" s="518">
        <v>4.9248526781954673</v>
      </c>
      <c r="K117" s="518">
        <v>5.054577968831107</v>
      </c>
      <c r="L117" s="518">
        <v>5.1877203466630828</v>
      </c>
      <c r="M117" s="518">
        <v>5.3243698210091619</v>
      </c>
      <c r="N117" s="518">
        <v>5.4646187721179142</v>
      </c>
      <c r="O117" s="518">
        <v>5.6085620136212766</v>
      </c>
      <c r="P117" s="518">
        <v>5.7562968566321793</v>
      </c>
      <c r="Q117" s="518">
        <v>5.9079231755305637</v>
      </c>
      <c r="R117" s="518">
        <v>6.0635434754822679</v>
      </c>
      <c r="T117" s="517"/>
      <c r="U117" s="517"/>
      <c r="V117" s="517"/>
      <c r="W117" s="517"/>
      <c r="X117" s="517"/>
      <c r="Y117" s="517"/>
      <c r="Z117" s="517"/>
      <c r="AA117" s="517"/>
      <c r="AB117" s="517"/>
      <c r="AC117" s="517"/>
      <c r="AD117" s="517"/>
      <c r="AE117" s="517"/>
      <c r="AF117" s="517"/>
      <c r="AG117" s="517"/>
      <c r="AH117" s="517"/>
      <c r="AI117" s="517"/>
      <c r="AJ117" s="517"/>
      <c r="AK117" s="517"/>
      <c r="AL117" s="517"/>
      <c r="AM117" s="517"/>
      <c r="AN117" s="517"/>
      <c r="AO117" s="517"/>
      <c r="AP117" s="517"/>
      <c r="AQ117" s="517"/>
      <c r="AR117" s="517"/>
      <c r="AS117" s="517"/>
      <c r="AT117" s="517"/>
      <c r="AU117" s="517"/>
      <c r="AV117" s="517"/>
      <c r="AW117" s="517"/>
      <c r="AX117" s="517"/>
      <c r="AY117" s="517"/>
      <c r="AZ117" s="517"/>
      <c r="BA117" s="517"/>
      <c r="BB117" s="517"/>
      <c r="BC117" s="517"/>
      <c r="BD117" s="517"/>
      <c r="BE117" s="517"/>
      <c r="BF117" s="517"/>
      <c r="BG117" s="517"/>
      <c r="BH117" s="517"/>
      <c r="BI117" s="517"/>
      <c r="BJ117" s="517"/>
      <c r="BK117" s="517"/>
      <c r="BL117" s="517"/>
      <c r="BM117" s="517"/>
      <c r="BN117" s="517"/>
      <c r="BO117" s="517"/>
      <c r="BP117" s="517"/>
    </row>
    <row r="118" spans="1:68">
      <c r="A118" s="507" t="s">
        <v>823</v>
      </c>
      <c r="B118" s="518">
        <v>10</v>
      </c>
      <c r="C118" s="518">
        <v>10.263409484734419</v>
      </c>
      <c r="D118" s="518">
        <v>10.533757425133643</v>
      </c>
      <c r="E118" s="518">
        <v>10.811226586700828</v>
      </c>
      <c r="F118" s="518">
        <v>11.096004549155822</v>
      </c>
      <c r="G118" s="518">
        <v>11.388283833246215</v>
      </c>
      <c r="H118" s="518">
        <v>11.688262030898683</v>
      </c>
      <c r="I118" s="518">
        <v>11.996141938798676</v>
      </c>
      <c r="J118" s="518">
        <v>12.312131695488667</v>
      </c>
      <c r="K118" s="518">
        <v>12.636444922077766</v>
      </c>
      <c r="L118" s="518">
        <v>12.969300866657708</v>
      </c>
      <c r="M118" s="518">
        <v>13.310924552522906</v>
      </c>
      <c r="N118" s="518">
        <v>13.661546930294785</v>
      </c>
      <c r="O118" s="518">
        <v>14.02140503405319</v>
      </c>
      <c r="P118" s="518">
        <v>14.390742141580446</v>
      </c>
      <c r="Q118" s="518">
        <v>14.769807938826407</v>
      </c>
      <c r="R118" s="518">
        <v>15.158858688705669</v>
      </c>
      <c r="T118" s="517"/>
      <c r="U118" s="517"/>
      <c r="V118" s="517"/>
      <c r="W118" s="517"/>
      <c r="X118" s="517"/>
      <c r="Y118" s="517"/>
      <c r="Z118" s="517"/>
      <c r="AA118" s="517"/>
      <c r="AB118" s="517"/>
      <c r="AC118" s="517"/>
      <c r="AD118" s="517"/>
      <c r="AE118" s="517"/>
      <c r="AF118" s="517"/>
      <c r="AG118" s="517"/>
      <c r="AH118" s="517"/>
      <c r="AI118" s="517"/>
      <c r="AJ118" s="517"/>
      <c r="AK118" s="517"/>
      <c r="AL118" s="517"/>
      <c r="AM118" s="517"/>
      <c r="AN118" s="517"/>
      <c r="AO118" s="517"/>
      <c r="AP118" s="517"/>
      <c r="AQ118" s="517"/>
      <c r="AR118" s="517"/>
      <c r="AS118" s="517"/>
      <c r="AT118" s="517"/>
      <c r="AU118" s="517"/>
      <c r="AV118" s="517"/>
      <c r="AW118" s="517"/>
      <c r="AX118" s="517"/>
      <c r="AY118" s="517"/>
      <c r="AZ118" s="517"/>
      <c r="BA118" s="517"/>
      <c r="BB118" s="517"/>
      <c r="BC118" s="517"/>
      <c r="BD118" s="517"/>
      <c r="BE118" s="517"/>
      <c r="BF118" s="517"/>
      <c r="BG118" s="517"/>
      <c r="BH118" s="517"/>
      <c r="BI118" s="517"/>
      <c r="BJ118" s="517"/>
      <c r="BK118" s="517"/>
      <c r="BL118" s="517"/>
      <c r="BM118" s="517"/>
      <c r="BN118" s="517"/>
      <c r="BO118" s="517"/>
      <c r="BP118" s="517"/>
    </row>
    <row r="119" spans="1:68">
      <c r="A119" s="507" t="s">
        <v>825</v>
      </c>
      <c r="B119" s="518">
        <v>3</v>
      </c>
      <c r="C119" s="518">
        <v>3.0790228454203259</v>
      </c>
      <c r="D119" s="518">
        <v>3.1601272275400936</v>
      </c>
      <c r="E119" s="518">
        <v>3.2433679760102487</v>
      </c>
      <c r="F119" s="518">
        <v>3.3288013647467469</v>
      </c>
      <c r="G119" s="518">
        <v>3.4164851499738642</v>
      </c>
      <c r="H119" s="518">
        <v>3.506478609269605</v>
      </c>
      <c r="I119" s="518">
        <v>3.5988425816396026</v>
      </c>
      <c r="J119" s="518">
        <v>3.6936395086466005</v>
      </c>
      <c r="K119" s="518">
        <v>3.79093347662333</v>
      </c>
      <c r="L119" s="518">
        <v>3.8907902599973121</v>
      </c>
      <c r="M119" s="518">
        <v>3.9932773657568714</v>
      </c>
      <c r="N119" s="518">
        <v>4.0984640790884352</v>
      </c>
      <c r="O119" s="518">
        <v>4.2064215102159572</v>
      </c>
      <c r="P119" s="518">
        <v>4.3172226424741345</v>
      </c>
      <c r="Q119" s="518">
        <v>4.430942381647923</v>
      </c>
      <c r="R119" s="518">
        <v>4.5476576066117005</v>
      </c>
      <c r="T119" s="517"/>
      <c r="U119" s="517"/>
      <c r="V119" s="517"/>
      <c r="W119" s="517"/>
      <c r="X119" s="517"/>
      <c r="Y119" s="517"/>
      <c r="Z119" s="517"/>
      <c r="AA119" s="517"/>
      <c r="AB119" s="517"/>
      <c r="AC119" s="517"/>
      <c r="AD119" s="517"/>
      <c r="AE119" s="517"/>
      <c r="AF119" s="517"/>
      <c r="AG119" s="517"/>
      <c r="AH119" s="517"/>
      <c r="AI119" s="517"/>
      <c r="AJ119" s="517"/>
      <c r="AK119" s="517"/>
      <c r="AL119" s="517"/>
      <c r="AM119" s="517"/>
      <c r="AN119" s="517"/>
      <c r="AO119" s="517"/>
      <c r="AP119" s="517"/>
      <c r="AQ119" s="517"/>
      <c r="AR119" s="517"/>
      <c r="AS119" s="517"/>
      <c r="AT119" s="517"/>
      <c r="AU119" s="517"/>
      <c r="AV119" s="517"/>
      <c r="AW119" s="517"/>
      <c r="AX119" s="517"/>
      <c r="AY119" s="517"/>
      <c r="AZ119" s="517"/>
      <c r="BA119" s="517"/>
      <c r="BB119" s="517"/>
      <c r="BC119" s="517"/>
      <c r="BD119" s="517"/>
      <c r="BE119" s="517"/>
      <c r="BF119" s="517"/>
      <c r="BG119" s="517"/>
      <c r="BH119" s="517"/>
      <c r="BI119" s="517"/>
      <c r="BJ119" s="517"/>
      <c r="BK119" s="517"/>
      <c r="BL119" s="517"/>
      <c r="BM119" s="517"/>
      <c r="BN119" s="517"/>
      <c r="BO119" s="517"/>
      <c r="BP119" s="517"/>
    </row>
    <row r="120" spans="1:68">
      <c r="A120" s="507" t="s">
        <v>827</v>
      </c>
      <c r="B120" s="518">
        <v>3</v>
      </c>
      <c r="C120" s="518">
        <v>3.0790228454203259</v>
      </c>
      <c r="D120" s="518">
        <v>3.1601272275400936</v>
      </c>
      <c r="E120" s="518">
        <v>3.2433679760102487</v>
      </c>
      <c r="F120" s="518">
        <v>3.3288013647467469</v>
      </c>
      <c r="G120" s="518">
        <v>3.4164851499738642</v>
      </c>
      <c r="H120" s="518">
        <v>3.506478609269605</v>
      </c>
      <c r="I120" s="518">
        <v>3.5988425816396026</v>
      </c>
      <c r="J120" s="518">
        <v>3.6936395086466005</v>
      </c>
      <c r="K120" s="518">
        <v>3.79093347662333</v>
      </c>
      <c r="L120" s="518">
        <v>3.8907902599973121</v>
      </c>
      <c r="M120" s="518">
        <v>3.9932773657568714</v>
      </c>
      <c r="N120" s="518">
        <v>4.0984640790884352</v>
      </c>
      <c r="O120" s="518">
        <v>4.2064215102159572</v>
      </c>
      <c r="P120" s="518">
        <v>4.3172226424741345</v>
      </c>
      <c r="Q120" s="518">
        <v>4.430942381647923</v>
      </c>
      <c r="R120" s="518">
        <v>4.5476576066117005</v>
      </c>
      <c r="T120" s="517"/>
      <c r="U120" s="517"/>
      <c r="V120" s="517"/>
      <c r="W120" s="517"/>
      <c r="X120" s="517"/>
      <c r="Y120" s="517"/>
      <c r="Z120" s="517"/>
      <c r="AA120" s="517"/>
      <c r="AB120" s="517"/>
      <c r="AC120" s="517"/>
      <c r="AD120" s="517"/>
      <c r="AE120" s="517"/>
      <c r="AF120" s="517"/>
      <c r="AG120" s="517"/>
      <c r="AH120" s="517"/>
      <c r="AI120" s="517"/>
      <c r="AJ120" s="517"/>
      <c r="AK120" s="517"/>
      <c r="AL120" s="517"/>
      <c r="AM120" s="517"/>
      <c r="AN120" s="517"/>
      <c r="AO120" s="517"/>
      <c r="AP120" s="517"/>
      <c r="AQ120" s="517"/>
      <c r="AR120" s="517"/>
      <c r="AS120" s="517"/>
      <c r="AT120" s="517"/>
      <c r="AU120" s="517"/>
      <c r="AV120" s="517"/>
      <c r="AW120" s="517"/>
      <c r="AX120" s="517"/>
      <c r="AY120" s="517"/>
      <c r="AZ120" s="517"/>
      <c r="BA120" s="517"/>
      <c r="BB120" s="517"/>
      <c r="BC120" s="517"/>
      <c r="BD120" s="517"/>
      <c r="BE120" s="517"/>
      <c r="BF120" s="517"/>
      <c r="BG120" s="517"/>
      <c r="BH120" s="517"/>
      <c r="BI120" s="517"/>
      <c r="BJ120" s="517"/>
      <c r="BK120" s="517"/>
      <c r="BL120" s="517"/>
      <c r="BM120" s="517"/>
      <c r="BN120" s="517"/>
      <c r="BO120" s="517"/>
      <c r="BP120" s="517"/>
    </row>
    <row r="121" spans="1:68">
      <c r="A121" s="507" t="s">
        <v>829</v>
      </c>
      <c r="B121" s="518">
        <v>0</v>
      </c>
      <c r="C121" s="518">
        <v>0</v>
      </c>
      <c r="D121" s="518">
        <v>0</v>
      </c>
      <c r="E121" s="518">
        <v>0</v>
      </c>
      <c r="F121" s="518">
        <v>0</v>
      </c>
      <c r="G121" s="518">
        <v>0</v>
      </c>
      <c r="H121" s="518">
        <v>0</v>
      </c>
      <c r="I121" s="518">
        <v>0</v>
      </c>
      <c r="J121" s="518">
        <v>0</v>
      </c>
      <c r="K121" s="518">
        <v>0</v>
      </c>
      <c r="L121" s="518">
        <v>0</v>
      </c>
      <c r="M121" s="518">
        <v>0</v>
      </c>
      <c r="N121" s="518">
        <v>0</v>
      </c>
      <c r="O121" s="518">
        <v>0</v>
      </c>
      <c r="P121" s="518">
        <v>0</v>
      </c>
      <c r="Q121" s="518">
        <v>0</v>
      </c>
      <c r="R121" s="518">
        <v>0</v>
      </c>
      <c r="T121" s="517"/>
      <c r="U121" s="517"/>
      <c r="V121" s="517"/>
      <c r="W121" s="517"/>
      <c r="X121" s="517"/>
      <c r="Y121" s="517"/>
      <c r="Z121" s="517"/>
      <c r="AA121" s="517"/>
      <c r="AB121" s="517"/>
      <c r="AC121" s="517"/>
      <c r="AD121" s="517"/>
      <c r="AE121" s="517"/>
      <c r="AF121" s="517"/>
      <c r="AG121" s="517"/>
      <c r="AH121" s="517"/>
      <c r="AI121" s="517"/>
      <c r="AJ121" s="517"/>
      <c r="AK121" s="517"/>
      <c r="AL121" s="517"/>
      <c r="AM121" s="517"/>
      <c r="AN121" s="517"/>
      <c r="AO121" s="517"/>
      <c r="AP121" s="517"/>
      <c r="AQ121" s="517"/>
      <c r="AR121" s="517"/>
      <c r="AS121" s="517"/>
      <c r="AT121" s="517"/>
      <c r="AU121" s="517"/>
      <c r="AV121" s="517"/>
      <c r="AW121" s="517"/>
      <c r="AX121" s="517"/>
      <c r="AY121" s="517"/>
      <c r="AZ121" s="517"/>
      <c r="BA121" s="517"/>
      <c r="BB121" s="517"/>
      <c r="BC121" s="517"/>
      <c r="BD121" s="517"/>
      <c r="BE121" s="517"/>
      <c r="BF121" s="517"/>
      <c r="BG121" s="517"/>
      <c r="BH121" s="517"/>
      <c r="BI121" s="517"/>
      <c r="BJ121" s="517"/>
      <c r="BK121" s="517"/>
      <c r="BL121" s="517"/>
      <c r="BM121" s="517"/>
      <c r="BN121" s="517"/>
      <c r="BO121" s="517"/>
      <c r="BP121" s="517"/>
    </row>
    <row r="122" spans="1:68">
      <c r="A122" s="507" t="s">
        <v>831</v>
      </c>
      <c r="B122" s="518">
        <v>1</v>
      </c>
      <c r="C122" s="518">
        <v>1.026340948473442</v>
      </c>
      <c r="D122" s="518">
        <v>1.0533757425133645</v>
      </c>
      <c r="E122" s="518">
        <v>1.0811226586700828</v>
      </c>
      <c r="F122" s="518">
        <v>1.1096004549155822</v>
      </c>
      <c r="G122" s="518">
        <v>1.1388283833246213</v>
      </c>
      <c r="H122" s="518">
        <v>1.1688262030898684</v>
      </c>
      <c r="I122" s="518">
        <v>1.1996141938798675</v>
      </c>
      <c r="J122" s="518">
        <v>1.2312131695488668</v>
      </c>
      <c r="K122" s="518">
        <v>1.2636444922077767</v>
      </c>
      <c r="L122" s="518">
        <v>1.2969300866657707</v>
      </c>
      <c r="M122" s="518">
        <v>1.3310924552522905</v>
      </c>
      <c r="N122" s="518">
        <v>1.3661546930294786</v>
      </c>
      <c r="O122" s="518">
        <v>1.4021405034053191</v>
      </c>
      <c r="P122" s="518">
        <v>1.4390742141580448</v>
      </c>
      <c r="Q122" s="518">
        <v>1.4769807938826409</v>
      </c>
      <c r="R122" s="518">
        <v>1.515885868870567</v>
      </c>
      <c r="T122" s="517"/>
      <c r="U122" s="517"/>
      <c r="V122" s="517"/>
      <c r="W122" s="517"/>
      <c r="X122" s="517"/>
      <c r="Y122" s="517"/>
      <c r="Z122" s="517"/>
      <c r="AA122" s="517"/>
      <c r="AB122" s="517"/>
      <c r="AC122" s="517"/>
      <c r="AD122" s="517"/>
      <c r="AE122" s="517"/>
      <c r="AF122" s="517"/>
      <c r="AG122" s="517"/>
      <c r="AH122" s="517"/>
      <c r="AI122" s="517"/>
      <c r="AJ122" s="517"/>
      <c r="AK122" s="517"/>
      <c r="AL122" s="517"/>
      <c r="AM122" s="517"/>
      <c r="AN122" s="517"/>
      <c r="AO122" s="517"/>
      <c r="AP122" s="517"/>
      <c r="AQ122" s="517"/>
      <c r="AR122" s="517"/>
      <c r="AS122" s="517"/>
      <c r="AT122" s="517"/>
      <c r="AU122" s="517"/>
      <c r="AV122" s="517"/>
      <c r="AW122" s="517"/>
      <c r="AX122" s="517"/>
      <c r="AY122" s="517"/>
      <c r="AZ122" s="517"/>
      <c r="BA122" s="517"/>
      <c r="BB122" s="517"/>
      <c r="BC122" s="517"/>
      <c r="BD122" s="517"/>
      <c r="BE122" s="517"/>
      <c r="BF122" s="517"/>
      <c r="BG122" s="517"/>
      <c r="BH122" s="517"/>
      <c r="BI122" s="517"/>
      <c r="BJ122" s="517"/>
      <c r="BK122" s="517"/>
      <c r="BL122" s="517"/>
      <c r="BM122" s="517"/>
      <c r="BN122" s="517"/>
      <c r="BO122" s="517"/>
      <c r="BP122" s="517"/>
    </row>
    <row r="123" spans="1:68">
      <c r="A123" s="507" t="s">
        <v>833</v>
      </c>
      <c r="B123" s="518">
        <v>1</v>
      </c>
      <c r="C123" s="518">
        <v>1.026340948473442</v>
      </c>
      <c r="D123" s="518">
        <v>1.0533757425133645</v>
      </c>
      <c r="E123" s="518">
        <v>1.0811226586700828</v>
      </c>
      <c r="F123" s="518">
        <v>1.1096004549155822</v>
      </c>
      <c r="G123" s="518">
        <v>1.1388283833246213</v>
      </c>
      <c r="H123" s="518">
        <v>1.1688262030898684</v>
      </c>
      <c r="I123" s="518">
        <v>1.1996141938798675</v>
      </c>
      <c r="J123" s="518">
        <v>1.2312131695488668</v>
      </c>
      <c r="K123" s="518">
        <v>1.2636444922077767</v>
      </c>
      <c r="L123" s="518">
        <v>1.2969300866657707</v>
      </c>
      <c r="M123" s="518">
        <v>1.3310924552522905</v>
      </c>
      <c r="N123" s="518">
        <v>1.3661546930294786</v>
      </c>
      <c r="O123" s="518">
        <v>1.4021405034053191</v>
      </c>
      <c r="P123" s="518">
        <v>1.4390742141580448</v>
      </c>
      <c r="Q123" s="518">
        <v>1.4769807938826409</v>
      </c>
      <c r="R123" s="518">
        <v>1.515885868870567</v>
      </c>
      <c r="T123" s="517"/>
      <c r="U123" s="517"/>
      <c r="V123" s="517"/>
      <c r="W123" s="517"/>
      <c r="X123" s="517"/>
      <c r="Y123" s="517"/>
      <c r="Z123" s="517"/>
      <c r="AA123" s="517"/>
      <c r="AB123" s="517"/>
      <c r="AC123" s="517"/>
      <c r="AD123" s="517"/>
      <c r="AE123" s="517"/>
      <c r="AF123" s="517"/>
      <c r="AG123" s="517"/>
      <c r="AH123" s="517"/>
      <c r="AI123" s="517"/>
      <c r="AJ123" s="517"/>
      <c r="AK123" s="517"/>
      <c r="AL123" s="517"/>
      <c r="AM123" s="517"/>
      <c r="AN123" s="517"/>
      <c r="AO123" s="517"/>
      <c r="AP123" s="517"/>
      <c r="AQ123" s="517"/>
      <c r="AR123" s="517"/>
      <c r="AS123" s="517"/>
      <c r="AT123" s="517"/>
      <c r="AU123" s="517"/>
      <c r="AV123" s="517"/>
      <c r="AW123" s="517"/>
      <c r="AX123" s="517"/>
      <c r="AY123" s="517"/>
      <c r="AZ123" s="517"/>
      <c r="BA123" s="517"/>
      <c r="BB123" s="517"/>
      <c r="BC123" s="517"/>
      <c r="BD123" s="517"/>
      <c r="BE123" s="517"/>
      <c r="BF123" s="517"/>
      <c r="BG123" s="517"/>
      <c r="BH123" s="517"/>
      <c r="BI123" s="517"/>
      <c r="BJ123" s="517"/>
      <c r="BK123" s="517"/>
      <c r="BL123" s="517"/>
      <c r="BM123" s="517"/>
      <c r="BN123" s="517"/>
      <c r="BO123" s="517"/>
      <c r="BP123" s="517"/>
    </row>
    <row r="124" spans="1:68">
      <c r="A124" s="521" t="s">
        <v>835</v>
      </c>
      <c r="B124" s="540">
        <v>0</v>
      </c>
      <c r="C124" s="540">
        <v>0</v>
      </c>
      <c r="D124" s="540">
        <v>0</v>
      </c>
      <c r="E124" s="540">
        <v>0</v>
      </c>
      <c r="F124" s="540">
        <v>0</v>
      </c>
      <c r="G124" s="540">
        <v>0</v>
      </c>
      <c r="H124" s="540">
        <v>0</v>
      </c>
      <c r="I124" s="540">
        <v>0</v>
      </c>
      <c r="J124" s="540">
        <v>0</v>
      </c>
      <c r="K124" s="540">
        <v>0</v>
      </c>
      <c r="L124" s="540">
        <v>0</v>
      </c>
      <c r="M124" s="540">
        <v>0</v>
      </c>
      <c r="N124" s="540">
        <v>0</v>
      </c>
      <c r="O124" s="540">
        <v>0</v>
      </c>
      <c r="P124" s="540">
        <v>0</v>
      </c>
      <c r="Q124" s="540">
        <v>0</v>
      </c>
      <c r="R124" s="540">
        <v>0</v>
      </c>
      <c r="T124" s="517"/>
      <c r="U124" s="517"/>
      <c r="V124" s="517"/>
      <c r="W124" s="517"/>
      <c r="X124" s="517"/>
      <c r="Y124" s="517"/>
      <c r="Z124" s="517"/>
      <c r="AA124" s="517"/>
      <c r="AB124" s="517"/>
      <c r="AC124" s="517"/>
      <c r="AD124" s="517"/>
      <c r="AE124" s="517"/>
      <c r="AF124" s="517"/>
      <c r="AG124" s="517"/>
      <c r="AH124" s="517"/>
      <c r="AI124" s="517"/>
      <c r="AJ124" s="517"/>
      <c r="AK124" s="517"/>
      <c r="AL124" s="517"/>
      <c r="AM124" s="517"/>
      <c r="AN124" s="517"/>
      <c r="AO124" s="517"/>
      <c r="AP124" s="517"/>
      <c r="AQ124" s="517"/>
      <c r="AR124" s="517"/>
      <c r="AS124" s="517"/>
      <c r="AT124" s="517"/>
      <c r="AU124" s="517"/>
      <c r="AV124" s="517"/>
      <c r="AW124" s="517"/>
      <c r="AX124" s="517"/>
      <c r="AY124" s="517"/>
      <c r="AZ124" s="517"/>
      <c r="BA124" s="517"/>
      <c r="BB124" s="517"/>
      <c r="BC124" s="517"/>
      <c r="BD124" s="517"/>
      <c r="BE124" s="517"/>
      <c r="BF124" s="517"/>
      <c r="BG124" s="517"/>
      <c r="BH124" s="517"/>
      <c r="BI124" s="517"/>
      <c r="BJ124" s="517"/>
      <c r="BK124" s="517"/>
      <c r="BL124" s="517"/>
      <c r="BM124" s="517"/>
      <c r="BN124" s="517"/>
      <c r="BO124" s="517"/>
      <c r="BP124" s="517"/>
    </row>
    <row r="125" spans="1:68">
      <c r="A125" s="507"/>
      <c r="B125" s="518"/>
      <c r="C125" s="518"/>
      <c r="D125" s="518"/>
      <c r="E125" s="518"/>
      <c r="F125" s="518"/>
      <c r="G125" s="518"/>
      <c r="H125" s="518"/>
      <c r="I125" s="518"/>
      <c r="J125" s="518"/>
      <c r="K125" s="518"/>
      <c r="L125" s="518"/>
      <c r="M125" s="518"/>
      <c r="N125" s="518"/>
      <c r="O125" s="518"/>
      <c r="P125" s="518"/>
      <c r="Q125" s="518"/>
      <c r="R125" s="518"/>
      <c r="T125" s="517"/>
      <c r="U125" s="517"/>
      <c r="V125" s="517"/>
      <c r="W125" s="517"/>
      <c r="X125" s="517"/>
      <c r="Y125" s="517"/>
      <c r="Z125" s="517"/>
      <c r="AA125" s="517"/>
      <c r="AB125" s="517"/>
      <c r="AC125" s="517"/>
      <c r="AD125" s="517"/>
      <c r="AE125" s="517"/>
      <c r="AF125" s="517"/>
      <c r="AG125" s="517"/>
      <c r="AH125" s="517"/>
      <c r="AI125" s="517"/>
      <c r="AJ125" s="517"/>
      <c r="AK125" s="517"/>
      <c r="AL125" s="517"/>
      <c r="AM125" s="517"/>
      <c r="AN125" s="517"/>
      <c r="AO125" s="517"/>
      <c r="AP125" s="517"/>
      <c r="AQ125" s="517"/>
      <c r="AR125" s="517"/>
      <c r="AS125" s="517"/>
      <c r="AT125" s="517"/>
      <c r="AU125" s="517"/>
      <c r="AV125" s="517"/>
      <c r="AW125" s="517"/>
      <c r="AX125" s="517"/>
      <c r="AY125" s="517"/>
      <c r="AZ125" s="517"/>
      <c r="BA125" s="517"/>
      <c r="BB125" s="517"/>
      <c r="BC125" s="517"/>
      <c r="BD125" s="517"/>
      <c r="BE125" s="517"/>
      <c r="BF125" s="517"/>
      <c r="BG125" s="517"/>
      <c r="BH125" s="517"/>
      <c r="BI125" s="517"/>
      <c r="BJ125" s="517"/>
      <c r="BK125" s="517"/>
      <c r="BL125" s="517"/>
      <c r="BM125" s="517"/>
      <c r="BN125" s="517"/>
      <c r="BO125" s="517"/>
      <c r="BP125" s="517"/>
    </row>
    <row r="126" spans="1:68" ht="18.75">
      <c r="A126" s="1435" t="s">
        <v>841</v>
      </c>
      <c r="B126" s="1435"/>
      <c r="C126" s="1435"/>
      <c r="D126" s="518"/>
      <c r="E126" s="518"/>
      <c r="F126" s="518"/>
      <c r="G126" s="518"/>
      <c r="H126" s="518"/>
      <c r="I126" s="518"/>
      <c r="J126" s="518"/>
      <c r="K126" s="518"/>
      <c r="L126" s="518"/>
      <c r="M126" s="518"/>
      <c r="N126" s="518"/>
      <c r="O126" s="518"/>
      <c r="P126" s="518"/>
      <c r="Q126" s="518"/>
      <c r="R126" s="538" t="s">
        <v>869</v>
      </c>
      <c r="T126" s="517"/>
      <c r="U126" s="517"/>
      <c r="V126" s="517"/>
      <c r="W126" s="517"/>
      <c r="X126" s="517"/>
      <c r="Y126" s="517"/>
      <c r="Z126" s="517"/>
      <c r="AA126" s="517"/>
      <c r="AB126" s="517"/>
      <c r="AC126" s="517"/>
      <c r="AD126" s="517"/>
      <c r="AE126" s="517"/>
      <c r="AF126" s="517"/>
      <c r="AG126" s="517"/>
      <c r="AH126" s="517"/>
      <c r="AI126" s="517"/>
      <c r="AJ126" s="517"/>
      <c r="AK126" s="517"/>
      <c r="AL126" s="517"/>
      <c r="AM126" s="517"/>
      <c r="AN126" s="517"/>
      <c r="AO126" s="517"/>
      <c r="AP126" s="517"/>
      <c r="AQ126" s="517"/>
      <c r="AR126" s="517"/>
      <c r="AS126" s="517"/>
      <c r="AT126" s="517"/>
      <c r="AU126" s="517"/>
      <c r="AV126" s="517"/>
      <c r="AW126" s="517"/>
      <c r="AX126" s="517"/>
    </row>
    <row r="127" spans="1:68" s="549" customFormat="1">
      <c r="A127" s="510" t="s">
        <v>802</v>
      </c>
      <c r="B127" s="511">
        <v>2014</v>
      </c>
      <c r="C127" s="511">
        <v>2015</v>
      </c>
      <c r="D127" s="511">
        <v>2016</v>
      </c>
      <c r="E127" s="511">
        <v>2017</v>
      </c>
      <c r="F127" s="511">
        <v>2018</v>
      </c>
      <c r="G127" s="511">
        <v>2019</v>
      </c>
      <c r="H127" s="511">
        <v>2020</v>
      </c>
      <c r="I127" s="511">
        <v>2021</v>
      </c>
      <c r="J127" s="511">
        <v>2022</v>
      </c>
      <c r="K127" s="511">
        <v>2023</v>
      </c>
      <c r="L127" s="511">
        <v>2024</v>
      </c>
      <c r="M127" s="511">
        <v>2025</v>
      </c>
      <c r="N127" s="511">
        <v>2026</v>
      </c>
      <c r="O127" s="511">
        <v>2027</v>
      </c>
      <c r="P127" s="511">
        <v>2028</v>
      </c>
      <c r="Q127" s="511">
        <v>2029</v>
      </c>
      <c r="R127" s="511">
        <v>2030</v>
      </c>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row>
    <row r="128" spans="1:68">
      <c r="A128" s="542" t="s">
        <v>21</v>
      </c>
      <c r="B128" s="551">
        <f>SUM(B129:B145)</f>
        <v>36216.959860787159</v>
      </c>
      <c r="C128" s="551">
        <f t="shared" ref="C128:R128" si="6">SUM(C129:C145)</f>
        <v>40025.930779255032</v>
      </c>
      <c r="D128" s="551">
        <f t="shared" si="6"/>
        <v>44235.494666141611</v>
      </c>
      <c r="E128" s="551">
        <f t="shared" si="6"/>
        <v>48887.782251710152</v>
      </c>
      <c r="F128" s="551">
        <f t="shared" si="6"/>
        <v>54029.355193804855</v>
      </c>
      <c r="G128" s="551">
        <f t="shared" si="6"/>
        <v>59711.672082572572</v>
      </c>
      <c r="H128" s="551">
        <f t="shared" si="6"/>
        <v>65991.603455328732</v>
      </c>
      <c r="I128" s="551">
        <f t="shared" si="6"/>
        <v>67662.188850400737</v>
      </c>
      <c r="J128" s="551">
        <f t="shared" si="6"/>
        <v>69375.065316095264</v>
      </c>
      <c r="K128" s="551">
        <f t="shared" si="6"/>
        <v>71131.303455962348</v>
      </c>
      <c r="L128" s="551">
        <f t="shared" si="6"/>
        <v>72932.000976009789</v>
      </c>
      <c r="M128" s="551">
        <f t="shared" si="6"/>
        <v>74778.283370805235</v>
      </c>
      <c r="N128" s="551">
        <f t="shared" si="6"/>
        <v>76671.304626947021</v>
      </c>
      <c r="O128" s="551">
        <f t="shared" si="6"/>
        <v>78612.247944343399</v>
      </c>
      <c r="P128" s="551">
        <f t="shared" si="6"/>
        <v>80602.326475750728</v>
      </c>
      <c r="Q128" s="551">
        <f t="shared" si="6"/>
        <v>82642.784085033723</v>
      </c>
      <c r="R128" s="551">
        <f t="shared" si="6"/>
        <v>84734.896124620704</v>
      </c>
      <c r="T128" s="517"/>
      <c r="U128" s="517"/>
      <c r="V128" s="517"/>
      <c r="W128" s="517"/>
      <c r="X128" s="517"/>
      <c r="Y128" s="517"/>
      <c r="Z128" s="517"/>
      <c r="AA128" s="517"/>
      <c r="AB128" s="517"/>
      <c r="AC128" s="517"/>
      <c r="AD128" s="517"/>
      <c r="AE128" s="517"/>
      <c r="AF128" s="517"/>
      <c r="AG128" s="517"/>
      <c r="AH128" s="517"/>
      <c r="AI128" s="517"/>
      <c r="AJ128" s="517"/>
      <c r="AK128" s="517"/>
      <c r="AL128" s="517"/>
      <c r="AM128" s="517"/>
      <c r="AN128" s="517"/>
      <c r="AO128" s="517"/>
      <c r="AP128" s="517"/>
      <c r="AQ128" s="517"/>
      <c r="AR128" s="517"/>
      <c r="AS128" s="517"/>
      <c r="AT128" s="517"/>
      <c r="AU128" s="517"/>
      <c r="AV128" s="517"/>
      <c r="AW128" s="517"/>
      <c r="AX128" s="517"/>
    </row>
    <row r="129" spans="1:50">
      <c r="A129" s="518" t="s">
        <v>803</v>
      </c>
      <c r="B129" s="518">
        <v>12.766077166545017</v>
      </c>
      <c r="C129" s="518">
        <v>14.108697222375119</v>
      </c>
      <c r="D129" s="518">
        <v>15.592521862103652</v>
      </c>
      <c r="E129" s="518">
        <v>17.2324017014557</v>
      </c>
      <c r="F129" s="518">
        <v>19.044749209046152</v>
      </c>
      <c r="G129" s="518">
        <v>21.047702967882</v>
      </c>
      <c r="H129" s="518">
        <v>23.261309212397684</v>
      </c>
      <c r="I129" s="518">
        <v>23.850172058665542</v>
      </c>
      <c r="J129" s="518">
        <v>24.453942038859022</v>
      </c>
      <c r="K129" s="518">
        <v>25.072996528870135</v>
      </c>
      <c r="L129" s="518">
        <v>25.707722457907067</v>
      </c>
      <c r="M129" s="518">
        <v>26.358516550337551</v>
      </c>
      <c r="N129" s="518">
        <v>27.025785573654499</v>
      </c>
      <c r="O129" s="518">
        <v>27.709946592718929</v>
      </c>
      <c r="P129" s="518">
        <v>28.411427230439099</v>
      </c>
      <c r="Q129" s="518">
        <v>29.130665935048704</v>
      </c>
      <c r="R129" s="518">
        <v>29.868112254151335</v>
      </c>
      <c r="T129" s="517"/>
      <c r="U129" s="517"/>
      <c r="V129" s="517"/>
      <c r="W129" s="517"/>
      <c r="X129" s="517"/>
      <c r="Y129" s="517"/>
      <c r="Z129" s="517"/>
      <c r="AA129" s="517"/>
      <c r="AB129" s="517"/>
      <c r="AC129" s="517"/>
      <c r="AD129" s="517"/>
      <c r="AE129" s="517"/>
      <c r="AF129" s="517"/>
      <c r="AG129" s="517"/>
      <c r="AH129" s="517"/>
      <c r="AI129" s="517"/>
      <c r="AJ129" s="517"/>
      <c r="AK129" s="517"/>
      <c r="AL129" s="517"/>
      <c r="AM129" s="517"/>
      <c r="AN129" s="517"/>
      <c r="AO129" s="517"/>
      <c r="AP129" s="517"/>
      <c r="AQ129" s="517"/>
      <c r="AR129" s="517"/>
      <c r="AS129" s="517"/>
      <c r="AT129" s="517"/>
      <c r="AU129" s="517"/>
      <c r="AV129" s="517"/>
      <c r="AW129" s="517"/>
      <c r="AX129" s="517"/>
    </row>
    <row r="130" spans="1:50">
      <c r="A130" s="518" t="s">
        <v>805</v>
      </c>
      <c r="B130" s="518">
        <v>6.0550496528215172</v>
      </c>
      <c r="C130" s="518">
        <v>6.691864783802389</v>
      </c>
      <c r="D130" s="518">
        <v>7.3956543467529823</v>
      </c>
      <c r="E130" s="518">
        <v>8.173462104171147</v>
      </c>
      <c r="F130" s="518">
        <v>9.0330726175233416</v>
      </c>
      <c r="G130" s="518">
        <v>9.9830891577522678</v>
      </c>
      <c r="H130" s="518">
        <v>11.033019809704118</v>
      </c>
      <c r="I130" s="518">
        <v>11.312322035935189</v>
      </c>
      <c r="J130" s="518">
        <v>11.598694831686039</v>
      </c>
      <c r="K130" s="518">
        <v>11.892317189276241</v>
      </c>
      <c r="L130" s="518">
        <v>12.193372632237509</v>
      </c>
      <c r="M130" s="518">
        <v>12.502049330021872</v>
      </c>
      <c r="N130" s="518">
        <v>12.81854021561373</v>
      </c>
      <c r="O130" s="518">
        <v>13.143043106119229</v>
      </c>
      <c r="P130" s="518">
        <v>13.475760826408401</v>
      </c>
      <c r="Q130" s="518">
        <v>13.816901335887311</v>
      </c>
      <c r="R130" s="518">
        <v>14.166677858479442</v>
      </c>
      <c r="T130" s="517"/>
      <c r="U130" s="517"/>
      <c r="V130" s="517"/>
      <c r="W130" s="517"/>
      <c r="X130" s="517"/>
      <c r="Y130" s="517"/>
      <c r="Z130" s="517"/>
      <c r="AA130" s="517"/>
      <c r="AB130" s="517"/>
      <c r="AC130" s="517"/>
      <c r="AD130" s="517"/>
      <c r="AE130" s="517"/>
      <c r="AF130" s="517"/>
      <c r="AG130" s="517"/>
      <c r="AH130" s="517"/>
      <c r="AI130" s="517"/>
      <c r="AJ130" s="517"/>
      <c r="AK130" s="517"/>
      <c r="AL130" s="517"/>
      <c r="AM130" s="517"/>
      <c r="AN130" s="517"/>
      <c r="AO130" s="517"/>
      <c r="AP130" s="517"/>
      <c r="AQ130" s="517"/>
      <c r="AR130" s="517"/>
      <c r="AS130" s="517"/>
      <c r="AT130" s="517"/>
      <c r="AU130" s="517"/>
      <c r="AV130" s="517"/>
      <c r="AW130" s="517"/>
      <c r="AX130" s="517"/>
    </row>
    <row r="131" spans="1:50">
      <c r="A131" s="518" t="s">
        <v>807</v>
      </c>
      <c r="B131" s="518">
        <v>1.5957596458181271</v>
      </c>
      <c r="C131" s="518">
        <v>1.76358715279689</v>
      </c>
      <c r="D131" s="518">
        <v>1.9490652327629565</v>
      </c>
      <c r="E131" s="518">
        <v>2.1540502126819625</v>
      </c>
      <c r="F131" s="518">
        <v>2.3805936511307686</v>
      </c>
      <c r="G131" s="518">
        <v>2.6309628709852499</v>
      </c>
      <c r="H131" s="518">
        <v>2.9076636515497105</v>
      </c>
      <c r="I131" s="518">
        <v>2.9812715073331923</v>
      </c>
      <c r="J131" s="518">
        <v>3.0567427548573778</v>
      </c>
      <c r="K131" s="518">
        <v>3.1341245661087669</v>
      </c>
      <c r="L131" s="518">
        <v>3.2134653072383834</v>
      </c>
      <c r="M131" s="518">
        <v>3.2948145687921939</v>
      </c>
      <c r="N131" s="518">
        <v>3.3782231967068124</v>
      </c>
      <c r="O131" s="518">
        <v>3.4637433240898665</v>
      </c>
      <c r="P131" s="518">
        <v>3.5514284038048873</v>
      </c>
      <c r="Q131" s="518">
        <v>3.641333241881088</v>
      </c>
      <c r="R131" s="518">
        <v>3.7335140317689168</v>
      </c>
      <c r="T131" s="517"/>
      <c r="U131" s="517"/>
      <c r="V131" s="517"/>
      <c r="W131" s="517"/>
      <c r="X131" s="517"/>
      <c r="Y131" s="517"/>
      <c r="Z131" s="517"/>
      <c r="AA131" s="517"/>
      <c r="AB131" s="517"/>
      <c r="AC131" s="517"/>
      <c r="AD131" s="517"/>
      <c r="AE131" s="517"/>
      <c r="AF131" s="517"/>
      <c r="AG131" s="517"/>
      <c r="AH131" s="517"/>
      <c r="AI131" s="517"/>
      <c r="AJ131" s="517"/>
      <c r="AK131" s="517"/>
      <c r="AL131" s="517"/>
      <c r="AM131" s="517"/>
      <c r="AN131" s="517"/>
      <c r="AO131" s="517"/>
      <c r="AP131" s="517"/>
      <c r="AQ131" s="517"/>
      <c r="AR131" s="517"/>
      <c r="AS131" s="517"/>
      <c r="AT131" s="517"/>
      <c r="AU131" s="517"/>
      <c r="AV131" s="517"/>
      <c r="AW131" s="517"/>
      <c r="AX131" s="517"/>
    </row>
    <row r="132" spans="1:50">
      <c r="A132" s="518" t="s">
        <v>809</v>
      </c>
      <c r="B132" s="518">
        <v>427.55312256316597</v>
      </c>
      <c r="C132" s="518">
        <v>472.51927698924402</v>
      </c>
      <c r="D132" s="518">
        <v>522.21456315864418</v>
      </c>
      <c r="E132" s="518">
        <v>577.136348198512</v>
      </c>
      <c r="F132" s="518">
        <v>637.83430779337618</v>
      </c>
      <c r="G132" s="518">
        <v>704.9159275241509</v>
      </c>
      <c r="H132" s="518">
        <v>779.05258278801273</v>
      </c>
      <c r="I132" s="518">
        <v>798.77439281615864</v>
      </c>
      <c r="J132" s="518">
        <v>818.99546284212727</v>
      </c>
      <c r="K132" s="518">
        <v>839.72843169293594</v>
      </c>
      <c r="L132" s="518">
        <v>860.9862581490321</v>
      </c>
      <c r="M132" s="518">
        <v>882.78222904395193</v>
      </c>
      <c r="N132" s="518">
        <v>905.12996756902385</v>
      </c>
      <c r="O132" s="518">
        <v>928.0434417883057</v>
      </c>
      <c r="P132" s="518">
        <v>951.53697336908238</v>
      </c>
      <c r="Q132" s="518">
        <v>975.62524653337118</v>
      </c>
      <c r="R132" s="518">
        <v>1000.3233172360392</v>
      </c>
      <c r="T132" s="517"/>
      <c r="U132" s="517"/>
      <c r="V132" s="517"/>
      <c r="W132" s="517"/>
      <c r="X132" s="517"/>
      <c r="Y132" s="517"/>
      <c r="Z132" s="517"/>
      <c r="AA132" s="517"/>
      <c r="AB132" s="517"/>
      <c r="AC132" s="517"/>
      <c r="AD132" s="517"/>
      <c r="AE132" s="517"/>
      <c r="AF132" s="517"/>
      <c r="AG132" s="517"/>
      <c r="AH132" s="517"/>
      <c r="AI132" s="517"/>
      <c r="AJ132" s="517"/>
      <c r="AK132" s="517"/>
      <c r="AL132" s="517"/>
      <c r="AM132" s="517"/>
      <c r="AN132" s="517"/>
      <c r="AO132" s="517"/>
      <c r="AP132" s="517"/>
      <c r="AQ132" s="517"/>
      <c r="AR132" s="517"/>
      <c r="AS132" s="517"/>
      <c r="AT132" s="517"/>
      <c r="AU132" s="517"/>
      <c r="AV132" s="517"/>
      <c r="AW132" s="517"/>
      <c r="AX132" s="517"/>
    </row>
    <row r="133" spans="1:50">
      <c r="A133" s="518" t="s">
        <v>811</v>
      </c>
      <c r="B133" s="518">
        <v>5176.6120026773096</v>
      </c>
      <c r="C133" s="518">
        <v>5721.0410395202989</v>
      </c>
      <c r="D133" s="518">
        <v>6322.7281779951081</v>
      </c>
      <c r="E133" s="518">
        <v>6987.6953052176204</v>
      </c>
      <c r="F133" s="518">
        <v>7722.5976357002519</v>
      </c>
      <c r="G133" s="518">
        <v>8534.7903189756726</v>
      </c>
      <c r="H133" s="518">
        <v>9432.4020524054922</v>
      </c>
      <c r="I133" s="518">
        <v>9671.1844471970107</v>
      </c>
      <c r="J133" s="518">
        <v>9916.0116470917856</v>
      </c>
      <c r="K133" s="518">
        <v>10167.036677059552</v>
      </c>
      <c r="L133" s="518">
        <v>10424.416435915604</v>
      </c>
      <c r="M133" s="518">
        <v>10688.311794387644</v>
      </c>
      <c r="N133" s="518">
        <v>10958.887695665244</v>
      </c>
      <c r="O133" s="518">
        <v>11236.313258494687</v>
      </c>
      <c r="P133" s="518">
        <v>11520.76188288372</v>
      </c>
      <c r="Q133" s="518">
        <v>11812.411358482168</v>
      </c>
      <c r="R133" s="518">
        <v>12111.443975706274</v>
      </c>
      <c r="T133" s="517"/>
      <c r="U133" s="517"/>
      <c r="V133" s="517"/>
      <c r="W133" s="517"/>
      <c r="X133" s="517"/>
      <c r="Y133" s="517"/>
      <c r="Z133" s="517"/>
      <c r="AA133" s="517"/>
      <c r="AB133" s="517"/>
      <c r="AC133" s="517"/>
      <c r="AD133" s="517"/>
      <c r="AE133" s="517"/>
      <c r="AF133" s="517"/>
      <c r="AG133" s="517"/>
      <c r="AH133" s="517"/>
      <c r="AI133" s="517"/>
      <c r="AJ133" s="517"/>
      <c r="AK133" s="517"/>
      <c r="AL133" s="517"/>
      <c r="AM133" s="517"/>
      <c r="AN133" s="517"/>
      <c r="AO133" s="517"/>
      <c r="AP133" s="517"/>
      <c r="AQ133" s="517"/>
      <c r="AR133" s="517"/>
      <c r="AS133" s="517"/>
      <c r="AT133" s="517"/>
      <c r="AU133" s="517"/>
      <c r="AV133" s="517"/>
      <c r="AW133" s="517"/>
      <c r="AX133" s="517"/>
    </row>
    <row r="134" spans="1:50">
      <c r="A134" s="518" t="s">
        <v>813</v>
      </c>
      <c r="B134" s="518">
        <v>10053.991030935629</v>
      </c>
      <c r="C134" s="518">
        <v>11111.378497983458</v>
      </c>
      <c r="D134" s="518">
        <v>12279.972375702391</v>
      </c>
      <c r="E134" s="518">
        <v>13571.468344398607</v>
      </c>
      <c r="F134" s="518">
        <v>14998.792129813593</v>
      </c>
      <c r="G134" s="518">
        <v>16576.22886813189</v>
      </c>
      <c r="H134" s="518">
        <v>18319.566076425377</v>
      </c>
      <c r="I134" s="518">
        <v>18783.328099605325</v>
      </c>
      <c r="J134" s="518">
        <v>19258.830314296723</v>
      </c>
      <c r="K134" s="518">
        <v>19746.369924862669</v>
      </c>
      <c r="L134" s="518">
        <v>20246.251659430527</v>
      </c>
      <c r="M134" s="518">
        <v>20758.787960356931</v>
      </c>
      <c r="N134" s="518">
        <v>21284.299179514423</v>
      </c>
      <c r="O134" s="518">
        <v>21823.113778521834</v>
      </c>
      <c r="P134" s="518">
        <v>22375.568534043436</v>
      </c>
      <c r="Q134" s="518">
        <v>22942.008748285371</v>
      </c>
      <c r="R134" s="518">
        <v>23522.788464820711</v>
      </c>
      <c r="T134" s="517"/>
      <c r="U134" s="517"/>
      <c r="V134" s="517"/>
      <c r="W134" s="517"/>
      <c r="X134" s="517"/>
      <c r="Y134" s="517"/>
      <c r="Z134" s="517"/>
      <c r="AA134" s="517"/>
      <c r="AB134" s="517"/>
      <c r="AC134" s="517"/>
      <c r="AD134" s="517"/>
      <c r="AE134" s="517"/>
      <c r="AF134" s="517"/>
      <c r="AG134" s="517"/>
      <c r="AH134" s="517"/>
      <c r="AI134" s="517"/>
      <c r="AJ134" s="517"/>
      <c r="AK134" s="517"/>
      <c r="AL134" s="517"/>
      <c r="AM134" s="517"/>
      <c r="AN134" s="517"/>
      <c r="AO134" s="517"/>
      <c r="AP134" s="517"/>
      <c r="AQ134" s="517"/>
      <c r="AR134" s="517"/>
      <c r="AS134" s="517"/>
      <c r="AT134" s="517"/>
      <c r="AU134" s="517"/>
      <c r="AV134" s="517"/>
      <c r="AW134" s="517"/>
      <c r="AX134" s="517"/>
    </row>
    <row r="135" spans="1:50">
      <c r="A135" s="507" t="s">
        <v>815</v>
      </c>
      <c r="B135" s="518">
        <v>8177.797445014663</v>
      </c>
      <c r="C135" s="518">
        <v>9037.8639101435383</v>
      </c>
      <c r="D135" s="518">
        <v>9988.3843550161</v>
      </c>
      <c r="E135" s="518">
        <v>11038.871907725583</v>
      </c>
      <c r="F135" s="518">
        <v>12199.840200780558</v>
      </c>
      <c r="G135" s="518">
        <v>13482.908595072848</v>
      </c>
      <c r="H135" s="518">
        <v>14900.918470346696</v>
      </c>
      <c r="I135" s="518">
        <v>15278.137017348212</v>
      </c>
      <c r="J135" s="518">
        <v>15664.904897331118</v>
      </c>
      <c r="K135" s="518">
        <v>16061.463852810772</v>
      </c>
      <c r="L135" s="518">
        <v>16468.061746043433</v>
      </c>
      <c r="M135" s="518">
        <v>16884.952713948256</v>
      </c>
      <c r="N135" s="518">
        <v>17312.397326951137</v>
      </c>
      <c r="O135" s="518">
        <v>17750.662751849712</v>
      </c>
      <c r="P135" s="518">
        <v>18200.022918801278</v>
      </c>
      <c r="Q135" s="518">
        <v>18660.758692538097</v>
      </c>
      <c r="R135" s="518">
        <v>19133.158047916982</v>
      </c>
      <c r="T135" s="517"/>
      <c r="U135" s="517"/>
      <c r="V135" s="517"/>
      <c r="W135" s="517"/>
      <c r="X135" s="517"/>
      <c r="Y135" s="517"/>
      <c r="Z135" s="517"/>
      <c r="AA135" s="517"/>
      <c r="AB135" s="517"/>
      <c r="AC135" s="517"/>
      <c r="AD135" s="517"/>
      <c r="AE135" s="517"/>
      <c r="AF135" s="517"/>
      <c r="AG135" s="517"/>
      <c r="AH135" s="517"/>
      <c r="AI135" s="517"/>
      <c r="AJ135" s="517"/>
      <c r="AK135" s="517"/>
      <c r="AL135" s="517"/>
      <c r="AM135" s="517"/>
      <c r="AN135" s="517"/>
      <c r="AO135" s="517"/>
      <c r="AP135" s="517"/>
      <c r="AQ135" s="517"/>
      <c r="AR135" s="517"/>
      <c r="AS135" s="517"/>
      <c r="AT135" s="517"/>
      <c r="AU135" s="517"/>
      <c r="AV135" s="517"/>
      <c r="AW135" s="517"/>
      <c r="AX135" s="517"/>
    </row>
    <row r="136" spans="1:50">
      <c r="A136" s="507" t="s">
        <v>817</v>
      </c>
      <c r="B136" s="518">
        <v>5468.0497161286039</v>
      </c>
      <c r="C136" s="518">
        <v>6043.1295248571359</v>
      </c>
      <c r="D136" s="518">
        <v>6678.6910050364122</v>
      </c>
      <c r="E136" s="518">
        <v>7381.0950695796628</v>
      </c>
      <c r="F136" s="518">
        <v>8157.3716144509926</v>
      </c>
      <c r="G136" s="518">
        <v>9015.2898762270324</v>
      </c>
      <c r="H136" s="518">
        <v>9963.436189227923</v>
      </c>
      <c r="I136" s="518">
        <v>10215.661777195684</v>
      </c>
      <c r="J136" s="518">
        <v>10474.272486322194</v>
      </c>
      <c r="K136" s="518">
        <v>10739.429956719143</v>
      </c>
      <c r="L136" s="518">
        <v>11011.299920437155</v>
      </c>
      <c r="M136" s="518">
        <v>11290.052305053659</v>
      </c>
      <c r="N136" s="518">
        <v>11575.861339883195</v>
      </c>
      <c r="O136" s="518">
        <v>11868.905664876416</v>
      </c>
      <c r="P136" s="518">
        <v>12169.368442275838</v>
      </c>
      <c r="Q136" s="518">
        <v>12477.43747109823</v>
      </c>
      <c r="R136" s="518">
        <v>12793.305304515108</v>
      </c>
      <c r="T136" s="517"/>
      <c r="U136" s="517"/>
      <c r="V136" s="517"/>
      <c r="W136" s="517"/>
      <c r="X136" s="517"/>
      <c r="Y136" s="517"/>
      <c r="Z136" s="517"/>
      <c r="AA136" s="517"/>
      <c r="AB136" s="517"/>
      <c r="AC136" s="517"/>
      <c r="AD136" s="517"/>
      <c r="AE136" s="517"/>
      <c r="AF136" s="517"/>
      <c r="AG136" s="517"/>
      <c r="AH136" s="517"/>
      <c r="AI136" s="517"/>
      <c r="AJ136" s="517"/>
      <c r="AK136" s="517"/>
      <c r="AL136" s="517"/>
      <c r="AM136" s="517"/>
      <c r="AN136" s="517"/>
      <c r="AO136" s="517"/>
      <c r="AP136" s="517"/>
      <c r="AQ136" s="517"/>
      <c r="AR136" s="517"/>
      <c r="AS136" s="517"/>
      <c r="AT136" s="517"/>
      <c r="AU136" s="517"/>
      <c r="AV136" s="517"/>
      <c r="AW136" s="517"/>
      <c r="AX136" s="517"/>
    </row>
    <row r="137" spans="1:50">
      <c r="A137" s="507" t="s">
        <v>819</v>
      </c>
      <c r="B137" s="518">
        <v>3520.5924614906321</v>
      </c>
      <c r="C137" s="518">
        <v>3890.8564028358069</v>
      </c>
      <c r="D137" s="518">
        <v>4300.0613428225597</v>
      </c>
      <c r="E137" s="518">
        <v>4752.3027420288108</v>
      </c>
      <c r="F137" s="518">
        <v>5252.1067843813998</v>
      </c>
      <c r="G137" s="518">
        <v>5804.4756767261288</v>
      </c>
      <c r="H137" s="518">
        <v>6414.9377125951833</v>
      </c>
      <c r="I137" s="518">
        <v>6577.3326339462337</v>
      </c>
      <c r="J137" s="518">
        <v>6743.8386023038429</v>
      </c>
      <c r="K137" s="518">
        <v>6914.5596893184611</v>
      </c>
      <c r="L137" s="518">
        <v>7089.6026012269149</v>
      </c>
      <c r="M137" s="518">
        <v>7269.0767455472778</v>
      </c>
      <c r="N137" s="518">
        <v>7453.09429946213</v>
      </c>
      <c r="O137" s="518">
        <v>7641.7702799329481</v>
      </c>
      <c r="P137" s="518">
        <v>7835.2226155894496</v>
      </c>
      <c r="Q137" s="518">
        <v>8033.5722204388276</v>
      </c>
      <c r="R137" s="518">
        <v>8236.9430694409384</v>
      </c>
      <c r="T137" s="517"/>
      <c r="U137" s="517"/>
      <c r="V137" s="517"/>
      <c r="W137" s="517"/>
      <c r="X137" s="517"/>
      <c r="Y137" s="517"/>
      <c r="Z137" s="517"/>
      <c r="AA137" s="517"/>
      <c r="AB137" s="517"/>
      <c r="AC137" s="517"/>
      <c r="AD137" s="517"/>
      <c r="AE137" s="517"/>
      <c r="AF137" s="517"/>
      <c r="AG137" s="517"/>
      <c r="AH137" s="517"/>
      <c r="AI137" s="517"/>
      <c r="AJ137" s="517"/>
      <c r="AK137" s="517"/>
      <c r="AL137" s="517"/>
      <c r="AM137" s="517"/>
      <c r="AN137" s="517"/>
      <c r="AO137" s="517"/>
      <c r="AP137" s="517"/>
      <c r="AQ137" s="517"/>
      <c r="AR137" s="517"/>
      <c r="AS137" s="517"/>
      <c r="AT137" s="517"/>
      <c r="AU137" s="517"/>
      <c r="AV137" s="517"/>
      <c r="AW137" s="517"/>
      <c r="AX137" s="517"/>
    </row>
    <row r="138" spans="1:50">
      <c r="A138" s="507" t="s">
        <v>821</v>
      </c>
      <c r="B138" s="518">
        <v>1909.0298667368529</v>
      </c>
      <c r="C138" s="518">
        <v>2109.804290455399</v>
      </c>
      <c r="D138" s="518">
        <v>2331.6943446425344</v>
      </c>
      <c r="E138" s="518">
        <v>2576.9207795403845</v>
      </c>
      <c r="F138" s="518">
        <v>2847.9379037328608</v>
      </c>
      <c r="G138" s="518">
        <v>3147.4581476908811</v>
      </c>
      <c r="H138" s="518">
        <v>3478.4792106882087</v>
      </c>
      <c r="I138" s="518">
        <v>3566.5373311485014</v>
      </c>
      <c r="J138" s="518">
        <v>3656.8246535414009</v>
      </c>
      <c r="K138" s="518">
        <v>3749.3976103825034</v>
      </c>
      <c r="L138" s="518">
        <v>3844.3140627833427</v>
      </c>
      <c r="M138" s="518">
        <v>3941.633336616459</v>
      </c>
      <c r="N138" s="518">
        <v>4041.4162595960111</v>
      </c>
      <c r="O138" s="518">
        <v>4143.7251992970714</v>
      </c>
      <c r="P138" s="518">
        <v>4248.6241021373889</v>
      </c>
      <c r="Q138" s="518">
        <v>4356.1785333459911</v>
      </c>
      <c r="R138" s="518">
        <v>4466.4557179435751</v>
      </c>
      <c r="T138" s="517"/>
      <c r="U138" s="517"/>
      <c r="V138" s="517"/>
      <c r="W138" s="517"/>
      <c r="X138" s="517"/>
      <c r="Y138" s="517"/>
      <c r="Z138" s="517"/>
      <c r="AA138" s="517"/>
      <c r="AB138" s="517"/>
      <c r="AC138" s="517"/>
      <c r="AD138" s="517"/>
      <c r="AE138" s="517"/>
      <c r="AF138" s="517"/>
      <c r="AG138" s="517"/>
      <c r="AH138" s="517"/>
      <c r="AI138" s="517"/>
      <c r="AJ138" s="517"/>
      <c r="AK138" s="517"/>
      <c r="AL138" s="517"/>
      <c r="AM138" s="517"/>
      <c r="AN138" s="517"/>
      <c r="AO138" s="517"/>
      <c r="AP138" s="517"/>
      <c r="AQ138" s="517"/>
      <c r="AR138" s="517"/>
      <c r="AS138" s="517"/>
      <c r="AT138" s="517"/>
      <c r="AU138" s="517"/>
      <c r="AV138" s="517"/>
      <c r="AW138" s="517"/>
      <c r="AX138" s="517"/>
    </row>
    <row r="139" spans="1:50">
      <c r="A139" s="507" t="s">
        <v>823</v>
      </c>
      <c r="B139" s="518">
        <v>954.85396855048657</v>
      </c>
      <c r="C139" s="518">
        <v>1055.2768370511169</v>
      </c>
      <c r="D139" s="518">
        <v>1166.2612708277481</v>
      </c>
      <c r="E139" s="518">
        <v>1288.9180393967745</v>
      </c>
      <c r="F139" s="518">
        <v>1424.4747329243969</v>
      </c>
      <c r="G139" s="518">
        <v>1574.2880483616191</v>
      </c>
      <c r="H139" s="518">
        <v>1739.8573677233301</v>
      </c>
      <c r="I139" s="518">
        <v>1783.9020666825622</v>
      </c>
      <c r="J139" s="518">
        <v>1829.0617625044085</v>
      </c>
      <c r="K139" s="518">
        <v>1875.3646814688318</v>
      </c>
      <c r="L139" s="518">
        <v>1922.8397644074728</v>
      </c>
      <c r="M139" s="518">
        <v>1971.5166847926121</v>
      </c>
      <c r="N139" s="518">
        <v>2021.4258672840594</v>
      </c>
      <c r="O139" s="518">
        <v>2072.5985067455535</v>
      </c>
      <c r="P139" s="518">
        <v>2125.0665877425686</v>
      </c>
      <c r="Q139" s="518">
        <v>2178.8629045337088</v>
      </c>
      <c r="R139" s="518">
        <v>2234.0210815681867</v>
      </c>
      <c r="T139" s="517"/>
      <c r="U139" s="517"/>
      <c r="V139" s="517"/>
      <c r="W139" s="517"/>
      <c r="X139" s="517"/>
      <c r="Y139" s="517"/>
      <c r="Z139" s="517"/>
      <c r="AA139" s="517"/>
      <c r="AB139" s="517"/>
      <c r="AC139" s="517"/>
      <c r="AD139" s="517"/>
      <c r="AE139" s="517"/>
      <c r="AF139" s="517"/>
      <c r="AG139" s="517"/>
      <c r="AH139" s="517"/>
      <c r="AI139" s="517"/>
      <c r="AJ139" s="517"/>
      <c r="AK139" s="517"/>
      <c r="AL139" s="517"/>
      <c r="AM139" s="517"/>
      <c r="AN139" s="517"/>
      <c r="AO139" s="517"/>
      <c r="AP139" s="517"/>
      <c r="AQ139" s="517"/>
      <c r="AR139" s="517"/>
      <c r="AS139" s="517"/>
      <c r="AT139" s="517"/>
      <c r="AU139" s="517"/>
      <c r="AV139" s="517"/>
      <c r="AW139" s="517"/>
      <c r="AX139" s="517"/>
    </row>
    <row r="140" spans="1:50">
      <c r="A140" s="507" t="s">
        <v>825</v>
      </c>
      <c r="B140" s="518">
        <v>348.66243635965151</v>
      </c>
      <c r="C140" s="518">
        <v>385.33158489008821</v>
      </c>
      <c r="D140" s="518">
        <v>425.85726143652329</v>
      </c>
      <c r="E140" s="518">
        <v>470.64506059098352</v>
      </c>
      <c r="F140" s="518">
        <v>520.14323370110594</v>
      </c>
      <c r="G140" s="518">
        <v>574.84717512028737</v>
      </c>
      <c r="H140" s="518">
        <v>635.30438028088065</v>
      </c>
      <c r="I140" s="518">
        <v>651.38718723738873</v>
      </c>
      <c r="J140" s="518">
        <v>667.87713239037203</v>
      </c>
      <c r="K140" s="518">
        <v>684.78452249234419</v>
      </c>
      <c r="L140" s="518">
        <v>702.11992521250113</v>
      </c>
      <c r="M140" s="518">
        <v>719.8941757418587</v>
      </c>
      <c r="N140" s="518">
        <v>738.11838356559838</v>
      </c>
      <c r="O140" s="518">
        <v>756.80393940685803</v>
      </c>
      <c r="P140" s="518">
        <v>775.96252234630492</v>
      </c>
      <c r="Q140" s="518">
        <v>795.60610712194159</v>
      </c>
      <c r="R140" s="518">
        <v>815.74697161370545</v>
      </c>
      <c r="T140" s="517"/>
      <c r="U140" s="517"/>
      <c r="V140" s="517"/>
      <c r="W140" s="517"/>
      <c r="X140" s="517"/>
      <c r="Y140" s="517"/>
      <c r="Z140" s="517"/>
      <c r="AA140" s="517"/>
      <c r="AB140" s="517"/>
      <c r="AC140" s="517"/>
      <c r="AD140" s="517"/>
      <c r="AE140" s="517"/>
      <c r="AF140" s="517"/>
      <c r="AG140" s="517"/>
      <c r="AH140" s="517"/>
      <c r="AI140" s="517"/>
      <c r="AJ140" s="517"/>
      <c r="AK140" s="517"/>
      <c r="AL140" s="517"/>
      <c r="AM140" s="517"/>
      <c r="AN140" s="517"/>
      <c r="AO140" s="517"/>
      <c r="AP140" s="517"/>
      <c r="AQ140" s="517"/>
      <c r="AR140" s="517"/>
      <c r="AS140" s="517"/>
      <c r="AT140" s="517"/>
      <c r="AU140" s="517"/>
      <c r="AV140" s="517"/>
      <c r="AW140" s="517"/>
      <c r="AX140" s="517"/>
    </row>
    <row r="141" spans="1:50">
      <c r="A141" s="507" t="s">
        <v>827</v>
      </c>
      <c r="B141" s="518">
        <v>104.99214769354538</v>
      </c>
      <c r="C141" s="518">
        <v>116.03426825720953</v>
      </c>
      <c r="D141" s="518">
        <v>128.23769877805626</v>
      </c>
      <c r="E141" s="518">
        <v>141.72457529045283</v>
      </c>
      <c r="F141" s="518">
        <v>156.62987898763097</v>
      </c>
      <c r="G141" s="518">
        <v>173.10278715883771</v>
      </c>
      <c r="H141" s="518">
        <v>191.30816620578616</v>
      </c>
      <c r="I141" s="518">
        <v>196.15115549059306</v>
      </c>
      <c r="J141" s="518">
        <v>201.11674563284345</v>
      </c>
      <c r="K141" s="518">
        <v>206.20804028801979</v>
      </c>
      <c r="L141" s="518">
        <v>211.42822168101725</v>
      </c>
      <c r="M141" s="518">
        <v>216.78055259513786</v>
      </c>
      <c r="N141" s="518">
        <v>222.26837841143606</v>
      </c>
      <c r="O141" s="518">
        <v>227.89512919969096</v>
      </c>
      <c r="P141" s="518">
        <v>233.66432186231143</v>
      </c>
      <c r="Q141" s="518">
        <v>239.57956233251471</v>
      </c>
      <c r="R141" s="518">
        <v>245.64454782815227</v>
      </c>
      <c r="T141" s="517"/>
      <c r="U141" s="517"/>
      <c r="V141" s="517"/>
      <c r="W141" s="517"/>
      <c r="X141" s="517"/>
      <c r="Y141" s="517"/>
      <c r="Z141" s="517"/>
      <c r="AA141" s="517"/>
      <c r="AB141" s="517"/>
      <c r="AC141" s="517"/>
      <c r="AD141" s="517"/>
      <c r="AE141" s="517"/>
      <c r="AF141" s="517"/>
      <c r="AG141" s="517"/>
      <c r="AH141" s="517"/>
      <c r="AI141" s="517"/>
      <c r="AJ141" s="517"/>
      <c r="AK141" s="517"/>
      <c r="AL141" s="517"/>
      <c r="AM141" s="517"/>
      <c r="AN141" s="517"/>
      <c r="AO141" s="517"/>
      <c r="AP141" s="517"/>
      <c r="AQ141" s="517"/>
      <c r="AR141" s="517"/>
      <c r="AS141" s="517"/>
      <c r="AT141" s="517"/>
      <c r="AU141" s="517"/>
      <c r="AV141" s="517"/>
      <c r="AW141" s="517"/>
      <c r="AX141" s="517"/>
    </row>
    <row r="142" spans="1:50">
      <c r="A142" s="507" t="s">
        <v>829</v>
      </c>
      <c r="B142" s="518">
        <v>35.740597565682357</v>
      </c>
      <c r="C142" s="518">
        <v>39.499469024237428</v>
      </c>
      <c r="D142" s="518">
        <v>43.653664445017085</v>
      </c>
      <c r="E142" s="518">
        <v>48.244760412065816</v>
      </c>
      <c r="F142" s="518">
        <v>53.318706156942419</v>
      </c>
      <c r="G142" s="518">
        <v>58.926283434073746</v>
      </c>
      <c r="H142" s="518">
        <v>65.123614761621113</v>
      </c>
      <c r="I142" s="518">
        <v>66.772226918298031</v>
      </c>
      <c r="J142" s="518">
        <v>68.462573890419264</v>
      </c>
      <c r="K142" s="518">
        <v>70.195712199867842</v>
      </c>
      <c r="L142" s="518">
        <v>71.972725114505607</v>
      </c>
      <c r="M142" s="518">
        <v>73.794723325250899</v>
      </c>
      <c r="N142" s="518">
        <v>75.66284564029651</v>
      </c>
      <c r="O142" s="518">
        <v>77.578259696901867</v>
      </c>
      <c r="P142" s="518">
        <v>79.542162691204396</v>
      </c>
      <c r="Q142" s="518">
        <v>81.555782126505946</v>
      </c>
      <c r="R142" s="518">
        <v>83.620376580502523</v>
      </c>
      <c r="T142" s="517"/>
      <c r="U142" s="517"/>
      <c r="V142" s="517"/>
      <c r="W142" s="517"/>
      <c r="X142" s="517"/>
      <c r="Y142" s="517"/>
      <c r="Z142" s="517"/>
      <c r="AA142" s="517"/>
      <c r="AB142" s="517"/>
      <c r="AC142" s="517"/>
      <c r="AD142" s="517"/>
      <c r="AE142" s="517"/>
      <c r="AF142" s="517"/>
      <c r="AG142" s="517"/>
      <c r="AH142" s="517"/>
      <c r="AI142" s="517"/>
      <c r="AJ142" s="517"/>
      <c r="AK142" s="517"/>
      <c r="AL142" s="517"/>
      <c r="AM142" s="517"/>
      <c r="AN142" s="517"/>
      <c r="AO142" s="517"/>
      <c r="AP142" s="517"/>
      <c r="AQ142" s="517"/>
      <c r="AR142" s="517"/>
      <c r="AS142" s="517"/>
      <c r="AT142" s="517"/>
      <c r="AU142" s="517"/>
      <c r="AV142" s="517"/>
      <c r="AW142" s="517"/>
      <c r="AX142" s="517"/>
    </row>
    <row r="143" spans="1:50">
      <c r="A143" s="507" t="s">
        <v>831</v>
      </c>
      <c r="B143" s="518">
        <v>14.361836812363142</v>
      </c>
      <c r="C143" s="518">
        <v>15.87228437517201</v>
      </c>
      <c r="D143" s="518">
        <v>17.541587094866607</v>
      </c>
      <c r="E143" s="518">
        <v>19.386451914137663</v>
      </c>
      <c r="F143" s="518">
        <v>21.425342860176919</v>
      </c>
      <c r="G143" s="518">
        <v>23.678665838867246</v>
      </c>
      <c r="H143" s="518">
        <v>26.168972863947396</v>
      </c>
      <c r="I143" s="518">
        <v>26.831443565998732</v>
      </c>
      <c r="J143" s="518">
        <v>27.510684793716401</v>
      </c>
      <c r="K143" s="518">
        <v>28.207121094978902</v>
      </c>
      <c r="L143" s="518">
        <v>28.921187765145447</v>
      </c>
      <c r="M143" s="518">
        <v>29.653331119129746</v>
      </c>
      <c r="N143" s="518">
        <v>30.404008770361308</v>
      </c>
      <c r="O143" s="518">
        <v>31.173689916808794</v>
      </c>
      <c r="P143" s="518">
        <v>31.962855634243986</v>
      </c>
      <c r="Q143" s="518">
        <v>32.771999176929789</v>
      </c>
      <c r="R143" s="518">
        <v>33.601626285920247</v>
      </c>
      <c r="T143" s="517"/>
      <c r="U143" s="517"/>
      <c r="V143" s="517"/>
      <c r="W143" s="517"/>
      <c r="X143" s="517"/>
      <c r="Y143" s="517"/>
      <c r="Z143" s="517"/>
      <c r="AA143" s="517"/>
      <c r="AB143" s="517"/>
      <c r="AC143" s="517"/>
      <c r="AD143" s="517"/>
      <c r="AE143" s="517"/>
      <c r="AF143" s="517"/>
      <c r="AG143" s="517"/>
      <c r="AH143" s="517"/>
      <c r="AI143" s="517"/>
      <c r="AJ143" s="517"/>
      <c r="AK143" s="517"/>
      <c r="AL143" s="517"/>
      <c r="AM143" s="517"/>
      <c r="AN143" s="517"/>
      <c r="AO143" s="517"/>
      <c r="AP143" s="517"/>
      <c r="AQ143" s="517"/>
      <c r="AR143" s="517"/>
      <c r="AS143" s="517"/>
      <c r="AT143" s="517"/>
      <c r="AU143" s="517"/>
      <c r="AV143" s="517"/>
      <c r="AW143" s="517"/>
      <c r="AX143" s="517"/>
    </row>
    <row r="144" spans="1:50">
      <c r="A144" s="507" t="s">
        <v>833</v>
      </c>
      <c r="B144" s="518">
        <v>1.5957596458181269</v>
      </c>
      <c r="C144" s="518">
        <v>1.7635871527968898</v>
      </c>
      <c r="D144" s="518">
        <v>1.9490652327629563</v>
      </c>
      <c r="E144" s="518">
        <v>2.1540502126819625</v>
      </c>
      <c r="F144" s="518">
        <v>2.3805936511307686</v>
      </c>
      <c r="G144" s="518">
        <v>2.6309628709852499</v>
      </c>
      <c r="H144" s="518">
        <v>2.9076636515497105</v>
      </c>
      <c r="I144" s="518">
        <v>2.9812715073331923</v>
      </c>
      <c r="J144" s="518">
        <v>3.0567427548573778</v>
      </c>
      <c r="K144" s="518">
        <v>3.1341245661087669</v>
      </c>
      <c r="L144" s="518">
        <v>3.2134653072383834</v>
      </c>
      <c r="M144" s="518">
        <v>3.2948145687921939</v>
      </c>
      <c r="N144" s="518">
        <v>3.3782231967068124</v>
      </c>
      <c r="O144" s="518">
        <v>3.4637433240898665</v>
      </c>
      <c r="P144" s="518">
        <v>3.5514284038048873</v>
      </c>
      <c r="Q144" s="518">
        <v>3.641333241881088</v>
      </c>
      <c r="R144" s="518">
        <v>3.7335140317689168</v>
      </c>
      <c r="T144" s="517"/>
      <c r="U144" s="517"/>
      <c r="V144" s="517"/>
      <c r="W144" s="517"/>
      <c r="X144" s="517"/>
      <c r="Y144" s="517"/>
      <c r="Z144" s="517"/>
      <c r="AA144" s="517"/>
      <c r="AB144" s="517"/>
      <c r="AC144" s="517"/>
      <c r="AD144" s="517"/>
      <c r="AE144" s="517"/>
      <c r="AF144" s="517"/>
      <c r="AG144" s="517"/>
      <c r="AH144" s="517"/>
      <c r="AI144" s="517"/>
      <c r="AJ144" s="517"/>
      <c r="AK144" s="517"/>
      <c r="AL144" s="517"/>
      <c r="AM144" s="517"/>
      <c r="AN144" s="517"/>
      <c r="AO144" s="517"/>
      <c r="AP144" s="517"/>
      <c r="AQ144" s="517"/>
      <c r="AR144" s="517"/>
      <c r="AS144" s="517"/>
      <c r="AT144" s="517"/>
      <c r="AU144" s="517"/>
      <c r="AV144" s="517"/>
      <c r="AW144" s="517"/>
      <c r="AX144" s="517"/>
    </row>
    <row r="145" spans="1:50">
      <c r="A145" s="521" t="s">
        <v>835</v>
      </c>
      <c r="B145" s="540">
        <v>2.7105821475689744</v>
      </c>
      <c r="C145" s="540">
        <v>2.9956565605482641</v>
      </c>
      <c r="D145" s="540">
        <v>3.3107125112604625</v>
      </c>
      <c r="E145" s="540">
        <v>3.6589031855542586</v>
      </c>
      <c r="F145" s="540">
        <v>4.0437133927289119</v>
      </c>
      <c r="G145" s="540">
        <v>4.4689944426770039</v>
      </c>
      <c r="H145" s="540">
        <v>4.9390026910883122</v>
      </c>
      <c r="I145" s="540">
        <v>5.0640341394836916</v>
      </c>
      <c r="J145" s="540">
        <v>5.1922307740645426</v>
      </c>
      <c r="K145" s="540">
        <v>5.3236727219006355</v>
      </c>
      <c r="L145" s="540">
        <v>5.4584421384881647</v>
      </c>
      <c r="M145" s="540">
        <v>5.5966232590996139</v>
      </c>
      <c r="N145" s="540">
        <v>5.7383024514335421</v>
      </c>
      <c r="O145" s="540">
        <v>5.8835682695972071</v>
      </c>
      <c r="P145" s="540">
        <v>6.032511509455766</v>
      </c>
      <c r="Q145" s="540">
        <v>6.1852252653826429</v>
      </c>
      <c r="R145" s="540">
        <v>6.3418049884465475</v>
      </c>
      <c r="T145" s="517"/>
      <c r="U145" s="517"/>
      <c r="V145" s="517"/>
      <c r="W145" s="517"/>
      <c r="X145" s="517"/>
      <c r="Y145" s="517"/>
      <c r="Z145" s="517"/>
      <c r="AA145" s="517"/>
      <c r="AB145" s="517"/>
      <c r="AC145" s="517"/>
      <c r="AD145" s="517"/>
      <c r="AE145" s="517"/>
      <c r="AF145" s="517"/>
      <c r="AG145" s="517"/>
      <c r="AH145" s="517"/>
      <c r="AI145" s="517"/>
      <c r="AJ145" s="517"/>
      <c r="AK145" s="517"/>
      <c r="AL145" s="517"/>
      <c r="AM145" s="517"/>
      <c r="AN145" s="517"/>
      <c r="AO145" s="517"/>
      <c r="AP145" s="517"/>
      <c r="AQ145" s="517"/>
      <c r="AR145" s="517"/>
      <c r="AS145" s="517"/>
      <c r="AT145" s="517"/>
      <c r="AU145" s="517"/>
      <c r="AV145" s="517"/>
      <c r="AW145" s="517"/>
      <c r="AX145" s="517"/>
    </row>
    <row r="146" spans="1:50">
      <c r="A146" s="507"/>
      <c r="B146" s="518"/>
      <c r="C146" s="518"/>
      <c r="D146" s="518"/>
      <c r="E146" s="518"/>
      <c r="F146" s="518"/>
      <c r="G146" s="518"/>
      <c r="H146" s="518"/>
      <c r="I146" s="518"/>
      <c r="J146" s="518"/>
      <c r="K146" s="518"/>
      <c r="L146" s="518"/>
      <c r="M146" s="518"/>
      <c r="N146" s="518"/>
      <c r="O146" s="518"/>
      <c r="P146" s="518"/>
      <c r="Q146" s="518"/>
      <c r="R146" s="518"/>
      <c r="T146" s="517"/>
      <c r="U146" s="517"/>
      <c r="V146" s="517"/>
      <c r="W146" s="517"/>
      <c r="X146" s="517"/>
      <c r="Y146" s="517"/>
      <c r="Z146" s="517"/>
      <c r="AA146" s="517"/>
      <c r="AB146" s="517"/>
      <c r="AC146" s="517"/>
      <c r="AD146" s="517"/>
      <c r="AE146" s="517"/>
      <c r="AF146" s="517"/>
      <c r="AG146" s="517"/>
      <c r="AH146" s="517"/>
      <c r="AI146" s="517"/>
      <c r="AJ146" s="517"/>
      <c r="AK146" s="517"/>
      <c r="AL146" s="517"/>
      <c r="AM146" s="517"/>
      <c r="AN146" s="517"/>
      <c r="AO146" s="517"/>
      <c r="AP146" s="517"/>
      <c r="AQ146" s="517"/>
      <c r="AR146" s="517"/>
      <c r="AS146" s="517"/>
      <c r="AT146" s="517"/>
      <c r="AU146" s="517"/>
      <c r="AV146" s="517"/>
      <c r="AW146" s="517"/>
      <c r="AX146" s="517"/>
    </row>
    <row r="147" spans="1:50">
      <c r="A147" s="536"/>
      <c r="B147" s="518"/>
      <c r="C147" s="518"/>
      <c r="D147" s="518"/>
      <c r="E147" s="518"/>
      <c r="F147" s="518"/>
      <c r="G147" s="518"/>
      <c r="H147" s="518"/>
      <c r="I147" s="518"/>
      <c r="J147" s="518"/>
      <c r="K147" s="518"/>
      <c r="L147" s="518"/>
      <c r="M147" s="518"/>
      <c r="N147" s="518"/>
      <c r="O147" s="518"/>
      <c r="P147" s="518"/>
      <c r="Q147" s="518"/>
      <c r="R147" s="518"/>
      <c r="T147" s="517"/>
      <c r="U147" s="517"/>
      <c r="V147" s="517"/>
      <c r="W147" s="517"/>
      <c r="X147" s="517"/>
      <c r="Y147" s="517"/>
      <c r="Z147" s="517"/>
      <c r="AA147" s="517"/>
      <c r="AB147" s="517"/>
      <c r="AC147" s="517"/>
      <c r="AD147" s="517"/>
      <c r="AE147" s="517"/>
      <c r="AF147" s="517"/>
      <c r="AG147" s="517"/>
      <c r="AH147" s="517"/>
      <c r="AI147" s="517"/>
      <c r="AJ147" s="517"/>
      <c r="AK147" s="517"/>
      <c r="AL147" s="517"/>
      <c r="AM147" s="517"/>
      <c r="AN147" s="517"/>
      <c r="AO147" s="517"/>
      <c r="AP147" s="517"/>
      <c r="AQ147" s="517"/>
      <c r="AR147" s="517"/>
      <c r="AS147" s="517"/>
      <c r="AT147" s="517"/>
      <c r="AU147" s="517"/>
      <c r="AV147" s="517"/>
      <c r="AW147" s="517"/>
      <c r="AX147" s="517"/>
    </row>
    <row r="148" spans="1:50">
      <c r="A148" s="542" t="s">
        <v>837</v>
      </c>
      <c r="B148" s="551">
        <f>SUM(B149:B165)</f>
        <v>33759.891066928292</v>
      </c>
      <c r="C148" s="551">
        <f t="shared" ref="C148:R148" si="7">SUM(C149:C165)</f>
        <v>37310.449804570992</v>
      </c>
      <c r="D148" s="551">
        <f t="shared" si="7"/>
        <v>41234.424064333114</v>
      </c>
      <c r="E148" s="551">
        <f t="shared" si="7"/>
        <v>45571.086299499584</v>
      </c>
      <c r="F148" s="551">
        <f t="shared" si="7"/>
        <v>50363.839283322544</v>
      </c>
      <c r="G148" s="551">
        <f t="shared" si="7"/>
        <v>55660.65049856394</v>
      </c>
      <c r="H148" s="551">
        <f t="shared" si="7"/>
        <v>61514.532212185673</v>
      </c>
      <c r="I148" s="551">
        <f t="shared" si="7"/>
        <v>63071.780009141017</v>
      </c>
      <c r="J148" s="551">
        <f t="shared" si="7"/>
        <v>64668.449721762678</v>
      </c>
      <c r="K148" s="551">
        <f t="shared" si="7"/>
        <v>66305.539320597061</v>
      </c>
      <c r="L148" s="551">
        <f t="shared" si="7"/>
        <v>67984.072039935243</v>
      </c>
      <c r="M148" s="551">
        <f t="shared" si="7"/>
        <v>69705.097017367691</v>
      </c>
      <c r="N148" s="551">
        <f t="shared" si="7"/>
        <v>71469.689949529333</v>
      </c>
      <c r="O148" s="551">
        <f t="shared" si="7"/>
        <v>73278.953764445236</v>
      </c>
      <c r="P148" s="551">
        <f t="shared" si="7"/>
        <v>75134.019310896198</v>
      </c>
      <c r="Q148" s="551">
        <f t="shared" si="7"/>
        <v>77036.046065236311</v>
      </c>
      <c r="R148" s="551">
        <f t="shared" si="7"/>
        <v>78986.222856103224</v>
      </c>
      <c r="T148" s="517"/>
      <c r="U148" s="517"/>
      <c r="V148" s="517"/>
      <c r="W148" s="517"/>
      <c r="X148" s="517"/>
      <c r="Y148" s="517"/>
      <c r="Z148" s="517"/>
      <c r="AA148" s="517"/>
      <c r="AB148" s="517"/>
      <c r="AC148" s="517"/>
      <c r="AD148" s="517"/>
      <c r="AE148" s="517"/>
      <c r="AF148" s="517"/>
      <c r="AG148" s="517"/>
      <c r="AH148" s="517"/>
      <c r="AI148" s="517"/>
      <c r="AJ148" s="517"/>
      <c r="AK148" s="517"/>
      <c r="AL148" s="517"/>
      <c r="AM148" s="517"/>
      <c r="AN148" s="517"/>
      <c r="AO148" s="517"/>
      <c r="AP148" s="517"/>
      <c r="AQ148" s="517"/>
      <c r="AR148" s="517"/>
      <c r="AS148" s="517"/>
      <c r="AT148" s="517"/>
      <c r="AU148" s="517"/>
      <c r="AV148" s="517"/>
      <c r="AW148" s="517"/>
      <c r="AX148" s="517"/>
    </row>
    <row r="149" spans="1:50">
      <c r="A149" s="518" t="s">
        <v>803</v>
      </c>
      <c r="B149" s="518">
        <v>12.766077166545017</v>
      </c>
      <c r="C149" s="518">
        <v>14.108697222375119</v>
      </c>
      <c r="D149" s="518">
        <v>15.592521862103652</v>
      </c>
      <c r="E149" s="518">
        <v>17.2324017014557</v>
      </c>
      <c r="F149" s="518">
        <v>19.044749209046152</v>
      </c>
      <c r="G149" s="518">
        <v>21.047702967882</v>
      </c>
      <c r="H149" s="518">
        <v>23.261309212397684</v>
      </c>
      <c r="I149" s="518">
        <v>23.850172058665542</v>
      </c>
      <c r="J149" s="518">
        <v>24.453942038859022</v>
      </c>
      <c r="K149" s="518">
        <v>25.072996528870135</v>
      </c>
      <c r="L149" s="518">
        <v>25.707722457907067</v>
      </c>
      <c r="M149" s="518">
        <v>26.358516550337551</v>
      </c>
      <c r="N149" s="518">
        <v>27.025785573654499</v>
      </c>
      <c r="O149" s="518">
        <v>27.709946592718929</v>
      </c>
      <c r="P149" s="518">
        <v>28.411427230439099</v>
      </c>
      <c r="Q149" s="518">
        <v>29.130665935048704</v>
      </c>
      <c r="R149" s="518">
        <v>29.868112254151335</v>
      </c>
      <c r="T149" s="517"/>
      <c r="U149" s="517"/>
      <c r="V149" s="517"/>
      <c r="W149" s="517"/>
      <c r="X149" s="517"/>
      <c r="Y149" s="517"/>
      <c r="Z149" s="517"/>
      <c r="AA149" s="517"/>
      <c r="AB149" s="517"/>
      <c r="AC149" s="517"/>
      <c r="AD149" s="517"/>
      <c r="AE149" s="517"/>
      <c r="AF149" s="517"/>
      <c r="AG149" s="517"/>
      <c r="AH149" s="517"/>
      <c r="AI149" s="517"/>
      <c r="AJ149" s="517"/>
      <c r="AK149" s="517"/>
      <c r="AL149" s="517"/>
      <c r="AM149" s="517"/>
      <c r="AN149" s="517"/>
      <c r="AO149" s="517"/>
      <c r="AP149" s="517"/>
      <c r="AQ149" s="517"/>
      <c r="AR149" s="517"/>
      <c r="AS149" s="517"/>
      <c r="AT149" s="517"/>
      <c r="AU149" s="517"/>
      <c r="AV149" s="517"/>
      <c r="AW149" s="517"/>
      <c r="AX149" s="517"/>
    </row>
    <row r="150" spans="1:50">
      <c r="A150" s="518" t="s">
        <v>805</v>
      </c>
      <c r="B150" s="518">
        <v>1.5957596458181271</v>
      </c>
      <c r="C150" s="518">
        <v>1.76358715279689</v>
      </c>
      <c r="D150" s="518">
        <v>1.9490652327629565</v>
      </c>
      <c r="E150" s="518">
        <v>2.1540502126819625</v>
      </c>
      <c r="F150" s="518">
        <v>2.3805936511307686</v>
      </c>
      <c r="G150" s="518">
        <v>2.6309628709852499</v>
      </c>
      <c r="H150" s="518">
        <v>2.9076636515497105</v>
      </c>
      <c r="I150" s="518">
        <v>2.9812715073331923</v>
      </c>
      <c r="J150" s="518">
        <v>3.0567427548573778</v>
      </c>
      <c r="K150" s="518">
        <v>3.1341245661087669</v>
      </c>
      <c r="L150" s="518">
        <v>3.2134653072383834</v>
      </c>
      <c r="M150" s="518">
        <v>3.2948145687921939</v>
      </c>
      <c r="N150" s="518">
        <v>3.3782231967068124</v>
      </c>
      <c r="O150" s="518">
        <v>3.4637433240898665</v>
      </c>
      <c r="P150" s="518">
        <v>3.5514284038048873</v>
      </c>
      <c r="Q150" s="518">
        <v>3.641333241881088</v>
      </c>
      <c r="R150" s="518">
        <v>3.7335140317689168</v>
      </c>
      <c r="T150" s="517"/>
      <c r="U150" s="517"/>
      <c r="V150" s="517"/>
      <c r="W150" s="517"/>
      <c r="X150" s="517"/>
      <c r="Y150" s="517"/>
      <c r="Z150" s="517"/>
      <c r="AA150" s="517"/>
      <c r="AB150" s="517"/>
      <c r="AC150" s="517"/>
      <c r="AD150" s="517"/>
      <c r="AE150" s="517"/>
      <c r="AF150" s="517"/>
      <c r="AG150" s="517"/>
      <c r="AH150" s="517"/>
      <c r="AI150" s="517"/>
      <c r="AJ150" s="517"/>
      <c r="AK150" s="517"/>
      <c r="AL150" s="517"/>
      <c r="AM150" s="517"/>
      <c r="AN150" s="517"/>
      <c r="AO150" s="517"/>
      <c r="AP150" s="517"/>
      <c r="AQ150" s="517"/>
      <c r="AR150" s="517"/>
      <c r="AS150" s="517"/>
      <c r="AT150" s="517"/>
      <c r="AU150" s="517"/>
      <c r="AV150" s="517"/>
      <c r="AW150" s="517"/>
      <c r="AX150" s="517"/>
    </row>
    <row r="151" spans="1:50">
      <c r="A151" s="518" t="s">
        <v>807</v>
      </c>
      <c r="B151" s="518">
        <v>1.5957596458181271</v>
      </c>
      <c r="C151" s="518">
        <v>1.76358715279689</v>
      </c>
      <c r="D151" s="518">
        <v>1.9490652327629565</v>
      </c>
      <c r="E151" s="518">
        <v>2.1540502126819625</v>
      </c>
      <c r="F151" s="518">
        <v>2.3805936511307686</v>
      </c>
      <c r="G151" s="518">
        <v>2.6309628709852499</v>
      </c>
      <c r="H151" s="518">
        <v>2.9076636515497105</v>
      </c>
      <c r="I151" s="518">
        <v>2.9812715073331923</v>
      </c>
      <c r="J151" s="518">
        <v>3.0567427548573778</v>
      </c>
      <c r="K151" s="518">
        <v>3.1341245661087669</v>
      </c>
      <c r="L151" s="518">
        <v>3.2134653072383834</v>
      </c>
      <c r="M151" s="518">
        <v>3.2948145687921939</v>
      </c>
      <c r="N151" s="518">
        <v>3.3782231967068124</v>
      </c>
      <c r="O151" s="518">
        <v>3.4637433240898665</v>
      </c>
      <c r="P151" s="518">
        <v>3.5514284038048873</v>
      </c>
      <c r="Q151" s="518">
        <v>3.641333241881088</v>
      </c>
      <c r="R151" s="518">
        <v>3.7335140317689168</v>
      </c>
      <c r="T151" s="517"/>
      <c r="U151" s="517"/>
      <c r="V151" s="517"/>
      <c r="W151" s="517"/>
      <c r="X151" s="517"/>
      <c r="Y151" s="517"/>
      <c r="Z151" s="517"/>
      <c r="AA151" s="517"/>
      <c r="AB151" s="517"/>
      <c r="AC151" s="517"/>
      <c r="AD151" s="517"/>
      <c r="AE151" s="517"/>
      <c r="AF151" s="517"/>
      <c r="AG151" s="517"/>
      <c r="AH151" s="517"/>
      <c r="AI151" s="517"/>
      <c r="AJ151" s="517"/>
      <c r="AK151" s="517"/>
      <c r="AL151" s="517"/>
      <c r="AM151" s="517"/>
      <c r="AN151" s="517"/>
      <c r="AO151" s="517"/>
      <c r="AP151" s="517"/>
      <c r="AQ151" s="517"/>
      <c r="AR151" s="517"/>
      <c r="AS151" s="517"/>
      <c r="AT151" s="517"/>
      <c r="AU151" s="517"/>
      <c r="AV151" s="517"/>
      <c r="AW151" s="517"/>
      <c r="AX151" s="517"/>
    </row>
    <row r="152" spans="1:50">
      <c r="A152" s="518" t="s">
        <v>809</v>
      </c>
      <c r="B152" s="518">
        <v>371.81199747562351</v>
      </c>
      <c r="C152" s="518">
        <v>410.91580660167523</v>
      </c>
      <c r="D152" s="518">
        <v>454.13219923376886</v>
      </c>
      <c r="E152" s="518">
        <v>501.89369955489724</v>
      </c>
      <c r="F152" s="518">
        <v>554.67832071346902</v>
      </c>
      <c r="G152" s="518">
        <v>613.01434893956309</v>
      </c>
      <c r="H152" s="518">
        <v>677.48563081108261</v>
      </c>
      <c r="I152" s="518">
        <v>694.63626120863353</v>
      </c>
      <c r="J152" s="518">
        <v>712.22106188176917</v>
      </c>
      <c r="K152" s="518">
        <v>730.25102390334268</v>
      </c>
      <c r="L152" s="518">
        <v>748.7374165865433</v>
      </c>
      <c r="M152" s="518">
        <v>767.69179452858111</v>
      </c>
      <c r="N152" s="518">
        <v>787.12600483268727</v>
      </c>
      <c r="O152" s="518">
        <v>807.05219451293874</v>
      </c>
      <c r="P152" s="518">
        <v>827.48281808653871</v>
      </c>
      <c r="Q152" s="518">
        <v>848.43064535829353</v>
      </c>
      <c r="R152" s="518">
        <v>869.90876940215776</v>
      </c>
      <c r="T152" s="517"/>
      <c r="U152" s="517"/>
      <c r="V152" s="517"/>
      <c r="W152" s="517"/>
      <c r="X152" s="517"/>
      <c r="Y152" s="517"/>
      <c r="Z152" s="517"/>
      <c r="AA152" s="517"/>
      <c r="AB152" s="517"/>
      <c r="AC152" s="517"/>
      <c r="AD152" s="517"/>
      <c r="AE152" s="517"/>
      <c r="AF152" s="517"/>
      <c r="AG152" s="517"/>
      <c r="AH152" s="517"/>
      <c r="AI152" s="517"/>
      <c r="AJ152" s="517"/>
      <c r="AK152" s="517"/>
      <c r="AL152" s="517"/>
      <c r="AM152" s="517"/>
      <c r="AN152" s="517"/>
      <c r="AO152" s="517"/>
      <c r="AP152" s="517"/>
      <c r="AQ152" s="517"/>
      <c r="AR152" s="517"/>
      <c r="AS152" s="517"/>
      <c r="AT152" s="517"/>
      <c r="AU152" s="517"/>
      <c r="AV152" s="517"/>
      <c r="AW152" s="517"/>
      <c r="AX152" s="517"/>
    </row>
    <row r="153" spans="1:50">
      <c r="A153" s="518" t="s">
        <v>811</v>
      </c>
      <c r="B153" s="518">
        <v>4677.1715218929294</v>
      </c>
      <c r="C153" s="518">
        <v>5169.0739448476852</v>
      </c>
      <c r="D153" s="518">
        <v>5712.7101972282253</v>
      </c>
      <c r="E153" s="518">
        <v>6313.521173370832</v>
      </c>
      <c r="F153" s="518">
        <v>6977.5199914642799</v>
      </c>
      <c r="G153" s="518">
        <v>7711.352174857765</v>
      </c>
      <c r="H153" s="518">
        <v>8522.3621626922013</v>
      </c>
      <c r="I153" s="518">
        <v>8738.1067879935854</v>
      </c>
      <c r="J153" s="518">
        <v>8959.3130144869738</v>
      </c>
      <c r="K153" s="518">
        <v>9186.1191032647948</v>
      </c>
      <c r="L153" s="518">
        <v>9418.6668155157022</v>
      </c>
      <c r="M153" s="518">
        <v>9657.1015011299187</v>
      </c>
      <c r="N153" s="518">
        <v>9901.572189547669</v>
      </c>
      <c r="O153" s="518">
        <v>10152.231682907401</v>
      </c>
      <c r="P153" s="518">
        <v>10409.236651552126</v>
      </c>
      <c r="Q153" s="518">
        <v>10672.74773195347</v>
      </c>
      <c r="R153" s="518">
        <v>10942.929627114698</v>
      </c>
      <c r="T153" s="517"/>
      <c r="U153" s="517"/>
      <c r="V153" s="517"/>
      <c r="W153" s="517"/>
      <c r="X153" s="517"/>
      <c r="Y153" s="517"/>
      <c r="Z153" s="517"/>
      <c r="AA153" s="517"/>
      <c r="AB153" s="517"/>
      <c r="AC153" s="517"/>
      <c r="AD153" s="517"/>
      <c r="AE153" s="517"/>
      <c r="AF153" s="517"/>
      <c r="AG153" s="517"/>
      <c r="AH153" s="517"/>
      <c r="AI153" s="517"/>
      <c r="AJ153" s="517"/>
      <c r="AK153" s="517"/>
      <c r="AL153" s="517"/>
      <c r="AM153" s="517"/>
      <c r="AN153" s="517"/>
      <c r="AO153" s="517"/>
      <c r="AP153" s="517"/>
      <c r="AQ153" s="517"/>
      <c r="AR153" s="517"/>
      <c r="AS153" s="517"/>
      <c r="AT153" s="517"/>
      <c r="AU153" s="517"/>
      <c r="AV153" s="517"/>
      <c r="AW153" s="517"/>
      <c r="AX153" s="517"/>
    </row>
    <row r="154" spans="1:50">
      <c r="A154" s="518" t="s">
        <v>813</v>
      </c>
      <c r="B154" s="518">
        <v>9282.5338597240443</v>
      </c>
      <c r="C154" s="518">
        <v>10258.786467819507</v>
      </c>
      <c r="D154" s="518">
        <v>11337.712458982116</v>
      </c>
      <c r="E154" s="518">
        <v>12530.110087170977</v>
      </c>
      <c r="F154" s="518">
        <v>13847.913268627679</v>
      </c>
      <c r="G154" s="518">
        <v>15304.311020521196</v>
      </c>
      <c r="H154" s="518">
        <v>16913.879461064666</v>
      </c>
      <c r="I154" s="518">
        <v>17342.056358157181</v>
      </c>
      <c r="J154" s="518">
        <v>17781.072605005364</v>
      </c>
      <c r="K154" s="518">
        <v>18231.202601054694</v>
      </c>
      <c r="L154" s="518">
        <v>18692.727692205674</v>
      </c>
      <c r="M154" s="518">
        <v>19165.936346664195</v>
      </c>
      <c r="N154" s="518">
        <v>19651.12433524353</v>
      </c>
      <c r="O154" s="518">
        <v>20148.594916230759</v>
      </c>
      <c r="P154" s="518">
        <v>20658.659024933029</v>
      </c>
      <c r="Q154" s="518">
        <v>21181.635468022287</v>
      </c>
      <c r="R154" s="518">
        <v>21717.851122799791</v>
      </c>
      <c r="T154" s="517"/>
      <c r="U154" s="517"/>
      <c r="V154" s="517"/>
      <c r="W154" s="517"/>
      <c r="X154" s="517"/>
      <c r="Y154" s="517"/>
      <c r="Z154" s="517"/>
      <c r="AA154" s="517"/>
      <c r="AB154" s="517"/>
      <c r="AC154" s="517"/>
      <c r="AD154" s="517"/>
      <c r="AE154" s="517"/>
      <c r="AF154" s="517"/>
      <c r="AG154" s="517"/>
      <c r="AH154" s="517"/>
      <c r="AI154" s="517"/>
      <c r="AJ154" s="517"/>
      <c r="AK154" s="517"/>
      <c r="AL154" s="517"/>
      <c r="AM154" s="517"/>
      <c r="AN154" s="517"/>
      <c r="AO154" s="517"/>
      <c r="AP154" s="517"/>
      <c r="AQ154" s="517"/>
      <c r="AR154" s="517"/>
      <c r="AS154" s="517"/>
      <c r="AT154" s="517"/>
      <c r="AU154" s="517"/>
      <c r="AV154" s="517"/>
      <c r="AW154" s="517"/>
      <c r="AX154" s="517"/>
    </row>
    <row r="155" spans="1:50">
      <c r="A155" s="507" t="s">
        <v>815</v>
      </c>
      <c r="B155" s="518">
        <v>7618.1565491357387</v>
      </c>
      <c r="C155" s="518">
        <v>8419.3650674523506</v>
      </c>
      <c r="D155" s="518">
        <v>9304.8374212103554</v>
      </c>
      <c r="E155" s="518">
        <v>10283.435715343687</v>
      </c>
      <c r="F155" s="518">
        <v>11364.954090498286</v>
      </c>
      <c r="G155" s="518">
        <v>12560.216746083583</v>
      </c>
      <c r="H155" s="518">
        <v>13881.186272498315</v>
      </c>
      <c r="I155" s="518">
        <v>14232.590176008658</v>
      </c>
      <c r="J155" s="518">
        <v>14592.889911689121</v>
      </c>
      <c r="K155" s="518">
        <v>14962.310678603253</v>
      </c>
      <c r="L155" s="518">
        <v>15341.083376756043</v>
      </c>
      <c r="M155" s="518">
        <v>15729.444751413936</v>
      </c>
      <c r="N155" s="518">
        <v>16127.637541078324</v>
      </c>
      <c r="O155" s="518">
        <v>16535.910629205024</v>
      </c>
      <c r="P155" s="518">
        <v>16954.519199764538</v>
      </c>
      <c r="Q155" s="518">
        <v>17383.724896740317</v>
      </c>
      <c r="R155" s="518">
        <v>17823.795987664813</v>
      </c>
      <c r="T155" s="517"/>
      <c r="U155" s="517"/>
      <c r="V155" s="517"/>
      <c r="W155" s="517"/>
      <c r="X155" s="517"/>
      <c r="Y155" s="517"/>
      <c r="Z155" s="517"/>
      <c r="AA155" s="517"/>
      <c r="AB155" s="517"/>
      <c r="AC155" s="517"/>
      <c r="AD155" s="517"/>
      <c r="AE155" s="517"/>
      <c r="AF155" s="517"/>
      <c r="AG155" s="517"/>
      <c r="AH155" s="517"/>
      <c r="AI155" s="517"/>
      <c r="AJ155" s="517"/>
      <c r="AK155" s="517"/>
      <c r="AL155" s="517"/>
      <c r="AM155" s="517"/>
      <c r="AN155" s="517"/>
      <c r="AO155" s="517"/>
      <c r="AP155" s="517"/>
      <c r="AQ155" s="517"/>
      <c r="AR155" s="517"/>
      <c r="AS155" s="517"/>
      <c r="AT155" s="517"/>
      <c r="AU155" s="517"/>
      <c r="AV155" s="517"/>
      <c r="AW155" s="517"/>
      <c r="AX155" s="517"/>
    </row>
    <row r="156" spans="1:50">
      <c r="A156" s="507" t="s">
        <v>817</v>
      </c>
      <c r="B156" s="518">
        <v>5155.8994156383678</v>
      </c>
      <c r="C156" s="518">
        <v>5698.1500906867514</v>
      </c>
      <c r="D156" s="518">
        <v>6297.4297670571123</v>
      </c>
      <c r="E156" s="518">
        <v>6959.7362371754198</v>
      </c>
      <c r="F156" s="518">
        <v>7691.6980868035116</v>
      </c>
      <c r="G156" s="518">
        <v>8500.6410361533417</v>
      </c>
      <c r="H156" s="518">
        <v>9394.6612581571117</v>
      </c>
      <c r="I156" s="518">
        <v>9632.4882401935447</v>
      </c>
      <c r="J156" s="518">
        <v>9876.3358409441862</v>
      </c>
      <c r="K156" s="518">
        <v>10126.356473097425</v>
      </c>
      <c r="L156" s="518">
        <v>10382.706407687219</v>
      </c>
      <c r="M156" s="518">
        <v>10645.545871767581</v>
      </c>
      <c r="N156" s="518">
        <v>10915.03914855971</v>
      </c>
      <c r="O156" s="518">
        <v>11191.35468013436</v>
      </c>
      <c r="P156" s="518">
        <v>11474.665172693591</v>
      </c>
      <c r="Q156" s="518">
        <v>11765.1477045178</v>
      </c>
      <c r="R156" s="518">
        <v>12062.983836645371</v>
      </c>
      <c r="T156" s="517"/>
      <c r="U156" s="517"/>
      <c r="V156" s="517"/>
      <c r="W156" s="517"/>
      <c r="X156" s="517"/>
      <c r="Y156" s="517"/>
      <c r="Z156" s="517"/>
      <c r="AA156" s="517"/>
      <c r="AB156" s="517"/>
      <c r="AC156" s="517"/>
      <c r="AD156" s="517"/>
      <c r="AE156" s="517"/>
      <c r="AF156" s="517"/>
      <c r="AG156" s="517"/>
      <c r="AH156" s="517"/>
      <c r="AI156" s="517"/>
      <c r="AJ156" s="517"/>
      <c r="AK156" s="517"/>
      <c r="AL156" s="517"/>
      <c r="AM156" s="517"/>
      <c r="AN156" s="517"/>
      <c r="AO156" s="517"/>
      <c r="AP156" s="517"/>
      <c r="AQ156" s="517"/>
      <c r="AR156" s="517"/>
      <c r="AS156" s="517"/>
      <c r="AT156" s="517"/>
      <c r="AU156" s="517"/>
      <c r="AV156" s="517"/>
      <c r="AW156" s="517"/>
      <c r="AX156" s="517"/>
    </row>
    <row r="157" spans="1:50">
      <c r="A157" s="507" t="s">
        <v>819</v>
      </c>
      <c r="B157" s="518">
        <v>3373.4358912595208</v>
      </c>
      <c r="C157" s="518">
        <v>3728.2232410126248</v>
      </c>
      <c r="D157" s="518">
        <v>4120.3239020608898</v>
      </c>
      <c r="E157" s="518">
        <v>4553.6621496096686</v>
      </c>
      <c r="F157" s="518">
        <v>5032.5749784904438</v>
      </c>
      <c r="G157" s="518">
        <v>5561.8555092628176</v>
      </c>
      <c r="H157" s="518">
        <v>6146.800959376088</v>
      </c>
      <c r="I157" s="518">
        <v>6302.4079665023683</v>
      </c>
      <c r="J157" s="518">
        <v>6461.9541837684965</v>
      </c>
      <c r="K157" s="518">
        <v>6625.5393327539332</v>
      </c>
      <c r="L157" s="518">
        <v>6793.2656595019444</v>
      </c>
      <c r="M157" s="518">
        <v>6965.2379984266991</v>
      </c>
      <c r="N157" s="518">
        <v>7141.5638378382018</v>
      </c>
      <c r="O157" s="518">
        <v>7322.3533871259788</v>
      </c>
      <c r="P157" s="518">
        <v>7507.7196456435331</v>
      </c>
      <c r="Q157" s="518">
        <v>7697.7784733366216</v>
      </c>
      <c r="R157" s="518">
        <v>7892.6486631594926</v>
      </c>
      <c r="T157" s="517"/>
      <c r="U157" s="517"/>
      <c r="V157" s="517"/>
      <c r="W157" s="517"/>
      <c r="X157" s="517"/>
      <c r="Y157" s="517"/>
      <c r="Z157" s="517"/>
      <c r="AA157" s="517"/>
      <c r="AB157" s="517"/>
      <c r="AC157" s="517"/>
      <c r="AD157" s="517"/>
      <c r="AE157" s="517"/>
      <c r="AF157" s="517"/>
      <c r="AG157" s="517"/>
      <c r="AH157" s="517"/>
      <c r="AI157" s="517"/>
      <c r="AJ157" s="517"/>
      <c r="AK157" s="517"/>
      <c r="AL157" s="517"/>
      <c r="AM157" s="517"/>
      <c r="AN157" s="517"/>
      <c r="AO157" s="517"/>
      <c r="AP157" s="517"/>
      <c r="AQ157" s="517"/>
      <c r="AR157" s="517"/>
      <c r="AS157" s="517"/>
      <c r="AT157" s="517"/>
      <c r="AU157" s="517"/>
      <c r="AV157" s="517"/>
      <c r="AW157" s="517"/>
      <c r="AX157" s="517"/>
    </row>
    <row r="158" spans="1:50">
      <c r="A158" s="507" t="s">
        <v>821</v>
      </c>
      <c r="B158" s="518">
        <v>1839.9108716283001</v>
      </c>
      <c r="C158" s="518">
        <v>2033.4159871748141</v>
      </c>
      <c r="D158" s="518">
        <v>2247.2722133756884</v>
      </c>
      <c r="E158" s="518">
        <v>2483.6198952223021</v>
      </c>
      <c r="F158" s="518">
        <v>2744.8244797537754</v>
      </c>
      <c r="G158" s="518">
        <v>3033.5001902459926</v>
      </c>
      <c r="H158" s="518">
        <v>3352.5361902368163</v>
      </c>
      <c r="I158" s="518">
        <v>3437.4060479551699</v>
      </c>
      <c r="J158" s="518">
        <v>3524.4243963505551</v>
      </c>
      <c r="K158" s="518">
        <v>3613.6456247234082</v>
      </c>
      <c r="L158" s="518">
        <v>3705.1254992458557</v>
      </c>
      <c r="M158" s="518">
        <v>3798.9211978173994</v>
      </c>
      <c r="N158" s="518">
        <v>3895.091345802954</v>
      </c>
      <c r="O158" s="518">
        <v>3993.6960526756166</v>
      </c>
      <c r="P158" s="518">
        <v>4094.7969495870343</v>
      </c>
      <c r="Q158" s="518">
        <v>4198.4572278888945</v>
      </c>
      <c r="R158" s="518">
        <v>4304.7416786295607</v>
      </c>
      <c r="T158" s="517"/>
      <c r="U158" s="517"/>
      <c r="V158" s="517"/>
      <c r="W158" s="517"/>
      <c r="X158" s="517"/>
      <c r="Y158" s="517"/>
      <c r="Z158" s="517"/>
      <c r="AA158" s="517"/>
      <c r="AB158" s="517"/>
      <c r="AC158" s="517"/>
      <c r="AD158" s="517"/>
      <c r="AE158" s="517"/>
      <c r="AF158" s="517"/>
      <c r="AG158" s="517"/>
      <c r="AH158" s="517"/>
      <c r="AI158" s="517"/>
      <c r="AJ158" s="517"/>
      <c r="AK158" s="517"/>
      <c r="AL158" s="517"/>
      <c r="AM158" s="517"/>
      <c r="AN158" s="517"/>
      <c r="AO158" s="517"/>
      <c r="AP158" s="517"/>
      <c r="AQ158" s="517"/>
      <c r="AR158" s="517"/>
      <c r="AS158" s="517"/>
      <c r="AT158" s="517"/>
      <c r="AU158" s="517"/>
      <c r="AV158" s="517"/>
      <c r="AW158" s="517"/>
      <c r="AX158" s="517"/>
    </row>
    <row r="159" spans="1:50">
      <c r="A159" s="507" t="s">
        <v>823</v>
      </c>
      <c r="B159" s="518">
        <v>930.32787351196805</v>
      </c>
      <c r="C159" s="518">
        <v>1028.1713100805866</v>
      </c>
      <c r="D159" s="518">
        <v>1136.3050307008032</v>
      </c>
      <c r="E159" s="518">
        <v>1255.8112739935839</v>
      </c>
      <c r="F159" s="518">
        <v>1387.8860986092377</v>
      </c>
      <c r="G159" s="518">
        <v>1533.8513537844003</v>
      </c>
      <c r="H159" s="518">
        <v>1695.1679088534809</v>
      </c>
      <c r="I159" s="518">
        <v>1738.0812887752511</v>
      </c>
      <c r="J159" s="518">
        <v>1782.0810260818507</v>
      </c>
      <c r="K159" s="518">
        <v>1827.1946220414109</v>
      </c>
      <c r="L159" s="518">
        <v>1873.4502741199776</v>
      </c>
      <c r="M159" s="518">
        <v>1920.8768936058489</v>
      </c>
      <c r="N159" s="518">
        <v>1969.5041236800716</v>
      </c>
      <c r="O159" s="518">
        <v>2019.362357944392</v>
      </c>
      <c r="P159" s="518">
        <v>2070.4827594182493</v>
      </c>
      <c r="Q159" s="518">
        <v>2122.8972800166739</v>
      </c>
      <c r="R159" s="518">
        <v>2176.6386805212787</v>
      </c>
      <c r="T159" s="517"/>
      <c r="U159" s="517"/>
      <c r="V159" s="517"/>
      <c r="W159" s="517"/>
      <c r="X159" s="517"/>
      <c r="Y159" s="517"/>
      <c r="Z159" s="517"/>
      <c r="AA159" s="517"/>
      <c r="AB159" s="517"/>
      <c r="AC159" s="517"/>
      <c r="AD159" s="517"/>
      <c r="AE159" s="517"/>
      <c r="AF159" s="517"/>
      <c r="AG159" s="517"/>
      <c r="AH159" s="517"/>
      <c r="AI159" s="517"/>
      <c r="AJ159" s="517"/>
      <c r="AK159" s="517"/>
      <c r="AL159" s="517"/>
      <c r="AM159" s="517"/>
      <c r="AN159" s="517"/>
      <c r="AO159" s="517"/>
      <c r="AP159" s="517"/>
      <c r="AQ159" s="517"/>
      <c r="AR159" s="517"/>
      <c r="AS159" s="517"/>
      <c r="AT159" s="517"/>
      <c r="AU159" s="517"/>
      <c r="AV159" s="517"/>
      <c r="AW159" s="517"/>
      <c r="AX159" s="517"/>
    </row>
    <row r="160" spans="1:50">
      <c r="A160" s="507" t="s">
        <v>825</v>
      </c>
      <c r="B160" s="518">
        <v>343.08832385089727</v>
      </c>
      <c r="C160" s="518">
        <v>379.17123785133134</v>
      </c>
      <c r="D160" s="518">
        <v>419.04902504403572</v>
      </c>
      <c r="E160" s="518">
        <v>463.12079572662202</v>
      </c>
      <c r="F160" s="518">
        <v>511.82763499311517</v>
      </c>
      <c r="G160" s="518">
        <v>565.65701726182863</v>
      </c>
      <c r="H160" s="518">
        <v>625.14768508318775</v>
      </c>
      <c r="I160" s="518">
        <v>640.97337407663622</v>
      </c>
      <c r="J160" s="518">
        <v>657.19969229433627</v>
      </c>
      <c r="K160" s="518">
        <v>673.83678171338488</v>
      </c>
      <c r="L160" s="518">
        <v>690.89504105625224</v>
      </c>
      <c r="M160" s="518">
        <v>708.38513229032162</v>
      </c>
      <c r="N160" s="518">
        <v>726.31798729196476</v>
      </c>
      <c r="O160" s="518">
        <v>744.70481467932132</v>
      </c>
      <c r="P160" s="518">
        <v>763.55710681805056</v>
      </c>
      <c r="Q160" s="518">
        <v>782.88664700443383</v>
      </c>
      <c r="R160" s="518">
        <v>802.70551683031726</v>
      </c>
      <c r="T160" s="517"/>
      <c r="U160" s="517"/>
      <c r="V160" s="517"/>
      <c r="W160" s="517"/>
      <c r="X160" s="517"/>
      <c r="Y160" s="517"/>
      <c r="Z160" s="517"/>
      <c r="AA160" s="517"/>
      <c r="AB160" s="517"/>
      <c r="AC160" s="517"/>
      <c r="AD160" s="517"/>
      <c r="AE160" s="517"/>
      <c r="AF160" s="517"/>
      <c r="AG160" s="517"/>
      <c r="AH160" s="517"/>
      <c r="AI160" s="517"/>
      <c r="AJ160" s="517"/>
      <c r="AK160" s="517"/>
      <c r="AL160" s="517"/>
      <c r="AM160" s="517"/>
      <c r="AN160" s="517"/>
      <c r="AO160" s="517"/>
      <c r="AP160" s="517"/>
      <c r="AQ160" s="517"/>
      <c r="AR160" s="517"/>
      <c r="AS160" s="517"/>
      <c r="AT160" s="517"/>
      <c r="AU160" s="517"/>
      <c r="AV160" s="517"/>
      <c r="AW160" s="517"/>
      <c r="AX160" s="517"/>
    </row>
    <row r="161" spans="1:50">
      <c r="A161" s="507" t="s">
        <v>827</v>
      </c>
      <c r="B161" s="518">
        <v>100.53285768654199</v>
      </c>
      <c r="C161" s="518">
        <v>111.10599062620403</v>
      </c>
      <c r="D161" s="518">
        <v>122.79110966406624</v>
      </c>
      <c r="E161" s="518">
        <v>135.70516339896363</v>
      </c>
      <c r="F161" s="518">
        <v>149.9774000212384</v>
      </c>
      <c r="G161" s="518">
        <v>165.75066087207071</v>
      </c>
      <c r="H161" s="518">
        <v>183.18281004763176</v>
      </c>
      <c r="I161" s="518">
        <v>187.82010496199109</v>
      </c>
      <c r="J161" s="518">
        <v>192.57479355601478</v>
      </c>
      <c r="K161" s="518">
        <v>197.44984766485231</v>
      </c>
      <c r="L161" s="518">
        <v>202.44831435601816</v>
      </c>
      <c r="M161" s="518">
        <v>207.57331783390819</v>
      </c>
      <c r="N161" s="518">
        <v>212.82806139252918</v>
      </c>
      <c r="O161" s="518">
        <v>218.21582941766158</v>
      </c>
      <c r="P161" s="518">
        <v>223.73998943970793</v>
      </c>
      <c r="Q161" s="518">
        <v>229.40399423850849</v>
      </c>
      <c r="R161" s="518">
        <v>235.21138400144173</v>
      </c>
      <c r="T161" s="517"/>
      <c r="U161" s="517"/>
      <c r="V161" s="517"/>
      <c r="W161" s="517"/>
      <c r="X161" s="517"/>
      <c r="Y161" s="517"/>
      <c r="Z161" s="517"/>
      <c r="AA161" s="517"/>
      <c r="AB161" s="517"/>
      <c r="AC161" s="517"/>
      <c r="AD161" s="517"/>
      <c r="AE161" s="517"/>
      <c r="AF161" s="517"/>
      <c r="AG161" s="517"/>
      <c r="AH161" s="517"/>
      <c r="AI161" s="517"/>
      <c r="AJ161" s="517"/>
      <c r="AK161" s="517"/>
      <c r="AL161" s="517"/>
      <c r="AM161" s="517"/>
      <c r="AN161" s="517"/>
      <c r="AO161" s="517"/>
      <c r="AP161" s="517"/>
      <c r="AQ161" s="517"/>
      <c r="AR161" s="517"/>
      <c r="AS161" s="517"/>
      <c r="AT161" s="517"/>
      <c r="AU161" s="517"/>
      <c r="AV161" s="517"/>
      <c r="AW161" s="517"/>
      <c r="AX161" s="517"/>
    </row>
    <row r="162" spans="1:50">
      <c r="A162" s="507" t="s">
        <v>829</v>
      </c>
      <c r="B162" s="518">
        <v>33.510952562180663</v>
      </c>
      <c r="C162" s="518">
        <v>37.035330208734678</v>
      </c>
      <c r="D162" s="518">
        <v>40.930369888022071</v>
      </c>
      <c r="E162" s="518">
        <v>45.235054466321216</v>
      </c>
      <c r="F162" s="518">
        <v>49.992466673746129</v>
      </c>
      <c r="G162" s="518">
        <v>55.250220290690244</v>
      </c>
      <c r="H162" s="518">
        <v>61.060936682543918</v>
      </c>
      <c r="I162" s="518">
        <v>62.606701653997028</v>
      </c>
      <c r="J162" s="518">
        <v>64.191597852004932</v>
      </c>
      <c r="K162" s="518">
        <v>65.816615888284105</v>
      </c>
      <c r="L162" s="518">
        <v>67.482771452006048</v>
      </c>
      <c r="M162" s="518">
        <v>69.191105944636064</v>
      </c>
      <c r="N162" s="518">
        <v>70.942687130843055</v>
      </c>
      <c r="O162" s="518">
        <v>72.73860980588718</v>
      </c>
      <c r="P162" s="518">
        <v>74.579996479902633</v>
      </c>
      <c r="Q162" s="518">
        <v>76.467998079502834</v>
      </c>
      <c r="R162" s="518">
        <v>78.403794667147253</v>
      </c>
      <c r="T162" s="517"/>
      <c r="U162" s="517"/>
      <c r="V162" s="517"/>
      <c r="W162" s="517"/>
      <c r="X162" s="517"/>
      <c r="Y162" s="517"/>
      <c r="Z162" s="517"/>
      <c r="AA162" s="517"/>
      <c r="AB162" s="517"/>
      <c r="AC162" s="517"/>
      <c r="AD162" s="517"/>
      <c r="AE162" s="517"/>
      <c r="AF162" s="517"/>
      <c r="AG162" s="517"/>
      <c r="AH162" s="517"/>
      <c r="AI162" s="517"/>
      <c r="AJ162" s="517"/>
      <c r="AK162" s="517"/>
      <c r="AL162" s="517"/>
      <c r="AM162" s="517"/>
      <c r="AN162" s="517"/>
      <c r="AO162" s="517"/>
      <c r="AP162" s="517"/>
      <c r="AQ162" s="517"/>
      <c r="AR162" s="517"/>
      <c r="AS162" s="517"/>
      <c r="AT162" s="517"/>
      <c r="AU162" s="517"/>
      <c r="AV162" s="517"/>
      <c r="AW162" s="517"/>
      <c r="AX162" s="517"/>
    </row>
    <row r="163" spans="1:50">
      <c r="A163" s="507" t="s">
        <v>831</v>
      </c>
      <c r="B163" s="518">
        <v>14.361836812363142</v>
      </c>
      <c r="C163" s="518">
        <v>15.87228437517201</v>
      </c>
      <c r="D163" s="518">
        <v>17.541587094866607</v>
      </c>
      <c r="E163" s="518">
        <v>19.386451914137663</v>
      </c>
      <c r="F163" s="518">
        <v>21.425342860176919</v>
      </c>
      <c r="G163" s="518">
        <v>23.678665838867246</v>
      </c>
      <c r="H163" s="518">
        <v>26.168972863947396</v>
      </c>
      <c r="I163" s="518">
        <v>26.831443565998732</v>
      </c>
      <c r="J163" s="518">
        <v>27.510684793716401</v>
      </c>
      <c r="K163" s="518">
        <v>28.207121094978902</v>
      </c>
      <c r="L163" s="518">
        <v>28.921187765145447</v>
      </c>
      <c r="M163" s="518">
        <v>29.653331119129746</v>
      </c>
      <c r="N163" s="518">
        <v>30.404008770361308</v>
      </c>
      <c r="O163" s="518">
        <v>31.173689916808794</v>
      </c>
      <c r="P163" s="518">
        <v>31.962855634243986</v>
      </c>
      <c r="Q163" s="518">
        <v>32.771999176929789</v>
      </c>
      <c r="R163" s="518">
        <v>33.601626285920247</v>
      </c>
      <c r="T163" s="517"/>
      <c r="U163" s="517"/>
      <c r="V163" s="517"/>
      <c r="W163" s="517"/>
      <c r="X163" s="517"/>
      <c r="Y163" s="517"/>
      <c r="Z163" s="517"/>
      <c r="AA163" s="517"/>
      <c r="AB163" s="517"/>
      <c r="AC163" s="517"/>
      <c r="AD163" s="517"/>
      <c r="AE163" s="517"/>
      <c r="AF163" s="517"/>
      <c r="AG163" s="517"/>
      <c r="AH163" s="517"/>
      <c r="AI163" s="517"/>
      <c r="AJ163" s="517"/>
      <c r="AK163" s="517"/>
      <c r="AL163" s="517"/>
      <c r="AM163" s="517"/>
      <c r="AN163" s="517"/>
      <c r="AO163" s="517"/>
      <c r="AP163" s="517"/>
      <c r="AQ163" s="517"/>
      <c r="AR163" s="517"/>
      <c r="AS163" s="517"/>
      <c r="AT163" s="517"/>
      <c r="AU163" s="517"/>
      <c r="AV163" s="517"/>
      <c r="AW163" s="517"/>
      <c r="AX163" s="517"/>
    </row>
    <row r="164" spans="1:50">
      <c r="A164" s="507" t="s">
        <v>833</v>
      </c>
      <c r="B164" s="518">
        <v>1.5957596458181269</v>
      </c>
      <c r="C164" s="518">
        <v>1.7635871527968898</v>
      </c>
      <c r="D164" s="518">
        <v>1.9490652327629563</v>
      </c>
      <c r="E164" s="518">
        <v>2.1540502126819625</v>
      </c>
      <c r="F164" s="518">
        <v>2.3805936511307686</v>
      </c>
      <c r="G164" s="518">
        <v>2.6309628709852499</v>
      </c>
      <c r="H164" s="518">
        <v>2.9076636515497105</v>
      </c>
      <c r="I164" s="518">
        <v>2.9812715073331923</v>
      </c>
      <c r="J164" s="518">
        <v>3.0567427548573778</v>
      </c>
      <c r="K164" s="518">
        <v>3.1341245661087669</v>
      </c>
      <c r="L164" s="518">
        <v>3.2134653072383834</v>
      </c>
      <c r="M164" s="518">
        <v>3.2948145687921939</v>
      </c>
      <c r="N164" s="518">
        <v>3.3782231967068124</v>
      </c>
      <c r="O164" s="518">
        <v>3.4637433240898665</v>
      </c>
      <c r="P164" s="518">
        <v>3.5514284038048873</v>
      </c>
      <c r="Q164" s="518">
        <v>3.641333241881088</v>
      </c>
      <c r="R164" s="518">
        <v>3.7335140317689168</v>
      </c>
      <c r="T164" s="517"/>
      <c r="U164" s="517"/>
      <c r="V164" s="517"/>
      <c r="W164" s="517"/>
      <c r="X164" s="517"/>
      <c r="Y164" s="517"/>
      <c r="Z164" s="517"/>
      <c r="AA164" s="517"/>
      <c r="AB164" s="517"/>
      <c r="AC164" s="517"/>
      <c r="AD164" s="517"/>
      <c r="AE164" s="517"/>
      <c r="AF164" s="517"/>
      <c r="AG164" s="517"/>
      <c r="AH164" s="517"/>
      <c r="AI164" s="517"/>
      <c r="AJ164" s="517"/>
      <c r="AK164" s="517"/>
      <c r="AL164" s="517"/>
      <c r="AM164" s="517"/>
      <c r="AN164" s="517"/>
      <c r="AO164" s="517"/>
      <c r="AP164" s="517"/>
      <c r="AQ164" s="517"/>
      <c r="AR164" s="517"/>
      <c r="AS164" s="517"/>
      <c r="AT164" s="517"/>
      <c r="AU164" s="517"/>
      <c r="AV164" s="517"/>
      <c r="AW164" s="517"/>
      <c r="AX164" s="517"/>
    </row>
    <row r="165" spans="1:50">
      <c r="A165" s="521" t="s">
        <v>835</v>
      </c>
      <c r="B165" s="540">
        <v>1.5957596458181269</v>
      </c>
      <c r="C165" s="540">
        <v>1.7635871527968898</v>
      </c>
      <c r="D165" s="540">
        <v>1.9490652327629563</v>
      </c>
      <c r="E165" s="540">
        <v>2.1540502126819625</v>
      </c>
      <c r="F165" s="540">
        <v>2.3805936511307686</v>
      </c>
      <c r="G165" s="540">
        <v>2.6309628709852499</v>
      </c>
      <c r="H165" s="540">
        <v>2.9076636515497105</v>
      </c>
      <c r="I165" s="540">
        <v>2.9812715073331923</v>
      </c>
      <c r="J165" s="540">
        <v>3.0567427548573778</v>
      </c>
      <c r="K165" s="540">
        <v>3.1341245661087669</v>
      </c>
      <c r="L165" s="540">
        <v>3.2134653072383834</v>
      </c>
      <c r="M165" s="540">
        <v>3.2948145687921939</v>
      </c>
      <c r="N165" s="540">
        <v>3.3782231967068124</v>
      </c>
      <c r="O165" s="540">
        <v>3.4637433240898665</v>
      </c>
      <c r="P165" s="540">
        <v>3.5514284038048873</v>
      </c>
      <c r="Q165" s="540">
        <v>3.641333241881088</v>
      </c>
      <c r="R165" s="540">
        <v>3.7335140317689168</v>
      </c>
      <c r="T165" s="517"/>
      <c r="U165" s="517"/>
      <c r="V165" s="517"/>
      <c r="W165" s="517"/>
      <c r="X165" s="517"/>
      <c r="Y165" s="517"/>
      <c r="Z165" s="517"/>
      <c r="AA165" s="517"/>
      <c r="AB165" s="517"/>
      <c r="AC165" s="517"/>
      <c r="AD165" s="517"/>
      <c r="AE165" s="517"/>
      <c r="AF165" s="517"/>
      <c r="AG165" s="517"/>
      <c r="AH165" s="517"/>
      <c r="AI165" s="517"/>
      <c r="AJ165" s="517"/>
      <c r="AK165" s="517"/>
      <c r="AL165" s="517"/>
      <c r="AM165" s="517"/>
      <c r="AN165" s="517"/>
      <c r="AO165" s="517"/>
      <c r="AP165" s="517"/>
      <c r="AQ165" s="517"/>
      <c r="AR165" s="517"/>
      <c r="AS165" s="517"/>
      <c r="AT165" s="517"/>
      <c r="AU165" s="517"/>
      <c r="AV165" s="517"/>
      <c r="AW165" s="517"/>
      <c r="AX165" s="517"/>
    </row>
    <row r="166" spans="1:50">
      <c r="A166" s="507"/>
      <c r="B166" s="518"/>
      <c r="C166" s="518"/>
      <c r="D166" s="518"/>
      <c r="E166" s="518"/>
      <c r="F166" s="518"/>
      <c r="G166" s="518"/>
      <c r="H166" s="518"/>
      <c r="I166" s="518"/>
      <c r="J166" s="518"/>
      <c r="K166" s="518"/>
      <c r="L166" s="518"/>
      <c r="M166" s="518"/>
      <c r="N166" s="518"/>
      <c r="O166" s="518"/>
      <c r="P166" s="518"/>
      <c r="Q166" s="518"/>
      <c r="R166" s="518"/>
      <c r="T166" s="517"/>
      <c r="U166" s="517"/>
      <c r="V166" s="517"/>
      <c r="W166" s="517"/>
      <c r="X166" s="517"/>
      <c r="Y166" s="517"/>
      <c r="Z166" s="517"/>
      <c r="AA166" s="517"/>
      <c r="AB166" s="517"/>
      <c r="AC166" s="517"/>
      <c r="AD166" s="517"/>
      <c r="AE166" s="517"/>
      <c r="AF166" s="517"/>
      <c r="AG166" s="517"/>
      <c r="AH166" s="517"/>
      <c r="AI166" s="517"/>
      <c r="AJ166" s="517"/>
      <c r="AK166" s="517"/>
      <c r="AL166" s="517"/>
      <c r="AM166" s="517"/>
      <c r="AN166" s="517"/>
      <c r="AO166" s="517"/>
      <c r="AP166" s="517"/>
      <c r="AQ166" s="517"/>
      <c r="AR166" s="517"/>
      <c r="AS166" s="517"/>
      <c r="AT166" s="517"/>
      <c r="AU166" s="517"/>
      <c r="AV166" s="517"/>
      <c r="AW166" s="517"/>
      <c r="AX166" s="517"/>
    </row>
    <row r="167" spans="1:50">
      <c r="A167" s="536"/>
      <c r="B167" s="518"/>
      <c r="C167" s="518"/>
      <c r="D167" s="518"/>
      <c r="E167" s="518"/>
      <c r="F167" s="518"/>
      <c r="G167" s="518"/>
      <c r="H167" s="518"/>
      <c r="I167" s="518"/>
      <c r="J167" s="518"/>
      <c r="K167" s="518"/>
      <c r="L167" s="518"/>
      <c r="M167" s="518"/>
      <c r="N167" s="518"/>
      <c r="O167" s="518"/>
      <c r="P167" s="518"/>
      <c r="Q167" s="518"/>
      <c r="R167" s="518"/>
      <c r="T167" s="517"/>
      <c r="U167" s="517"/>
      <c r="V167" s="517"/>
      <c r="W167" s="517"/>
      <c r="X167" s="517"/>
      <c r="Y167" s="517"/>
      <c r="Z167" s="517"/>
      <c r="AA167" s="517"/>
      <c r="AB167" s="517"/>
      <c r="AC167" s="517"/>
      <c r="AD167" s="517"/>
      <c r="AE167" s="517"/>
      <c r="AF167" s="517"/>
      <c r="AG167" s="517"/>
      <c r="AH167" s="517"/>
      <c r="AI167" s="517"/>
      <c r="AJ167" s="517"/>
      <c r="AK167" s="517"/>
      <c r="AL167" s="517"/>
      <c r="AM167" s="517"/>
      <c r="AN167" s="517"/>
      <c r="AO167" s="517"/>
      <c r="AP167" s="517"/>
      <c r="AQ167" s="517"/>
      <c r="AR167" s="517"/>
      <c r="AS167" s="517"/>
      <c r="AT167" s="517"/>
      <c r="AU167" s="517"/>
      <c r="AV167" s="517"/>
      <c r="AW167" s="517"/>
      <c r="AX167" s="517"/>
    </row>
    <row r="168" spans="1:50">
      <c r="A168" s="542" t="s">
        <v>23</v>
      </c>
      <c r="B168" s="551">
        <f>SUM(B169:B185)</f>
        <v>2457.0687938588685</v>
      </c>
      <c r="C168" s="551">
        <f t="shared" ref="C168:R168" si="8">SUM(C169:C185)</f>
        <v>2715.4809746840297</v>
      </c>
      <c r="D168" s="551">
        <f t="shared" si="8"/>
        <v>3001.0706018085034</v>
      </c>
      <c r="E168" s="551">
        <f t="shared" si="8"/>
        <v>3316.6959522105408</v>
      </c>
      <c r="F168" s="551">
        <f t="shared" si="8"/>
        <v>3665.5159104823078</v>
      </c>
      <c r="G168" s="551">
        <f t="shared" si="8"/>
        <v>4051.0215840086262</v>
      </c>
      <c r="H168" s="551">
        <f t="shared" si="8"/>
        <v>4477.0712431430784</v>
      </c>
      <c r="I168" s="551">
        <f t="shared" si="8"/>
        <v>4590.4088412596984</v>
      </c>
      <c r="J168" s="551">
        <f t="shared" si="8"/>
        <v>4706.6155943325921</v>
      </c>
      <c r="K168" s="551">
        <f t="shared" si="8"/>
        <v>4825.764135365278</v>
      </c>
      <c r="L168" s="551">
        <f t="shared" si="8"/>
        <v>4947.928936074517</v>
      </c>
      <c r="M168" s="551">
        <f t="shared" si="8"/>
        <v>5073.1863534375516</v>
      </c>
      <c r="N168" s="551">
        <f t="shared" si="8"/>
        <v>5201.6146774177105</v>
      </c>
      <c r="O168" s="551">
        <f t="shared" si="8"/>
        <v>5333.2941798981792</v>
      </c>
      <c r="P168" s="551">
        <f t="shared" si="8"/>
        <v>5468.3071648545356</v>
      </c>
      <c r="Q168" s="551">
        <f t="shared" si="8"/>
        <v>5606.7380197974271</v>
      </c>
      <c r="R168" s="551">
        <f t="shared" si="8"/>
        <v>5748.6732685174948</v>
      </c>
      <c r="T168" s="517"/>
      <c r="U168" s="517"/>
      <c r="V168" s="517"/>
      <c r="W168" s="517"/>
      <c r="X168" s="517"/>
      <c r="Y168" s="517"/>
      <c r="Z168" s="517"/>
      <c r="AA168" s="517"/>
      <c r="AB168" s="517"/>
      <c r="AC168" s="517"/>
      <c r="AD168" s="517"/>
      <c r="AE168" s="517"/>
      <c r="AF168" s="517"/>
      <c r="AG168" s="517"/>
      <c r="AH168" s="517"/>
      <c r="AI168" s="517"/>
      <c r="AJ168" s="517"/>
      <c r="AK168" s="517"/>
      <c r="AL168" s="517"/>
      <c r="AM168" s="517"/>
      <c r="AN168" s="517"/>
      <c r="AO168" s="517"/>
      <c r="AP168" s="517"/>
      <c r="AQ168" s="517"/>
      <c r="AR168" s="517"/>
      <c r="AS168" s="517"/>
      <c r="AT168" s="517"/>
      <c r="AU168" s="517"/>
      <c r="AV168" s="517"/>
      <c r="AW168" s="517"/>
      <c r="AX168" s="517"/>
    </row>
    <row r="169" spans="1:50">
      <c r="A169" s="518" t="s">
        <v>803</v>
      </c>
      <c r="B169" s="518">
        <v>0</v>
      </c>
      <c r="C169" s="518">
        <v>0</v>
      </c>
      <c r="D169" s="518">
        <v>0</v>
      </c>
      <c r="E169" s="518">
        <v>0</v>
      </c>
      <c r="F169" s="518">
        <v>0</v>
      </c>
      <c r="G169" s="518">
        <v>0</v>
      </c>
      <c r="H169" s="518">
        <v>0</v>
      </c>
      <c r="I169" s="518">
        <v>0</v>
      </c>
      <c r="J169" s="518">
        <v>0</v>
      </c>
      <c r="K169" s="518">
        <v>0</v>
      </c>
      <c r="L169" s="518">
        <v>0</v>
      </c>
      <c r="M169" s="518">
        <v>0</v>
      </c>
      <c r="N169" s="518">
        <v>0</v>
      </c>
      <c r="O169" s="518">
        <v>0</v>
      </c>
      <c r="P169" s="518">
        <v>0</v>
      </c>
      <c r="Q169" s="518">
        <v>0</v>
      </c>
      <c r="R169" s="518">
        <v>0</v>
      </c>
      <c r="T169" s="517"/>
      <c r="U169" s="517"/>
      <c r="V169" s="517"/>
      <c r="W169" s="517"/>
      <c r="X169" s="517"/>
      <c r="Y169" s="517"/>
      <c r="Z169" s="517"/>
      <c r="AA169" s="517"/>
      <c r="AB169" s="517"/>
      <c r="AC169" s="517"/>
      <c r="AD169" s="517"/>
      <c r="AE169" s="517"/>
      <c r="AF169" s="517"/>
      <c r="AG169" s="517"/>
      <c r="AH169" s="517"/>
      <c r="AI169" s="517"/>
      <c r="AJ169" s="517"/>
      <c r="AK169" s="517"/>
      <c r="AL169" s="517"/>
      <c r="AM169" s="517"/>
      <c r="AN169" s="517"/>
      <c r="AO169" s="517"/>
      <c r="AP169" s="517"/>
      <c r="AQ169" s="517"/>
      <c r="AR169" s="517"/>
      <c r="AS169" s="517"/>
      <c r="AT169" s="517"/>
      <c r="AU169" s="517"/>
      <c r="AV169" s="517"/>
      <c r="AW169" s="517"/>
      <c r="AX169" s="517"/>
    </row>
    <row r="170" spans="1:50">
      <c r="A170" s="518" t="s">
        <v>805</v>
      </c>
      <c r="B170" s="518">
        <v>4.4592900070033901</v>
      </c>
      <c r="C170" s="518">
        <v>4.9282776310054981</v>
      </c>
      <c r="D170" s="518">
        <v>5.4465891139900258</v>
      </c>
      <c r="E170" s="518">
        <v>6.0194118914891845</v>
      </c>
      <c r="F170" s="518">
        <v>6.6524789663925734</v>
      </c>
      <c r="G170" s="518">
        <v>7.3521262867670174</v>
      </c>
      <c r="H170" s="518">
        <v>8.1253561581544069</v>
      </c>
      <c r="I170" s="518">
        <v>8.3310505286019954</v>
      </c>
      <c r="J170" s="518">
        <v>8.541952076828661</v>
      </c>
      <c r="K170" s="518">
        <v>8.7581926231674743</v>
      </c>
      <c r="L170" s="518">
        <v>8.9799073249991235</v>
      </c>
      <c r="M170" s="518">
        <v>9.2072347612296781</v>
      </c>
      <c r="N170" s="518">
        <v>9.440317018906919</v>
      </c>
      <c r="O170" s="518">
        <v>9.6792997820293643</v>
      </c>
      <c r="P170" s="518">
        <v>9.9243324226035163</v>
      </c>
      <c r="Q170" s="518">
        <v>10.175568094006222</v>
      </c>
      <c r="R170" s="518">
        <v>10.433163826710523</v>
      </c>
      <c r="U170" s="517"/>
      <c r="V170" s="517"/>
      <c r="W170" s="517"/>
      <c r="X170" s="517"/>
      <c r="Y170" s="517"/>
      <c r="Z170" s="517"/>
      <c r="AA170" s="517"/>
      <c r="AB170" s="517"/>
      <c r="AC170" s="517"/>
      <c r="AD170" s="517"/>
      <c r="AE170" s="517"/>
      <c r="AF170" s="517"/>
      <c r="AG170" s="517"/>
      <c r="AH170" s="517"/>
      <c r="AI170" s="517"/>
      <c r="AJ170" s="517"/>
      <c r="AK170" s="517"/>
      <c r="AL170" s="517"/>
      <c r="AM170" s="517"/>
      <c r="AN170" s="517"/>
      <c r="AO170" s="517"/>
      <c r="AP170" s="517"/>
      <c r="AQ170" s="517"/>
      <c r="AR170" s="517"/>
      <c r="AS170" s="517"/>
      <c r="AT170" s="517"/>
      <c r="AU170" s="517"/>
      <c r="AV170" s="517"/>
      <c r="AW170" s="517"/>
      <c r="AX170" s="517"/>
    </row>
    <row r="171" spans="1:50">
      <c r="A171" s="518" t="s">
        <v>807</v>
      </c>
      <c r="B171" s="518">
        <v>0</v>
      </c>
      <c r="C171" s="518">
        <v>0</v>
      </c>
      <c r="D171" s="518">
        <v>0</v>
      </c>
      <c r="E171" s="518">
        <v>0</v>
      </c>
      <c r="F171" s="518">
        <v>0</v>
      </c>
      <c r="G171" s="518">
        <v>0</v>
      </c>
      <c r="H171" s="518">
        <v>0</v>
      </c>
      <c r="I171" s="518">
        <v>0</v>
      </c>
      <c r="J171" s="518">
        <v>0</v>
      </c>
      <c r="K171" s="518">
        <v>0</v>
      </c>
      <c r="L171" s="518">
        <v>0</v>
      </c>
      <c r="M171" s="518">
        <v>0</v>
      </c>
      <c r="N171" s="518">
        <v>0</v>
      </c>
      <c r="O171" s="518">
        <v>0</v>
      </c>
      <c r="P171" s="518">
        <v>0</v>
      </c>
      <c r="Q171" s="518">
        <v>0</v>
      </c>
      <c r="R171" s="518">
        <v>0</v>
      </c>
      <c r="U171" s="517"/>
      <c r="V171" s="517"/>
      <c r="W171" s="517"/>
      <c r="X171" s="517"/>
      <c r="Y171" s="517"/>
      <c r="Z171" s="517"/>
      <c r="AA171" s="517"/>
      <c r="AB171" s="517"/>
      <c r="AC171" s="517"/>
      <c r="AD171" s="517"/>
      <c r="AE171" s="517"/>
      <c r="AF171" s="517"/>
      <c r="AG171" s="517"/>
      <c r="AH171" s="517"/>
      <c r="AI171" s="517"/>
      <c r="AJ171" s="517"/>
      <c r="AK171" s="517"/>
      <c r="AL171" s="517"/>
      <c r="AM171" s="517"/>
      <c r="AN171" s="517"/>
      <c r="AO171" s="517"/>
      <c r="AP171" s="517"/>
      <c r="AQ171" s="517"/>
      <c r="AR171" s="517"/>
      <c r="AS171" s="517"/>
      <c r="AT171" s="517"/>
      <c r="AU171" s="517"/>
      <c r="AV171" s="517"/>
      <c r="AW171" s="517"/>
      <c r="AX171" s="517"/>
    </row>
    <row r="172" spans="1:50">
      <c r="A172" s="518" t="s">
        <v>809</v>
      </c>
      <c r="B172" s="518">
        <v>55.741125087542386</v>
      </c>
      <c r="C172" s="518">
        <v>61.603470387568741</v>
      </c>
      <c r="D172" s="518">
        <v>68.08236392487531</v>
      </c>
      <c r="E172" s="518">
        <v>75.2426486436148</v>
      </c>
      <c r="F172" s="518">
        <v>83.155987079907163</v>
      </c>
      <c r="G172" s="518">
        <v>91.901578584587696</v>
      </c>
      <c r="H172" s="518">
        <v>101.56695197693008</v>
      </c>
      <c r="I172" s="518">
        <v>104.13813160752494</v>
      </c>
      <c r="J172" s="518">
        <v>106.77440096035825</v>
      </c>
      <c r="K172" s="518">
        <v>109.47740778959343</v>
      </c>
      <c r="L172" s="518">
        <v>112.24884156248902</v>
      </c>
      <c r="M172" s="518">
        <v>115.09043451537096</v>
      </c>
      <c r="N172" s="518">
        <v>118.00396273633645</v>
      </c>
      <c r="O172" s="518">
        <v>120.99124727536703</v>
      </c>
      <c r="P172" s="518">
        <v>124.05415528254392</v>
      </c>
      <c r="Q172" s="518">
        <v>127.19460117507774</v>
      </c>
      <c r="R172" s="518">
        <v>130.41454783388147</v>
      </c>
      <c r="U172" s="517"/>
      <c r="V172" s="517"/>
      <c r="W172" s="517"/>
      <c r="X172" s="517"/>
      <c r="Y172" s="517"/>
      <c r="Z172" s="517"/>
      <c r="AA172" s="517"/>
      <c r="AB172" s="517"/>
      <c r="AC172" s="517"/>
      <c r="AD172" s="517"/>
      <c r="AE172" s="517"/>
      <c r="AF172" s="517"/>
      <c r="AG172" s="517"/>
      <c r="AH172" s="517"/>
      <c r="AI172" s="517"/>
      <c r="AJ172" s="517"/>
      <c r="AK172" s="517"/>
      <c r="AL172" s="517"/>
      <c r="AM172" s="517"/>
      <c r="AN172" s="517"/>
      <c r="AO172" s="517"/>
      <c r="AP172" s="517"/>
      <c r="AQ172" s="517"/>
      <c r="AR172" s="517"/>
      <c r="AS172" s="517"/>
      <c r="AT172" s="517"/>
      <c r="AU172" s="517"/>
      <c r="AV172" s="517"/>
      <c r="AW172" s="517"/>
      <c r="AX172" s="517"/>
    </row>
    <row r="173" spans="1:50">
      <c r="A173" s="518" t="s">
        <v>811</v>
      </c>
      <c r="B173" s="518">
        <v>499.44048078437964</v>
      </c>
      <c r="C173" s="518">
        <v>551.96709467261587</v>
      </c>
      <c r="D173" s="518">
        <v>610.01798076688283</v>
      </c>
      <c r="E173" s="518">
        <v>674.1741318467889</v>
      </c>
      <c r="F173" s="518">
        <v>745.07764423596825</v>
      </c>
      <c r="G173" s="518">
        <v>823.43814411790584</v>
      </c>
      <c r="H173" s="518">
        <v>910.03988971329329</v>
      </c>
      <c r="I173" s="518">
        <v>933.07765920342331</v>
      </c>
      <c r="J173" s="518">
        <v>956.69863260480997</v>
      </c>
      <c r="K173" s="518">
        <v>980.91757379475678</v>
      </c>
      <c r="L173" s="518">
        <v>1005.7496203999017</v>
      </c>
      <c r="M173" s="518">
        <v>1031.2102932577236</v>
      </c>
      <c r="N173" s="518">
        <v>1057.3155061175748</v>
      </c>
      <c r="O173" s="518">
        <v>1084.0815755872889</v>
      </c>
      <c r="P173" s="518">
        <v>1111.5252313315934</v>
      </c>
      <c r="Q173" s="518">
        <v>1139.6636265286966</v>
      </c>
      <c r="R173" s="518">
        <v>1168.5143485915778</v>
      </c>
      <c r="U173" s="517"/>
      <c r="V173" s="517"/>
      <c r="W173" s="517"/>
      <c r="X173" s="517"/>
      <c r="Y173" s="517"/>
      <c r="Z173" s="517"/>
      <c r="AA173" s="517"/>
      <c r="AB173" s="517"/>
      <c r="AC173" s="517"/>
      <c r="AD173" s="517"/>
      <c r="AE173" s="517"/>
      <c r="AF173" s="517"/>
      <c r="AG173" s="517"/>
      <c r="AH173" s="517"/>
      <c r="AI173" s="517"/>
      <c r="AJ173" s="517"/>
      <c r="AK173" s="517"/>
      <c r="AL173" s="517"/>
      <c r="AM173" s="517"/>
      <c r="AN173" s="517"/>
      <c r="AO173" s="517"/>
      <c r="AP173" s="517"/>
      <c r="AQ173" s="517"/>
      <c r="AR173" s="517"/>
      <c r="AS173" s="517"/>
      <c r="AT173" s="517"/>
      <c r="AU173" s="517"/>
      <c r="AV173" s="517"/>
      <c r="AW173" s="517"/>
      <c r="AX173" s="517"/>
    </row>
    <row r="174" spans="1:50">
      <c r="A174" s="518" t="s">
        <v>813</v>
      </c>
      <c r="B174" s="518">
        <v>771.45717121158646</v>
      </c>
      <c r="C174" s="518">
        <v>852.59203016395111</v>
      </c>
      <c r="D174" s="518">
        <v>942.25991672027408</v>
      </c>
      <c r="E174" s="518">
        <v>1041.3582572276289</v>
      </c>
      <c r="F174" s="518">
        <v>1150.878861185915</v>
      </c>
      <c r="G174" s="518">
        <v>1271.9178476106938</v>
      </c>
      <c r="H174" s="518">
        <v>1405.6866153607123</v>
      </c>
      <c r="I174" s="518">
        <v>1441.2717414481451</v>
      </c>
      <c r="J174" s="518">
        <v>1477.7577092913584</v>
      </c>
      <c r="K174" s="518">
        <v>1515.1673238079727</v>
      </c>
      <c r="L174" s="518">
        <v>1553.5239672248481</v>
      </c>
      <c r="M174" s="518">
        <v>1592.851613692734</v>
      </c>
      <c r="N174" s="518">
        <v>1633.1748442708965</v>
      </c>
      <c r="O174" s="518">
        <v>1674.51886229108</v>
      </c>
      <c r="P174" s="518">
        <v>1716.9095091104077</v>
      </c>
      <c r="Q174" s="518">
        <v>1760.3732802630757</v>
      </c>
      <c r="R174" s="518">
        <v>1804.9373420209197</v>
      </c>
      <c r="U174" s="517"/>
      <c r="V174" s="517"/>
      <c r="W174" s="517"/>
      <c r="X174" s="517"/>
      <c r="Y174" s="517"/>
      <c r="Z174" s="517"/>
      <c r="AA174" s="517"/>
      <c r="AB174" s="517"/>
      <c r="AC174" s="517"/>
      <c r="AD174" s="517"/>
      <c r="AE174" s="517"/>
      <c r="AF174" s="517"/>
      <c r="AG174" s="517"/>
      <c r="AH174" s="517"/>
      <c r="AI174" s="517"/>
      <c r="AJ174" s="517"/>
      <c r="AK174" s="517"/>
      <c r="AL174" s="517"/>
      <c r="AM174" s="517"/>
      <c r="AN174" s="517"/>
      <c r="AO174" s="517"/>
      <c r="AP174" s="517"/>
      <c r="AQ174" s="517"/>
      <c r="AR174" s="517"/>
      <c r="AS174" s="517"/>
      <c r="AT174" s="517"/>
      <c r="AU174" s="517"/>
      <c r="AV174" s="517"/>
      <c r="AW174" s="517"/>
      <c r="AX174" s="517"/>
    </row>
    <row r="175" spans="1:50">
      <c r="A175" s="507" t="s">
        <v>815</v>
      </c>
      <c r="B175" s="518">
        <v>559.64089587892556</v>
      </c>
      <c r="C175" s="518">
        <v>618.49884269119002</v>
      </c>
      <c r="D175" s="518">
        <v>683.54693380574827</v>
      </c>
      <c r="E175" s="518">
        <v>755.43619238189262</v>
      </c>
      <c r="F175" s="518">
        <v>834.88611028226796</v>
      </c>
      <c r="G175" s="518">
        <v>922.69184898926051</v>
      </c>
      <c r="H175" s="518">
        <v>1019.7321978483777</v>
      </c>
      <c r="I175" s="518">
        <v>1045.5468413395504</v>
      </c>
      <c r="J175" s="518">
        <v>1072.0149856419969</v>
      </c>
      <c r="K175" s="518">
        <v>1099.1531742075178</v>
      </c>
      <c r="L175" s="518">
        <v>1126.9783692873898</v>
      </c>
      <c r="M175" s="518">
        <v>1155.5079625343242</v>
      </c>
      <c r="N175" s="518">
        <v>1184.7597858728179</v>
      </c>
      <c r="O175" s="518">
        <v>1214.7521226446852</v>
      </c>
      <c r="P175" s="518">
        <v>1245.5037190367411</v>
      </c>
      <c r="Q175" s="518">
        <v>1277.0337957977804</v>
      </c>
      <c r="R175" s="518">
        <v>1309.3620602521701</v>
      </c>
      <c r="U175" s="517"/>
      <c r="V175" s="517"/>
      <c r="W175" s="517"/>
      <c r="X175" s="517"/>
      <c r="Y175" s="517"/>
      <c r="Z175" s="517"/>
      <c r="AA175" s="517"/>
      <c r="AB175" s="517"/>
      <c r="AC175" s="517"/>
      <c r="AD175" s="517"/>
      <c r="AE175" s="517"/>
      <c r="AF175" s="517"/>
      <c r="AG175" s="517"/>
      <c r="AH175" s="517"/>
      <c r="AI175" s="517"/>
      <c r="AJ175" s="517"/>
      <c r="AK175" s="517"/>
      <c r="AL175" s="517"/>
      <c r="AM175" s="517"/>
      <c r="AN175" s="517"/>
      <c r="AO175" s="517"/>
      <c r="AP175" s="517"/>
      <c r="AQ175" s="517"/>
      <c r="AR175" s="517"/>
      <c r="AS175" s="517"/>
      <c r="AT175" s="517"/>
      <c r="AU175" s="517"/>
      <c r="AV175" s="517"/>
      <c r="AW175" s="517"/>
      <c r="AX175" s="517"/>
    </row>
    <row r="176" spans="1:50">
      <c r="A176" s="507" t="s">
        <v>817</v>
      </c>
      <c r="B176" s="518">
        <v>312.15030049023727</v>
      </c>
      <c r="C176" s="518">
        <v>344.97943417038488</v>
      </c>
      <c r="D176" s="518">
        <v>381.26123797930177</v>
      </c>
      <c r="E176" s="518">
        <v>421.35883240424295</v>
      </c>
      <c r="F176" s="518">
        <v>465.67352764748017</v>
      </c>
      <c r="G176" s="518">
        <v>514.64884007369108</v>
      </c>
      <c r="H176" s="518">
        <v>568.77493107080829</v>
      </c>
      <c r="I176" s="518">
        <v>583.17353700213948</v>
      </c>
      <c r="J176" s="518">
        <v>597.93664537800646</v>
      </c>
      <c r="K176" s="518">
        <v>613.07348362172297</v>
      </c>
      <c r="L176" s="518">
        <v>628.59351274993855</v>
      </c>
      <c r="M176" s="518">
        <v>644.50643328607737</v>
      </c>
      <c r="N176" s="518">
        <v>660.82219132348405</v>
      </c>
      <c r="O176" s="518">
        <v>677.55098474205556</v>
      </c>
      <c r="P176" s="518">
        <v>694.70326958224598</v>
      </c>
      <c r="Q176" s="518">
        <v>712.2897665804353</v>
      </c>
      <c r="R176" s="518">
        <v>730.32146786973613</v>
      </c>
      <c r="U176" s="517"/>
      <c r="V176" s="517"/>
      <c r="W176" s="517"/>
      <c r="X176" s="517"/>
      <c r="Y176" s="517"/>
      <c r="Z176" s="517"/>
      <c r="AA176" s="517"/>
      <c r="AB176" s="517"/>
      <c r="AC176" s="517"/>
      <c r="AD176" s="517"/>
      <c r="AE176" s="517"/>
      <c r="AF176" s="517"/>
      <c r="AG176" s="517"/>
      <c r="AH176" s="517"/>
      <c r="AI176" s="517"/>
      <c r="AJ176" s="517"/>
      <c r="AK176" s="517"/>
      <c r="AL176" s="517"/>
      <c r="AM176" s="517"/>
      <c r="AN176" s="517"/>
      <c r="AO176" s="517"/>
      <c r="AP176" s="517"/>
      <c r="AQ176" s="517"/>
      <c r="AR176" s="517"/>
      <c r="AS176" s="517"/>
      <c r="AT176" s="517"/>
      <c r="AU176" s="517"/>
      <c r="AV176" s="517"/>
      <c r="AW176" s="517"/>
      <c r="AX176" s="517"/>
    </row>
    <row r="177" spans="1:50">
      <c r="A177" s="507" t="s">
        <v>819</v>
      </c>
      <c r="B177" s="518">
        <v>147.15657023111191</v>
      </c>
      <c r="C177" s="518">
        <v>162.63316182318138</v>
      </c>
      <c r="D177" s="518">
        <v>179.73744076167085</v>
      </c>
      <c r="E177" s="518">
        <v>198.6405924191431</v>
      </c>
      <c r="F177" s="518">
        <v>219.5318058909549</v>
      </c>
      <c r="G177" s="518">
        <v>242.62016746331153</v>
      </c>
      <c r="H177" s="518">
        <v>268.13675321909551</v>
      </c>
      <c r="I177" s="518">
        <v>274.92466744386593</v>
      </c>
      <c r="J177" s="518">
        <v>281.88441853534573</v>
      </c>
      <c r="K177" s="518">
        <v>289.02035656452665</v>
      </c>
      <c r="L177" s="518">
        <v>296.33694172497115</v>
      </c>
      <c r="M177" s="518">
        <v>303.8387471205794</v>
      </c>
      <c r="N177" s="518">
        <v>311.53046162392826</v>
      </c>
      <c r="O177" s="518">
        <v>319.41689280696903</v>
      </c>
      <c r="P177" s="518">
        <v>327.50296994591594</v>
      </c>
      <c r="Q177" s="518">
        <v>335.79374710220509</v>
      </c>
      <c r="R177" s="518">
        <v>344.29440628144715</v>
      </c>
      <c r="U177" s="517"/>
      <c r="V177" s="517"/>
      <c r="W177" s="517"/>
      <c r="X177" s="517"/>
      <c r="Y177" s="517"/>
      <c r="Z177" s="517"/>
      <c r="AA177" s="517"/>
      <c r="AB177" s="517"/>
      <c r="AC177" s="517"/>
      <c r="AD177" s="517"/>
      <c r="AE177" s="517"/>
      <c r="AF177" s="517"/>
      <c r="AG177" s="517"/>
      <c r="AH177" s="517"/>
      <c r="AI177" s="517"/>
      <c r="AJ177" s="517"/>
      <c r="AK177" s="517"/>
      <c r="AL177" s="517"/>
      <c r="AM177" s="517"/>
      <c r="AN177" s="517"/>
      <c r="AO177" s="517"/>
      <c r="AP177" s="517"/>
      <c r="AQ177" s="517"/>
      <c r="AR177" s="517"/>
      <c r="AS177" s="517"/>
      <c r="AT177" s="517"/>
      <c r="AU177" s="517"/>
      <c r="AV177" s="517"/>
      <c r="AW177" s="517"/>
      <c r="AX177" s="517"/>
    </row>
    <row r="178" spans="1:50">
      <c r="A178" s="507" t="s">
        <v>821</v>
      </c>
      <c r="B178" s="518">
        <v>69.118995108552568</v>
      </c>
      <c r="C178" s="518">
        <v>76.388303280585205</v>
      </c>
      <c r="D178" s="518">
        <v>84.422131266845355</v>
      </c>
      <c r="E178" s="518">
        <v>93.300884318082353</v>
      </c>
      <c r="F178" s="518">
        <v>103.11342397908487</v>
      </c>
      <c r="G178" s="518">
        <v>113.95795744488876</v>
      </c>
      <c r="H178" s="518">
        <v>125.94302045139332</v>
      </c>
      <c r="I178" s="518">
        <v>129.13128319333092</v>
      </c>
      <c r="J178" s="518">
        <v>132.40025719084423</v>
      </c>
      <c r="K178" s="518">
        <v>135.75198565909585</v>
      </c>
      <c r="L178" s="518">
        <v>139.18856353748643</v>
      </c>
      <c r="M178" s="518">
        <v>142.71213879906003</v>
      </c>
      <c r="N178" s="518">
        <v>146.32491379305722</v>
      </c>
      <c r="O178" s="518">
        <v>150.02914662145514</v>
      </c>
      <c r="P178" s="518">
        <v>153.82715255035447</v>
      </c>
      <c r="Q178" s="518">
        <v>157.72130545709638</v>
      </c>
      <c r="R178" s="518">
        <v>161.71403931401304</v>
      </c>
      <c r="U178" s="517"/>
      <c r="V178" s="517"/>
      <c r="W178" s="517"/>
      <c r="X178" s="517"/>
      <c r="Y178" s="517"/>
      <c r="Z178" s="517"/>
      <c r="AA178" s="517"/>
      <c r="AB178" s="517"/>
      <c r="AC178" s="517"/>
      <c r="AD178" s="517"/>
      <c r="AE178" s="517"/>
      <c r="AF178" s="517"/>
      <c r="AG178" s="517"/>
      <c r="AH178" s="517"/>
      <c r="AI178" s="517"/>
      <c r="AJ178" s="517"/>
      <c r="AK178" s="517"/>
      <c r="AL178" s="517"/>
      <c r="AM178" s="517"/>
      <c r="AN178" s="517"/>
      <c r="AO178" s="517"/>
      <c r="AP178" s="517"/>
      <c r="AQ178" s="517"/>
      <c r="AR178" s="517"/>
      <c r="AS178" s="517"/>
      <c r="AT178" s="517"/>
      <c r="AU178" s="517"/>
      <c r="AV178" s="517"/>
      <c r="AW178" s="517"/>
      <c r="AX178" s="517"/>
    </row>
    <row r="179" spans="1:50">
      <c r="A179" s="507" t="s">
        <v>823</v>
      </c>
      <c r="B179" s="518">
        <v>24.526095038518644</v>
      </c>
      <c r="C179" s="518">
        <v>27.105526970530242</v>
      </c>
      <c r="D179" s="518">
        <v>29.95624012694514</v>
      </c>
      <c r="E179" s="518">
        <v>33.106765403190515</v>
      </c>
      <c r="F179" s="518">
        <v>36.588634315159148</v>
      </c>
      <c r="G179" s="518">
        <v>40.436694577218582</v>
      </c>
      <c r="H179" s="518">
        <v>44.689458869849226</v>
      </c>
      <c r="I179" s="518">
        <v>45.820777907310962</v>
      </c>
      <c r="J179" s="518">
        <v>46.980736422557641</v>
      </c>
      <c r="K179" s="518">
        <v>48.170059427421108</v>
      </c>
      <c r="L179" s="518">
        <v>49.389490287495171</v>
      </c>
      <c r="M179" s="518">
        <v>50.639791186763219</v>
      </c>
      <c r="N179" s="518">
        <v>51.921743603988048</v>
      </c>
      <c r="O179" s="518">
        <v>53.236148801161505</v>
      </c>
      <c r="P179" s="518">
        <v>54.583828324319342</v>
      </c>
      <c r="Q179" s="518">
        <v>55.965624517034215</v>
      </c>
      <c r="R179" s="518">
        <v>57.382401046907859</v>
      </c>
      <c r="U179" s="517"/>
      <c r="V179" s="517"/>
      <c r="W179" s="517"/>
      <c r="X179" s="517"/>
      <c r="Y179" s="517"/>
      <c r="Z179" s="517"/>
      <c r="AA179" s="517"/>
      <c r="AB179" s="517"/>
      <c r="AC179" s="517"/>
      <c r="AD179" s="517"/>
      <c r="AE179" s="517"/>
      <c r="AF179" s="517"/>
      <c r="AG179" s="517"/>
      <c r="AH179" s="517"/>
      <c r="AI179" s="517"/>
      <c r="AJ179" s="517"/>
      <c r="AK179" s="517"/>
      <c r="AL179" s="517"/>
      <c r="AM179" s="517"/>
      <c r="AN179" s="517"/>
      <c r="AO179" s="517"/>
      <c r="AP179" s="517"/>
      <c r="AQ179" s="517"/>
      <c r="AR179" s="517"/>
      <c r="AS179" s="517"/>
      <c r="AT179" s="517"/>
      <c r="AU179" s="517"/>
      <c r="AV179" s="517"/>
      <c r="AW179" s="517"/>
      <c r="AX179" s="517"/>
    </row>
    <row r="180" spans="1:50">
      <c r="A180" s="507" t="s">
        <v>825</v>
      </c>
      <c r="B180" s="518">
        <v>5.5741125087542374</v>
      </c>
      <c r="C180" s="518">
        <v>6.1603470387568731</v>
      </c>
      <c r="D180" s="518">
        <v>6.8082363924875313</v>
      </c>
      <c r="E180" s="518">
        <v>7.5242648643614807</v>
      </c>
      <c r="F180" s="518">
        <v>8.3155987079907163</v>
      </c>
      <c r="G180" s="518">
        <v>9.1901578584587718</v>
      </c>
      <c r="H180" s="518">
        <v>10.156695197693008</v>
      </c>
      <c r="I180" s="518">
        <v>10.413813160752493</v>
      </c>
      <c r="J180" s="518">
        <v>10.677440096035827</v>
      </c>
      <c r="K180" s="518">
        <v>10.947740778959343</v>
      </c>
      <c r="L180" s="518">
        <v>11.224884156248905</v>
      </c>
      <c r="M180" s="518">
        <v>11.509043451537098</v>
      </c>
      <c r="N180" s="518">
        <v>11.800396273633648</v>
      </c>
      <c r="O180" s="518">
        <v>12.099124727536704</v>
      </c>
      <c r="P180" s="518">
        <v>12.405415528254395</v>
      </c>
      <c r="Q180" s="518">
        <v>12.719460117507777</v>
      </c>
      <c r="R180" s="518">
        <v>13.041454783388154</v>
      </c>
      <c r="U180" s="517"/>
      <c r="V180" s="517"/>
      <c r="W180" s="517"/>
      <c r="X180" s="517"/>
      <c r="Y180" s="517"/>
      <c r="Z180" s="517"/>
      <c r="AA180" s="517"/>
      <c r="AB180" s="517"/>
      <c r="AC180" s="517"/>
      <c r="AD180" s="517"/>
      <c r="AE180" s="517"/>
      <c r="AF180" s="517"/>
      <c r="AG180" s="517"/>
      <c r="AH180" s="517"/>
      <c r="AI180" s="517"/>
      <c r="AJ180" s="517"/>
      <c r="AK180" s="517"/>
      <c r="AL180" s="517"/>
      <c r="AM180" s="517"/>
      <c r="AN180" s="517"/>
      <c r="AO180" s="517"/>
      <c r="AP180" s="517"/>
      <c r="AQ180" s="517"/>
      <c r="AR180" s="517"/>
      <c r="AS180" s="517"/>
      <c r="AT180" s="517"/>
      <c r="AU180" s="517"/>
      <c r="AV180" s="517"/>
      <c r="AW180" s="517"/>
      <c r="AX180" s="517"/>
    </row>
    <row r="181" spans="1:50">
      <c r="A181" s="507" t="s">
        <v>827</v>
      </c>
      <c r="B181" s="518">
        <v>4.4592900070033901</v>
      </c>
      <c r="C181" s="518">
        <v>4.9282776310054981</v>
      </c>
      <c r="D181" s="518">
        <v>5.4465891139900249</v>
      </c>
      <c r="E181" s="518">
        <v>6.0194118914891845</v>
      </c>
      <c r="F181" s="518">
        <v>6.6524789663925734</v>
      </c>
      <c r="G181" s="518">
        <v>7.3521262867670174</v>
      </c>
      <c r="H181" s="518">
        <v>8.1253561581544069</v>
      </c>
      <c r="I181" s="518">
        <v>8.3310505286019954</v>
      </c>
      <c r="J181" s="518">
        <v>8.541952076828661</v>
      </c>
      <c r="K181" s="518">
        <v>8.7581926231674743</v>
      </c>
      <c r="L181" s="518">
        <v>8.9799073249991235</v>
      </c>
      <c r="M181" s="518">
        <v>9.2072347612296781</v>
      </c>
      <c r="N181" s="518">
        <v>9.440317018906919</v>
      </c>
      <c r="O181" s="518">
        <v>9.6792997820293643</v>
      </c>
      <c r="P181" s="518">
        <v>9.9243324226035163</v>
      </c>
      <c r="Q181" s="518">
        <v>10.175568094006222</v>
      </c>
      <c r="R181" s="518">
        <v>10.433163826710523</v>
      </c>
      <c r="U181" s="517"/>
      <c r="V181" s="517"/>
      <c r="W181" s="517"/>
      <c r="X181" s="517"/>
      <c r="Y181" s="517"/>
      <c r="Z181" s="517"/>
      <c r="AA181" s="517"/>
      <c r="AB181" s="517"/>
      <c r="AC181" s="517"/>
      <c r="AD181" s="517"/>
      <c r="AE181" s="517"/>
      <c r="AF181" s="517"/>
      <c r="AG181" s="517"/>
      <c r="AH181" s="517"/>
      <c r="AI181" s="517"/>
      <c r="AJ181" s="517"/>
      <c r="AK181" s="517"/>
      <c r="AL181" s="517"/>
      <c r="AM181" s="517"/>
      <c r="AN181" s="517"/>
      <c r="AO181" s="517"/>
      <c r="AP181" s="517"/>
      <c r="AQ181" s="517"/>
      <c r="AR181" s="517"/>
      <c r="AS181" s="517"/>
      <c r="AT181" s="517"/>
      <c r="AU181" s="517"/>
      <c r="AV181" s="517"/>
      <c r="AW181" s="517"/>
      <c r="AX181" s="517"/>
    </row>
    <row r="182" spans="1:50">
      <c r="A182" s="507" t="s">
        <v>829</v>
      </c>
      <c r="B182" s="518">
        <v>2.229645003501695</v>
      </c>
      <c r="C182" s="518">
        <v>2.464138815502749</v>
      </c>
      <c r="D182" s="518">
        <v>2.7232945569950124</v>
      </c>
      <c r="E182" s="518">
        <v>3.0097059457445923</v>
      </c>
      <c r="F182" s="518">
        <v>3.3262394831962867</v>
      </c>
      <c r="G182" s="518">
        <v>3.6760631433835083</v>
      </c>
      <c r="H182" s="518">
        <v>4.0626780790772035</v>
      </c>
      <c r="I182" s="518">
        <v>4.1655252643009977</v>
      </c>
      <c r="J182" s="518">
        <v>4.2709760384143305</v>
      </c>
      <c r="K182" s="518">
        <v>4.3790963115837371</v>
      </c>
      <c r="L182" s="518">
        <v>4.4899536624995617</v>
      </c>
      <c r="M182" s="518">
        <v>4.603617380614839</v>
      </c>
      <c r="N182" s="518">
        <v>4.7201585094534595</v>
      </c>
      <c r="O182" s="518">
        <v>4.8396498910146821</v>
      </c>
      <c r="P182" s="518">
        <v>4.9621662113017582</v>
      </c>
      <c r="Q182" s="518">
        <v>5.0877840470031108</v>
      </c>
      <c r="R182" s="518">
        <v>5.2165819133552613</v>
      </c>
      <c r="U182" s="517"/>
      <c r="V182" s="517"/>
      <c r="W182" s="517"/>
      <c r="X182" s="517"/>
      <c r="Y182" s="517"/>
      <c r="Z182" s="517"/>
      <c r="AA182" s="517"/>
      <c r="AB182" s="517"/>
      <c r="AC182" s="517"/>
      <c r="AD182" s="517"/>
      <c r="AE182" s="517"/>
      <c r="AF182" s="517"/>
      <c r="AG182" s="517"/>
      <c r="AH182" s="517"/>
      <c r="AI182" s="517"/>
      <c r="AJ182" s="517"/>
      <c r="AK182" s="517"/>
      <c r="AL182" s="517"/>
      <c r="AM182" s="517"/>
      <c r="AN182" s="517"/>
      <c r="AO182" s="517"/>
      <c r="AP182" s="517"/>
      <c r="AQ182" s="517"/>
      <c r="AR182" s="517"/>
      <c r="AS182" s="517"/>
      <c r="AT182" s="517"/>
      <c r="AU182" s="517"/>
      <c r="AV182" s="517"/>
      <c r="AW182" s="517"/>
      <c r="AX182" s="517"/>
    </row>
    <row r="183" spans="1:50">
      <c r="A183" s="507" t="s">
        <v>831</v>
      </c>
      <c r="B183" s="518">
        <v>0</v>
      </c>
      <c r="C183" s="518">
        <v>0</v>
      </c>
      <c r="D183" s="518">
        <v>0</v>
      </c>
      <c r="E183" s="518">
        <v>0</v>
      </c>
      <c r="F183" s="518">
        <v>0</v>
      </c>
      <c r="G183" s="518">
        <v>0</v>
      </c>
      <c r="H183" s="518">
        <v>0</v>
      </c>
      <c r="I183" s="518">
        <v>0</v>
      </c>
      <c r="J183" s="518">
        <v>0</v>
      </c>
      <c r="K183" s="518">
        <v>0</v>
      </c>
      <c r="L183" s="518">
        <v>0</v>
      </c>
      <c r="M183" s="518">
        <v>0</v>
      </c>
      <c r="N183" s="518">
        <v>0</v>
      </c>
      <c r="O183" s="518">
        <v>0</v>
      </c>
      <c r="P183" s="518">
        <v>0</v>
      </c>
      <c r="Q183" s="518">
        <v>0</v>
      </c>
      <c r="R183" s="518">
        <v>0</v>
      </c>
      <c r="U183" s="517"/>
      <c r="V183" s="517"/>
      <c r="W183" s="517"/>
      <c r="X183" s="517"/>
      <c r="Y183" s="517"/>
      <c r="Z183" s="517"/>
      <c r="AA183" s="517"/>
      <c r="AB183" s="517"/>
      <c r="AC183" s="517"/>
      <c r="AD183" s="517"/>
      <c r="AE183" s="517"/>
      <c r="AF183" s="517"/>
      <c r="AG183" s="517"/>
      <c r="AH183" s="517"/>
      <c r="AI183" s="517"/>
      <c r="AJ183" s="517"/>
      <c r="AK183" s="517"/>
      <c r="AL183" s="517"/>
      <c r="AM183" s="517"/>
      <c r="AN183" s="517"/>
      <c r="AO183" s="517"/>
      <c r="AP183" s="517"/>
      <c r="AQ183" s="517"/>
      <c r="AR183" s="517"/>
      <c r="AS183" s="517"/>
      <c r="AT183" s="517"/>
      <c r="AU183" s="517"/>
      <c r="AV183" s="517"/>
      <c r="AW183" s="517"/>
      <c r="AX183" s="517"/>
    </row>
    <row r="184" spans="1:50">
      <c r="A184" s="507" t="s">
        <v>833</v>
      </c>
      <c r="B184" s="518">
        <v>0</v>
      </c>
      <c r="C184" s="518">
        <v>0</v>
      </c>
      <c r="D184" s="518">
        <v>0</v>
      </c>
      <c r="E184" s="518">
        <v>0</v>
      </c>
      <c r="F184" s="518">
        <v>0</v>
      </c>
      <c r="G184" s="518">
        <v>0</v>
      </c>
      <c r="H184" s="518">
        <v>0</v>
      </c>
      <c r="I184" s="518">
        <v>0</v>
      </c>
      <c r="J184" s="518">
        <v>0</v>
      </c>
      <c r="K184" s="518">
        <v>0</v>
      </c>
      <c r="L184" s="518">
        <v>0</v>
      </c>
      <c r="M184" s="518">
        <v>0</v>
      </c>
      <c r="N184" s="518">
        <v>0</v>
      </c>
      <c r="O184" s="518">
        <v>0</v>
      </c>
      <c r="P184" s="518">
        <v>0</v>
      </c>
      <c r="Q184" s="518">
        <v>0</v>
      </c>
      <c r="R184" s="518">
        <v>0</v>
      </c>
      <c r="U184" s="517"/>
      <c r="V184" s="517"/>
      <c r="W184" s="517"/>
      <c r="X184" s="517"/>
      <c r="Y184" s="517"/>
      <c r="Z184" s="517"/>
      <c r="AA184" s="517"/>
      <c r="AB184" s="517"/>
      <c r="AC184" s="517"/>
      <c r="AD184" s="517"/>
      <c r="AE184" s="517"/>
      <c r="AF184" s="517"/>
      <c r="AG184" s="517"/>
      <c r="AH184" s="517"/>
      <c r="AI184" s="517"/>
      <c r="AJ184" s="517"/>
      <c r="AK184" s="517"/>
      <c r="AL184" s="517"/>
      <c r="AM184" s="517"/>
      <c r="AN184" s="517"/>
      <c r="AO184" s="517"/>
      <c r="AP184" s="517"/>
      <c r="AQ184" s="517"/>
      <c r="AR184" s="517"/>
      <c r="AS184" s="517"/>
      <c r="AT184" s="517"/>
      <c r="AU184" s="517"/>
      <c r="AV184" s="517"/>
      <c r="AW184" s="517"/>
      <c r="AX184" s="517"/>
    </row>
    <row r="185" spans="1:50">
      <c r="A185" s="521" t="s">
        <v>835</v>
      </c>
      <c r="B185" s="540">
        <v>1.1148225017508475</v>
      </c>
      <c r="C185" s="540">
        <v>1.2320694077513745</v>
      </c>
      <c r="D185" s="540">
        <v>1.3616472784975062</v>
      </c>
      <c r="E185" s="540">
        <v>1.5048529728722961</v>
      </c>
      <c r="F185" s="540">
        <v>1.6631197415981434</v>
      </c>
      <c r="G185" s="540">
        <v>1.8380315716917541</v>
      </c>
      <c r="H185" s="540">
        <v>2.0313390395386017</v>
      </c>
      <c r="I185" s="540">
        <v>2.0827626321504988</v>
      </c>
      <c r="J185" s="540">
        <v>2.1354880192071652</v>
      </c>
      <c r="K185" s="540">
        <v>2.1895481557918686</v>
      </c>
      <c r="L185" s="540">
        <v>2.2449768312497809</v>
      </c>
      <c r="M185" s="540">
        <v>2.3018086903074195</v>
      </c>
      <c r="N185" s="540">
        <v>2.3600792547267297</v>
      </c>
      <c r="O185" s="540">
        <v>2.4198249455073411</v>
      </c>
      <c r="P185" s="540">
        <v>2.4810831056508791</v>
      </c>
      <c r="Q185" s="540">
        <v>2.5438920235015554</v>
      </c>
      <c r="R185" s="540">
        <v>2.6082909566776307</v>
      </c>
      <c r="U185" s="517"/>
      <c r="V185" s="517"/>
      <c r="W185" s="517"/>
      <c r="X185" s="517"/>
      <c r="Y185" s="517"/>
      <c r="Z185" s="517"/>
      <c r="AA185" s="517"/>
      <c r="AB185" s="517"/>
      <c r="AC185" s="517"/>
      <c r="AD185" s="517"/>
      <c r="AE185" s="517"/>
      <c r="AF185" s="517"/>
      <c r="AG185" s="517"/>
      <c r="AH185" s="517"/>
      <c r="AI185" s="517"/>
      <c r="AJ185" s="517"/>
      <c r="AK185" s="517"/>
      <c r="AL185" s="517"/>
      <c r="AM185" s="517"/>
      <c r="AN185" s="517"/>
      <c r="AO185" s="517"/>
      <c r="AP185" s="517"/>
      <c r="AQ185" s="517"/>
      <c r="AR185" s="517"/>
      <c r="AS185" s="517"/>
      <c r="AT185" s="517"/>
      <c r="AU185" s="517"/>
      <c r="AV185" s="517"/>
      <c r="AW185" s="517"/>
      <c r="AX185" s="517"/>
    </row>
    <row r="186" spans="1:50">
      <c r="A186" s="531" t="s">
        <v>755</v>
      </c>
      <c r="B186" s="518"/>
      <c r="C186" s="518"/>
      <c r="D186" s="518"/>
      <c r="E186" s="518"/>
      <c r="F186" s="518"/>
      <c r="G186" s="518"/>
      <c r="H186" s="518"/>
      <c r="I186" s="518"/>
      <c r="J186" s="518"/>
      <c r="K186" s="518"/>
      <c r="L186" s="518"/>
      <c r="M186" s="518"/>
      <c r="N186" s="518"/>
      <c r="O186" s="518"/>
      <c r="P186" s="518"/>
      <c r="Q186" s="518"/>
      <c r="R186" s="518"/>
      <c r="U186" s="517"/>
      <c r="V186" s="517"/>
      <c r="W186" s="517"/>
      <c r="X186" s="517"/>
      <c r="Y186" s="517"/>
      <c r="Z186" s="517"/>
      <c r="AA186" s="517"/>
      <c r="AB186" s="517"/>
      <c r="AC186" s="517"/>
      <c r="AD186" s="517"/>
      <c r="AE186" s="517"/>
      <c r="AF186" s="517"/>
      <c r="AG186" s="517"/>
      <c r="AH186" s="517"/>
      <c r="AI186" s="517"/>
      <c r="AJ186" s="517"/>
      <c r="AK186" s="517"/>
      <c r="AL186" s="517"/>
      <c r="AM186" s="517"/>
      <c r="AN186" s="517"/>
      <c r="AO186" s="517"/>
      <c r="AP186" s="517"/>
      <c r="AQ186" s="517"/>
      <c r="AR186" s="517"/>
      <c r="AS186" s="517"/>
      <c r="AT186" s="517"/>
      <c r="AU186" s="517"/>
      <c r="AV186" s="517"/>
      <c r="AW186" s="517"/>
      <c r="AX186" s="517"/>
    </row>
    <row r="187" spans="1:50">
      <c r="A187" s="531" t="s">
        <v>842</v>
      </c>
      <c r="B187" s="518"/>
      <c r="C187" s="518"/>
      <c r="D187" s="518"/>
      <c r="E187" s="518"/>
      <c r="F187" s="518"/>
      <c r="G187" s="518"/>
      <c r="H187" s="518"/>
      <c r="I187" s="518"/>
      <c r="J187" s="518"/>
      <c r="K187" s="518"/>
      <c r="L187" s="518"/>
      <c r="M187" s="518"/>
      <c r="N187" s="518"/>
      <c r="O187" s="518"/>
      <c r="P187" s="518"/>
      <c r="Q187" s="518"/>
      <c r="R187" s="518"/>
      <c r="U187" s="517"/>
      <c r="V187" s="517"/>
      <c r="W187" s="517"/>
      <c r="X187" s="517"/>
      <c r="Y187" s="517"/>
      <c r="Z187" s="517"/>
      <c r="AA187" s="517"/>
      <c r="AB187" s="517"/>
      <c r="AC187" s="517"/>
      <c r="AD187" s="517"/>
      <c r="AE187" s="517"/>
      <c r="AF187" s="517"/>
      <c r="AG187" s="517"/>
      <c r="AH187" s="517"/>
      <c r="AI187" s="517"/>
      <c r="AJ187" s="517"/>
      <c r="AK187" s="517"/>
      <c r="AL187" s="517"/>
      <c r="AM187" s="517"/>
      <c r="AN187" s="517"/>
      <c r="AO187" s="517"/>
      <c r="AP187" s="517"/>
      <c r="AQ187" s="517"/>
      <c r="AR187" s="517"/>
      <c r="AS187" s="517"/>
      <c r="AT187" s="517"/>
      <c r="AU187" s="517"/>
      <c r="AV187" s="517"/>
      <c r="AW187" s="517"/>
      <c r="AX187" s="517"/>
    </row>
    <row r="188" spans="1:50">
      <c r="A188" s="532" t="s">
        <v>843</v>
      </c>
      <c r="B188" s="508"/>
      <c r="C188" s="508"/>
      <c r="D188" s="508"/>
      <c r="E188" s="508"/>
      <c r="F188" s="508"/>
      <c r="G188" s="508"/>
      <c r="H188" s="508"/>
      <c r="I188" s="508"/>
      <c r="J188" s="508"/>
      <c r="K188" s="508"/>
      <c r="L188" s="508"/>
      <c r="M188" s="508"/>
      <c r="N188" s="508"/>
      <c r="O188" s="508"/>
      <c r="P188" s="508"/>
      <c r="Q188" s="508"/>
      <c r="R188" s="508"/>
      <c r="U188" s="517"/>
      <c r="V188" s="517"/>
      <c r="W188" s="517"/>
      <c r="X188" s="517"/>
      <c r="Y188" s="517"/>
      <c r="Z188" s="517"/>
      <c r="AA188" s="517"/>
      <c r="AB188" s="517"/>
      <c r="AC188" s="517"/>
      <c r="AD188" s="517"/>
      <c r="AE188" s="517"/>
      <c r="AF188" s="517"/>
      <c r="AG188" s="517"/>
      <c r="AH188" s="517"/>
      <c r="AI188" s="517"/>
      <c r="AJ188" s="517"/>
      <c r="AK188" s="517"/>
      <c r="AL188" s="517"/>
      <c r="AM188" s="517"/>
      <c r="AN188" s="517"/>
      <c r="AO188" s="517"/>
      <c r="AP188" s="517"/>
      <c r="AQ188" s="517"/>
      <c r="AR188" s="517"/>
      <c r="AS188" s="517"/>
      <c r="AT188" s="517"/>
      <c r="AU188" s="517"/>
      <c r="AV188" s="517"/>
      <c r="AW188" s="517"/>
      <c r="AX188" s="517"/>
    </row>
    <row r="189" spans="1:50">
      <c r="A189" s="532" t="s">
        <v>844</v>
      </c>
      <c r="G189" s="552"/>
      <c r="U189" s="517"/>
      <c r="V189" s="517"/>
      <c r="W189" s="517"/>
      <c r="X189" s="517"/>
      <c r="Y189" s="517"/>
      <c r="Z189" s="517"/>
      <c r="AA189" s="517"/>
      <c r="AB189" s="517"/>
      <c r="AC189" s="517"/>
      <c r="AD189" s="517"/>
      <c r="AE189" s="517"/>
      <c r="AF189" s="517"/>
      <c r="AG189" s="517"/>
      <c r="AH189" s="517"/>
      <c r="AI189" s="517"/>
      <c r="AJ189" s="517"/>
      <c r="AK189" s="517"/>
      <c r="AL189" s="517"/>
      <c r="AM189" s="517"/>
      <c r="AN189" s="517"/>
      <c r="AO189" s="517"/>
      <c r="AP189" s="517"/>
      <c r="AQ189" s="517"/>
      <c r="AR189" s="517"/>
      <c r="AS189" s="517"/>
      <c r="AT189" s="517"/>
      <c r="AU189" s="517"/>
      <c r="AV189" s="517"/>
      <c r="AW189" s="517"/>
      <c r="AX189" s="517"/>
    </row>
    <row r="190" spans="1:50">
      <c r="A190" s="532" t="s">
        <v>117</v>
      </c>
      <c r="G190" s="552"/>
      <c r="U190" s="517"/>
      <c r="V190" s="517"/>
      <c r="W190" s="517"/>
      <c r="X190" s="517"/>
      <c r="Y190" s="517"/>
      <c r="Z190" s="517"/>
      <c r="AA190" s="517"/>
      <c r="AB190" s="517"/>
      <c r="AC190" s="517"/>
      <c r="AD190" s="517"/>
      <c r="AE190" s="517"/>
      <c r="AF190" s="517"/>
      <c r="AG190" s="517"/>
      <c r="AH190" s="517"/>
      <c r="AI190" s="517"/>
      <c r="AJ190" s="517"/>
      <c r="AK190" s="517"/>
      <c r="AL190" s="517"/>
      <c r="AM190" s="517"/>
      <c r="AN190" s="517"/>
      <c r="AO190" s="517"/>
      <c r="AP190" s="517"/>
      <c r="AQ190" s="517"/>
      <c r="AR190" s="517"/>
      <c r="AS190" s="517"/>
      <c r="AT190" s="517"/>
      <c r="AU190" s="517"/>
      <c r="AV190" s="517"/>
      <c r="AW190" s="517"/>
      <c r="AX190" s="517"/>
    </row>
    <row r="191" spans="1:50">
      <c r="G191" s="552"/>
      <c r="U191" s="517"/>
      <c r="V191" s="517"/>
      <c r="W191" s="517"/>
      <c r="X191" s="517"/>
      <c r="Y191" s="517"/>
      <c r="Z191" s="517"/>
      <c r="AA191" s="517"/>
      <c r="AB191" s="517"/>
      <c r="AC191" s="517"/>
      <c r="AD191" s="517"/>
      <c r="AE191" s="517"/>
      <c r="AF191" s="517"/>
      <c r="AG191" s="517"/>
      <c r="AH191" s="517"/>
      <c r="AI191" s="517"/>
      <c r="AJ191" s="517"/>
      <c r="AK191" s="517"/>
      <c r="AL191" s="517"/>
      <c r="AM191" s="517"/>
      <c r="AN191" s="517"/>
      <c r="AO191" s="517"/>
      <c r="AP191" s="517"/>
      <c r="AQ191" s="517"/>
      <c r="AR191" s="517"/>
      <c r="AS191" s="517"/>
      <c r="AT191" s="517"/>
      <c r="AU191" s="517"/>
      <c r="AV191" s="517"/>
      <c r="AW191" s="517"/>
      <c r="AX191" s="517"/>
    </row>
    <row r="192" spans="1:50">
      <c r="G192" s="552"/>
      <c r="U192" s="517"/>
      <c r="V192" s="517"/>
      <c r="W192" s="517"/>
      <c r="X192" s="517"/>
      <c r="Y192" s="517"/>
      <c r="Z192" s="517"/>
      <c r="AA192" s="517"/>
      <c r="AB192" s="517"/>
      <c r="AC192" s="517"/>
      <c r="AD192" s="517"/>
      <c r="AE192" s="517"/>
      <c r="AF192" s="517"/>
      <c r="AG192" s="517"/>
      <c r="AH192" s="517"/>
      <c r="AI192" s="517"/>
      <c r="AJ192" s="517"/>
      <c r="AK192" s="517"/>
      <c r="AL192" s="517"/>
      <c r="AM192" s="517"/>
      <c r="AN192" s="517"/>
      <c r="AO192" s="517"/>
      <c r="AP192" s="517"/>
      <c r="AQ192" s="517"/>
      <c r="AR192" s="517"/>
      <c r="AS192" s="517"/>
      <c r="AT192" s="517"/>
      <c r="AU192" s="517"/>
      <c r="AV192" s="517"/>
      <c r="AW192" s="517"/>
      <c r="AX192" s="517"/>
    </row>
    <row r="193" spans="7:50">
      <c r="G193" s="552"/>
      <c r="U193" s="517"/>
      <c r="V193" s="517"/>
      <c r="W193" s="517"/>
      <c r="X193" s="517"/>
      <c r="Y193" s="517"/>
      <c r="Z193" s="517"/>
      <c r="AA193" s="517"/>
      <c r="AB193" s="517"/>
      <c r="AC193" s="517"/>
      <c r="AD193" s="517"/>
      <c r="AE193" s="517"/>
      <c r="AF193" s="517"/>
      <c r="AG193" s="517"/>
      <c r="AH193" s="517"/>
      <c r="AI193" s="517"/>
      <c r="AJ193" s="517"/>
      <c r="AK193" s="517"/>
      <c r="AL193" s="517"/>
      <c r="AM193" s="517"/>
      <c r="AN193" s="517"/>
      <c r="AO193" s="517"/>
      <c r="AP193" s="517"/>
      <c r="AQ193" s="517"/>
      <c r="AR193" s="517"/>
      <c r="AS193" s="517"/>
      <c r="AT193" s="517"/>
      <c r="AU193" s="517"/>
      <c r="AV193" s="517"/>
      <c r="AW193" s="517"/>
      <c r="AX193" s="517"/>
    </row>
    <row r="194" spans="7:50">
      <c r="G194" s="552"/>
      <c r="U194" s="517"/>
      <c r="V194" s="517"/>
      <c r="W194" s="517"/>
      <c r="X194" s="517"/>
      <c r="Y194" s="517"/>
      <c r="Z194" s="517"/>
      <c r="AA194" s="517"/>
      <c r="AB194" s="517"/>
      <c r="AC194" s="517"/>
      <c r="AD194" s="517"/>
      <c r="AE194" s="517"/>
      <c r="AF194" s="517"/>
      <c r="AG194" s="517"/>
      <c r="AH194" s="517"/>
      <c r="AI194" s="517"/>
      <c r="AJ194" s="517"/>
      <c r="AK194" s="517"/>
      <c r="AL194" s="517"/>
      <c r="AM194" s="517"/>
      <c r="AN194" s="517"/>
      <c r="AO194" s="517"/>
      <c r="AP194" s="517"/>
      <c r="AQ194" s="517"/>
      <c r="AR194" s="517"/>
      <c r="AS194" s="517"/>
      <c r="AT194" s="517"/>
      <c r="AU194" s="517"/>
      <c r="AV194" s="517"/>
      <c r="AW194" s="517"/>
      <c r="AX194" s="517"/>
    </row>
    <row r="195" spans="7:50">
      <c r="G195" s="552"/>
      <c r="U195" s="517"/>
      <c r="V195" s="517"/>
      <c r="W195" s="517"/>
      <c r="X195" s="517"/>
      <c r="Y195" s="517"/>
      <c r="Z195" s="517"/>
      <c r="AA195" s="517"/>
      <c r="AB195" s="517"/>
      <c r="AC195" s="517"/>
      <c r="AD195" s="517"/>
      <c r="AE195" s="517"/>
      <c r="AF195" s="517"/>
      <c r="AG195" s="517"/>
      <c r="AH195" s="517"/>
      <c r="AI195" s="517"/>
      <c r="AJ195" s="517"/>
      <c r="AK195" s="517"/>
      <c r="AL195" s="517"/>
      <c r="AM195" s="517"/>
      <c r="AN195" s="517"/>
      <c r="AO195" s="517"/>
      <c r="AP195" s="517"/>
      <c r="AQ195" s="517"/>
      <c r="AR195" s="517"/>
      <c r="AS195" s="517"/>
      <c r="AT195" s="517"/>
      <c r="AU195" s="517"/>
      <c r="AV195" s="517"/>
      <c r="AW195" s="517"/>
      <c r="AX195" s="517"/>
    </row>
    <row r="196" spans="7:50">
      <c r="U196" s="517"/>
      <c r="V196" s="517"/>
      <c r="W196" s="517"/>
      <c r="X196" s="517"/>
      <c r="Y196" s="517"/>
      <c r="Z196" s="517"/>
      <c r="AA196" s="517"/>
      <c r="AB196" s="517"/>
      <c r="AC196" s="517"/>
      <c r="AD196" s="517"/>
      <c r="AE196" s="517"/>
      <c r="AF196" s="517"/>
      <c r="AG196" s="517"/>
      <c r="AH196" s="517"/>
      <c r="AI196" s="517"/>
      <c r="AJ196" s="517"/>
      <c r="AK196" s="517"/>
      <c r="AL196" s="517"/>
      <c r="AM196" s="517"/>
      <c r="AN196" s="517"/>
      <c r="AO196" s="517"/>
      <c r="AP196" s="517"/>
      <c r="AQ196" s="517"/>
      <c r="AR196" s="517"/>
      <c r="AS196" s="517"/>
      <c r="AT196" s="517"/>
      <c r="AU196" s="517"/>
      <c r="AV196" s="517"/>
      <c r="AW196" s="517"/>
      <c r="AX196" s="517"/>
    </row>
    <row r="197" spans="7:50">
      <c r="U197" s="517"/>
      <c r="V197" s="517"/>
      <c r="W197" s="517"/>
      <c r="X197" s="517"/>
      <c r="Y197" s="517"/>
      <c r="Z197" s="517"/>
      <c r="AA197" s="517"/>
      <c r="AB197" s="517"/>
      <c r="AC197" s="517"/>
      <c r="AD197" s="517"/>
      <c r="AE197" s="517"/>
      <c r="AF197" s="517"/>
      <c r="AG197" s="517"/>
      <c r="AH197" s="517"/>
      <c r="AI197" s="517"/>
      <c r="AJ197" s="517"/>
      <c r="AK197" s="517"/>
      <c r="AL197" s="517"/>
      <c r="AM197" s="517"/>
      <c r="AN197" s="517"/>
      <c r="AO197" s="517"/>
      <c r="AP197" s="517"/>
      <c r="AQ197" s="517"/>
      <c r="AR197" s="517"/>
      <c r="AS197" s="517"/>
      <c r="AT197" s="517"/>
      <c r="AU197" s="517"/>
      <c r="AV197" s="517"/>
      <c r="AW197" s="517"/>
      <c r="AX197" s="517"/>
    </row>
    <row r="198" spans="7:50">
      <c r="U198" s="517"/>
      <c r="V198" s="517"/>
      <c r="W198" s="517"/>
      <c r="X198" s="517"/>
      <c r="Y198" s="517"/>
      <c r="Z198" s="517"/>
      <c r="AA198" s="517"/>
      <c r="AB198" s="517"/>
      <c r="AC198" s="517"/>
      <c r="AD198" s="517"/>
      <c r="AE198" s="517"/>
      <c r="AF198" s="517"/>
      <c r="AG198" s="517"/>
      <c r="AH198" s="517"/>
      <c r="AI198" s="517"/>
      <c r="AJ198" s="517"/>
      <c r="AK198" s="517"/>
      <c r="AL198" s="517"/>
      <c r="AM198" s="517"/>
      <c r="AN198" s="517"/>
      <c r="AO198" s="517"/>
      <c r="AP198" s="517"/>
      <c r="AQ198" s="517"/>
      <c r="AR198" s="517"/>
      <c r="AS198" s="517"/>
      <c r="AT198" s="517"/>
      <c r="AU198" s="517"/>
      <c r="AV198" s="517"/>
      <c r="AW198" s="517"/>
      <c r="AX198" s="517"/>
    </row>
    <row r="199" spans="7:50">
      <c r="U199" s="517"/>
      <c r="V199" s="517"/>
      <c r="W199" s="517"/>
      <c r="X199" s="517"/>
      <c r="Y199" s="517"/>
      <c r="Z199" s="517"/>
      <c r="AA199" s="517"/>
      <c r="AB199" s="517"/>
      <c r="AC199" s="517"/>
      <c r="AD199" s="517"/>
      <c r="AE199" s="517"/>
      <c r="AF199" s="517"/>
      <c r="AG199" s="517"/>
      <c r="AH199" s="517"/>
      <c r="AI199" s="517"/>
      <c r="AJ199" s="517"/>
      <c r="AK199" s="517"/>
      <c r="AL199" s="517"/>
      <c r="AM199" s="517"/>
      <c r="AN199" s="517"/>
      <c r="AO199" s="517"/>
      <c r="AP199" s="517"/>
      <c r="AQ199" s="517"/>
      <c r="AR199" s="517"/>
      <c r="AS199" s="517"/>
      <c r="AT199" s="517"/>
      <c r="AU199" s="517"/>
      <c r="AV199" s="517"/>
      <c r="AW199" s="517"/>
      <c r="AX199" s="517"/>
    </row>
    <row r="200" spans="7:50">
      <c r="U200" s="517"/>
      <c r="V200" s="517"/>
      <c r="W200" s="517"/>
      <c r="X200" s="517"/>
      <c r="Y200" s="517"/>
      <c r="Z200" s="517"/>
      <c r="AA200" s="517"/>
      <c r="AB200" s="517"/>
      <c r="AC200" s="517"/>
      <c r="AD200" s="517"/>
      <c r="AE200" s="517"/>
      <c r="AF200" s="517"/>
      <c r="AG200" s="517"/>
      <c r="AH200" s="517"/>
      <c r="AI200" s="517"/>
      <c r="AJ200" s="517"/>
      <c r="AK200" s="517"/>
      <c r="AL200" s="517"/>
      <c r="AM200" s="517"/>
      <c r="AN200" s="517"/>
      <c r="AO200" s="517"/>
      <c r="AP200" s="517"/>
      <c r="AQ200" s="517"/>
      <c r="AR200" s="517"/>
      <c r="AS200" s="517"/>
      <c r="AT200" s="517"/>
      <c r="AU200" s="517"/>
      <c r="AV200" s="517"/>
      <c r="AW200" s="517"/>
      <c r="AX200" s="517"/>
    </row>
    <row r="201" spans="7:50">
      <c r="U201" s="517"/>
      <c r="V201" s="517"/>
      <c r="W201" s="517"/>
      <c r="X201" s="517"/>
      <c r="Y201" s="517"/>
      <c r="Z201" s="517"/>
      <c r="AA201" s="517"/>
      <c r="AB201" s="517"/>
      <c r="AC201" s="517"/>
      <c r="AD201" s="517"/>
      <c r="AE201" s="517"/>
      <c r="AF201" s="517"/>
      <c r="AG201" s="517"/>
      <c r="AH201" s="517"/>
      <c r="AI201" s="517"/>
      <c r="AJ201" s="517"/>
      <c r="AK201" s="517"/>
      <c r="AL201" s="517"/>
      <c r="AM201" s="517"/>
      <c r="AN201" s="517"/>
      <c r="AO201" s="517"/>
      <c r="AP201" s="517"/>
      <c r="AQ201" s="517"/>
      <c r="AR201" s="517"/>
      <c r="AS201" s="517"/>
      <c r="AT201" s="517"/>
      <c r="AU201" s="517"/>
      <c r="AV201" s="517"/>
      <c r="AW201" s="517"/>
      <c r="AX201" s="517"/>
    </row>
    <row r="202" spans="7:50">
      <c r="U202" s="517"/>
      <c r="V202" s="517"/>
      <c r="W202" s="517"/>
      <c r="X202" s="517"/>
      <c r="Y202" s="517"/>
      <c r="Z202" s="517"/>
      <c r="AA202" s="517"/>
      <c r="AB202" s="517"/>
      <c r="AC202" s="517"/>
      <c r="AD202" s="517"/>
      <c r="AE202" s="517"/>
      <c r="AF202" s="517"/>
      <c r="AG202" s="517"/>
      <c r="AH202" s="517"/>
      <c r="AI202" s="517"/>
      <c r="AJ202" s="517"/>
      <c r="AK202" s="517"/>
      <c r="AL202" s="517"/>
      <c r="AM202" s="517"/>
      <c r="AN202" s="517"/>
      <c r="AO202" s="517"/>
      <c r="AP202" s="517"/>
      <c r="AQ202" s="517"/>
      <c r="AR202" s="517"/>
      <c r="AS202" s="517"/>
      <c r="AT202" s="517"/>
      <c r="AU202" s="517"/>
      <c r="AV202" s="517"/>
      <c r="AW202" s="517"/>
      <c r="AX202" s="517"/>
    </row>
    <row r="203" spans="7:50">
      <c r="U203" s="517"/>
      <c r="V203" s="517"/>
      <c r="W203" s="517"/>
      <c r="X203" s="517"/>
      <c r="Y203" s="517"/>
      <c r="Z203" s="517"/>
      <c r="AA203" s="517"/>
      <c r="AB203" s="517"/>
      <c r="AC203" s="517"/>
      <c r="AD203" s="517"/>
      <c r="AE203" s="517"/>
      <c r="AF203" s="517"/>
      <c r="AG203" s="517"/>
      <c r="AH203" s="517"/>
      <c r="AI203" s="517"/>
      <c r="AJ203" s="517"/>
      <c r="AK203" s="517"/>
      <c r="AL203" s="517"/>
      <c r="AM203" s="517"/>
      <c r="AN203" s="517"/>
      <c r="AO203" s="517"/>
      <c r="AP203" s="517"/>
      <c r="AQ203" s="517"/>
      <c r="AR203" s="517"/>
      <c r="AS203" s="517"/>
      <c r="AT203" s="517"/>
      <c r="AU203" s="517"/>
      <c r="AV203" s="517"/>
      <c r="AW203" s="517"/>
      <c r="AX203" s="517"/>
    </row>
    <row r="204" spans="7:50">
      <c r="U204" s="517"/>
      <c r="V204" s="517"/>
      <c r="W204" s="517"/>
      <c r="X204" s="517"/>
      <c r="Y204" s="517"/>
      <c r="Z204" s="517"/>
      <c r="AA204" s="517"/>
      <c r="AB204" s="517"/>
      <c r="AC204" s="517"/>
      <c r="AD204" s="517"/>
      <c r="AE204" s="517"/>
      <c r="AF204" s="517"/>
      <c r="AG204" s="517"/>
      <c r="AH204" s="517"/>
      <c r="AI204" s="517"/>
      <c r="AJ204" s="517"/>
      <c r="AK204" s="517"/>
      <c r="AL204" s="517"/>
      <c r="AM204" s="517"/>
      <c r="AN204" s="517"/>
      <c r="AO204" s="517"/>
      <c r="AP204" s="517"/>
      <c r="AQ204" s="517"/>
      <c r="AR204" s="517"/>
      <c r="AS204" s="517"/>
      <c r="AT204" s="517"/>
      <c r="AU204" s="517"/>
      <c r="AV204" s="517"/>
      <c r="AW204" s="517"/>
      <c r="AX204" s="517"/>
    </row>
    <row r="205" spans="7:50">
      <c r="U205" s="517"/>
      <c r="V205" s="517"/>
      <c r="W205" s="517"/>
      <c r="X205" s="517"/>
      <c r="Y205" s="517"/>
      <c r="Z205" s="517"/>
      <c r="AA205" s="517"/>
      <c r="AB205" s="517"/>
      <c r="AC205" s="517"/>
      <c r="AD205" s="517"/>
      <c r="AE205" s="517"/>
      <c r="AF205" s="517"/>
      <c r="AG205" s="517"/>
      <c r="AH205" s="517"/>
      <c r="AI205" s="517"/>
      <c r="AJ205" s="517"/>
      <c r="AK205" s="517"/>
      <c r="AL205" s="517"/>
      <c r="AM205" s="517"/>
      <c r="AN205" s="517"/>
      <c r="AO205" s="517"/>
      <c r="AP205" s="517"/>
      <c r="AQ205" s="517"/>
      <c r="AR205" s="517"/>
      <c r="AS205" s="517"/>
      <c r="AT205" s="517"/>
      <c r="AU205" s="517"/>
      <c r="AV205" s="517"/>
      <c r="AW205" s="517"/>
      <c r="AX205" s="517"/>
    </row>
    <row r="206" spans="7:50">
      <c r="U206" s="517"/>
      <c r="V206" s="517"/>
      <c r="W206" s="517"/>
      <c r="X206" s="517"/>
      <c r="Y206" s="517"/>
      <c r="Z206" s="517"/>
      <c r="AA206" s="517"/>
      <c r="AB206" s="517"/>
      <c r="AC206" s="517"/>
      <c r="AD206" s="517"/>
      <c r="AE206" s="517"/>
      <c r="AF206" s="517"/>
      <c r="AG206" s="517"/>
      <c r="AH206" s="517"/>
      <c r="AI206" s="517"/>
      <c r="AJ206" s="517"/>
      <c r="AK206" s="517"/>
      <c r="AL206" s="517"/>
      <c r="AM206" s="517"/>
      <c r="AN206" s="517"/>
      <c r="AO206" s="517"/>
      <c r="AP206" s="517"/>
      <c r="AQ206" s="517"/>
      <c r="AR206" s="517"/>
      <c r="AS206" s="517"/>
      <c r="AT206" s="517"/>
      <c r="AU206" s="517"/>
      <c r="AV206" s="517"/>
      <c r="AW206" s="517"/>
      <c r="AX206" s="517"/>
    </row>
    <row r="207" spans="7:50">
      <c r="U207" s="517"/>
      <c r="V207" s="517"/>
      <c r="W207" s="517"/>
      <c r="X207" s="517"/>
      <c r="Y207" s="517"/>
      <c r="Z207" s="517"/>
      <c r="AA207" s="517"/>
      <c r="AB207" s="517"/>
      <c r="AC207" s="517"/>
      <c r="AD207" s="517"/>
      <c r="AE207" s="517"/>
      <c r="AF207" s="517"/>
      <c r="AG207" s="517"/>
      <c r="AH207" s="517"/>
      <c r="AI207" s="517"/>
      <c r="AJ207" s="517"/>
      <c r="AK207" s="517"/>
      <c r="AL207" s="517"/>
      <c r="AM207" s="517"/>
      <c r="AN207" s="517"/>
      <c r="AO207" s="517"/>
      <c r="AP207" s="517"/>
      <c r="AQ207" s="517"/>
      <c r="AR207" s="517"/>
      <c r="AS207" s="517"/>
      <c r="AT207" s="517"/>
      <c r="AU207" s="517"/>
      <c r="AV207" s="517"/>
      <c r="AW207" s="517"/>
      <c r="AX207" s="517"/>
    </row>
    <row r="208" spans="7:50">
      <c r="U208" s="517"/>
      <c r="V208" s="517"/>
      <c r="W208" s="517"/>
      <c r="X208" s="517"/>
      <c r="Y208" s="517"/>
      <c r="Z208" s="517"/>
      <c r="AA208" s="517"/>
      <c r="AB208" s="517"/>
      <c r="AC208" s="517"/>
      <c r="AD208" s="517"/>
      <c r="AE208" s="517"/>
      <c r="AF208" s="517"/>
      <c r="AG208" s="517"/>
      <c r="AH208" s="517"/>
      <c r="AI208" s="517"/>
      <c r="AJ208" s="517"/>
      <c r="AK208" s="517"/>
      <c r="AL208" s="517"/>
      <c r="AM208" s="517"/>
      <c r="AN208" s="517"/>
      <c r="AO208" s="517"/>
      <c r="AP208" s="517"/>
      <c r="AQ208" s="517"/>
      <c r="AR208" s="517"/>
      <c r="AS208" s="517"/>
      <c r="AT208" s="517"/>
      <c r="AU208" s="517"/>
      <c r="AV208" s="517"/>
      <c r="AW208" s="517"/>
      <c r="AX208" s="517"/>
    </row>
    <row r="209" spans="16:50">
      <c r="U209" s="517"/>
      <c r="V209" s="517"/>
      <c r="W209" s="517"/>
      <c r="X209" s="517"/>
      <c r="Y209" s="517"/>
      <c r="Z209" s="517"/>
      <c r="AA209" s="517"/>
      <c r="AB209" s="517"/>
      <c r="AC209" s="517"/>
      <c r="AD209" s="517"/>
      <c r="AE209" s="517"/>
      <c r="AF209" s="517"/>
      <c r="AG209" s="517"/>
      <c r="AH209" s="517"/>
      <c r="AI209" s="517"/>
      <c r="AJ209" s="517"/>
      <c r="AK209" s="517"/>
      <c r="AL209" s="517"/>
      <c r="AM209" s="517"/>
      <c r="AN209" s="517"/>
      <c r="AO209" s="517"/>
      <c r="AP209" s="517"/>
      <c r="AQ209" s="517"/>
      <c r="AR209" s="517"/>
      <c r="AS209" s="517"/>
      <c r="AT209" s="517"/>
      <c r="AU209" s="517"/>
      <c r="AV209" s="517"/>
      <c r="AW209" s="517"/>
      <c r="AX209" s="517"/>
    </row>
    <row r="210" spans="16:50">
      <c r="U210" s="517"/>
      <c r="V210" s="517"/>
      <c r="W210" s="517"/>
      <c r="X210" s="517"/>
      <c r="Y210" s="517"/>
      <c r="Z210" s="517"/>
      <c r="AA210" s="517"/>
      <c r="AB210" s="517"/>
      <c r="AC210" s="517"/>
      <c r="AD210" s="517"/>
      <c r="AE210" s="517"/>
      <c r="AF210" s="517"/>
      <c r="AG210" s="517"/>
      <c r="AH210" s="517"/>
      <c r="AI210" s="517"/>
      <c r="AJ210" s="517"/>
      <c r="AK210" s="517"/>
      <c r="AL210" s="517"/>
      <c r="AM210" s="517"/>
      <c r="AN210" s="517"/>
      <c r="AO210" s="517"/>
      <c r="AP210" s="517"/>
      <c r="AQ210" s="517"/>
      <c r="AR210" s="517"/>
      <c r="AS210" s="517"/>
      <c r="AT210" s="517"/>
      <c r="AU210" s="517"/>
      <c r="AV210" s="517"/>
      <c r="AW210" s="517"/>
      <c r="AX210" s="517"/>
    </row>
    <row r="211" spans="16:50">
      <c r="U211" s="517"/>
      <c r="V211" s="517"/>
      <c r="W211" s="517"/>
      <c r="X211" s="517"/>
      <c r="Y211" s="517"/>
      <c r="Z211" s="517"/>
      <c r="AA211" s="517"/>
      <c r="AB211" s="517"/>
      <c r="AC211" s="517"/>
      <c r="AD211" s="517"/>
      <c r="AE211" s="517"/>
      <c r="AF211" s="517"/>
      <c r="AG211" s="517"/>
      <c r="AH211" s="517"/>
      <c r="AI211" s="517"/>
      <c r="AJ211" s="517"/>
      <c r="AK211" s="517"/>
      <c r="AL211" s="517"/>
      <c r="AM211" s="517"/>
      <c r="AN211" s="517"/>
      <c r="AO211" s="517"/>
      <c r="AP211" s="517"/>
      <c r="AQ211" s="517"/>
      <c r="AR211" s="517"/>
      <c r="AS211" s="517"/>
      <c r="AT211" s="517"/>
      <c r="AU211" s="517"/>
      <c r="AV211" s="517"/>
      <c r="AW211" s="517"/>
      <c r="AX211" s="517"/>
    </row>
    <row r="212" spans="16:50">
      <c r="U212" s="517"/>
      <c r="V212" s="517"/>
      <c r="W212" s="517"/>
      <c r="X212" s="517"/>
      <c r="Y212" s="517"/>
      <c r="Z212" s="517"/>
      <c r="AA212" s="517"/>
      <c r="AB212" s="517"/>
      <c r="AC212" s="517"/>
      <c r="AD212" s="517"/>
      <c r="AE212" s="517"/>
      <c r="AF212" s="517"/>
      <c r="AG212" s="517"/>
      <c r="AH212" s="517"/>
      <c r="AI212" s="517"/>
      <c r="AJ212" s="517"/>
      <c r="AK212" s="517"/>
      <c r="AL212" s="517"/>
      <c r="AM212" s="517"/>
      <c r="AN212" s="517"/>
      <c r="AO212" s="517"/>
      <c r="AP212" s="517"/>
      <c r="AQ212" s="517"/>
      <c r="AR212" s="517"/>
      <c r="AS212" s="517"/>
      <c r="AT212" s="517"/>
      <c r="AU212" s="517"/>
      <c r="AV212" s="517"/>
      <c r="AW212" s="517"/>
      <c r="AX212" s="517"/>
    </row>
    <row r="213" spans="16:50">
      <c r="U213" s="517"/>
      <c r="V213" s="517"/>
      <c r="W213" s="517"/>
      <c r="X213" s="517"/>
      <c r="Y213" s="517"/>
      <c r="Z213" s="517"/>
      <c r="AA213" s="517"/>
      <c r="AB213" s="517"/>
      <c r="AC213" s="517"/>
      <c r="AD213" s="517"/>
      <c r="AE213" s="517"/>
      <c r="AF213" s="517"/>
      <c r="AG213" s="517"/>
      <c r="AH213" s="517"/>
      <c r="AI213" s="517"/>
      <c r="AJ213" s="517"/>
      <c r="AK213" s="517"/>
      <c r="AL213" s="517"/>
      <c r="AM213" s="517"/>
      <c r="AN213" s="517"/>
      <c r="AO213" s="517"/>
      <c r="AP213" s="517"/>
      <c r="AQ213" s="517"/>
      <c r="AR213" s="517"/>
      <c r="AS213" s="517"/>
      <c r="AT213" s="517"/>
      <c r="AU213" s="517"/>
      <c r="AV213" s="517"/>
      <c r="AW213" s="517"/>
      <c r="AX213" s="517"/>
    </row>
    <row r="214" spans="16:50">
      <c r="U214" s="517"/>
      <c r="V214" s="517"/>
      <c r="W214" s="517"/>
      <c r="X214" s="517"/>
      <c r="Y214" s="517"/>
      <c r="Z214" s="517"/>
      <c r="AA214" s="517"/>
      <c r="AB214" s="517"/>
      <c r="AC214" s="517"/>
      <c r="AD214" s="517"/>
      <c r="AE214" s="517"/>
      <c r="AF214" s="517"/>
      <c r="AG214" s="517"/>
      <c r="AH214" s="517"/>
      <c r="AI214" s="517"/>
      <c r="AJ214" s="517"/>
      <c r="AK214" s="517"/>
      <c r="AL214" s="517"/>
      <c r="AM214" s="517"/>
      <c r="AN214" s="517"/>
      <c r="AO214" s="517"/>
      <c r="AP214" s="517"/>
      <c r="AQ214" s="517"/>
      <c r="AR214" s="517"/>
      <c r="AS214" s="517"/>
      <c r="AT214" s="517"/>
      <c r="AU214" s="517"/>
      <c r="AV214" s="517"/>
      <c r="AW214" s="517"/>
      <c r="AX214" s="517"/>
    </row>
    <row r="221" spans="16:50">
      <c r="P221" s="553"/>
    </row>
  </sheetData>
  <mergeCells count="8">
    <mergeCell ref="A65:C65"/>
    <mergeCell ref="A126:C126"/>
    <mergeCell ref="A1:R1"/>
    <mergeCell ref="A2:R2"/>
    <mergeCell ref="AH5:AI5"/>
    <mergeCell ref="AJ5:AK5"/>
    <mergeCell ref="AH32:AI32"/>
    <mergeCell ref="AJ32:AK3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FX1039"/>
  <sheetViews>
    <sheetView zoomScale="89" zoomScaleNormal="89" workbookViewId="0">
      <selection activeCell="AU15" sqref="AU15"/>
    </sheetView>
  </sheetViews>
  <sheetFormatPr defaultRowHeight="12.75"/>
  <cols>
    <col min="1" max="1" width="16.7109375" style="616" customWidth="1"/>
    <col min="2" max="2" width="1.7109375" style="617" hidden="1" customWidth="1"/>
    <col min="3" max="10" width="8.85546875" style="617" hidden="1" customWidth="1"/>
    <col min="11" max="11" width="2.42578125" style="616" hidden="1" customWidth="1"/>
    <col min="12" max="15" width="8.85546875" style="617" hidden="1" customWidth="1"/>
    <col min="16" max="16" width="1.85546875" style="617" hidden="1" customWidth="1"/>
    <col min="17" max="20" width="8.85546875" style="617" hidden="1" customWidth="1"/>
    <col min="21" max="21" width="1.85546875" style="617" hidden="1" customWidth="1"/>
    <col min="22" max="25" width="8.85546875" style="617" hidden="1" customWidth="1"/>
    <col min="26" max="26" width="1.85546875" style="617" hidden="1" customWidth="1"/>
    <col min="27" max="42" width="8.85546875" style="617" customWidth="1"/>
    <col min="43" max="43" width="11.140625" style="617" customWidth="1"/>
    <col min="44" max="45" width="11.85546875" style="616" customWidth="1"/>
    <col min="46" max="55" width="18" style="609" customWidth="1"/>
    <col min="56" max="56" width="6.28515625" style="609" customWidth="1"/>
    <col min="57" max="57" width="7" style="609" customWidth="1"/>
    <col min="58" max="63" width="6.28515625" style="609" hidden="1" customWidth="1"/>
    <col min="64" max="67" width="0" style="609" hidden="1" customWidth="1"/>
    <col min="68" max="180" width="9.140625" style="609"/>
    <col min="181" max="268" width="9.140625" style="616"/>
    <col min="269" max="269" width="11.7109375" style="616" customWidth="1"/>
    <col min="270" max="284" width="0" style="616" hidden="1" customWidth="1"/>
    <col min="285" max="288" width="8.85546875" style="616" customWidth="1"/>
    <col min="289" max="289" width="1.85546875" style="616" customWidth="1"/>
    <col min="290" max="293" width="8.85546875" style="616" customWidth="1"/>
    <col min="294" max="294" width="1.85546875" style="616" customWidth="1"/>
    <col min="295" max="298" width="8.85546875" style="616" customWidth="1"/>
    <col min="299" max="299" width="11.140625" style="616" customWidth="1"/>
    <col min="300" max="301" width="11.85546875" style="616" customWidth="1"/>
    <col min="302" max="311" width="18" style="616" customWidth="1"/>
    <col min="312" max="312" width="6.28515625" style="616" customWidth="1"/>
    <col min="313" max="313" width="7" style="616" customWidth="1"/>
    <col min="314" max="319" width="6.28515625" style="616" customWidth="1"/>
    <col min="320" max="524" width="9.140625" style="616"/>
    <col min="525" max="525" width="11.7109375" style="616" customWidth="1"/>
    <col min="526" max="540" width="0" style="616" hidden="1" customWidth="1"/>
    <col min="541" max="544" width="8.85546875" style="616" customWidth="1"/>
    <col min="545" max="545" width="1.85546875" style="616" customWidth="1"/>
    <col min="546" max="549" width="8.85546875" style="616" customWidth="1"/>
    <col min="550" max="550" width="1.85546875" style="616" customWidth="1"/>
    <col min="551" max="554" width="8.85546875" style="616" customWidth="1"/>
    <col min="555" max="555" width="11.140625" style="616" customWidth="1"/>
    <col min="556" max="557" width="11.85546875" style="616" customWidth="1"/>
    <col min="558" max="567" width="18" style="616" customWidth="1"/>
    <col min="568" max="568" width="6.28515625" style="616" customWidth="1"/>
    <col min="569" max="569" width="7" style="616" customWidth="1"/>
    <col min="570" max="575" width="6.28515625" style="616" customWidth="1"/>
    <col min="576" max="780" width="9.140625" style="616"/>
    <col min="781" max="781" width="11.7109375" style="616" customWidth="1"/>
    <col min="782" max="796" width="0" style="616" hidden="1" customWidth="1"/>
    <col min="797" max="800" width="8.85546875" style="616" customWidth="1"/>
    <col min="801" max="801" width="1.85546875" style="616" customWidth="1"/>
    <col min="802" max="805" width="8.85546875" style="616" customWidth="1"/>
    <col min="806" max="806" width="1.85546875" style="616" customWidth="1"/>
    <col min="807" max="810" width="8.85546875" style="616" customWidth="1"/>
    <col min="811" max="811" width="11.140625" style="616" customWidth="1"/>
    <col min="812" max="813" width="11.85546875" style="616" customWidth="1"/>
    <col min="814" max="823" width="18" style="616" customWidth="1"/>
    <col min="824" max="824" width="6.28515625" style="616" customWidth="1"/>
    <col min="825" max="825" width="7" style="616" customWidth="1"/>
    <col min="826" max="831" width="6.28515625" style="616" customWidth="1"/>
    <col min="832" max="1036" width="9.140625" style="616"/>
    <col min="1037" max="1037" width="11.7109375" style="616" customWidth="1"/>
    <col min="1038" max="1052" width="0" style="616" hidden="1" customWidth="1"/>
    <col min="1053" max="1056" width="8.85546875" style="616" customWidth="1"/>
    <col min="1057" max="1057" width="1.85546875" style="616" customWidth="1"/>
    <col min="1058" max="1061" width="8.85546875" style="616" customWidth="1"/>
    <col min="1062" max="1062" width="1.85546875" style="616" customWidth="1"/>
    <col min="1063" max="1066" width="8.85546875" style="616" customWidth="1"/>
    <col min="1067" max="1067" width="11.140625" style="616" customWidth="1"/>
    <col min="1068" max="1069" width="11.85546875" style="616" customWidth="1"/>
    <col min="1070" max="1079" width="18" style="616" customWidth="1"/>
    <col min="1080" max="1080" width="6.28515625" style="616" customWidth="1"/>
    <col min="1081" max="1081" width="7" style="616" customWidth="1"/>
    <col min="1082" max="1087" width="6.28515625" style="616" customWidth="1"/>
    <col min="1088" max="1292" width="9.140625" style="616"/>
    <col min="1293" max="1293" width="11.7109375" style="616" customWidth="1"/>
    <col min="1294" max="1308" width="0" style="616" hidden="1" customWidth="1"/>
    <col min="1309" max="1312" width="8.85546875" style="616" customWidth="1"/>
    <col min="1313" max="1313" width="1.85546875" style="616" customWidth="1"/>
    <col min="1314" max="1317" width="8.85546875" style="616" customWidth="1"/>
    <col min="1318" max="1318" width="1.85546875" style="616" customWidth="1"/>
    <col min="1319" max="1322" width="8.85546875" style="616" customWidth="1"/>
    <col min="1323" max="1323" width="11.140625" style="616" customWidth="1"/>
    <col min="1324" max="1325" width="11.85546875" style="616" customWidth="1"/>
    <col min="1326" max="1335" width="18" style="616" customWidth="1"/>
    <col min="1336" max="1336" width="6.28515625" style="616" customWidth="1"/>
    <col min="1337" max="1337" width="7" style="616" customWidth="1"/>
    <col min="1338" max="1343" width="6.28515625" style="616" customWidth="1"/>
    <col min="1344" max="1548" width="9.140625" style="616"/>
    <col min="1549" max="1549" width="11.7109375" style="616" customWidth="1"/>
    <col min="1550" max="1564" width="0" style="616" hidden="1" customWidth="1"/>
    <col min="1565" max="1568" width="8.85546875" style="616" customWidth="1"/>
    <col min="1569" max="1569" width="1.85546875" style="616" customWidth="1"/>
    <col min="1570" max="1573" width="8.85546875" style="616" customWidth="1"/>
    <col min="1574" max="1574" width="1.85546875" style="616" customWidth="1"/>
    <col min="1575" max="1578" width="8.85546875" style="616" customWidth="1"/>
    <col min="1579" max="1579" width="11.140625" style="616" customWidth="1"/>
    <col min="1580" max="1581" width="11.85546875" style="616" customWidth="1"/>
    <col min="1582" max="1591" width="18" style="616" customWidth="1"/>
    <col min="1592" max="1592" width="6.28515625" style="616" customWidth="1"/>
    <col min="1593" max="1593" width="7" style="616" customWidth="1"/>
    <col min="1594" max="1599" width="6.28515625" style="616" customWidth="1"/>
    <col min="1600" max="1804" width="9.140625" style="616"/>
    <col min="1805" max="1805" width="11.7109375" style="616" customWidth="1"/>
    <col min="1806" max="1820" width="0" style="616" hidden="1" customWidth="1"/>
    <col min="1821" max="1824" width="8.85546875" style="616" customWidth="1"/>
    <col min="1825" max="1825" width="1.85546875" style="616" customWidth="1"/>
    <col min="1826" max="1829" width="8.85546875" style="616" customWidth="1"/>
    <col min="1830" max="1830" width="1.85546875" style="616" customWidth="1"/>
    <col min="1831" max="1834" width="8.85546875" style="616" customWidth="1"/>
    <col min="1835" max="1835" width="11.140625" style="616" customWidth="1"/>
    <col min="1836" max="1837" width="11.85546875" style="616" customWidth="1"/>
    <col min="1838" max="1847" width="18" style="616" customWidth="1"/>
    <col min="1848" max="1848" width="6.28515625" style="616" customWidth="1"/>
    <col min="1849" max="1849" width="7" style="616" customWidth="1"/>
    <col min="1850" max="1855" width="6.28515625" style="616" customWidth="1"/>
    <col min="1856" max="2060" width="9.140625" style="616"/>
    <col min="2061" max="2061" width="11.7109375" style="616" customWidth="1"/>
    <col min="2062" max="2076" width="0" style="616" hidden="1" customWidth="1"/>
    <col min="2077" max="2080" width="8.85546875" style="616" customWidth="1"/>
    <col min="2081" max="2081" width="1.85546875" style="616" customWidth="1"/>
    <col min="2082" max="2085" width="8.85546875" style="616" customWidth="1"/>
    <col min="2086" max="2086" width="1.85546875" style="616" customWidth="1"/>
    <col min="2087" max="2090" width="8.85546875" style="616" customWidth="1"/>
    <col min="2091" max="2091" width="11.140625" style="616" customWidth="1"/>
    <col min="2092" max="2093" width="11.85546875" style="616" customWidth="1"/>
    <col min="2094" max="2103" width="18" style="616" customWidth="1"/>
    <col min="2104" max="2104" width="6.28515625" style="616" customWidth="1"/>
    <col min="2105" max="2105" width="7" style="616" customWidth="1"/>
    <col min="2106" max="2111" width="6.28515625" style="616" customWidth="1"/>
    <col min="2112" max="2316" width="9.140625" style="616"/>
    <col min="2317" max="2317" width="11.7109375" style="616" customWidth="1"/>
    <col min="2318" max="2332" width="0" style="616" hidden="1" customWidth="1"/>
    <col min="2333" max="2336" width="8.85546875" style="616" customWidth="1"/>
    <col min="2337" max="2337" width="1.85546875" style="616" customWidth="1"/>
    <col min="2338" max="2341" width="8.85546875" style="616" customWidth="1"/>
    <col min="2342" max="2342" width="1.85546875" style="616" customWidth="1"/>
    <col min="2343" max="2346" width="8.85546875" style="616" customWidth="1"/>
    <col min="2347" max="2347" width="11.140625" style="616" customWidth="1"/>
    <col min="2348" max="2349" width="11.85546875" style="616" customWidth="1"/>
    <col min="2350" max="2359" width="18" style="616" customWidth="1"/>
    <col min="2360" max="2360" width="6.28515625" style="616" customWidth="1"/>
    <col min="2361" max="2361" width="7" style="616" customWidth="1"/>
    <col min="2362" max="2367" width="6.28515625" style="616" customWidth="1"/>
    <col min="2368" max="2572" width="9.140625" style="616"/>
    <col min="2573" max="2573" width="11.7109375" style="616" customWidth="1"/>
    <col min="2574" max="2588" width="0" style="616" hidden="1" customWidth="1"/>
    <col min="2589" max="2592" width="8.85546875" style="616" customWidth="1"/>
    <col min="2593" max="2593" width="1.85546875" style="616" customWidth="1"/>
    <col min="2594" max="2597" width="8.85546875" style="616" customWidth="1"/>
    <col min="2598" max="2598" width="1.85546875" style="616" customWidth="1"/>
    <col min="2599" max="2602" width="8.85546875" style="616" customWidth="1"/>
    <col min="2603" max="2603" width="11.140625" style="616" customWidth="1"/>
    <col min="2604" max="2605" width="11.85546875" style="616" customWidth="1"/>
    <col min="2606" max="2615" width="18" style="616" customWidth="1"/>
    <col min="2616" max="2616" width="6.28515625" style="616" customWidth="1"/>
    <col min="2617" max="2617" width="7" style="616" customWidth="1"/>
    <col min="2618" max="2623" width="6.28515625" style="616" customWidth="1"/>
    <col min="2624" max="2828" width="9.140625" style="616"/>
    <col min="2829" max="2829" width="11.7109375" style="616" customWidth="1"/>
    <col min="2830" max="2844" width="0" style="616" hidden="1" customWidth="1"/>
    <col min="2845" max="2848" width="8.85546875" style="616" customWidth="1"/>
    <col min="2849" max="2849" width="1.85546875" style="616" customWidth="1"/>
    <col min="2850" max="2853" width="8.85546875" style="616" customWidth="1"/>
    <col min="2854" max="2854" width="1.85546875" style="616" customWidth="1"/>
    <col min="2855" max="2858" width="8.85546875" style="616" customWidth="1"/>
    <col min="2859" max="2859" width="11.140625" style="616" customWidth="1"/>
    <col min="2860" max="2861" width="11.85546875" style="616" customWidth="1"/>
    <col min="2862" max="2871" width="18" style="616" customWidth="1"/>
    <col min="2872" max="2872" width="6.28515625" style="616" customWidth="1"/>
    <col min="2873" max="2873" width="7" style="616" customWidth="1"/>
    <col min="2874" max="2879" width="6.28515625" style="616" customWidth="1"/>
    <col min="2880" max="3084" width="9.140625" style="616"/>
    <col min="3085" max="3085" width="11.7109375" style="616" customWidth="1"/>
    <col min="3086" max="3100" width="0" style="616" hidden="1" customWidth="1"/>
    <col min="3101" max="3104" width="8.85546875" style="616" customWidth="1"/>
    <col min="3105" max="3105" width="1.85546875" style="616" customWidth="1"/>
    <col min="3106" max="3109" width="8.85546875" style="616" customWidth="1"/>
    <col min="3110" max="3110" width="1.85546875" style="616" customWidth="1"/>
    <col min="3111" max="3114" width="8.85546875" style="616" customWidth="1"/>
    <col min="3115" max="3115" width="11.140625" style="616" customWidth="1"/>
    <col min="3116" max="3117" width="11.85546875" style="616" customWidth="1"/>
    <col min="3118" max="3127" width="18" style="616" customWidth="1"/>
    <col min="3128" max="3128" width="6.28515625" style="616" customWidth="1"/>
    <col min="3129" max="3129" width="7" style="616" customWidth="1"/>
    <col min="3130" max="3135" width="6.28515625" style="616" customWidth="1"/>
    <col min="3136" max="3340" width="9.140625" style="616"/>
    <col min="3341" max="3341" width="11.7109375" style="616" customWidth="1"/>
    <col min="3342" max="3356" width="0" style="616" hidden="1" customWidth="1"/>
    <col min="3357" max="3360" width="8.85546875" style="616" customWidth="1"/>
    <col min="3361" max="3361" width="1.85546875" style="616" customWidth="1"/>
    <col min="3362" max="3365" width="8.85546875" style="616" customWidth="1"/>
    <col min="3366" max="3366" width="1.85546875" style="616" customWidth="1"/>
    <col min="3367" max="3370" width="8.85546875" style="616" customWidth="1"/>
    <col min="3371" max="3371" width="11.140625" style="616" customWidth="1"/>
    <col min="3372" max="3373" width="11.85546875" style="616" customWidth="1"/>
    <col min="3374" max="3383" width="18" style="616" customWidth="1"/>
    <col min="3384" max="3384" width="6.28515625" style="616" customWidth="1"/>
    <col min="3385" max="3385" width="7" style="616" customWidth="1"/>
    <col min="3386" max="3391" width="6.28515625" style="616" customWidth="1"/>
    <col min="3392" max="3596" width="9.140625" style="616"/>
    <col min="3597" max="3597" width="11.7109375" style="616" customWidth="1"/>
    <col min="3598" max="3612" width="0" style="616" hidden="1" customWidth="1"/>
    <col min="3613" max="3616" width="8.85546875" style="616" customWidth="1"/>
    <col min="3617" max="3617" width="1.85546875" style="616" customWidth="1"/>
    <col min="3618" max="3621" width="8.85546875" style="616" customWidth="1"/>
    <col min="3622" max="3622" width="1.85546875" style="616" customWidth="1"/>
    <col min="3623" max="3626" width="8.85546875" style="616" customWidth="1"/>
    <col min="3627" max="3627" width="11.140625" style="616" customWidth="1"/>
    <col min="3628" max="3629" width="11.85546875" style="616" customWidth="1"/>
    <col min="3630" max="3639" width="18" style="616" customWidth="1"/>
    <col min="3640" max="3640" width="6.28515625" style="616" customWidth="1"/>
    <col min="3641" max="3641" width="7" style="616" customWidth="1"/>
    <col min="3642" max="3647" width="6.28515625" style="616" customWidth="1"/>
    <col min="3648" max="3852" width="9.140625" style="616"/>
    <col min="3853" max="3853" width="11.7109375" style="616" customWidth="1"/>
    <col min="3854" max="3868" width="0" style="616" hidden="1" customWidth="1"/>
    <col min="3869" max="3872" width="8.85546875" style="616" customWidth="1"/>
    <col min="3873" max="3873" width="1.85546875" style="616" customWidth="1"/>
    <col min="3874" max="3877" width="8.85546875" style="616" customWidth="1"/>
    <col min="3878" max="3878" width="1.85546875" style="616" customWidth="1"/>
    <col min="3879" max="3882" width="8.85546875" style="616" customWidth="1"/>
    <col min="3883" max="3883" width="11.140625" style="616" customWidth="1"/>
    <col min="3884" max="3885" width="11.85546875" style="616" customWidth="1"/>
    <col min="3886" max="3895" width="18" style="616" customWidth="1"/>
    <col min="3896" max="3896" width="6.28515625" style="616" customWidth="1"/>
    <col min="3897" max="3897" width="7" style="616" customWidth="1"/>
    <col min="3898" max="3903" width="6.28515625" style="616" customWidth="1"/>
    <col min="3904" max="4108" width="9.140625" style="616"/>
    <col min="4109" max="4109" width="11.7109375" style="616" customWidth="1"/>
    <col min="4110" max="4124" width="0" style="616" hidden="1" customWidth="1"/>
    <col min="4125" max="4128" width="8.85546875" style="616" customWidth="1"/>
    <col min="4129" max="4129" width="1.85546875" style="616" customWidth="1"/>
    <col min="4130" max="4133" width="8.85546875" style="616" customWidth="1"/>
    <col min="4134" max="4134" width="1.85546875" style="616" customWidth="1"/>
    <col min="4135" max="4138" width="8.85546875" style="616" customWidth="1"/>
    <col min="4139" max="4139" width="11.140625" style="616" customWidth="1"/>
    <col min="4140" max="4141" width="11.85546875" style="616" customWidth="1"/>
    <col min="4142" max="4151" width="18" style="616" customWidth="1"/>
    <col min="4152" max="4152" width="6.28515625" style="616" customWidth="1"/>
    <col min="4153" max="4153" width="7" style="616" customWidth="1"/>
    <col min="4154" max="4159" width="6.28515625" style="616" customWidth="1"/>
    <col min="4160" max="4364" width="9.140625" style="616"/>
    <col min="4365" max="4365" width="11.7109375" style="616" customWidth="1"/>
    <col min="4366" max="4380" width="0" style="616" hidden="1" customWidth="1"/>
    <col min="4381" max="4384" width="8.85546875" style="616" customWidth="1"/>
    <col min="4385" max="4385" width="1.85546875" style="616" customWidth="1"/>
    <col min="4386" max="4389" width="8.85546875" style="616" customWidth="1"/>
    <col min="4390" max="4390" width="1.85546875" style="616" customWidth="1"/>
    <col min="4391" max="4394" width="8.85546875" style="616" customWidth="1"/>
    <col min="4395" max="4395" width="11.140625" style="616" customWidth="1"/>
    <col min="4396" max="4397" width="11.85546875" style="616" customWidth="1"/>
    <col min="4398" max="4407" width="18" style="616" customWidth="1"/>
    <col min="4408" max="4408" width="6.28515625" style="616" customWidth="1"/>
    <col min="4409" max="4409" width="7" style="616" customWidth="1"/>
    <col min="4410" max="4415" width="6.28515625" style="616" customWidth="1"/>
    <col min="4416" max="4620" width="9.140625" style="616"/>
    <col min="4621" max="4621" width="11.7109375" style="616" customWidth="1"/>
    <col min="4622" max="4636" width="0" style="616" hidden="1" customWidth="1"/>
    <col min="4637" max="4640" width="8.85546875" style="616" customWidth="1"/>
    <col min="4641" max="4641" width="1.85546875" style="616" customWidth="1"/>
    <col min="4642" max="4645" width="8.85546875" style="616" customWidth="1"/>
    <col min="4646" max="4646" width="1.85546875" style="616" customWidth="1"/>
    <col min="4647" max="4650" width="8.85546875" style="616" customWidth="1"/>
    <col min="4651" max="4651" width="11.140625" style="616" customWidth="1"/>
    <col min="4652" max="4653" width="11.85546875" style="616" customWidth="1"/>
    <col min="4654" max="4663" width="18" style="616" customWidth="1"/>
    <col min="4664" max="4664" width="6.28515625" style="616" customWidth="1"/>
    <col min="4665" max="4665" width="7" style="616" customWidth="1"/>
    <col min="4666" max="4671" width="6.28515625" style="616" customWidth="1"/>
    <col min="4672" max="4876" width="9.140625" style="616"/>
    <col min="4877" max="4877" width="11.7109375" style="616" customWidth="1"/>
    <col min="4878" max="4892" width="0" style="616" hidden="1" customWidth="1"/>
    <col min="4893" max="4896" width="8.85546875" style="616" customWidth="1"/>
    <col min="4897" max="4897" width="1.85546875" style="616" customWidth="1"/>
    <col min="4898" max="4901" width="8.85546875" style="616" customWidth="1"/>
    <col min="4902" max="4902" width="1.85546875" style="616" customWidth="1"/>
    <col min="4903" max="4906" width="8.85546875" style="616" customWidth="1"/>
    <col min="4907" max="4907" width="11.140625" style="616" customWidth="1"/>
    <col min="4908" max="4909" width="11.85546875" style="616" customWidth="1"/>
    <col min="4910" max="4919" width="18" style="616" customWidth="1"/>
    <col min="4920" max="4920" width="6.28515625" style="616" customWidth="1"/>
    <col min="4921" max="4921" width="7" style="616" customWidth="1"/>
    <col min="4922" max="4927" width="6.28515625" style="616" customWidth="1"/>
    <col min="4928" max="5132" width="9.140625" style="616"/>
    <col min="5133" max="5133" width="11.7109375" style="616" customWidth="1"/>
    <col min="5134" max="5148" width="0" style="616" hidden="1" customWidth="1"/>
    <col min="5149" max="5152" width="8.85546875" style="616" customWidth="1"/>
    <col min="5153" max="5153" width="1.85546875" style="616" customWidth="1"/>
    <col min="5154" max="5157" width="8.85546875" style="616" customWidth="1"/>
    <col min="5158" max="5158" width="1.85546875" style="616" customWidth="1"/>
    <col min="5159" max="5162" width="8.85546875" style="616" customWidth="1"/>
    <col min="5163" max="5163" width="11.140625" style="616" customWidth="1"/>
    <col min="5164" max="5165" width="11.85546875" style="616" customWidth="1"/>
    <col min="5166" max="5175" width="18" style="616" customWidth="1"/>
    <col min="5176" max="5176" width="6.28515625" style="616" customWidth="1"/>
    <col min="5177" max="5177" width="7" style="616" customWidth="1"/>
    <col min="5178" max="5183" width="6.28515625" style="616" customWidth="1"/>
    <col min="5184" max="5388" width="9.140625" style="616"/>
    <col min="5389" max="5389" width="11.7109375" style="616" customWidth="1"/>
    <col min="5390" max="5404" width="0" style="616" hidden="1" customWidth="1"/>
    <col min="5405" max="5408" width="8.85546875" style="616" customWidth="1"/>
    <col min="5409" max="5409" width="1.85546875" style="616" customWidth="1"/>
    <col min="5410" max="5413" width="8.85546875" style="616" customWidth="1"/>
    <col min="5414" max="5414" width="1.85546875" style="616" customWidth="1"/>
    <col min="5415" max="5418" width="8.85546875" style="616" customWidth="1"/>
    <col min="5419" max="5419" width="11.140625" style="616" customWidth="1"/>
    <col min="5420" max="5421" width="11.85546875" style="616" customWidth="1"/>
    <col min="5422" max="5431" width="18" style="616" customWidth="1"/>
    <col min="5432" max="5432" width="6.28515625" style="616" customWidth="1"/>
    <col min="5433" max="5433" width="7" style="616" customWidth="1"/>
    <col min="5434" max="5439" width="6.28515625" style="616" customWidth="1"/>
    <col min="5440" max="5644" width="9.140625" style="616"/>
    <col min="5645" max="5645" width="11.7109375" style="616" customWidth="1"/>
    <col min="5646" max="5660" width="0" style="616" hidden="1" customWidth="1"/>
    <col min="5661" max="5664" width="8.85546875" style="616" customWidth="1"/>
    <col min="5665" max="5665" width="1.85546875" style="616" customWidth="1"/>
    <col min="5666" max="5669" width="8.85546875" style="616" customWidth="1"/>
    <col min="5670" max="5670" width="1.85546875" style="616" customWidth="1"/>
    <col min="5671" max="5674" width="8.85546875" style="616" customWidth="1"/>
    <col min="5675" max="5675" width="11.140625" style="616" customWidth="1"/>
    <col min="5676" max="5677" width="11.85546875" style="616" customWidth="1"/>
    <col min="5678" max="5687" width="18" style="616" customWidth="1"/>
    <col min="5688" max="5688" width="6.28515625" style="616" customWidth="1"/>
    <col min="5689" max="5689" width="7" style="616" customWidth="1"/>
    <col min="5690" max="5695" width="6.28515625" style="616" customWidth="1"/>
    <col min="5696" max="5900" width="9.140625" style="616"/>
    <col min="5901" max="5901" width="11.7109375" style="616" customWidth="1"/>
    <col min="5902" max="5916" width="0" style="616" hidden="1" customWidth="1"/>
    <col min="5917" max="5920" width="8.85546875" style="616" customWidth="1"/>
    <col min="5921" max="5921" width="1.85546875" style="616" customWidth="1"/>
    <col min="5922" max="5925" width="8.85546875" style="616" customWidth="1"/>
    <col min="5926" max="5926" width="1.85546875" style="616" customWidth="1"/>
    <col min="5927" max="5930" width="8.85546875" style="616" customWidth="1"/>
    <col min="5931" max="5931" width="11.140625" style="616" customWidth="1"/>
    <col min="5932" max="5933" width="11.85546875" style="616" customWidth="1"/>
    <col min="5934" max="5943" width="18" style="616" customWidth="1"/>
    <col min="5944" max="5944" width="6.28515625" style="616" customWidth="1"/>
    <col min="5945" max="5945" width="7" style="616" customWidth="1"/>
    <col min="5946" max="5951" width="6.28515625" style="616" customWidth="1"/>
    <col min="5952" max="6156" width="9.140625" style="616"/>
    <col min="6157" max="6157" width="11.7109375" style="616" customWidth="1"/>
    <col min="6158" max="6172" width="0" style="616" hidden="1" customWidth="1"/>
    <col min="6173" max="6176" width="8.85546875" style="616" customWidth="1"/>
    <col min="6177" max="6177" width="1.85546875" style="616" customWidth="1"/>
    <col min="6178" max="6181" width="8.85546875" style="616" customWidth="1"/>
    <col min="6182" max="6182" width="1.85546875" style="616" customWidth="1"/>
    <col min="6183" max="6186" width="8.85546875" style="616" customWidth="1"/>
    <col min="6187" max="6187" width="11.140625" style="616" customWidth="1"/>
    <col min="6188" max="6189" width="11.85546875" style="616" customWidth="1"/>
    <col min="6190" max="6199" width="18" style="616" customWidth="1"/>
    <col min="6200" max="6200" width="6.28515625" style="616" customWidth="1"/>
    <col min="6201" max="6201" width="7" style="616" customWidth="1"/>
    <col min="6202" max="6207" width="6.28515625" style="616" customWidth="1"/>
    <col min="6208" max="6412" width="9.140625" style="616"/>
    <col min="6413" max="6413" width="11.7109375" style="616" customWidth="1"/>
    <col min="6414" max="6428" width="0" style="616" hidden="1" customWidth="1"/>
    <col min="6429" max="6432" width="8.85546875" style="616" customWidth="1"/>
    <col min="6433" max="6433" width="1.85546875" style="616" customWidth="1"/>
    <col min="6434" max="6437" width="8.85546875" style="616" customWidth="1"/>
    <col min="6438" max="6438" width="1.85546875" style="616" customWidth="1"/>
    <col min="6439" max="6442" width="8.85546875" style="616" customWidth="1"/>
    <col min="6443" max="6443" width="11.140625" style="616" customWidth="1"/>
    <col min="6444" max="6445" width="11.85546875" style="616" customWidth="1"/>
    <col min="6446" max="6455" width="18" style="616" customWidth="1"/>
    <col min="6456" max="6456" width="6.28515625" style="616" customWidth="1"/>
    <col min="6457" max="6457" width="7" style="616" customWidth="1"/>
    <col min="6458" max="6463" width="6.28515625" style="616" customWidth="1"/>
    <col min="6464" max="6668" width="9.140625" style="616"/>
    <col min="6669" max="6669" width="11.7109375" style="616" customWidth="1"/>
    <col min="6670" max="6684" width="0" style="616" hidden="1" customWidth="1"/>
    <col min="6685" max="6688" width="8.85546875" style="616" customWidth="1"/>
    <col min="6689" max="6689" width="1.85546875" style="616" customWidth="1"/>
    <col min="6690" max="6693" width="8.85546875" style="616" customWidth="1"/>
    <col min="6694" max="6694" width="1.85546875" style="616" customWidth="1"/>
    <col min="6695" max="6698" width="8.85546875" style="616" customWidth="1"/>
    <col min="6699" max="6699" width="11.140625" style="616" customWidth="1"/>
    <col min="6700" max="6701" width="11.85546875" style="616" customWidth="1"/>
    <col min="6702" max="6711" width="18" style="616" customWidth="1"/>
    <col min="6712" max="6712" width="6.28515625" style="616" customWidth="1"/>
    <col min="6713" max="6713" width="7" style="616" customWidth="1"/>
    <col min="6714" max="6719" width="6.28515625" style="616" customWidth="1"/>
    <col min="6720" max="6924" width="9.140625" style="616"/>
    <col min="6925" max="6925" width="11.7109375" style="616" customWidth="1"/>
    <col min="6926" max="6940" width="0" style="616" hidden="1" customWidth="1"/>
    <col min="6941" max="6944" width="8.85546875" style="616" customWidth="1"/>
    <col min="6945" max="6945" width="1.85546875" style="616" customWidth="1"/>
    <col min="6946" max="6949" width="8.85546875" style="616" customWidth="1"/>
    <col min="6950" max="6950" width="1.85546875" style="616" customWidth="1"/>
    <col min="6951" max="6954" width="8.85546875" style="616" customWidth="1"/>
    <col min="6955" max="6955" width="11.140625" style="616" customWidth="1"/>
    <col min="6956" max="6957" width="11.85546875" style="616" customWidth="1"/>
    <col min="6958" max="6967" width="18" style="616" customWidth="1"/>
    <col min="6968" max="6968" width="6.28515625" style="616" customWidth="1"/>
    <col min="6969" max="6969" width="7" style="616" customWidth="1"/>
    <col min="6970" max="6975" width="6.28515625" style="616" customWidth="1"/>
    <col min="6976" max="7180" width="9.140625" style="616"/>
    <col min="7181" max="7181" width="11.7109375" style="616" customWidth="1"/>
    <col min="7182" max="7196" width="0" style="616" hidden="1" customWidth="1"/>
    <col min="7197" max="7200" width="8.85546875" style="616" customWidth="1"/>
    <col min="7201" max="7201" width="1.85546875" style="616" customWidth="1"/>
    <col min="7202" max="7205" width="8.85546875" style="616" customWidth="1"/>
    <col min="7206" max="7206" width="1.85546875" style="616" customWidth="1"/>
    <col min="7207" max="7210" width="8.85546875" style="616" customWidth="1"/>
    <col min="7211" max="7211" width="11.140625" style="616" customWidth="1"/>
    <col min="7212" max="7213" width="11.85546875" style="616" customWidth="1"/>
    <col min="7214" max="7223" width="18" style="616" customWidth="1"/>
    <col min="7224" max="7224" width="6.28515625" style="616" customWidth="1"/>
    <col min="7225" max="7225" width="7" style="616" customWidth="1"/>
    <col min="7226" max="7231" width="6.28515625" style="616" customWidth="1"/>
    <col min="7232" max="7436" width="9.140625" style="616"/>
    <col min="7437" max="7437" width="11.7109375" style="616" customWidth="1"/>
    <col min="7438" max="7452" width="0" style="616" hidden="1" customWidth="1"/>
    <col min="7453" max="7456" width="8.85546875" style="616" customWidth="1"/>
    <col min="7457" max="7457" width="1.85546875" style="616" customWidth="1"/>
    <col min="7458" max="7461" width="8.85546875" style="616" customWidth="1"/>
    <col min="7462" max="7462" width="1.85546875" style="616" customWidth="1"/>
    <col min="7463" max="7466" width="8.85546875" style="616" customWidth="1"/>
    <col min="7467" max="7467" width="11.140625" style="616" customWidth="1"/>
    <col min="7468" max="7469" width="11.85546875" style="616" customWidth="1"/>
    <col min="7470" max="7479" width="18" style="616" customWidth="1"/>
    <col min="7480" max="7480" width="6.28515625" style="616" customWidth="1"/>
    <col min="7481" max="7481" width="7" style="616" customWidth="1"/>
    <col min="7482" max="7487" width="6.28515625" style="616" customWidth="1"/>
    <col min="7488" max="7692" width="9.140625" style="616"/>
    <col min="7693" max="7693" width="11.7109375" style="616" customWidth="1"/>
    <col min="7694" max="7708" width="0" style="616" hidden="1" customWidth="1"/>
    <col min="7709" max="7712" width="8.85546875" style="616" customWidth="1"/>
    <col min="7713" max="7713" width="1.85546875" style="616" customWidth="1"/>
    <col min="7714" max="7717" width="8.85546875" style="616" customWidth="1"/>
    <col min="7718" max="7718" width="1.85546875" style="616" customWidth="1"/>
    <col min="7719" max="7722" width="8.85546875" style="616" customWidth="1"/>
    <col min="7723" max="7723" width="11.140625" style="616" customWidth="1"/>
    <col min="7724" max="7725" width="11.85546875" style="616" customWidth="1"/>
    <col min="7726" max="7735" width="18" style="616" customWidth="1"/>
    <col min="7736" max="7736" width="6.28515625" style="616" customWidth="1"/>
    <col min="7737" max="7737" width="7" style="616" customWidth="1"/>
    <col min="7738" max="7743" width="6.28515625" style="616" customWidth="1"/>
    <col min="7744" max="7948" width="9.140625" style="616"/>
    <col min="7949" max="7949" width="11.7109375" style="616" customWidth="1"/>
    <col min="7950" max="7964" width="0" style="616" hidden="1" customWidth="1"/>
    <col min="7965" max="7968" width="8.85546875" style="616" customWidth="1"/>
    <col min="7969" max="7969" width="1.85546875" style="616" customWidth="1"/>
    <col min="7970" max="7973" width="8.85546875" style="616" customWidth="1"/>
    <col min="7974" max="7974" width="1.85546875" style="616" customWidth="1"/>
    <col min="7975" max="7978" width="8.85546875" style="616" customWidth="1"/>
    <col min="7979" max="7979" width="11.140625" style="616" customWidth="1"/>
    <col min="7980" max="7981" width="11.85546875" style="616" customWidth="1"/>
    <col min="7982" max="7991" width="18" style="616" customWidth="1"/>
    <col min="7992" max="7992" width="6.28515625" style="616" customWidth="1"/>
    <col min="7993" max="7993" width="7" style="616" customWidth="1"/>
    <col min="7994" max="7999" width="6.28515625" style="616" customWidth="1"/>
    <col min="8000" max="8204" width="9.140625" style="616"/>
    <col min="8205" max="8205" width="11.7109375" style="616" customWidth="1"/>
    <col min="8206" max="8220" width="0" style="616" hidden="1" customWidth="1"/>
    <col min="8221" max="8224" width="8.85546875" style="616" customWidth="1"/>
    <col min="8225" max="8225" width="1.85546875" style="616" customWidth="1"/>
    <col min="8226" max="8229" width="8.85546875" style="616" customWidth="1"/>
    <col min="8230" max="8230" width="1.85546875" style="616" customWidth="1"/>
    <col min="8231" max="8234" width="8.85546875" style="616" customWidth="1"/>
    <col min="8235" max="8235" width="11.140625" style="616" customWidth="1"/>
    <col min="8236" max="8237" width="11.85546875" style="616" customWidth="1"/>
    <col min="8238" max="8247" width="18" style="616" customWidth="1"/>
    <col min="8248" max="8248" width="6.28515625" style="616" customWidth="1"/>
    <col min="8249" max="8249" width="7" style="616" customWidth="1"/>
    <col min="8250" max="8255" width="6.28515625" style="616" customWidth="1"/>
    <col min="8256" max="8460" width="9.140625" style="616"/>
    <col min="8461" max="8461" width="11.7109375" style="616" customWidth="1"/>
    <col min="8462" max="8476" width="0" style="616" hidden="1" customWidth="1"/>
    <col min="8477" max="8480" width="8.85546875" style="616" customWidth="1"/>
    <col min="8481" max="8481" width="1.85546875" style="616" customWidth="1"/>
    <col min="8482" max="8485" width="8.85546875" style="616" customWidth="1"/>
    <col min="8486" max="8486" width="1.85546875" style="616" customWidth="1"/>
    <col min="8487" max="8490" width="8.85546875" style="616" customWidth="1"/>
    <col min="8491" max="8491" width="11.140625" style="616" customWidth="1"/>
    <col min="8492" max="8493" width="11.85546875" style="616" customWidth="1"/>
    <col min="8494" max="8503" width="18" style="616" customWidth="1"/>
    <col min="8504" max="8504" width="6.28515625" style="616" customWidth="1"/>
    <col min="8505" max="8505" width="7" style="616" customWidth="1"/>
    <col min="8506" max="8511" width="6.28515625" style="616" customWidth="1"/>
    <col min="8512" max="8716" width="9.140625" style="616"/>
    <col min="8717" max="8717" width="11.7109375" style="616" customWidth="1"/>
    <col min="8718" max="8732" width="0" style="616" hidden="1" customWidth="1"/>
    <col min="8733" max="8736" width="8.85546875" style="616" customWidth="1"/>
    <col min="8737" max="8737" width="1.85546875" style="616" customWidth="1"/>
    <col min="8738" max="8741" width="8.85546875" style="616" customWidth="1"/>
    <col min="8742" max="8742" width="1.85546875" style="616" customWidth="1"/>
    <col min="8743" max="8746" width="8.85546875" style="616" customWidth="1"/>
    <col min="8747" max="8747" width="11.140625" style="616" customWidth="1"/>
    <col min="8748" max="8749" width="11.85546875" style="616" customWidth="1"/>
    <col min="8750" max="8759" width="18" style="616" customWidth="1"/>
    <col min="8760" max="8760" width="6.28515625" style="616" customWidth="1"/>
    <col min="8761" max="8761" width="7" style="616" customWidth="1"/>
    <col min="8762" max="8767" width="6.28515625" style="616" customWidth="1"/>
    <col min="8768" max="8972" width="9.140625" style="616"/>
    <col min="8973" max="8973" width="11.7109375" style="616" customWidth="1"/>
    <col min="8974" max="8988" width="0" style="616" hidden="1" customWidth="1"/>
    <col min="8989" max="8992" width="8.85546875" style="616" customWidth="1"/>
    <col min="8993" max="8993" width="1.85546875" style="616" customWidth="1"/>
    <col min="8994" max="8997" width="8.85546875" style="616" customWidth="1"/>
    <col min="8998" max="8998" width="1.85546875" style="616" customWidth="1"/>
    <col min="8999" max="9002" width="8.85546875" style="616" customWidth="1"/>
    <col min="9003" max="9003" width="11.140625" style="616" customWidth="1"/>
    <col min="9004" max="9005" width="11.85546875" style="616" customWidth="1"/>
    <col min="9006" max="9015" width="18" style="616" customWidth="1"/>
    <col min="9016" max="9016" width="6.28515625" style="616" customWidth="1"/>
    <col min="9017" max="9017" width="7" style="616" customWidth="1"/>
    <col min="9018" max="9023" width="6.28515625" style="616" customWidth="1"/>
    <col min="9024" max="9228" width="9.140625" style="616"/>
    <col min="9229" max="9229" width="11.7109375" style="616" customWidth="1"/>
    <col min="9230" max="9244" width="0" style="616" hidden="1" customWidth="1"/>
    <col min="9245" max="9248" width="8.85546875" style="616" customWidth="1"/>
    <col min="9249" max="9249" width="1.85546875" style="616" customWidth="1"/>
    <col min="9250" max="9253" width="8.85546875" style="616" customWidth="1"/>
    <col min="9254" max="9254" width="1.85546875" style="616" customWidth="1"/>
    <col min="9255" max="9258" width="8.85546875" style="616" customWidth="1"/>
    <col min="9259" max="9259" width="11.140625" style="616" customWidth="1"/>
    <col min="9260" max="9261" width="11.85546875" style="616" customWidth="1"/>
    <col min="9262" max="9271" width="18" style="616" customWidth="1"/>
    <col min="9272" max="9272" width="6.28515625" style="616" customWidth="1"/>
    <col min="9273" max="9273" width="7" style="616" customWidth="1"/>
    <col min="9274" max="9279" width="6.28515625" style="616" customWidth="1"/>
    <col min="9280" max="9484" width="9.140625" style="616"/>
    <col min="9485" max="9485" width="11.7109375" style="616" customWidth="1"/>
    <col min="9486" max="9500" width="0" style="616" hidden="1" customWidth="1"/>
    <col min="9501" max="9504" width="8.85546875" style="616" customWidth="1"/>
    <col min="9505" max="9505" width="1.85546875" style="616" customWidth="1"/>
    <col min="9506" max="9509" width="8.85546875" style="616" customWidth="1"/>
    <col min="9510" max="9510" width="1.85546875" style="616" customWidth="1"/>
    <col min="9511" max="9514" width="8.85546875" style="616" customWidth="1"/>
    <col min="9515" max="9515" width="11.140625" style="616" customWidth="1"/>
    <col min="9516" max="9517" width="11.85546875" style="616" customWidth="1"/>
    <col min="9518" max="9527" width="18" style="616" customWidth="1"/>
    <col min="9528" max="9528" width="6.28515625" style="616" customWidth="1"/>
    <col min="9529" max="9529" width="7" style="616" customWidth="1"/>
    <col min="9530" max="9535" width="6.28515625" style="616" customWidth="1"/>
    <col min="9536" max="9740" width="9.140625" style="616"/>
    <col min="9741" max="9741" width="11.7109375" style="616" customWidth="1"/>
    <col min="9742" max="9756" width="0" style="616" hidden="1" customWidth="1"/>
    <col min="9757" max="9760" width="8.85546875" style="616" customWidth="1"/>
    <col min="9761" max="9761" width="1.85546875" style="616" customWidth="1"/>
    <col min="9762" max="9765" width="8.85546875" style="616" customWidth="1"/>
    <col min="9766" max="9766" width="1.85546875" style="616" customWidth="1"/>
    <col min="9767" max="9770" width="8.85546875" style="616" customWidth="1"/>
    <col min="9771" max="9771" width="11.140625" style="616" customWidth="1"/>
    <col min="9772" max="9773" width="11.85546875" style="616" customWidth="1"/>
    <col min="9774" max="9783" width="18" style="616" customWidth="1"/>
    <col min="9784" max="9784" width="6.28515625" style="616" customWidth="1"/>
    <col min="9785" max="9785" width="7" style="616" customWidth="1"/>
    <col min="9786" max="9791" width="6.28515625" style="616" customWidth="1"/>
    <col min="9792" max="9996" width="9.140625" style="616"/>
    <col min="9997" max="9997" width="11.7109375" style="616" customWidth="1"/>
    <col min="9998" max="10012" width="0" style="616" hidden="1" customWidth="1"/>
    <col min="10013" max="10016" width="8.85546875" style="616" customWidth="1"/>
    <col min="10017" max="10017" width="1.85546875" style="616" customWidth="1"/>
    <col min="10018" max="10021" width="8.85546875" style="616" customWidth="1"/>
    <col min="10022" max="10022" width="1.85546875" style="616" customWidth="1"/>
    <col min="10023" max="10026" width="8.85546875" style="616" customWidth="1"/>
    <col min="10027" max="10027" width="11.140625" style="616" customWidth="1"/>
    <col min="10028" max="10029" width="11.85546875" style="616" customWidth="1"/>
    <col min="10030" max="10039" width="18" style="616" customWidth="1"/>
    <col min="10040" max="10040" width="6.28515625" style="616" customWidth="1"/>
    <col min="10041" max="10041" width="7" style="616" customWidth="1"/>
    <col min="10042" max="10047" width="6.28515625" style="616" customWidth="1"/>
    <col min="10048" max="10252" width="9.140625" style="616"/>
    <col min="10253" max="10253" width="11.7109375" style="616" customWidth="1"/>
    <col min="10254" max="10268" width="0" style="616" hidden="1" customWidth="1"/>
    <col min="10269" max="10272" width="8.85546875" style="616" customWidth="1"/>
    <col min="10273" max="10273" width="1.85546875" style="616" customWidth="1"/>
    <col min="10274" max="10277" width="8.85546875" style="616" customWidth="1"/>
    <col min="10278" max="10278" width="1.85546875" style="616" customWidth="1"/>
    <col min="10279" max="10282" width="8.85546875" style="616" customWidth="1"/>
    <col min="10283" max="10283" width="11.140625" style="616" customWidth="1"/>
    <col min="10284" max="10285" width="11.85546875" style="616" customWidth="1"/>
    <col min="10286" max="10295" width="18" style="616" customWidth="1"/>
    <col min="10296" max="10296" width="6.28515625" style="616" customWidth="1"/>
    <col min="10297" max="10297" width="7" style="616" customWidth="1"/>
    <col min="10298" max="10303" width="6.28515625" style="616" customWidth="1"/>
    <col min="10304" max="10508" width="9.140625" style="616"/>
    <col min="10509" max="10509" width="11.7109375" style="616" customWidth="1"/>
    <col min="10510" max="10524" width="0" style="616" hidden="1" customWidth="1"/>
    <col min="10525" max="10528" width="8.85546875" style="616" customWidth="1"/>
    <col min="10529" max="10529" width="1.85546875" style="616" customWidth="1"/>
    <col min="10530" max="10533" width="8.85546875" style="616" customWidth="1"/>
    <col min="10534" max="10534" width="1.85546875" style="616" customWidth="1"/>
    <col min="10535" max="10538" width="8.85546875" style="616" customWidth="1"/>
    <col min="10539" max="10539" width="11.140625" style="616" customWidth="1"/>
    <col min="10540" max="10541" width="11.85546875" style="616" customWidth="1"/>
    <col min="10542" max="10551" width="18" style="616" customWidth="1"/>
    <col min="10552" max="10552" width="6.28515625" style="616" customWidth="1"/>
    <col min="10553" max="10553" width="7" style="616" customWidth="1"/>
    <col min="10554" max="10559" width="6.28515625" style="616" customWidth="1"/>
    <col min="10560" max="10764" width="9.140625" style="616"/>
    <col min="10765" max="10765" width="11.7109375" style="616" customWidth="1"/>
    <col min="10766" max="10780" width="0" style="616" hidden="1" customWidth="1"/>
    <col min="10781" max="10784" width="8.85546875" style="616" customWidth="1"/>
    <col min="10785" max="10785" width="1.85546875" style="616" customWidth="1"/>
    <col min="10786" max="10789" width="8.85546875" style="616" customWidth="1"/>
    <col min="10790" max="10790" width="1.85546875" style="616" customWidth="1"/>
    <col min="10791" max="10794" width="8.85546875" style="616" customWidth="1"/>
    <col min="10795" max="10795" width="11.140625" style="616" customWidth="1"/>
    <col min="10796" max="10797" width="11.85546875" style="616" customWidth="1"/>
    <col min="10798" max="10807" width="18" style="616" customWidth="1"/>
    <col min="10808" max="10808" width="6.28515625" style="616" customWidth="1"/>
    <col min="10809" max="10809" width="7" style="616" customWidth="1"/>
    <col min="10810" max="10815" width="6.28515625" style="616" customWidth="1"/>
    <col min="10816" max="11020" width="9.140625" style="616"/>
    <col min="11021" max="11021" width="11.7109375" style="616" customWidth="1"/>
    <col min="11022" max="11036" width="0" style="616" hidden="1" customWidth="1"/>
    <col min="11037" max="11040" width="8.85546875" style="616" customWidth="1"/>
    <col min="11041" max="11041" width="1.85546875" style="616" customWidth="1"/>
    <col min="11042" max="11045" width="8.85546875" style="616" customWidth="1"/>
    <col min="11046" max="11046" width="1.85546875" style="616" customWidth="1"/>
    <col min="11047" max="11050" width="8.85546875" style="616" customWidth="1"/>
    <col min="11051" max="11051" width="11.140625" style="616" customWidth="1"/>
    <col min="11052" max="11053" width="11.85546875" style="616" customWidth="1"/>
    <col min="11054" max="11063" width="18" style="616" customWidth="1"/>
    <col min="11064" max="11064" width="6.28515625" style="616" customWidth="1"/>
    <col min="11065" max="11065" width="7" style="616" customWidth="1"/>
    <col min="11066" max="11071" width="6.28515625" style="616" customWidth="1"/>
    <col min="11072" max="11276" width="9.140625" style="616"/>
    <col min="11277" max="11277" width="11.7109375" style="616" customWidth="1"/>
    <col min="11278" max="11292" width="0" style="616" hidden="1" customWidth="1"/>
    <col min="11293" max="11296" width="8.85546875" style="616" customWidth="1"/>
    <col min="11297" max="11297" width="1.85546875" style="616" customWidth="1"/>
    <col min="11298" max="11301" width="8.85546875" style="616" customWidth="1"/>
    <col min="11302" max="11302" width="1.85546875" style="616" customWidth="1"/>
    <col min="11303" max="11306" width="8.85546875" style="616" customWidth="1"/>
    <col min="11307" max="11307" width="11.140625" style="616" customWidth="1"/>
    <col min="11308" max="11309" width="11.85546875" style="616" customWidth="1"/>
    <col min="11310" max="11319" width="18" style="616" customWidth="1"/>
    <col min="11320" max="11320" width="6.28515625" style="616" customWidth="1"/>
    <col min="11321" max="11321" width="7" style="616" customWidth="1"/>
    <col min="11322" max="11327" width="6.28515625" style="616" customWidth="1"/>
    <col min="11328" max="11532" width="9.140625" style="616"/>
    <col min="11533" max="11533" width="11.7109375" style="616" customWidth="1"/>
    <col min="11534" max="11548" width="0" style="616" hidden="1" customWidth="1"/>
    <col min="11549" max="11552" width="8.85546875" style="616" customWidth="1"/>
    <col min="11553" max="11553" width="1.85546875" style="616" customWidth="1"/>
    <col min="11554" max="11557" width="8.85546875" style="616" customWidth="1"/>
    <col min="11558" max="11558" width="1.85546875" style="616" customWidth="1"/>
    <col min="11559" max="11562" width="8.85546875" style="616" customWidth="1"/>
    <col min="11563" max="11563" width="11.140625" style="616" customWidth="1"/>
    <col min="11564" max="11565" width="11.85546875" style="616" customWidth="1"/>
    <col min="11566" max="11575" width="18" style="616" customWidth="1"/>
    <col min="11576" max="11576" width="6.28515625" style="616" customWidth="1"/>
    <col min="11577" max="11577" width="7" style="616" customWidth="1"/>
    <col min="11578" max="11583" width="6.28515625" style="616" customWidth="1"/>
    <col min="11584" max="11788" width="9.140625" style="616"/>
    <col min="11789" max="11789" width="11.7109375" style="616" customWidth="1"/>
    <col min="11790" max="11804" width="0" style="616" hidden="1" customWidth="1"/>
    <col min="11805" max="11808" width="8.85546875" style="616" customWidth="1"/>
    <col min="11809" max="11809" width="1.85546875" style="616" customWidth="1"/>
    <col min="11810" max="11813" width="8.85546875" style="616" customWidth="1"/>
    <col min="11814" max="11814" width="1.85546875" style="616" customWidth="1"/>
    <col min="11815" max="11818" width="8.85546875" style="616" customWidth="1"/>
    <col min="11819" max="11819" width="11.140625" style="616" customWidth="1"/>
    <col min="11820" max="11821" width="11.85546875" style="616" customWidth="1"/>
    <col min="11822" max="11831" width="18" style="616" customWidth="1"/>
    <col min="11832" max="11832" width="6.28515625" style="616" customWidth="1"/>
    <col min="11833" max="11833" width="7" style="616" customWidth="1"/>
    <col min="11834" max="11839" width="6.28515625" style="616" customWidth="1"/>
    <col min="11840" max="12044" width="9.140625" style="616"/>
    <col min="12045" max="12045" width="11.7109375" style="616" customWidth="1"/>
    <col min="12046" max="12060" width="0" style="616" hidden="1" customWidth="1"/>
    <col min="12061" max="12064" width="8.85546875" style="616" customWidth="1"/>
    <col min="12065" max="12065" width="1.85546875" style="616" customWidth="1"/>
    <col min="12066" max="12069" width="8.85546875" style="616" customWidth="1"/>
    <col min="12070" max="12070" width="1.85546875" style="616" customWidth="1"/>
    <col min="12071" max="12074" width="8.85546875" style="616" customWidth="1"/>
    <col min="12075" max="12075" width="11.140625" style="616" customWidth="1"/>
    <col min="12076" max="12077" width="11.85546875" style="616" customWidth="1"/>
    <col min="12078" max="12087" width="18" style="616" customWidth="1"/>
    <col min="12088" max="12088" width="6.28515625" style="616" customWidth="1"/>
    <col min="12089" max="12089" width="7" style="616" customWidth="1"/>
    <col min="12090" max="12095" width="6.28515625" style="616" customWidth="1"/>
    <col min="12096" max="12300" width="9.140625" style="616"/>
    <col min="12301" max="12301" width="11.7109375" style="616" customWidth="1"/>
    <col min="12302" max="12316" width="0" style="616" hidden="1" customWidth="1"/>
    <col min="12317" max="12320" width="8.85546875" style="616" customWidth="1"/>
    <col min="12321" max="12321" width="1.85546875" style="616" customWidth="1"/>
    <col min="12322" max="12325" width="8.85546875" style="616" customWidth="1"/>
    <col min="12326" max="12326" width="1.85546875" style="616" customWidth="1"/>
    <col min="12327" max="12330" width="8.85546875" style="616" customWidth="1"/>
    <col min="12331" max="12331" width="11.140625" style="616" customWidth="1"/>
    <col min="12332" max="12333" width="11.85546875" style="616" customWidth="1"/>
    <col min="12334" max="12343" width="18" style="616" customWidth="1"/>
    <col min="12344" max="12344" width="6.28515625" style="616" customWidth="1"/>
    <col min="12345" max="12345" width="7" style="616" customWidth="1"/>
    <col min="12346" max="12351" width="6.28515625" style="616" customWidth="1"/>
    <col min="12352" max="12556" width="9.140625" style="616"/>
    <col min="12557" max="12557" width="11.7109375" style="616" customWidth="1"/>
    <col min="12558" max="12572" width="0" style="616" hidden="1" customWidth="1"/>
    <col min="12573" max="12576" width="8.85546875" style="616" customWidth="1"/>
    <col min="12577" max="12577" width="1.85546875" style="616" customWidth="1"/>
    <col min="12578" max="12581" width="8.85546875" style="616" customWidth="1"/>
    <col min="12582" max="12582" width="1.85546875" style="616" customWidth="1"/>
    <col min="12583" max="12586" width="8.85546875" style="616" customWidth="1"/>
    <col min="12587" max="12587" width="11.140625" style="616" customWidth="1"/>
    <col min="12588" max="12589" width="11.85546875" style="616" customWidth="1"/>
    <col min="12590" max="12599" width="18" style="616" customWidth="1"/>
    <col min="12600" max="12600" width="6.28515625" style="616" customWidth="1"/>
    <col min="12601" max="12601" width="7" style="616" customWidth="1"/>
    <col min="12602" max="12607" width="6.28515625" style="616" customWidth="1"/>
    <col min="12608" max="12812" width="9.140625" style="616"/>
    <col min="12813" max="12813" width="11.7109375" style="616" customWidth="1"/>
    <col min="12814" max="12828" width="0" style="616" hidden="1" customWidth="1"/>
    <col min="12829" max="12832" width="8.85546875" style="616" customWidth="1"/>
    <col min="12833" max="12833" width="1.85546875" style="616" customWidth="1"/>
    <col min="12834" max="12837" width="8.85546875" style="616" customWidth="1"/>
    <col min="12838" max="12838" width="1.85546875" style="616" customWidth="1"/>
    <col min="12839" max="12842" width="8.85546875" style="616" customWidth="1"/>
    <col min="12843" max="12843" width="11.140625" style="616" customWidth="1"/>
    <col min="12844" max="12845" width="11.85546875" style="616" customWidth="1"/>
    <col min="12846" max="12855" width="18" style="616" customWidth="1"/>
    <col min="12856" max="12856" width="6.28515625" style="616" customWidth="1"/>
    <col min="12857" max="12857" width="7" style="616" customWidth="1"/>
    <col min="12858" max="12863" width="6.28515625" style="616" customWidth="1"/>
    <col min="12864" max="13068" width="9.140625" style="616"/>
    <col min="13069" max="13069" width="11.7109375" style="616" customWidth="1"/>
    <col min="13070" max="13084" width="0" style="616" hidden="1" customWidth="1"/>
    <col min="13085" max="13088" width="8.85546875" style="616" customWidth="1"/>
    <col min="13089" max="13089" width="1.85546875" style="616" customWidth="1"/>
    <col min="13090" max="13093" width="8.85546875" style="616" customWidth="1"/>
    <col min="13094" max="13094" width="1.85546875" style="616" customWidth="1"/>
    <col min="13095" max="13098" width="8.85546875" style="616" customWidth="1"/>
    <col min="13099" max="13099" width="11.140625" style="616" customWidth="1"/>
    <col min="13100" max="13101" width="11.85546875" style="616" customWidth="1"/>
    <col min="13102" max="13111" width="18" style="616" customWidth="1"/>
    <col min="13112" max="13112" width="6.28515625" style="616" customWidth="1"/>
    <col min="13113" max="13113" width="7" style="616" customWidth="1"/>
    <col min="13114" max="13119" width="6.28515625" style="616" customWidth="1"/>
    <col min="13120" max="13324" width="9.140625" style="616"/>
    <col min="13325" max="13325" width="11.7109375" style="616" customWidth="1"/>
    <col min="13326" max="13340" width="0" style="616" hidden="1" customWidth="1"/>
    <col min="13341" max="13344" width="8.85546875" style="616" customWidth="1"/>
    <col min="13345" max="13345" width="1.85546875" style="616" customWidth="1"/>
    <col min="13346" max="13349" width="8.85546875" style="616" customWidth="1"/>
    <col min="13350" max="13350" width="1.85546875" style="616" customWidth="1"/>
    <col min="13351" max="13354" width="8.85546875" style="616" customWidth="1"/>
    <col min="13355" max="13355" width="11.140625" style="616" customWidth="1"/>
    <col min="13356" max="13357" width="11.85546875" style="616" customWidth="1"/>
    <col min="13358" max="13367" width="18" style="616" customWidth="1"/>
    <col min="13368" max="13368" width="6.28515625" style="616" customWidth="1"/>
    <col min="13369" max="13369" width="7" style="616" customWidth="1"/>
    <col min="13370" max="13375" width="6.28515625" style="616" customWidth="1"/>
    <col min="13376" max="13580" width="9.140625" style="616"/>
    <col min="13581" max="13581" width="11.7109375" style="616" customWidth="1"/>
    <col min="13582" max="13596" width="0" style="616" hidden="1" customWidth="1"/>
    <col min="13597" max="13600" width="8.85546875" style="616" customWidth="1"/>
    <col min="13601" max="13601" width="1.85546875" style="616" customWidth="1"/>
    <col min="13602" max="13605" width="8.85546875" style="616" customWidth="1"/>
    <col min="13606" max="13606" width="1.85546875" style="616" customWidth="1"/>
    <col min="13607" max="13610" width="8.85546875" style="616" customWidth="1"/>
    <col min="13611" max="13611" width="11.140625" style="616" customWidth="1"/>
    <col min="13612" max="13613" width="11.85546875" style="616" customWidth="1"/>
    <col min="13614" max="13623" width="18" style="616" customWidth="1"/>
    <col min="13624" max="13624" width="6.28515625" style="616" customWidth="1"/>
    <col min="13625" max="13625" width="7" style="616" customWidth="1"/>
    <col min="13626" max="13631" width="6.28515625" style="616" customWidth="1"/>
    <col min="13632" max="13836" width="9.140625" style="616"/>
    <col min="13837" max="13837" width="11.7109375" style="616" customWidth="1"/>
    <col min="13838" max="13852" width="0" style="616" hidden="1" customWidth="1"/>
    <col min="13853" max="13856" width="8.85546875" style="616" customWidth="1"/>
    <col min="13857" max="13857" width="1.85546875" style="616" customWidth="1"/>
    <col min="13858" max="13861" width="8.85546875" style="616" customWidth="1"/>
    <col min="13862" max="13862" width="1.85546875" style="616" customWidth="1"/>
    <col min="13863" max="13866" width="8.85546875" style="616" customWidth="1"/>
    <col min="13867" max="13867" width="11.140625" style="616" customWidth="1"/>
    <col min="13868" max="13869" width="11.85546875" style="616" customWidth="1"/>
    <col min="13870" max="13879" width="18" style="616" customWidth="1"/>
    <col min="13880" max="13880" width="6.28515625" style="616" customWidth="1"/>
    <col min="13881" max="13881" width="7" style="616" customWidth="1"/>
    <col min="13882" max="13887" width="6.28515625" style="616" customWidth="1"/>
    <col min="13888" max="14092" width="9.140625" style="616"/>
    <col min="14093" max="14093" width="11.7109375" style="616" customWidth="1"/>
    <col min="14094" max="14108" width="0" style="616" hidden="1" customWidth="1"/>
    <col min="14109" max="14112" width="8.85546875" style="616" customWidth="1"/>
    <col min="14113" max="14113" width="1.85546875" style="616" customWidth="1"/>
    <col min="14114" max="14117" width="8.85546875" style="616" customWidth="1"/>
    <col min="14118" max="14118" width="1.85546875" style="616" customWidth="1"/>
    <col min="14119" max="14122" width="8.85546875" style="616" customWidth="1"/>
    <col min="14123" max="14123" width="11.140625" style="616" customWidth="1"/>
    <col min="14124" max="14125" width="11.85546875" style="616" customWidth="1"/>
    <col min="14126" max="14135" width="18" style="616" customWidth="1"/>
    <col min="14136" max="14136" width="6.28515625" style="616" customWidth="1"/>
    <col min="14137" max="14137" width="7" style="616" customWidth="1"/>
    <col min="14138" max="14143" width="6.28515625" style="616" customWidth="1"/>
    <col min="14144" max="14348" width="9.140625" style="616"/>
    <col min="14349" max="14349" width="11.7109375" style="616" customWidth="1"/>
    <col min="14350" max="14364" width="0" style="616" hidden="1" customWidth="1"/>
    <col min="14365" max="14368" width="8.85546875" style="616" customWidth="1"/>
    <col min="14369" max="14369" width="1.85546875" style="616" customWidth="1"/>
    <col min="14370" max="14373" width="8.85546875" style="616" customWidth="1"/>
    <col min="14374" max="14374" width="1.85546875" style="616" customWidth="1"/>
    <col min="14375" max="14378" width="8.85546875" style="616" customWidth="1"/>
    <col min="14379" max="14379" width="11.140625" style="616" customWidth="1"/>
    <col min="14380" max="14381" width="11.85546875" style="616" customWidth="1"/>
    <col min="14382" max="14391" width="18" style="616" customWidth="1"/>
    <col min="14392" max="14392" width="6.28515625" style="616" customWidth="1"/>
    <col min="14393" max="14393" width="7" style="616" customWidth="1"/>
    <col min="14394" max="14399" width="6.28515625" style="616" customWidth="1"/>
    <col min="14400" max="14604" width="9.140625" style="616"/>
    <col min="14605" max="14605" width="11.7109375" style="616" customWidth="1"/>
    <col min="14606" max="14620" width="0" style="616" hidden="1" customWidth="1"/>
    <col min="14621" max="14624" width="8.85546875" style="616" customWidth="1"/>
    <col min="14625" max="14625" width="1.85546875" style="616" customWidth="1"/>
    <col min="14626" max="14629" width="8.85546875" style="616" customWidth="1"/>
    <col min="14630" max="14630" width="1.85546875" style="616" customWidth="1"/>
    <col min="14631" max="14634" width="8.85546875" style="616" customWidth="1"/>
    <col min="14635" max="14635" width="11.140625" style="616" customWidth="1"/>
    <col min="14636" max="14637" width="11.85546875" style="616" customWidth="1"/>
    <col min="14638" max="14647" width="18" style="616" customWidth="1"/>
    <col min="14648" max="14648" width="6.28515625" style="616" customWidth="1"/>
    <col min="14649" max="14649" width="7" style="616" customWidth="1"/>
    <col min="14650" max="14655" width="6.28515625" style="616" customWidth="1"/>
    <col min="14656" max="14860" width="9.140625" style="616"/>
    <col min="14861" max="14861" width="11.7109375" style="616" customWidth="1"/>
    <col min="14862" max="14876" width="0" style="616" hidden="1" customWidth="1"/>
    <col min="14877" max="14880" width="8.85546875" style="616" customWidth="1"/>
    <col min="14881" max="14881" width="1.85546875" style="616" customWidth="1"/>
    <col min="14882" max="14885" width="8.85546875" style="616" customWidth="1"/>
    <col min="14886" max="14886" width="1.85546875" style="616" customWidth="1"/>
    <col min="14887" max="14890" width="8.85546875" style="616" customWidth="1"/>
    <col min="14891" max="14891" width="11.140625" style="616" customWidth="1"/>
    <col min="14892" max="14893" width="11.85546875" style="616" customWidth="1"/>
    <col min="14894" max="14903" width="18" style="616" customWidth="1"/>
    <col min="14904" max="14904" width="6.28515625" style="616" customWidth="1"/>
    <col min="14905" max="14905" width="7" style="616" customWidth="1"/>
    <col min="14906" max="14911" width="6.28515625" style="616" customWidth="1"/>
    <col min="14912" max="15116" width="9.140625" style="616"/>
    <col min="15117" max="15117" width="11.7109375" style="616" customWidth="1"/>
    <col min="15118" max="15132" width="0" style="616" hidden="1" customWidth="1"/>
    <col min="15133" max="15136" width="8.85546875" style="616" customWidth="1"/>
    <col min="15137" max="15137" width="1.85546875" style="616" customWidth="1"/>
    <col min="15138" max="15141" width="8.85546875" style="616" customWidth="1"/>
    <col min="15142" max="15142" width="1.85546875" style="616" customWidth="1"/>
    <col min="15143" max="15146" width="8.85546875" style="616" customWidth="1"/>
    <col min="15147" max="15147" width="11.140625" style="616" customWidth="1"/>
    <col min="15148" max="15149" width="11.85546875" style="616" customWidth="1"/>
    <col min="15150" max="15159" width="18" style="616" customWidth="1"/>
    <col min="15160" max="15160" width="6.28515625" style="616" customWidth="1"/>
    <col min="15161" max="15161" width="7" style="616" customWidth="1"/>
    <col min="15162" max="15167" width="6.28515625" style="616" customWidth="1"/>
    <col min="15168" max="15372" width="9.140625" style="616"/>
    <col min="15373" max="15373" width="11.7109375" style="616" customWidth="1"/>
    <col min="15374" max="15388" width="0" style="616" hidden="1" customWidth="1"/>
    <col min="15389" max="15392" width="8.85546875" style="616" customWidth="1"/>
    <col min="15393" max="15393" width="1.85546875" style="616" customWidth="1"/>
    <col min="15394" max="15397" width="8.85546875" style="616" customWidth="1"/>
    <col min="15398" max="15398" width="1.85546875" style="616" customWidth="1"/>
    <col min="15399" max="15402" width="8.85546875" style="616" customWidth="1"/>
    <col min="15403" max="15403" width="11.140625" style="616" customWidth="1"/>
    <col min="15404" max="15405" width="11.85546875" style="616" customWidth="1"/>
    <col min="15406" max="15415" width="18" style="616" customWidth="1"/>
    <col min="15416" max="15416" width="6.28515625" style="616" customWidth="1"/>
    <col min="15417" max="15417" width="7" style="616" customWidth="1"/>
    <col min="15418" max="15423" width="6.28515625" style="616" customWidth="1"/>
    <col min="15424" max="15628" width="9.140625" style="616"/>
    <col min="15629" max="15629" width="11.7109375" style="616" customWidth="1"/>
    <col min="15630" max="15644" width="0" style="616" hidden="1" customWidth="1"/>
    <col min="15645" max="15648" width="8.85546875" style="616" customWidth="1"/>
    <col min="15649" max="15649" width="1.85546875" style="616" customWidth="1"/>
    <col min="15650" max="15653" width="8.85546875" style="616" customWidth="1"/>
    <col min="15654" max="15654" width="1.85546875" style="616" customWidth="1"/>
    <col min="15655" max="15658" width="8.85546875" style="616" customWidth="1"/>
    <col min="15659" max="15659" width="11.140625" style="616" customWidth="1"/>
    <col min="15660" max="15661" width="11.85546875" style="616" customWidth="1"/>
    <col min="15662" max="15671" width="18" style="616" customWidth="1"/>
    <col min="15672" max="15672" width="6.28515625" style="616" customWidth="1"/>
    <col min="15673" max="15673" width="7" style="616" customWidth="1"/>
    <col min="15674" max="15679" width="6.28515625" style="616" customWidth="1"/>
    <col min="15680" max="15884" width="9.140625" style="616"/>
    <col min="15885" max="15885" width="11.7109375" style="616" customWidth="1"/>
    <col min="15886" max="15900" width="0" style="616" hidden="1" customWidth="1"/>
    <col min="15901" max="15904" width="8.85546875" style="616" customWidth="1"/>
    <col min="15905" max="15905" width="1.85546875" style="616" customWidth="1"/>
    <col min="15906" max="15909" width="8.85546875" style="616" customWidth="1"/>
    <col min="15910" max="15910" width="1.85546875" style="616" customWidth="1"/>
    <col min="15911" max="15914" width="8.85546875" style="616" customWidth="1"/>
    <col min="15915" max="15915" width="11.140625" style="616" customWidth="1"/>
    <col min="15916" max="15917" width="11.85546875" style="616" customWidth="1"/>
    <col min="15918" max="15927" width="18" style="616" customWidth="1"/>
    <col min="15928" max="15928" width="6.28515625" style="616" customWidth="1"/>
    <col min="15929" max="15929" width="7" style="616" customWidth="1"/>
    <col min="15930" max="15935" width="6.28515625" style="616" customWidth="1"/>
    <col min="15936" max="16140" width="9.140625" style="616"/>
    <col min="16141" max="16141" width="11.7109375" style="616" customWidth="1"/>
    <col min="16142" max="16156" width="0" style="616" hidden="1" customWidth="1"/>
    <col min="16157" max="16160" width="8.85546875" style="616" customWidth="1"/>
    <col min="16161" max="16161" width="1.85546875" style="616" customWidth="1"/>
    <col min="16162" max="16165" width="8.85546875" style="616" customWidth="1"/>
    <col min="16166" max="16166" width="1.85546875" style="616" customWidth="1"/>
    <col min="16167" max="16170" width="8.85546875" style="616" customWidth="1"/>
    <col min="16171" max="16171" width="11.140625" style="616" customWidth="1"/>
    <col min="16172" max="16173" width="11.85546875" style="616" customWidth="1"/>
    <col min="16174" max="16183" width="18" style="616" customWidth="1"/>
    <col min="16184" max="16184" width="6.28515625" style="616" customWidth="1"/>
    <col min="16185" max="16185" width="7" style="616" customWidth="1"/>
    <col min="16186" max="16191" width="6.28515625" style="616" customWidth="1"/>
    <col min="16192" max="16384" width="9.140625" style="616"/>
  </cols>
  <sheetData>
    <row r="1" spans="1:180" s="555" customFormat="1" ht="16.5" customHeight="1">
      <c r="A1" s="1449" t="s">
        <v>1166</v>
      </c>
      <c r="B1" s="1449"/>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c r="AD1" s="1449"/>
      <c r="AE1" s="1449"/>
      <c r="AF1" s="1449"/>
      <c r="AG1" s="1449"/>
      <c r="AH1" s="1449"/>
      <c r="AI1" s="1449"/>
      <c r="AJ1" s="1449"/>
      <c r="AK1" s="1449"/>
      <c r="AL1" s="1449"/>
      <c r="AM1" s="1449"/>
      <c r="AN1" s="1449"/>
      <c r="AO1" s="1449"/>
      <c r="AP1" s="1449"/>
      <c r="AQ1" s="1449"/>
      <c r="AR1" s="1449"/>
      <c r="AS1" s="995"/>
    </row>
    <row r="2" spans="1:180" s="556" customFormat="1" ht="14.25" customHeight="1">
      <c r="A2" s="1450" t="s">
        <v>1165</v>
      </c>
      <c r="B2" s="1450"/>
      <c r="C2" s="1450"/>
      <c r="D2" s="1450"/>
      <c r="E2" s="1450"/>
      <c r="F2" s="1450"/>
      <c r="G2" s="1450"/>
      <c r="H2" s="1450"/>
      <c r="I2" s="1450"/>
      <c r="J2" s="1450"/>
      <c r="K2" s="1450"/>
      <c r="L2" s="1450"/>
      <c r="M2" s="1450"/>
      <c r="N2" s="1450"/>
      <c r="O2" s="1450"/>
      <c r="P2" s="1450"/>
      <c r="Q2" s="1450"/>
      <c r="R2" s="1450"/>
      <c r="S2" s="1450"/>
      <c r="T2" s="1450"/>
      <c r="U2" s="1450"/>
      <c r="V2" s="1450"/>
      <c r="W2" s="1450"/>
      <c r="X2" s="1450"/>
      <c r="Y2" s="1450"/>
      <c r="Z2" s="1450"/>
      <c r="AA2" s="1450"/>
      <c r="AB2" s="1450"/>
      <c r="AC2" s="1450"/>
      <c r="AD2" s="1450"/>
      <c r="AE2" s="1450"/>
      <c r="AF2" s="1450"/>
      <c r="AG2" s="1450"/>
      <c r="AH2" s="1450"/>
      <c r="AI2" s="1450"/>
      <c r="AJ2" s="1450"/>
      <c r="AK2" s="1450"/>
      <c r="AL2" s="1450"/>
      <c r="AM2" s="1450"/>
      <c r="AN2" s="1450"/>
      <c r="AO2" s="1450"/>
      <c r="AP2" s="1450"/>
      <c r="AQ2" s="1450"/>
      <c r="AR2" s="1450"/>
      <c r="AS2" s="996"/>
    </row>
    <row r="3" spans="1:180" s="556" customFormat="1" ht="9" customHeight="1">
      <c r="A3" s="557"/>
      <c r="B3" s="557"/>
      <c r="C3" s="557"/>
      <c r="D3" s="557"/>
      <c r="E3" s="557"/>
      <c r="F3" s="557"/>
      <c r="G3" s="557"/>
      <c r="H3" s="557"/>
      <c r="I3" s="557"/>
      <c r="J3" s="557"/>
      <c r="K3" s="558"/>
      <c r="L3" s="557"/>
      <c r="M3" s="557"/>
      <c r="N3" s="557"/>
      <c r="O3" s="557"/>
      <c r="P3" s="557"/>
      <c r="Q3" s="557"/>
      <c r="R3" s="557"/>
      <c r="S3" s="557"/>
      <c r="T3" s="557"/>
      <c r="U3" s="557"/>
      <c r="V3" s="557"/>
      <c r="W3" s="557"/>
      <c r="X3" s="557"/>
      <c r="Y3" s="557"/>
      <c r="Z3" s="557"/>
      <c r="AA3" s="557"/>
      <c r="AB3" s="557"/>
      <c r="AC3" s="557"/>
      <c r="AD3" s="557"/>
      <c r="AE3" s="557"/>
      <c r="AF3" s="557"/>
      <c r="AG3" s="557"/>
      <c r="AH3" s="557"/>
      <c r="AI3" s="557"/>
      <c r="AJ3" s="557"/>
      <c r="AK3" s="557"/>
      <c r="AL3" s="557"/>
      <c r="AM3" s="557"/>
      <c r="AN3" s="557"/>
      <c r="AO3" s="557"/>
      <c r="AP3" s="557"/>
      <c r="AQ3" s="557"/>
      <c r="AR3" s="557"/>
      <c r="AS3" s="558"/>
    </row>
    <row r="4" spans="1:180" s="556" customFormat="1" ht="9.75" customHeight="1">
      <c r="A4" s="1451" t="s">
        <v>166</v>
      </c>
      <c r="B4" s="993"/>
      <c r="C4" s="1446">
        <v>2012</v>
      </c>
      <c r="D4" s="1446"/>
      <c r="E4" s="1446"/>
      <c r="F4" s="1446"/>
      <c r="G4" s="1445">
        <v>2014</v>
      </c>
      <c r="H4" s="1446"/>
      <c r="I4" s="1446"/>
      <c r="J4" s="1446"/>
      <c r="K4" s="559"/>
      <c r="L4" s="1446">
        <v>2015</v>
      </c>
      <c r="M4" s="1446"/>
      <c r="N4" s="1446"/>
      <c r="O4" s="1446"/>
      <c r="P4" s="560"/>
      <c r="Q4" s="1445">
        <v>2016</v>
      </c>
      <c r="R4" s="1446"/>
      <c r="S4" s="1446"/>
      <c r="T4" s="1446"/>
      <c r="U4" s="993"/>
      <c r="V4" s="1445">
        <v>2017</v>
      </c>
      <c r="W4" s="1446"/>
      <c r="X4" s="1446"/>
      <c r="Y4" s="1446"/>
      <c r="Z4" s="993"/>
      <c r="AA4" s="1445">
        <v>2018</v>
      </c>
      <c r="AB4" s="1446"/>
      <c r="AC4" s="1446"/>
      <c r="AD4" s="1446"/>
      <c r="AE4" s="1445">
        <v>2019</v>
      </c>
      <c r="AF4" s="1446"/>
      <c r="AG4" s="1446"/>
      <c r="AH4" s="1446"/>
      <c r="AI4" s="1445">
        <v>2020</v>
      </c>
      <c r="AJ4" s="1446"/>
      <c r="AK4" s="1446"/>
      <c r="AL4" s="1446"/>
      <c r="AM4" s="1445">
        <v>2021</v>
      </c>
      <c r="AN4" s="1446"/>
      <c r="AO4" s="1446"/>
      <c r="AP4" s="1446"/>
      <c r="AQ4" s="1454" t="s">
        <v>870</v>
      </c>
      <c r="AR4" s="1455"/>
      <c r="AS4" s="561"/>
    </row>
    <row r="5" spans="1:180" s="556" customFormat="1" ht="19.899999999999999" customHeight="1">
      <c r="A5" s="1452"/>
      <c r="B5" s="562"/>
      <c r="C5" s="1448"/>
      <c r="D5" s="1448"/>
      <c r="E5" s="1448"/>
      <c r="F5" s="1448"/>
      <c r="G5" s="1447"/>
      <c r="H5" s="1448"/>
      <c r="I5" s="1448"/>
      <c r="J5" s="1448"/>
      <c r="K5" s="561"/>
      <c r="L5" s="1448"/>
      <c r="M5" s="1448"/>
      <c r="N5" s="1448"/>
      <c r="O5" s="1448"/>
      <c r="P5" s="563"/>
      <c r="Q5" s="1447"/>
      <c r="R5" s="1448"/>
      <c r="S5" s="1448"/>
      <c r="T5" s="1448"/>
      <c r="U5" s="994"/>
      <c r="V5" s="1447"/>
      <c r="W5" s="1448"/>
      <c r="X5" s="1448"/>
      <c r="Y5" s="1448"/>
      <c r="Z5" s="994"/>
      <c r="AA5" s="1447"/>
      <c r="AB5" s="1448"/>
      <c r="AC5" s="1448"/>
      <c r="AD5" s="1448"/>
      <c r="AE5" s="1447"/>
      <c r="AF5" s="1448"/>
      <c r="AG5" s="1448"/>
      <c r="AH5" s="1448"/>
      <c r="AI5" s="1447"/>
      <c r="AJ5" s="1448"/>
      <c r="AK5" s="1448"/>
      <c r="AL5" s="1448"/>
      <c r="AM5" s="1447"/>
      <c r="AN5" s="1448"/>
      <c r="AO5" s="1448"/>
      <c r="AP5" s="1448"/>
      <c r="AQ5" s="1456"/>
      <c r="AR5" s="1457"/>
      <c r="AS5" s="561"/>
    </row>
    <row r="6" spans="1:180" s="556" customFormat="1" ht="15.75" customHeight="1">
      <c r="A6" s="1452"/>
      <c r="B6" s="562"/>
      <c r="C6" s="564" t="s">
        <v>871</v>
      </c>
      <c r="D6" s="564" t="s">
        <v>872</v>
      </c>
      <c r="E6" s="564" t="s">
        <v>873</v>
      </c>
      <c r="F6" s="564" t="s">
        <v>874</v>
      </c>
      <c r="G6" s="565" t="s">
        <v>871</v>
      </c>
      <c r="H6" s="564" t="s">
        <v>872</v>
      </c>
      <c r="I6" s="564" t="s">
        <v>873</v>
      </c>
      <c r="J6" s="564" t="s">
        <v>874</v>
      </c>
      <c r="K6" s="564"/>
      <c r="L6" s="564" t="s">
        <v>871</v>
      </c>
      <c r="M6" s="564" t="s">
        <v>872</v>
      </c>
      <c r="N6" s="564" t="s">
        <v>873</v>
      </c>
      <c r="O6" s="564" t="s">
        <v>874</v>
      </c>
      <c r="P6" s="566"/>
      <c r="Q6" s="565" t="s">
        <v>871</v>
      </c>
      <c r="R6" s="564" t="s">
        <v>872</v>
      </c>
      <c r="S6" s="564" t="s">
        <v>873</v>
      </c>
      <c r="T6" s="564" t="s">
        <v>874</v>
      </c>
      <c r="U6" s="564"/>
      <c r="V6" s="565" t="s">
        <v>871</v>
      </c>
      <c r="W6" s="564" t="s">
        <v>872</v>
      </c>
      <c r="X6" s="564" t="s">
        <v>873</v>
      </c>
      <c r="Y6" s="564" t="s">
        <v>874</v>
      </c>
      <c r="Z6" s="564"/>
      <c r="AA6" s="565" t="s">
        <v>871</v>
      </c>
      <c r="AB6" s="564" t="s">
        <v>872</v>
      </c>
      <c r="AC6" s="564" t="s">
        <v>873</v>
      </c>
      <c r="AD6" s="564" t="s">
        <v>874</v>
      </c>
      <c r="AE6" s="565" t="s">
        <v>871</v>
      </c>
      <c r="AF6" s="564" t="s">
        <v>872</v>
      </c>
      <c r="AG6" s="564" t="s">
        <v>873</v>
      </c>
      <c r="AH6" s="564" t="s">
        <v>874</v>
      </c>
      <c r="AI6" s="565" t="s">
        <v>871</v>
      </c>
      <c r="AJ6" s="564" t="s">
        <v>872</v>
      </c>
      <c r="AK6" s="564" t="s">
        <v>873</v>
      </c>
      <c r="AL6" s="564" t="s">
        <v>874</v>
      </c>
      <c r="AM6" s="565" t="s">
        <v>871</v>
      </c>
      <c r="AN6" s="564" t="s">
        <v>872</v>
      </c>
      <c r="AO6" s="564" t="s">
        <v>873</v>
      </c>
      <c r="AP6" s="564" t="s">
        <v>874</v>
      </c>
      <c r="AQ6" s="565" t="s">
        <v>871</v>
      </c>
      <c r="AR6" s="564" t="s">
        <v>872</v>
      </c>
      <c r="AS6" s="564"/>
    </row>
    <row r="7" spans="1:180" s="574" customFormat="1" ht="15" customHeight="1">
      <c r="A7" s="1453"/>
      <c r="B7" s="567"/>
      <c r="C7" s="567" t="s">
        <v>875</v>
      </c>
      <c r="D7" s="567" t="s">
        <v>876</v>
      </c>
      <c r="E7" s="567" t="s">
        <v>877</v>
      </c>
      <c r="F7" s="567" t="s">
        <v>878</v>
      </c>
      <c r="G7" s="568" t="s">
        <v>875</v>
      </c>
      <c r="H7" s="569" t="s">
        <v>876</v>
      </c>
      <c r="I7" s="567" t="s">
        <v>877</v>
      </c>
      <c r="J7" s="567" t="s">
        <v>878</v>
      </c>
      <c r="K7" s="570"/>
      <c r="L7" s="567" t="s">
        <v>875</v>
      </c>
      <c r="M7" s="567" t="s">
        <v>876</v>
      </c>
      <c r="N7" s="567" t="s">
        <v>877</v>
      </c>
      <c r="O7" s="567" t="s">
        <v>878</v>
      </c>
      <c r="P7" s="571"/>
      <c r="Q7" s="568" t="s">
        <v>875</v>
      </c>
      <c r="R7" s="567" t="s">
        <v>876</v>
      </c>
      <c r="S7" s="567" t="s">
        <v>877</v>
      </c>
      <c r="T7" s="567" t="s">
        <v>878</v>
      </c>
      <c r="U7" s="569"/>
      <c r="V7" s="568" t="s">
        <v>875</v>
      </c>
      <c r="W7" s="567" t="s">
        <v>876</v>
      </c>
      <c r="X7" s="567" t="s">
        <v>877</v>
      </c>
      <c r="Y7" s="567" t="s">
        <v>878</v>
      </c>
      <c r="Z7" s="569"/>
      <c r="AA7" s="568" t="s">
        <v>875</v>
      </c>
      <c r="AB7" s="567" t="s">
        <v>876</v>
      </c>
      <c r="AC7" s="567" t="s">
        <v>877</v>
      </c>
      <c r="AD7" s="567" t="s">
        <v>878</v>
      </c>
      <c r="AE7" s="568" t="s">
        <v>875</v>
      </c>
      <c r="AF7" s="567" t="s">
        <v>876</v>
      </c>
      <c r="AG7" s="567" t="s">
        <v>877</v>
      </c>
      <c r="AH7" s="567" t="s">
        <v>878</v>
      </c>
      <c r="AI7" s="568" t="s">
        <v>875</v>
      </c>
      <c r="AJ7" s="567" t="s">
        <v>876</v>
      </c>
      <c r="AK7" s="567" t="s">
        <v>877</v>
      </c>
      <c r="AL7" s="567" t="s">
        <v>878</v>
      </c>
      <c r="AM7" s="568" t="s">
        <v>875</v>
      </c>
      <c r="AN7" s="567" t="s">
        <v>876</v>
      </c>
      <c r="AO7" s="567" t="s">
        <v>877</v>
      </c>
      <c r="AP7" s="567" t="s">
        <v>878</v>
      </c>
      <c r="AQ7" s="572" t="s">
        <v>875</v>
      </c>
      <c r="AR7" s="569" t="s">
        <v>876</v>
      </c>
      <c r="AS7" s="573"/>
      <c r="AT7" s="556"/>
      <c r="AU7" s="556"/>
      <c r="AV7" s="556"/>
      <c r="AW7" s="556"/>
    </row>
    <row r="8" spans="1:180" s="583" customFormat="1" ht="15">
      <c r="A8" s="575" t="s">
        <v>169</v>
      </c>
      <c r="B8" s="576"/>
      <c r="C8" s="577">
        <v>5699</v>
      </c>
      <c r="D8" s="577">
        <v>3011</v>
      </c>
      <c r="E8" s="577">
        <v>4</v>
      </c>
      <c r="F8" s="577">
        <v>82</v>
      </c>
      <c r="G8" s="578">
        <f ca="1">SUM(G9:G11)</f>
        <v>5587</v>
      </c>
      <c r="H8" s="579">
        <f ca="1">SUM(H9:H11)</f>
        <v>3304</v>
      </c>
      <c r="I8" s="577">
        <v>4</v>
      </c>
      <c r="J8" s="577">
        <v>106</v>
      </c>
      <c r="K8" s="580"/>
      <c r="L8" s="577">
        <f>SUM(L9:L11)</f>
        <v>5763</v>
      </c>
      <c r="M8" s="577">
        <f>SUM(M9:M11)</f>
        <v>3358</v>
      </c>
      <c r="N8" s="577">
        <f>SUM(N9:N11)</f>
        <v>12</v>
      </c>
      <c r="O8" s="577">
        <f>SUM(O9:O11)</f>
        <v>90</v>
      </c>
      <c r="P8" s="581"/>
      <c r="Q8" s="578">
        <f>SUM(Q9:Q11)</f>
        <v>5488</v>
      </c>
      <c r="R8" s="577">
        <f>SUM(R9:R11)</f>
        <v>3417</v>
      </c>
      <c r="S8" s="577">
        <f>SUM(S9:S11)</f>
        <v>6</v>
      </c>
      <c r="T8" s="577">
        <f>SUM(T9:T11)</f>
        <v>101</v>
      </c>
      <c r="U8" s="579"/>
      <c r="V8" s="578">
        <f>SUM(V9:V11)</f>
        <v>5237</v>
      </c>
      <c r="W8" s="577">
        <f>SUM(W9:W11)</f>
        <v>3211</v>
      </c>
      <c r="X8" s="577">
        <f>SUM(X9:X11)</f>
        <v>9</v>
      </c>
      <c r="Y8" s="577">
        <f>SUM(Y9:Y11)</f>
        <v>103</v>
      </c>
      <c r="Z8" s="579"/>
      <c r="AA8" s="578">
        <f t="shared" ref="AA8:AH8" si="0">SUM(AA9:AA11)</f>
        <v>5290</v>
      </c>
      <c r="AB8" s="577">
        <f t="shared" si="0"/>
        <v>3166</v>
      </c>
      <c r="AC8" s="577">
        <f t="shared" si="0"/>
        <v>8</v>
      </c>
      <c r="AD8" s="577">
        <f t="shared" si="0"/>
        <v>111</v>
      </c>
      <c r="AE8" s="578">
        <f t="shared" si="0"/>
        <v>5069</v>
      </c>
      <c r="AF8" s="577">
        <f t="shared" si="0"/>
        <v>3550</v>
      </c>
      <c r="AG8" s="577">
        <f t="shared" si="0"/>
        <v>2</v>
      </c>
      <c r="AH8" s="577">
        <f t="shared" si="0"/>
        <v>119</v>
      </c>
      <c r="AI8" s="578">
        <f t="shared" ref="AI8:AL8" si="1">SUM(AI9:AI11)</f>
        <v>4998</v>
      </c>
      <c r="AJ8" s="577">
        <f t="shared" si="1"/>
        <v>2984</v>
      </c>
      <c r="AK8" s="577">
        <f t="shared" si="1"/>
        <v>3</v>
      </c>
      <c r="AL8" s="577">
        <f t="shared" si="1"/>
        <v>83</v>
      </c>
      <c r="AM8" s="578">
        <f t="shared" ref="AM8:AP8" si="2">SUM(AM9:AM11)</f>
        <v>5414</v>
      </c>
      <c r="AN8" s="577">
        <f t="shared" si="2"/>
        <v>3242</v>
      </c>
      <c r="AO8" s="577">
        <f t="shared" si="2"/>
        <v>1</v>
      </c>
      <c r="AP8" s="577">
        <f t="shared" si="2"/>
        <v>97</v>
      </c>
      <c r="AQ8" s="1023">
        <f>(AI8-AE8)/AE8*100</f>
        <v>-1.4006707437364372</v>
      </c>
      <c r="AR8" s="1024">
        <f>(AJ8-AF8)/AF8*100</f>
        <v>-15.943661971830986</v>
      </c>
      <c r="AS8" s="582"/>
      <c r="AT8" s="556"/>
      <c r="AU8" s="556"/>
      <c r="AV8" s="556"/>
      <c r="AW8" s="556"/>
      <c r="AX8" s="582"/>
      <c r="AY8" s="582"/>
      <c r="AZ8" s="582"/>
      <c r="BA8" s="582"/>
      <c r="BB8" s="582"/>
      <c r="BC8" s="582"/>
      <c r="BD8" s="582"/>
      <c r="BF8" s="556"/>
      <c r="BG8" s="556"/>
      <c r="BH8" s="556"/>
      <c r="BI8" s="556"/>
      <c r="BJ8" s="556"/>
      <c r="BK8" s="556"/>
      <c r="BL8" s="556"/>
      <c r="BM8" s="556"/>
      <c r="BN8" s="556"/>
      <c r="BO8" s="556"/>
      <c r="BP8" s="556"/>
      <c r="BQ8" s="556"/>
      <c r="BR8" s="556"/>
      <c r="BS8" s="556"/>
      <c r="BT8" s="556"/>
      <c r="BU8" s="556"/>
      <c r="BV8" s="556"/>
      <c r="BW8" s="556"/>
      <c r="BX8" s="556"/>
      <c r="BY8" s="556"/>
      <c r="BZ8" s="556"/>
      <c r="CA8" s="556"/>
      <c r="CB8" s="556"/>
      <c r="CC8" s="556"/>
      <c r="CD8" s="556"/>
      <c r="CE8" s="556"/>
      <c r="CF8" s="556"/>
      <c r="CG8" s="556"/>
      <c r="CH8" s="556"/>
      <c r="CI8" s="556"/>
      <c r="CJ8" s="556"/>
      <c r="CK8" s="556"/>
      <c r="CL8" s="556"/>
      <c r="CM8" s="556"/>
      <c r="CN8" s="556"/>
      <c r="CO8" s="556"/>
      <c r="CP8" s="556"/>
      <c r="CQ8" s="556"/>
      <c r="CR8" s="556"/>
      <c r="CS8" s="556"/>
      <c r="CT8" s="556"/>
      <c r="CU8" s="556"/>
      <c r="CV8" s="556"/>
      <c r="CW8" s="556"/>
      <c r="CX8" s="556"/>
      <c r="CY8" s="556"/>
      <c r="CZ8" s="556"/>
      <c r="DA8" s="556"/>
      <c r="DB8" s="556"/>
      <c r="DC8" s="556"/>
      <c r="DD8" s="556"/>
      <c r="DE8" s="556"/>
      <c r="DF8" s="556"/>
      <c r="DG8" s="556"/>
      <c r="DH8" s="556"/>
      <c r="DI8" s="556"/>
      <c r="DJ8" s="556"/>
      <c r="DK8" s="556"/>
      <c r="DL8" s="556"/>
      <c r="DM8" s="556"/>
      <c r="DN8" s="556"/>
      <c r="DO8" s="556"/>
      <c r="DP8" s="556"/>
      <c r="DQ8" s="556"/>
      <c r="DR8" s="556"/>
      <c r="DS8" s="556"/>
      <c r="DT8" s="556"/>
      <c r="DU8" s="556"/>
      <c r="DV8" s="556"/>
      <c r="DW8" s="556"/>
      <c r="DX8" s="556"/>
      <c r="DY8" s="556"/>
      <c r="DZ8" s="556"/>
      <c r="EA8" s="556"/>
      <c r="EB8" s="556"/>
      <c r="EC8" s="556"/>
      <c r="ED8" s="556"/>
      <c r="EE8" s="556"/>
      <c r="EF8" s="556"/>
      <c r="EG8" s="556"/>
      <c r="EH8" s="556"/>
      <c r="EI8" s="556"/>
      <c r="EJ8" s="556"/>
      <c r="EK8" s="556"/>
      <c r="EL8" s="556"/>
      <c r="EM8" s="556"/>
      <c r="EN8" s="556"/>
      <c r="EO8" s="556"/>
      <c r="EP8" s="556"/>
      <c r="EQ8" s="556"/>
      <c r="ER8" s="556"/>
      <c r="ES8" s="556"/>
      <c r="ET8" s="556"/>
      <c r="EU8" s="556"/>
      <c r="EV8" s="556"/>
      <c r="EW8" s="556"/>
      <c r="EX8" s="556"/>
      <c r="EY8" s="556"/>
      <c r="EZ8" s="556"/>
      <c r="FA8" s="556"/>
      <c r="FB8" s="556"/>
      <c r="FC8" s="556"/>
      <c r="FD8" s="556"/>
      <c r="FE8" s="556"/>
      <c r="FF8" s="556"/>
      <c r="FG8" s="556"/>
      <c r="FH8" s="556"/>
      <c r="FI8" s="556"/>
      <c r="FJ8" s="556"/>
      <c r="FK8" s="556"/>
      <c r="FL8" s="556"/>
      <c r="FM8" s="556"/>
      <c r="FN8" s="556"/>
      <c r="FO8" s="556"/>
      <c r="FP8" s="556"/>
      <c r="FQ8" s="556"/>
      <c r="FR8" s="556"/>
      <c r="FS8" s="556"/>
      <c r="FT8" s="556"/>
      <c r="FU8" s="556"/>
      <c r="FV8" s="556"/>
      <c r="FW8" s="556"/>
      <c r="FX8" s="556"/>
    </row>
    <row r="9" spans="1:180" s="583" customFormat="1" ht="15">
      <c r="A9" s="575" t="s">
        <v>637</v>
      </c>
      <c r="B9" s="584"/>
      <c r="C9" s="584">
        <v>2404</v>
      </c>
      <c r="D9" s="584">
        <v>1320</v>
      </c>
      <c r="E9" s="584">
        <v>1</v>
      </c>
      <c r="F9" s="584">
        <v>46</v>
      </c>
      <c r="G9" s="585">
        <v>2357</v>
      </c>
      <c r="H9" s="584">
        <v>1368</v>
      </c>
      <c r="I9" s="584">
        <v>1</v>
      </c>
      <c r="J9" s="584">
        <v>57</v>
      </c>
      <c r="K9" s="580"/>
      <c r="L9" s="584">
        <v>2417</v>
      </c>
      <c r="M9" s="584">
        <v>1288</v>
      </c>
      <c r="N9" s="584">
        <v>6</v>
      </c>
      <c r="O9" s="584">
        <v>34</v>
      </c>
      <c r="P9" s="586"/>
      <c r="Q9" s="585">
        <v>2304</v>
      </c>
      <c r="R9" s="584">
        <v>1341</v>
      </c>
      <c r="S9" s="584">
        <v>4</v>
      </c>
      <c r="T9" s="584">
        <v>37</v>
      </c>
      <c r="U9" s="584"/>
      <c r="V9" s="585">
        <v>2168</v>
      </c>
      <c r="W9" s="584">
        <v>1248</v>
      </c>
      <c r="X9" s="584">
        <v>0</v>
      </c>
      <c r="Y9" s="584">
        <v>45</v>
      </c>
      <c r="Z9" s="584"/>
      <c r="AA9" s="585">
        <v>2191</v>
      </c>
      <c r="AB9" s="584">
        <v>1156</v>
      </c>
      <c r="AC9" s="584">
        <v>0</v>
      </c>
      <c r="AD9" s="584">
        <v>46</v>
      </c>
      <c r="AE9" s="585">
        <v>2055</v>
      </c>
      <c r="AF9" s="584">
        <v>1260</v>
      </c>
      <c r="AG9" s="584">
        <v>1</v>
      </c>
      <c r="AH9" s="584">
        <v>43</v>
      </c>
      <c r="AI9" s="585">
        <v>1995</v>
      </c>
      <c r="AJ9" s="584">
        <v>928</v>
      </c>
      <c r="AK9" s="584">
        <v>0</v>
      </c>
      <c r="AL9" s="584">
        <v>32</v>
      </c>
      <c r="AM9" s="585">
        <v>2396</v>
      </c>
      <c r="AN9" s="584">
        <v>1191</v>
      </c>
      <c r="AO9" s="584">
        <v>0</v>
      </c>
      <c r="AP9" s="584">
        <v>45</v>
      </c>
      <c r="AQ9" s="915">
        <f t="shared" ref="AQ9:AQ31" si="3">(AI9-AE9)/AE9*100</f>
        <v>-2.9197080291970803</v>
      </c>
      <c r="AR9" s="587">
        <f t="shared" ref="AR9:AR31" si="4">(AJ9-AF9)/AF9*100</f>
        <v>-26.349206349206352</v>
      </c>
      <c r="AS9" s="582"/>
      <c r="AT9" s="556"/>
      <c r="AU9" s="556"/>
      <c r="AV9" s="556"/>
      <c r="AW9" s="556"/>
      <c r="AX9" s="582"/>
      <c r="AY9" s="582"/>
      <c r="AZ9" s="582"/>
      <c r="BA9" s="582"/>
      <c r="BB9" s="582"/>
      <c r="BC9" s="582"/>
      <c r="BD9" s="582"/>
      <c r="BF9" s="556"/>
      <c r="BG9" s="556"/>
      <c r="BH9" s="556"/>
      <c r="BI9" s="556"/>
      <c r="BJ9" s="556"/>
      <c r="BK9" s="556"/>
      <c r="BL9" s="556"/>
      <c r="BM9" s="556"/>
      <c r="BN9" s="556"/>
      <c r="BO9" s="556"/>
      <c r="BP9" s="556"/>
      <c r="BQ9" s="556"/>
      <c r="BR9" s="556"/>
      <c r="BS9" s="556"/>
      <c r="BT9" s="556"/>
      <c r="BU9" s="556"/>
      <c r="BV9" s="556"/>
      <c r="BW9" s="556"/>
      <c r="BX9" s="556"/>
      <c r="BY9" s="556"/>
      <c r="BZ9" s="556"/>
      <c r="CA9" s="556"/>
      <c r="CB9" s="556"/>
      <c r="CC9" s="556"/>
      <c r="CD9" s="556"/>
      <c r="CE9" s="556"/>
      <c r="CF9" s="556"/>
      <c r="CG9" s="556"/>
      <c r="CH9" s="556"/>
      <c r="CI9" s="556"/>
      <c r="CJ9" s="556"/>
      <c r="CK9" s="556"/>
      <c r="CL9" s="556"/>
      <c r="CM9" s="556"/>
      <c r="CN9" s="556"/>
      <c r="CO9" s="556"/>
      <c r="CP9" s="556"/>
      <c r="CQ9" s="556"/>
      <c r="CR9" s="556"/>
      <c r="CS9" s="556"/>
      <c r="CT9" s="556"/>
      <c r="CU9" s="556"/>
      <c r="CV9" s="556"/>
      <c r="CW9" s="556"/>
      <c r="CX9" s="556"/>
      <c r="CY9" s="556"/>
      <c r="CZ9" s="556"/>
      <c r="DA9" s="556"/>
      <c r="DB9" s="556"/>
      <c r="DC9" s="556"/>
      <c r="DD9" s="556"/>
      <c r="DE9" s="556"/>
      <c r="DF9" s="556"/>
      <c r="DG9" s="556"/>
      <c r="DH9" s="556"/>
      <c r="DI9" s="556"/>
      <c r="DJ9" s="556"/>
      <c r="DK9" s="556"/>
      <c r="DL9" s="556"/>
      <c r="DM9" s="556"/>
      <c r="DN9" s="556"/>
      <c r="DO9" s="556"/>
      <c r="DP9" s="556"/>
      <c r="DQ9" s="556"/>
      <c r="DR9" s="556"/>
      <c r="DS9" s="556"/>
      <c r="DT9" s="556"/>
      <c r="DU9" s="556"/>
      <c r="DV9" s="556"/>
      <c r="DW9" s="556"/>
      <c r="DX9" s="556"/>
      <c r="DY9" s="556"/>
      <c r="DZ9" s="556"/>
      <c r="EA9" s="556"/>
      <c r="EB9" s="556"/>
      <c r="EC9" s="556"/>
      <c r="ED9" s="556"/>
      <c r="EE9" s="556"/>
      <c r="EF9" s="556"/>
      <c r="EG9" s="556"/>
      <c r="EH9" s="556"/>
      <c r="EI9" s="556"/>
      <c r="EJ9" s="556"/>
      <c r="EK9" s="556"/>
      <c r="EL9" s="556"/>
      <c r="EM9" s="556"/>
      <c r="EN9" s="556"/>
      <c r="EO9" s="556"/>
      <c r="EP9" s="556"/>
      <c r="EQ9" s="556"/>
      <c r="ER9" s="556"/>
      <c r="ES9" s="556"/>
      <c r="ET9" s="556"/>
      <c r="EU9" s="556"/>
      <c r="EV9" s="556"/>
      <c r="EW9" s="556"/>
      <c r="EX9" s="556"/>
      <c r="EY9" s="556"/>
      <c r="EZ9" s="556"/>
      <c r="FA9" s="556"/>
      <c r="FB9" s="556"/>
      <c r="FC9" s="556"/>
      <c r="FD9" s="556"/>
      <c r="FE9" s="556"/>
      <c r="FF9" s="556"/>
      <c r="FG9" s="556"/>
      <c r="FH9" s="556"/>
      <c r="FI9" s="556"/>
      <c r="FJ9" s="556"/>
      <c r="FK9" s="556"/>
      <c r="FL9" s="556"/>
      <c r="FM9" s="556"/>
      <c r="FN9" s="556"/>
      <c r="FO9" s="556"/>
      <c r="FP9" s="556"/>
      <c r="FQ9" s="556"/>
      <c r="FR9" s="556"/>
      <c r="FS9" s="556"/>
      <c r="FT9" s="556"/>
      <c r="FU9" s="556"/>
      <c r="FV9" s="556"/>
      <c r="FW9" s="556"/>
      <c r="FX9" s="556"/>
    </row>
    <row r="10" spans="1:180" s="583" customFormat="1" ht="15">
      <c r="A10" s="588" t="s">
        <v>183</v>
      </c>
      <c r="B10" s="584"/>
      <c r="C10" s="577"/>
      <c r="D10" s="577"/>
      <c r="E10" s="577"/>
      <c r="F10" s="577"/>
      <c r="G10" s="578">
        <v>125</v>
      </c>
      <c r="H10" s="577">
        <v>98</v>
      </c>
      <c r="I10" s="577">
        <v>0</v>
      </c>
      <c r="J10" s="577">
        <v>0</v>
      </c>
      <c r="K10" s="587"/>
      <c r="L10" s="577">
        <v>193</v>
      </c>
      <c r="M10" s="577">
        <v>167</v>
      </c>
      <c r="N10" s="577">
        <v>0</v>
      </c>
      <c r="O10" s="577">
        <v>2</v>
      </c>
      <c r="P10" s="589"/>
      <c r="Q10" s="578">
        <v>223</v>
      </c>
      <c r="R10" s="577">
        <v>155</v>
      </c>
      <c r="S10" s="577">
        <v>0</v>
      </c>
      <c r="T10" s="577">
        <v>2</v>
      </c>
      <c r="U10" s="577"/>
      <c r="V10" s="578">
        <v>207</v>
      </c>
      <c r="W10" s="577">
        <v>149</v>
      </c>
      <c r="X10" s="577">
        <v>0</v>
      </c>
      <c r="Y10" s="577">
        <v>1</v>
      </c>
      <c r="Z10" s="577"/>
      <c r="AA10" s="578">
        <v>258</v>
      </c>
      <c r="AB10" s="577">
        <v>217</v>
      </c>
      <c r="AC10" s="577">
        <v>0</v>
      </c>
      <c r="AD10" s="577">
        <v>3</v>
      </c>
      <c r="AE10" s="578">
        <v>312</v>
      </c>
      <c r="AF10" s="577">
        <v>359</v>
      </c>
      <c r="AG10" s="577">
        <v>0</v>
      </c>
      <c r="AH10" s="577">
        <v>0</v>
      </c>
      <c r="AI10" s="578">
        <v>237</v>
      </c>
      <c r="AJ10" s="577">
        <v>173</v>
      </c>
      <c r="AK10" s="577">
        <v>0</v>
      </c>
      <c r="AL10" s="577">
        <v>0</v>
      </c>
      <c r="AM10" s="578">
        <v>330</v>
      </c>
      <c r="AN10" s="577">
        <v>247</v>
      </c>
      <c r="AO10" s="577">
        <v>0</v>
      </c>
      <c r="AP10" s="577">
        <v>1</v>
      </c>
      <c r="AQ10" s="915">
        <f t="shared" si="3"/>
        <v>-24.03846153846154</v>
      </c>
      <c r="AR10" s="587">
        <f t="shared" si="4"/>
        <v>-51.810584958217262</v>
      </c>
      <c r="AS10" s="590"/>
      <c r="AT10" s="556"/>
      <c r="AU10" s="556"/>
      <c r="AV10" s="556"/>
      <c r="AW10" s="556"/>
      <c r="AX10" s="582"/>
      <c r="AY10" s="582"/>
      <c r="AZ10" s="582"/>
      <c r="BA10" s="582"/>
      <c r="BB10" s="582"/>
      <c r="BC10" s="582"/>
      <c r="BD10" s="582"/>
      <c r="BF10" s="556"/>
      <c r="BG10" s="556"/>
      <c r="BH10" s="556"/>
      <c r="BI10" s="556"/>
      <c r="BJ10" s="556"/>
      <c r="BK10" s="556"/>
      <c r="BL10" s="556"/>
      <c r="BM10" s="556"/>
      <c r="BN10" s="556"/>
      <c r="BO10" s="556"/>
      <c r="BP10" s="556"/>
      <c r="BQ10" s="556"/>
      <c r="BR10" s="556"/>
      <c r="BS10" s="556"/>
      <c r="BT10" s="556"/>
      <c r="BU10" s="556"/>
      <c r="BV10" s="556"/>
      <c r="BW10" s="556"/>
      <c r="BX10" s="556"/>
      <c r="BY10" s="556"/>
      <c r="BZ10" s="556"/>
      <c r="CA10" s="556"/>
      <c r="CB10" s="556"/>
      <c r="CC10" s="556"/>
      <c r="CD10" s="556"/>
      <c r="CE10" s="556"/>
      <c r="CF10" s="556"/>
      <c r="CG10" s="556"/>
      <c r="CH10" s="556"/>
      <c r="CI10" s="556"/>
      <c r="CJ10" s="556"/>
      <c r="CK10" s="556"/>
      <c r="CL10" s="556"/>
      <c r="CM10" s="556"/>
      <c r="CN10" s="556"/>
      <c r="CO10" s="556"/>
      <c r="CP10" s="556"/>
      <c r="CQ10" s="556"/>
      <c r="CR10" s="556"/>
      <c r="CS10" s="556"/>
      <c r="CT10" s="556"/>
      <c r="CU10" s="556"/>
      <c r="CV10" s="556"/>
      <c r="CW10" s="556"/>
      <c r="CX10" s="556"/>
      <c r="CY10" s="556"/>
      <c r="CZ10" s="556"/>
      <c r="DA10" s="556"/>
      <c r="DB10" s="556"/>
      <c r="DC10" s="556"/>
      <c r="DD10" s="556"/>
      <c r="DE10" s="556"/>
      <c r="DF10" s="556"/>
      <c r="DG10" s="556"/>
      <c r="DH10" s="556"/>
      <c r="DI10" s="556"/>
      <c r="DJ10" s="556"/>
      <c r="DK10" s="556"/>
      <c r="DL10" s="556"/>
      <c r="DM10" s="556"/>
      <c r="DN10" s="556"/>
      <c r="DO10" s="556"/>
      <c r="DP10" s="556"/>
      <c r="DQ10" s="556"/>
      <c r="DR10" s="556"/>
      <c r="DS10" s="556"/>
      <c r="DT10" s="556"/>
      <c r="DU10" s="556"/>
      <c r="DV10" s="556"/>
      <c r="DW10" s="556"/>
      <c r="DX10" s="556"/>
      <c r="DY10" s="556"/>
      <c r="DZ10" s="556"/>
      <c r="EA10" s="556"/>
      <c r="EB10" s="556"/>
      <c r="EC10" s="556"/>
      <c r="ED10" s="556"/>
      <c r="EE10" s="556"/>
      <c r="EF10" s="556"/>
      <c r="EG10" s="556"/>
      <c r="EH10" s="556"/>
      <c r="EI10" s="556"/>
      <c r="EJ10" s="556"/>
      <c r="EK10" s="556"/>
      <c r="EL10" s="556"/>
      <c r="EM10" s="556"/>
      <c r="EN10" s="556"/>
      <c r="EO10" s="556"/>
      <c r="EP10" s="556"/>
      <c r="EQ10" s="556"/>
      <c r="ER10" s="556"/>
      <c r="ES10" s="556"/>
      <c r="ET10" s="556"/>
      <c r="EU10" s="556"/>
      <c r="EV10" s="556"/>
      <c r="EW10" s="556"/>
      <c r="EX10" s="556"/>
      <c r="EY10" s="556"/>
      <c r="EZ10" s="556"/>
      <c r="FA10" s="556"/>
      <c r="FB10" s="556"/>
      <c r="FC10" s="556"/>
      <c r="FD10" s="556"/>
      <c r="FE10" s="556"/>
      <c r="FF10" s="556"/>
      <c r="FG10" s="556"/>
      <c r="FH10" s="556"/>
      <c r="FI10" s="556"/>
      <c r="FJ10" s="556"/>
      <c r="FK10" s="556"/>
      <c r="FL10" s="556"/>
      <c r="FM10" s="556"/>
      <c r="FN10" s="556"/>
      <c r="FO10" s="556"/>
      <c r="FP10" s="556"/>
      <c r="FQ10" s="556"/>
      <c r="FR10" s="556"/>
      <c r="FS10" s="556"/>
      <c r="FT10" s="556"/>
      <c r="FU10" s="556"/>
      <c r="FV10" s="556"/>
      <c r="FW10" s="556"/>
      <c r="FX10" s="556"/>
    </row>
    <row r="11" spans="1:180" s="583" customFormat="1" ht="15">
      <c r="A11" s="575" t="s">
        <v>639</v>
      </c>
      <c r="B11" s="584"/>
      <c r="C11" s="577">
        <v>3295</v>
      </c>
      <c r="D11" s="577">
        <v>1691</v>
      </c>
      <c r="E11" s="577">
        <v>3</v>
      </c>
      <c r="F11" s="577">
        <v>36</v>
      </c>
      <c r="G11" s="578">
        <f ca="1">SUM(G10:G31)</f>
        <v>3230</v>
      </c>
      <c r="H11" s="577">
        <f ca="1">SUM(H10:H31)</f>
        <v>1936</v>
      </c>
      <c r="I11" s="577">
        <f ca="1">SUM(I10:I31)</f>
        <v>3</v>
      </c>
      <c r="J11" s="577">
        <f ca="1">SUM(J10:J31)</f>
        <v>49</v>
      </c>
      <c r="K11" s="580"/>
      <c r="L11" s="577">
        <f>SUM(L12:L31)</f>
        <v>3153</v>
      </c>
      <c r="M11" s="577">
        <f>SUM(M12:M31)</f>
        <v>1903</v>
      </c>
      <c r="N11" s="577">
        <f>SUM(N12:N31)</f>
        <v>6</v>
      </c>
      <c r="O11" s="577">
        <f>SUM(O12:O31)</f>
        <v>54</v>
      </c>
      <c r="P11" s="589"/>
      <c r="Q11" s="578">
        <f>SUM(Q12:Q31)</f>
        <v>2961</v>
      </c>
      <c r="R11" s="577">
        <f>SUM(R12:R31)</f>
        <v>1921</v>
      </c>
      <c r="S11" s="577">
        <f>SUM(S12:S31)</f>
        <v>2</v>
      </c>
      <c r="T11" s="577">
        <f>SUM(T12:T31)</f>
        <v>62</v>
      </c>
      <c r="U11" s="577"/>
      <c r="V11" s="578">
        <f>SUM(V12:V31)</f>
        <v>2862</v>
      </c>
      <c r="W11" s="577">
        <f>SUM(W12:W31)</f>
        <v>1814</v>
      </c>
      <c r="X11" s="577">
        <f>SUM(X12:X31)</f>
        <v>9</v>
      </c>
      <c r="Y11" s="577">
        <f>SUM(Y12:Y31)</f>
        <v>57</v>
      </c>
      <c r="Z11" s="577"/>
      <c r="AA11" s="578">
        <f t="shared" ref="AA11:AH11" si="5">SUM(AA12:AA31)</f>
        <v>2841</v>
      </c>
      <c r="AB11" s="577">
        <f t="shared" si="5"/>
        <v>1793</v>
      </c>
      <c r="AC11" s="577">
        <f t="shared" si="5"/>
        <v>8</v>
      </c>
      <c r="AD11" s="577">
        <f t="shared" si="5"/>
        <v>62</v>
      </c>
      <c r="AE11" s="578">
        <f t="shared" si="5"/>
        <v>2702</v>
      </c>
      <c r="AF11" s="584">
        <f>SUM(AF12:AF31)</f>
        <v>1931</v>
      </c>
      <c r="AG11" s="577">
        <f>SUM(AG12:AG31)</f>
        <v>1</v>
      </c>
      <c r="AH11" s="577">
        <f t="shared" si="5"/>
        <v>76</v>
      </c>
      <c r="AI11" s="578">
        <f t="shared" ref="AI11" si="6">SUM(AI12:AI31)</f>
        <v>2766</v>
      </c>
      <c r="AJ11" s="584">
        <f>SUM(AJ12:AJ31)</f>
        <v>1883</v>
      </c>
      <c r="AK11" s="577">
        <f>SUM(AK12:AK31)</f>
        <v>3</v>
      </c>
      <c r="AL11" s="577">
        <f t="shared" ref="AL11:AM11" si="7">SUM(AL12:AL31)</f>
        <v>51</v>
      </c>
      <c r="AM11" s="578">
        <f t="shared" si="7"/>
        <v>2688</v>
      </c>
      <c r="AN11" s="584">
        <f>SUM(AN12:AN31)</f>
        <v>1804</v>
      </c>
      <c r="AO11" s="577">
        <f>SUM(AO12:AO31)</f>
        <v>1</v>
      </c>
      <c r="AP11" s="577">
        <f t="shared" ref="AP11" si="8">SUM(AP12:AP31)</f>
        <v>51</v>
      </c>
      <c r="AQ11" s="915">
        <f t="shared" si="3"/>
        <v>2.3686158401184305</v>
      </c>
      <c r="AR11" s="587">
        <f t="shared" si="4"/>
        <v>-2.4857586742620406</v>
      </c>
      <c r="AS11" s="582"/>
      <c r="AT11" s="556"/>
      <c r="AU11" s="556"/>
      <c r="AV11" s="556"/>
      <c r="AW11" s="556"/>
      <c r="AX11" s="582"/>
      <c r="AY11" s="582"/>
      <c r="AZ11" s="582"/>
      <c r="BA11" s="582"/>
      <c r="BB11" s="582"/>
      <c r="BC11" s="582"/>
      <c r="BD11" s="582"/>
      <c r="BF11" s="556"/>
      <c r="BG11" s="556"/>
      <c r="BH11" s="556"/>
      <c r="BI11" s="556"/>
      <c r="BJ11" s="556"/>
      <c r="BK11" s="556"/>
      <c r="BL11" s="556"/>
      <c r="BM11" s="556"/>
      <c r="BN11" s="556"/>
      <c r="BO11" s="556"/>
      <c r="BP11" s="556"/>
      <c r="BQ11" s="556"/>
      <c r="BR11" s="556"/>
      <c r="BS11" s="556"/>
      <c r="BT11" s="556"/>
      <c r="BU11" s="556"/>
      <c r="BV11" s="556"/>
      <c r="BW11" s="556"/>
      <c r="BX11" s="556"/>
      <c r="BY11" s="556"/>
      <c r="BZ11" s="556"/>
      <c r="CA11" s="556"/>
      <c r="CB11" s="556"/>
      <c r="CC11" s="556"/>
      <c r="CD11" s="556"/>
      <c r="CE11" s="556"/>
      <c r="CF11" s="556"/>
      <c r="CG11" s="556"/>
      <c r="CH11" s="556"/>
      <c r="CI11" s="556"/>
      <c r="CJ11" s="556"/>
      <c r="CK11" s="556"/>
      <c r="CL11" s="556"/>
      <c r="CM11" s="556"/>
      <c r="CN11" s="556"/>
      <c r="CO11" s="556"/>
      <c r="CP11" s="556"/>
      <c r="CQ11" s="556"/>
      <c r="CR11" s="556"/>
      <c r="CS11" s="556"/>
      <c r="CT11" s="556"/>
      <c r="CU11" s="556"/>
      <c r="CV11" s="556"/>
      <c r="CW11" s="556"/>
      <c r="CX11" s="556"/>
      <c r="CY11" s="556"/>
      <c r="CZ11" s="556"/>
      <c r="DA11" s="556"/>
      <c r="DB11" s="556"/>
      <c r="DC11" s="556"/>
      <c r="DD11" s="556"/>
      <c r="DE11" s="556"/>
      <c r="DF11" s="556"/>
      <c r="DG11" s="556"/>
      <c r="DH11" s="556"/>
      <c r="DI11" s="556"/>
      <c r="DJ11" s="556"/>
      <c r="DK11" s="556"/>
      <c r="DL11" s="556"/>
      <c r="DM11" s="556"/>
      <c r="DN11" s="556"/>
      <c r="DO11" s="556"/>
      <c r="DP11" s="556"/>
      <c r="DQ11" s="556"/>
      <c r="DR11" s="556"/>
      <c r="DS11" s="556"/>
      <c r="DT11" s="556"/>
      <c r="DU11" s="556"/>
      <c r="DV11" s="556"/>
      <c r="DW11" s="556"/>
      <c r="DX11" s="556"/>
      <c r="DY11" s="556"/>
      <c r="DZ11" s="556"/>
      <c r="EA11" s="556"/>
      <c r="EB11" s="556"/>
      <c r="EC11" s="556"/>
      <c r="ED11" s="556"/>
      <c r="EE11" s="556"/>
      <c r="EF11" s="556"/>
      <c r="EG11" s="556"/>
      <c r="EH11" s="556"/>
      <c r="EI11" s="556"/>
      <c r="EJ11" s="556"/>
      <c r="EK11" s="556"/>
      <c r="EL11" s="556"/>
      <c r="EM11" s="556"/>
      <c r="EN11" s="556"/>
      <c r="EO11" s="556"/>
      <c r="EP11" s="556"/>
      <c r="EQ11" s="556"/>
      <c r="ER11" s="556"/>
      <c r="ES11" s="556"/>
      <c r="ET11" s="556"/>
      <c r="EU11" s="556"/>
      <c r="EV11" s="556"/>
      <c r="EW11" s="556"/>
      <c r="EX11" s="556"/>
      <c r="EY11" s="556"/>
      <c r="EZ11" s="556"/>
      <c r="FA11" s="556"/>
      <c r="FB11" s="556"/>
      <c r="FC11" s="556"/>
      <c r="FD11" s="556"/>
      <c r="FE11" s="556"/>
      <c r="FF11" s="556"/>
      <c r="FG11" s="556"/>
      <c r="FH11" s="556"/>
      <c r="FI11" s="556"/>
      <c r="FJ11" s="556"/>
      <c r="FK11" s="556"/>
      <c r="FL11" s="556"/>
      <c r="FM11" s="556"/>
      <c r="FN11" s="556"/>
      <c r="FO11" s="556"/>
      <c r="FP11" s="556"/>
      <c r="FQ11" s="556"/>
      <c r="FR11" s="556"/>
      <c r="FS11" s="556"/>
      <c r="FT11" s="556"/>
      <c r="FU11" s="556"/>
      <c r="FV11" s="556"/>
      <c r="FW11" s="556"/>
      <c r="FX11" s="556"/>
    </row>
    <row r="12" spans="1:180" s="583" customFormat="1" ht="15">
      <c r="A12" s="591" t="s">
        <v>641</v>
      </c>
      <c r="B12" s="592"/>
      <c r="C12" s="593">
        <v>236</v>
      </c>
      <c r="D12" s="593">
        <v>87</v>
      </c>
      <c r="E12" s="593">
        <v>0</v>
      </c>
      <c r="F12" s="593">
        <v>1</v>
      </c>
      <c r="G12" s="594">
        <v>177</v>
      </c>
      <c r="H12" s="593">
        <v>88</v>
      </c>
      <c r="I12" s="593">
        <v>0</v>
      </c>
      <c r="J12" s="593">
        <v>1</v>
      </c>
      <c r="K12" s="587"/>
      <c r="L12" s="593">
        <v>169</v>
      </c>
      <c r="M12" s="593">
        <v>91</v>
      </c>
      <c r="N12" s="593">
        <v>0</v>
      </c>
      <c r="O12" s="593">
        <v>3</v>
      </c>
      <c r="P12" s="595"/>
      <c r="Q12" s="594">
        <v>161</v>
      </c>
      <c r="R12" s="593">
        <v>92</v>
      </c>
      <c r="S12" s="593">
        <v>0</v>
      </c>
      <c r="T12" s="593">
        <v>4</v>
      </c>
      <c r="U12" s="593"/>
      <c r="V12" s="594">
        <v>158</v>
      </c>
      <c r="W12" s="593">
        <v>69</v>
      </c>
      <c r="X12" s="593">
        <v>0</v>
      </c>
      <c r="Y12" s="593">
        <v>2</v>
      </c>
      <c r="Z12" s="593"/>
      <c r="AA12" s="594">
        <v>160</v>
      </c>
      <c r="AB12" s="593">
        <v>94</v>
      </c>
      <c r="AC12" s="593">
        <v>1</v>
      </c>
      <c r="AD12" s="593">
        <v>2</v>
      </c>
      <c r="AE12" s="594">
        <v>156</v>
      </c>
      <c r="AF12" s="555">
        <v>80</v>
      </c>
      <c r="AG12" s="593">
        <v>0</v>
      </c>
      <c r="AH12" s="593">
        <v>1</v>
      </c>
      <c r="AI12" s="594">
        <v>134</v>
      </c>
      <c r="AJ12" s="555">
        <v>85</v>
      </c>
      <c r="AK12" s="593">
        <v>0</v>
      </c>
      <c r="AL12" s="593">
        <v>1</v>
      </c>
      <c r="AM12" s="594">
        <v>121</v>
      </c>
      <c r="AN12" s="555">
        <v>82</v>
      </c>
      <c r="AO12" s="593">
        <v>0</v>
      </c>
      <c r="AP12" s="593">
        <v>2</v>
      </c>
      <c r="AQ12" s="915">
        <f t="shared" si="3"/>
        <v>-14.102564102564102</v>
      </c>
      <c r="AR12" s="587">
        <f t="shared" si="4"/>
        <v>6.25</v>
      </c>
      <c r="AS12" s="590"/>
      <c r="AT12" s="556"/>
      <c r="AU12" s="556"/>
      <c r="AV12" s="556"/>
      <c r="AW12" s="556"/>
      <c r="AX12" s="582"/>
      <c r="AY12" s="582"/>
      <c r="AZ12" s="582"/>
      <c r="BA12" s="582"/>
      <c r="BB12" s="582"/>
      <c r="BC12" s="582"/>
      <c r="BD12" s="582"/>
      <c r="BF12" s="556"/>
      <c r="BG12" s="556"/>
      <c r="BH12" s="556"/>
      <c r="BI12" s="556"/>
      <c r="BJ12" s="556"/>
      <c r="BK12" s="556"/>
      <c r="BL12" s="556"/>
      <c r="BM12" s="556"/>
      <c r="BN12" s="556"/>
      <c r="BO12" s="556"/>
      <c r="BP12" s="556"/>
      <c r="BQ12" s="556"/>
      <c r="BR12" s="556"/>
      <c r="BS12" s="556"/>
      <c r="BT12" s="556"/>
      <c r="BU12" s="556"/>
      <c r="BV12" s="556"/>
      <c r="BW12" s="556"/>
      <c r="BX12" s="556"/>
      <c r="BY12" s="556"/>
      <c r="BZ12" s="556"/>
      <c r="CA12" s="556"/>
      <c r="CB12" s="556"/>
      <c r="CC12" s="556"/>
      <c r="CD12" s="556"/>
      <c r="CE12" s="556"/>
      <c r="CF12" s="556"/>
      <c r="CG12" s="556"/>
      <c r="CH12" s="556"/>
      <c r="CI12" s="556"/>
      <c r="CJ12" s="556"/>
      <c r="CK12" s="556"/>
      <c r="CL12" s="556"/>
      <c r="CM12" s="556"/>
      <c r="CN12" s="556"/>
      <c r="CO12" s="556"/>
      <c r="CP12" s="556"/>
      <c r="CQ12" s="556"/>
      <c r="CR12" s="556"/>
      <c r="CS12" s="556"/>
      <c r="CT12" s="556"/>
      <c r="CU12" s="556"/>
      <c r="CV12" s="556"/>
      <c r="CW12" s="556"/>
      <c r="CX12" s="556"/>
      <c r="CY12" s="556"/>
      <c r="CZ12" s="556"/>
      <c r="DA12" s="556"/>
      <c r="DB12" s="556"/>
      <c r="DC12" s="556"/>
      <c r="DD12" s="556"/>
      <c r="DE12" s="556"/>
      <c r="DF12" s="556"/>
      <c r="DG12" s="556"/>
      <c r="DH12" s="556"/>
      <c r="DI12" s="556"/>
      <c r="DJ12" s="556"/>
      <c r="DK12" s="556"/>
      <c r="DL12" s="556"/>
      <c r="DM12" s="556"/>
      <c r="DN12" s="556"/>
      <c r="DO12" s="556"/>
      <c r="DP12" s="556"/>
      <c r="DQ12" s="556"/>
      <c r="DR12" s="556"/>
      <c r="DS12" s="556"/>
      <c r="DT12" s="556"/>
      <c r="DU12" s="556"/>
      <c r="DV12" s="556"/>
      <c r="DW12" s="556"/>
      <c r="DX12" s="556"/>
      <c r="DY12" s="556"/>
      <c r="DZ12" s="556"/>
      <c r="EA12" s="556"/>
      <c r="EB12" s="556"/>
      <c r="EC12" s="556"/>
      <c r="ED12" s="556"/>
      <c r="EE12" s="556"/>
      <c r="EF12" s="556"/>
      <c r="EG12" s="556"/>
      <c r="EH12" s="556"/>
      <c r="EI12" s="556"/>
      <c r="EJ12" s="556"/>
      <c r="EK12" s="556"/>
      <c r="EL12" s="556"/>
      <c r="EM12" s="556"/>
      <c r="EN12" s="556"/>
      <c r="EO12" s="556"/>
      <c r="EP12" s="556"/>
      <c r="EQ12" s="556"/>
      <c r="ER12" s="556"/>
      <c r="ES12" s="556"/>
      <c r="ET12" s="556"/>
      <c r="EU12" s="556"/>
      <c r="EV12" s="556"/>
      <c r="EW12" s="556"/>
      <c r="EX12" s="556"/>
      <c r="EY12" s="556"/>
      <c r="EZ12" s="556"/>
      <c r="FA12" s="556"/>
      <c r="FB12" s="556"/>
      <c r="FC12" s="556"/>
      <c r="FD12" s="556"/>
      <c r="FE12" s="556"/>
      <c r="FF12" s="556"/>
      <c r="FG12" s="556"/>
      <c r="FH12" s="556"/>
      <c r="FI12" s="556"/>
      <c r="FJ12" s="556"/>
      <c r="FK12" s="556"/>
      <c r="FL12" s="556"/>
      <c r="FM12" s="556"/>
      <c r="FN12" s="556"/>
      <c r="FO12" s="556"/>
      <c r="FP12" s="556"/>
      <c r="FQ12" s="556"/>
      <c r="FR12" s="556"/>
      <c r="FS12" s="556"/>
      <c r="FT12" s="556"/>
      <c r="FU12" s="556"/>
      <c r="FV12" s="556"/>
      <c r="FW12" s="556"/>
      <c r="FX12" s="556"/>
    </row>
    <row r="13" spans="1:180" s="583" customFormat="1" ht="15">
      <c r="A13" s="591" t="s">
        <v>643</v>
      </c>
      <c r="B13" s="593"/>
      <c r="C13" s="593">
        <v>287</v>
      </c>
      <c r="D13" s="593">
        <v>120</v>
      </c>
      <c r="E13" s="593">
        <v>1</v>
      </c>
      <c r="F13" s="593">
        <v>1</v>
      </c>
      <c r="G13" s="594">
        <v>279</v>
      </c>
      <c r="H13" s="593">
        <v>118</v>
      </c>
      <c r="I13" s="593">
        <v>0</v>
      </c>
      <c r="J13" s="593">
        <v>8</v>
      </c>
      <c r="K13" s="587"/>
      <c r="L13" s="593">
        <v>274</v>
      </c>
      <c r="M13" s="593">
        <v>170</v>
      </c>
      <c r="N13" s="593">
        <v>0</v>
      </c>
      <c r="O13" s="593">
        <v>8</v>
      </c>
      <c r="P13" s="595"/>
      <c r="Q13" s="594">
        <v>291</v>
      </c>
      <c r="R13" s="593">
        <v>125</v>
      </c>
      <c r="S13" s="593">
        <v>0</v>
      </c>
      <c r="T13" s="593">
        <v>1</v>
      </c>
      <c r="U13" s="593"/>
      <c r="V13" s="594">
        <v>258</v>
      </c>
      <c r="W13" s="593">
        <v>150</v>
      </c>
      <c r="X13" s="593">
        <v>0</v>
      </c>
      <c r="Y13" s="593">
        <v>10</v>
      </c>
      <c r="Z13" s="593"/>
      <c r="AA13" s="594">
        <v>290</v>
      </c>
      <c r="AB13" s="593">
        <v>147</v>
      </c>
      <c r="AC13" s="593">
        <v>0</v>
      </c>
      <c r="AD13" s="593">
        <v>6</v>
      </c>
      <c r="AE13" s="594">
        <v>256</v>
      </c>
      <c r="AF13" s="555">
        <v>158</v>
      </c>
      <c r="AG13" s="593">
        <v>1</v>
      </c>
      <c r="AH13" s="593">
        <v>11</v>
      </c>
      <c r="AI13" s="594">
        <v>271</v>
      </c>
      <c r="AJ13" s="555">
        <v>170</v>
      </c>
      <c r="AK13" s="593">
        <v>0</v>
      </c>
      <c r="AL13" s="593">
        <v>8</v>
      </c>
      <c r="AM13" s="594">
        <v>242</v>
      </c>
      <c r="AN13" s="555">
        <v>158</v>
      </c>
      <c r="AO13" s="593">
        <v>1</v>
      </c>
      <c r="AP13" s="593">
        <v>8</v>
      </c>
      <c r="AQ13" s="915">
        <f t="shared" si="3"/>
        <v>5.859375</v>
      </c>
      <c r="AR13" s="587">
        <f t="shared" si="4"/>
        <v>7.59493670886076</v>
      </c>
      <c r="AS13" s="590"/>
      <c r="AT13" s="556"/>
      <c r="AU13" s="556"/>
      <c r="AV13" s="556"/>
      <c r="AW13" s="556"/>
      <c r="AX13" s="582"/>
      <c r="AY13" s="582"/>
      <c r="AZ13" s="582"/>
      <c r="BA13" s="582"/>
      <c r="BB13" s="582"/>
      <c r="BC13" s="582"/>
      <c r="BD13" s="582"/>
      <c r="BF13" s="556"/>
      <c r="BG13" s="556"/>
      <c r="BH13" s="556"/>
      <c r="BI13" s="556"/>
      <c r="BJ13" s="556"/>
      <c r="BK13" s="556"/>
      <c r="BL13" s="556"/>
      <c r="BM13" s="556"/>
      <c r="BN13" s="556"/>
      <c r="BO13" s="556"/>
      <c r="BP13" s="556"/>
      <c r="BQ13" s="556"/>
      <c r="BR13" s="556"/>
      <c r="BS13" s="556"/>
      <c r="BT13" s="556"/>
      <c r="BU13" s="556"/>
      <c r="BV13" s="556"/>
      <c r="BW13" s="556"/>
      <c r="BX13" s="556"/>
      <c r="BY13" s="556"/>
      <c r="BZ13" s="556"/>
      <c r="CA13" s="556"/>
      <c r="CB13" s="556"/>
      <c r="CC13" s="556"/>
      <c r="CD13" s="556"/>
      <c r="CE13" s="556"/>
      <c r="CF13" s="556"/>
      <c r="CG13" s="556"/>
      <c r="CH13" s="556"/>
      <c r="CI13" s="556"/>
      <c r="CJ13" s="556"/>
      <c r="CK13" s="556"/>
      <c r="CL13" s="556"/>
      <c r="CM13" s="556"/>
      <c r="CN13" s="556"/>
      <c r="CO13" s="556"/>
      <c r="CP13" s="556"/>
      <c r="CQ13" s="556"/>
      <c r="CR13" s="556"/>
      <c r="CS13" s="556"/>
      <c r="CT13" s="556"/>
      <c r="CU13" s="556"/>
      <c r="CV13" s="556"/>
      <c r="CW13" s="556"/>
      <c r="CX13" s="556"/>
      <c r="CY13" s="556"/>
      <c r="CZ13" s="556"/>
      <c r="DA13" s="556"/>
      <c r="DB13" s="556"/>
      <c r="DC13" s="556"/>
      <c r="DD13" s="556"/>
      <c r="DE13" s="556"/>
      <c r="DF13" s="556"/>
      <c r="DG13" s="556"/>
      <c r="DH13" s="556"/>
      <c r="DI13" s="556"/>
      <c r="DJ13" s="556"/>
      <c r="DK13" s="556"/>
      <c r="DL13" s="556"/>
      <c r="DM13" s="556"/>
      <c r="DN13" s="556"/>
      <c r="DO13" s="556"/>
      <c r="DP13" s="556"/>
      <c r="DQ13" s="556"/>
      <c r="DR13" s="556"/>
      <c r="DS13" s="556"/>
      <c r="DT13" s="556"/>
      <c r="DU13" s="556"/>
      <c r="DV13" s="556"/>
      <c r="DW13" s="556"/>
      <c r="DX13" s="556"/>
      <c r="DY13" s="556"/>
      <c r="DZ13" s="556"/>
      <c r="EA13" s="556"/>
      <c r="EB13" s="556"/>
      <c r="EC13" s="556"/>
      <c r="ED13" s="556"/>
      <c r="EE13" s="556"/>
      <c r="EF13" s="556"/>
      <c r="EG13" s="556"/>
      <c r="EH13" s="556"/>
      <c r="EI13" s="556"/>
      <c r="EJ13" s="556"/>
      <c r="EK13" s="556"/>
      <c r="EL13" s="556"/>
      <c r="EM13" s="556"/>
      <c r="EN13" s="556"/>
      <c r="EO13" s="556"/>
      <c r="EP13" s="556"/>
      <c r="EQ13" s="556"/>
      <c r="ER13" s="556"/>
      <c r="ES13" s="556"/>
      <c r="ET13" s="556"/>
      <c r="EU13" s="556"/>
      <c r="EV13" s="556"/>
      <c r="EW13" s="556"/>
      <c r="EX13" s="556"/>
      <c r="EY13" s="556"/>
      <c r="EZ13" s="556"/>
      <c r="FA13" s="556"/>
      <c r="FB13" s="556"/>
      <c r="FC13" s="556"/>
      <c r="FD13" s="556"/>
      <c r="FE13" s="556"/>
      <c r="FF13" s="556"/>
      <c r="FG13" s="556"/>
      <c r="FH13" s="556"/>
      <c r="FI13" s="556"/>
      <c r="FJ13" s="556"/>
      <c r="FK13" s="556"/>
      <c r="FL13" s="556"/>
      <c r="FM13" s="556"/>
      <c r="FN13" s="556"/>
      <c r="FO13" s="556"/>
      <c r="FP13" s="556"/>
      <c r="FQ13" s="556"/>
      <c r="FR13" s="556"/>
      <c r="FS13" s="556"/>
      <c r="FT13" s="556"/>
      <c r="FU13" s="556"/>
      <c r="FV13" s="556"/>
      <c r="FW13" s="556"/>
      <c r="FX13" s="556"/>
    </row>
    <row r="14" spans="1:180" s="583" customFormat="1" ht="15">
      <c r="A14" s="591" t="s">
        <v>645</v>
      </c>
      <c r="B14" s="593"/>
      <c r="C14" s="593">
        <v>199</v>
      </c>
      <c r="D14" s="593">
        <v>88</v>
      </c>
      <c r="E14" s="593">
        <v>0</v>
      </c>
      <c r="F14" s="593">
        <v>2</v>
      </c>
      <c r="G14" s="594">
        <v>148</v>
      </c>
      <c r="H14" s="593">
        <v>92</v>
      </c>
      <c r="I14" s="593">
        <v>0</v>
      </c>
      <c r="J14" s="593">
        <v>3</v>
      </c>
      <c r="K14" s="587"/>
      <c r="L14" s="593">
        <v>166</v>
      </c>
      <c r="M14" s="593">
        <v>82</v>
      </c>
      <c r="N14" s="593">
        <v>1</v>
      </c>
      <c r="O14" s="593">
        <v>3</v>
      </c>
      <c r="P14" s="595"/>
      <c r="Q14" s="594">
        <v>191</v>
      </c>
      <c r="R14" s="593">
        <v>93</v>
      </c>
      <c r="S14" s="593">
        <v>0</v>
      </c>
      <c r="T14" s="593">
        <v>5</v>
      </c>
      <c r="U14" s="593"/>
      <c r="V14" s="594">
        <v>138</v>
      </c>
      <c r="W14" s="593">
        <v>86</v>
      </c>
      <c r="X14" s="593">
        <v>0</v>
      </c>
      <c r="Y14" s="593">
        <v>5</v>
      </c>
      <c r="Z14" s="593"/>
      <c r="AA14" s="594">
        <v>164</v>
      </c>
      <c r="AB14" s="593">
        <v>77</v>
      </c>
      <c r="AC14" s="593">
        <v>0</v>
      </c>
      <c r="AD14" s="593">
        <v>2</v>
      </c>
      <c r="AE14" s="594">
        <v>152</v>
      </c>
      <c r="AF14" s="555">
        <v>90</v>
      </c>
      <c r="AG14" s="593">
        <v>0</v>
      </c>
      <c r="AH14" s="593">
        <v>3</v>
      </c>
      <c r="AI14" s="594">
        <v>158</v>
      </c>
      <c r="AJ14" s="555">
        <v>92</v>
      </c>
      <c r="AK14" s="593">
        <v>0</v>
      </c>
      <c r="AL14" s="593">
        <v>6</v>
      </c>
      <c r="AM14" s="594">
        <v>141</v>
      </c>
      <c r="AN14" s="555">
        <v>99</v>
      </c>
      <c r="AO14" s="593">
        <v>0</v>
      </c>
      <c r="AP14" s="593">
        <v>3</v>
      </c>
      <c r="AQ14" s="915">
        <f t="shared" si="3"/>
        <v>3.9473684210526314</v>
      </c>
      <c r="AR14" s="587">
        <f t="shared" si="4"/>
        <v>2.2222222222222223</v>
      </c>
      <c r="AS14" s="590"/>
      <c r="AT14" s="556"/>
      <c r="AU14" s="556"/>
      <c r="AV14" s="556"/>
      <c r="AW14" s="556"/>
      <c r="AX14" s="582"/>
      <c r="AY14" s="582"/>
      <c r="AZ14" s="582"/>
      <c r="BA14" s="582"/>
      <c r="BB14" s="582"/>
      <c r="BC14" s="582"/>
      <c r="BD14" s="582"/>
      <c r="BF14" s="556"/>
      <c r="BG14" s="556"/>
      <c r="BH14" s="556"/>
      <c r="BI14" s="556"/>
      <c r="BJ14" s="556"/>
      <c r="BK14" s="556"/>
      <c r="BL14" s="556"/>
      <c r="BM14" s="556"/>
      <c r="BN14" s="556"/>
      <c r="BO14" s="556"/>
      <c r="BP14" s="556"/>
      <c r="BQ14" s="556"/>
      <c r="BR14" s="556"/>
      <c r="BS14" s="556"/>
      <c r="BT14" s="556"/>
      <c r="BU14" s="556"/>
      <c r="BV14" s="556"/>
      <c r="BW14" s="556"/>
      <c r="BX14" s="556"/>
      <c r="BY14" s="556"/>
      <c r="BZ14" s="556"/>
      <c r="CA14" s="556"/>
      <c r="CB14" s="556"/>
      <c r="CC14" s="556"/>
      <c r="CD14" s="556"/>
      <c r="CE14" s="556"/>
      <c r="CF14" s="556"/>
      <c r="CG14" s="556"/>
      <c r="CH14" s="556"/>
      <c r="CI14" s="556"/>
      <c r="CJ14" s="556"/>
      <c r="CK14" s="556"/>
      <c r="CL14" s="556"/>
      <c r="CM14" s="556"/>
      <c r="CN14" s="556"/>
      <c r="CO14" s="556"/>
      <c r="CP14" s="556"/>
      <c r="CQ14" s="556"/>
      <c r="CR14" s="556"/>
      <c r="CS14" s="556"/>
      <c r="CT14" s="556"/>
      <c r="CU14" s="556"/>
      <c r="CV14" s="556"/>
      <c r="CW14" s="556"/>
      <c r="CX14" s="556"/>
      <c r="CY14" s="556"/>
      <c r="CZ14" s="556"/>
      <c r="DA14" s="556"/>
      <c r="DB14" s="556"/>
      <c r="DC14" s="556"/>
      <c r="DD14" s="556"/>
      <c r="DE14" s="556"/>
      <c r="DF14" s="556"/>
      <c r="DG14" s="556"/>
      <c r="DH14" s="556"/>
      <c r="DI14" s="556"/>
      <c r="DJ14" s="556"/>
      <c r="DK14" s="556"/>
      <c r="DL14" s="556"/>
      <c r="DM14" s="556"/>
      <c r="DN14" s="556"/>
      <c r="DO14" s="556"/>
      <c r="DP14" s="556"/>
      <c r="DQ14" s="556"/>
      <c r="DR14" s="556"/>
      <c r="DS14" s="556"/>
      <c r="DT14" s="556"/>
      <c r="DU14" s="556"/>
      <c r="DV14" s="556"/>
      <c r="DW14" s="556"/>
      <c r="DX14" s="556"/>
      <c r="DY14" s="556"/>
      <c r="DZ14" s="556"/>
      <c r="EA14" s="556"/>
      <c r="EB14" s="556"/>
      <c r="EC14" s="556"/>
      <c r="ED14" s="556"/>
      <c r="EE14" s="556"/>
      <c r="EF14" s="556"/>
      <c r="EG14" s="556"/>
      <c r="EH14" s="556"/>
      <c r="EI14" s="556"/>
      <c r="EJ14" s="556"/>
      <c r="EK14" s="556"/>
      <c r="EL14" s="556"/>
      <c r="EM14" s="556"/>
      <c r="EN14" s="556"/>
      <c r="EO14" s="556"/>
      <c r="EP14" s="556"/>
      <c r="EQ14" s="556"/>
      <c r="ER14" s="556"/>
      <c r="ES14" s="556"/>
      <c r="ET14" s="556"/>
      <c r="EU14" s="556"/>
      <c r="EV14" s="556"/>
      <c r="EW14" s="556"/>
      <c r="EX14" s="556"/>
      <c r="EY14" s="556"/>
      <c r="EZ14" s="556"/>
      <c r="FA14" s="556"/>
      <c r="FB14" s="556"/>
      <c r="FC14" s="556"/>
      <c r="FD14" s="556"/>
      <c r="FE14" s="556"/>
      <c r="FF14" s="556"/>
      <c r="FG14" s="556"/>
      <c r="FH14" s="556"/>
      <c r="FI14" s="556"/>
      <c r="FJ14" s="556"/>
      <c r="FK14" s="556"/>
      <c r="FL14" s="556"/>
      <c r="FM14" s="556"/>
      <c r="FN14" s="556"/>
      <c r="FO14" s="556"/>
      <c r="FP14" s="556"/>
      <c r="FQ14" s="556"/>
      <c r="FR14" s="556"/>
      <c r="FS14" s="556"/>
      <c r="FT14" s="556"/>
      <c r="FU14" s="556"/>
      <c r="FV14" s="556"/>
      <c r="FW14" s="556"/>
      <c r="FX14" s="556"/>
    </row>
    <row r="15" spans="1:180" s="583" customFormat="1" ht="15">
      <c r="A15" s="591" t="s">
        <v>647</v>
      </c>
      <c r="B15" s="593"/>
      <c r="C15" s="593">
        <v>193</v>
      </c>
      <c r="D15" s="593">
        <v>95</v>
      </c>
      <c r="E15" s="593">
        <v>1</v>
      </c>
      <c r="F15" s="593">
        <v>2</v>
      </c>
      <c r="G15" s="594">
        <v>167</v>
      </c>
      <c r="H15" s="593">
        <v>97</v>
      </c>
      <c r="I15" s="593">
        <v>0</v>
      </c>
      <c r="J15" s="593">
        <v>7</v>
      </c>
      <c r="K15" s="587"/>
      <c r="L15" s="593">
        <v>171</v>
      </c>
      <c r="M15" s="593">
        <v>103</v>
      </c>
      <c r="N15" s="593">
        <v>0</v>
      </c>
      <c r="O15" s="593">
        <v>6</v>
      </c>
      <c r="P15" s="595"/>
      <c r="Q15" s="594">
        <v>154</v>
      </c>
      <c r="R15" s="593">
        <v>100</v>
      </c>
      <c r="S15" s="593">
        <v>1</v>
      </c>
      <c r="T15" s="593">
        <v>5</v>
      </c>
      <c r="U15" s="593"/>
      <c r="V15" s="594">
        <v>161</v>
      </c>
      <c r="W15" s="593">
        <v>106</v>
      </c>
      <c r="X15" s="593">
        <v>1</v>
      </c>
      <c r="Y15" s="593">
        <v>5</v>
      </c>
      <c r="Z15" s="593"/>
      <c r="AA15" s="594">
        <v>140</v>
      </c>
      <c r="AB15" s="593">
        <v>96</v>
      </c>
      <c r="AC15" s="593">
        <v>0</v>
      </c>
      <c r="AD15" s="593">
        <v>3</v>
      </c>
      <c r="AE15" s="594">
        <v>148</v>
      </c>
      <c r="AF15" s="555">
        <v>105</v>
      </c>
      <c r="AG15" s="593">
        <v>0</v>
      </c>
      <c r="AH15" s="593">
        <v>2</v>
      </c>
      <c r="AI15" s="594">
        <v>127</v>
      </c>
      <c r="AJ15" s="555">
        <v>101</v>
      </c>
      <c r="AK15" s="593">
        <v>0</v>
      </c>
      <c r="AL15" s="593">
        <v>2</v>
      </c>
      <c r="AM15" s="594">
        <v>146</v>
      </c>
      <c r="AN15" s="555">
        <v>133</v>
      </c>
      <c r="AO15" s="593">
        <v>0</v>
      </c>
      <c r="AP15" s="593">
        <v>6</v>
      </c>
      <c r="AQ15" s="915">
        <f t="shared" si="3"/>
        <v>-14.189189189189189</v>
      </c>
      <c r="AR15" s="587">
        <f t="shared" si="4"/>
        <v>-3.8095238095238098</v>
      </c>
      <c r="AS15" s="590"/>
      <c r="AT15" s="556"/>
      <c r="AU15" s="556"/>
      <c r="AV15" s="556"/>
      <c r="AW15" s="556"/>
      <c r="AX15" s="582"/>
      <c r="AY15" s="582"/>
      <c r="AZ15" s="582"/>
      <c r="BA15" s="582"/>
      <c r="BB15" s="582"/>
      <c r="BC15" s="582"/>
      <c r="BD15" s="582"/>
      <c r="BF15" s="556"/>
      <c r="BG15" s="556"/>
      <c r="BH15" s="556"/>
      <c r="BI15" s="556"/>
      <c r="BJ15" s="556"/>
      <c r="BK15" s="556"/>
      <c r="BL15" s="556"/>
      <c r="BM15" s="556"/>
      <c r="BN15" s="556"/>
      <c r="BO15" s="556"/>
      <c r="BP15" s="556"/>
      <c r="BQ15" s="556"/>
      <c r="BR15" s="556"/>
      <c r="BS15" s="556"/>
      <c r="BT15" s="556"/>
      <c r="BU15" s="556"/>
      <c r="BV15" s="556"/>
      <c r="BW15" s="556"/>
      <c r="BX15" s="556"/>
      <c r="BY15" s="556"/>
      <c r="BZ15" s="556"/>
      <c r="CA15" s="556"/>
      <c r="CB15" s="556"/>
      <c r="CC15" s="556"/>
      <c r="CD15" s="556"/>
      <c r="CE15" s="556"/>
      <c r="CF15" s="556"/>
      <c r="CG15" s="556"/>
      <c r="CH15" s="556"/>
      <c r="CI15" s="556"/>
      <c r="CJ15" s="556"/>
      <c r="CK15" s="556"/>
      <c r="CL15" s="556"/>
      <c r="CM15" s="556"/>
      <c r="CN15" s="556"/>
      <c r="CO15" s="556"/>
      <c r="CP15" s="556"/>
      <c r="CQ15" s="556"/>
      <c r="CR15" s="556"/>
      <c r="CS15" s="556"/>
      <c r="CT15" s="556"/>
      <c r="CU15" s="556"/>
      <c r="CV15" s="556"/>
      <c r="CW15" s="556"/>
      <c r="CX15" s="556"/>
      <c r="CY15" s="556"/>
      <c r="CZ15" s="556"/>
      <c r="DA15" s="556"/>
      <c r="DB15" s="556"/>
      <c r="DC15" s="556"/>
      <c r="DD15" s="556"/>
      <c r="DE15" s="556"/>
      <c r="DF15" s="556"/>
      <c r="DG15" s="556"/>
      <c r="DH15" s="556"/>
      <c r="DI15" s="556"/>
      <c r="DJ15" s="556"/>
      <c r="DK15" s="556"/>
      <c r="DL15" s="556"/>
      <c r="DM15" s="556"/>
      <c r="DN15" s="556"/>
      <c r="DO15" s="556"/>
      <c r="DP15" s="556"/>
      <c r="DQ15" s="556"/>
      <c r="DR15" s="556"/>
      <c r="DS15" s="556"/>
      <c r="DT15" s="556"/>
      <c r="DU15" s="556"/>
      <c r="DV15" s="556"/>
      <c r="DW15" s="556"/>
      <c r="DX15" s="556"/>
      <c r="DY15" s="556"/>
      <c r="DZ15" s="556"/>
      <c r="EA15" s="556"/>
      <c r="EB15" s="556"/>
      <c r="EC15" s="556"/>
      <c r="ED15" s="556"/>
      <c r="EE15" s="556"/>
      <c r="EF15" s="556"/>
      <c r="EG15" s="556"/>
      <c r="EH15" s="556"/>
      <c r="EI15" s="556"/>
      <c r="EJ15" s="556"/>
      <c r="EK15" s="556"/>
      <c r="EL15" s="556"/>
      <c r="EM15" s="556"/>
      <c r="EN15" s="556"/>
      <c r="EO15" s="556"/>
      <c r="EP15" s="556"/>
      <c r="EQ15" s="556"/>
      <c r="ER15" s="556"/>
      <c r="ES15" s="556"/>
      <c r="ET15" s="556"/>
      <c r="EU15" s="556"/>
      <c r="EV15" s="556"/>
      <c r="EW15" s="556"/>
      <c r="EX15" s="556"/>
      <c r="EY15" s="556"/>
      <c r="EZ15" s="556"/>
      <c r="FA15" s="556"/>
      <c r="FB15" s="556"/>
      <c r="FC15" s="556"/>
      <c r="FD15" s="556"/>
      <c r="FE15" s="556"/>
      <c r="FF15" s="556"/>
      <c r="FG15" s="556"/>
      <c r="FH15" s="556"/>
      <c r="FI15" s="556"/>
      <c r="FJ15" s="556"/>
      <c r="FK15" s="556"/>
      <c r="FL15" s="556"/>
      <c r="FM15" s="556"/>
      <c r="FN15" s="556"/>
      <c r="FO15" s="556"/>
      <c r="FP15" s="556"/>
      <c r="FQ15" s="556"/>
      <c r="FR15" s="556"/>
      <c r="FS15" s="556"/>
      <c r="FT15" s="556"/>
      <c r="FU15" s="556"/>
      <c r="FV15" s="556"/>
      <c r="FW15" s="556"/>
      <c r="FX15" s="556"/>
    </row>
    <row r="16" spans="1:180" s="583" customFormat="1" ht="15">
      <c r="A16" s="591" t="s">
        <v>649</v>
      </c>
      <c r="B16" s="593"/>
      <c r="C16" s="593">
        <v>259</v>
      </c>
      <c r="D16" s="593">
        <v>118</v>
      </c>
      <c r="E16" s="593">
        <v>0</v>
      </c>
      <c r="F16" s="593">
        <v>1</v>
      </c>
      <c r="G16" s="594">
        <v>254</v>
      </c>
      <c r="H16" s="593">
        <v>111</v>
      </c>
      <c r="I16" s="593">
        <v>0</v>
      </c>
      <c r="J16" s="593">
        <v>2</v>
      </c>
      <c r="K16" s="587"/>
      <c r="L16" s="593">
        <v>255</v>
      </c>
      <c r="M16" s="593">
        <v>103</v>
      </c>
      <c r="N16" s="593">
        <v>2</v>
      </c>
      <c r="O16" s="593">
        <v>4</v>
      </c>
      <c r="P16" s="595"/>
      <c r="Q16" s="594">
        <v>198</v>
      </c>
      <c r="R16" s="593">
        <v>111</v>
      </c>
      <c r="S16" s="593">
        <v>0</v>
      </c>
      <c r="T16" s="593">
        <v>3</v>
      </c>
      <c r="U16" s="593"/>
      <c r="V16" s="594">
        <v>219</v>
      </c>
      <c r="W16" s="593">
        <v>114</v>
      </c>
      <c r="X16" s="593">
        <v>0</v>
      </c>
      <c r="Y16" s="593">
        <v>4</v>
      </c>
      <c r="Z16" s="593"/>
      <c r="AA16" s="594">
        <v>197</v>
      </c>
      <c r="AB16" s="593">
        <v>110</v>
      </c>
      <c r="AC16" s="593">
        <v>0</v>
      </c>
      <c r="AD16" s="593">
        <v>3</v>
      </c>
      <c r="AE16" s="594">
        <v>193</v>
      </c>
      <c r="AF16" s="555">
        <v>134</v>
      </c>
      <c r="AG16" s="593">
        <v>0</v>
      </c>
      <c r="AH16" s="593">
        <v>8</v>
      </c>
      <c r="AI16" s="594">
        <v>198</v>
      </c>
      <c r="AJ16" s="555">
        <v>133</v>
      </c>
      <c r="AK16" s="593">
        <v>0</v>
      </c>
      <c r="AL16" s="593">
        <v>11</v>
      </c>
      <c r="AM16" s="594">
        <v>212</v>
      </c>
      <c r="AN16" s="555">
        <v>128</v>
      </c>
      <c r="AO16" s="593">
        <v>0</v>
      </c>
      <c r="AP16" s="593">
        <v>4</v>
      </c>
      <c r="AQ16" s="915">
        <f t="shared" si="3"/>
        <v>2.5906735751295336</v>
      </c>
      <c r="AR16" s="587">
        <f t="shared" si="4"/>
        <v>-0.74626865671641784</v>
      </c>
      <c r="AS16" s="590"/>
      <c r="AT16" s="556"/>
      <c r="AU16" s="556"/>
      <c r="AV16" s="556"/>
      <c r="AW16" s="556"/>
      <c r="AX16" s="582"/>
      <c r="AY16" s="582"/>
      <c r="AZ16" s="582"/>
      <c r="BA16" s="582"/>
      <c r="BB16" s="582"/>
      <c r="BC16" s="582"/>
      <c r="BD16" s="582"/>
      <c r="BF16" s="556"/>
      <c r="BG16" s="556"/>
      <c r="BH16" s="556"/>
      <c r="BI16" s="556"/>
      <c r="BJ16" s="556"/>
      <c r="BK16" s="556"/>
      <c r="BL16" s="556"/>
      <c r="BM16" s="556"/>
      <c r="BN16" s="556"/>
      <c r="BO16" s="556"/>
      <c r="BP16" s="556"/>
      <c r="BQ16" s="556"/>
      <c r="BR16" s="556"/>
      <c r="BS16" s="556"/>
      <c r="BT16" s="556"/>
      <c r="BU16" s="556"/>
      <c r="BV16" s="556"/>
      <c r="BW16" s="556"/>
      <c r="BX16" s="556"/>
      <c r="BY16" s="556"/>
      <c r="BZ16" s="556"/>
      <c r="CA16" s="556"/>
      <c r="CB16" s="556"/>
      <c r="CC16" s="556"/>
      <c r="CD16" s="556"/>
      <c r="CE16" s="556"/>
      <c r="CF16" s="556"/>
      <c r="CG16" s="556"/>
      <c r="CH16" s="556"/>
      <c r="CI16" s="556"/>
      <c r="CJ16" s="556"/>
      <c r="CK16" s="556"/>
      <c r="CL16" s="556"/>
      <c r="CM16" s="556"/>
      <c r="CN16" s="556"/>
      <c r="CO16" s="556"/>
      <c r="CP16" s="556"/>
      <c r="CQ16" s="556"/>
      <c r="CR16" s="556"/>
      <c r="CS16" s="556"/>
      <c r="CT16" s="556"/>
      <c r="CU16" s="556"/>
      <c r="CV16" s="556"/>
      <c r="CW16" s="556"/>
      <c r="CX16" s="556"/>
      <c r="CY16" s="556"/>
      <c r="CZ16" s="556"/>
      <c r="DA16" s="556"/>
      <c r="DB16" s="556"/>
      <c r="DC16" s="556"/>
      <c r="DD16" s="556"/>
      <c r="DE16" s="556"/>
      <c r="DF16" s="556"/>
      <c r="DG16" s="556"/>
      <c r="DH16" s="556"/>
      <c r="DI16" s="556"/>
      <c r="DJ16" s="556"/>
      <c r="DK16" s="556"/>
      <c r="DL16" s="556"/>
      <c r="DM16" s="556"/>
      <c r="DN16" s="556"/>
      <c r="DO16" s="556"/>
      <c r="DP16" s="556"/>
      <c r="DQ16" s="556"/>
      <c r="DR16" s="556"/>
      <c r="DS16" s="556"/>
      <c r="DT16" s="556"/>
      <c r="DU16" s="556"/>
      <c r="DV16" s="556"/>
      <c r="DW16" s="556"/>
      <c r="DX16" s="556"/>
      <c r="DY16" s="556"/>
      <c r="DZ16" s="556"/>
      <c r="EA16" s="556"/>
      <c r="EB16" s="556"/>
      <c r="EC16" s="556"/>
      <c r="ED16" s="556"/>
      <c r="EE16" s="556"/>
      <c r="EF16" s="556"/>
      <c r="EG16" s="556"/>
      <c r="EH16" s="556"/>
      <c r="EI16" s="556"/>
      <c r="EJ16" s="556"/>
      <c r="EK16" s="556"/>
      <c r="EL16" s="556"/>
      <c r="EM16" s="556"/>
      <c r="EN16" s="556"/>
      <c r="EO16" s="556"/>
      <c r="EP16" s="556"/>
      <c r="EQ16" s="556"/>
      <c r="ER16" s="556"/>
      <c r="ES16" s="556"/>
      <c r="ET16" s="556"/>
      <c r="EU16" s="556"/>
      <c r="EV16" s="556"/>
      <c r="EW16" s="556"/>
      <c r="EX16" s="556"/>
      <c r="EY16" s="556"/>
      <c r="EZ16" s="556"/>
      <c r="FA16" s="556"/>
      <c r="FB16" s="556"/>
      <c r="FC16" s="556"/>
      <c r="FD16" s="556"/>
      <c r="FE16" s="556"/>
      <c r="FF16" s="556"/>
      <c r="FG16" s="556"/>
      <c r="FH16" s="556"/>
      <c r="FI16" s="556"/>
      <c r="FJ16" s="556"/>
      <c r="FK16" s="556"/>
      <c r="FL16" s="556"/>
      <c r="FM16" s="556"/>
      <c r="FN16" s="556"/>
      <c r="FO16" s="556"/>
      <c r="FP16" s="556"/>
      <c r="FQ16" s="556"/>
      <c r="FR16" s="556"/>
      <c r="FS16" s="556"/>
      <c r="FT16" s="556"/>
      <c r="FU16" s="556"/>
      <c r="FV16" s="556"/>
      <c r="FW16" s="556"/>
      <c r="FX16" s="556"/>
    </row>
    <row r="17" spans="1:180" s="583" customFormat="1" ht="15">
      <c r="A17" s="591" t="s">
        <v>651</v>
      </c>
      <c r="B17" s="593"/>
      <c r="C17" s="593">
        <v>151</v>
      </c>
      <c r="D17" s="593">
        <v>57</v>
      </c>
      <c r="E17" s="593">
        <v>0</v>
      </c>
      <c r="F17" s="593">
        <v>2</v>
      </c>
      <c r="G17" s="594">
        <v>124</v>
      </c>
      <c r="H17" s="593">
        <v>63</v>
      </c>
      <c r="I17" s="593">
        <v>0</v>
      </c>
      <c r="J17" s="593">
        <v>1</v>
      </c>
      <c r="K17" s="587"/>
      <c r="L17" s="593">
        <v>111</v>
      </c>
      <c r="M17" s="593">
        <v>62</v>
      </c>
      <c r="N17" s="593">
        <v>0</v>
      </c>
      <c r="O17" s="593">
        <v>1</v>
      </c>
      <c r="P17" s="595"/>
      <c r="Q17" s="594">
        <v>119</v>
      </c>
      <c r="R17" s="593">
        <v>89</v>
      </c>
      <c r="S17" s="593">
        <v>0</v>
      </c>
      <c r="T17" s="593">
        <v>6</v>
      </c>
      <c r="U17" s="593"/>
      <c r="V17" s="594">
        <v>108</v>
      </c>
      <c r="W17" s="593">
        <v>68</v>
      </c>
      <c r="X17" s="593">
        <v>0</v>
      </c>
      <c r="Y17" s="593">
        <v>1</v>
      </c>
      <c r="Z17" s="593"/>
      <c r="AA17" s="594">
        <v>116</v>
      </c>
      <c r="AB17" s="593">
        <v>65</v>
      </c>
      <c r="AC17" s="593">
        <v>0</v>
      </c>
      <c r="AD17" s="593">
        <v>1</v>
      </c>
      <c r="AE17" s="594">
        <v>94</v>
      </c>
      <c r="AF17" s="555">
        <v>70</v>
      </c>
      <c r="AG17" s="593">
        <v>0</v>
      </c>
      <c r="AH17" s="593">
        <v>4</v>
      </c>
      <c r="AI17" s="594">
        <v>100</v>
      </c>
      <c r="AJ17" s="555">
        <v>74</v>
      </c>
      <c r="AK17" s="593">
        <v>0</v>
      </c>
      <c r="AL17" s="593">
        <v>4</v>
      </c>
      <c r="AM17" s="594">
        <v>107</v>
      </c>
      <c r="AN17" s="555">
        <v>59</v>
      </c>
      <c r="AO17" s="593">
        <v>0</v>
      </c>
      <c r="AP17" s="593">
        <v>2</v>
      </c>
      <c r="AQ17" s="915">
        <f t="shared" si="3"/>
        <v>6.3829787234042552</v>
      </c>
      <c r="AR17" s="587">
        <f t="shared" si="4"/>
        <v>5.7142857142857144</v>
      </c>
      <c r="AS17" s="590"/>
      <c r="AT17" s="556"/>
      <c r="AU17" s="556"/>
      <c r="AV17" s="556"/>
      <c r="AW17" s="556"/>
      <c r="AX17" s="582"/>
      <c r="AY17" s="582"/>
      <c r="AZ17" s="582"/>
      <c r="BA17" s="582"/>
      <c r="BB17" s="582"/>
      <c r="BC17" s="582"/>
      <c r="BD17" s="582"/>
      <c r="BF17" s="556"/>
      <c r="BG17" s="556"/>
      <c r="BH17" s="556"/>
      <c r="BI17" s="556"/>
      <c r="BJ17" s="556"/>
      <c r="BK17" s="556"/>
      <c r="BL17" s="556"/>
      <c r="BM17" s="556"/>
      <c r="BN17" s="556"/>
      <c r="BO17" s="556"/>
      <c r="BP17" s="556"/>
      <c r="BQ17" s="556"/>
      <c r="BR17" s="556"/>
      <c r="BS17" s="556"/>
      <c r="BT17" s="556"/>
      <c r="BU17" s="556"/>
      <c r="BV17" s="556"/>
      <c r="BW17" s="556"/>
      <c r="BX17" s="556"/>
      <c r="BY17" s="556"/>
      <c r="BZ17" s="556"/>
      <c r="CA17" s="556"/>
      <c r="CB17" s="556"/>
      <c r="CC17" s="556"/>
      <c r="CD17" s="556"/>
      <c r="CE17" s="556"/>
      <c r="CF17" s="556"/>
      <c r="CG17" s="556"/>
      <c r="CH17" s="556"/>
      <c r="CI17" s="556"/>
      <c r="CJ17" s="556"/>
      <c r="CK17" s="556"/>
      <c r="CL17" s="556"/>
      <c r="CM17" s="556"/>
      <c r="CN17" s="556"/>
      <c r="CO17" s="556"/>
      <c r="CP17" s="556"/>
      <c r="CQ17" s="556"/>
      <c r="CR17" s="556"/>
      <c r="CS17" s="556"/>
      <c r="CT17" s="556"/>
      <c r="CU17" s="556"/>
      <c r="CV17" s="556"/>
      <c r="CW17" s="556"/>
      <c r="CX17" s="556"/>
      <c r="CY17" s="556"/>
      <c r="CZ17" s="556"/>
      <c r="DA17" s="556"/>
      <c r="DB17" s="556"/>
      <c r="DC17" s="556"/>
      <c r="DD17" s="556"/>
      <c r="DE17" s="556"/>
      <c r="DF17" s="556"/>
      <c r="DG17" s="556"/>
      <c r="DH17" s="556"/>
      <c r="DI17" s="556"/>
      <c r="DJ17" s="556"/>
      <c r="DK17" s="556"/>
      <c r="DL17" s="556"/>
      <c r="DM17" s="556"/>
      <c r="DN17" s="556"/>
      <c r="DO17" s="556"/>
      <c r="DP17" s="556"/>
      <c r="DQ17" s="556"/>
      <c r="DR17" s="556"/>
      <c r="DS17" s="556"/>
      <c r="DT17" s="556"/>
      <c r="DU17" s="556"/>
      <c r="DV17" s="556"/>
      <c r="DW17" s="556"/>
      <c r="DX17" s="556"/>
      <c r="DY17" s="556"/>
      <c r="DZ17" s="556"/>
      <c r="EA17" s="556"/>
      <c r="EB17" s="556"/>
      <c r="EC17" s="556"/>
      <c r="ED17" s="556"/>
      <c r="EE17" s="556"/>
      <c r="EF17" s="556"/>
      <c r="EG17" s="556"/>
      <c r="EH17" s="556"/>
      <c r="EI17" s="556"/>
      <c r="EJ17" s="556"/>
      <c r="EK17" s="556"/>
      <c r="EL17" s="556"/>
      <c r="EM17" s="556"/>
      <c r="EN17" s="556"/>
      <c r="EO17" s="556"/>
      <c r="EP17" s="556"/>
      <c r="EQ17" s="556"/>
      <c r="ER17" s="556"/>
      <c r="ES17" s="556"/>
      <c r="ET17" s="556"/>
      <c r="EU17" s="556"/>
      <c r="EV17" s="556"/>
      <c r="EW17" s="556"/>
      <c r="EX17" s="556"/>
      <c r="EY17" s="556"/>
      <c r="EZ17" s="556"/>
      <c r="FA17" s="556"/>
      <c r="FB17" s="556"/>
      <c r="FC17" s="556"/>
      <c r="FD17" s="556"/>
      <c r="FE17" s="556"/>
      <c r="FF17" s="556"/>
      <c r="FG17" s="556"/>
      <c r="FH17" s="556"/>
      <c r="FI17" s="556"/>
      <c r="FJ17" s="556"/>
      <c r="FK17" s="556"/>
      <c r="FL17" s="556"/>
      <c r="FM17" s="556"/>
      <c r="FN17" s="556"/>
      <c r="FO17" s="556"/>
      <c r="FP17" s="556"/>
      <c r="FQ17" s="556"/>
      <c r="FR17" s="556"/>
      <c r="FS17" s="556"/>
      <c r="FT17" s="556"/>
      <c r="FU17" s="556"/>
      <c r="FV17" s="556"/>
      <c r="FW17" s="556"/>
      <c r="FX17" s="556"/>
    </row>
    <row r="18" spans="1:180" s="583" customFormat="1" ht="15">
      <c r="A18" s="591" t="s">
        <v>653</v>
      </c>
      <c r="B18" s="593"/>
      <c r="C18" s="593">
        <v>160</v>
      </c>
      <c r="D18" s="593">
        <v>93</v>
      </c>
      <c r="E18" s="593">
        <v>0</v>
      </c>
      <c r="F18" s="593">
        <v>0</v>
      </c>
      <c r="G18" s="594">
        <v>127</v>
      </c>
      <c r="H18" s="593">
        <v>79</v>
      </c>
      <c r="I18" s="593">
        <v>0</v>
      </c>
      <c r="J18" s="593">
        <v>3</v>
      </c>
      <c r="K18" s="587"/>
      <c r="L18" s="593">
        <v>129</v>
      </c>
      <c r="M18" s="593">
        <v>96</v>
      </c>
      <c r="N18" s="593">
        <v>0</v>
      </c>
      <c r="O18" s="593">
        <v>2</v>
      </c>
      <c r="P18" s="595"/>
      <c r="Q18" s="594">
        <v>133</v>
      </c>
      <c r="R18" s="593">
        <v>90</v>
      </c>
      <c r="S18" s="593">
        <v>0</v>
      </c>
      <c r="T18" s="593">
        <v>2</v>
      </c>
      <c r="U18" s="593"/>
      <c r="V18" s="594">
        <v>140</v>
      </c>
      <c r="W18" s="593">
        <v>73</v>
      </c>
      <c r="X18" s="593">
        <v>0</v>
      </c>
      <c r="Y18" s="593">
        <v>0</v>
      </c>
      <c r="Z18" s="593"/>
      <c r="AA18" s="594">
        <v>118</v>
      </c>
      <c r="AB18" s="593">
        <v>80</v>
      </c>
      <c r="AC18" s="593">
        <v>0</v>
      </c>
      <c r="AD18" s="593">
        <v>4</v>
      </c>
      <c r="AE18" s="594">
        <v>119</v>
      </c>
      <c r="AF18" s="555">
        <v>93</v>
      </c>
      <c r="AG18" s="593">
        <v>0</v>
      </c>
      <c r="AH18" s="593">
        <v>6</v>
      </c>
      <c r="AI18" s="594">
        <v>106</v>
      </c>
      <c r="AJ18" s="555">
        <v>84</v>
      </c>
      <c r="AK18" s="593">
        <v>0</v>
      </c>
      <c r="AL18" s="593">
        <v>1</v>
      </c>
      <c r="AM18" s="594">
        <v>131</v>
      </c>
      <c r="AN18" s="555">
        <v>75</v>
      </c>
      <c r="AO18" s="593">
        <v>0</v>
      </c>
      <c r="AP18" s="593">
        <v>2</v>
      </c>
      <c r="AQ18" s="915">
        <f t="shared" si="3"/>
        <v>-10.92436974789916</v>
      </c>
      <c r="AR18" s="587">
        <f t="shared" si="4"/>
        <v>-9.67741935483871</v>
      </c>
      <c r="AS18" s="590"/>
      <c r="AT18" s="556"/>
      <c r="AU18" s="556"/>
      <c r="AV18" s="556"/>
      <c r="AW18" s="556"/>
      <c r="AX18" s="582"/>
      <c r="AY18" s="582"/>
      <c r="AZ18" s="582"/>
      <c r="BA18" s="582"/>
      <c r="BB18" s="582"/>
      <c r="BC18" s="582"/>
      <c r="BD18" s="582"/>
      <c r="BF18" s="556"/>
      <c r="BG18" s="556"/>
      <c r="BH18" s="556"/>
      <c r="BI18" s="556"/>
      <c r="BJ18" s="556"/>
      <c r="BK18" s="556"/>
      <c r="BL18" s="556"/>
      <c r="BM18" s="556"/>
      <c r="BN18" s="556"/>
      <c r="BO18" s="556"/>
      <c r="BP18" s="556"/>
      <c r="BQ18" s="556"/>
      <c r="BR18" s="556"/>
      <c r="BS18" s="556"/>
      <c r="BT18" s="556"/>
      <c r="BU18" s="556"/>
      <c r="BV18" s="556"/>
      <c r="BW18" s="556"/>
      <c r="BX18" s="556"/>
      <c r="BY18" s="556"/>
      <c r="BZ18" s="556"/>
      <c r="CA18" s="556"/>
      <c r="CB18" s="556"/>
      <c r="CC18" s="556"/>
      <c r="CD18" s="556"/>
      <c r="CE18" s="556"/>
      <c r="CF18" s="556"/>
      <c r="CG18" s="556"/>
      <c r="CH18" s="556"/>
      <c r="CI18" s="556"/>
      <c r="CJ18" s="556"/>
      <c r="CK18" s="556"/>
      <c r="CL18" s="556"/>
      <c r="CM18" s="556"/>
      <c r="CN18" s="556"/>
      <c r="CO18" s="556"/>
      <c r="CP18" s="556"/>
      <c r="CQ18" s="556"/>
      <c r="CR18" s="556"/>
      <c r="CS18" s="556"/>
      <c r="CT18" s="556"/>
      <c r="CU18" s="556"/>
      <c r="CV18" s="556"/>
      <c r="CW18" s="556"/>
      <c r="CX18" s="556"/>
      <c r="CY18" s="556"/>
      <c r="CZ18" s="556"/>
      <c r="DA18" s="556"/>
      <c r="DB18" s="556"/>
      <c r="DC18" s="556"/>
      <c r="DD18" s="556"/>
      <c r="DE18" s="556"/>
      <c r="DF18" s="556"/>
      <c r="DG18" s="556"/>
      <c r="DH18" s="556"/>
      <c r="DI18" s="556"/>
      <c r="DJ18" s="556"/>
      <c r="DK18" s="556"/>
      <c r="DL18" s="556"/>
      <c r="DM18" s="556"/>
      <c r="DN18" s="556"/>
      <c r="DO18" s="556"/>
      <c r="DP18" s="556"/>
      <c r="DQ18" s="556"/>
      <c r="DR18" s="556"/>
      <c r="DS18" s="556"/>
      <c r="DT18" s="556"/>
      <c r="DU18" s="556"/>
      <c r="DV18" s="556"/>
      <c r="DW18" s="556"/>
      <c r="DX18" s="556"/>
      <c r="DY18" s="556"/>
      <c r="DZ18" s="556"/>
      <c r="EA18" s="556"/>
      <c r="EB18" s="556"/>
      <c r="EC18" s="556"/>
      <c r="ED18" s="556"/>
      <c r="EE18" s="556"/>
      <c r="EF18" s="556"/>
      <c r="EG18" s="556"/>
      <c r="EH18" s="556"/>
      <c r="EI18" s="556"/>
      <c r="EJ18" s="556"/>
      <c r="EK18" s="556"/>
      <c r="EL18" s="556"/>
      <c r="EM18" s="556"/>
      <c r="EN18" s="556"/>
      <c r="EO18" s="556"/>
      <c r="EP18" s="556"/>
      <c r="EQ18" s="556"/>
      <c r="ER18" s="556"/>
      <c r="ES18" s="556"/>
      <c r="ET18" s="556"/>
      <c r="EU18" s="556"/>
      <c r="EV18" s="556"/>
      <c r="EW18" s="556"/>
      <c r="EX18" s="556"/>
      <c r="EY18" s="556"/>
      <c r="EZ18" s="556"/>
      <c r="FA18" s="556"/>
      <c r="FB18" s="556"/>
      <c r="FC18" s="556"/>
      <c r="FD18" s="556"/>
      <c r="FE18" s="556"/>
      <c r="FF18" s="556"/>
      <c r="FG18" s="556"/>
      <c r="FH18" s="556"/>
      <c r="FI18" s="556"/>
      <c r="FJ18" s="556"/>
      <c r="FK18" s="556"/>
      <c r="FL18" s="556"/>
      <c r="FM18" s="556"/>
      <c r="FN18" s="556"/>
      <c r="FO18" s="556"/>
      <c r="FP18" s="556"/>
      <c r="FQ18" s="556"/>
      <c r="FR18" s="556"/>
      <c r="FS18" s="556"/>
      <c r="FT18" s="556"/>
      <c r="FU18" s="556"/>
      <c r="FV18" s="556"/>
      <c r="FW18" s="556"/>
      <c r="FX18" s="556"/>
    </row>
    <row r="19" spans="1:180" s="583" customFormat="1" ht="15">
      <c r="A19" s="591" t="s">
        <v>750</v>
      </c>
      <c r="B19" s="593"/>
      <c r="C19" s="593">
        <v>213</v>
      </c>
      <c r="D19" s="593">
        <v>112</v>
      </c>
      <c r="E19" s="593">
        <v>0</v>
      </c>
      <c r="F19" s="593">
        <v>4</v>
      </c>
      <c r="G19" s="594">
        <v>247</v>
      </c>
      <c r="H19" s="593">
        <v>124</v>
      </c>
      <c r="I19" s="593">
        <v>0</v>
      </c>
      <c r="J19" s="593">
        <v>2</v>
      </c>
      <c r="K19" s="587"/>
      <c r="L19" s="593">
        <v>222</v>
      </c>
      <c r="M19" s="593">
        <v>151</v>
      </c>
      <c r="N19" s="593">
        <v>0</v>
      </c>
      <c r="O19" s="593">
        <v>4</v>
      </c>
      <c r="P19" s="595"/>
      <c r="Q19" s="594">
        <v>195</v>
      </c>
      <c r="R19" s="593">
        <v>126</v>
      </c>
      <c r="S19" s="593">
        <v>1</v>
      </c>
      <c r="T19" s="593">
        <v>5</v>
      </c>
      <c r="U19" s="593"/>
      <c r="V19" s="594">
        <v>201</v>
      </c>
      <c r="W19" s="593">
        <v>132</v>
      </c>
      <c r="X19" s="593">
        <v>3</v>
      </c>
      <c r="Y19" s="593">
        <v>3</v>
      </c>
      <c r="Z19" s="593"/>
      <c r="AA19" s="594">
        <v>180</v>
      </c>
      <c r="AB19" s="593">
        <v>120</v>
      </c>
      <c r="AC19" s="593">
        <v>2</v>
      </c>
      <c r="AD19" s="593">
        <v>1</v>
      </c>
      <c r="AE19" s="594">
        <v>201</v>
      </c>
      <c r="AF19" s="555">
        <v>146</v>
      </c>
      <c r="AG19" s="593">
        <v>0</v>
      </c>
      <c r="AH19" s="593">
        <v>3</v>
      </c>
      <c r="AI19" s="594">
        <v>178</v>
      </c>
      <c r="AJ19" s="555">
        <v>114</v>
      </c>
      <c r="AK19" s="593">
        <v>1</v>
      </c>
      <c r="AL19" s="593">
        <v>3</v>
      </c>
      <c r="AM19" s="594">
        <v>186</v>
      </c>
      <c r="AN19" s="555">
        <v>120</v>
      </c>
      <c r="AO19" s="593">
        <v>0</v>
      </c>
      <c r="AP19" s="593">
        <v>4</v>
      </c>
      <c r="AQ19" s="915">
        <f t="shared" si="3"/>
        <v>-11.442786069651742</v>
      </c>
      <c r="AR19" s="587">
        <f t="shared" si="4"/>
        <v>-21.917808219178081</v>
      </c>
      <c r="AS19" s="590"/>
      <c r="AT19" s="556"/>
      <c r="AU19" s="556"/>
      <c r="AV19" s="556"/>
      <c r="AW19" s="556"/>
      <c r="AX19" s="582"/>
      <c r="AY19" s="582"/>
      <c r="AZ19" s="582"/>
      <c r="BA19" s="582"/>
      <c r="BB19" s="582"/>
      <c r="BC19" s="582"/>
      <c r="BD19" s="582"/>
      <c r="BF19" s="556"/>
      <c r="BG19" s="556"/>
      <c r="BH19" s="556"/>
      <c r="BI19" s="556"/>
      <c r="BJ19" s="556"/>
      <c r="BK19" s="556"/>
      <c r="BL19" s="556"/>
      <c r="BM19" s="556"/>
      <c r="BN19" s="556"/>
      <c r="BO19" s="556"/>
      <c r="BP19" s="556"/>
      <c r="BQ19" s="556"/>
      <c r="BR19" s="556"/>
      <c r="BS19" s="556"/>
      <c r="BT19" s="556"/>
      <c r="BU19" s="556"/>
      <c r="BV19" s="556"/>
      <c r="BW19" s="556"/>
      <c r="BX19" s="556"/>
      <c r="BY19" s="556"/>
      <c r="BZ19" s="556"/>
      <c r="CA19" s="556"/>
      <c r="CB19" s="556"/>
      <c r="CC19" s="556"/>
      <c r="CD19" s="556"/>
      <c r="CE19" s="556"/>
      <c r="CF19" s="556"/>
      <c r="CG19" s="556"/>
      <c r="CH19" s="556"/>
      <c r="CI19" s="556"/>
      <c r="CJ19" s="556"/>
      <c r="CK19" s="556"/>
      <c r="CL19" s="556"/>
      <c r="CM19" s="556"/>
      <c r="CN19" s="556"/>
      <c r="CO19" s="556"/>
      <c r="CP19" s="556"/>
      <c r="CQ19" s="556"/>
      <c r="CR19" s="556"/>
      <c r="CS19" s="556"/>
      <c r="CT19" s="556"/>
      <c r="CU19" s="556"/>
      <c r="CV19" s="556"/>
      <c r="CW19" s="556"/>
      <c r="CX19" s="556"/>
      <c r="CY19" s="556"/>
      <c r="CZ19" s="556"/>
      <c r="DA19" s="556"/>
      <c r="DB19" s="556"/>
      <c r="DC19" s="556"/>
      <c r="DD19" s="556"/>
      <c r="DE19" s="556"/>
      <c r="DF19" s="556"/>
      <c r="DG19" s="556"/>
      <c r="DH19" s="556"/>
      <c r="DI19" s="556"/>
      <c r="DJ19" s="556"/>
      <c r="DK19" s="556"/>
      <c r="DL19" s="556"/>
      <c r="DM19" s="556"/>
      <c r="DN19" s="556"/>
      <c r="DO19" s="556"/>
      <c r="DP19" s="556"/>
      <c r="DQ19" s="556"/>
      <c r="DR19" s="556"/>
      <c r="DS19" s="556"/>
      <c r="DT19" s="556"/>
      <c r="DU19" s="556"/>
      <c r="DV19" s="556"/>
      <c r="DW19" s="556"/>
      <c r="DX19" s="556"/>
      <c r="DY19" s="556"/>
      <c r="DZ19" s="556"/>
      <c r="EA19" s="556"/>
      <c r="EB19" s="556"/>
      <c r="EC19" s="556"/>
      <c r="ED19" s="556"/>
      <c r="EE19" s="556"/>
      <c r="EF19" s="556"/>
      <c r="EG19" s="556"/>
      <c r="EH19" s="556"/>
      <c r="EI19" s="556"/>
      <c r="EJ19" s="556"/>
      <c r="EK19" s="556"/>
      <c r="EL19" s="556"/>
      <c r="EM19" s="556"/>
      <c r="EN19" s="556"/>
      <c r="EO19" s="556"/>
      <c r="EP19" s="556"/>
      <c r="EQ19" s="556"/>
      <c r="ER19" s="556"/>
      <c r="ES19" s="556"/>
      <c r="ET19" s="556"/>
      <c r="EU19" s="556"/>
      <c r="EV19" s="556"/>
      <c r="EW19" s="556"/>
      <c r="EX19" s="556"/>
      <c r="EY19" s="556"/>
      <c r="EZ19" s="556"/>
      <c r="FA19" s="556"/>
      <c r="FB19" s="556"/>
      <c r="FC19" s="556"/>
      <c r="FD19" s="556"/>
      <c r="FE19" s="556"/>
      <c r="FF19" s="556"/>
      <c r="FG19" s="556"/>
      <c r="FH19" s="556"/>
      <c r="FI19" s="556"/>
      <c r="FJ19" s="556"/>
      <c r="FK19" s="556"/>
      <c r="FL19" s="556"/>
      <c r="FM19" s="556"/>
      <c r="FN19" s="556"/>
      <c r="FO19" s="556"/>
      <c r="FP19" s="556"/>
      <c r="FQ19" s="556"/>
      <c r="FR19" s="556"/>
      <c r="FS19" s="556"/>
      <c r="FT19" s="556"/>
      <c r="FU19" s="556"/>
      <c r="FV19" s="556"/>
      <c r="FW19" s="556"/>
      <c r="FX19" s="556"/>
    </row>
    <row r="20" spans="1:180" s="583" customFormat="1" ht="15">
      <c r="A20" s="591" t="s">
        <v>657</v>
      </c>
      <c r="B20" s="593"/>
      <c r="C20" s="593">
        <v>99</v>
      </c>
      <c r="D20" s="593">
        <v>68</v>
      </c>
      <c r="E20" s="593">
        <v>0</v>
      </c>
      <c r="F20" s="593">
        <v>1</v>
      </c>
      <c r="G20" s="594">
        <v>86</v>
      </c>
      <c r="H20" s="593">
        <v>64</v>
      </c>
      <c r="I20" s="593">
        <v>0</v>
      </c>
      <c r="J20" s="593">
        <v>1</v>
      </c>
      <c r="K20" s="587"/>
      <c r="L20" s="593">
        <v>102</v>
      </c>
      <c r="M20" s="593">
        <v>70</v>
      </c>
      <c r="N20" s="593">
        <v>0</v>
      </c>
      <c r="O20" s="593">
        <v>1</v>
      </c>
      <c r="P20" s="595"/>
      <c r="Q20" s="594">
        <v>111</v>
      </c>
      <c r="R20" s="593">
        <v>79</v>
      </c>
      <c r="S20" s="593">
        <v>0</v>
      </c>
      <c r="T20" s="593">
        <v>3</v>
      </c>
      <c r="U20" s="593"/>
      <c r="V20" s="594">
        <v>89</v>
      </c>
      <c r="W20" s="593">
        <v>89</v>
      </c>
      <c r="X20" s="593">
        <v>0</v>
      </c>
      <c r="Y20" s="593">
        <v>1</v>
      </c>
      <c r="Z20" s="593"/>
      <c r="AA20" s="594">
        <v>109</v>
      </c>
      <c r="AB20" s="593">
        <v>64</v>
      </c>
      <c r="AC20" s="593">
        <v>0</v>
      </c>
      <c r="AD20" s="593">
        <v>3</v>
      </c>
      <c r="AE20" s="594">
        <v>103</v>
      </c>
      <c r="AF20" s="555">
        <v>91</v>
      </c>
      <c r="AG20" s="593">
        <v>0</v>
      </c>
      <c r="AH20" s="593">
        <v>3</v>
      </c>
      <c r="AI20" s="594">
        <v>94</v>
      </c>
      <c r="AJ20" s="555">
        <v>68</v>
      </c>
      <c r="AK20" s="593">
        <v>0</v>
      </c>
      <c r="AL20" s="593">
        <v>2</v>
      </c>
      <c r="AM20" s="594">
        <v>98</v>
      </c>
      <c r="AN20" s="555">
        <v>55</v>
      </c>
      <c r="AO20" s="593">
        <v>0</v>
      </c>
      <c r="AP20" s="593">
        <v>0</v>
      </c>
      <c r="AQ20" s="915">
        <f t="shared" si="3"/>
        <v>-8.7378640776699026</v>
      </c>
      <c r="AR20" s="587">
        <f t="shared" si="4"/>
        <v>-25.274725274725274</v>
      </c>
      <c r="AS20" s="590"/>
      <c r="AT20" s="556"/>
      <c r="AU20" s="556"/>
      <c r="AV20" s="556"/>
      <c r="AW20" s="556"/>
      <c r="AX20" s="582"/>
      <c r="AY20" s="582"/>
      <c r="AZ20" s="582"/>
      <c r="BA20" s="582"/>
      <c r="BB20" s="582"/>
      <c r="BC20" s="582"/>
      <c r="BD20" s="582"/>
      <c r="BF20" s="556"/>
      <c r="BG20" s="556"/>
      <c r="BH20" s="556"/>
      <c r="BI20" s="556"/>
      <c r="BJ20" s="556"/>
      <c r="BK20" s="556"/>
      <c r="BL20" s="556"/>
      <c r="BM20" s="556"/>
      <c r="BN20" s="556"/>
      <c r="BO20" s="556"/>
      <c r="BP20" s="556"/>
      <c r="BQ20" s="556"/>
      <c r="BR20" s="556"/>
      <c r="BS20" s="556"/>
      <c r="BT20" s="556"/>
      <c r="BU20" s="556"/>
      <c r="BV20" s="556"/>
      <c r="BW20" s="556"/>
      <c r="BX20" s="556"/>
      <c r="BY20" s="556"/>
      <c r="BZ20" s="556"/>
      <c r="CA20" s="556"/>
      <c r="CB20" s="556"/>
      <c r="CC20" s="556"/>
      <c r="CD20" s="556"/>
      <c r="CE20" s="556"/>
      <c r="CF20" s="556"/>
      <c r="CG20" s="556"/>
      <c r="CH20" s="556"/>
      <c r="CI20" s="556"/>
      <c r="CJ20" s="556"/>
      <c r="CK20" s="556"/>
      <c r="CL20" s="556"/>
      <c r="CM20" s="556"/>
      <c r="CN20" s="556"/>
      <c r="CO20" s="556"/>
      <c r="CP20" s="556"/>
      <c r="CQ20" s="556"/>
      <c r="CR20" s="556"/>
      <c r="CS20" s="556"/>
      <c r="CT20" s="556"/>
      <c r="CU20" s="556"/>
      <c r="CV20" s="556"/>
      <c r="CW20" s="556"/>
      <c r="CX20" s="556"/>
      <c r="CY20" s="556"/>
      <c r="CZ20" s="556"/>
      <c r="DA20" s="556"/>
      <c r="DB20" s="556"/>
      <c r="DC20" s="556"/>
      <c r="DD20" s="556"/>
      <c r="DE20" s="556"/>
      <c r="DF20" s="556"/>
      <c r="DG20" s="556"/>
      <c r="DH20" s="556"/>
      <c r="DI20" s="556"/>
      <c r="DJ20" s="556"/>
      <c r="DK20" s="556"/>
      <c r="DL20" s="556"/>
      <c r="DM20" s="556"/>
      <c r="DN20" s="556"/>
      <c r="DO20" s="556"/>
      <c r="DP20" s="556"/>
      <c r="DQ20" s="556"/>
      <c r="DR20" s="556"/>
      <c r="DS20" s="556"/>
      <c r="DT20" s="556"/>
      <c r="DU20" s="556"/>
      <c r="DV20" s="556"/>
      <c r="DW20" s="556"/>
      <c r="DX20" s="556"/>
      <c r="DY20" s="556"/>
      <c r="DZ20" s="556"/>
      <c r="EA20" s="556"/>
      <c r="EB20" s="556"/>
      <c r="EC20" s="556"/>
      <c r="ED20" s="556"/>
      <c r="EE20" s="556"/>
      <c r="EF20" s="556"/>
      <c r="EG20" s="556"/>
      <c r="EH20" s="556"/>
      <c r="EI20" s="556"/>
      <c r="EJ20" s="556"/>
      <c r="EK20" s="556"/>
      <c r="EL20" s="556"/>
      <c r="EM20" s="556"/>
      <c r="EN20" s="556"/>
      <c r="EO20" s="556"/>
      <c r="EP20" s="556"/>
      <c r="EQ20" s="556"/>
      <c r="ER20" s="556"/>
      <c r="ES20" s="556"/>
      <c r="ET20" s="556"/>
      <c r="EU20" s="556"/>
      <c r="EV20" s="556"/>
      <c r="EW20" s="556"/>
      <c r="EX20" s="556"/>
      <c r="EY20" s="556"/>
      <c r="EZ20" s="556"/>
      <c r="FA20" s="556"/>
      <c r="FB20" s="556"/>
      <c r="FC20" s="556"/>
      <c r="FD20" s="556"/>
      <c r="FE20" s="556"/>
      <c r="FF20" s="556"/>
      <c r="FG20" s="556"/>
      <c r="FH20" s="556"/>
      <c r="FI20" s="556"/>
      <c r="FJ20" s="556"/>
      <c r="FK20" s="556"/>
      <c r="FL20" s="556"/>
      <c r="FM20" s="556"/>
      <c r="FN20" s="556"/>
      <c r="FO20" s="556"/>
      <c r="FP20" s="556"/>
      <c r="FQ20" s="556"/>
      <c r="FR20" s="556"/>
      <c r="FS20" s="556"/>
      <c r="FT20" s="556"/>
      <c r="FU20" s="556"/>
      <c r="FV20" s="556"/>
      <c r="FW20" s="556"/>
      <c r="FX20" s="556"/>
    </row>
    <row r="21" spans="1:180" s="596" customFormat="1" ht="15">
      <c r="A21" s="591" t="s">
        <v>659</v>
      </c>
      <c r="B21" s="593"/>
      <c r="C21" s="593">
        <v>152</v>
      </c>
      <c r="D21" s="593">
        <v>74</v>
      </c>
      <c r="E21" s="593">
        <v>0</v>
      </c>
      <c r="F21" s="593">
        <v>3</v>
      </c>
      <c r="G21" s="594">
        <v>139</v>
      </c>
      <c r="H21" s="593">
        <v>76</v>
      </c>
      <c r="I21" s="593">
        <v>0</v>
      </c>
      <c r="J21" s="593">
        <v>0</v>
      </c>
      <c r="K21" s="587"/>
      <c r="L21" s="593">
        <v>121</v>
      </c>
      <c r="M21" s="593">
        <v>84</v>
      </c>
      <c r="N21" s="593">
        <v>0</v>
      </c>
      <c r="O21" s="593">
        <v>1</v>
      </c>
      <c r="P21" s="595"/>
      <c r="Q21" s="594">
        <v>123</v>
      </c>
      <c r="R21" s="593">
        <v>90</v>
      </c>
      <c r="S21" s="593">
        <v>0</v>
      </c>
      <c r="T21" s="593">
        <v>0</v>
      </c>
      <c r="U21" s="593"/>
      <c r="V21" s="594">
        <v>121</v>
      </c>
      <c r="W21" s="593">
        <v>83</v>
      </c>
      <c r="X21" s="593">
        <v>0</v>
      </c>
      <c r="Y21" s="593">
        <v>0</v>
      </c>
      <c r="Z21" s="593"/>
      <c r="AA21" s="594">
        <v>112</v>
      </c>
      <c r="AB21" s="593">
        <v>79</v>
      </c>
      <c r="AC21" s="593">
        <v>0</v>
      </c>
      <c r="AD21" s="593">
        <v>1</v>
      </c>
      <c r="AE21" s="594">
        <v>97</v>
      </c>
      <c r="AF21" s="555">
        <v>80</v>
      </c>
      <c r="AG21" s="593">
        <v>0</v>
      </c>
      <c r="AH21" s="593">
        <v>3</v>
      </c>
      <c r="AI21" s="594">
        <v>111</v>
      </c>
      <c r="AJ21" s="555">
        <v>80</v>
      </c>
      <c r="AK21" s="593">
        <v>0</v>
      </c>
      <c r="AL21" s="593">
        <v>2</v>
      </c>
      <c r="AM21" s="594">
        <v>110</v>
      </c>
      <c r="AN21" s="555">
        <v>83</v>
      </c>
      <c r="AO21" s="593">
        <v>0</v>
      </c>
      <c r="AP21" s="593">
        <v>2</v>
      </c>
      <c r="AQ21" s="915">
        <f t="shared" si="3"/>
        <v>14.432989690721648</v>
      </c>
      <c r="AR21" s="587">
        <f t="shared" si="4"/>
        <v>0</v>
      </c>
      <c r="AS21" s="590"/>
      <c r="AT21" s="556"/>
      <c r="AU21" s="556"/>
      <c r="AV21" s="556"/>
      <c r="AW21" s="556"/>
      <c r="AX21" s="582"/>
      <c r="AY21" s="582"/>
      <c r="AZ21" s="582"/>
      <c r="BA21" s="582"/>
      <c r="BB21" s="582"/>
      <c r="BC21" s="582"/>
      <c r="BD21" s="582"/>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c r="CX21" s="555"/>
      <c r="CY21" s="555"/>
      <c r="CZ21" s="555"/>
      <c r="DA21" s="555"/>
      <c r="DB21" s="555"/>
      <c r="DC21" s="555"/>
      <c r="DD21" s="555"/>
      <c r="DE21" s="555"/>
      <c r="DF21" s="555"/>
      <c r="DG21" s="555"/>
      <c r="DH21" s="555"/>
      <c r="DI21" s="555"/>
      <c r="DJ21" s="555"/>
      <c r="DK21" s="555"/>
      <c r="DL21" s="555"/>
      <c r="DM21" s="555"/>
      <c r="DN21" s="555"/>
      <c r="DO21" s="555"/>
      <c r="DP21" s="555"/>
      <c r="DQ21" s="555"/>
      <c r="DR21" s="555"/>
      <c r="DS21" s="555"/>
      <c r="DT21" s="555"/>
      <c r="DU21" s="555"/>
      <c r="DV21" s="555"/>
      <c r="DW21" s="555"/>
      <c r="DX21" s="555"/>
      <c r="DY21" s="555"/>
      <c r="DZ21" s="555"/>
      <c r="EA21" s="555"/>
      <c r="EB21" s="555"/>
      <c r="EC21" s="555"/>
      <c r="ED21" s="555"/>
      <c r="EE21" s="555"/>
      <c r="EF21" s="555"/>
      <c r="EG21" s="555"/>
      <c r="EH21" s="555"/>
      <c r="EI21" s="555"/>
      <c r="EJ21" s="555"/>
      <c r="EK21" s="555"/>
      <c r="EL21" s="555"/>
      <c r="EM21" s="555"/>
      <c r="EN21" s="555"/>
      <c r="EO21" s="555"/>
      <c r="EP21" s="555"/>
      <c r="EQ21" s="555"/>
      <c r="ER21" s="555"/>
      <c r="ES21" s="555"/>
      <c r="ET21" s="555"/>
      <c r="EU21" s="555"/>
      <c r="EV21" s="555"/>
      <c r="EW21" s="555"/>
      <c r="EX21" s="555"/>
      <c r="EY21" s="555"/>
      <c r="EZ21" s="555"/>
      <c r="FA21" s="555"/>
      <c r="FB21" s="555"/>
      <c r="FC21" s="555"/>
      <c r="FD21" s="555"/>
      <c r="FE21" s="555"/>
      <c r="FF21" s="555"/>
      <c r="FG21" s="555"/>
      <c r="FH21" s="555"/>
      <c r="FI21" s="555"/>
      <c r="FJ21" s="555"/>
      <c r="FK21" s="555"/>
      <c r="FL21" s="555"/>
      <c r="FM21" s="555"/>
      <c r="FN21" s="555"/>
      <c r="FO21" s="555"/>
      <c r="FP21" s="555"/>
      <c r="FQ21" s="555"/>
      <c r="FR21" s="555"/>
      <c r="FS21" s="555"/>
      <c r="FT21" s="555"/>
      <c r="FU21" s="555"/>
      <c r="FV21" s="555"/>
      <c r="FW21" s="555"/>
      <c r="FX21" s="555"/>
    </row>
    <row r="22" spans="1:180" s="596" customFormat="1" ht="15">
      <c r="A22" s="591" t="s">
        <v>661</v>
      </c>
      <c r="B22" s="593"/>
      <c r="C22" s="593">
        <v>13</v>
      </c>
      <c r="D22" s="593">
        <v>12</v>
      </c>
      <c r="E22" s="593">
        <v>0</v>
      </c>
      <c r="F22" s="593">
        <v>0</v>
      </c>
      <c r="G22" s="594">
        <v>18</v>
      </c>
      <c r="H22" s="593">
        <v>9</v>
      </c>
      <c r="I22" s="593">
        <v>2</v>
      </c>
      <c r="J22" s="593">
        <v>0</v>
      </c>
      <c r="K22" s="587"/>
      <c r="L22" s="593">
        <v>20</v>
      </c>
      <c r="M22" s="593">
        <v>18</v>
      </c>
      <c r="N22" s="593">
        <v>2</v>
      </c>
      <c r="O22" s="593">
        <v>0</v>
      </c>
      <c r="P22" s="595"/>
      <c r="Q22" s="594">
        <v>21</v>
      </c>
      <c r="R22" s="593">
        <v>7</v>
      </c>
      <c r="S22" s="593">
        <v>0</v>
      </c>
      <c r="T22" s="593">
        <v>0</v>
      </c>
      <c r="U22" s="593"/>
      <c r="V22" s="594">
        <v>13</v>
      </c>
      <c r="W22" s="593">
        <v>11</v>
      </c>
      <c r="X22" s="593">
        <v>0</v>
      </c>
      <c r="Y22" s="593">
        <v>0</v>
      </c>
      <c r="Z22" s="593"/>
      <c r="AA22" s="594">
        <v>19</v>
      </c>
      <c r="AB22" s="593">
        <v>24</v>
      </c>
      <c r="AC22" s="593">
        <v>0</v>
      </c>
      <c r="AD22" s="593">
        <v>0</v>
      </c>
      <c r="AE22" s="594">
        <v>11</v>
      </c>
      <c r="AF22" s="555">
        <v>14</v>
      </c>
      <c r="AG22" s="593">
        <v>0</v>
      </c>
      <c r="AH22" s="593">
        <v>0</v>
      </c>
      <c r="AI22" s="594">
        <v>13</v>
      </c>
      <c r="AJ22" s="555">
        <v>12</v>
      </c>
      <c r="AK22" s="593">
        <v>0</v>
      </c>
      <c r="AL22" s="593">
        <v>0</v>
      </c>
      <c r="AM22" s="594">
        <v>14</v>
      </c>
      <c r="AN22" s="555">
        <v>10</v>
      </c>
      <c r="AO22" s="593">
        <v>0</v>
      </c>
      <c r="AP22" s="593">
        <v>1</v>
      </c>
      <c r="AQ22" s="915">
        <f t="shared" si="3"/>
        <v>18.181818181818183</v>
      </c>
      <c r="AR22" s="587">
        <f t="shared" si="4"/>
        <v>-14.285714285714285</v>
      </c>
      <c r="AS22" s="590"/>
      <c r="AT22" s="556"/>
      <c r="AU22" s="556"/>
      <c r="AV22" s="556"/>
      <c r="AW22" s="556"/>
      <c r="AX22" s="582"/>
      <c r="AY22" s="582"/>
      <c r="AZ22" s="582"/>
      <c r="BA22" s="582"/>
      <c r="BB22" s="582"/>
      <c r="BC22" s="582"/>
      <c r="BD22" s="582"/>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c r="CX22" s="555"/>
      <c r="CY22" s="555"/>
      <c r="CZ22" s="555"/>
      <c r="DA22" s="555"/>
      <c r="DB22" s="555"/>
      <c r="DC22" s="555"/>
      <c r="DD22" s="555"/>
      <c r="DE22" s="555"/>
      <c r="DF22" s="555"/>
      <c r="DG22" s="555"/>
      <c r="DH22" s="555"/>
      <c r="DI22" s="555"/>
      <c r="DJ22" s="555"/>
      <c r="DK22" s="555"/>
      <c r="DL22" s="555"/>
      <c r="DM22" s="555"/>
      <c r="DN22" s="555"/>
      <c r="DO22" s="555"/>
      <c r="DP22" s="555"/>
      <c r="DQ22" s="555"/>
      <c r="DR22" s="555"/>
      <c r="DS22" s="555"/>
      <c r="DT22" s="555"/>
      <c r="DU22" s="555"/>
      <c r="DV22" s="555"/>
      <c r="DW22" s="555"/>
      <c r="DX22" s="555"/>
      <c r="DY22" s="555"/>
      <c r="DZ22" s="555"/>
      <c r="EA22" s="555"/>
      <c r="EB22" s="555"/>
      <c r="EC22" s="555"/>
      <c r="ED22" s="555"/>
      <c r="EE22" s="555"/>
      <c r="EF22" s="555"/>
      <c r="EG22" s="555"/>
      <c r="EH22" s="555"/>
      <c r="EI22" s="555"/>
      <c r="EJ22" s="555"/>
      <c r="EK22" s="555"/>
      <c r="EL22" s="555"/>
      <c r="EM22" s="555"/>
      <c r="EN22" s="555"/>
      <c r="EO22" s="555"/>
      <c r="EP22" s="555"/>
      <c r="EQ22" s="555"/>
      <c r="ER22" s="555"/>
      <c r="ES22" s="555"/>
      <c r="ET22" s="555"/>
      <c r="EU22" s="555"/>
      <c r="EV22" s="555"/>
      <c r="EW22" s="555"/>
      <c r="EX22" s="555"/>
      <c r="EY22" s="555"/>
      <c r="EZ22" s="555"/>
      <c r="FA22" s="555"/>
      <c r="FB22" s="555"/>
      <c r="FC22" s="555"/>
      <c r="FD22" s="555"/>
      <c r="FE22" s="555"/>
      <c r="FF22" s="555"/>
      <c r="FG22" s="555"/>
      <c r="FH22" s="555"/>
      <c r="FI22" s="555"/>
      <c r="FJ22" s="555"/>
      <c r="FK22" s="555"/>
      <c r="FL22" s="555"/>
      <c r="FM22" s="555"/>
      <c r="FN22" s="555"/>
      <c r="FO22" s="555"/>
      <c r="FP22" s="555"/>
      <c r="FQ22" s="555"/>
      <c r="FR22" s="555"/>
      <c r="FS22" s="555"/>
      <c r="FT22" s="555"/>
      <c r="FU22" s="555"/>
      <c r="FV22" s="555"/>
      <c r="FW22" s="555"/>
      <c r="FX22" s="555"/>
    </row>
    <row r="23" spans="1:180" s="596" customFormat="1" ht="15">
      <c r="A23" s="591" t="s">
        <v>663</v>
      </c>
      <c r="B23" s="593"/>
      <c r="C23" s="593">
        <v>70</v>
      </c>
      <c r="D23" s="593">
        <v>32</v>
      </c>
      <c r="E23" s="593">
        <v>0</v>
      </c>
      <c r="F23" s="593">
        <v>0</v>
      </c>
      <c r="G23" s="594">
        <v>66</v>
      </c>
      <c r="H23" s="593">
        <v>40</v>
      </c>
      <c r="I23" s="593">
        <v>0</v>
      </c>
      <c r="J23" s="593">
        <v>0</v>
      </c>
      <c r="K23" s="587"/>
      <c r="L23" s="593">
        <v>71</v>
      </c>
      <c r="M23" s="593">
        <v>42</v>
      </c>
      <c r="N23" s="593">
        <v>0</v>
      </c>
      <c r="O23" s="593">
        <v>0</v>
      </c>
      <c r="P23" s="595"/>
      <c r="Q23" s="594">
        <v>58</v>
      </c>
      <c r="R23" s="593">
        <v>41</v>
      </c>
      <c r="S23" s="593">
        <v>0</v>
      </c>
      <c r="T23" s="593">
        <v>3</v>
      </c>
      <c r="U23" s="593"/>
      <c r="V23" s="594">
        <v>51</v>
      </c>
      <c r="W23" s="593">
        <v>31</v>
      </c>
      <c r="X23" s="593">
        <v>0</v>
      </c>
      <c r="Y23" s="593">
        <v>1</v>
      </c>
      <c r="Z23" s="593"/>
      <c r="AA23" s="594">
        <v>64</v>
      </c>
      <c r="AB23" s="593">
        <v>44</v>
      </c>
      <c r="AC23" s="593">
        <v>1</v>
      </c>
      <c r="AD23" s="593">
        <v>1</v>
      </c>
      <c r="AE23" s="594">
        <v>61</v>
      </c>
      <c r="AF23" s="555">
        <v>41</v>
      </c>
      <c r="AG23" s="593">
        <v>0</v>
      </c>
      <c r="AH23" s="593">
        <v>1</v>
      </c>
      <c r="AI23" s="594">
        <v>55</v>
      </c>
      <c r="AJ23" s="555">
        <v>46</v>
      </c>
      <c r="AK23" s="593">
        <v>0</v>
      </c>
      <c r="AL23" s="593">
        <v>3</v>
      </c>
      <c r="AM23" s="594">
        <v>45</v>
      </c>
      <c r="AN23" s="555">
        <v>29</v>
      </c>
      <c r="AO23" s="593">
        <v>0</v>
      </c>
      <c r="AP23" s="593">
        <v>1</v>
      </c>
      <c r="AQ23" s="915">
        <f t="shared" si="3"/>
        <v>-9.8360655737704921</v>
      </c>
      <c r="AR23" s="587">
        <f t="shared" si="4"/>
        <v>12.195121951219512</v>
      </c>
      <c r="AS23" s="590"/>
      <c r="AT23" s="556"/>
      <c r="AU23" s="556"/>
      <c r="AV23" s="556"/>
      <c r="AW23" s="556"/>
      <c r="AX23" s="582"/>
      <c r="AY23" s="582"/>
      <c r="AZ23" s="582"/>
      <c r="BA23" s="582"/>
      <c r="BB23" s="582"/>
      <c r="BC23" s="582"/>
      <c r="BD23" s="582"/>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c r="CX23" s="555"/>
      <c r="CY23" s="555"/>
      <c r="CZ23" s="555"/>
      <c r="DA23" s="555"/>
      <c r="DB23" s="555"/>
      <c r="DC23" s="555"/>
      <c r="DD23" s="555"/>
      <c r="DE23" s="555"/>
      <c r="DF23" s="555"/>
      <c r="DG23" s="555"/>
      <c r="DH23" s="555"/>
      <c r="DI23" s="555"/>
      <c r="DJ23" s="555"/>
      <c r="DK23" s="555"/>
      <c r="DL23" s="555"/>
      <c r="DM23" s="555"/>
      <c r="DN23" s="555"/>
      <c r="DO23" s="555"/>
      <c r="DP23" s="555"/>
      <c r="DQ23" s="555"/>
      <c r="DR23" s="555"/>
      <c r="DS23" s="555"/>
      <c r="DT23" s="555"/>
      <c r="DU23" s="555"/>
      <c r="DV23" s="555"/>
      <c r="DW23" s="555"/>
      <c r="DX23" s="555"/>
      <c r="DY23" s="555"/>
      <c r="DZ23" s="555"/>
      <c r="EA23" s="555"/>
      <c r="EB23" s="555"/>
      <c r="EC23" s="555"/>
      <c r="ED23" s="555"/>
      <c r="EE23" s="555"/>
      <c r="EF23" s="555"/>
      <c r="EG23" s="555"/>
      <c r="EH23" s="555"/>
      <c r="EI23" s="555"/>
      <c r="EJ23" s="555"/>
      <c r="EK23" s="555"/>
      <c r="EL23" s="555"/>
      <c r="EM23" s="555"/>
      <c r="EN23" s="555"/>
      <c r="EO23" s="555"/>
      <c r="EP23" s="555"/>
      <c r="EQ23" s="555"/>
      <c r="ER23" s="555"/>
      <c r="ES23" s="555"/>
      <c r="ET23" s="555"/>
      <c r="EU23" s="555"/>
      <c r="EV23" s="555"/>
      <c r="EW23" s="555"/>
      <c r="EX23" s="555"/>
      <c r="EY23" s="555"/>
      <c r="EZ23" s="555"/>
      <c r="FA23" s="555"/>
      <c r="FB23" s="555"/>
      <c r="FC23" s="555"/>
      <c r="FD23" s="555"/>
      <c r="FE23" s="555"/>
      <c r="FF23" s="555"/>
      <c r="FG23" s="555"/>
      <c r="FH23" s="555"/>
      <c r="FI23" s="555"/>
      <c r="FJ23" s="555"/>
      <c r="FK23" s="555"/>
      <c r="FL23" s="555"/>
      <c r="FM23" s="555"/>
      <c r="FN23" s="555"/>
      <c r="FO23" s="555"/>
      <c r="FP23" s="555"/>
      <c r="FQ23" s="555"/>
      <c r="FR23" s="555"/>
      <c r="FS23" s="555"/>
      <c r="FT23" s="555"/>
      <c r="FU23" s="555"/>
      <c r="FV23" s="555"/>
      <c r="FW23" s="555"/>
      <c r="FX23" s="555"/>
    </row>
    <row r="24" spans="1:180" s="596" customFormat="1" ht="15">
      <c r="A24" s="591" t="s">
        <v>665</v>
      </c>
      <c r="B24" s="593"/>
      <c r="C24" s="593">
        <v>76</v>
      </c>
      <c r="D24" s="593">
        <v>33</v>
      </c>
      <c r="E24" s="593">
        <v>0</v>
      </c>
      <c r="F24" s="593">
        <v>1</v>
      </c>
      <c r="G24" s="594">
        <v>62</v>
      </c>
      <c r="H24" s="593">
        <v>32</v>
      </c>
      <c r="I24" s="593">
        <v>0</v>
      </c>
      <c r="J24" s="593">
        <v>0</v>
      </c>
      <c r="K24" s="587"/>
      <c r="L24" s="593">
        <v>68</v>
      </c>
      <c r="M24" s="593">
        <v>33</v>
      </c>
      <c r="N24" s="593">
        <v>0</v>
      </c>
      <c r="O24" s="593">
        <v>2</v>
      </c>
      <c r="P24" s="595"/>
      <c r="Q24" s="594">
        <v>40</v>
      </c>
      <c r="R24" s="593">
        <v>35</v>
      </c>
      <c r="S24" s="593">
        <v>0</v>
      </c>
      <c r="T24" s="593">
        <v>1</v>
      </c>
      <c r="U24" s="593"/>
      <c r="V24" s="594">
        <v>56</v>
      </c>
      <c r="W24" s="593">
        <v>30</v>
      </c>
      <c r="X24" s="593">
        <v>0</v>
      </c>
      <c r="Y24" s="593">
        <v>3</v>
      </c>
      <c r="Z24" s="593"/>
      <c r="AA24" s="594">
        <v>56</v>
      </c>
      <c r="AB24" s="593">
        <v>32</v>
      </c>
      <c r="AC24" s="593">
        <v>0</v>
      </c>
      <c r="AD24" s="593">
        <v>3</v>
      </c>
      <c r="AE24" s="594">
        <v>56</v>
      </c>
      <c r="AF24" s="555">
        <v>34</v>
      </c>
      <c r="AG24" s="593">
        <v>0</v>
      </c>
      <c r="AH24" s="593">
        <v>1</v>
      </c>
      <c r="AI24" s="594">
        <v>52</v>
      </c>
      <c r="AJ24" s="555">
        <v>34</v>
      </c>
      <c r="AK24" s="593">
        <v>0</v>
      </c>
      <c r="AL24" s="593">
        <v>0</v>
      </c>
      <c r="AM24" s="594">
        <v>55</v>
      </c>
      <c r="AN24" s="555">
        <v>23</v>
      </c>
      <c r="AO24" s="593">
        <v>0</v>
      </c>
      <c r="AP24" s="593">
        <v>0</v>
      </c>
      <c r="AQ24" s="915">
        <f t="shared" si="3"/>
        <v>-7.1428571428571423</v>
      </c>
      <c r="AR24" s="587">
        <f t="shared" si="4"/>
        <v>0</v>
      </c>
      <c r="AS24" s="590"/>
      <c r="AT24" s="556"/>
      <c r="AU24" s="556"/>
      <c r="AV24" s="556"/>
      <c r="AW24" s="556"/>
      <c r="AX24" s="582"/>
      <c r="AY24" s="582"/>
      <c r="AZ24" s="582"/>
      <c r="BA24" s="582"/>
      <c r="BB24" s="582"/>
      <c r="BC24" s="582"/>
      <c r="BD24" s="582"/>
      <c r="BF24" s="555"/>
      <c r="BG24" s="555"/>
      <c r="BH24" s="555"/>
      <c r="BI24" s="555"/>
      <c r="BJ24" s="555"/>
      <c r="BK24" s="555"/>
      <c r="BL24" s="555"/>
      <c r="BM24" s="555"/>
      <c r="BN24" s="555"/>
      <c r="BO24" s="555"/>
      <c r="BP24" s="555"/>
      <c r="BQ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c r="CX24" s="555"/>
      <c r="CY24" s="555"/>
      <c r="CZ24" s="555"/>
      <c r="DA24" s="555"/>
      <c r="DB24" s="555"/>
      <c r="DC24" s="555"/>
      <c r="DD24" s="555"/>
      <c r="DE24" s="555"/>
      <c r="DF24" s="555"/>
      <c r="DG24" s="555"/>
      <c r="DH24" s="555"/>
      <c r="DI24" s="555"/>
      <c r="DJ24" s="555"/>
      <c r="DK24" s="555"/>
      <c r="DL24" s="555"/>
      <c r="DM24" s="555"/>
      <c r="DN24" s="555"/>
      <c r="DO24" s="555"/>
      <c r="DP24" s="555"/>
      <c r="DQ24" s="555"/>
      <c r="DR24" s="555"/>
      <c r="DS24" s="555"/>
      <c r="DT24" s="555"/>
      <c r="DU24" s="555"/>
      <c r="DV24" s="555"/>
      <c r="DW24" s="555"/>
      <c r="DX24" s="555"/>
      <c r="DY24" s="555"/>
      <c r="DZ24" s="555"/>
      <c r="EA24" s="555"/>
      <c r="EB24" s="555"/>
      <c r="EC24" s="555"/>
      <c r="ED24" s="555"/>
      <c r="EE24" s="555"/>
      <c r="EF24" s="555"/>
      <c r="EG24" s="555"/>
      <c r="EH24" s="555"/>
      <c r="EI24" s="555"/>
      <c r="EJ24" s="555"/>
      <c r="EK24" s="555"/>
      <c r="EL24" s="555"/>
      <c r="EM24" s="555"/>
      <c r="EN24" s="555"/>
      <c r="EO24" s="555"/>
      <c r="EP24" s="555"/>
      <c r="EQ24" s="555"/>
      <c r="ER24" s="555"/>
      <c r="ES24" s="555"/>
      <c r="ET24" s="555"/>
      <c r="EU24" s="555"/>
      <c r="EV24" s="555"/>
      <c r="EW24" s="555"/>
      <c r="EX24" s="555"/>
      <c r="EY24" s="555"/>
      <c r="EZ24" s="555"/>
      <c r="FA24" s="555"/>
      <c r="FB24" s="555"/>
      <c r="FC24" s="555"/>
      <c r="FD24" s="555"/>
      <c r="FE24" s="555"/>
      <c r="FF24" s="555"/>
      <c r="FG24" s="555"/>
      <c r="FH24" s="555"/>
      <c r="FI24" s="555"/>
      <c r="FJ24" s="555"/>
      <c r="FK24" s="555"/>
      <c r="FL24" s="555"/>
      <c r="FM24" s="555"/>
      <c r="FN24" s="555"/>
      <c r="FO24" s="555"/>
      <c r="FP24" s="555"/>
      <c r="FQ24" s="555"/>
      <c r="FR24" s="555"/>
      <c r="FS24" s="555"/>
      <c r="FT24" s="555"/>
      <c r="FU24" s="555"/>
      <c r="FV24" s="555"/>
      <c r="FW24" s="555"/>
      <c r="FX24" s="555"/>
    </row>
    <row r="25" spans="1:180" s="596" customFormat="1" ht="15">
      <c r="A25" s="591" t="s">
        <v>667</v>
      </c>
      <c r="B25" s="593"/>
      <c r="C25" s="593">
        <v>64</v>
      </c>
      <c r="D25" s="593">
        <v>44</v>
      </c>
      <c r="E25" s="593">
        <v>0</v>
      </c>
      <c r="F25" s="593">
        <v>1</v>
      </c>
      <c r="G25" s="594">
        <v>71</v>
      </c>
      <c r="H25" s="593">
        <v>38</v>
      </c>
      <c r="I25" s="593">
        <v>0</v>
      </c>
      <c r="J25" s="593">
        <v>2</v>
      </c>
      <c r="K25" s="587"/>
      <c r="L25" s="593">
        <v>66</v>
      </c>
      <c r="M25" s="593">
        <v>27</v>
      </c>
      <c r="N25" s="593">
        <v>0</v>
      </c>
      <c r="O25" s="593">
        <v>0</v>
      </c>
      <c r="P25" s="595"/>
      <c r="Q25" s="594">
        <v>58</v>
      </c>
      <c r="R25" s="593">
        <v>41</v>
      </c>
      <c r="S25" s="593">
        <v>0</v>
      </c>
      <c r="T25" s="593">
        <v>5</v>
      </c>
      <c r="U25" s="593"/>
      <c r="V25" s="594">
        <v>56</v>
      </c>
      <c r="W25" s="593">
        <v>41</v>
      </c>
      <c r="X25" s="593">
        <v>0</v>
      </c>
      <c r="Y25" s="593">
        <v>0</v>
      </c>
      <c r="Z25" s="593"/>
      <c r="AA25" s="594">
        <v>67</v>
      </c>
      <c r="AB25" s="593">
        <v>34</v>
      </c>
      <c r="AC25" s="593">
        <v>1</v>
      </c>
      <c r="AD25" s="593">
        <v>3</v>
      </c>
      <c r="AE25" s="594">
        <v>55</v>
      </c>
      <c r="AF25" s="555">
        <v>43</v>
      </c>
      <c r="AG25" s="593">
        <v>0</v>
      </c>
      <c r="AH25" s="593">
        <v>4</v>
      </c>
      <c r="AI25" s="594">
        <v>67</v>
      </c>
      <c r="AJ25" s="555">
        <v>27</v>
      </c>
      <c r="AK25" s="593">
        <v>0</v>
      </c>
      <c r="AL25" s="593">
        <v>0</v>
      </c>
      <c r="AM25" s="594">
        <v>60</v>
      </c>
      <c r="AN25" s="555">
        <v>41</v>
      </c>
      <c r="AO25" s="593">
        <v>0</v>
      </c>
      <c r="AP25" s="593">
        <v>2</v>
      </c>
      <c r="AQ25" s="915">
        <f t="shared" si="3"/>
        <v>21.818181818181817</v>
      </c>
      <c r="AR25" s="587">
        <f t="shared" si="4"/>
        <v>-37.209302325581397</v>
      </c>
      <c r="AS25" s="590"/>
      <c r="AT25" s="556"/>
      <c r="AU25" s="556"/>
      <c r="AV25" s="556"/>
      <c r="AW25" s="556"/>
      <c r="AX25" s="582"/>
      <c r="AY25" s="582"/>
      <c r="AZ25" s="582"/>
      <c r="BA25" s="582"/>
      <c r="BB25" s="582"/>
      <c r="BC25" s="582"/>
      <c r="BD25" s="582"/>
      <c r="BF25" s="555"/>
      <c r="BG25" s="555"/>
      <c r="BH25" s="555"/>
      <c r="BI25" s="555"/>
      <c r="BJ25" s="555"/>
      <c r="BK25" s="555"/>
      <c r="BL25" s="555"/>
      <c r="BM25" s="555"/>
      <c r="BN25" s="555"/>
      <c r="BO25" s="555"/>
      <c r="BP25" s="555"/>
      <c r="BQ25" s="555"/>
      <c r="BR25" s="556"/>
      <c r="BS25" s="556"/>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c r="CX25" s="555"/>
      <c r="CY25" s="555"/>
      <c r="CZ25" s="555"/>
      <c r="DA25" s="555"/>
      <c r="DB25" s="555"/>
      <c r="DC25" s="555"/>
      <c r="DD25" s="555"/>
      <c r="DE25" s="555"/>
      <c r="DF25" s="555"/>
      <c r="DG25" s="555"/>
      <c r="DH25" s="555"/>
      <c r="DI25" s="555"/>
      <c r="DJ25" s="555"/>
      <c r="DK25" s="555"/>
      <c r="DL25" s="555"/>
      <c r="DM25" s="555"/>
      <c r="DN25" s="555"/>
      <c r="DO25" s="555"/>
      <c r="DP25" s="555"/>
      <c r="DQ25" s="555"/>
      <c r="DR25" s="555"/>
      <c r="DS25" s="555"/>
      <c r="DT25" s="555"/>
      <c r="DU25" s="555"/>
      <c r="DV25" s="555"/>
      <c r="DW25" s="555"/>
      <c r="DX25" s="555"/>
      <c r="DY25" s="555"/>
      <c r="DZ25" s="555"/>
      <c r="EA25" s="555"/>
      <c r="EB25" s="555"/>
      <c r="EC25" s="555"/>
      <c r="ED25" s="555"/>
      <c r="EE25" s="555"/>
      <c r="EF25" s="555"/>
      <c r="EG25" s="555"/>
      <c r="EH25" s="555"/>
      <c r="EI25" s="555"/>
      <c r="EJ25" s="555"/>
      <c r="EK25" s="555"/>
      <c r="EL25" s="555"/>
      <c r="EM25" s="555"/>
      <c r="EN25" s="555"/>
      <c r="EO25" s="555"/>
      <c r="EP25" s="555"/>
      <c r="EQ25" s="555"/>
      <c r="ER25" s="555"/>
      <c r="ES25" s="555"/>
      <c r="ET25" s="555"/>
      <c r="EU25" s="555"/>
      <c r="EV25" s="555"/>
      <c r="EW25" s="555"/>
      <c r="EX25" s="555"/>
      <c r="EY25" s="555"/>
      <c r="EZ25" s="555"/>
      <c r="FA25" s="555"/>
      <c r="FB25" s="555"/>
      <c r="FC25" s="555"/>
      <c r="FD25" s="555"/>
      <c r="FE25" s="555"/>
      <c r="FF25" s="555"/>
      <c r="FG25" s="555"/>
      <c r="FH25" s="555"/>
      <c r="FI25" s="555"/>
      <c r="FJ25" s="555"/>
      <c r="FK25" s="555"/>
      <c r="FL25" s="555"/>
      <c r="FM25" s="555"/>
      <c r="FN25" s="555"/>
      <c r="FO25" s="555"/>
      <c r="FP25" s="555"/>
      <c r="FQ25" s="555"/>
      <c r="FR25" s="555"/>
      <c r="FS25" s="555"/>
      <c r="FT25" s="555"/>
      <c r="FU25" s="555"/>
      <c r="FV25" s="555"/>
      <c r="FW25" s="555"/>
      <c r="FX25" s="555"/>
    </row>
    <row r="26" spans="1:180" s="596" customFormat="1" ht="15">
      <c r="A26" s="591" t="s">
        <v>669</v>
      </c>
      <c r="B26" s="593"/>
      <c r="C26" s="593">
        <v>146</v>
      </c>
      <c r="D26" s="593">
        <v>85</v>
      </c>
      <c r="E26" s="593">
        <v>0</v>
      </c>
      <c r="F26" s="593">
        <v>1</v>
      </c>
      <c r="G26" s="594">
        <v>126</v>
      </c>
      <c r="H26" s="593">
        <v>96</v>
      </c>
      <c r="I26" s="593">
        <v>0</v>
      </c>
      <c r="J26" s="593">
        <v>1</v>
      </c>
      <c r="K26" s="587"/>
      <c r="L26" s="593">
        <v>135</v>
      </c>
      <c r="M26" s="593">
        <v>102</v>
      </c>
      <c r="N26" s="593">
        <v>0</v>
      </c>
      <c r="O26" s="593">
        <v>1</v>
      </c>
      <c r="P26" s="595"/>
      <c r="Q26" s="594">
        <v>139</v>
      </c>
      <c r="R26" s="593">
        <v>112</v>
      </c>
      <c r="S26" s="593">
        <v>0</v>
      </c>
      <c r="T26" s="593">
        <v>3</v>
      </c>
      <c r="U26" s="593"/>
      <c r="V26" s="594">
        <v>130</v>
      </c>
      <c r="W26" s="593">
        <v>82</v>
      </c>
      <c r="X26" s="593">
        <v>0</v>
      </c>
      <c r="Y26" s="593">
        <v>2</v>
      </c>
      <c r="Z26" s="593"/>
      <c r="AA26" s="594">
        <v>109</v>
      </c>
      <c r="AB26" s="593">
        <v>75</v>
      </c>
      <c r="AC26" s="593">
        <v>0</v>
      </c>
      <c r="AD26" s="593">
        <v>5</v>
      </c>
      <c r="AE26" s="594">
        <v>132</v>
      </c>
      <c r="AF26" s="555">
        <v>96</v>
      </c>
      <c r="AG26" s="593">
        <v>0</v>
      </c>
      <c r="AH26" s="593">
        <v>6</v>
      </c>
      <c r="AI26" s="594">
        <v>137</v>
      </c>
      <c r="AJ26" s="555">
        <v>74</v>
      </c>
      <c r="AK26" s="593">
        <v>0</v>
      </c>
      <c r="AL26" s="593">
        <v>0</v>
      </c>
      <c r="AM26" s="594">
        <v>122</v>
      </c>
      <c r="AN26" s="555">
        <v>76</v>
      </c>
      <c r="AO26" s="593">
        <v>0</v>
      </c>
      <c r="AP26" s="593">
        <v>2</v>
      </c>
      <c r="AQ26" s="915">
        <f t="shared" si="3"/>
        <v>3.7878787878787881</v>
      </c>
      <c r="AR26" s="587">
        <f t="shared" si="4"/>
        <v>-22.916666666666664</v>
      </c>
      <c r="AS26" s="590"/>
      <c r="AT26" s="556"/>
      <c r="AU26" s="556"/>
      <c r="AV26" s="556"/>
      <c r="AW26" s="556"/>
      <c r="AX26" s="582"/>
      <c r="AY26" s="582"/>
      <c r="AZ26" s="582"/>
      <c r="BA26" s="582"/>
      <c r="BB26" s="582"/>
      <c r="BC26" s="582"/>
      <c r="BD26" s="582"/>
      <c r="BF26" s="555"/>
      <c r="BG26" s="555"/>
      <c r="BH26" s="555"/>
      <c r="BI26" s="555"/>
      <c r="BJ26" s="555"/>
      <c r="BK26" s="555"/>
      <c r="BL26" s="555"/>
      <c r="BM26" s="555"/>
      <c r="BN26" s="555"/>
      <c r="BO26" s="555"/>
      <c r="BP26" s="555"/>
      <c r="BQ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c r="CX26" s="555"/>
      <c r="CY26" s="555"/>
      <c r="CZ26" s="555"/>
      <c r="DA26" s="555"/>
      <c r="DB26" s="555"/>
      <c r="DC26" s="555"/>
      <c r="DD26" s="555"/>
      <c r="DE26" s="555"/>
      <c r="DF26" s="555"/>
      <c r="DG26" s="555"/>
      <c r="DH26" s="555"/>
      <c r="DI26" s="555"/>
      <c r="DJ26" s="555"/>
      <c r="DK26" s="555"/>
      <c r="DL26" s="555"/>
      <c r="DM26" s="555"/>
      <c r="DN26" s="555"/>
      <c r="DO26" s="555"/>
      <c r="DP26" s="555"/>
      <c r="DQ26" s="555"/>
      <c r="DR26" s="555"/>
      <c r="DS26" s="555"/>
      <c r="DT26" s="555"/>
      <c r="DU26" s="555"/>
      <c r="DV26" s="555"/>
      <c r="DW26" s="555"/>
      <c r="DX26" s="555"/>
      <c r="DY26" s="555"/>
      <c r="DZ26" s="555"/>
      <c r="EA26" s="555"/>
      <c r="EB26" s="555"/>
      <c r="EC26" s="555"/>
      <c r="ED26" s="555"/>
      <c r="EE26" s="555"/>
      <c r="EF26" s="555"/>
      <c r="EG26" s="555"/>
      <c r="EH26" s="555"/>
      <c r="EI26" s="555"/>
      <c r="EJ26" s="555"/>
      <c r="EK26" s="555"/>
      <c r="EL26" s="555"/>
      <c r="EM26" s="555"/>
      <c r="EN26" s="555"/>
      <c r="EO26" s="555"/>
      <c r="EP26" s="555"/>
      <c r="EQ26" s="555"/>
      <c r="ER26" s="555"/>
      <c r="ES26" s="555"/>
      <c r="ET26" s="555"/>
      <c r="EU26" s="555"/>
      <c r="EV26" s="555"/>
      <c r="EW26" s="555"/>
      <c r="EX26" s="555"/>
      <c r="EY26" s="555"/>
      <c r="EZ26" s="555"/>
      <c r="FA26" s="555"/>
      <c r="FB26" s="555"/>
      <c r="FC26" s="555"/>
      <c r="FD26" s="555"/>
      <c r="FE26" s="555"/>
      <c r="FF26" s="555"/>
      <c r="FG26" s="555"/>
      <c r="FH26" s="555"/>
      <c r="FI26" s="555"/>
      <c r="FJ26" s="555"/>
      <c r="FK26" s="555"/>
      <c r="FL26" s="555"/>
      <c r="FM26" s="555"/>
      <c r="FN26" s="555"/>
      <c r="FO26" s="555"/>
      <c r="FP26" s="555"/>
      <c r="FQ26" s="555"/>
      <c r="FR26" s="555"/>
      <c r="FS26" s="555"/>
      <c r="FT26" s="555"/>
      <c r="FU26" s="555"/>
      <c r="FV26" s="555"/>
      <c r="FW26" s="555"/>
      <c r="FX26" s="555"/>
    </row>
    <row r="27" spans="1:180" s="596" customFormat="1" ht="15">
      <c r="A27" s="591" t="s">
        <v>671</v>
      </c>
      <c r="B27" s="593"/>
      <c r="C27" s="593">
        <v>242</v>
      </c>
      <c r="D27" s="593">
        <v>117</v>
      </c>
      <c r="E27" s="593">
        <v>1</v>
      </c>
      <c r="F27" s="593">
        <v>0</v>
      </c>
      <c r="G27" s="594">
        <v>230</v>
      </c>
      <c r="H27" s="593">
        <v>151</v>
      </c>
      <c r="I27" s="593">
        <v>0</v>
      </c>
      <c r="J27" s="593">
        <v>1</v>
      </c>
      <c r="K27" s="587"/>
      <c r="L27" s="593">
        <v>256</v>
      </c>
      <c r="M27" s="593">
        <v>173</v>
      </c>
      <c r="N27" s="593">
        <v>0</v>
      </c>
      <c r="O27" s="593">
        <v>1</v>
      </c>
      <c r="P27" s="595"/>
      <c r="Q27" s="594">
        <v>242</v>
      </c>
      <c r="R27" s="593">
        <v>165</v>
      </c>
      <c r="S27" s="593">
        <v>0</v>
      </c>
      <c r="T27" s="593">
        <v>0</v>
      </c>
      <c r="U27" s="593"/>
      <c r="V27" s="594">
        <v>232</v>
      </c>
      <c r="W27" s="593">
        <v>169</v>
      </c>
      <c r="X27" s="593">
        <v>0</v>
      </c>
      <c r="Y27" s="593">
        <v>4</v>
      </c>
      <c r="Z27" s="593"/>
      <c r="AA27" s="594">
        <v>204</v>
      </c>
      <c r="AB27" s="593">
        <v>135</v>
      </c>
      <c r="AC27" s="593">
        <v>0</v>
      </c>
      <c r="AD27" s="593">
        <v>3</v>
      </c>
      <c r="AE27" s="594">
        <v>185</v>
      </c>
      <c r="AF27" s="555">
        <v>163</v>
      </c>
      <c r="AG27" s="593">
        <v>0</v>
      </c>
      <c r="AH27" s="593">
        <v>2</v>
      </c>
      <c r="AI27" s="594">
        <v>214</v>
      </c>
      <c r="AJ27" s="555">
        <v>158</v>
      </c>
      <c r="AK27" s="593">
        <v>0</v>
      </c>
      <c r="AL27" s="593">
        <v>1</v>
      </c>
      <c r="AM27" s="594">
        <v>224</v>
      </c>
      <c r="AN27" s="555">
        <v>162</v>
      </c>
      <c r="AO27" s="593">
        <v>0</v>
      </c>
      <c r="AP27" s="593">
        <v>1</v>
      </c>
      <c r="AQ27" s="915">
        <f t="shared" si="3"/>
        <v>15.675675675675677</v>
      </c>
      <c r="AR27" s="587">
        <f t="shared" si="4"/>
        <v>-3.0674846625766872</v>
      </c>
      <c r="AS27" s="590"/>
      <c r="AT27" s="556"/>
      <c r="AU27" s="556"/>
      <c r="AV27" s="556"/>
      <c r="AW27" s="556"/>
      <c r="AX27" s="582"/>
      <c r="AY27" s="582"/>
      <c r="AZ27" s="582"/>
      <c r="BA27" s="582"/>
      <c r="BB27" s="582"/>
      <c r="BC27" s="582"/>
      <c r="BD27" s="582"/>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c r="CX27" s="555"/>
      <c r="CY27" s="555"/>
      <c r="CZ27" s="555"/>
      <c r="DA27" s="555"/>
      <c r="DB27" s="555"/>
      <c r="DC27" s="555"/>
      <c r="DD27" s="555"/>
      <c r="DE27" s="555"/>
      <c r="DF27" s="555"/>
      <c r="DG27" s="555"/>
      <c r="DH27" s="555"/>
      <c r="DI27" s="555"/>
      <c r="DJ27" s="555"/>
      <c r="DK27" s="555"/>
      <c r="DL27" s="555"/>
      <c r="DM27" s="555"/>
      <c r="DN27" s="555"/>
      <c r="DO27" s="555"/>
      <c r="DP27" s="555"/>
      <c r="DQ27" s="555"/>
      <c r="DR27" s="555"/>
      <c r="DS27" s="555"/>
      <c r="DT27" s="555"/>
      <c r="DU27" s="555"/>
      <c r="DV27" s="555"/>
      <c r="DW27" s="555"/>
      <c r="DX27" s="555"/>
      <c r="DY27" s="555"/>
      <c r="DZ27" s="555"/>
      <c r="EA27" s="555"/>
      <c r="EB27" s="555"/>
      <c r="EC27" s="555"/>
      <c r="ED27" s="555"/>
      <c r="EE27" s="555"/>
      <c r="EF27" s="555"/>
      <c r="EG27" s="555"/>
      <c r="EH27" s="555"/>
      <c r="EI27" s="555"/>
      <c r="EJ27" s="555"/>
      <c r="EK27" s="555"/>
      <c r="EL27" s="555"/>
      <c r="EM27" s="555"/>
      <c r="EN27" s="555"/>
      <c r="EO27" s="555"/>
      <c r="EP27" s="555"/>
      <c r="EQ27" s="555"/>
      <c r="ER27" s="555"/>
      <c r="ES27" s="555"/>
      <c r="ET27" s="555"/>
      <c r="EU27" s="555"/>
      <c r="EV27" s="555"/>
      <c r="EW27" s="555"/>
      <c r="EX27" s="555"/>
      <c r="EY27" s="555"/>
      <c r="EZ27" s="555"/>
      <c r="FA27" s="555"/>
      <c r="FB27" s="555"/>
      <c r="FC27" s="555"/>
      <c r="FD27" s="555"/>
      <c r="FE27" s="555"/>
      <c r="FF27" s="555"/>
      <c r="FG27" s="555"/>
      <c r="FH27" s="555"/>
      <c r="FI27" s="555"/>
      <c r="FJ27" s="555"/>
      <c r="FK27" s="555"/>
      <c r="FL27" s="555"/>
      <c r="FM27" s="555"/>
      <c r="FN27" s="555"/>
      <c r="FO27" s="555"/>
      <c r="FP27" s="555"/>
      <c r="FQ27" s="555"/>
      <c r="FR27" s="555"/>
      <c r="FS27" s="555"/>
      <c r="FT27" s="555"/>
      <c r="FU27" s="555"/>
      <c r="FV27" s="555"/>
      <c r="FW27" s="555"/>
      <c r="FX27" s="555"/>
    </row>
    <row r="28" spans="1:180" s="596" customFormat="1" ht="15">
      <c r="A28" s="591" t="s">
        <v>673</v>
      </c>
      <c r="B28" s="593"/>
      <c r="C28" s="593">
        <v>114</v>
      </c>
      <c r="D28" s="593">
        <v>74</v>
      </c>
      <c r="E28" s="593">
        <v>0</v>
      </c>
      <c r="F28" s="593">
        <v>6</v>
      </c>
      <c r="G28" s="594">
        <v>130</v>
      </c>
      <c r="H28" s="593">
        <v>93</v>
      </c>
      <c r="I28" s="593">
        <v>0</v>
      </c>
      <c r="J28" s="593">
        <v>3</v>
      </c>
      <c r="K28" s="587"/>
      <c r="L28" s="593">
        <v>178</v>
      </c>
      <c r="M28" s="593">
        <v>87</v>
      </c>
      <c r="N28" s="593">
        <v>0</v>
      </c>
      <c r="O28" s="593">
        <v>2</v>
      </c>
      <c r="P28" s="595"/>
      <c r="Q28" s="594">
        <v>124</v>
      </c>
      <c r="R28" s="593">
        <v>95</v>
      </c>
      <c r="S28" s="593">
        <v>0</v>
      </c>
      <c r="T28" s="593">
        <v>2</v>
      </c>
      <c r="U28" s="593"/>
      <c r="V28" s="594">
        <v>141</v>
      </c>
      <c r="W28" s="593">
        <v>100</v>
      </c>
      <c r="X28" s="593">
        <v>1</v>
      </c>
      <c r="Y28" s="593">
        <v>3</v>
      </c>
      <c r="Z28" s="593"/>
      <c r="AA28" s="594">
        <v>123</v>
      </c>
      <c r="AB28" s="593">
        <v>82</v>
      </c>
      <c r="AC28" s="593">
        <v>0</v>
      </c>
      <c r="AD28" s="593">
        <v>2</v>
      </c>
      <c r="AE28" s="594">
        <v>116</v>
      </c>
      <c r="AF28" s="555">
        <v>93</v>
      </c>
      <c r="AG28" s="593">
        <v>0</v>
      </c>
      <c r="AH28" s="593">
        <v>7</v>
      </c>
      <c r="AI28" s="594">
        <v>135</v>
      </c>
      <c r="AJ28" s="555">
        <v>83</v>
      </c>
      <c r="AK28" s="593">
        <v>0</v>
      </c>
      <c r="AL28" s="593">
        <v>2</v>
      </c>
      <c r="AM28" s="594">
        <v>108</v>
      </c>
      <c r="AN28" s="555">
        <v>73</v>
      </c>
      <c r="AO28" s="593">
        <v>0</v>
      </c>
      <c r="AP28" s="593">
        <v>5</v>
      </c>
      <c r="AQ28" s="915">
        <f t="shared" si="3"/>
        <v>16.379310344827587</v>
      </c>
      <c r="AR28" s="587">
        <f t="shared" si="4"/>
        <v>-10.75268817204301</v>
      </c>
      <c r="AS28" s="590"/>
      <c r="AT28" s="556"/>
      <c r="AU28" s="556"/>
      <c r="AV28" s="556"/>
      <c r="AW28" s="556"/>
      <c r="AX28" s="582"/>
      <c r="AY28" s="582"/>
      <c r="AZ28" s="582"/>
      <c r="BA28" s="582"/>
      <c r="BB28" s="582"/>
      <c r="BC28" s="582"/>
      <c r="BD28" s="582"/>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c r="CX28" s="555"/>
      <c r="CY28" s="555"/>
      <c r="CZ28" s="555"/>
      <c r="DA28" s="555"/>
      <c r="DB28" s="555"/>
      <c r="DC28" s="555"/>
      <c r="DD28" s="555"/>
      <c r="DE28" s="555"/>
      <c r="DF28" s="555"/>
      <c r="DG28" s="555"/>
      <c r="DH28" s="555"/>
      <c r="DI28" s="555"/>
      <c r="DJ28" s="555"/>
      <c r="DK28" s="555"/>
      <c r="DL28" s="555"/>
      <c r="DM28" s="555"/>
      <c r="DN28" s="555"/>
      <c r="DO28" s="555"/>
      <c r="DP28" s="555"/>
      <c r="DQ28" s="555"/>
      <c r="DR28" s="555"/>
      <c r="DS28" s="555"/>
      <c r="DT28" s="555"/>
      <c r="DU28" s="555"/>
      <c r="DV28" s="555"/>
      <c r="DW28" s="555"/>
      <c r="DX28" s="555"/>
      <c r="DY28" s="555"/>
      <c r="DZ28" s="555"/>
      <c r="EA28" s="555"/>
      <c r="EB28" s="555"/>
      <c r="EC28" s="555"/>
      <c r="ED28" s="555"/>
      <c r="EE28" s="555"/>
      <c r="EF28" s="555"/>
      <c r="EG28" s="555"/>
      <c r="EH28" s="555"/>
      <c r="EI28" s="555"/>
      <c r="EJ28" s="555"/>
      <c r="EK28" s="555"/>
      <c r="EL28" s="555"/>
      <c r="EM28" s="555"/>
      <c r="EN28" s="555"/>
      <c r="EO28" s="555"/>
      <c r="EP28" s="555"/>
      <c r="EQ28" s="555"/>
      <c r="ER28" s="555"/>
      <c r="ES28" s="555"/>
      <c r="ET28" s="555"/>
      <c r="EU28" s="555"/>
      <c r="EV28" s="555"/>
      <c r="EW28" s="555"/>
      <c r="EX28" s="555"/>
      <c r="EY28" s="555"/>
      <c r="EZ28" s="555"/>
      <c r="FA28" s="555"/>
      <c r="FB28" s="555"/>
      <c r="FC28" s="555"/>
      <c r="FD28" s="555"/>
      <c r="FE28" s="555"/>
      <c r="FF28" s="555"/>
      <c r="FG28" s="555"/>
      <c r="FH28" s="555"/>
      <c r="FI28" s="555"/>
      <c r="FJ28" s="555"/>
      <c r="FK28" s="555"/>
      <c r="FL28" s="555"/>
      <c r="FM28" s="555"/>
      <c r="FN28" s="555"/>
      <c r="FO28" s="555"/>
      <c r="FP28" s="555"/>
      <c r="FQ28" s="555"/>
      <c r="FR28" s="555"/>
      <c r="FS28" s="555"/>
      <c r="FT28" s="555"/>
      <c r="FU28" s="555"/>
      <c r="FV28" s="555"/>
      <c r="FW28" s="555"/>
      <c r="FX28" s="555"/>
    </row>
    <row r="29" spans="1:180" s="596" customFormat="1" ht="15">
      <c r="A29" s="591" t="s">
        <v>675</v>
      </c>
      <c r="B29" s="593"/>
      <c r="C29" s="593">
        <v>192</v>
      </c>
      <c r="D29" s="593">
        <v>122</v>
      </c>
      <c r="E29" s="593">
        <v>0</v>
      </c>
      <c r="F29" s="593">
        <v>2</v>
      </c>
      <c r="G29" s="594">
        <v>203</v>
      </c>
      <c r="H29" s="593">
        <v>129</v>
      </c>
      <c r="I29" s="593">
        <v>1</v>
      </c>
      <c r="J29" s="593">
        <v>5</v>
      </c>
      <c r="K29" s="587"/>
      <c r="L29" s="593">
        <v>182</v>
      </c>
      <c r="M29" s="593">
        <v>116</v>
      </c>
      <c r="N29" s="593">
        <v>1</v>
      </c>
      <c r="O29" s="593">
        <v>5</v>
      </c>
      <c r="P29" s="595"/>
      <c r="Q29" s="594">
        <v>175</v>
      </c>
      <c r="R29" s="593">
        <v>133</v>
      </c>
      <c r="S29" s="593">
        <v>0</v>
      </c>
      <c r="T29" s="593">
        <v>3</v>
      </c>
      <c r="U29" s="593"/>
      <c r="V29" s="594">
        <v>178</v>
      </c>
      <c r="W29" s="593">
        <v>104</v>
      </c>
      <c r="X29" s="593">
        <v>3</v>
      </c>
      <c r="Y29" s="593">
        <v>4</v>
      </c>
      <c r="Z29" s="593"/>
      <c r="AA29" s="594">
        <v>187</v>
      </c>
      <c r="AB29" s="593">
        <v>130</v>
      </c>
      <c r="AC29" s="593">
        <v>0</v>
      </c>
      <c r="AD29" s="593">
        <v>5</v>
      </c>
      <c r="AE29" s="594">
        <v>159</v>
      </c>
      <c r="AF29" s="555">
        <v>109</v>
      </c>
      <c r="AG29" s="593">
        <v>0</v>
      </c>
      <c r="AH29" s="593">
        <v>6</v>
      </c>
      <c r="AI29" s="594">
        <v>177</v>
      </c>
      <c r="AJ29" s="555">
        <v>120</v>
      </c>
      <c r="AK29" s="593">
        <v>2</v>
      </c>
      <c r="AL29" s="593">
        <v>3</v>
      </c>
      <c r="AM29" s="594">
        <v>137</v>
      </c>
      <c r="AN29" s="555">
        <v>117</v>
      </c>
      <c r="AO29" s="593">
        <v>0</v>
      </c>
      <c r="AP29" s="593">
        <v>1</v>
      </c>
      <c r="AQ29" s="915">
        <f t="shared" si="3"/>
        <v>11.320754716981133</v>
      </c>
      <c r="AR29" s="587">
        <f t="shared" si="4"/>
        <v>10.091743119266056</v>
      </c>
      <c r="AS29" s="590"/>
      <c r="AT29" s="556"/>
      <c r="AU29" s="556"/>
      <c r="AV29" s="556"/>
      <c r="AW29" s="556"/>
      <c r="AX29" s="582"/>
      <c r="AY29" s="582"/>
      <c r="AZ29" s="582"/>
      <c r="BA29" s="582"/>
      <c r="BB29" s="582"/>
      <c r="BC29" s="582"/>
      <c r="BD29" s="582"/>
      <c r="BF29" s="556"/>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c r="CX29" s="555"/>
      <c r="CY29" s="555"/>
      <c r="CZ29" s="555"/>
      <c r="DA29" s="555"/>
      <c r="DB29" s="555"/>
      <c r="DC29" s="555"/>
      <c r="DD29" s="555"/>
      <c r="DE29" s="555"/>
      <c r="DF29" s="555"/>
      <c r="DG29" s="555"/>
      <c r="DH29" s="555"/>
      <c r="DI29" s="555"/>
      <c r="DJ29" s="555"/>
      <c r="DK29" s="555"/>
      <c r="DL29" s="555"/>
      <c r="DM29" s="555"/>
      <c r="DN29" s="555"/>
      <c r="DO29" s="555"/>
      <c r="DP29" s="555"/>
      <c r="DQ29" s="555"/>
      <c r="DR29" s="555"/>
      <c r="DS29" s="555"/>
      <c r="DT29" s="555"/>
      <c r="DU29" s="555"/>
      <c r="DV29" s="555"/>
      <c r="DW29" s="555"/>
      <c r="DX29" s="555"/>
      <c r="DY29" s="555"/>
      <c r="DZ29" s="555"/>
      <c r="EA29" s="555"/>
      <c r="EB29" s="555"/>
      <c r="EC29" s="555"/>
      <c r="ED29" s="555"/>
      <c r="EE29" s="555"/>
      <c r="EF29" s="555"/>
      <c r="EG29" s="555"/>
      <c r="EH29" s="555"/>
      <c r="EI29" s="555"/>
      <c r="EJ29" s="555"/>
      <c r="EK29" s="555"/>
      <c r="EL29" s="555"/>
      <c r="EM29" s="555"/>
      <c r="EN29" s="555"/>
      <c r="EO29" s="555"/>
      <c r="EP29" s="555"/>
      <c r="EQ29" s="555"/>
      <c r="ER29" s="555"/>
      <c r="ES29" s="555"/>
      <c r="ET29" s="555"/>
      <c r="EU29" s="555"/>
      <c r="EV29" s="555"/>
      <c r="EW29" s="555"/>
      <c r="EX29" s="555"/>
      <c r="EY29" s="555"/>
      <c r="EZ29" s="555"/>
      <c r="FA29" s="555"/>
      <c r="FB29" s="555"/>
      <c r="FC29" s="555"/>
      <c r="FD29" s="555"/>
      <c r="FE29" s="555"/>
      <c r="FF29" s="555"/>
      <c r="FG29" s="555"/>
      <c r="FH29" s="555"/>
      <c r="FI29" s="555"/>
      <c r="FJ29" s="555"/>
      <c r="FK29" s="555"/>
      <c r="FL29" s="555"/>
      <c r="FM29" s="555"/>
      <c r="FN29" s="555"/>
      <c r="FO29" s="555"/>
      <c r="FP29" s="555"/>
      <c r="FQ29" s="555"/>
      <c r="FR29" s="555"/>
      <c r="FS29" s="555"/>
      <c r="FT29" s="555"/>
      <c r="FU29" s="555"/>
      <c r="FV29" s="555"/>
      <c r="FW29" s="555"/>
      <c r="FX29" s="555"/>
    </row>
    <row r="30" spans="1:180" s="596" customFormat="1" ht="15">
      <c r="A30" s="591" t="s">
        <v>677</v>
      </c>
      <c r="B30" s="593"/>
      <c r="C30" s="593">
        <v>146</v>
      </c>
      <c r="D30" s="593">
        <v>82</v>
      </c>
      <c r="E30" s="593">
        <v>0</v>
      </c>
      <c r="F30" s="593">
        <v>3</v>
      </c>
      <c r="G30" s="594">
        <v>119</v>
      </c>
      <c r="H30" s="593">
        <v>111</v>
      </c>
      <c r="I30" s="593">
        <v>0</v>
      </c>
      <c r="J30" s="593">
        <v>4</v>
      </c>
      <c r="K30" s="587"/>
      <c r="L30" s="593">
        <v>160</v>
      </c>
      <c r="M30" s="593">
        <v>87</v>
      </c>
      <c r="N30" s="593">
        <v>0</v>
      </c>
      <c r="O30" s="593">
        <v>0</v>
      </c>
      <c r="P30" s="595"/>
      <c r="Q30" s="594">
        <v>129</v>
      </c>
      <c r="R30" s="593">
        <v>105</v>
      </c>
      <c r="S30" s="593">
        <v>0</v>
      </c>
      <c r="T30" s="593">
        <v>7</v>
      </c>
      <c r="U30" s="593"/>
      <c r="V30" s="594">
        <v>129</v>
      </c>
      <c r="W30" s="593">
        <v>97</v>
      </c>
      <c r="X30" s="593">
        <v>0</v>
      </c>
      <c r="Y30" s="593">
        <v>0</v>
      </c>
      <c r="Z30" s="593"/>
      <c r="AA30" s="594">
        <v>160</v>
      </c>
      <c r="AB30" s="593">
        <v>103</v>
      </c>
      <c r="AC30" s="593">
        <v>3</v>
      </c>
      <c r="AD30" s="593">
        <v>4</v>
      </c>
      <c r="AE30" s="594">
        <v>136</v>
      </c>
      <c r="AF30" s="555">
        <v>85</v>
      </c>
      <c r="AG30" s="593">
        <v>0</v>
      </c>
      <c r="AH30" s="593">
        <v>0</v>
      </c>
      <c r="AI30" s="594">
        <v>138</v>
      </c>
      <c r="AJ30" s="555">
        <v>101</v>
      </c>
      <c r="AK30" s="593">
        <v>0</v>
      </c>
      <c r="AL30" s="593">
        <v>0</v>
      </c>
      <c r="AM30" s="594">
        <v>143</v>
      </c>
      <c r="AN30" s="555">
        <v>101</v>
      </c>
      <c r="AO30" s="593">
        <v>0</v>
      </c>
      <c r="AP30" s="593">
        <v>0</v>
      </c>
      <c r="AQ30" s="915">
        <f t="shared" si="3"/>
        <v>1.4705882352941175</v>
      </c>
      <c r="AR30" s="587">
        <f t="shared" si="4"/>
        <v>18.823529411764707</v>
      </c>
      <c r="AS30" s="590"/>
      <c r="AT30" s="556"/>
      <c r="AU30" s="556"/>
      <c r="AV30" s="556"/>
      <c r="AW30" s="556"/>
      <c r="AX30" s="582"/>
      <c r="AY30" s="582"/>
      <c r="AZ30" s="582"/>
      <c r="BA30" s="582"/>
      <c r="BB30" s="582"/>
      <c r="BC30" s="582"/>
      <c r="BD30" s="582"/>
      <c r="BF30" s="597"/>
      <c r="BG30" s="1444"/>
      <c r="BH30" s="1444"/>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c r="CX30" s="555"/>
      <c r="CY30" s="555"/>
      <c r="CZ30" s="555"/>
      <c r="DA30" s="555"/>
      <c r="DB30" s="555"/>
      <c r="DC30" s="555"/>
      <c r="DD30" s="555"/>
      <c r="DE30" s="555"/>
      <c r="DF30" s="555"/>
      <c r="DG30" s="555"/>
      <c r="DH30" s="555"/>
      <c r="DI30" s="555"/>
      <c r="DJ30" s="555"/>
      <c r="DK30" s="555"/>
      <c r="DL30" s="555"/>
      <c r="DM30" s="555"/>
      <c r="DN30" s="555"/>
      <c r="DO30" s="555"/>
      <c r="DP30" s="555"/>
      <c r="DQ30" s="555"/>
      <c r="DR30" s="555"/>
      <c r="DS30" s="555"/>
      <c r="DT30" s="555"/>
      <c r="DU30" s="555"/>
      <c r="DV30" s="555"/>
      <c r="DW30" s="555"/>
      <c r="DX30" s="555"/>
      <c r="DY30" s="555"/>
      <c r="DZ30" s="555"/>
      <c r="EA30" s="555"/>
      <c r="EB30" s="555"/>
      <c r="EC30" s="555"/>
      <c r="ED30" s="555"/>
      <c r="EE30" s="555"/>
      <c r="EF30" s="555"/>
      <c r="EG30" s="555"/>
      <c r="EH30" s="555"/>
      <c r="EI30" s="555"/>
      <c r="EJ30" s="555"/>
      <c r="EK30" s="555"/>
      <c r="EL30" s="555"/>
      <c r="EM30" s="555"/>
      <c r="EN30" s="555"/>
      <c r="EO30" s="555"/>
      <c r="EP30" s="555"/>
      <c r="EQ30" s="555"/>
      <c r="ER30" s="555"/>
      <c r="ES30" s="555"/>
      <c r="ET30" s="555"/>
      <c r="EU30" s="555"/>
      <c r="EV30" s="555"/>
      <c r="EW30" s="555"/>
      <c r="EX30" s="555"/>
      <c r="EY30" s="555"/>
      <c r="EZ30" s="555"/>
      <c r="FA30" s="555"/>
      <c r="FB30" s="555"/>
      <c r="FC30" s="555"/>
      <c r="FD30" s="555"/>
      <c r="FE30" s="555"/>
      <c r="FF30" s="555"/>
      <c r="FG30" s="555"/>
      <c r="FH30" s="555"/>
      <c r="FI30" s="555"/>
      <c r="FJ30" s="555"/>
      <c r="FK30" s="555"/>
      <c r="FL30" s="555"/>
      <c r="FM30" s="555"/>
      <c r="FN30" s="555"/>
      <c r="FO30" s="555"/>
      <c r="FP30" s="555"/>
      <c r="FQ30" s="555"/>
      <c r="FR30" s="555"/>
      <c r="FS30" s="555"/>
      <c r="FT30" s="555"/>
      <c r="FU30" s="555"/>
      <c r="FV30" s="555"/>
      <c r="FW30" s="555"/>
      <c r="FX30" s="555"/>
    </row>
    <row r="31" spans="1:180" s="604" customFormat="1" ht="15">
      <c r="A31" s="598" t="s">
        <v>646</v>
      </c>
      <c r="B31" s="599"/>
      <c r="C31" s="599">
        <v>283</v>
      </c>
      <c r="D31" s="599">
        <v>178</v>
      </c>
      <c r="E31" s="599">
        <v>0</v>
      </c>
      <c r="F31" s="599">
        <v>5</v>
      </c>
      <c r="G31" s="600">
        <v>332</v>
      </c>
      <c r="H31" s="599">
        <v>227</v>
      </c>
      <c r="I31" s="599">
        <v>0</v>
      </c>
      <c r="J31" s="599">
        <v>5</v>
      </c>
      <c r="K31" s="601"/>
      <c r="L31" s="599">
        <v>297</v>
      </c>
      <c r="M31" s="599">
        <v>206</v>
      </c>
      <c r="N31" s="599">
        <v>0</v>
      </c>
      <c r="O31" s="599">
        <v>10</v>
      </c>
      <c r="P31" s="602"/>
      <c r="Q31" s="600">
        <v>299</v>
      </c>
      <c r="R31" s="599">
        <v>192</v>
      </c>
      <c r="S31" s="599">
        <v>0</v>
      </c>
      <c r="T31" s="599">
        <v>4</v>
      </c>
      <c r="U31" s="599"/>
      <c r="V31" s="600">
        <v>283</v>
      </c>
      <c r="W31" s="599">
        <v>179</v>
      </c>
      <c r="X31" s="599">
        <v>1</v>
      </c>
      <c r="Y31" s="599">
        <v>9</v>
      </c>
      <c r="Z31" s="599"/>
      <c r="AA31" s="600">
        <v>266</v>
      </c>
      <c r="AB31" s="599">
        <v>202</v>
      </c>
      <c r="AC31" s="599">
        <v>0</v>
      </c>
      <c r="AD31" s="599">
        <v>10</v>
      </c>
      <c r="AE31" s="600">
        <v>272</v>
      </c>
      <c r="AF31" s="936">
        <v>206</v>
      </c>
      <c r="AG31" s="599">
        <v>0</v>
      </c>
      <c r="AH31" s="599">
        <v>5</v>
      </c>
      <c r="AI31" s="600">
        <v>301</v>
      </c>
      <c r="AJ31" s="936">
        <v>227</v>
      </c>
      <c r="AK31" s="599">
        <v>0</v>
      </c>
      <c r="AL31" s="599">
        <v>2</v>
      </c>
      <c r="AM31" s="600">
        <v>286</v>
      </c>
      <c r="AN31" s="936">
        <v>180</v>
      </c>
      <c r="AO31" s="599">
        <v>0</v>
      </c>
      <c r="AP31" s="602">
        <v>5</v>
      </c>
      <c r="AQ31" s="916">
        <f t="shared" si="3"/>
        <v>10.661764705882353</v>
      </c>
      <c r="AR31" s="917">
        <f t="shared" si="4"/>
        <v>10.194174757281553</v>
      </c>
      <c r="AS31" s="582"/>
      <c r="AT31" s="556"/>
      <c r="AU31" s="556"/>
      <c r="AV31" s="556"/>
      <c r="AW31" s="556"/>
      <c r="AX31" s="582"/>
      <c r="AY31" s="582"/>
      <c r="AZ31" s="582"/>
      <c r="BA31" s="582"/>
      <c r="BB31" s="582"/>
      <c r="BC31" s="582"/>
      <c r="BD31" s="582"/>
      <c r="BE31" s="603"/>
      <c r="BF31" s="603"/>
      <c r="BG31" s="603"/>
      <c r="BH31" s="603"/>
      <c r="BI31" s="603"/>
      <c r="BJ31" s="603"/>
      <c r="BK31" s="603"/>
      <c r="BL31" s="603"/>
      <c r="BM31" s="603"/>
      <c r="BN31" s="603"/>
      <c r="BO31" s="603"/>
      <c r="BP31" s="603"/>
      <c r="BQ31" s="603"/>
      <c r="BR31" s="603"/>
      <c r="BS31" s="603"/>
      <c r="BT31" s="603"/>
      <c r="BU31" s="603"/>
      <c r="BV31" s="603"/>
      <c r="BW31" s="603"/>
      <c r="BX31" s="603"/>
      <c r="BY31" s="603"/>
      <c r="BZ31" s="603"/>
      <c r="CA31" s="603"/>
      <c r="CB31" s="603"/>
      <c r="CC31" s="603"/>
      <c r="CD31" s="603"/>
      <c r="CE31" s="603"/>
      <c r="CF31" s="603"/>
      <c r="CG31" s="603"/>
      <c r="CH31" s="603"/>
      <c r="CI31" s="603"/>
      <c r="CJ31" s="603"/>
      <c r="CK31" s="603"/>
      <c r="CL31" s="603"/>
      <c r="CM31" s="603"/>
      <c r="CN31" s="603"/>
      <c r="CO31" s="603"/>
      <c r="CP31" s="603"/>
      <c r="CQ31" s="603"/>
      <c r="CR31" s="603"/>
      <c r="CS31" s="603"/>
      <c r="CT31" s="603"/>
      <c r="CU31" s="603"/>
      <c r="CV31" s="603"/>
      <c r="CW31" s="603"/>
      <c r="CX31" s="603"/>
      <c r="CY31" s="603"/>
      <c r="CZ31" s="603"/>
      <c r="DA31" s="603"/>
      <c r="DB31" s="603"/>
      <c r="DC31" s="603"/>
      <c r="DD31" s="603"/>
      <c r="DE31" s="603"/>
      <c r="DF31" s="603"/>
      <c r="DG31" s="603"/>
      <c r="DH31" s="603"/>
      <c r="DI31" s="603"/>
      <c r="DJ31" s="603"/>
      <c r="DK31" s="603"/>
      <c r="DL31" s="603"/>
      <c r="DM31" s="603"/>
      <c r="DN31" s="603"/>
      <c r="DO31" s="603"/>
      <c r="DP31" s="603"/>
      <c r="DQ31" s="603"/>
      <c r="DR31" s="603"/>
      <c r="DS31" s="603"/>
      <c r="DT31" s="603"/>
      <c r="DU31" s="603"/>
      <c r="DV31" s="603"/>
      <c r="DW31" s="603"/>
      <c r="DX31" s="603"/>
      <c r="DY31" s="603"/>
      <c r="DZ31" s="603"/>
      <c r="EA31" s="603"/>
      <c r="EB31" s="603"/>
      <c r="EC31" s="603"/>
      <c r="ED31" s="603"/>
      <c r="EE31" s="603"/>
      <c r="EF31" s="603"/>
      <c r="EG31" s="603"/>
      <c r="EH31" s="603"/>
      <c r="EI31" s="603"/>
      <c r="EJ31" s="603"/>
      <c r="EK31" s="603"/>
      <c r="EL31" s="603"/>
      <c r="EM31" s="603"/>
      <c r="EN31" s="603"/>
      <c r="EO31" s="603"/>
      <c r="EP31" s="603"/>
      <c r="EQ31" s="603"/>
      <c r="ER31" s="603"/>
      <c r="ES31" s="603"/>
      <c r="ET31" s="603"/>
      <c r="EU31" s="603"/>
      <c r="EV31" s="603"/>
      <c r="EW31" s="603"/>
      <c r="EX31" s="603"/>
      <c r="EY31" s="603"/>
      <c r="EZ31" s="603"/>
      <c r="FA31" s="603"/>
      <c r="FB31" s="603"/>
      <c r="FC31" s="603"/>
      <c r="FD31" s="603"/>
      <c r="FE31" s="603"/>
      <c r="FF31" s="603"/>
      <c r="FG31" s="603"/>
      <c r="FH31" s="603"/>
      <c r="FI31" s="603"/>
      <c r="FJ31" s="603"/>
      <c r="FK31" s="603"/>
      <c r="FL31" s="603"/>
      <c r="FM31" s="603"/>
      <c r="FN31" s="603"/>
      <c r="FO31" s="603"/>
      <c r="FP31" s="603"/>
      <c r="FQ31" s="603"/>
      <c r="FR31" s="603"/>
      <c r="FS31" s="603"/>
      <c r="FT31" s="603"/>
      <c r="FU31" s="603"/>
      <c r="FV31" s="603"/>
      <c r="FW31" s="603"/>
      <c r="FX31" s="603"/>
    </row>
    <row r="32" spans="1:180" s="555" customFormat="1" ht="17.25">
      <c r="A32" s="605" t="s">
        <v>879</v>
      </c>
      <c r="B32" s="606"/>
      <c r="C32" s="606"/>
      <c r="D32" s="606"/>
      <c r="E32" s="606"/>
      <c r="F32" s="606"/>
      <c r="G32" s="606"/>
      <c r="H32" s="606"/>
      <c r="I32" s="606"/>
      <c r="J32" s="606"/>
      <c r="L32" s="606"/>
      <c r="M32" s="606"/>
      <c r="N32" s="606"/>
      <c r="O32" s="606"/>
      <c r="P32" s="606"/>
      <c r="Q32" s="606"/>
      <c r="R32" s="606"/>
      <c r="S32" s="606"/>
      <c r="T32" s="606"/>
      <c r="U32" s="606"/>
      <c r="V32" s="606"/>
      <c r="W32" s="606"/>
      <c r="X32" s="606"/>
      <c r="Y32" s="606"/>
      <c r="Z32" s="606"/>
      <c r="AA32" s="606"/>
      <c r="AB32" s="606"/>
      <c r="AC32" s="606"/>
      <c r="AD32" s="606"/>
      <c r="AE32" s="606"/>
      <c r="AF32" s="606"/>
      <c r="AG32" s="606"/>
      <c r="AH32" s="606"/>
      <c r="AI32" s="606"/>
      <c r="AJ32" s="606"/>
      <c r="AK32" s="606"/>
      <c r="AL32" s="606"/>
      <c r="AM32" s="606"/>
      <c r="AN32" s="606"/>
      <c r="AO32" s="606"/>
      <c r="AP32" s="606"/>
      <c r="AQ32" s="606"/>
      <c r="AR32" s="607" t="s">
        <v>880</v>
      </c>
      <c r="AT32" s="556"/>
      <c r="AU32" s="556"/>
      <c r="AV32" s="556"/>
      <c r="AW32" s="556"/>
      <c r="AX32" s="608"/>
      <c r="AY32" s="608"/>
      <c r="AZ32" s="608"/>
      <c r="BA32" s="608"/>
      <c r="BB32" s="608"/>
      <c r="BC32" s="608"/>
      <c r="BD32" s="609"/>
      <c r="BE32" s="609"/>
      <c r="BF32" s="609"/>
      <c r="BG32" s="609"/>
      <c r="BH32" s="609"/>
      <c r="BI32" s="609"/>
    </row>
    <row r="33" spans="2:81" s="609" customFormat="1">
      <c r="B33" s="610"/>
      <c r="C33" s="610"/>
      <c r="D33" s="610"/>
      <c r="E33" s="610"/>
      <c r="F33" s="610"/>
      <c r="G33" s="610"/>
      <c r="H33" s="610"/>
      <c r="I33" s="610"/>
      <c r="J33" s="610"/>
      <c r="L33" s="610"/>
      <c r="M33" s="610"/>
      <c r="N33" s="610"/>
      <c r="O33" s="610"/>
      <c r="P33" s="610"/>
      <c r="Q33" s="610"/>
      <c r="R33" s="610"/>
      <c r="S33" s="610"/>
      <c r="T33" s="610"/>
      <c r="U33" s="610"/>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T33" s="556"/>
      <c r="AU33" s="556"/>
      <c r="AV33" s="556"/>
      <c r="AW33" s="556"/>
      <c r="AX33" s="608"/>
      <c r="AY33" s="608"/>
      <c r="AZ33" s="608"/>
      <c r="BA33" s="608"/>
      <c r="BB33" s="608"/>
      <c r="BC33" s="608"/>
    </row>
    <row r="34" spans="2:81" s="609" customFormat="1">
      <c r="B34" s="610"/>
      <c r="C34" s="610"/>
      <c r="D34" s="610"/>
      <c r="E34" s="610"/>
      <c r="F34" s="610"/>
      <c r="G34" s="610"/>
      <c r="H34" s="610"/>
      <c r="I34" s="610"/>
      <c r="J34" s="610"/>
      <c r="L34" s="610"/>
      <c r="M34" s="610"/>
      <c r="N34" s="610"/>
      <c r="O34" s="610"/>
      <c r="P34" s="610"/>
      <c r="Q34" s="610"/>
      <c r="R34" s="610"/>
      <c r="S34" s="610"/>
      <c r="T34" s="610"/>
      <c r="U34" s="610"/>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T34" s="556"/>
      <c r="AU34" s="556"/>
      <c r="AV34" s="556"/>
      <c r="AW34" s="556"/>
    </row>
    <row r="35" spans="2:81" s="609" customFormat="1">
      <c r="B35" s="610"/>
      <c r="C35" s="610"/>
      <c r="D35" s="610"/>
      <c r="E35" s="610"/>
      <c r="F35" s="610"/>
      <c r="G35" s="610"/>
      <c r="H35" s="610"/>
      <c r="I35" s="610"/>
      <c r="J35" s="610"/>
      <c r="L35" s="610"/>
      <c r="M35" s="610"/>
      <c r="N35" s="610"/>
      <c r="O35" s="610"/>
      <c r="P35" s="610"/>
      <c r="Q35" s="610"/>
      <c r="R35" s="610"/>
      <c r="S35" s="610"/>
      <c r="T35" s="610"/>
      <c r="U35" s="610"/>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T35" s="556"/>
      <c r="AU35" s="556"/>
      <c r="AV35" s="556"/>
      <c r="AW35" s="556"/>
      <c r="BE35" s="1444"/>
      <c r="BF35" s="1444"/>
      <c r="BG35" s="1444"/>
      <c r="BH35" s="1444"/>
      <c r="BI35" s="1444"/>
      <c r="BJ35" s="1444"/>
      <c r="BK35" s="1444"/>
      <c r="BL35" s="1444"/>
    </row>
    <row r="36" spans="2:81" s="609" customFormat="1">
      <c r="B36" s="610"/>
      <c r="C36" s="610"/>
      <c r="D36" s="610"/>
      <c r="E36" s="610"/>
      <c r="F36" s="610"/>
      <c r="G36" s="610"/>
      <c r="H36" s="610"/>
      <c r="I36" s="610"/>
      <c r="J36" s="610"/>
      <c r="L36" s="610"/>
      <c r="M36" s="610"/>
      <c r="N36" s="610"/>
      <c r="O36" s="610"/>
      <c r="P36" s="610"/>
      <c r="Q36" s="610"/>
      <c r="R36" s="610"/>
      <c r="S36" s="610"/>
      <c r="T36" s="610"/>
      <c r="U36" s="610"/>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T36" s="556"/>
      <c r="AU36" s="556"/>
      <c r="AV36" s="556"/>
      <c r="AW36" s="556"/>
      <c r="BE36" s="573"/>
      <c r="BF36" s="573"/>
      <c r="BG36" s="573"/>
      <c r="BH36" s="573"/>
      <c r="BI36" s="573"/>
      <c r="BJ36" s="573"/>
      <c r="BK36" s="573"/>
      <c r="BL36" s="573"/>
    </row>
    <row r="37" spans="2:81" s="609" customFormat="1">
      <c r="B37" s="610"/>
      <c r="C37" s="610"/>
      <c r="D37" s="610"/>
      <c r="E37" s="610"/>
      <c r="F37" s="610"/>
      <c r="G37" s="610"/>
      <c r="H37" s="610"/>
      <c r="I37" s="610"/>
      <c r="J37" s="610"/>
      <c r="L37" s="610"/>
      <c r="M37" s="610"/>
      <c r="N37" s="610"/>
      <c r="O37" s="610"/>
      <c r="P37" s="610"/>
      <c r="Q37" s="610"/>
      <c r="R37" s="610"/>
      <c r="S37" s="610"/>
      <c r="T37" s="610"/>
      <c r="U37" s="610"/>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BD37" s="556"/>
      <c r="BE37" s="611"/>
      <c r="BF37" s="611"/>
      <c r="BG37" s="611"/>
      <c r="BH37" s="611"/>
      <c r="BI37" s="611"/>
      <c r="BJ37" s="611"/>
      <c r="BK37" s="611"/>
      <c r="BL37" s="611"/>
    </row>
    <row r="38" spans="2:81" s="609" customFormat="1">
      <c r="B38" s="610"/>
      <c r="C38" s="610"/>
      <c r="D38" s="610"/>
      <c r="E38" s="610"/>
      <c r="F38" s="610"/>
      <c r="G38" s="610"/>
      <c r="H38" s="610"/>
      <c r="I38" s="610"/>
      <c r="J38" s="610"/>
      <c r="L38" s="610"/>
      <c r="M38" s="610"/>
      <c r="N38" s="610"/>
      <c r="O38" s="610"/>
      <c r="P38" s="610"/>
      <c r="Q38" s="610"/>
      <c r="R38" s="610"/>
      <c r="S38" s="610"/>
      <c r="T38" s="610"/>
      <c r="U38" s="610"/>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BD38" s="612"/>
      <c r="BE38" s="611"/>
      <c r="BF38" s="611"/>
      <c r="BG38" s="611"/>
      <c r="BH38" s="611"/>
      <c r="BI38" s="611"/>
      <c r="BJ38" s="611"/>
      <c r="BK38" s="611"/>
      <c r="BL38" s="611"/>
    </row>
    <row r="39" spans="2:81" s="609" customFormat="1">
      <c r="B39" s="610"/>
      <c r="C39" s="610"/>
      <c r="D39" s="610"/>
      <c r="E39" s="610"/>
      <c r="F39" s="610"/>
      <c r="G39" s="610"/>
      <c r="H39" s="610"/>
      <c r="I39" s="610"/>
      <c r="J39" s="610"/>
      <c r="L39" s="610"/>
      <c r="M39" s="610"/>
      <c r="N39" s="610"/>
      <c r="O39" s="610"/>
      <c r="P39" s="610"/>
      <c r="Q39" s="610"/>
      <c r="R39" s="610"/>
      <c r="S39" s="610"/>
      <c r="T39" s="610"/>
      <c r="U39" s="610"/>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row>
    <row r="40" spans="2:81" s="609" customFormat="1">
      <c r="B40" s="610"/>
      <c r="C40" s="610"/>
      <c r="D40" s="610"/>
      <c r="E40" s="610"/>
      <c r="F40" s="610"/>
      <c r="G40" s="610"/>
      <c r="H40" s="610"/>
      <c r="I40" s="610"/>
      <c r="J40" s="610"/>
      <c r="L40" s="610"/>
      <c r="M40" s="610"/>
      <c r="N40" s="610"/>
      <c r="O40" s="610"/>
      <c r="P40" s="610"/>
      <c r="Q40" s="610"/>
      <c r="R40" s="610"/>
      <c r="S40" s="610"/>
      <c r="T40" s="610"/>
      <c r="U40" s="610"/>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BF40" s="1458">
        <v>2010</v>
      </c>
      <c r="BG40" s="1458"/>
      <c r="BH40" s="1458">
        <v>2011</v>
      </c>
      <c r="BI40" s="1458"/>
      <c r="BJ40" s="1458">
        <v>2012</v>
      </c>
      <c r="BK40" s="1458"/>
      <c r="BL40" s="1458">
        <v>2013</v>
      </c>
      <c r="BM40" s="1458"/>
      <c r="BN40" s="1458">
        <v>2014</v>
      </c>
      <c r="BO40" s="1458"/>
      <c r="BP40" s="1458">
        <v>2015</v>
      </c>
      <c r="BQ40" s="1458"/>
      <c r="BR40" s="1458">
        <v>2016</v>
      </c>
      <c r="BS40" s="1458"/>
      <c r="BT40" s="1458">
        <v>2017</v>
      </c>
      <c r="BU40" s="1458"/>
      <c r="BV40" s="1458">
        <v>2018</v>
      </c>
      <c r="BW40" s="1458"/>
      <c r="BX40" s="1458">
        <v>2019</v>
      </c>
      <c r="BY40" s="1458"/>
      <c r="BZ40" s="1458">
        <v>2020</v>
      </c>
      <c r="CA40" s="1458"/>
      <c r="CB40" s="1458">
        <v>2021</v>
      </c>
      <c r="CC40" s="1458"/>
    </row>
    <row r="41" spans="2:81" s="609" customFormat="1">
      <c r="B41" s="610"/>
      <c r="C41" s="610"/>
      <c r="D41" s="610"/>
      <c r="E41" s="610"/>
      <c r="F41" s="610"/>
      <c r="G41" s="610"/>
      <c r="H41" s="610"/>
      <c r="I41" s="610"/>
      <c r="J41" s="610"/>
      <c r="L41" s="610"/>
      <c r="M41" s="610"/>
      <c r="N41" s="610"/>
      <c r="O41" s="610"/>
      <c r="P41" s="610"/>
      <c r="Q41" s="610"/>
      <c r="R41" s="610"/>
      <c r="S41" s="610"/>
      <c r="T41" s="610"/>
      <c r="U41" s="610"/>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BF41" s="570" t="s">
        <v>881</v>
      </c>
      <c r="BG41" s="570" t="s">
        <v>882</v>
      </c>
      <c r="BH41" s="570" t="s">
        <v>881</v>
      </c>
      <c r="BI41" s="570" t="s">
        <v>882</v>
      </c>
      <c r="BJ41" s="570" t="s">
        <v>881</v>
      </c>
      <c r="BK41" s="570" t="s">
        <v>882</v>
      </c>
      <c r="BL41" s="570" t="s">
        <v>881</v>
      </c>
      <c r="BM41" s="570" t="s">
        <v>882</v>
      </c>
      <c r="BN41" s="570" t="s">
        <v>881</v>
      </c>
      <c r="BO41" s="570" t="s">
        <v>882</v>
      </c>
      <c r="BP41" s="570" t="s">
        <v>881</v>
      </c>
      <c r="BQ41" s="570" t="s">
        <v>882</v>
      </c>
      <c r="BR41" s="570" t="s">
        <v>881</v>
      </c>
      <c r="BS41" s="570" t="s">
        <v>882</v>
      </c>
      <c r="BT41" s="570" t="s">
        <v>881</v>
      </c>
      <c r="BU41" s="570" t="s">
        <v>882</v>
      </c>
      <c r="BV41" s="570" t="s">
        <v>881</v>
      </c>
      <c r="BW41" s="570" t="s">
        <v>882</v>
      </c>
      <c r="BX41" s="570" t="s">
        <v>881</v>
      </c>
      <c r="BY41" s="570" t="s">
        <v>882</v>
      </c>
      <c r="BZ41" s="570" t="s">
        <v>881</v>
      </c>
      <c r="CA41" s="570" t="s">
        <v>882</v>
      </c>
      <c r="CB41" s="570" t="s">
        <v>881</v>
      </c>
      <c r="CC41" s="570" t="s">
        <v>882</v>
      </c>
    </row>
    <row r="42" spans="2:81" s="609" customFormat="1">
      <c r="B42" s="610"/>
      <c r="C42" s="610"/>
      <c r="D42" s="610"/>
      <c r="E42" s="610"/>
      <c r="F42" s="610"/>
      <c r="G42" s="610"/>
      <c r="H42" s="610"/>
      <c r="I42" s="610"/>
      <c r="J42" s="610"/>
      <c r="L42" s="610"/>
      <c r="M42" s="610"/>
      <c r="N42" s="610"/>
      <c r="O42" s="610"/>
      <c r="P42" s="610"/>
      <c r="Q42" s="610"/>
      <c r="R42" s="610"/>
      <c r="S42" s="610"/>
      <c r="T42" s="610"/>
      <c r="U42" s="610"/>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BE42" s="556" t="s">
        <v>637</v>
      </c>
      <c r="BF42" s="611">
        <v>2491</v>
      </c>
      <c r="BG42" s="611">
        <v>1248</v>
      </c>
      <c r="BH42" s="611">
        <v>2366</v>
      </c>
      <c r="BI42" s="611">
        <v>1209</v>
      </c>
      <c r="BJ42" s="611">
        <v>2404</v>
      </c>
      <c r="BK42" s="611">
        <v>1320</v>
      </c>
      <c r="BL42" s="609">
        <v>2463</v>
      </c>
      <c r="BM42" s="609">
        <v>1508</v>
      </c>
      <c r="BN42" s="609">
        <v>2357</v>
      </c>
      <c r="BO42" s="609">
        <v>1368</v>
      </c>
      <c r="BP42" s="609">
        <v>2417</v>
      </c>
      <c r="BQ42" s="609">
        <v>1288</v>
      </c>
      <c r="BR42" s="609">
        <v>2304</v>
      </c>
      <c r="BS42" s="609">
        <v>1341</v>
      </c>
      <c r="BT42" s="609">
        <v>2168</v>
      </c>
      <c r="BU42" s="609">
        <v>1248</v>
      </c>
      <c r="BV42" s="609">
        <f t="shared" ref="BV42:BW44" si="9">AA9</f>
        <v>2191</v>
      </c>
      <c r="BW42" s="609">
        <f t="shared" si="9"/>
        <v>1156</v>
      </c>
      <c r="BX42" s="609">
        <f>AE9</f>
        <v>2055</v>
      </c>
      <c r="BY42" s="609">
        <f>AF9</f>
        <v>1260</v>
      </c>
      <c r="BZ42" s="609">
        <f>AI9</f>
        <v>1995</v>
      </c>
      <c r="CA42" s="609">
        <f>AJ9</f>
        <v>928</v>
      </c>
      <c r="CB42" s="609">
        <f>AM9</f>
        <v>2396</v>
      </c>
      <c r="CC42" s="609">
        <f>AN9</f>
        <v>1191</v>
      </c>
    </row>
    <row r="43" spans="2:81" s="609" customFormat="1" ht="15">
      <c r="B43" s="610"/>
      <c r="C43" s="610"/>
      <c r="D43" s="610"/>
      <c r="E43" s="610"/>
      <c r="F43" s="610"/>
      <c r="G43" s="610"/>
      <c r="H43" s="610"/>
      <c r="I43" s="610"/>
      <c r="J43" s="610"/>
      <c r="L43" s="610"/>
      <c r="M43" s="610"/>
      <c r="N43" s="610"/>
      <c r="O43" s="610"/>
      <c r="P43" s="610"/>
      <c r="Q43" s="610"/>
      <c r="R43" s="610"/>
      <c r="S43" s="610"/>
      <c r="T43" s="610"/>
      <c r="U43" s="610"/>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BE43" s="588" t="s">
        <v>183</v>
      </c>
      <c r="BN43" s="609">
        <v>125</v>
      </c>
      <c r="BO43" s="609">
        <v>98</v>
      </c>
      <c r="BP43" s="609">
        <v>193</v>
      </c>
      <c r="BQ43" s="609">
        <v>167</v>
      </c>
      <c r="BR43" s="609">
        <v>223</v>
      </c>
      <c r="BS43" s="609">
        <v>155</v>
      </c>
      <c r="BT43" s="609">
        <v>207</v>
      </c>
      <c r="BU43" s="609">
        <v>149</v>
      </c>
      <c r="BV43" s="609">
        <f t="shared" si="9"/>
        <v>258</v>
      </c>
      <c r="BW43" s="609">
        <f t="shared" si="9"/>
        <v>217</v>
      </c>
      <c r="BX43" s="609">
        <f>AE10</f>
        <v>312</v>
      </c>
      <c r="BY43" s="609">
        <f>AF10</f>
        <v>359</v>
      </c>
      <c r="BZ43" s="609">
        <f t="shared" ref="BZ43:CA43" si="10">AI10</f>
        <v>237</v>
      </c>
      <c r="CA43" s="609">
        <f t="shared" si="10"/>
        <v>173</v>
      </c>
      <c r="CB43" s="609">
        <f t="shared" ref="CB43:CC44" si="11">AM10</f>
        <v>330</v>
      </c>
      <c r="CC43" s="609">
        <f t="shared" si="11"/>
        <v>247</v>
      </c>
    </row>
    <row r="44" spans="2:81" s="609" customFormat="1">
      <c r="B44" s="610"/>
      <c r="C44" s="610"/>
      <c r="D44" s="610"/>
      <c r="E44" s="610"/>
      <c r="F44" s="610"/>
      <c r="G44" s="610"/>
      <c r="H44" s="610"/>
      <c r="I44" s="610"/>
      <c r="J44" s="610"/>
      <c r="L44" s="610"/>
      <c r="M44" s="610"/>
      <c r="N44" s="610"/>
      <c r="O44" s="610"/>
      <c r="P44" s="610"/>
      <c r="Q44" s="610"/>
      <c r="R44" s="610"/>
      <c r="S44" s="610"/>
      <c r="T44" s="610"/>
      <c r="U44" s="610"/>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BE44" s="612" t="s">
        <v>639</v>
      </c>
      <c r="BF44" s="611">
        <v>3645</v>
      </c>
      <c r="BG44" s="611">
        <v>1547</v>
      </c>
      <c r="BH44" s="611">
        <v>3649</v>
      </c>
      <c r="BI44" s="611">
        <v>1807</v>
      </c>
      <c r="BJ44" s="613">
        <v>3295</v>
      </c>
      <c r="BK44" s="613">
        <v>1691</v>
      </c>
      <c r="BL44" s="609">
        <v>3157</v>
      </c>
      <c r="BM44" s="609">
        <v>1823</v>
      </c>
      <c r="BN44" s="609">
        <v>3230</v>
      </c>
      <c r="BO44" s="609">
        <v>1936</v>
      </c>
      <c r="BP44" s="609">
        <v>3153</v>
      </c>
      <c r="BQ44" s="609">
        <v>1903</v>
      </c>
      <c r="BR44" s="609">
        <v>2961</v>
      </c>
      <c r="BS44" s="609">
        <v>1921</v>
      </c>
      <c r="BT44" s="609">
        <v>2862</v>
      </c>
      <c r="BU44" s="609">
        <v>1814</v>
      </c>
      <c r="BV44" s="609">
        <f t="shared" si="9"/>
        <v>2841</v>
      </c>
      <c r="BW44" s="609">
        <f t="shared" si="9"/>
        <v>1793</v>
      </c>
      <c r="BX44" s="609">
        <v>2702</v>
      </c>
      <c r="BY44" s="609">
        <f>AF11</f>
        <v>1931</v>
      </c>
      <c r="BZ44" s="609">
        <f t="shared" ref="BZ44:CA44" si="12">AI11</f>
        <v>2766</v>
      </c>
      <c r="CA44" s="609">
        <f t="shared" si="12"/>
        <v>1883</v>
      </c>
      <c r="CB44" s="609">
        <f>AM11</f>
        <v>2688</v>
      </c>
      <c r="CC44" s="609">
        <f t="shared" si="11"/>
        <v>1804</v>
      </c>
    </row>
    <row r="45" spans="2:81" s="609" customFormat="1">
      <c r="B45" s="610"/>
      <c r="C45" s="610"/>
      <c r="D45" s="610"/>
      <c r="E45" s="610"/>
      <c r="F45" s="610"/>
      <c r="G45" s="610"/>
      <c r="H45" s="610"/>
      <c r="I45" s="610"/>
      <c r="J45" s="610"/>
      <c r="L45" s="610"/>
      <c r="M45" s="610"/>
      <c r="N45" s="610"/>
      <c r="O45" s="610"/>
      <c r="P45" s="610"/>
      <c r="Q45" s="610"/>
      <c r="R45" s="610"/>
      <c r="S45" s="610"/>
      <c r="T45" s="610"/>
      <c r="U45" s="61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row>
    <row r="46" spans="2:81" s="609" customFormat="1">
      <c r="B46" s="610"/>
      <c r="C46" s="610"/>
      <c r="D46" s="610"/>
      <c r="E46" s="610"/>
      <c r="F46" s="610"/>
      <c r="G46" s="610"/>
      <c r="H46" s="610"/>
      <c r="I46" s="610"/>
      <c r="J46" s="610"/>
      <c r="L46" s="610"/>
      <c r="M46" s="610"/>
      <c r="N46" s="610"/>
      <c r="O46" s="610"/>
      <c r="P46" s="610"/>
      <c r="Q46" s="610"/>
      <c r="R46" s="610"/>
      <c r="S46" s="610"/>
      <c r="T46" s="610"/>
      <c r="U46" s="610"/>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row>
    <row r="47" spans="2:81" s="609" customFormat="1">
      <c r="B47" s="610"/>
      <c r="C47" s="610"/>
      <c r="D47" s="610"/>
      <c r="E47" s="610"/>
      <c r="F47" s="610"/>
      <c r="G47" s="610"/>
      <c r="H47" s="610"/>
      <c r="I47" s="610"/>
      <c r="J47" s="610"/>
      <c r="L47" s="610"/>
      <c r="M47" s="610"/>
      <c r="N47" s="610"/>
      <c r="O47" s="610"/>
      <c r="P47" s="610"/>
      <c r="Q47" s="610"/>
      <c r="R47" s="610"/>
      <c r="S47" s="610"/>
      <c r="T47" s="610"/>
      <c r="U47" s="610"/>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row>
    <row r="48" spans="2:81" s="609" customFormat="1">
      <c r="B48" s="610"/>
      <c r="C48" s="610"/>
      <c r="D48" s="610"/>
      <c r="E48" s="610"/>
      <c r="F48" s="610"/>
      <c r="G48" s="610"/>
      <c r="H48" s="610"/>
      <c r="I48" s="610"/>
      <c r="J48" s="610"/>
      <c r="L48" s="610"/>
      <c r="M48" s="610"/>
      <c r="N48" s="610"/>
      <c r="O48" s="610"/>
      <c r="P48" s="610"/>
      <c r="Q48" s="610"/>
      <c r="R48" s="610"/>
      <c r="S48" s="610"/>
      <c r="T48" s="610"/>
      <c r="U48" s="610"/>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row>
    <row r="49" spans="2:65" s="609" customFormat="1">
      <c r="B49" s="610"/>
      <c r="C49" s="610"/>
      <c r="D49" s="610"/>
      <c r="E49" s="610"/>
      <c r="F49" s="610"/>
      <c r="G49" s="610"/>
      <c r="H49" s="610"/>
      <c r="I49" s="610"/>
      <c r="J49" s="610"/>
      <c r="L49" s="610"/>
      <c r="M49" s="610"/>
      <c r="N49" s="610"/>
      <c r="O49" s="610"/>
      <c r="P49" s="610"/>
      <c r="Q49" s="610"/>
      <c r="R49" s="610"/>
      <c r="S49" s="610"/>
      <c r="T49" s="610"/>
      <c r="U49" s="610"/>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row>
    <row r="50" spans="2:65" s="609" customFormat="1">
      <c r="B50" s="610"/>
      <c r="C50" s="610"/>
      <c r="D50" s="610"/>
      <c r="E50" s="610"/>
      <c r="F50" s="610"/>
      <c r="G50" s="610"/>
      <c r="H50" s="610"/>
      <c r="I50" s="610"/>
      <c r="J50" s="610"/>
      <c r="L50" s="610"/>
      <c r="M50" s="610"/>
      <c r="N50" s="610"/>
      <c r="O50" s="610"/>
      <c r="P50" s="610"/>
      <c r="Q50" s="610"/>
      <c r="R50" s="610"/>
      <c r="S50" s="610"/>
      <c r="T50" s="610"/>
      <c r="U50" s="610"/>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row>
    <row r="51" spans="2:65" s="609" customFormat="1">
      <c r="B51" s="610"/>
      <c r="C51" s="610"/>
      <c r="D51" s="610"/>
      <c r="E51" s="610"/>
      <c r="F51" s="610"/>
      <c r="G51" s="610"/>
      <c r="H51" s="610"/>
      <c r="I51" s="610"/>
      <c r="J51" s="610"/>
      <c r="L51" s="610"/>
      <c r="M51" s="610"/>
      <c r="N51" s="610"/>
      <c r="O51" s="610"/>
      <c r="P51" s="610"/>
      <c r="Q51" s="610"/>
      <c r="R51" s="610"/>
      <c r="S51" s="610"/>
      <c r="T51" s="610"/>
      <c r="U51" s="610"/>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row>
    <row r="52" spans="2:65" s="609" customFormat="1">
      <c r="B52" s="610"/>
      <c r="C52" s="610"/>
      <c r="D52" s="610"/>
      <c r="E52" s="610"/>
      <c r="F52" s="610"/>
      <c r="G52" s="610"/>
      <c r="H52" s="610"/>
      <c r="I52" s="610"/>
      <c r="J52" s="610"/>
      <c r="L52" s="610"/>
      <c r="M52" s="610"/>
      <c r="N52" s="610"/>
      <c r="O52" s="610"/>
      <c r="P52" s="610"/>
      <c r="Q52" s="610"/>
      <c r="R52" s="610"/>
      <c r="S52" s="610"/>
      <c r="T52" s="610"/>
      <c r="U52" s="610"/>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row>
    <row r="53" spans="2:65" s="609" customFormat="1">
      <c r="B53" s="610"/>
      <c r="C53" s="610"/>
      <c r="D53" s="610"/>
      <c r="E53" s="610"/>
      <c r="F53" s="610"/>
      <c r="G53" s="610"/>
      <c r="H53" s="610"/>
      <c r="I53" s="610"/>
      <c r="J53" s="610"/>
      <c r="L53" s="610"/>
      <c r="M53" s="610"/>
      <c r="N53" s="610"/>
      <c r="O53" s="610"/>
      <c r="P53" s="610"/>
      <c r="Q53" s="610"/>
      <c r="R53" s="610"/>
      <c r="S53" s="610"/>
      <c r="T53" s="610"/>
      <c r="U53" s="610"/>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row>
    <row r="54" spans="2:65" s="609" customFormat="1">
      <c r="B54" s="610"/>
      <c r="C54" s="610"/>
      <c r="D54" s="610"/>
      <c r="E54" s="610"/>
      <c r="F54" s="610"/>
      <c r="G54" s="610"/>
      <c r="H54" s="610"/>
      <c r="I54" s="610"/>
      <c r="J54" s="610"/>
      <c r="L54" s="610"/>
      <c r="M54" s="610"/>
      <c r="N54" s="610"/>
      <c r="O54" s="610"/>
      <c r="P54" s="610"/>
      <c r="Q54" s="610"/>
      <c r="R54" s="610"/>
      <c r="S54" s="610"/>
      <c r="T54" s="610"/>
      <c r="U54" s="610"/>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row>
    <row r="55" spans="2:65" s="609" customFormat="1">
      <c r="B55" s="610"/>
      <c r="C55" s="610"/>
      <c r="D55" s="610"/>
      <c r="E55" s="610"/>
      <c r="F55" s="610"/>
      <c r="G55" s="610"/>
      <c r="H55" s="610"/>
      <c r="I55" s="610"/>
      <c r="J55" s="610"/>
      <c r="L55" s="610"/>
      <c r="M55" s="610"/>
      <c r="N55" s="610"/>
      <c r="O55" s="610"/>
      <c r="P55" s="610"/>
      <c r="Q55" s="610"/>
      <c r="R55" s="610"/>
      <c r="S55" s="610"/>
      <c r="T55" s="610"/>
      <c r="U55" s="610"/>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row>
    <row r="56" spans="2:65" s="609" customFormat="1">
      <c r="B56" s="610"/>
      <c r="C56" s="610"/>
      <c r="D56" s="610"/>
      <c r="E56" s="610"/>
      <c r="F56" s="610"/>
      <c r="G56" s="610"/>
      <c r="H56" s="610"/>
      <c r="I56" s="610"/>
      <c r="J56" s="610"/>
      <c r="L56" s="610"/>
      <c r="M56" s="610"/>
      <c r="N56" s="610"/>
      <c r="O56" s="610"/>
      <c r="P56" s="610"/>
      <c r="Q56" s="610"/>
      <c r="R56" s="610"/>
      <c r="S56" s="610"/>
      <c r="T56" s="610"/>
      <c r="U56" s="610"/>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row>
    <row r="57" spans="2:65" s="609" customFormat="1">
      <c r="B57" s="610"/>
      <c r="C57" s="610"/>
      <c r="D57" s="610"/>
      <c r="E57" s="610"/>
      <c r="F57" s="610"/>
      <c r="G57" s="610"/>
      <c r="H57" s="610"/>
      <c r="I57" s="610"/>
      <c r="J57" s="610"/>
      <c r="L57" s="610"/>
      <c r="M57" s="610"/>
      <c r="N57" s="610"/>
      <c r="O57" s="610"/>
      <c r="P57" s="610"/>
      <c r="Q57" s="610"/>
      <c r="R57" s="610"/>
      <c r="S57" s="610"/>
      <c r="T57" s="610"/>
      <c r="U57" s="610"/>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BG57" s="573"/>
      <c r="BH57" s="573"/>
      <c r="BL57" s="573"/>
      <c r="BM57" s="573"/>
    </row>
    <row r="58" spans="2:65" s="609" customFormat="1">
      <c r="B58" s="610"/>
      <c r="C58" s="610"/>
      <c r="D58" s="610"/>
      <c r="E58" s="610"/>
      <c r="F58" s="610"/>
      <c r="G58" s="610"/>
      <c r="H58" s="610"/>
      <c r="I58" s="610"/>
      <c r="J58" s="610"/>
      <c r="L58" s="610"/>
      <c r="M58" s="610"/>
      <c r="N58" s="610"/>
      <c r="O58" s="610"/>
      <c r="P58" s="610"/>
      <c r="Q58" s="610"/>
      <c r="R58" s="610"/>
      <c r="S58" s="610"/>
      <c r="T58" s="610"/>
      <c r="U58" s="610"/>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BF58" s="608"/>
      <c r="BG58" s="614"/>
      <c r="BH58" s="614"/>
      <c r="BK58" s="608"/>
      <c r="BL58" s="614"/>
      <c r="BM58" s="614"/>
    </row>
    <row r="59" spans="2:65" s="609" customFormat="1">
      <c r="B59" s="610"/>
      <c r="C59" s="610"/>
      <c r="D59" s="610"/>
      <c r="E59" s="610"/>
      <c r="F59" s="610"/>
      <c r="G59" s="610"/>
      <c r="H59" s="610"/>
      <c r="I59" s="610"/>
      <c r="J59" s="610"/>
      <c r="L59" s="610"/>
      <c r="M59" s="610"/>
      <c r="N59" s="610"/>
      <c r="O59" s="610"/>
      <c r="P59" s="610"/>
      <c r="Q59" s="610"/>
      <c r="R59" s="610"/>
      <c r="S59" s="610"/>
      <c r="T59" s="610"/>
      <c r="U59" s="610"/>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BF59" s="608"/>
      <c r="BG59" s="614"/>
      <c r="BH59" s="614"/>
      <c r="BK59" s="608"/>
      <c r="BL59" s="614"/>
      <c r="BM59" s="614"/>
    </row>
    <row r="60" spans="2:65" s="609" customFormat="1">
      <c r="B60" s="610"/>
      <c r="C60" s="610"/>
      <c r="D60" s="610"/>
      <c r="E60" s="610"/>
      <c r="F60" s="610"/>
      <c r="G60" s="610"/>
      <c r="H60" s="610"/>
      <c r="I60" s="610"/>
      <c r="J60" s="610"/>
      <c r="L60" s="610"/>
      <c r="M60" s="610"/>
      <c r="N60" s="610"/>
      <c r="O60" s="610"/>
      <c r="P60" s="610"/>
      <c r="Q60" s="610"/>
      <c r="R60" s="610"/>
      <c r="S60" s="610"/>
      <c r="T60" s="610"/>
      <c r="U60" s="610"/>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BF60" s="608"/>
      <c r="BG60" s="614"/>
      <c r="BH60" s="614"/>
      <c r="BK60" s="608"/>
      <c r="BL60" s="614"/>
      <c r="BM60" s="614"/>
    </row>
    <row r="61" spans="2:65" s="609" customFormat="1">
      <c r="B61" s="610"/>
      <c r="C61" s="610"/>
      <c r="D61" s="610"/>
      <c r="E61" s="610"/>
      <c r="F61" s="610"/>
      <c r="G61" s="610"/>
      <c r="H61" s="610"/>
      <c r="I61" s="610"/>
      <c r="J61" s="610"/>
      <c r="L61" s="610"/>
      <c r="M61" s="610"/>
      <c r="N61" s="610"/>
      <c r="O61" s="610"/>
      <c r="P61" s="610"/>
      <c r="Q61" s="610"/>
      <c r="R61" s="610"/>
      <c r="S61" s="610"/>
      <c r="T61" s="610"/>
      <c r="U61" s="610"/>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BF61" s="608"/>
      <c r="BG61" s="614"/>
      <c r="BH61" s="614"/>
      <c r="BK61" s="608"/>
      <c r="BL61" s="614"/>
      <c r="BM61" s="614"/>
    </row>
    <row r="62" spans="2:65" s="609" customFormat="1">
      <c r="B62" s="610"/>
      <c r="C62" s="610"/>
      <c r="D62" s="610"/>
      <c r="E62" s="610"/>
      <c r="F62" s="610"/>
      <c r="G62" s="610"/>
      <c r="H62" s="610"/>
      <c r="I62" s="610"/>
      <c r="J62" s="610"/>
      <c r="L62" s="610"/>
      <c r="M62" s="610"/>
      <c r="N62" s="610"/>
      <c r="O62" s="610"/>
      <c r="P62" s="610"/>
      <c r="Q62" s="610"/>
      <c r="R62" s="610"/>
      <c r="S62" s="610"/>
      <c r="T62" s="610"/>
      <c r="U62" s="610"/>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BF62" s="608"/>
      <c r="BG62" s="614"/>
      <c r="BH62" s="614"/>
      <c r="BK62" s="608"/>
      <c r="BL62" s="614"/>
      <c r="BM62" s="614"/>
    </row>
    <row r="63" spans="2:65" s="609" customFormat="1">
      <c r="B63" s="610"/>
      <c r="C63" s="610"/>
      <c r="D63" s="610"/>
      <c r="E63" s="610"/>
      <c r="F63" s="610"/>
      <c r="G63" s="610"/>
      <c r="H63" s="610"/>
      <c r="I63" s="610"/>
      <c r="J63" s="610"/>
      <c r="L63" s="610"/>
      <c r="M63" s="610"/>
      <c r="N63" s="610"/>
      <c r="O63" s="610"/>
      <c r="P63" s="610"/>
      <c r="Q63" s="610"/>
      <c r="R63" s="610"/>
      <c r="S63" s="610"/>
      <c r="T63" s="610"/>
      <c r="U63" s="610"/>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BF63" s="608"/>
      <c r="BG63" s="614"/>
      <c r="BH63" s="614"/>
      <c r="BK63" s="608"/>
      <c r="BL63" s="614"/>
      <c r="BM63" s="614"/>
    </row>
    <row r="64" spans="2:65" s="609" customFormat="1">
      <c r="B64" s="610"/>
      <c r="C64" s="610"/>
      <c r="D64" s="610"/>
      <c r="E64" s="610"/>
      <c r="F64" s="610"/>
      <c r="G64" s="610"/>
      <c r="H64" s="610"/>
      <c r="I64" s="610"/>
      <c r="J64" s="610"/>
      <c r="L64" s="610"/>
      <c r="M64" s="610"/>
      <c r="N64" s="610"/>
      <c r="O64" s="610"/>
      <c r="P64" s="610"/>
      <c r="Q64" s="610"/>
      <c r="R64" s="610"/>
      <c r="S64" s="610"/>
      <c r="T64" s="610"/>
      <c r="U64" s="610"/>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BF64" s="608"/>
      <c r="BG64" s="614"/>
      <c r="BH64" s="614"/>
      <c r="BK64" s="608"/>
      <c r="BL64" s="614"/>
      <c r="BM64" s="614"/>
    </row>
    <row r="65" spans="2:65" s="609" customFormat="1">
      <c r="B65" s="610"/>
      <c r="C65" s="610"/>
      <c r="D65" s="610"/>
      <c r="E65" s="610"/>
      <c r="F65" s="610"/>
      <c r="G65" s="610"/>
      <c r="H65" s="610"/>
      <c r="I65" s="610"/>
      <c r="J65" s="610"/>
      <c r="L65" s="610"/>
      <c r="M65" s="610"/>
      <c r="N65" s="610"/>
      <c r="O65" s="610"/>
      <c r="P65" s="610"/>
      <c r="Q65" s="610"/>
      <c r="R65" s="610"/>
      <c r="S65" s="610"/>
      <c r="T65" s="610"/>
      <c r="U65" s="610"/>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BF65" s="608"/>
      <c r="BG65" s="614"/>
      <c r="BH65" s="614"/>
      <c r="BK65" s="608"/>
      <c r="BL65" s="614"/>
      <c r="BM65" s="614"/>
    </row>
    <row r="66" spans="2:65" s="609" customFormat="1">
      <c r="B66" s="610"/>
      <c r="C66" s="610"/>
      <c r="D66" s="610"/>
      <c r="E66" s="610"/>
      <c r="F66" s="610"/>
      <c r="G66" s="610"/>
      <c r="H66" s="610"/>
      <c r="I66" s="610"/>
      <c r="J66" s="610"/>
      <c r="L66" s="610"/>
      <c r="M66" s="610"/>
      <c r="N66" s="610"/>
      <c r="O66" s="610"/>
      <c r="P66" s="610"/>
      <c r="Q66" s="610"/>
      <c r="R66" s="610"/>
      <c r="S66" s="610"/>
      <c r="T66" s="610"/>
      <c r="U66" s="610"/>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BF66" s="608"/>
      <c r="BG66" s="614"/>
      <c r="BH66" s="614"/>
      <c r="BK66" s="608"/>
      <c r="BL66" s="614"/>
      <c r="BM66" s="614"/>
    </row>
    <row r="67" spans="2:65" s="609" customFormat="1">
      <c r="B67" s="610"/>
      <c r="C67" s="610"/>
      <c r="D67" s="610"/>
      <c r="E67" s="610"/>
      <c r="F67" s="610"/>
      <c r="G67" s="610"/>
      <c r="H67" s="610"/>
      <c r="I67" s="610"/>
      <c r="J67" s="610"/>
      <c r="L67" s="610"/>
      <c r="M67" s="610"/>
      <c r="N67" s="610"/>
      <c r="O67" s="610"/>
      <c r="P67" s="610"/>
      <c r="Q67" s="610"/>
      <c r="R67" s="610"/>
      <c r="S67" s="610"/>
      <c r="T67" s="610"/>
      <c r="U67" s="610"/>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BF67" s="608"/>
      <c r="BG67" s="614"/>
      <c r="BH67" s="614"/>
      <c r="BK67" s="608"/>
      <c r="BL67" s="614"/>
      <c r="BM67" s="614"/>
    </row>
    <row r="68" spans="2:65" s="609" customFormat="1">
      <c r="B68" s="610"/>
      <c r="C68" s="610"/>
      <c r="D68" s="610"/>
      <c r="E68" s="610"/>
      <c r="F68" s="610"/>
      <c r="G68" s="610"/>
      <c r="H68" s="610"/>
      <c r="I68" s="610"/>
      <c r="J68" s="610"/>
      <c r="L68" s="610"/>
      <c r="M68" s="610"/>
      <c r="N68" s="610"/>
      <c r="O68" s="610"/>
      <c r="P68" s="610"/>
      <c r="Q68" s="610"/>
      <c r="R68" s="610"/>
      <c r="S68" s="610"/>
      <c r="T68" s="610"/>
      <c r="U68" s="610"/>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BF68" s="608"/>
      <c r="BG68" s="614"/>
      <c r="BH68" s="614"/>
      <c r="BK68" s="608"/>
      <c r="BL68" s="614"/>
      <c r="BM68" s="614"/>
    </row>
    <row r="69" spans="2:65" s="609" customFormat="1">
      <c r="B69" s="610"/>
      <c r="C69" s="610"/>
      <c r="D69" s="610"/>
      <c r="E69" s="610"/>
      <c r="F69" s="610"/>
      <c r="G69" s="610"/>
      <c r="H69" s="610"/>
      <c r="I69" s="610"/>
      <c r="J69" s="610"/>
      <c r="L69" s="610"/>
      <c r="M69" s="610"/>
      <c r="N69" s="610"/>
      <c r="O69" s="610"/>
      <c r="P69" s="610"/>
      <c r="Q69" s="610"/>
      <c r="R69" s="610"/>
      <c r="S69" s="610"/>
      <c r="T69" s="610"/>
      <c r="U69" s="610"/>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BF69" s="608"/>
      <c r="BG69" s="614"/>
      <c r="BH69" s="614"/>
      <c r="BK69" s="608"/>
      <c r="BL69" s="614"/>
      <c r="BM69" s="614"/>
    </row>
    <row r="70" spans="2:65" s="609" customFormat="1">
      <c r="B70" s="610"/>
      <c r="C70" s="610"/>
      <c r="D70" s="610"/>
      <c r="E70" s="610"/>
      <c r="F70" s="610"/>
      <c r="G70" s="610"/>
      <c r="H70" s="610"/>
      <c r="I70" s="610"/>
      <c r="J70" s="610"/>
      <c r="L70" s="610"/>
      <c r="M70" s="610"/>
      <c r="N70" s="610"/>
      <c r="O70" s="610"/>
      <c r="P70" s="610"/>
      <c r="Q70" s="610"/>
      <c r="R70" s="610"/>
      <c r="S70" s="610"/>
      <c r="T70" s="610"/>
      <c r="U70" s="610"/>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BF70" s="608"/>
      <c r="BG70" s="614"/>
      <c r="BH70" s="614"/>
      <c r="BK70" s="608"/>
      <c r="BL70" s="614"/>
      <c r="BM70" s="614"/>
    </row>
    <row r="71" spans="2:65" s="609" customFormat="1">
      <c r="B71" s="610"/>
      <c r="C71" s="610"/>
      <c r="D71" s="610"/>
      <c r="E71" s="610"/>
      <c r="F71" s="610"/>
      <c r="G71" s="610"/>
      <c r="H71" s="610"/>
      <c r="I71" s="610"/>
      <c r="J71" s="610"/>
      <c r="L71" s="610"/>
      <c r="M71" s="610"/>
      <c r="N71" s="610"/>
      <c r="O71" s="610"/>
      <c r="P71" s="610"/>
      <c r="Q71" s="610"/>
      <c r="R71" s="610"/>
      <c r="S71" s="610"/>
      <c r="T71" s="610"/>
      <c r="U71" s="610"/>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BF71" s="608"/>
      <c r="BG71" s="614"/>
      <c r="BH71" s="614"/>
      <c r="BK71" s="608"/>
      <c r="BL71" s="614"/>
      <c r="BM71" s="614"/>
    </row>
    <row r="72" spans="2:65" s="609" customFormat="1">
      <c r="B72" s="610"/>
      <c r="C72" s="610"/>
      <c r="D72" s="610"/>
      <c r="E72" s="610"/>
      <c r="F72" s="610"/>
      <c r="G72" s="610"/>
      <c r="H72" s="610"/>
      <c r="I72" s="610"/>
      <c r="J72" s="610"/>
      <c r="L72" s="610"/>
      <c r="M72" s="610"/>
      <c r="N72" s="610"/>
      <c r="O72" s="610"/>
      <c r="P72" s="610"/>
      <c r="Q72" s="610"/>
      <c r="R72" s="610"/>
      <c r="S72" s="610"/>
      <c r="T72" s="610"/>
      <c r="U72" s="610"/>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BF72" s="608"/>
      <c r="BG72" s="614"/>
      <c r="BH72" s="614"/>
      <c r="BK72" s="608"/>
      <c r="BL72" s="614"/>
      <c r="BM72" s="614"/>
    </row>
    <row r="73" spans="2:65" s="609" customFormat="1">
      <c r="B73" s="610"/>
      <c r="C73" s="610"/>
      <c r="D73" s="610"/>
      <c r="E73" s="610"/>
      <c r="F73" s="610"/>
      <c r="G73" s="610"/>
      <c r="H73" s="610"/>
      <c r="I73" s="610"/>
      <c r="J73" s="610"/>
      <c r="L73" s="610"/>
      <c r="M73" s="610"/>
      <c r="N73" s="610"/>
      <c r="O73" s="610"/>
      <c r="P73" s="610"/>
      <c r="Q73" s="610"/>
      <c r="R73" s="610"/>
      <c r="S73" s="610"/>
      <c r="T73" s="610"/>
      <c r="U73" s="610"/>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BF73" s="608"/>
      <c r="BG73" s="614"/>
      <c r="BH73" s="614"/>
      <c r="BK73" s="608"/>
      <c r="BL73" s="614"/>
      <c r="BM73" s="614"/>
    </row>
    <row r="74" spans="2:65" s="609" customFormat="1">
      <c r="B74" s="610"/>
      <c r="C74" s="610"/>
      <c r="D74" s="610"/>
      <c r="E74" s="610"/>
      <c r="F74" s="610"/>
      <c r="G74" s="610"/>
      <c r="H74" s="610"/>
      <c r="I74" s="610"/>
      <c r="J74" s="610"/>
      <c r="L74" s="610"/>
      <c r="M74" s="610"/>
      <c r="N74" s="610"/>
      <c r="O74" s="610"/>
      <c r="P74" s="610"/>
      <c r="Q74" s="610"/>
      <c r="R74" s="610"/>
      <c r="S74" s="610"/>
      <c r="T74" s="610"/>
      <c r="U74" s="610"/>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BF74" s="608"/>
      <c r="BG74" s="614"/>
      <c r="BH74" s="614"/>
      <c r="BK74" s="608"/>
      <c r="BL74" s="614"/>
      <c r="BM74" s="614"/>
    </row>
    <row r="75" spans="2:65" s="609" customFormat="1">
      <c r="B75" s="610"/>
      <c r="C75" s="610"/>
      <c r="D75" s="610"/>
      <c r="E75" s="610"/>
      <c r="F75" s="610"/>
      <c r="G75" s="610"/>
      <c r="H75" s="610"/>
      <c r="I75" s="610"/>
      <c r="J75" s="610"/>
      <c r="L75" s="610"/>
      <c r="M75" s="610"/>
      <c r="N75" s="610"/>
      <c r="O75" s="610"/>
      <c r="P75" s="610"/>
      <c r="Q75" s="610"/>
      <c r="R75" s="610"/>
      <c r="S75" s="610"/>
      <c r="T75" s="610"/>
      <c r="U75" s="610"/>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BF75" s="608"/>
      <c r="BG75" s="614"/>
      <c r="BH75" s="614"/>
      <c r="BK75" s="608"/>
      <c r="BL75" s="614"/>
      <c r="BM75" s="614"/>
    </row>
    <row r="76" spans="2:65" s="609" customFormat="1">
      <c r="B76" s="610"/>
      <c r="C76" s="610"/>
      <c r="D76" s="610"/>
      <c r="E76" s="610"/>
      <c r="F76" s="610"/>
      <c r="G76" s="610"/>
      <c r="H76" s="610"/>
      <c r="I76" s="610"/>
      <c r="J76" s="610"/>
      <c r="L76" s="610"/>
      <c r="M76" s="610"/>
      <c r="N76" s="610"/>
      <c r="O76" s="610"/>
      <c r="P76" s="610"/>
      <c r="Q76" s="610"/>
      <c r="R76" s="610"/>
      <c r="S76" s="610"/>
      <c r="T76" s="610"/>
      <c r="U76" s="610"/>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BF76" s="608"/>
      <c r="BG76" s="614"/>
      <c r="BH76" s="614"/>
      <c r="BK76" s="608"/>
      <c r="BL76" s="614"/>
      <c r="BM76" s="614"/>
    </row>
    <row r="77" spans="2:65" s="609" customFormat="1">
      <c r="B77" s="610"/>
      <c r="C77" s="610"/>
      <c r="D77" s="610"/>
      <c r="E77" s="610"/>
      <c r="F77" s="610"/>
      <c r="G77" s="610"/>
      <c r="H77" s="610"/>
      <c r="I77" s="610"/>
      <c r="J77" s="610"/>
      <c r="L77" s="610"/>
      <c r="M77" s="610"/>
      <c r="N77" s="610"/>
      <c r="O77" s="610"/>
      <c r="P77" s="610"/>
      <c r="Q77" s="610"/>
      <c r="R77" s="610"/>
      <c r="S77" s="610"/>
      <c r="T77" s="610"/>
      <c r="U77" s="610"/>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BF77" s="615"/>
      <c r="BG77" s="614"/>
      <c r="BH77" s="614"/>
      <c r="BK77" s="615"/>
      <c r="BL77" s="614"/>
      <c r="BM77" s="614"/>
    </row>
    <row r="78" spans="2:65" s="609" customFormat="1">
      <c r="B78" s="610"/>
      <c r="C78" s="610"/>
      <c r="D78" s="610"/>
      <c r="E78" s="610"/>
      <c r="F78" s="610"/>
      <c r="G78" s="610"/>
      <c r="H78" s="610"/>
      <c r="I78" s="610"/>
      <c r="J78" s="610"/>
      <c r="L78" s="610"/>
      <c r="M78" s="610"/>
      <c r="N78" s="610"/>
      <c r="O78" s="610"/>
      <c r="P78" s="610"/>
      <c r="Q78" s="610"/>
      <c r="R78" s="610"/>
      <c r="S78" s="610"/>
      <c r="T78" s="610"/>
      <c r="U78" s="610"/>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row>
    <row r="79" spans="2:65" s="609" customFormat="1">
      <c r="B79" s="610"/>
      <c r="C79" s="610"/>
      <c r="D79" s="610"/>
      <c r="E79" s="610"/>
      <c r="F79" s="610"/>
      <c r="G79" s="610"/>
      <c r="H79" s="610"/>
      <c r="I79" s="610"/>
      <c r="J79" s="610"/>
      <c r="L79" s="610"/>
      <c r="M79" s="610"/>
      <c r="N79" s="610"/>
      <c r="O79" s="610"/>
      <c r="P79" s="610"/>
      <c r="Q79" s="610"/>
      <c r="R79" s="610"/>
      <c r="S79" s="610"/>
      <c r="T79" s="610"/>
      <c r="U79" s="610"/>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row>
    <row r="80" spans="2:65" s="609" customFormat="1">
      <c r="B80" s="610"/>
      <c r="C80" s="610"/>
      <c r="D80" s="610"/>
      <c r="E80" s="610"/>
      <c r="F80" s="610"/>
      <c r="G80" s="610"/>
      <c r="H80" s="610"/>
      <c r="I80" s="610"/>
      <c r="J80" s="610"/>
      <c r="L80" s="610"/>
      <c r="M80" s="610"/>
      <c r="N80" s="610"/>
      <c r="O80" s="610"/>
      <c r="P80" s="610"/>
      <c r="Q80" s="610"/>
      <c r="R80" s="610"/>
      <c r="S80" s="610"/>
      <c r="T80" s="610"/>
      <c r="U80" s="610"/>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row>
    <row r="81" spans="2:43" s="609" customFormat="1">
      <c r="B81" s="610"/>
      <c r="C81" s="610"/>
      <c r="D81" s="610"/>
      <c r="E81" s="610"/>
      <c r="F81" s="610"/>
      <c r="G81" s="610"/>
      <c r="H81" s="610"/>
      <c r="I81" s="610"/>
      <c r="J81" s="610"/>
      <c r="L81" s="610"/>
      <c r="M81" s="610"/>
      <c r="N81" s="610"/>
      <c r="O81" s="610"/>
      <c r="P81" s="610"/>
      <c r="Q81" s="610"/>
      <c r="R81" s="610"/>
      <c r="S81" s="610"/>
      <c r="T81" s="610"/>
      <c r="U81" s="610"/>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row>
    <row r="82" spans="2:43" s="609" customFormat="1">
      <c r="B82" s="610"/>
      <c r="C82" s="610"/>
      <c r="D82" s="610"/>
      <c r="E82" s="610"/>
      <c r="F82" s="610"/>
      <c r="G82" s="610"/>
      <c r="H82" s="610"/>
      <c r="I82" s="610"/>
      <c r="J82" s="610"/>
      <c r="L82" s="610"/>
      <c r="M82" s="610"/>
      <c r="N82" s="610"/>
      <c r="O82" s="610"/>
      <c r="P82" s="610"/>
      <c r="Q82" s="610"/>
      <c r="R82" s="610"/>
      <c r="S82" s="610"/>
      <c r="T82" s="610"/>
      <c r="U82" s="610"/>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row>
    <row r="83" spans="2:43" s="609" customFormat="1">
      <c r="B83" s="610"/>
      <c r="C83" s="610"/>
      <c r="D83" s="610"/>
      <c r="E83" s="610"/>
      <c r="F83" s="610"/>
      <c r="G83" s="610"/>
      <c r="H83" s="610"/>
      <c r="I83" s="610"/>
      <c r="J83" s="610"/>
      <c r="L83" s="610"/>
      <c r="M83" s="610"/>
      <c r="N83" s="610"/>
      <c r="O83" s="610"/>
      <c r="P83" s="610"/>
      <c r="Q83" s="610"/>
      <c r="R83" s="610"/>
      <c r="S83" s="610"/>
      <c r="T83" s="610"/>
      <c r="U83" s="610"/>
      <c r="V83" s="610"/>
      <c r="W83" s="610"/>
      <c r="X83" s="610"/>
      <c r="Y83" s="610"/>
      <c r="Z83" s="610"/>
      <c r="AA83" s="610"/>
      <c r="AB83" s="610"/>
      <c r="AC83" s="610"/>
      <c r="AD83" s="610"/>
      <c r="AE83" s="610"/>
      <c r="AF83" s="610"/>
      <c r="AG83" s="610"/>
      <c r="AH83" s="610"/>
      <c r="AI83" s="610"/>
      <c r="AJ83" s="610"/>
      <c r="AK83" s="610"/>
      <c r="AL83" s="610"/>
      <c r="AM83" s="610"/>
      <c r="AN83" s="610"/>
      <c r="AO83" s="610"/>
      <c r="AP83" s="610"/>
      <c r="AQ83" s="610"/>
    </row>
    <row r="84" spans="2:43" s="609" customFormat="1">
      <c r="B84" s="610"/>
      <c r="C84" s="610"/>
      <c r="D84" s="610"/>
      <c r="E84" s="610"/>
      <c r="F84" s="610"/>
      <c r="G84" s="610"/>
      <c r="H84" s="610"/>
      <c r="I84" s="610"/>
      <c r="J84" s="610"/>
      <c r="L84" s="610"/>
      <c r="M84" s="610"/>
      <c r="N84" s="610"/>
      <c r="O84" s="610"/>
      <c r="P84" s="610"/>
      <c r="Q84" s="610"/>
      <c r="R84" s="610"/>
      <c r="S84" s="610"/>
      <c r="T84" s="610"/>
      <c r="U84" s="610"/>
      <c r="V84" s="610"/>
      <c r="W84" s="610"/>
      <c r="X84" s="610"/>
      <c r="Y84" s="610"/>
      <c r="Z84" s="610"/>
      <c r="AA84" s="610"/>
      <c r="AB84" s="610"/>
      <c r="AC84" s="610"/>
      <c r="AD84" s="610"/>
      <c r="AE84" s="610"/>
      <c r="AF84" s="610"/>
      <c r="AG84" s="610"/>
      <c r="AH84" s="610"/>
      <c r="AI84" s="610"/>
      <c r="AJ84" s="610"/>
      <c r="AK84" s="610"/>
      <c r="AL84" s="610"/>
      <c r="AM84" s="610"/>
      <c r="AN84" s="610"/>
      <c r="AO84" s="610"/>
      <c r="AP84" s="610"/>
      <c r="AQ84" s="610"/>
    </row>
    <row r="85" spans="2:43" s="609" customFormat="1">
      <c r="B85" s="610"/>
      <c r="C85" s="610"/>
      <c r="D85" s="610"/>
      <c r="E85" s="610"/>
      <c r="F85" s="610"/>
      <c r="G85" s="610"/>
      <c r="H85" s="610"/>
      <c r="I85" s="610"/>
      <c r="J85" s="610"/>
      <c r="L85" s="610"/>
      <c r="M85" s="610"/>
      <c r="N85" s="610"/>
      <c r="O85" s="610"/>
      <c r="P85" s="610"/>
      <c r="Q85" s="610"/>
      <c r="R85" s="610"/>
      <c r="S85" s="610"/>
      <c r="T85" s="610"/>
      <c r="U85" s="610"/>
      <c r="V85" s="610"/>
      <c r="W85" s="610"/>
      <c r="X85" s="610"/>
      <c r="Y85" s="610"/>
      <c r="Z85" s="610"/>
      <c r="AA85" s="610"/>
      <c r="AB85" s="610"/>
      <c r="AC85" s="610"/>
      <c r="AD85" s="610"/>
      <c r="AE85" s="610"/>
      <c r="AF85" s="610"/>
      <c r="AG85" s="610"/>
      <c r="AH85" s="610"/>
      <c r="AI85" s="610"/>
      <c r="AJ85" s="610"/>
      <c r="AK85" s="610"/>
      <c r="AL85" s="610"/>
      <c r="AM85" s="610"/>
      <c r="AN85" s="610"/>
      <c r="AO85" s="610"/>
      <c r="AP85" s="610"/>
      <c r="AQ85" s="610"/>
    </row>
    <row r="86" spans="2:43" s="609" customFormat="1">
      <c r="B86" s="610"/>
      <c r="C86" s="610"/>
      <c r="D86" s="610"/>
      <c r="E86" s="610"/>
      <c r="F86" s="610"/>
      <c r="G86" s="610"/>
      <c r="H86" s="610"/>
      <c r="I86" s="610"/>
      <c r="J86" s="610"/>
      <c r="L86" s="610"/>
      <c r="M86" s="610"/>
      <c r="N86" s="610"/>
      <c r="O86" s="610"/>
      <c r="P86" s="610"/>
      <c r="Q86" s="610"/>
      <c r="R86" s="610"/>
      <c r="S86" s="610"/>
      <c r="T86" s="610"/>
      <c r="U86" s="610"/>
      <c r="V86" s="610"/>
      <c r="W86" s="610"/>
      <c r="X86" s="610"/>
      <c r="Y86" s="610"/>
      <c r="Z86" s="610"/>
      <c r="AA86" s="610"/>
      <c r="AB86" s="610"/>
      <c r="AC86" s="610"/>
      <c r="AD86" s="610"/>
      <c r="AE86" s="610"/>
      <c r="AF86" s="610"/>
      <c r="AG86" s="610"/>
      <c r="AH86" s="610"/>
      <c r="AI86" s="610"/>
      <c r="AJ86" s="610"/>
      <c r="AK86" s="610"/>
      <c r="AL86" s="610"/>
      <c r="AM86" s="610"/>
      <c r="AN86" s="610"/>
      <c r="AO86" s="610"/>
      <c r="AP86" s="610"/>
      <c r="AQ86" s="610"/>
    </row>
    <row r="87" spans="2:43" s="609" customFormat="1">
      <c r="B87" s="610"/>
      <c r="C87" s="610"/>
      <c r="D87" s="610"/>
      <c r="E87" s="610"/>
      <c r="F87" s="610"/>
      <c r="G87" s="610"/>
      <c r="H87" s="610"/>
      <c r="I87" s="610"/>
      <c r="J87" s="610"/>
      <c r="L87" s="610"/>
      <c r="M87" s="610"/>
      <c r="N87" s="610"/>
      <c r="O87" s="610"/>
      <c r="P87" s="610"/>
      <c r="Q87" s="610"/>
      <c r="R87" s="610"/>
      <c r="S87" s="610"/>
      <c r="T87" s="610"/>
      <c r="U87" s="610"/>
      <c r="V87" s="610"/>
      <c r="W87" s="610"/>
      <c r="X87" s="610"/>
      <c r="Y87" s="610"/>
      <c r="Z87" s="610"/>
      <c r="AA87" s="610"/>
      <c r="AB87" s="610"/>
      <c r="AC87" s="610"/>
      <c r="AD87" s="610"/>
      <c r="AE87" s="610"/>
      <c r="AF87" s="610"/>
      <c r="AG87" s="610"/>
      <c r="AH87" s="610"/>
      <c r="AI87" s="610"/>
      <c r="AJ87" s="610"/>
      <c r="AK87" s="610"/>
      <c r="AL87" s="610"/>
      <c r="AM87" s="610"/>
      <c r="AN87" s="610"/>
      <c r="AO87" s="610"/>
      <c r="AP87" s="610"/>
      <c r="AQ87" s="610"/>
    </row>
    <row r="88" spans="2:43" s="609" customFormat="1">
      <c r="B88" s="610"/>
      <c r="C88" s="610"/>
      <c r="D88" s="610"/>
      <c r="E88" s="610"/>
      <c r="F88" s="610"/>
      <c r="G88" s="610"/>
      <c r="H88" s="610"/>
      <c r="I88" s="610"/>
      <c r="J88" s="610"/>
      <c r="L88" s="610"/>
      <c r="M88" s="610"/>
      <c r="N88" s="610"/>
      <c r="O88" s="610"/>
      <c r="P88" s="610"/>
      <c r="Q88" s="610"/>
      <c r="R88" s="610"/>
      <c r="S88" s="610"/>
      <c r="T88" s="610"/>
      <c r="U88" s="610"/>
      <c r="V88" s="610"/>
      <c r="W88" s="610"/>
      <c r="X88" s="610"/>
      <c r="Y88" s="610"/>
      <c r="Z88" s="610"/>
      <c r="AA88" s="610"/>
      <c r="AB88" s="610"/>
      <c r="AC88" s="610"/>
      <c r="AD88" s="610"/>
      <c r="AE88" s="610"/>
      <c r="AF88" s="610"/>
      <c r="AG88" s="610"/>
      <c r="AH88" s="610"/>
      <c r="AI88" s="610"/>
      <c r="AJ88" s="610"/>
      <c r="AK88" s="610"/>
      <c r="AL88" s="610"/>
      <c r="AM88" s="610"/>
      <c r="AN88" s="610"/>
      <c r="AO88" s="610"/>
      <c r="AP88" s="610"/>
      <c r="AQ88" s="610"/>
    </row>
    <row r="89" spans="2:43" s="609" customFormat="1">
      <c r="B89" s="610"/>
      <c r="C89" s="610"/>
      <c r="D89" s="610"/>
      <c r="E89" s="610"/>
      <c r="F89" s="610"/>
      <c r="G89" s="610"/>
      <c r="H89" s="610"/>
      <c r="I89" s="610"/>
      <c r="J89" s="610"/>
      <c r="L89" s="610"/>
      <c r="M89" s="610"/>
      <c r="N89" s="610"/>
      <c r="O89" s="610"/>
      <c r="P89" s="610"/>
      <c r="Q89" s="610"/>
      <c r="R89" s="610"/>
      <c r="S89" s="610"/>
      <c r="T89" s="610"/>
      <c r="U89" s="610"/>
      <c r="V89" s="610"/>
      <c r="W89" s="610"/>
      <c r="X89" s="610"/>
      <c r="Y89" s="610"/>
      <c r="Z89" s="610"/>
      <c r="AA89" s="610"/>
      <c r="AB89" s="610"/>
      <c r="AC89" s="610"/>
      <c r="AD89" s="610"/>
      <c r="AE89" s="610"/>
      <c r="AF89" s="610"/>
      <c r="AG89" s="610"/>
      <c r="AH89" s="610"/>
      <c r="AI89" s="610"/>
      <c r="AJ89" s="610"/>
      <c r="AK89" s="610"/>
      <c r="AL89" s="610"/>
      <c r="AM89" s="610"/>
      <c r="AN89" s="610"/>
      <c r="AO89" s="610"/>
      <c r="AP89" s="610"/>
      <c r="AQ89" s="610"/>
    </row>
    <row r="90" spans="2:43" s="609" customFormat="1">
      <c r="B90" s="610"/>
      <c r="C90" s="610"/>
      <c r="D90" s="610"/>
      <c r="E90" s="610"/>
      <c r="F90" s="610"/>
      <c r="G90" s="610"/>
      <c r="H90" s="610"/>
      <c r="I90" s="610"/>
      <c r="J90" s="610"/>
      <c r="L90" s="610"/>
      <c r="M90" s="610"/>
      <c r="N90" s="610"/>
      <c r="O90" s="610"/>
      <c r="P90" s="610"/>
      <c r="Q90" s="610"/>
      <c r="R90" s="610"/>
      <c r="S90" s="610"/>
      <c r="T90" s="610"/>
      <c r="U90" s="610"/>
      <c r="V90" s="610"/>
      <c r="W90" s="610"/>
      <c r="X90" s="610"/>
      <c r="Y90" s="610"/>
      <c r="Z90" s="610"/>
      <c r="AA90" s="610"/>
      <c r="AB90" s="610"/>
      <c r="AC90" s="610"/>
      <c r="AD90" s="610"/>
      <c r="AE90" s="610"/>
      <c r="AF90" s="610"/>
      <c r="AG90" s="610"/>
      <c r="AH90" s="610"/>
      <c r="AI90" s="610"/>
      <c r="AJ90" s="610"/>
      <c r="AK90" s="610"/>
      <c r="AL90" s="610"/>
      <c r="AM90" s="610"/>
      <c r="AN90" s="610"/>
      <c r="AO90" s="610"/>
      <c r="AP90" s="610"/>
      <c r="AQ90" s="610"/>
    </row>
    <row r="91" spans="2:43" s="609" customFormat="1">
      <c r="B91" s="610"/>
      <c r="C91" s="610"/>
      <c r="D91" s="610"/>
      <c r="E91" s="610"/>
      <c r="F91" s="610"/>
      <c r="G91" s="610"/>
      <c r="H91" s="610"/>
      <c r="I91" s="610"/>
      <c r="J91" s="610"/>
      <c r="L91" s="610"/>
      <c r="M91" s="610"/>
      <c r="N91" s="610"/>
      <c r="O91" s="610"/>
      <c r="P91" s="610"/>
      <c r="Q91" s="610"/>
      <c r="R91" s="610"/>
      <c r="S91" s="610"/>
      <c r="T91" s="610"/>
      <c r="U91" s="610"/>
      <c r="V91" s="610"/>
      <c r="W91" s="610"/>
      <c r="X91" s="610"/>
      <c r="Y91" s="610"/>
      <c r="Z91" s="610"/>
      <c r="AA91" s="610"/>
      <c r="AB91" s="610"/>
      <c r="AC91" s="610"/>
      <c r="AD91" s="610"/>
      <c r="AE91" s="610"/>
      <c r="AF91" s="610"/>
      <c r="AG91" s="610"/>
      <c r="AH91" s="610"/>
      <c r="AI91" s="610"/>
      <c r="AJ91" s="610"/>
      <c r="AK91" s="610"/>
      <c r="AL91" s="610"/>
      <c r="AM91" s="610"/>
      <c r="AN91" s="610"/>
      <c r="AO91" s="610"/>
      <c r="AP91" s="610"/>
      <c r="AQ91" s="610"/>
    </row>
    <row r="92" spans="2:43" s="609" customFormat="1">
      <c r="B92" s="610"/>
      <c r="C92" s="610"/>
      <c r="D92" s="610"/>
      <c r="E92" s="610"/>
      <c r="F92" s="610"/>
      <c r="G92" s="610"/>
      <c r="H92" s="610"/>
      <c r="I92" s="610"/>
      <c r="J92" s="610"/>
      <c r="L92" s="610"/>
      <c r="M92" s="610"/>
      <c r="N92" s="610"/>
      <c r="O92" s="610"/>
      <c r="P92" s="610"/>
      <c r="Q92" s="610"/>
      <c r="R92" s="610"/>
      <c r="S92" s="610"/>
      <c r="T92" s="610"/>
      <c r="U92" s="610"/>
      <c r="V92" s="610"/>
      <c r="W92" s="610"/>
      <c r="X92" s="610"/>
      <c r="Y92" s="610"/>
      <c r="Z92" s="610"/>
      <c r="AA92" s="610"/>
      <c r="AB92" s="610"/>
      <c r="AC92" s="610"/>
      <c r="AD92" s="610"/>
      <c r="AE92" s="610"/>
      <c r="AF92" s="610"/>
      <c r="AG92" s="610"/>
      <c r="AH92" s="610"/>
      <c r="AI92" s="610"/>
      <c r="AJ92" s="610"/>
      <c r="AK92" s="610"/>
      <c r="AL92" s="610"/>
      <c r="AM92" s="610"/>
      <c r="AN92" s="610"/>
      <c r="AO92" s="610"/>
      <c r="AP92" s="610"/>
      <c r="AQ92" s="610"/>
    </row>
    <row r="93" spans="2:43" s="609" customFormat="1">
      <c r="B93" s="610"/>
      <c r="C93" s="610"/>
      <c r="D93" s="610"/>
      <c r="E93" s="610"/>
      <c r="F93" s="610"/>
      <c r="G93" s="610"/>
      <c r="H93" s="610"/>
      <c r="I93" s="610"/>
      <c r="J93" s="610"/>
      <c r="L93" s="610"/>
      <c r="M93" s="610"/>
      <c r="N93" s="610"/>
      <c r="O93" s="610"/>
      <c r="P93" s="610"/>
      <c r="Q93" s="610"/>
      <c r="R93" s="610"/>
      <c r="S93" s="610"/>
      <c r="T93" s="610"/>
      <c r="U93" s="610"/>
      <c r="V93" s="610"/>
      <c r="W93" s="610"/>
      <c r="X93" s="610"/>
      <c r="Y93" s="610"/>
      <c r="Z93" s="610"/>
      <c r="AA93" s="610"/>
      <c r="AB93" s="610"/>
      <c r="AC93" s="610"/>
      <c r="AD93" s="610"/>
      <c r="AE93" s="610"/>
      <c r="AF93" s="610"/>
      <c r="AG93" s="610"/>
      <c r="AH93" s="610"/>
      <c r="AI93" s="610"/>
      <c r="AJ93" s="610"/>
      <c r="AK93" s="610"/>
      <c r="AL93" s="610"/>
      <c r="AM93" s="610"/>
      <c r="AN93" s="610"/>
      <c r="AO93" s="610"/>
      <c r="AP93" s="610"/>
      <c r="AQ93" s="610"/>
    </row>
    <row r="94" spans="2:43" s="609" customFormat="1">
      <c r="B94" s="610"/>
      <c r="C94" s="610"/>
      <c r="D94" s="610"/>
      <c r="E94" s="610"/>
      <c r="F94" s="610"/>
      <c r="G94" s="610"/>
      <c r="H94" s="610"/>
      <c r="I94" s="610"/>
      <c r="J94" s="610"/>
      <c r="L94" s="610"/>
      <c r="M94" s="610"/>
      <c r="N94" s="610"/>
      <c r="O94" s="610"/>
      <c r="P94" s="610"/>
      <c r="Q94" s="610"/>
      <c r="R94" s="610"/>
      <c r="S94" s="610"/>
      <c r="T94" s="610"/>
      <c r="U94" s="610"/>
      <c r="V94" s="610"/>
      <c r="W94" s="610"/>
      <c r="X94" s="610"/>
      <c r="Y94" s="610"/>
      <c r="Z94" s="610"/>
      <c r="AA94" s="610"/>
      <c r="AB94" s="610"/>
      <c r="AC94" s="610"/>
      <c r="AD94" s="610"/>
      <c r="AE94" s="610"/>
      <c r="AF94" s="610"/>
      <c r="AG94" s="610"/>
      <c r="AH94" s="610"/>
      <c r="AI94" s="610"/>
      <c r="AJ94" s="610"/>
      <c r="AK94" s="610"/>
      <c r="AL94" s="610"/>
      <c r="AM94" s="610"/>
      <c r="AN94" s="610"/>
      <c r="AO94" s="610"/>
      <c r="AP94" s="610"/>
      <c r="AQ94" s="610"/>
    </row>
    <row r="95" spans="2:43" s="609" customFormat="1">
      <c r="B95" s="610"/>
      <c r="C95" s="610"/>
      <c r="D95" s="610"/>
      <c r="E95" s="610"/>
      <c r="F95" s="610"/>
      <c r="G95" s="610"/>
      <c r="H95" s="610"/>
      <c r="I95" s="610"/>
      <c r="J95" s="610"/>
      <c r="L95" s="610"/>
      <c r="M95" s="610"/>
      <c r="N95" s="610"/>
      <c r="O95" s="610"/>
      <c r="P95" s="610"/>
      <c r="Q95" s="610"/>
      <c r="R95" s="610"/>
      <c r="S95" s="610"/>
      <c r="T95" s="610"/>
      <c r="U95" s="610"/>
      <c r="V95" s="610"/>
      <c r="W95" s="610"/>
      <c r="X95" s="610"/>
      <c r="Y95" s="610"/>
      <c r="Z95" s="610"/>
      <c r="AA95" s="610"/>
      <c r="AB95" s="610"/>
      <c r="AC95" s="610"/>
      <c r="AD95" s="610"/>
      <c r="AE95" s="610"/>
      <c r="AF95" s="610"/>
      <c r="AG95" s="610"/>
      <c r="AH95" s="610"/>
      <c r="AI95" s="610"/>
      <c r="AJ95" s="610"/>
      <c r="AK95" s="610"/>
      <c r="AL95" s="610"/>
      <c r="AM95" s="610"/>
      <c r="AN95" s="610"/>
      <c r="AO95" s="610"/>
      <c r="AP95" s="610"/>
      <c r="AQ95" s="610"/>
    </row>
    <row r="96" spans="2:43" s="609" customFormat="1">
      <c r="B96" s="610"/>
      <c r="C96" s="610"/>
      <c r="D96" s="610"/>
      <c r="E96" s="610"/>
      <c r="F96" s="610"/>
      <c r="G96" s="610"/>
      <c r="H96" s="610"/>
      <c r="I96" s="610"/>
      <c r="J96" s="610"/>
      <c r="L96" s="610"/>
      <c r="M96" s="610"/>
      <c r="N96" s="610"/>
      <c r="O96" s="610"/>
      <c r="P96" s="610"/>
      <c r="Q96" s="610"/>
      <c r="R96" s="610"/>
      <c r="S96" s="610"/>
      <c r="T96" s="610"/>
      <c r="U96" s="610"/>
      <c r="V96" s="610"/>
      <c r="W96" s="610"/>
      <c r="X96" s="610"/>
      <c r="Y96" s="610"/>
      <c r="Z96" s="610"/>
      <c r="AA96" s="610"/>
      <c r="AB96" s="610"/>
      <c r="AC96" s="610"/>
      <c r="AD96" s="610"/>
      <c r="AE96" s="610"/>
      <c r="AF96" s="610"/>
      <c r="AG96" s="610"/>
      <c r="AH96" s="610"/>
      <c r="AI96" s="610"/>
      <c r="AJ96" s="610"/>
      <c r="AK96" s="610"/>
      <c r="AL96" s="610"/>
      <c r="AM96" s="610"/>
      <c r="AN96" s="610"/>
      <c r="AO96" s="610"/>
      <c r="AP96" s="610"/>
      <c r="AQ96" s="610"/>
    </row>
    <row r="97" spans="2:43" s="609" customFormat="1">
      <c r="B97" s="610"/>
      <c r="C97" s="610"/>
      <c r="D97" s="610"/>
      <c r="E97" s="610"/>
      <c r="F97" s="610"/>
      <c r="G97" s="610"/>
      <c r="H97" s="610"/>
      <c r="I97" s="610"/>
      <c r="J97" s="610"/>
      <c r="L97" s="610"/>
      <c r="M97" s="610"/>
      <c r="N97" s="610"/>
      <c r="O97" s="610"/>
      <c r="P97" s="610"/>
      <c r="Q97" s="610"/>
      <c r="R97" s="610"/>
      <c r="S97" s="610"/>
      <c r="T97" s="610"/>
      <c r="U97" s="610"/>
      <c r="V97" s="610"/>
      <c r="W97" s="610"/>
      <c r="X97" s="610"/>
      <c r="Y97" s="610"/>
      <c r="Z97" s="610"/>
      <c r="AA97" s="610"/>
      <c r="AB97" s="610"/>
      <c r="AC97" s="610"/>
      <c r="AD97" s="610"/>
      <c r="AE97" s="610"/>
      <c r="AF97" s="610"/>
      <c r="AG97" s="610"/>
      <c r="AH97" s="610"/>
      <c r="AI97" s="610"/>
      <c r="AJ97" s="610"/>
      <c r="AK97" s="610"/>
      <c r="AL97" s="610"/>
      <c r="AM97" s="610"/>
      <c r="AN97" s="610"/>
      <c r="AO97" s="610"/>
      <c r="AP97" s="610"/>
      <c r="AQ97" s="610"/>
    </row>
    <row r="98" spans="2:43" s="609" customFormat="1">
      <c r="B98" s="610"/>
      <c r="C98" s="610"/>
      <c r="D98" s="610"/>
      <c r="E98" s="610"/>
      <c r="F98" s="610"/>
      <c r="G98" s="610"/>
      <c r="H98" s="610"/>
      <c r="I98" s="610"/>
      <c r="J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c r="AN98" s="610"/>
      <c r="AO98" s="610"/>
      <c r="AP98" s="610"/>
      <c r="AQ98" s="610"/>
    </row>
    <row r="99" spans="2:43" s="609" customFormat="1">
      <c r="B99" s="610"/>
      <c r="C99" s="610"/>
      <c r="D99" s="610"/>
      <c r="E99" s="610"/>
      <c r="F99" s="610"/>
      <c r="G99" s="610"/>
      <c r="H99" s="610"/>
      <c r="I99" s="610"/>
      <c r="J99" s="610"/>
      <c r="L99" s="610"/>
      <c r="M99" s="610"/>
      <c r="N99" s="610"/>
      <c r="O99" s="610"/>
      <c r="P99" s="610"/>
      <c r="Q99" s="610"/>
      <c r="R99" s="610"/>
      <c r="S99" s="610"/>
      <c r="T99" s="610"/>
      <c r="U99" s="610"/>
      <c r="V99" s="610"/>
      <c r="W99" s="610"/>
      <c r="X99" s="610"/>
      <c r="Y99" s="610"/>
      <c r="Z99" s="610"/>
      <c r="AA99" s="610"/>
      <c r="AB99" s="610"/>
      <c r="AC99" s="610"/>
      <c r="AD99" s="610"/>
      <c r="AE99" s="610"/>
      <c r="AF99" s="610"/>
      <c r="AG99" s="610"/>
      <c r="AH99" s="610"/>
      <c r="AI99" s="610"/>
      <c r="AJ99" s="610"/>
      <c r="AK99" s="610"/>
      <c r="AL99" s="610"/>
      <c r="AM99" s="610"/>
      <c r="AN99" s="610"/>
      <c r="AO99" s="610"/>
      <c r="AP99" s="610"/>
      <c r="AQ99" s="610"/>
    </row>
    <row r="100" spans="2:43" s="609" customFormat="1">
      <c r="B100" s="610"/>
      <c r="C100" s="610"/>
      <c r="D100" s="610"/>
      <c r="E100" s="610"/>
      <c r="F100" s="610"/>
      <c r="G100" s="610"/>
      <c r="H100" s="610"/>
      <c r="I100" s="610"/>
      <c r="J100" s="610"/>
      <c r="L100" s="610"/>
      <c r="M100" s="610"/>
      <c r="N100" s="610"/>
      <c r="O100" s="610"/>
      <c r="P100" s="610"/>
      <c r="Q100" s="610"/>
      <c r="R100" s="610"/>
      <c r="S100" s="610"/>
      <c r="T100" s="610"/>
      <c r="U100" s="610"/>
      <c r="V100" s="610"/>
      <c r="W100" s="610"/>
      <c r="X100" s="610"/>
      <c r="Y100" s="610"/>
      <c r="Z100" s="610"/>
      <c r="AA100" s="610"/>
      <c r="AB100" s="610"/>
      <c r="AC100" s="610"/>
      <c r="AD100" s="610"/>
      <c r="AE100" s="610"/>
      <c r="AF100" s="610"/>
      <c r="AG100" s="610"/>
      <c r="AH100" s="610"/>
      <c r="AI100" s="610"/>
      <c r="AJ100" s="610"/>
      <c r="AK100" s="610"/>
      <c r="AL100" s="610"/>
      <c r="AM100" s="610"/>
      <c r="AN100" s="610"/>
      <c r="AO100" s="610"/>
      <c r="AP100" s="610"/>
      <c r="AQ100" s="610"/>
    </row>
    <row r="101" spans="2:43" s="609" customFormat="1">
      <c r="B101" s="610"/>
      <c r="C101" s="610"/>
      <c r="D101" s="610"/>
      <c r="E101" s="610"/>
      <c r="F101" s="610"/>
      <c r="G101" s="610"/>
      <c r="H101" s="610"/>
      <c r="I101" s="610"/>
      <c r="J101" s="610"/>
      <c r="L101" s="610"/>
      <c r="M101" s="610"/>
      <c r="N101" s="610"/>
      <c r="O101" s="610"/>
      <c r="P101" s="610"/>
      <c r="Q101" s="610"/>
      <c r="R101" s="610"/>
      <c r="S101" s="610"/>
      <c r="T101" s="610"/>
      <c r="U101" s="610"/>
      <c r="V101" s="610"/>
      <c r="W101" s="610"/>
      <c r="X101" s="610"/>
      <c r="Y101" s="610"/>
      <c r="Z101" s="610"/>
      <c r="AA101" s="610"/>
      <c r="AB101" s="610"/>
      <c r="AC101" s="610"/>
      <c r="AD101" s="610"/>
      <c r="AE101" s="610"/>
      <c r="AF101" s="610"/>
      <c r="AG101" s="610"/>
      <c r="AH101" s="610"/>
      <c r="AI101" s="610"/>
      <c r="AJ101" s="610"/>
      <c r="AK101" s="610"/>
      <c r="AL101" s="610"/>
      <c r="AM101" s="610"/>
      <c r="AN101" s="610"/>
      <c r="AO101" s="610"/>
      <c r="AP101" s="610"/>
      <c r="AQ101" s="610"/>
    </row>
    <row r="102" spans="2:43" s="609" customFormat="1">
      <c r="B102" s="610"/>
      <c r="C102" s="610"/>
      <c r="D102" s="610"/>
      <c r="E102" s="610"/>
      <c r="F102" s="610"/>
      <c r="G102" s="610"/>
      <c r="H102" s="610"/>
      <c r="I102" s="610"/>
      <c r="J102" s="610"/>
      <c r="L102" s="610"/>
      <c r="M102" s="610"/>
      <c r="N102" s="610"/>
      <c r="O102" s="610"/>
      <c r="P102" s="610"/>
      <c r="Q102" s="610"/>
      <c r="R102" s="610"/>
      <c r="S102" s="610"/>
      <c r="T102" s="610"/>
      <c r="U102" s="610"/>
      <c r="V102" s="610"/>
      <c r="W102" s="610"/>
      <c r="X102" s="610"/>
      <c r="Y102" s="610"/>
      <c r="Z102" s="610"/>
      <c r="AA102" s="610"/>
      <c r="AB102" s="610"/>
      <c r="AC102" s="610"/>
      <c r="AD102" s="610"/>
      <c r="AE102" s="610"/>
      <c r="AF102" s="610"/>
      <c r="AG102" s="610"/>
      <c r="AH102" s="610"/>
      <c r="AI102" s="610"/>
      <c r="AJ102" s="610"/>
      <c r="AK102" s="610"/>
      <c r="AL102" s="610"/>
      <c r="AM102" s="610"/>
      <c r="AN102" s="610"/>
      <c r="AO102" s="610"/>
      <c r="AP102" s="610"/>
      <c r="AQ102" s="610"/>
    </row>
    <row r="103" spans="2:43" s="609" customFormat="1">
      <c r="B103" s="610"/>
      <c r="C103" s="610"/>
      <c r="D103" s="610"/>
      <c r="E103" s="610"/>
      <c r="F103" s="610"/>
      <c r="G103" s="610"/>
      <c r="H103" s="610"/>
      <c r="I103" s="610"/>
      <c r="J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10"/>
      <c r="AN103" s="610"/>
      <c r="AO103" s="610"/>
      <c r="AP103" s="610"/>
      <c r="AQ103" s="610"/>
    </row>
    <row r="104" spans="2:43" s="609" customFormat="1">
      <c r="B104" s="610"/>
      <c r="C104" s="610"/>
      <c r="D104" s="610"/>
      <c r="E104" s="610"/>
      <c r="F104" s="610"/>
      <c r="G104" s="610"/>
      <c r="H104" s="610"/>
      <c r="I104" s="610"/>
      <c r="J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c r="AN104" s="610"/>
      <c r="AO104" s="610"/>
      <c r="AP104" s="610"/>
      <c r="AQ104" s="610"/>
    </row>
    <row r="105" spans="2:43" s="609" customFormat="1">
      <c r="B105" s="610"/>
      <c r="C105" s="610"/>
      <c r="D105" s="610"/>
      <c r="E105" s="610"/>
      <c r="F105" s="610"/>
      <c r="G105" s="610"/>
      <c r="H105" s="610"/>
      <c r="I105" s="610"/>
      <c r="J105" s="610"/>
      <c r="L105" s="610"/>
      <c r="M105" s="610"/>
      <c r="N105" s="610"/>
      <c r="O105" s="610"/>
      <c r="P105" s="610"/>
      <c r="Q105" s="610"/>
      <c r="R105" s="610"/>
      <c r="S105" s="610"/>
      <c r="T105" s="610"/>
      <c r="U105" s="610"/>
      <c r="V105" s="610"/>
      <c r="W105" s="610"/>
      <c r="X105" s="610"/>
      <c r="Y105" s="610"/>
      <c r="Z105" s="610"/>
      <c r="AA105" s="610"/>
      <c r="AB105" s="610"/>
      <c r="AC105" s="610"/>
      <c r="AD105" s="610"/>
      <c r="AE105" s="610"/>
      <c r="AF105" s="610"/>
      <c r="AG105" s="610"/>
      <c r="AH105" s="610"/>
      <c r="AI105" s="610"/>
      <c r="AJ105" s="610"/>
      <c r="AK105" s="610"/>
      <c r="AL105" s="610"/>
      <c r="AM105" s="610"/>
      <c r="AN105" s="610"/>
      <c r="AO105" s="610"/>
      <c r="AP105" s="610"/>
      <c r="AQ105" s="610"/>
    </row>
    <row r="106" spans="2:43" s="609" customFormat="1">
      <c r="B106" s="610"/>
      <c r="C106" s="610"/>
      <c r="D106" s="610"/>
      <c r="E106" s="610"/>
      <c r="F106" s="610"/>
      <c r="G106" s="610"/>
      <c r="H106" s="610"/>
      <c r="I106" s="610"/>
      <c r="J106" s="610"/>
      <c r="L106" s="610"/>
      <c r="M106" s="610"/>
      <c r="N106" s="610"/>
      <c r="O106" s="610"/>
      <c r="P106" s="610"/>
      <c r="Q106" s="610"/>
      <c r="R106" s="610"/>
      <c r="S106" s="610"/>
      <c r="T106" s="610"/>
      <c r="U106" s="610"/>
      <c r="V106" s="610"/>
      <c r="W106" s="610"/>
      <c r="X106" s="610"/>
      <c r="Y106" s="610"/>
      <c r="Z106" s="610"/>
      <c r="AA106" s="610"/>
      <c r="AB106" s="610"/>
      <c r="AC106" s="610"/>
      <c r="AD106" s="610"/>
      <c r="AE106" s="610"/>
      <c r="AF106" s="610"/>
      <c r="AG106" s="610"/>
      <c r="AH106" s="610"/>
      <c r="AI106" s="610"/>
      <c r="AJ106" s="610"/>
      <c r="AK106" s="610"/>
      <c r="AL106" s="610"/>
      <c r="AM106" s="610"/>
      <c r="AN106" s="610"/>
      <c r="AO106" s="610"/>
      <c r="AP106" s="610"/>
      <c r="AQ106" s="610"/>
    </row>
    <row r="107" spans="2:43" s="609" customFormat="1">
      <c r="B107" s="610"/>
      <c r="C107" s="610"/>
      <c r="D107" s="610"/>
      <c r="E107" s="610"/>
      <c r="F107" s="610"/>
      <c r="G107" s="610"/>
      <c r="H107" s="610"/>
      <c r="I107" s="610"/>
      <c r="J107" s="610"/>
      <c r="L107" s="610"/>
      <c r="M107" s="610"/>
      <c r="N107" s="610"/>
      <c r="O107" s="610"/>
      <c r="P107" s="610"/>
      <c r="Q107" s="610"/>
      <c r="R107" s="610"/>
      <c r="S107" s="610"/>
      <c r="T107" s="610"/>
      <c r="U107" s="610"/>
      <c r="V107" s="610"/>
      <c r="W107" s="610"/>
      <c r="X107" s="610"/>
      <c r="Y107" s="610"/>
      <c r="Z107" s="610"/>
      <c r="AA107" s="610"/>
      <c r="AB107" s="610"/>
      <c r="AC107" s="610"/>
      <c r="AD107" s="610"/>
      <c r="AE107" s="610"/>
      <c r="AF107" s="610"/>
      <c r="AG107" s="610"/>
      <c r="AH107" s="610"/>
      <c r="AI107" s="610"/>
      <c r="AJ107" s="610"/>
      <c r="AK107" s="610"/>
      <c r="AL107" s="610"/>
      <c r="AM107" s="610"/>
      <c r="AN107" s="610"/>
      <c r="AO107" s="610"/>
      <c r="AP107" s="610"/>
      <c r="AQ107" s="610"/>
    </row>
    <row r="108" spans="2:43" s="609" customFormat="1">
      <c r="B108" s="610"/>
      <c r="C108" s="610"/>
      <c r="D108" s="610"/>
      <c r="E108" s="610"/>
      <c r="F108" s="610"/>
      <c r="G108" s="610"/>
      <c r="H108" s="610"/>
      <c r="I108" s="610"/>
      <c r="J108" s="610"/>
      <c r="L108" s="610"/>
      <c r="M108" s="610"/>
      <c r="N108" s="610"/>
      <c r="O108" s="610"/>
      <c r="P108" s="610"/>
      <c r="Q108" s="610"/>
      <c r="R108" s="610"/>
      <c r="S108" s="610"/>
      <c r="T108" s="610"/>
      <c r="U108" s="610"/>
      <c r="V108" s="610"/>
      <c r="W108" s="610"/>
      <c r="X108" s="610"/>
      <c r="Y108" s="610"/>
      <c r="Z108" s="610"/>
      <c r="AA108" s="610"/>
      <c r="AB108" s="610"/>
      <c r="AC108" s="610"/>
      <c r="AD108" s="610"/>
      <c r="AE108" s="610"/>
      <c r="AF108" s="610"/>
      <c r="AG108" s="610"/>
      <c r="AH108" s="610"/>
      <c r="AI108" s="610"/>
      <c r="AJ108" s="610"/>
      <c r="AK108" s="610"/>
      <c r="AL108" s="610"/>
      <c r="AM108" s="610"/>
      <c r="AN108" s="610"/>
      <c r="AO108" s="610"/>
      <c r="AP108" s="610"/>
      <c r="AQ108" s="610"/>
    </row>
    <row r="109" spans="2:43" s="609" customFormat="1">
      <c r="B109" s="610"/>
      <c r="C109" s="610"/>
      <c r="D109" s="610"/>
      <c r="E109" s="610"/>
      <c r="F109" s="610"/>
      <c r="G109" s="610"/>
      <c r="H109" s="610"/>
      <c r="I109" s="610"/>
      <c r="J109" s="610"/>
      <c r="L109" s="610"/>
      <c r="M109" s="610"/>
      <c r="N109" s="610"/>
      <c r="O109" s="610"/>
      <c r="P109" s="610"/>
      <c r="Q109" s="610"/>
      <c r="R109" s="610"/>
      <c r="S109" s="610"/>
      <c r="T109" s="610"/>
      <c r="U109" s="610"/>
      <c r="V109" s="610"/>
      <c r="W109" s="610"/>
      <c r="X109" s="610"/>
      <c r="Y109" s="610"/>
      <c r="Z109" s="610"/>
      <c r="AA109" s="610"/>
      <c r="AB109" s="610"/>
      <c r="AC109" s="610"/>
      <c r="AD109" s="610"/>
      <c r="AE109" s="610"/>
      <c r="AF109" s="610"/>
      <c r="AG109" s="610"/>
      <c r="AH109" s="610"/>
      <c r="AI109" s="610"/>
      <c r="AJ109" s="610"/>
      <c r="AK109" s="610"/>
      <c r="AL109" s="610"/>
      <c r="AM109" s="610"/>
      <c r="AN109" s="610"/>
      <c r="AO109" s="610"/>
      <c r="AP109" s="610"/>
      <c r="AQ109" s="610"/>
    </row>
    <row r="110" spans="2:43" s="609" customFormat="1">
      <c r="B110" s="610"/>
      <c r="C110" s="610"/>
      <c r="D110" s="610"/>
      <c r="E110" s="610"/>
      <c r="F110" s="610"/>
      <c r="G110" s="610"/>
      <c r="H110" s="610"/>
      <c r="I110" s="610"/>
      <c r="J110" s="610"/>
      <c r="L110" s="610"/>
      <c r="M110" s="610"/>
      <c r="N110" s="610"/>
      <c r="O110" s="610"/>
      <c r="P110" s="610"/>
      <c r="Q110" s="610"/>
      <c r="R110" s="610"/>
      <c r="S110" s="610"/>
      <c r="T110" s="610"/>
      <c r="U110" s="610"/>
      <c r="V110" s="610"/>
      <c r="W110" s="610"/>
      <c r="X110" s="610"/>
      <c r="Y110" s="610"/>
      <c r="Z110" s="610"/>
      <c r="AA110" s="610"/>
      <c r="AB110" s="610"/>
      <c r="AC110" s="610"/>
      <c r="AD110" s="610"/>
      <c r="AE110" s="610"/>
      <c r="AF110" s="610"/>
      <c r="AG110" s="610"/>
      <c r="AH110" s="610"/>
      <c r="AI110" s="610"/>
      <c r="AJ110" s="610"/>
      <c r="AK110" s="610"/>
      <c r="AL110" s="610"/>
      <c r="AM110" s="610"/>
      <c r="AN110" s="610"/>
      <c r="AO110" s="610"/>
      <c r="AP110" s="610"/>
      <c r="AQ110" s="610"/>
    </row>
    <row r="111" spans="2:43" s="609" customFormat="1">
      <c r="B111" s="610"/>
      <c r="C111" s="610"/>
      <c r="D111" s="610"/>
      <c r="E111" s="610"/>
      <c r="F111" s="610"/>
      <c r="G111" s="610"/>
      <c r="H111" s="610"/>
      <c r="I111" s="610"/>
      <c r="J111" s="610"/>
      <c r="L111" s="610"/>
      <c r="M111" s="610"/>
      <c r="N111" s="610"/>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c r="AN111" s="610"/>
      <c r="AO111" s="610"/>
      <c r="AP111" s="610"/>
      <c r="AQ111" s="610"/>
    </row>
    <row r="112" spans="2:43" s="609" customFormat="1">
      <c r="B112" s="610"/>
      <c r="C112" s="610"/>
      <c r="D112" s="610"/>
      <c r="E112" s="610"/>
      <c r="F112" s="610"/>
      <c r="G112" s="610"/>
      <c r="H112" s="610"/>
      <c r="I112" s="610"/>
      <c r="J112" s="610"/>
      <c r="L112" s="610"/>
      <c r="M112" s="610"/>
      <c r="N112" s="610"/>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c r="AN112" s="610"/>
      <c r="AO112" s="610"/>
      <c r="AP112" s="610"/>
      <c r="AQ112" s="610"/>
    </row>
    <row r="113" spans="2:43" s="609" customFormat="1">
      <c r="B113" s="610"/>
      <c r="C113" s="610"/>
      <c r="D113" s="610"/>
      <c r="E113" s="610"/>
      <c r="F113" s="610"/>
      <c r="G113" s="610"/>
      <c r="H113" s="610"/>
      <c r="I113" s="610"/>
      <c r="J113" s="610"/>
      <c r="L113" s="610"/>
      <c r="M113" s="610"/>
      <c r="N113" s="610"/>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c r="AN113" s="610"/>
      <c r="AO113" s="610"/>
      <c r="AP113" s="610"/>
      <c r="AQ113" s="610"/>
    </row>
    <row r="114" spans="2:43" s="609" customFormat="1">
      <c r="B114" s="610"/>
      <c r="C114" s="610"/>
      <c r="D114" s="610"/>
      <c r="E114" s="610"/>
      <c r="F114" s="610"/>
      <c r="G114" s="610"/>
      <c r="H114" s="610"/>
      <c r="I114" s="610"/>
      <c r="J114" s="610"/>
      <c r="L114" s="610"/>
      <c r="M114" s="610"/>
      <c r="N114" s="610"/>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c r="AN114" s="610"/>
      <c r="AO114" s="610"/>
      <c r="AP114" s="610"/>
      <c r="AQ114" s="610"/>
    </row>
    <row r="115" spans="2:43" s="609" customFormat="1">
      <c r="B115" s="610"/>
      <c r="C115" s="610"/>
      <c r="D115" s="610"/>
      <c r="E115" s="610"/>
      <c r="F115" s="610"/>
      <c r="G115" s="610"/>
      <c r="H115" s="610"/>
      <c r="I115" s="610"/>
      <c r="J115" s="610"/>
      <c r="L115" s="610"/>
      <c r="M115" s="610"/>
      <c r="N115" s="610"/>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c r="AN115" s="610"/>
      <c r="AO115" s="610"/>
      <c r="AP115" s="610"/>
      <c r="AQ115" s="610"/>
    </row>
    <row r="116" spans="2:43" s="609" customFormat="1">
      <c r="B116" s="610"/>
      <c r="C116" s="610"/>
      <c r="D116" s="610"/>
      <c r="E116" s="610"/>
      <c r="F116" s="610"/>
      <c r="G116" s="610"/>
      <c r="H116" s="610"/>
      <c r="I116" s="610"/>
      <c r="J116" s="610"/>
      <c r="L116" s="610"/>
      <c r="M116" s="610"/>
      <c r="N116" s="610"/>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c r="AN116" s="610"/>
      <c r="AO116" s="610"/>
      <c r="AP116" s="610"/>
      <c r="AQ116" s="610"/>
    </row>
    <row r="117" spans="2:43" s="609" customFormat="1">
      <c r="B117" s="610"/>
      <c r="C117" s="610"/>
      <c r="D117" s="610"/>
      <c r="E117" s="610"/>
      <c r="F117" s="610"/>
      <c r="G117" s="610"/>
      <c r="H117" s="610"/>
      <c r="I117" s="610"/>
      <c r="J117" s="610"/>
      <c r="L117" s="610"/>
      <c r="M117" s="610"/>
      <c r="N117" s="610"/>
      <c r="O117" s="610"/>
      <c r="P117" s="610"/>
      <c r="Q117" s="610"/>
      <c r="R117" s="610"/>
      <c r="S117" s="610"/>
      <c r="T117" s="610"/>
      <c r="U117" s="610"/>
      <c r="V117" s="610"/>
      <c r="W117" s="610"/>
      <c r="X117" s="610"/>
      <c r="Y117" s="610"/>
      <c r="Z117" s="610"/>
      <c r="AA117" s="610"/>
      <c r="AB117" s="610"/>
      <c r="AC117" s="610"/>
      <c r="AD117" s="610"/>
      <c r="AE117" s="610"/>
      <c r="AF117" s="610"/>
      <c r="AG117" s="610"/>
      <c r="AH117" s="610"/>
      <c r="AI117" s="610"/>
      <c r="AJ117" s="610"/>
      <c r="AK117" s="610"/>
      <c r="AL117" s="610"/>
      <c r="AM117" s="610"/>
      <c r="AN117" s="610"/>
      <c r="AO117" s="610"/>
      <c r="AP117" s="610"/>
      <c r="AQ117" s="610"/>
    </row>
    <row r="118" spans="2:43" s="609" customFormat="1">
      <c r="B118" s="610"/>
      <c r="C118" s="610"/>
      <c r="D118" s="610"/>
      <c r="E118" s="610"/>
      <c r="F118" s="610"/>
      <c r="G118" s="610"/>
      <c r="H118" s="610"/>
      <c r="I118" s="610"/>
      <c r="J118" s="610"/>
      <c r="L118" s="610"/>
      <c r="M118" s="610"/>
      <c r="N118" s="610"/>
      <c r="O118" s="610"/>
      <c r="P118" s="610"/>
      <c r="Q118" s="610"/>
      <c r="R118" s="610"/>
      <c r="S118" s="610"/>
      <c r="T118" s="610"/>
      <c r="U118" s="610"/>
      <c r="V118" s="610"/>
      <c r="W118" s="610"/>
      <c r="X118" s="610"/>
      <c r="Y118" s="610"/>
      <c r="Z118" s="610"/>
      <c r="AA118" s="610"/>
      <c r="AB118" s="610"/>
      <c r="AC118" s="610"/>
      <c r="AD118" s="610"/>
      <c r="AE118" s="610"/>
      <c r="AF118" s="610"/>
      <c r="AG118" s="610"/>
      <c r="AH118" s="610"/>
      <c r="AI118" s="610"/>
      <c r="AJ118" s="610"/>
      <c r="AK118" s="610"/>
      <c r="AL118" s="610"/>
      <c r="AM118" s="610"/>
      <c r="AN118" s="610"/>
      <c r="AO118" s="610"/>
      <c r="AP118" s="610"/>
      <c r="AQ118" s="610"/>
    </row>
    <row r="119" spans="2:43" s="609" customFormat="1">
      <c r="B119" s="610"/>
      <c r="C119" s="610"/>
      <c r="D119" s="610"/>
      <c r="E119" s="610"/>
      <c r="F119" s="610"/>
      <c r="G119" s="610"/>
      <c r="H119" s="610"/>
      <c r="I119" s="610"/>
      <c r="J119" s="610"/>
      <c r="L119" s="610"/>
      <c r="M119" s="610"/>
      <c r="N119" s="610"/>
      <c r="O119" s="610"/>
      <c r="P119" s="610"/>
      <c r="Q119" s="610"/>
      <c r="R119" s="610"/>
      <c r="S119" s="610"/>
      <c r="T119" s="610"/>
      <c r="U119" s="610"/>
      <c r="V119" s="610"/>
      <c r="W119" s="610"/>
      <c r="X119" s="610"/>
      <c r="Y119" s="610"/>
      <c r="Z119" s="610"/>
      <c r="AA119" s="610"/>
      <c r="AB119" s="610"/>
      <c r="AC119" s="610"/>
      <c r="AD119" s="610"/>
      <c r="AE119" s="610"/>
      <c r="AF119" s="610"/>
      <c r="AG119" s="610"/>
      <c r="AH119" s="610"/>
      <c r="AI119" s="610"/>
      <c r="AJ119" s="610"/>
      <c r="AK119" s="610"/>
      <c r="AL119" s="610"/>
      <c r="AM119" s="610"/>
      <c r="AN119" s="610"/>
      <c r="AO119" s="610"/>
      <c r="AP119" s="610"/>
      <c r="AQ119" s="610"/>
    </row>
    <row r="120" spans="2:43" s="609" customFormat="1">
      <c r="B120" s="610"/>
      <c r="C120" s="610"/>
      <c r="D120" s="610"/>
      <c r="E120" s="610"/>
      <c r="F120" s="610"/>
      <c r="G120" s="610"/>
      <c r="H120" s="610"/>
      <c r="I120" s="610"/>
      <c r="J120" s="610"/>
      <c r="L120" s="610"/>
      <c r="M120" s="610"/>
      <c r="N120" s="610"/>
      <c r="O120" s="610"/>
      <c r="P120" s="610"/>
      <c r="Q120" s="610"/>
      <c r="R120" s="610"/>
      <c r="S120" s="610"/>
      <c r="T120" s="610"/>
      <c r="U120" s="610"/>
      <c r="V120" s="610"/>
      <c r="W120" s="610"/>
      <c r="X120" s="610"/>
      <c r="Y120" s="610"/>
      <c r="Z120" s="610"/>
      <c r="AA120" s="610"/>
      <c r="AB120" s="610"/>
      <c r="AC120" s="610"/>
      <c r="AD120" s="610"/>
      <c r="AE120" s="610"/>
      <c r="AF120" s="610"/>
      <c r="AG120" s="610"/>
      <c r="AH120" s="610"/>
      <c r="AI120" s="610"/>
      <c r="AJ120" s="610"/>
      <c r="AK120" s="610"/>
      <c r="AL120" s="610"/>
      <c r="AM120" s="610"/>
      <c r="AN120" s="610"/>
      <c r="AO120" s="610"/>
      <c r="AP120" s="610"/>
      <c r="AQ120" s="610"/>
    </row>
    <row r="121" spans="2:43" s="609" customFormat="1">
      <c r="B121" s="610"/>
      <c r="C121" s="610"/>
      <c r="D121" s="610"/>
      <c r="E121" s="610"/>
      <c r="F121" s="610"/>
      <c r="G121" s="610"/>
      <c r="H121" s="610"/>
      <c r="I121" s="610"/>
      <c r="J121" s="610"/>
      <c r="L121" s="610"/>
      <c r="M121" s="610"/>
      <c r="N121" s="610"/>
      <c r="O121" s="610"/>
      <c r="P121" s="610"/>
      <c r="Q121" s="610"/>
      <c r="R121" s="610"/>
      <c r="S121" s="610"/>
      <c r="T121" s="610"/>
      <c r="U121" s="610"/>
      <c r="V121" s="610"/>
      <c r="W121" s="610"/>
      <c r="X121" s="610"/>
      <c r="Y121" s="610"/>
      <c r="Z121" s="610"/>
      <c r="AA121" s="610"/>
      <c r="AB121" s="610"/>
      <c r="AC121" s="610"/>
      <c r="AD121" s="610"/>
      <c r="AE121" s="610"/>
      <c r="AF121" s="610"/>
      <c r="AG121" s="610"/>
      <c r="AH121" s="610"/>
      <c r="AI121" s="610"/>
      <c r="AJ121" s="610"/>
      <c r="AK121" s="610"/>
      <c r="AL121" s="610"/>
      <c r="AM121" s="610"/>
      <c r="AN121" s="610"/>
      <c r="AO121" s="610"/>
      <c r="AP121" s="610"/>
      <c r="AQ121" s="610"/>
    </row>
    <row r="122" spans="2:43" s="609" customFormat="1">
      <c r="B122" s="610"/>
      <c r="C122" s="610"/>
      <c r="D122" s="610"/>
      <c r="E122" s="610"/>
      <c r="F122" s="610"/>
      <c r="G122" s="610"/>
      <c r="H122" s="610"/>
      <c r="I122" s="610"/>
      <c r="J122" s="610"/>
      <c r="L122" s="610"/>
      <c r="M122" s="610"/>
      <c r="N122" s="610"/>
      <c r="O122" s="610"/>
      <c r="P122" s="610"/>
      <c r="Q122" s="610"/>
      <c r="R122" s="610"/>
      <c r="S122" s="610"/>
      <c r="T122" s="610"/>
      <c r="U122" s="610"/>
      <c r="V122" s="610"/>
      <c r="W122" s="610"/>
      <c r="X122" s="610"/>
      <c r="Y122" s="610"/>
      <c r="Z122" s="610"/>
      <c r="AA122" s="610"/>
      <c r="AB122" s="610"/>
      <c r="AC122" s="610"/>
      <c r="AD122" s="610"/>
      <c r="AE122" s="610"/>
      <c r="AF122" s="610"/>
      <c r="AG122" s="610"/>
      <c r="AH122" s="610"/>
      <c r="AI122" s="610"/>
      <c r="AJ122" s="610"/>
      <c r="AK122" s="610"/>
      <c r="AL122" s="610"/>
      <c r="AM122" s="610"/>
      <c r="AN122" s="610"/>
      <c r="AO122" s="610"/>
      <c r="AP122" s="610"/>
      <c r="AQ122" s="610"/>
    </row>
    <row r="123" spans="2:43" s="609" customFormat="1">
      <c r="B123" s="610"/>
      <c r="C123" s="610"/>
      <c r="D123" s="610"/>
      <c r="E123" s="610"/>
      <c r="F123" s="610"/>
      <c r="G123" s="610"/>
      <c r="H123" s="610"/>
      <c r="I123" s="610"/>
      <c r="J123" s="610"/>
      <c r="L123" s="610"/>
      <c r="M123" s="610"/>
      <c r="N123" s="610"/>
      <c r="O123" s="610"/>
      <c r="P123" s="610"/>
      <c r="Q123" s="610"/>
      <c r="R123" s="610"/>
      <c r="S123" s="610"/>
      <c r="T123" s="610"/>
      <c r="U123" s="610"/>
      <c r="V123" s="610"/>
      <c r="W123" s="610"/>
      <c r="X123" s="610"/>
      <c r="Y123" s="610"/>
      <c r="Z123" s="610"/>
      <c r="AA123" s="610"/>
      <c r="AB123" s="610"/>
      <c r="AC123" s="610"/>
      <c r="AD123" s="610"/>
      <c r="AE123" s="610"/>
      <c r="AF123" s="610"/>
      <c r="AG123" s="610"/>
      <c r="AH123" s="610"/>
      <c r="AI123" s="610"/>
      <c r="AJ123" s="610"/>
      <c r="AK123" s="610"/>
      <c r="AL123" s="610"/>
      <c r="AM123" s="610"/>
      <c r="AN123" s="610"/>
      <c r="AO123" s="610"/>
      <c r="AP123" s="610"/>
      <c r="AQ123" s="610"/>
    </row>
    <row r="124" spans="2:43" s="609" customFormat="1">
      <c r="B124" s="610"/>
      <c r="C124" s="610"/>
      <c r="D124" s="610"/>
      <c r="E124" s="610"/>
      <c r="F124" s="610"/>
      <c r="G124" s="610"/>
      <c r="H124" s="610"/>
      <c r="I124" s="610"/>
      <c r="J124" s="610"/>
      <c r="L124" s="610"/>
      <c r="M124" s="610"/>
      <c r="N124" s="610"/>
      <c r="O124" s="610"/>
      <c r="P124" s="610"/>
      <c r="Q124" s="610"/>
      <c r="R124" s="610"/>
      <c r="S124" s="610"/>
      <c r="T124" s="610"/>
      <c r="U124" s="610"/>
      <c r="V124" s="610"/>
      <c r="W124" s="610"/>
      <c r="X124" s="610"/>
      <c r="Y124" s="610"/>
      <c r="Z124" s="610"/>
      <c r="AA124" s="610"/>
      <c r="AB124" s="610"/>
      <c r="AC124" s="610"/>
      <c r="AD124" s="610"/>
      <c r="AE124" s="610"/>
      <c r="AF124" s="610"/>
      <c r="AG124" s="610"/>
      <c r="AH124" s="610"/>
      <c r="AI124" s="610"/>
      <c r="AJ124" s="610"/>
      <c r="AK124" s="610"/>
      <c r="AL124" s="610"/>
      <c r="AM124" s="610"/>
      <c r="AN124" s="610"/>
      <c r="AO124" s="610"/>
      <c r="AP124" s="610"/>
      <c r="AQ124" s="610"/>
    </row>
    <row r="125" spans="2:43" s="609" customFormat="1">
      <c r="B125" s="610"/>
      <c r="C125" s="610"/>
      <c r="D125" s="610"/>
      <c r="E125" s="610"/>
      <c r="F125" s="610"/>
      <c r="G125" s="610"/>
      <c r="H125" s="610"/>
      <c r="I125" s="610"/>
      <c r="J125" s="610"/>
      <c r="L125" s="610"/>
      <c r="M125" s="610"/>
      <c r="N125" s="610"/>
      <c r="O125" s="610"/>
      <c r="P125" s="610"/>
      <c r="Q125" s="610"/>
      <c r="R125" s="610"/>
      <c r="S125" s="610"/>
      <c r="T125" s="610"/>
      <c r="U125" s="610"/>
      <c r="V125" s="610"/>
      <c r="W125" s="610"/>
      <c r="X125" s="610"/>
      <c r="Y125" s="610"/>
      <c r="Z125" s="610"/>
      <c r="AA125" s="610"/>
      <c r="AB125" s="610"/>
      <c r="AC125" s="610"/>
      <c r="AD125" s="610"/>
      <c r="AE125" s="610"/>
      <c r="AF125" s="610"/>
      <c r="AG125" s="610"/>
      <c r="AH125" s="610"/>
      <c r="AI125" s="610"/>
      <c r="AJ125" s="610"/>
      <c r="AK125" s="610"/>
      <c r="AL125" s="610"/>
      <c r="AM125" s="610"/>
      <c r="AN125" s="610"/>
      <c r="AO125" s="610"/>
      <c r="AP125" s="610"/>
      <c r="AQ125" s="610"/>
    </row>
    <row r="126" spans="2:43" s="609" customFormat="1">
      <c r="B126" s="610"/>
      <c r="C126" s="610"/>
      <c r="D126" s="610"/>
      <c r="E126" s="610"/>
      <c r="F126" s="610"/>
      <c r="G126" s="610"/>
      <c r="H126" s="610"/>
      <c r="I126" s="610"/>
      <c r="J126" s="610"/>
      <c r="L126" s="610"/>
      <c r="M126" s="610"/>
      <c r="N126" s="610"/>
      <c r="O126" s="610"/>
      <c r="P126" s="610"/>
      <c r="Q126" s="610"/>
      <c r="R126" s="610"/>
      <c r="S126" s="610"/>
      <c r="T126" s="610"/>
      <c r="U126" s="610"/>
      <c r="V126" s="610"/>
      <c r="W126" s="610"/>
      <c r="X126" s="610"/>
      <c r="Y126" s="610"/>
      <c r="Z126" s="610"/>
      <c r="AA126" s="610"/>
      <c r="AB126" s="610"/>
      <c r="AC126" s="610"/>
      <c r="AD126" s="610"/>
      <c r="AE126" s="610"/>
      <c r="AF126" s="610"/>
      <c r="AG126" s="610"/>
      <c r="AH126" s="610"/>
      <c r="AI126" s="610"/>
      <c r="AJ126" s="610"/>
      <c r="AK126" s="610"/>
      <c r="AL126" s="610"/>
      <c r="AM126" s="610"/>
      <c r="AN126" s="610"/>
      <c r="AO126" s="610"/>
      <c r="AP126" s="610"/>
      <c r="AQ126" s="610"/>
    </row>
    <row r="127" spans="2:43" s="609" customFormat="1">
      <c r="B127" s="610"/>
      <c r="C127" s="610"/>
      <c r="D127" s="610"/>
      <c r="E127" s="610"/>
      <c r="F127" s="610"/>
      <c r="G127" s="610"/>
      <c r="H127" s="610"/>
      <c r="I127" s="610"/>
      <c r="J127" s="610"/>
      <c r="L127" s="610"/>
      <c r="M127" s="610"/>
      <c r="N127" s="610"/>
      <c r="O127" s="610"/>
      <c r="P127" s="610"/>
      <c r="Q127" s="610"/>
      <c r="R127" s="610"/>
      <c r="S127" s="610"/>
      <c r="T127" s="610"/>
      <c r="U127" s="610"/>
      <c r="V127" s="610"/>
      <c r="W127" s="610"/>
      <c r="X127" s="610"/>
      <c r="Y127" s="610"/>
      <c r="Z127" s="610"/>
      <c r="AA127" s="610"/>
      <c r="AB127" s="610"/>
      <c r="AC127" s="610"/>
      <c r="AD127" s="610"/>
      <c r="AE127" s="610"/>
      <c r="AF127" s="610"/>
      <c r="AG127" s="610"/>
      <c r="AH127" s="610"/>
      <c r="AI127" s="610"/>
      <c r="AJ127" s="610"/>
      <c r="AK127" s="610"/>
      <c r="AL127" s="610"/>
      <c r="AM127" s="610"/>
      <c r="AN127" s="610"/>
      <c r="AO127" s="610"/>
      <c r="AP127" s="610"/>
      <c r="AQ127" s="610"/>
    </row>
    <row r="128" spans="2:43" s="609" customFormat="1">
      <c r="B128" s="610"/>
      <c r="C128" s="610"/>
      <c r="D128" s="610"/>
      <c r="E128" s="610"/>
      <c r="F128" s="610"/>
      <c r="G128" s="610"/>
      <c r="H128" s="610"/>
      <c r="I128" s="610"/>
      <c r="J128" s="610"/>
      <c r="L128" s="610"/>
      <c r="M128" s="610"/>
      <c r="N128" s="610"/>
      <c r="O128" s="610"/>
      <c r="P128" s="610"/>
      <c r="Q128" s="610"/>
      <c r="R128" s="610"/>
      <c r="S128" s="610"/>
      <c r="T128" s="610"/>
      <c r="U128" s="610"/>
      <c r="V128" s="610"/>
      <c r="W128" s="610"/>
      <c r="X128" s="610"/>
      <c r="Y128" s="610"/>
      <c r="Z128" s="610"/>
      <c r="AA128" s="610"/>
      <c r="AB128" s="610"/>
      <c r="AC128" s="610"/>
      <c r="AD128" s="610"/>
      <c r="AE128" s="610"/>
      <c r="AF128" s="610"/>
      <c r="AG128" s="610"/>
      <c r="AH128" s="610"/>
      <c r="AI128" s="610"/>
      <c r="AJ128" s="610"/>
      <c r="AK128" s="610"/>
      <c r="AL128" s="610"/>
      <c r="AM128" s="610"/>
      <c r="AN128" s="610"/>
      <c r="AO128" s="610"/>
      <c r="AP128" s="610"/>
      <c r="AQ128" s="610"/>
    </row>
    <row r="129" spans="2:43" s="609" customFormat="1">
      <c r="B129" s="610"/>
      <c r="C129" s="610"/>
      <c r="D129" s="610"/>
      <c r="E129" s="610"/>
      <c r="F129" s="610"/>
      <c r="G129" s="610"/>
      <c r="H129" s="610"/>
      <c r="I129" s="610"/>
      <c r="J129" s="610"/>
      <c r="L129" s="610"/>
      <c r="M129" s="610"/>
      <c r="N129" s="610"/>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c r="AN129" s="610"/>
      <c r="AO129" s="610"/>
      <c r="AP129" s="610"/>
      <c r="AQ129" s="610"/>
    </row>
    <row r="130" spans="2:43" s="609" customFormat="1">
      <c r="B130" s="610"/>
      <c r="C130" s="610"/>
      <c r="D130" s="610"/>
      <c r="E130" s="610"/>
      <c r="F130" s="610"/>
      <c r="G130" s="610"/>
      <c r="H130" s="610"/>
      <c r="I130" s="610"/>
      <c r="J130" s="610"/>
      <c r="L130" s="610"/>
      <c r="M130" s="610"/>
      <c r="N130" s="610"/>
      <c r="O130" s="610"/>
      <c r="P130" s="610"/>
      <c r="Q130" s="610"/>
      <c r="R130" s="610"/>
      <c r="S130" s="610"/>
      <c r="T130" s="610"/>
      <c r="U130" s="610"/>
      <c r="V130" s="610"/>
      <c r="W130" s="610"/>
      <c r="X130" s="610"/>
      <c r="Y130" s="610"/>
      <c r="Z130" s="610"/>
      <c r="AA130" s="610"/>
      <c r="AB130" s="610"/>
      <c r="AC130" s="610"/>
      <c r="AD130" s="610"/>
      <c r="AE130" s="610"/>
      <c r="AF130" s="610"/>
      <c r="AG130" s="610"/>
      <c r="AH130" s="610"/>
      <c r="AI130" s="610"/>
      <c r="AJ130" s="610"/>
      <c r="AK130" s="610"/>
      <c r="AL130" s="610"/>
      <c r="AM130" s="610"/>
      <c r="AN130" s="610"/>
      <c r="AO130" s="610"/>
      <c r="AP130" s="610"/>
      <c r="AQ130" s="610"/>
    </row>
    <row r="131" spans="2:43" s="609" customFormat="1">
      <c r="B131" s="610"/>
      <c r="C131" s="610"/>
      <c r="D131" s="610"/>
      <c r="E131" s="610"/>
      <c r="F131" s="610"/>
      <c r="G131" s="610"/>
      <c r="H131" s="610"/>
      <c r="I131" s="610"/>
      <c r="J131" s="610"/>
      <c r="L131" s="610"/>
      <c r="M131" s="610"/>
      <c r="N131" s="610"/>
      <c r="O131" s="610"/>
      <c r="P131" s="610"/>
      <c r="Q131" s="610"/>
      <c r="R131" s="610"/>
      <c r="S131" s="610"/>
      <c r="T131" s="610"/>
      <c r="U131" s="610"/>
      <c r="V131" s="610"/>
      <c r="W131" s="610"/>
      <c r="X131" s="610"/>
      <c r="Y131" s="610"/>
      <c r="Z131" s="610"/>
      <c r="AA131" s="610"/>
      <c r="AB131" s="610"/>
      <c r="AC131" s="610"/>
      <c r="AD131" s="610"/>
      <c r="AE131" s="610"/>
      <c r="AF131" s="610"/>
      <c r="AG131" s="610"/>
      <c r="AH131" s="610"/>
      <c r="AI131" s="610"/>
      <c r="AJ131" s="610"/>
      <c r="AK131" s="610"/>
      <c r="AL131" s="610"/>
      <c r="AM131" s="610"/>
      <c r="AN131" s="610"/>
      <c r="AO131" s="610"/>
      <c r="AP131" s="610"/>
      <c r="AQ131" s="610"/>
    </row>
    <row r="132" spans="2:43" s="609" customFormat="1">
      <c r="B132" s="610"/>
      <c r="C132" s="610"/>
      <c r="D132" s="610"/>
      <c r="E132" s="610"/>
      <c r="F132" s="610"/>
      <c r="G132" s="610"/>
      <c r="H132" s="610"/>
      <c r="I132" s="610"/>
      <c r="J132" s="610"/>
      <c r="L132" s="610"/>
      <c r="M132" s="610"/>
      <c r="N132" s="610"/>
      <c r="O132" s="610"/>
      <c r="P132" s="610"/>
      <c r="Q132" s="610"/>
      <c r="R132" s="610"/>
      <c r="S132" s="610"/>
      <c r="T132" s="610"/>
      <c r="U132" s="610"/>
      <c r="V132" s="610"/>
      <c r="W132" s="610"/>
      <c r="X132" s="610"/>
      <c r="Y132" s="610"/>
      <c r="Z132" s="610"/>
      <c r="AA132" s="610"/>
      <c r="AB132" s="610"/>
      <c r="AC132" s="610"/>
      <c r="AD132" s="610"/>
      <c r="AE132" s="610"/>
      <c r="AF132" s="610"/>
      <c r="AG132" s="610"/>
      <c r="AH132" s="610"/>
      <c r="AI132" s="610"/>
      <c r="AJ132" s="610"/>
      <c r="AK132" s="610"/>
      <c r="AL132" s="610"/>
      <c r="AM132" s="610"/>
      <c r="AN132" s="610"/>
      <c r="AO132" s="610"/>
      <c r="AP132" s="610"/>
      <c r="AQ132" s="610"/>
    </row>
    <row r="133" spans="2:43" s="609" customFormat="1">
      <c r="B133" s="610"/>
      <c r="C133" s="610"/>
      <c r="D133" s="610"/>
      <c r="E133" s="610"/>
      <c r="F133" s="610"/>
      <c r="G133" s="610"/>
      <c r="H133" s="610"/>
      <c r="I133" s="610"/>
      <c r="J133" s="610"/>
      <c r="L133" s="610"/>
      <c r="M133" s="610"/>
      <c r="N133" s="610"/>
      <c r="O133" s="610"/>
      <c r="P133" s="610"/>
      <c r="Q133" s="610"/>
      <c r="R133" s="610"/>
      <c r="S133" s="610"/>
      <c r="T133" s="610"/>
      <c r="U133" s="610"/>
      <c r="V133" s="610"/>
      <c r="W133" s="610"/>
      <c r="X133" s="610"/>
      <c r="Y133" s="610"/>
      <c r="Z133" s="610"/>
      <c r="AA133" s="610"/>
      <c r="AB133" s="610"/>
      <c r="AC133" s="610"/>
      <c r="AD133" s="610"/>
      <c r="AE133" s="610"/>
      <c r="AF133" s="610"/>
      <c r="AG133" s="610"/>
      <c r="AH133" s="610"/>
      <c r="AI133" s="610"/>
      <c r="AJ133" s="610"/>
      <c r="AK133" s="610"/>
      <c r="AL133" s="610"/>
      <c r="AM133" s="610"/>
      <c r="AN133" s="610"/>
      <c r="AO133" s="610"/>
      <c r="AP133" s="610"/>
      <c r="AQ133" s="610"/>
    </row>
    <row r="134" spans="2:43" s="609" customFormat="1">
      <c r="B134" s="610"/>
      <c r="C134" s="610"/>
      <c r="D134" s="610"/>
      <c r="E134" s="610"/>
      <c r="F134" s="610"/>
      <c r="G134" s="610"/>
      <c r="H134" s="610"/>
      <c r="I134" s="610"/>
      <c r="J134" s="610"/>
      <c r="L134" s="610"/>
      <c r="M134" s="610"/>
      <c r="N134" s="610"/>
      <c r="O134" s="610"/>
      <c r="P134" s="610"/>
      <c r="Q134" s="610"/>
      <c r="R134" s="610"/>
      <c r="S134" s="610"/>
      <c r="T134" s="610"/>
      <c r="U134" s="610"/>
      <c r="V134" s="610"/>
      <c r="W134" s="610"/>
      <c r="X134" s="610"/>
      <c r="Y134" s="610"/>
      <c r="Z134" s="610"/>
      <c r="AA134" s="610"/>
      <c r="AB134" s="610"/>
      <c r="AC134" s="610"/>
      <c r="AD134" s="610"/>
      <c r="AE134" s="610"/>
      <c r="AF134" s="610"/>
      <c r="AG134" s="610"/>
      <c r="AH134" s="610"/>
      <c r="AI134" s="610"/>
      <c r="AJ134" s="610"/>
      <c r="AK134" s="610"/>
      <c r="AL134" s="610"/>
      <c r="AM134" s="610"/>
      <c r="AN134" s="610"/>
      <c r="AO134" s="610"/>
      <c r="AP134" s="610"/>
      <c r="AQ134" s="610"/>
    </row>
    <row r="135" spans="2:43" s="609" customFormat="1">
      <c r="B135" s="610"/>
      <c r="C135" s="610"/>
      <c r="D135" s="610"/>
      <c r="E135" s="610"/>
      <c r="F135" s="610"/>
      <c r="G135" s="610"/>
      <c r="H135" s="610"/>
      <c r="I135" s="610"/>
      <c r="J135" s="610"/>
      <c r="L135" s="610"/>
      <c r="M135" s="610"/>
      <c r="N135" s="610"/>
      <c r="O135" s="610"/>
      <c r="P135" s="610"/>
      <c r="Q135" s="610"/>
      <c r="R135" s="610"/>
      <c r="S135" s="610"/>
      <c r="T135" s="610"/>
      <c r="U135" s="610"/>
      <c r="V135" s="610"/>
      <c r="W135" s="610"/>
      <c r="X135" s="610"/>
      <c r="Y135" s="610"/>
      <c r="Z135" s="610"/>
      <c r="AA135" s="610"/>
      <c r="AB135" s="610"/>
      <c r="AC135" s="610"/>
      <c r="AD135" s="610"/>
      <c r="AE135" s="610"/>
      <c r="AF135" s="610"/>
      <c r="AG135" s="610"/>
      <c r="AH135" s="610"/>
      <c r="AI135" s="610"/>
      <c r="AJ135" s="610"/>
      <c r="AK135" s="610"/>
      <c r="AL135" s="610"/>
      <c r="AM135" s="610"/>
      <c r="AN135" s="610"/>
      <c r="AO135" s="610"/>
      <c r="AP135" s="610"/>
      <c r="AQ135" s="610"/>
    </row>
    <row r="136" spans="2:43" s="609" customFormat="1">
      <c r="B136" s="610"/>
      <c r="C136" s="610"/>
      <c r="D136" s="610"/>
      <c r="E136" s="610"/>
      <c r="F136" s="610"/>
      <c r="G136" s="610"/>
      <c r="H136" s="610"/>
      <c r="I136" s="610"/>
      <c r="J136" s="610"/>
      <c r="L136" s="610"/>
      <c r="M136" s="610"/>
      <c r="N136" s="610"/>
      <c r="O136" s="610"/>
      <c r="P136" s="610"/>
      <c r="Q136" s="610"/>
      <c r="R136" s="610"/>
      <c r="S136" s="610"/>
      <c r="T136" s="610"/>
      <c r="U136" s="610"/>
      <c r="V136" s="610"/>
      <c r="W136" s="610"/>
      <c r="X136" s="610"/>
      <c r="Y136" s="610"/>
      <c r="Z136" s="610"/>
      <c r="AA136" s="610"/>
      <c r="AB136" s="610"/>
      <c r="AC136" s="610"/>
      <c r="AD136" s="610"/>
      <c r="AE136" s="610"/>
      <c r="AF136" s="610"/>
      <c r="AG136" s="610"/>
      <c r="AH136" s="610"/>
      <c r="AI136" s="610"/>
      <c r="AJ136" s="610"/>
      <c r="AK136" s="610"/>
      <c r="AL136" s="610"/>
      <c r="AM136" s="610"/>
      <c r="AN136" s="610"/>
      <c r="AO136" s="610"/>
      <c r="AP136" s="610"/>
      <c r="AQ136" s="610"/>
    </row>
    <row r="137" spans="2:43" s="609" customFormat="1">
      <c r="B137" s="610"/>
      <c r="C137" s="610"/>
      <c r="D137" s="610"/>
      <c r="E137" s="610"/>
      <c r="F137" s="610"/>
      <c r="G137" s="610"/>
      <c r="H137" s="610"/>
      <c r="I137" s="610"/>
      <c r="J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10"/>
      <c r="AN137" s="610"/>
      <c r="AO137" s="610"/>
      <c r="AP137" s="610"/>
      <c r="AQ137" s="610"/>
    </row>
    <row r="138" spans="2:43" s="609" customFormat="1">
      <c r="B138" s="610"/>
      <c r="C138" s="610"/>
      <c r="D138" s="610"/>
      <c r="E138" s="610"/>
      <c r="F138" s="610"/>
      <c r="G138" s="610"/>
      <c r="H138" s="610"/>
      <c r="I138" s="610"/>
      <c r="J138" s="610"/>
      <c r="L138" s="610"/>
      <c r="M138" s="610"/>
      <c r="N138" s="610"/>
      <c r="O138" s="610"/>
      <c r="P138" s="610"/>
      <c r="Q138" s="610"/>
      <c r="R138" s="610"/>
      <c r="S138" s="610"/>
      <c r="T138" s="610"/>
      <c r="U138" s="610"/>
      <c r="V138" s="610"/>
      <c r="W138" s="610"/>
      <c r="X138" s="610"/>
      <c r="Y138" s="610"/>
      <c r="Z138" s="610"/>
      <c r="AA138" s="610"/>
      <c r="AB138" s="610"/>
      <c r="AC138" s="610"/>
      <c r="AD138" s="610"/>
      <c r="AE138" s="610"/>
      <c r="AF138" s="610"/>
      <c r="AG138" s="610"/>
      <c r="AH138" s="610"/>
      <c r="AI138" s="610"/>
      <c r="AJ138" s="610"/>
      <c r="AK138" s="610"/>
      <c r="AL138" s="610"/>
      <c r="AM138" s="610"/>
      <c r="AN138" s="610"/>
      <c r="AO138" s="610"/>
      <c r="AP138" s="610"/>
      <c r="AQ138" s="610"/>
    </row>
    <row r="139" spans="2:43" s="609" customFormat="1">
      <c r="B139" s="610"/>
      <c r="C139" s="610"/>
      <c r="D139" s="610"/>
      <c r="E139" s="610"/>
      <c r="F139" s="610"/>
      <c r="G139" s="610"/>
      <c r="H139" s="610"/>
      <c r="I139" s="610"/>
      <c r="J139" s="610"/>
      <c r="L139" s="610"/>
      <c r="M139" s="610"/>
      <c r="N139" s="610"/>
      <c r="O139" s="610"/>
      <c r="P139" s="610"/>
      <c r="Q139" s="610"/>
      <c r="R139" s="610"/>
      <c r="S139" s="610"/>
      <c r="T139" s="610"/>
      <c r="U139" s="610"/>
      <c r="V139" s="610"/>
      <c r="W139" s="610"/>
      <c r="X139" s="610"/>
      <c r="Y139" s="610"/>
      <c r="Z139" s="610"/>
      <c r="AA139" s="610"/>
      <c r="AB139" s="610"/>
      <c r="AC139" s="610"/>
      <c r="AD139" s="610"/>
      <c r="AE139" s="610"/>
      <c r="AF139" s="610"/>
      <c r="AG139" s="610"/>
      <c r="AH139" s="610"/>
      <c r="AI139" s="610"/>
      <c r="AJ139" s="610"/>
      <c r="AK139" s="610"/>
      <c r="AL139" s="610"/>
      <c r="AM139" s="610"/>
      <c r="AN139" s="610"/>
      <c r="AO139" s="610"/>
      <c r="AP139" s="610"/>
      <c r="AQ139" s="610"/>
    </row>
    <row r="140" spans="2:43" s="609" customFormat="1">
      <c r="B140" s="610"/>
      <c r="C140" s="610"/>
      <c r="D140" s="610"/>
      <c r="E140" s="610"/>
      <c r="F140" s="610"/>
      <c r="G140" s="610"/>
      <c r="H140" s="610"/>
      <c r="I140" s="610"/>
      <c r="J140" s="610"/>
      <c r="L140" s="610"/>
      <c r="M140" s="610"/>
      <c r="N140" s="610"/>
      <c r="O140" s="610"/>
      <c r="P140" s="610"/>
      <c r="Q140" s="610"/>
      <c r="R140" s="610"/>
      <c r="S140" s="610"/>
      <c r="T140" s="610"/>
      <c r="U140" s="610"/>
      <c r="V140" s="610"/>
      <c r="W140" s="610"/>
      <c r="X140" s="610"/>
      <c r="Y140" s="610"/>
      <c r="Z140" s="610"/>
      <c r="AA140" s="610"/>
      <c r="AB140" s="610"/>
      <c r="AC140" s="610"/>
      <c r="AD140" s="610"/>
      <c r="AE140" s="610"/>
      <c r="AF140" s="610"/>
      <c r="AG140" s="610"/>
      <c r="AH140" s="610"/>
      <c r="AI140" s="610"/>
      <c r="AJ140" s="610"/>
      <c r="AK140" s="610"/>
      <c r="AL140" s="610"/>
      <c r="AM140" s="610"/>
      <c r="AN140" s="610"/>
      <c r="AO140" s="610"/>
      <c r="AP140" s="610"/>
      <c r="AQ140" s="610"/>
    </row>
    <row r="141" spans="2:43" s="609" customFormat="1">
      <c r="B141" s="610"/>
      <c r="C141" s="610"/>
      <c r="D141" s="610"/>
      <c r="E141" s="610"/>
      <c r="F141" s="610"/>
      <c r="G141" s="610"/>
      <c r="H141" s="610"/>
      <c r="I141" s="610"/>
      <c r="J141" s="610"/>
      <c r="L141" s="610"/>
      <c r="M141" s="610"/>
      <c r="N141" s="610"/>
      <c r="O141" s="610"/>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c r="AN141" s="610"/>
      <c r="AO141" s="610"/>
      <c r="AP141" s="610"/>
      <c r="AQ141" s="610"/>
    </row>
    <row r="142" spans="2:43" s="609" customFormat="1">
      <c r="B142" s="610"/>
      <c r="C142" s="610"/>
      <c r="D142" s="610"/>
      <c r="E142" s="610"/>
      <c r="F142" s="610"/>
      <c r="G142" s="610"/>
      <c r="H142" s="610"/>
      <c r="I142" s="610"/>
      <c r="J142" s="610"/>
      <c r="L142" s="610"/>
      <c r="M142" s="610"/>
      <c r="N142" s="610"/>
      <c r="O142" s="610"/>
      <c r="P142" s="610"/>
      <c r="Q142" s="610"/>
      <c r="R142" s="610"/>
      <c r="S142" s="610"/>
      <c r="T142" s="610"/>
      <c r="U142" s="610"/>
      <c r="V142" s="610"/>
      <c r="W142" s="610"/>
      <c r="X142" s="610"/>
      <c r="Y142" s="610"/>
      <c r="Z142" s="610"/>
      <c r="AA142" s="610"/>
      <c r="AB142" s="610"/>
      <c r="AC142" s="610"/>
      <c r="AD142" s="610"/>
      <c r="AE142" s="610"/>
      <c r="AF142" s="610"/>
      <c r="AG142" s="610"/>
      <c r="AH142" s="610"/>
      <c r="AI142" s="610"/>
      <c r="AJ142" s="610"/>
      <c r="AK142" s="610"/>
      <c r="AL142" s="610"/>
      <c r="AM142" s="610"/>
      <c r="AN142" s="610"/>
      <c r="AO142" s="610"/>
      <c r="AP142" s="610"/>
      <c r="AQ142" s="610"/>
    </row>
    <row r="143" spans="2:43" s="609" customFormat="1">
      <c r="B143" s="610"/>
      <c r="C143" s="610"/>
      <c r="D143" s="610"/>
      <c r="E143" s="610"/>
      <c r="F143" s="610"/>
      <c r="G143" s="610"/>
      <c r="H143" s="610"/>
      <c r="I143" s="610"/>
      <c r="J143" s="610"/>
      <c r="L143" s="610"/>
      <c r="M143" s="610"/>
      <c r="N143" s="610"/>
      <c r="O143" s="610"/>
      <c r="P143" s="610"/>
      <c r="Q143" s="610"/>
      <c r="R143" s="610"/>
      <c r="S143" s="610"/>
      <c r="T143" s="610"/>
      <c r="U143" s="610"/>
      <c r="V143" s="610"/>
      <c r="W143" s="610"/>
      <c r="X143" s="610"/>
      <c r="Y143" s="610"/>
      <c r="Z143" s="610"/>
      <c r="AA143" s="610"/>
      <c r="AB143" s="610"/>
      <c r="AC143" s="610"/>
      <c r="AD143" s="610"/>
      <c r="AE143" s="610"/>
      <c r="AF143" s="610"/>
      <c r="AG143" s="610"/>
      <c r="AH143" s="610"/>
      <c r="AI143" s="610"/>
      <c r="AJ143" s="610"/>
      <c r="AK143" s="610"/>
      <c r="AL143" s="610"/>
      <c r="AM143" s="610"/>
      <c r="AN143" s="610"/>
      <c r="AO143" s="610"/>
      <c r="AP143" s="610"/>
      <c r="AQ143" s="610"/>
    </row>
    <row r="144" spans="2:43" s="609" customFormat="1">
      <c r="B144" s="610"/>
      <c r="C144" s="610"/>
      <c r="D144" s="610"/>
      <c r="E144" s="610"/>
      <c r="F144" s="610"/>
      <c r="G144" s="610"/>
      <c r="H144" s="610"/>
      <c r="I144" s="610"/>
      <c r="J144" s="610"/>
      <c r="L144" s="610"/>
      <c r="M144" s="610"/>
      <c r="N144" s="610"/>
      <c r="O144" s="610"/>
      <c r="P144" s="610"/>
      <c r="Q144" s="610"/>
      <c r="R144" s="610"/>
      <c r="S144" s="610"/>
      <c r="T144" s="610"/>
      <c r="U144" s="610"/>
      <c r="V144" s="610"/>
      <c r="W144" s="610"/>
      <c r="X144" s="610"/>
      <c r="Y144" s="610"/>
      <c r="Z144" s="610"/>
      <c r="AA144" s="610"/>
      <c r="AB144" s="610"/>
      <c r="AC144" s="610"/>
      <c r="AD144" s="610"/>
      <c r="AE144" s="610"/>
      <c r="AF144" s="610"/>
      <c r="AG144" s="610"/>
      <c r="AH144" s="610"/>
      <c r="AI144" s="610"/>
      <c r="AJ144" s="610"/>
      <c r="AK144" s="610"/>
      <c r="AL144" s="610"/>
      <c r="AM144" s="610"/>
      <c r="AN144" s="610"/>
      <c r="AO144" s="610"/>
      <c r="AP144" s="610"/>
      <c r="AQ144" s="610"/>
    </row>
    <row r="145" spans="2:43" s="609" customFormat="1">
      <c r="B145" s="610"/>
      <c r="C145" s="610"/>
      <c r="D145" s="610"/>
      <c r="E145" s="610"/>
      <c r="F145" s="610"/>
      <c r="G145" s="610"/>
      <c r="H145" s="610"/>
      <c r="I145" s="610"/>
      <c r="J145" s="610"/>
      <c r="L145" s="610"/>
      <c r="M145" s="610"/>
      <c r="N145" s="610"/>
      <c r="O145" s="610"/>
      <c r="P145" s="610"/>
      <c r="Q145" s="610"/>
      <c r="R145" s="610"/>
      <c r="S145" s="610"/>
      <c r="T145" s="610"/>
      <c r="U145" s="610"/>
      <c r="V145" s="610"/>
      <c r="W145" s="610"/>
      <c r="X145" s="610"/>
      <c r="Y145" s="610"/>
      <c r="Z145" s="610"/>
      <c r="AA145" s="610"/>
      <c r="AB145" s="610"/>
      <c r="AC145" s="610"/>
      <c r="AD145" s="610"/>
      <c r="AE145" s="610"/>
      <c r="AF145" s="610"/>
      <c r="AG145" s="610"/>
      <c r="AH145" s="610"/>
      <c r="AI145" s="610"/>
      <c r="AJ145" s="610"/>
      <c r="AK145" s="610"/>
      <c r="AL145" s="610"/>
      <c r="AM145" s="610"/>
      <c r="AN145" s="610"/>
      <c r="AO145" s="610"/>
      <c r="AP145" s="610"/>
      <c r="AQ145" s="610"/>
    </row>
    <row r="146" spans="2:43" s="609" customFormat="1">
      <c r="B146" s="610"/>
      <c r="C146" s="610"/>
      <c r="D146" s="610"/>
      <c r="E146" s="610"/>
      <c r="F146" s="610"/>
      <c r="G146" s="610"/>
      <c r="H146" s="610"/>
      <c r="I146" s="610"/>
      <c r="J146" s="610"/>
      <c r="L146" s="610"/>
      <c r="M146" s="610"/>
      <c r="N146" s="610"/>
      <c r="O146" s="610"/>
      <c r="P146" s="610"/>
      <c r="Q146" s="610"/>
      <c r="R146" s="610"/>
      <c r="S146" s="610"/>
      <c r="T146" s="610"/>
      <c r="U146" s="610"/>
      <c r="V146" s="610"/>
      <c r="W146" s="610"/>
      <c r="X146" s="610"/>
      <c r="Y146" s="610"/>
      <c r="Z146" s="610"/>
      <c r="AA146" s="610"/>
      <c r="AB146" s="610"/>
      <c r="AC146" s="610"/>
      <c r="AD146" s="610"/>
      <c r="AE146" s="610"/>
      <c r="AF146" s="610"/>
      <c r="AG146" s="610"/>
      <c r="AH146" s="610"/>
      <c r="AI146" s="610"/>
      <c r="AJ146" s="610"/>
      <c r="AK146" s="610"/>
      <c r="AL146" s="610"/>
      <c r="AM146" s="610"/>
      <c r="AN146" s="610"/>
      <c r="AO146" s="610"/>
      <c r="AP146" s="610"/>
      <c r="AQ146" s="610"/>
    </row>
    <row r="147" spans="2:43" s="609" customFormat="1">
      <c r="B147" s="610"/>
      <c r="C147" s="610"/>
      <c r="D147" s="610"/>
      <c r="E147" s="610"/>
      <c r="F147" s="610"/>
      <c r="G147" s="610"/>
      <c r="H147" s="610"/>
      <c r="I147" s="610"/>
      <c r="J147" s="610"/>
      <c r="L147" s="610"/>
      <c r="M147" s="610"/>
      <c r="N147" s="610"/>
      <c r="O147" s="610"/>
      <c r="P147" s="610"/>
      <c r="Q147" s="610"/>
      <c r="R147" s="610"/>
      <c r="S147" s="610"/>
      <c r="T147" s="610"/>
      <c r="U147" s="610"/>
      <c r="V147" s="610"/>
      <c r="W147" s="610"/>
      <c r="X147" s="610"/>
      <c r="Y147" s="610"/>
      <c r="Z147" s="610"/>
      <c r="AA147" s="610"/>
      <c r="AB147" s="610"/>
      <c r="AC147" s="610"/>
      <c r="AD147" s="610"/>
      <c r="AE147" s="610"/>
      <c r="AF147" s="610"/>
      <c r="AG147" s="610"/>
      <c r="AH147" s="610"/>
      <c r="AI147" s="610"/>
      <c r="AJ147" s="610"/>
      <c r="AK147" s="610"/>
      <c r="AL147" s="610"/>
      <c r="AM147" s="610"/>
      <c r="AN147" s="610"/>
      <c r="AO147" s="610"/>
      <c r="AP147" s="610"/>
      <c r="AQ147" s="610"/>
    </row>
    <row r="148" spans="2:43" s="609" customFormat="1">
      <c r="B148" s="610"/>
      <c r="C148" s="610"/>
      <c r="D148" s="610"/>
      <c r="E148" s="610"/>
      <c r="F148" s="610"/>
      <c r="G148" s="610"/>
      <c r="H148" s="610"/>
      <c r="I148" s="610"/>
      <c r="J148" s="610"/>
      <c r="L148" s="610"/>
      <c r="M148" s="610"/>
      <c r="N148" s="610"/>
      <c r="O148" s="610"/>
      <c r="P148" s="610"/>
      <c r="Q148" s="610"/>
      <c r="R148" s="610"/>
      <c r="S148" s="610"/>
      <c r="T148" s="610"/>
      <c r="U148" s="610"/>
      <c r="V148" s="610"/>
      <c r="W148" s="610"/>
      <c r="X148" s="610"/>
      <c r="Y148" s="610"/>
      <c r="Z148" s="610"/>
      <c r="AA148" s="610"/>
      <c r="AB148" s="610"/>
      <c r="AC148" s="610"/>
      <c r="AD148" s="610"/>
      <c r="AE148" s="610"/>
      <c r="AF148" s="610"/>
      <c r="AG148" s="610"/>
      <c r="AH148" s="610"/>
      <c r="AI148" s="610"/>
      <c r="AJ148" s="610"/>
      <c r="AK148" s="610"/>
      <c r="AL148" s="610"/>
      <c r="AM148" s="610"/>
      <c r="AN148" s="610"/>
      <c r="AO148" s="610"/>
      <c r="AP148" s="610"/>
      <c r="AQ148" s="610"/>
    </row>
    <row r="149" spans="2:43" s="609" customFormat="1">
      <c r="B149" s="610"/>
      <c r="C149" s="610"/>
      <c r="D149" s="610"/>
      <c r="E149" s="610"/>
      <c r="F149" s="610"/>
      <c r="G149" s="610"/>
      <c r="H149" s="610"/>
      <c r="I149" s="610"/>
      <c r="J149" s="610"/>
      <c r="L149" s="610"/>
      <c r="M149" s="610"/>
      <c r="N149" s="610"/>
      <c r="O149" s="610"/>
      <c r="P149" s="610"/>
      <c r="Q149" s="610"/>
      <c r="R149" s="610"/>
      <c r="S149" s="610"/>
      <c r="T149" s="610"/>
      <c r="U149" s="610"/>
      <c r="V149" s="610"/>
      <c r="W149" s="610"/>
      <c r="X149" s="610"/>
      <c r="Y149" s="610"/>
      <c r="Z149" s="610"/>
      <c r="AA149" s="610"/>
      <c r="AB149" s="610"/>
      <c r="AC149" s="610"/>
      <c r="AD149" s="610"/>
      <c r="AE149" s="610"/>
      <c r="AF149" s="610"/>
      <c r="AG149" s="610"/>
      <c r="AH149" s="610"/>
      <c r="AI149" s="610"/>
      <c r="AJ149" s="610"/>
      <c r="AK149" s="610"/>
      <c r="AL149" s="610"/>
      <c r="AM149" s="610"/>
      <c r="AN149" s="610"/>
      <c r="AO149" s="610"/>
      <c r="AP149" s="610"/>
      <c r="AQ149" s="610"/>
    </row>
    <row r="150" spans="2:43" s="609" customFormat="1">
      <c r="B150" s="610"/>
      <c r="C150" s="610"/>
      <c r="D150" s="610"/>
      <c r="E150" s="610"/>
      <c r="F150" s="610"/>
      <c r="G150" s="610"/>
      <c r="H150" s="610"/>
      <c r="I150" s="610"/>
      <c r="J150" s="610"/>
      <c r="L150" s="610"/>
      <c r="M150" s="610"/>
      <c r="N150" s="610"/>
      <c r="O150" s="610"/>
      <c r="P150" s="610"/>
      <c r="Q150" s="610"/>
      <c r="R150" s="610"/>
      <c r="S150" s="610"/>
      <c r="T150" s="610"/>
      <c r="U150" s="610"/>
      <c r="V150" s="610"/>
      <c r="W150" s="610"/>
      <c r="X150" s="610"/>
      <c r="Y150" s="610"/>
      <c r="Z150" s="610"/>
      <c r="AA150" s="610"/>
      <c r="AB150" s="610"/>
      <c r="AC150" s="610"/>
      <c r="AD150" s="610"/>
      <c r="AE150" s="610"/>
      <c r="AF150" s="610"/>
      <c r="AG150" s="610"/>
      <c r="AH150" s="610"/>
      <c r="AI150" s="610"/>
      <c r="AJ150" s="610"/>
      <c r="AK150" s="610"/>
      <c r="AL150" s="610"/>
      <c r="AM150" s="610"/>
      <c r="AN150" s="610"/>
      <c r="AO150" s="610"/>
      <c r="AP150" s="610"/>
      <c r="AQ150" s="610"/>
    </row>
    <row r="151" spans="2:43" s="609" customFormat="1">
      <c r="B151" s="610"/>
      <c r="C151" s="610"/>
      <c r="D151" s="610"/>
      <c r="E151" s="610"/>
      <c r="F151" s="610"/>
      <c r="G151" s="610"/>
      <c r="H151" s="610"/>
      <c r="I151" s="610"/>
      <c r="J151" s="610"/>
      <c r="L151" s="610"/>
      <c r="M151" s="610"/>
      <c r="N151" s="610"/>
      <c r="O151" s="610"/>
      <c r="P151" s="610"/>
      <c r="Q151" s="610"/>
      <c r="R151" s="610"/>
      <c r="S151" s="610"/>
      <c r="T151" s="610"/>
      <c r="U151" s="610"/>
      <c r="V151" s="610"/>
      <c r="W151" s="610"/>
      <c r="X151" s="610"/>
      <c r="Y151" s="610"/>
      <c r="Z151" s="610"/>
      <c r="AA151" s="610"/>
      <c r="AB151" s="610"/>
      <c r="AC151" s="610"/>
      <c r="AD151" s="610"/>
      <c r="AE151" s="610"/>
      <c r="AF151" s="610"/>
      <c r="AG151" s="610"/>
      <c r="AH151" s="610"/>
      <c r="AI151" s="610"/>
      <c r="AJ151" s="610"/>
      <c r="AK151" s="610"/>
      <c r="AL151" s="610"/>
      <c r="AM151" s="610"/>
      <c r="AN151" s="610"/>
      <c r="AO151" s="610"/>
      <c r="AP151" s="610"/>
      <c r="AQ151" s="610"/>
    </row>
    <row r="152" spans="2:43" s="609" customFormat="1">
      <c r="B152" s="610"/>
      <c r="C152" s="610"/>
      <c r="D152" s="610"/>
      <c r="E152" s="610"/>
      <c r="F152" s="610"/>
      <c r="G152" s="610"/>
      <c r="H152" s="610"/>
      <c r="I152" s="610"/>
      <c r="J152" s="610"/>
      <c r="L152" s="610"/>
      <c r="M152" s="610"/>
      <c r="N152" s="610"/>
      <c r="O152" s="610"/>
      <c r="P152" s="610"/>
      <c r="Q152" s="610"/>
      <c r="R152" s="610"/>
      <c r="S152" s="610"/>
      <c r="T152" s="610"/>
      <c r="U152" s="610"/>
      <c r="V152" s="610"/>
      <c r="W152" s="610"/>
      <c r="X152" s="610"/>
      <c r="Y152" s="610"/>
      <c r="Z152" s="610"/>
      <c r="AA152" s="610"/>
      <c r="AB152" s="610"/>
      <c r="AC152" s="610"/>
      <c r="AD152" s="610"/>
      <c r="AE152" s="610"/>
      <c r="AF152" s="610"/>
      <c r="AG152" s="610"/>
      <c r="AH152" s="610"/>
      <c r="AI152" s="610"/>
      <c r="AJ152" s="610"/>
      <c r="AK152" s="610"/>
      <c r="AL152" s="610"/>
      <c r="AM152" s="610"/>
      <c r="AN152" s="610"/>
      <c r="AO152" s="610"/>
      <c r="AP152" s="610"/>
      <c r="AQ152" s="610"/>
    </row>
    <row r="153" spans="2:43" s="609" customFormat="1">
      <c r="B153" s="610"/>
      <c r="C153" s="610"/>
      <c r="D153" s="610"/>
      <c r="E153" s="610"/>
      <c r="F153" s="610"/>
      <c r="G153" s="610"/>
      <c r="H153" s="610"/>
      <c r="I153" s="610"/>
      <c r="J153" s="610"/>
      <c r="L153" s="610"/>
      <c r="M153" s="610"/>
      <c r="N153" s="610"/>
      <c r="O153" s="610"/>
      <c r="P153" s="610"/>
      <c r="Q153" s="610"/>
      <c r="R153" s="610"/>
      <c r="S153" s="610"/>
      <c r="T153" s="610"/>
      <c r="U153" s="610"/>
      <c r="V153" s="610"/>
      <c r="W153" s="610"/>
      <c r="X153" s="610"/>
      <c r="Y153" s="610"/>
      <c r="Z153" s="610"/>
      <c r="AA153" s="610"/>
      <c r="AB153" s="610"/>
      <c r="AC153" s="610"/>
      <c r="AD153" s="610"/>
      <c r="AE153" s="610"/>
      <c r="AF153" s="610"/>
      <c r="AG153" s="610"/>
      <c r="AH153" s="610"/>
      <c r="AI153" s="610"/>
      <c r="AJ153" s="610"/>
      <c r="AK153" s="610"/>
      <c r="AL153" s="610"/>
      <c r="AM153" s="610"/>
      <c r="AN153" s="610"/>
      <c r="AO153" s="610"/>
      <c r="AP153" s="610"/>
      <c r="AQ153" s="610"/>
    </row>
    <row r="154" spans="2:43" s="609" customFormat="1">
      <c r="B154" s="610"/>
      <c r="C154" s="610"/>
      <c r="D154" s="610"/>
      <c r="E154" s="610"/>
      <c r="F154" s="610"/>
      <c r="G154" s="610"/>
      <c r="H154" s="610"/>
      <c r="I154" s="610"/>
      <c r="J154" s="610"/>
      <c r="L154" s="610"/>
      <c r="M154" s="610"/>
      <c r="N154" s="610"/>
      <c r="O154" s="610"/>
      <c r="P154" s="610"/>
      <c r="Q154" s="610"/>
      <c r="R154" s="610"/>
      <c r="S154" s="610"/>
      <c r="T154" s="610"/>
      <c r="U154" s="610"/>
      <c r="V154" s="610"/>
      <c r="W154" s="610"/>
      <c r="X154" s="610"/>
      <c r="Y154" s="610"/>
      <c r="Z154" s="610"/>
      <c r="AA154" s="610"/>
      <c r="AB154" s="610"/>
      <c r="AC154" s="610"/>
      <c r="AD154" s="610"/>
      <c r="AE154" s="610"/>
      <c r="AF154" s="610"/>
      <c r="AG154" s="610"/>
      <c r="AH154" s="610"/>
      <c r="AI154" s="610"/>
      <c r="AJ154" s="610"/>
      <c r="AK154" s="610"/>
      <c r="AL154" s="610"/>
      <c r="AM154" s="610"/>
      <c r="AN154" s="610"/>
      <c r="AO154" s="610"/>
      <c r="AP154" s="610"/>
      <c r="AQ154" s="610"/>
    </row>
    <row r="155" spans="2:43" s="609" customFormat="1">
      <c r="B155" s="610"/>
      <c r="C155" s="610"/>
      <c r="D155" s="610"/>
      <c r="E155" s="610"/>
      <c r="F155" s="610"/>
      <c r="G155" s="610"/>
      <c r="H155" s="610"/>
      <c r="I155" s="610"/>
      <c r="J155" s="610"/>
      <c r="L155" s="610"/>
      <c r="M155" s="610"/>
      <c r="N155" s="610"/>
      <c r="O155" s="610"/>
      <c r="P155" s="610"/>
      <c r="Q155" s="610"/>
      <c r="R155" s="610"/>
      <c r="S155" s="610"/>
      <c r="T155" s="610"/>
      <c r="U155" s="610"/>
      <c r="V155" s="610"/>
      <c r="W155" s="610"/>
      <c r="X155" s="610"/>
      <c r="Y155" s="610"/>
      <c r="Z155" s="610"/>
      <c r="AA155" s="610"/>
      <c r="AB155" s="610"/>
      <c r="AC155" s="610"/>
      <c r="AD155" s="610"/>
      <c r="AE155" s="610"/>
      <c r="AF155" s="610"/>
      <c r="AG155" s="610"/>
      <c r="AH155" s="610"/>
      <c r="AI155" s="610"/>
      <c r="AJ155" s="610"/>
      <c r="AK155" s="610"/>
      <c r="AL155" s="610"/>
      <c r="AM155" s="610"/>
      <c r="AN155" s="610"/>
      <c r="AO155" s="610"/>
      <c r="AP155" s="610"/>
      <c r="AQ155" s="610"/>
    </row>
    <row r="156" spans="2:43" s="609" customFormat="1">
      <c r="B156" s="610"/>
      <c r="C156" s="610"/>
      <c r="D156" s="610"/>
      <c r="E156" s="610"/>
      <c r="F156" s="610"/>
      <c r="G156" s="610"/>
      <c r="H156" s="610"/>
      <c r="I156" s="610"/>
      <c r="J156" s="610"/>
      <c r="L156" s="610"/>
      <c r="M156" s="610"/>
      <c r="N156" s="610"/>
      <c r="O156" s="610"/>
      <c r="P156" s="610"/>
      <c r="Q156" s="610"/>
      <c r="R156" s="610"/>
      <c r="S156" s="610"/>
      <c r="T156" s="610"/>
      <c r="U156" s="610"/>
      <c r="V156" s="610"/>
      <c r="W156" s="610"/>
      <c r="X156" s="610"/>
      <c r="Y156" s="610"/>
      <c r="Z156" s="610"/>
      <c r="AA156" s="610"/>
      <c r="AB156" s="610"/>
      <c r="AC156" s="610"/>
      <c r="AD156" s="610"/>
      <c r="AE156" s="610"/>
      <c r="AF156" s="610"/>
      <c r="AG156" s="610"/>
      <c r="AH156" s="610"/>
      <c r="AI156" s="610"/>
      <c r="AJ156" s="610"/>
      <c r="AK156" s="610"/>
      <c r="AL156" s="610"/>
      <c r="AM156" s="610"/>
      <c r="AN156" s="610"/>
      <c r="AO156" s="610"/>
      <c r="AP156" s="610"/>
      <c r="AQ156" s="610"/>
    </row>
    <row r="157" spans="2:43" s="609" customFormat="1">
      <c r="B157" s="610"/>
      <c r="C157" s="610"/>
      <c r="D157" s="610"/>
      <c r="E157" s="610"/>
      <c r="F157" s="610"/>
      <c r="G157" s="610"/>
      <c r="H157" s="610"/>
      <c r="I157" s="610"/>
      <c r="J157" s="610"/>
      <c r="L157" s="610"/>
      <c r="M157" s="610"/>
      <c r="N157" s="610"/>
      <c r="O157" s="610"/>
      <c r="P157" s="610"/>
      <c r="Q157" s="610"/>
      <c r="R157" s="610"/>
      <c r="S157" s="610"/>
      <c r="T157" s="610"/>
      <c r="U157" s="610"/>
      <c r="V157" s="610"/>
      <c r="W157" s="610"/>
      <c r="X157" s="610"/>
      <c r="Y157" s="610"/>
      <c r="Z157" s="610"/>
      <c r="AA157" s="610"/>
      <c r="AB157" s="610"/>
      <c r="AC157" s="610"/>
      <c r="AD157" s="610"/>
      <c r="AE157" s="610"/>
      <c r="AF157" s="610"/>
      <c r="AG157" s="610"/>
      <c r="AH157" s="610"/>
      <c r="AI157" s="610"/>
      <c r="AJ157" s="610"/>
      <c r="AK157" s="610"/>
      <c r="AL157" s="610"/>
      <c r="AM157" s="610"/>
      <c r="AN157" s="610"/>
      <c r="AO157" s="610"/>
      <c r="AP157" s="610"/>
      <c r="AQ157" s="610"/>
    </row>
    <row r="158" spans="2:43" s="609" customFormat="1">
      <c r="B158" s="610"/>
      <c r="C158" s="610"/>
      <c r="D158" s="610"/>
      <c r="E158" s="610"/>
      <c r="F158" s="610"/>
      <c r="G158" s="610"/>
      <c r="H158" s="610"/>
      <c r="I158" s="610"/>
      <c r="J158" s="610"/>
      <c r="L158" s="610"/>
      <c r="M158" s="610"/>
      <c r="N158" s="610"/>
      <c r="O158" s="610"/>
      <c r="P158" s="610"/>
      <c r="Q158" s="610"/>
      <c r="R158" s="610"/>
      <c r="S158" s="610"/>
      <c r="T158" s="610"/>
      <c r="U158" s="610"/>
      <c r="V158" s="610"/>
      <c r="W158" s="610"/>
      <c r="X158" s="610"/>
      <c r="Y158" s="610"/>
      <c r="Z158" s="610"/>
      <c r="AA158" s="610"/>
      <c r="AB158" s="610"/>
      <c r="AC158" s="610"/>
      <c r="AD158" s="610"/>
      <c r="AE158" s="610"/>
      <c r="AF158" s="610"/>
      <c r="AG158" s="610"/>
      <c r="AH158" s="610"/>
      <c r="AI158" s="610"/>
      <c r="AJ158" s="610"/>
      <c r="AK158" s="610"/>
      <c r="AL158" s="610"/>
      <c r="AM158" s="610"/>
      <c r="AN158" s="610"/>
      <c r="AO158" s="610"/>
      <c r="AP158" s="610"/>
      <c r="AQ158" s="610"/>
    </row>
    <row r="159" spans="2:43" s="609" customFormat="1">
      <c r="B159" s="610"/>
      <c r="C159" s="610"/>
      <c r="D159" s="610"/>
      <c r="E159" s="610"/>
      <c r="F159" s="610"/>
      <c r="G159" s="610"/>
      <c r="H159" s="610"/>
      <c r="I159" s="610"/>
      <c r="J159" s="610"/>
      <c r="L159" s="610"/>
      <c r="M159" s="610"/>
      <c r="N159" s="610"/>
      <c r="O159" s="610"/>
      <c r="P159" s="610"/>
      <c r="Q159" s="610"/>
      <c r="R159" s="610"/>
      <c r="S159" s="610"/>
      <c r="T159" s="610"/>
      <c r="U159" s="610"/>
      <c r="V159" s="610"/>
      <c r="W159" s="610"/>
      <c r="X159" s="610"/>
      <c r="Y159" s="610"/>
      <c r="Z159" s="610"/>
      <c r="AA159" s="610"/>
      <c r="AB159" s="610"/>
      <c r="AC159" s="610"/>
      <c r="AD159" s="610"/>
      <c r="AE159" s="610"/>
      <c r="AF159" s="610"/>
      <c r="AG159" s="610"/>
      <c r="AH159" s="610"/>
      <c r="AI159" s="610"/>
      <c r="AJ159" s="610"/>
      <c r="AK159" s="610"/>
      <c r="AL159" s="610"/>
      <c r="AM159" s="610"/>
      <c r="AN159" s="610"/>
      <c r="AO159" s="610"/>
      <c r="AP159" s="610"/>
      <c r="AQ159" s="610"/>
    </row>
    <row r="160" spans="2:43" s="609" customFormat="1">
      <c r="B160" s="610"/>
      <c r="C160" s="610"/>
      <c r="D160" s="610"/>
      <c r="E160" s="610"/>
      <c r="F160" s="610"/>
      <c r="G160" s="610"/>
      <c r="H160" s="610"/>
      <c r="I160" s="610"/>
      <c r="J160" s="610"/>
      <c r="L160" s="610"/>
      <c r="M160" s="610"/>
      <c r="N160" s="610"/>
      <c r="O160" s="610"/>
      <c r="P160" s="610"/>
      <c r="Q160" s="610"/>
      <c r="R160" s="610"/>
      <c r="S160" s="610"/>
      <c r="T160" s="610"/>
      <c r="U160" s="610"/>
      <c r="V160" s="610"/>
      <c r="W160" s="610"/>
      <c r="X160" s="610"/>
      <c r="Y160" s="610"/>
      <c r="Z160" s="610"/>
      <c r="AA160" s="610"/>
      <c r="AB160" s="610"/>
      <c r="AC160" s="610"/>
      <c r="AD160" s="610"/>
      <c r="AE160" s="610"/>
      <c r="AF160" s="610"/>
      <c r="AG160" s="610"/>
      <c r="AH160" s="610"/>
      <c r="AI160" s="610"/>
      <c r="AJ160" s="610"/>
      <c r="AK160" s="610"/>
      <c r="AL160" s="610"/>
      <c r="AM160" s="610"/>
      <c r="AN160" s="610"/>
      <c r="AO160" s="610"/>
      <c r="AP160" s="610"/>
      <c r="AQ160" s="610"/>
    </row>
    <row r="161" spans="2:43" s="609" customFormat="1">
      <c r="B161" s="610"/>
      <c r="C161" s="610"/>
      <c r="D161" s="610"/>
      <c r="E161" s="610"/>
      <c r="F161" s="610"/>
      <c r="G161" s="610"/>
      <c r="H161" s="610"/>
      <c r="I161" s="610"/>
      <c r="J161" s="610"/>
      <c r="L161" s="610"/>
      <c r="M161" s="610"/>
      <c r="N161" s="610"/>
      <c r="O161" s="610"/>
      <c r="P161" s="610"/>
      <c r="Q161" s="610"/>
      <c r="R161" s="610"/>
      <c r="S161" s="610"/>
      <c r="T161" s="610"/>
      <c r="U161" s="610"/>
      <c r="V161" s="610"/>
      <c r="W161" s="610"/>
      <c r="X161" s="610"/>
      <c r="Y161" s="610"/>
      <c r="Z161" s="610"/>
      <c r="AA161" s="610"/>
      <c r="AB161" s="610"/>
      <c r="AC161" s="610"/>
      <c r="AD161" s="610"/>
      <c r="AE161" s="610"/>
      <c r="AF161" s="610"/>
      <c r="AG161" s="610"/>
      <c r="AH161" s="610"/>
      <c r="AI161" s="610"/>
      <c r="AJ161" s="610"/>
      <c r="AK161" s="610"/>
      <c r="AL161" s="610"/>
      <c r="AM161" s="610"/>
      <c r="AN161" s="610"/>
      <c r="AO161" s="610"/>
      <c r="AP161" s="610"/>
      <c r="AQ161" s="610"/>
    </row>
    <row r="162" spans="2:43" s="609" customFormat="1">
      <c r="B162" s="610"/>
      <c r="C162" s="610"/>
      <c r="D162" s="610"/>
      <c r="E162" s="610"/>
      <c r="F162" s="610"/>
      <c r="G162" s="610"/>
      <c r="H162" s="610"/>
      <c r="I162" s="610"/>
      <c r="J162" s="610"/>
      <c r="L162" s="610"/>
      <c r="M162" s="610"/>
      <c r="N162" s="610"/>
      <c r="O162" s="610"/>
      <c r="P162" s="610"/>
      <c r="Q162" s="610"/>
      <c r="R162" s="610"/>
      <c r="S162" s="610"/>
      <c r="T162" s="610"/>
      <c r="U162" s="610"/>
      <c r="V162" s="610"/>
      <c r="W162" s="610"/>
      <c r="X162" s="610"/>
      <c r="Y162" s="610"/>
      <c r="Z162" s="610"/>
      <c r="AA162" s="610"/>
      <c r="AB162" s="610"/>
      <c r="AC162" s="610"/>
      <c r="AD162" s="610"/>
      <c r="AE162" s="610"/>
      <c r="AF162" s="610"/>
      <c r="AG162" s="610"/>
      <c r="AH162" s="610"/>
      <c r="AI162" s="610"/>
      <c r="AJ162" s="610"/>
      <c r="AK162" s="610"/>
      <c r="AL162" s="610"/>
      <c r="AM162" s="610"/>
      <c r="AN162" s="610"/>
      <c r="AO162" s="610"/>
      <c r="AP162" s="610"/>
      <c r="AQ162" s="610"/>
    </row>
    <row r="163" spans="2:43" s="609" customFormat="1">
      <c r="B163" s="610"/>
      <c r="C163" s="610"/>
      <c r="D163" s="610"/>
      <c r="E163" s="610"/>
      <c r="F163" s="610"/>
      <c r="G163" s="610"/>
      <c r="H163" s="610"/>
      <c r="I163" s="610"/>
      <c r="J163" s="610"/>
      <c r="L163" s="610"/>
      <c r="M163" s="610"/>
      <c r="N163" s="610"/>
      <c r="O163" s="610"/>
      <c r="P163" s="610"/>
      <c r="Q163" s="610"/>
      <c r="R163" s="610"/>
      <c r="S163" s="610"/>
      <c r="T163" s="610"/>
      <c r="U163" s="610"/>
      <c r="V163" s="610"/>
      <c r="W163" s="610"/>
      <c r="X163" s="610"/>
      <c r="Y163" s="610"/>
      <c r="Z163" s="610"/>
      <c r="AA163" s="610"/>
      <c r="AB163" s="610"/>
      <c r="AC163" s="610"/>
      <c r="AD163" s="610"/>
      <c r="AE163" s="610"/>
      <c r="AF163" s="610"/>
      <c r="AG163" s="610"/>
      <c r="AH163" s="610"/>
      <c r="AI163" s="610"/>
      <c r="AJ163" s="610"/>
      <c r="AK163" s="610"/>
      <c r="AL163" s="610"/>
      <c r="AM163" s="610"/>
      <c r="AN163" s="610"/>
      <c r="AO163" s="610"/>
      <c r="AP163" s="610"/>
      <c r="AQ163" s="610"/>
    </row>
    <row r="164" spans="2:43" s="609" customFormat="1">
      <c r="B164" s="610"/>
      <c r="C164" s="610"/>
      <c r="D164" s="610"/>
      <c r="E164" s="610"/>
      <c r="F164" s="610"/>
      <c r="G164" s="610"/>
      <c r="H164" s="610"/>
      <c r="I164" s="610"/>
      <c r="J164" s="610"/>
      <c r="L164" s="610"/>
      <c r="M164" s="610"/>
      <c r="N164" s="610"/>
      <c r="O164" s="610"/>
      <c r="P164" s="610"/>
      <c r="Q164" s="610"/>
      <c r="R164" s="610"/>
      <c r="S164" s="610"/>
      <c r="T164" s="610"/>
      <c r="U164" s="610"/>
      <c r="V164" s="610"/>
      <c r="W164" s="610"/>
      <c r="X164" s="610"/>
      <c r="Y164" s="610"/>
      <c r="Z164" s="610"/>
      <c r="AA164" s="610"/>
      <c r="AB164" s="610"/>
      <c r="AC164" s="610"/>
      <c r="AD164" s="610"/>
      <c r="AE164" s="610"/>
      <c r="AF164" s="610"/>
      <c r="AG164" s="610"/>
      <c r="AH164" s="610"/>
      <c r="AI164" s="610"/>
      <c r="AJ164" s="610"/>
      <c r="AK164" s="610"/>
      <c r="AL164" s="610"/>
      <c r="AM164" s="610"/>
      <c r="AN164" s="610"/>
      <c r="AO164" s="610"/>
      <c r="AP164" s="610"/>
      <c r="AQ164" s="610"/>
    </row>
    <row r="165" spans="2:43" s="609" customFormat="1">
      <c r="B165" s="610"/>
      <c r="C165" s="610"/>
      <c r="D165" s="610"/>
      <c r="E165" s="610"/>
      <c r="F165" s="610"/>
      <c r="G165" s="610"/>
      <c r="H165" s="610"/>
      <c r="I165" s="610"/>
      <c r="J165" s="610"/>
      <c r="L165" s="610"/>
      <c r="M165" s="610"/>
      <c r="N165" s="610"/>
      <c r="O165" s="610"/>
      <c r="P165" s="610"/>
      <c r="Q165" s="610"/>
      <c r="R165" s="610"/>
      <c r="S165" s="610"/>
      <c r="T165" s="610"/>
      <c r="U165" s="610"/>
      <c r="V165" s="610"/>
      <c r="W165" s="610"/>
      <c r="X165" s="610"/>
      <c r="Y165" s="610"/>
      <c r="Z165" s="610"/>
      <c r="AA165" s="610"/>
      <c r="AB165" s="610"/>
      <c r="AC165" s="610"/>
      <c r="AD165" s="610"/>
      <c r="AE165" s="610"/>
      <c r="AF165" s="610"/>
      <c r="AG165" s="610"/>
      <c r="AH165" s="610"/>
      <c r="AI165" s="610"/>
      <c r="AJ165" s="610"/>
      <c r="AK165" s="610"/>
      <c r="AL165" s="610"/>
      <c r="AM165" s="610"/>
      <c r="AN165" s="610"/>
      <c r="AO165" s="610"/>
      <c r="AP165" s="610"/>
      <c r="AQ165" s="610"/>
    </row>
    <row r="166" spans="2:43" s="609" customFormat="1">
      <c r="B166" s="610"/>
      <c r="C166" s="610"/>
      <c r="D166" s="610"/>
      <c r="E166" s="610"/>
      <c r="F166" s="610"/>
      <c r="G166" s="610"/>
      <c r="H166" s="610"/>
      <c r="I166" s="610"/>
      <c r="J166" s="610"/>
      <c r="L166" s="610"/>
      <c r="M166" s="610"/>
      <c r="N166" s="610"/>
      <c r="O166" s="610"/>
      <c r="P166" s="610"/>
      <c r="Q166" s="610"/>
      <c r="R166" s="610"/>
      <c r="S166" s="610"/>
      <c r="T166" s="610"/>
      <c r="U166" s="610"/>
      <c r="V166" s="610"/>
      <c r="W166" s="610"/>
      <c r="X166" s="610"/>
      <c r="Y166" s="610"/>
      <c r="Z166" s="610"/>
      <c r="AA166" s="610"/>
      <c r="AB166" s="610"/>
      <c r="AC166" s="610"/>
      <c r="AD166" s="610"/>
      <c r="AE166" s="610"/>
      <c r="AF166" s="610"/>
      <c r="AG166" s="610"/>
      <c r="AH166" s="610"/>
      <c r="AI166" s="610"/>
      <c r="AJ166" s="610"/>
      <c r="AK166" s="610"/>
      <c r="AL166" s="610"/>
      <c r="AM166" s="610"/>
      <c r="AN166" s="610"/>
      <c r="AO166" s="610"/>
      <c r="AP166" s="610"/>
      <c r="AQ166" s="610"/>
    </row>
    <row r="167" spans="2:43" s="609" customFormat="1">
      <c r="B167" s="610"/>
      <c r="C167" s="610"/>
      <c r="D167" s="610"/>
      <c r="E167" s="610"/>
      <c r="F167" s="610"/>
      <c r="G167" s="610"/>
      <c r="H167" s="610"/>
      <c r="I167" s="610"/>
      <c r="J167" s="610"/>
      <c r="L167" s="610"/>
      <c r="M167" s="610"/>
      <c r="N167" s="610"/>
      <c r="O167" s="610"/>
      <c r="P167" s="610"/>
      <c r="Q167" s="610"/>
      <c r="R167" s="610"/>
      <c r="S167" s="610"/>
      <c r="T167" s="610"/>
      <c r="U167" s="610"/>
      <c r="V167" s="610"/>
      <c r="W167" s="610"/>
      <c r="X167" s="610"/>
      <c r="Y167" s="610"/>
      <c r="Z167" s="610"/>
      <c r="AA167" s="610"/>
      <c r="AB167" s="610"/>
      <c r="AC167" s="610"/>
      <c r="AD167" s="610"/>
      <c r="AE167" s="610"/>
      <c r="AF167" s="610"/>
      <c r="AG167" s="610"/>
      <c r="AH167" s="610"/>
      <c r="AI167" s="610"/>
      <c r="AJ167" s="610"/>
      <c r="AK167" s="610"/>
      <c r="AL167" s="610"/>
      <c r="AM167" s="610"/>
      <c r="AN167" s="610"/>
      <c r="AO167" s="610"/>
      <c r="AP167" s="610"/>
      <c r="AQ167" s="610"/>
    </row>
    <row r="168" spans="2:43" s="609" customFormat="1">
      <c r="B168" s="610"/>
      <c r="C168" s="610"/>
      <c r="D168" s="610"/>
      <c r="E168" s="610"/>
      <c r="F168" s="610"/>
      <c r="G168" s="610"/>
      <c r="H168" s="610"/>
      <c r="I168" s="610"/>
      <c r="J168" s="610"/>
      <c r="L168" s="610"/>
      <c r="M168" s="610"/>
      <c r="N168" s="610"/>
      <c r="O168" s="610"/>
      <c r="P168" s="610"/>
      <c r="Q168" s="610"/>
      <c r="R168" s="610"/>
      <c r="S168" s="610"/>
      <c r="T168" s="610"/>
      <c r="U168" s="610"/>
      <c r="V168" s="610"/>
      <c r="W168" s="610"/>
      <c r="X168" s="610"/>
      <c r="Y168" s="610"/>
      <c r="Z168" s="610"/>
      <c r="AA168" s="610"/>
      <c r="AB168" s="610"/>
      <c r="AC168" s="610"/>
      <c r="AD168" s="610"/>
      <c r="AE168" s="610"/>
      <c r="AF168" s="610"/>
      <c r="AG168" s="610"/>
      <c r="AH168" s="610"/>
      <c r="AI168" s="610"/>
      <c r="AJ168" s="610"/>
      <c r="AK168" s="610"/>
      <c r="AL168" s="610"/>
      <c r="AM168" s="610"/>
      <c r="AN168" s="610"/>
      <c r="AO168" s="610"/>
      <c r="AP168" s="610"/>
      <c r="AQ168" s="610"/>
    </row>
    <row r="169" spans="2:43" s="609" customFormat="1">
      <c r="B169" s="610"/>
      <c r="C169" s="610"/>
      <c r="D169" s="610"/>
      <c r="E169" s="610"/>
      <c r="F169" s="610"/>
      <c r="G169" s="610"/>
      <c r="H169" s="610"/>
      <c r="I169" s="610"/>
      <c r="J169" s="610"/>
      <c r="L169" s="610"/>
      <c r="M169" s="610"/>
      <c r="N169" s="610"/>
      <c r="O169" s="610"/>
      <c r="P169" s="610"/>
      <c r="Q169" s="610"/>
      <c r="R169" s="610"/>
      <c r="S169" s="610"/>
      <c r="T169" s="610"/>
      <c r="U169" s="610"/>
      <c r="V169" s="610"/>
      <c r="W169" s="610"/>
      <c r="X169" s="610"/>
      <c r="Y169" s="610"/>
      <c r="Z169" s="610"/>
      <c r="AA169" s="610"/>
      <c r="AB169" s="610"/>
      <c r="AC169" s="610"/>
      <c r="AD169" s="610"/>
      <c r="AE169" s="610"/>
      <c r="AF169" s="610"/>
      <c r="AG169" s="610"/>
      <c r="AH169" s="610"/>
      <c r="AI169" s="610"/>
      <c r="AJ169" s="610"/>
      <c r="AK169" s="610"/>
      <c r="AL169" s="610"/>
      <c r="AM169" s="610"/>
      <c r="AN169" s="610"/>
      <c r="AO169" s="610"/>
      <c r="AP169" s="610"/>
      <c r="AQ169" s="610"/>
    </row>
    <row r="170" spans="2:43" s="609" customFormat="1">
      <c r="B170" s="610"/>
      <c r="C170" s="610"/>
      <c r="D170" s="610"/>
      <c r="E170" s="610"/>
      <c r="F170" s="610"/>
      <c r="G170" s="610"/>
      <c r="H170" s="610"/>
      <c r="I170" s="610"/>
      <c r="J170" s="610"/>
      <c r="L170" s="610"/>
      <c r="M170" s="610"/>
      <c r="N170" s="610"/>
      <c r="O170" s="610"/>
      <c r="P170" s="610"/>
      <c r="Q170" s="610"/>
      <c r="R170" s="610"/>
      <c r="S170" s="610"/>
      <c r="T170" s="610"/>
      <c r="U170" s="610"/>
      <c r="V170" s="610"/>
      <c r="W170" s="610"/>
      <c r="X170" s="610"/>
      <c r="Y170" s="610"/>
      <c r="Z170" s="610"/>
      <c r="AA170" s="610"/>
      <c r="AB170" s="610"/>
      <c r="AC170" s="610"/>
      <c r="AD170" s="610"/>
      <c r="AE170" s="610"/>
      <c r="AF170" s="610"/>
      <c r="AG170" s="610"/>
      <c r="AH170" s="610"/>
      <c r="AI170" s="610"/>
      <c r="AJ170" s="610"/>
      <c r="AK170" s="610"/>
      <c r="AL170" s="610"/>
      <c r="AM170" s="610"/>
      <c r="AN170" s="610"/>
      <c r="AO170" s="610"/>
      <c r="AP170" s="610"/>
      <c r="AQ170" s="610"/>
    </row>
    <row r="171" spans="2:43" s="609" customFormat="1">
      <c r="B171" s="610"/>
      <c r="C171" s="610"/>
      <c r="D171" s="610"/>
      <c r="E171" s="610"/>
      <c r="F171" s="610"/>
      <c r="G171" s="610"/>
      <c r="H171" s="610"/>
      <c r="I171" s="610"/>
      <c r="J171" s="610"/>
      <c r="L171" s="610"/>
      <c r="M171" s="610"/>
      <c r="N171" s="610"/>
      <c r="O171" s="610"/>
      <c r="P171" s="610"/>
      <c r="Q171" s="610"/>
      <c r="R171" s="610"/>
      <c r="S171" s="610"/>
      <c r="T171" s="610"/>
      <c r="U171" s="610"/>
      <c r="V171" s="610"/>
      <c r="W171" s="610"/>
      <c r="X171" s="610"/>
      <c r="Y171" s="610"/>
      <c r="Z171" s="610"/>
      <c r="AA171" s="610"/>
      <c r="AB171" s="610"/>
      <c r="AC171" s="610"/>
      <c r="AD171" s="610"/>
      <c r="AE171" s="610"/>
      <c r="AF171" s="610"/>
      <c r="AG171" s="610"/>
      <c r="AH171" s="610"/>
      <c r="AI171" s="610"/>
      <c r="AJ171" s="610"/>
      <c r="AK171" s="610"/>
      <c r="AL171" s="610"/>
      <c r="AM171" s="610"/>
      <c r="AN171" s="610"/>
      <c r="AO171" s="610"/>
      <c r="AP171" s="610"/>
      <c r="AQ171" s="610"/>
    </row>
    <row r="172" spans="2:43" s="609" customFormat="1">
      <c r="B172" s="610"/>
      <c r="C172" s="610"/>
      <c r="D172" s="610"/>
      <c r="E172" s="610"/>
      <c r="F172" s="610"/>
      <c r="G172" s="610"/>
      <c r="H172" s="610"/>
      <c r="I172" s="610"/>
      <c r="J172" s="610"/>
      <c r="L172" s="610"/>
      <c r="M172" s="610"/>
      <c r="N172" s="610"/>
      <c r="O172" s="610"/>
      <c r="P172" s="610"/>
      <c r="Q172" s="610"/>
      <c r="R172" s="610"/>
      <c r="S172" s="610"/>
      <c r="T172" s="610"/>
      <c r="U172" s="610"/>
      <c r="V172" s="610"/>
      <c r="W172" s="610"/>
      <c r="X172" s="610"/>
      <c r="Y172" s="610"/>
      <c r="Z172" s="610"/>
      <c r="AA172" s="610"/>
      <c r="AB172" s="610"/>
      <c r="AC172" s="610"/>
      <c r="AD172" s="610"/>
      <c r="AE172" s="610"/>
      <c r="AF172" s="610"/>
      <c r="AG172" s="610"/>
      <c r="AH172" s="610"/>
      <c r="AI172" s="610"/>
      <c r="AJ172" s="610"/>
      <c r="AK172" s="610"/>
      <c r="AL172" s="610"/>
      <c r="AM172" s="610"/>
      <c r="AN172" s="610"/>
      <c r="AO172" s="610"/>
      <c r="AP172" s="610"/>
      <c r="AQ172" s="610"/>
    </row>
    <row r="173" spans="2:43" s="609" customFormat="1">
      <c r="B173" s="610"/>
      <c r="C173" s="610"/>
      <c r="D173" s="610"/>
      <c r="E173" s="610"/>
      <c r="F173" s="610"/>
      <c r="G173" s="610"/>
      <c r="H173" s="610"/>
      <c r="I173" s="610"/>
      <c r="J173" s="610"/>
      <c r="L173" s="610"/>
      <c r="M173" s="610"/>
      <c r="N173" s="610"/>
      <c r="O173" s="610"/>
      <c r="P173" s="610"/>
      <c r="Q173" s="610"/>
      <c r="R173" s="610"/>
      <c r="S173" s="610"/>
      <c r="T173" s="610"/>
      <c r="U173" s="610"/>
      <c r="V173" s="610"/>
      <c r="W173" s="610"/>
      <c r="X173" s="610"/>
      <c r="Y173" s="610"/>
      <c r="Z173" s="610"/>
      <c r="AA173" s="610"/>
      <c r="AB173" s="610"/>
      <c r="AC173" s="610"/>
      <c r="AD173" s="610"/>
      <c r="AE173" s="610"/>
      <c r="AF173" s="610"/>
      <c r="AG173" s="610"/>
      <c r="AH173" s="610"/>
      <c r="AI173" s="610"/>
      <c r="AJ173" s="610"/>
      <c r="AK173" s="610"/>
      <c r="AL173" s="610"/>
      <c r="AM173" s="610"/>
      <c r="AN173" s="610"/>
      <c r="AO173" s="610"/>
      <c r="AP173" s="610"/>
      <c r="AQ173" s="610"/>
    </row>
    <row r="174" spans="2:43" s="609" customFormat="1">
      <c r="B174" s="610"/>
      <c r="C174" s="610"/>
      <c r="D174" s="610"/>
      <c r="E174" s="610"/>
      <c r="F174" s="610"/>
      <c r="G174" s="610"/>
      <c r="H174" s="610"/>
      <c r="I174" s="610"/>
      <c r="J174" s="610"/>
      <c r="L174" s="610"/>
      <c r="M174" s="610"/>
      <c r="N174" s="610"/>
      <c r="O174" s="610"/>
      <c r="P174" s="610"/>
      <c r="Q174" s="610"/>
      <c r="R174" s="610"/>
      <c r="S174" s="610"/>
      <c r="T174" s="610"/>
      <c r="U174" s="610"/>
      <c r="V174" s="610"/>
      <c r="W174" s="610"/>
      <c r="X174" s="610"/>
      <c r="Y174" s="610"/>
      <c r="Z174" s="610"/>
      <c r="AA174" s="610"/>
      <c r="AB174" s="610"/>
      <c r="AC174" s="610"/>
      <c r="AD174" s="610"/>
      <c r="AE174" s="610"/>
      <c r="AF174" s="610"/>
      <c r="AG174" s="610"/>
      <c r="AH174" s="610"/>
      <c r="AI174" s="610"/>
      <c r="AJ174" s="610"/>
      <c r="AK174" s="610"/>
      <c r="AL174" s="610"/>
      <c r="AM174" s="610"/>
      <c r="AN174" s="610"/>
      <c r="AO174" s="610"/>
      <c r="AP174" s="610"/>
      <c r="AQ174" s="610"/>
    </row>
    <row r="175" spans="2:43" s="609" customFormat="1">
      <c r="B175" s="610"/>
      <c r="C175" s="610"/>
      <c r="D175" s="610"/>
      <c r="E175" s="610"/>
      <c r="F175" s="610"/>
      <c r="G175" s="610"/>
      <c r="H175" s="610"/>
      <c r="I175" s="610"/>
      <c r="J175" s="610"/>
      <c r="L175" s="610"/>
      <c r="M175" s="610"/>
      <c r="N175" s="610"/>
      <c r="O175" s="610"/>
      <c r="P175" s="610"/>
      <c r="Q175" s="610"/>
      <c r="R175" s="610"/>
      <c r="S175" s="610"/>
      <c r="T175" s="610"/>
      <c r="U175" s="610"/>
      <c r="V175" s="610"/>
      <c r="W175" s="610"/>
      <c r="X175" s="610"/>
      <c r="Y175" s="610"/>
      <c r="Z175" s="610"/>
      <c r="AA175" s="610"/>
      <c r="AB175" s="610"/>
      <c r="AC175" s="610"/>
      <c r="AD175" s="610"/>
      <c r="AE175" s="610"/>
      <c r="AF175" s="610"/>
      <c r="AG175" s="610"/>
      <c r="AH175" s="610"/>
      <c r="AI175" s="610"/>
      <c r="AJ175" s="610"/>
      <c r="AK175" s="610"/>
      <c r="AL175" s="610"/>
      <c r="AM175" s="610"/>
      <c r="AN175" s="610"/>
      <c r="AO175" s="610"/>
      <c r="AP175" s="610"/>
      <c r="AQ175" s="610"/>
    </row>
    <row r="176" spans="2:43" s="609" customFormat="1">
      <c r="B176" s="610"/>
      <c r="C176" s="610"/>
      <c r="D176" s="610"/>
      <c r="E176" s="610"/>
      <c r="F176" s="610"/>
      <c r="G176" s="610"/>
      <c r="H176" s="610"/>
      <c r="I176" s="610"/>
      <c r="J176" s="610"/>
      <c r="L176" s="610"/>
      <c r="M176" s="610"/>
      <c r="N176" s="610"/>
      <c r="O176" s="610"/>
      <c r="P176" s="610"/>
      <c r="Q176" s="610"/>
      <c r="R176" s="610"/>
      <c r="S176" s="610"/>
      <c r="T176" s="610"/>
      <c r="U176" s="610"/>
      <c r="V176" s="610"/>
      <c r="W176" s="610"/>
      <c r="X176" s="610"/>
      <c r="Y176" s="610"/>
      <c r="Z176" s="610"/>
      <c r="AA176" s="610"/>
      <c r="AB176" s="610"/>
      <c r="AC176" s="610"/>
      <c r="AD176" s="610"/>
      <c r="AE176" s="610"/>
      <c r="AF176" s="610"/>
      <c r="AG176" s="610"/>
      <c r="AH176" s="610"/>
      <c r="AI176" s="610"/>
      <c r="AJ176" s="610"/>
      <c r="AK176" s="610"/>
      <c r="AL176" s="610"/>
      <c r="AM176" s="610"/>
      <c r="AN176" s="610"/>
      <c r="AO176" s="610"/>
      <c r="AP176" s="610"/>
      <c r="AQ176" s="610"/>
    </row>
    <row r="177" spans="2:43" s="609" customFormat="1">
      <c r="B177" s="610"/>
      <c r="C177" s="610"/>
      <c r="D177" s="610"/>
      <c r="E177" s="610"/>
      <c r="F177" s="610"/>
      <c r="G177" s="610"/>
      <c r="H177" s="610"/>
      <c r="I177" s="610"/>
      <c r="J177" s="610"/>
      <c r="L177" s="610"/>
      <c r="M177" s="610"/>
      <c r="N177" s="610"/>
      <c r="O177" s="610"/>
      <c r="P177" s="610"/>
      <c r="Q177" s="610"/>
      <c r="R177" s="610"/>
      <c r="S177" s="610"/>
      <c r="T177" s="610"/>
      <c r="U177" s="610"/>
      <c r="V177" s="610"/>
      <c r="W177" s="610"/>
      <c r="X177" s="610"/>
      <c r="Y177" s="610"/>
      <c r="Z177" s="610"/>
      <c r="AA177" s="610"/>
      <c r="AB177" s="610"/>
      <c r="AC177" s="610"/>
      <c r="AD177" s="610"/>
      <c r="AE177" s="610"/>
      <c r="AF177" s="610"/>
      <c r="AG177" s="610"/>
      <c r="AH177" s="610"/>
      <c r="AI177" s="610"/>
      <c r="AJ177" s="610"/>
      <c r="AK177" s="610"/>
      <c r="AL177" s="610"/>
      <c r="AM177" s="610"/>
      <c r="AN177" s="610"/>
      <c r="AO177" s="610"/>
      <c r="AP177" s="610"/>
      <c r="AQ177" s="610"/>
    </row>
    <row r="178" spans="2:43" s="609" customFormat="1">
      <c r="B178" s="610"/>
      <c r="C178" s="610"/>
      <c r="D178" s="610"/>
      <c r="E178" s="610"/>
      <c r="F178" s="610"/>
      <c r="G178" s="610"/>
      <c r="H178" s="610"/>
      <c r="I178" s="610"/>
      <c r="J178" s="610"/>
      <c r="L178" s="610"/>
      <c r="M178" s="610"/>
      <c r="N178" s="610"/>
      <c r="O178" s="610"/>
      <c r="P178" s="610"/>
      <c r="Q178" s="610"/>
      <c r="R178" s="610"/>
      <c r="S178" s="610"/>
      <c r="T178" s="610"/>
      <c r="U178" s="610"/>
      <c r="V178" s="610"/>
      <c r="W178" s="610"/>
      <c r="X178" s="610"/>
      <c r="Y178" s="610"/>
      <c r="Z178" s="610"/>
      <c r="AA178" s="610"/>
      <c r="AB178" s="610"/>
      <c r="AC178" s="610"/>
      <c r="AD178" s="610"/>
      <c r="AE178" s="610"/>
      <c r="AF178" s="610"/>
      <c r="AG178" s="610"/>
      <c r="AH178" s="610"/>
      <c r="AI178" s="610"/>
      <c r="AJ178" s="610"/>
      <c r="AK178" s="610"/>
      <c r="AL178" s="610"/>
      <c r="AM178" s="610"/>
      <c r="AN178" s="610"/>
      <c r="AO178" s="610"/>
      <c r="AP178" s="610"/>
      <c r="AQ178" s="610"/>
    </row>
    <row r="179" spans="2:43" s="609" customFormat="1">
      <c r="B179" s="610"/>
      <c r="C179" s="610"/>
      <c r="D179" s="610"/>
      <c r="E179" s="610"/>
      <c r="F179" s="610"/>
      <c r="G179" s="610"/>
      <c r="H179" s="610"/>
      <c r="I179" s="610"/>
      <c r="J179" s="610"/>
      <c r="L179" s="610"/>
      <c r="M179" s="610"/>
      <c r="N179" s="610"/>
      <c r="O179" s="610"/>
      <c r="P179" s="610"/>
      <c r="Q179" s="610"/>
      <c r="R179" s="610"/>
      <c r="S179" s="610"/>
      <c r="T179" s="610"/>
      <c r="U179" s="610"/>
      <c r="V179" s="610"/>
      <c r="W179" s="610"/>
      <c r="X179" s="610"/>
      <c r="Y179" s="610"/>
      <c r="Z179" s="610"/>
      <c r="AA179" s="610"/>
      <c r="AB179" s="610"/>
      <c r="AC179" s="610"/>
      <c r="AD179" s="610"/>
      <c r="AE179" s="610"/>
      <c r="AF179" s="610"/>
      <c r="AG179" s="610"/>
      <c r="AH179" s="610"/>
      <c r="AI179" s="610"/>
      <c r="AJ179" s="610"/>
      <c r="AK179" s="610"/>
      <c r="AL179" s="610"/>
      <c r="AM179" s="610"/>
      <c r="AN179" s="610"/>
      <c r="AO179" s="610"/>
      <c r="AP179" s="610"/>
      <c r="AQ179" s="610"/>
    </row>
    <row r="180" spans="2:43" s="609" customFormat="1">
      <c r="B180" s="610"/>
      <c r="C180" s="610"/>
      <c r="D180" s="610"/>
      <c r="E180" s="610"/>
      <c r="F180" s="610"/>
      <c r="G180" s="610"/>
      <c r="H180" s="610"/>
      <c r="I180" s="610"/>
      <c r="J180" s="610"/>
      <c r="L180" s="610"/>
      <c r="M180" s="610"/>
      <c r="N180" s="610"/>
      <c r="O180" s="610"/>
      <c r="P180" s="610"/>
      <c r="Q180" s="610"/>
      <c r="R180" s="610"/>
      <c r="S180" s="610"/>
      <c r="T180" s="610"/>
      <c r="U180" s="610"/>
      <c r="V180" s="610"/>
      <c r="W180" s="610"/>
      <c r="X180" s="610"/>
      <c r="Y180" s="610"/>
      <c r="Z180" s="610"/>
      <c r="AA180" s="610"/>
      <c r="AB180" s="610"/>
      <c r="AC180" s="610"/>
      <c r="AD180" s="610"/>
      <c r="AE180" s="610"/>
      <c r="AF180" s="610"/>
      <c r="AG180" s="610"/>
      <c r="AH180" s="610"/>
      <c r="AI180" s="610"/>
      <c r="AJ180" s="610"/>
      <c r="AK180" s="610"/>
      <c r="AL180" s="610"/>
      <c r="AM180" s="610"/>
      <c r="AN180" s="610"/>
      <c r="AO180" s="610"/>
      <c r="AP180" s="610"/>
      <c r="AQ180" s="610"/>
    </row>
    <row r="181" spans="2:43" s="609" customFormat="1">
      <c r="B181" s="610"/>
      <c r="C181" s="610"/>
      <c r="D181" s="610"/>
      <c r="E181" s="610"/>
      <c r="F181" s="610"/>
      <c r="G181" s="610"/>
      <c r="H181" s="610"/>
      <c r="I181" s="610"/>
      <c r="J181" s="610"/>
      <c r="L181" s="610"/>
      <c r="M181" s="610"/>
      <c r="N181" s="610"/>
      <c r="O181" s="610"/>
      <c r="P181" s="610"/>
      <c r="Q181" s="610"/>
      <c r="R181" s="610"/>
      <c r="S181" s="610"/>
      <c r="T181" s="610"/>
      <c r="U181" s="610"/>
      <c r="V181" s="610"/>
      <c r="W181" s="610"/>
      <c r="X181" s="610"/>
      <c r="Y181" s="610"/>
      <c r="Z181" s="610"/>
      <c r="AA181" s="610"/>
      <c r="AB181" s="610"/>
      <c r="AC181" s="610"/>
      <c r="AD181" s="610"/>
      <c r="AE181" s="610"/>
      <c r="AF181" s="610"/>
      <c r="AG181" s="610"/>
      <c r="AH181" s="610"/>
      <c r="AI181" s="610"/>
      <c r="AJ181" s="610"/>
      <c r="AK181" s="610"/>
      <c r="AL181" s="610"/>
      <c r="AM181" s="610"/>
      <c r="AN181" s="610"/>
      <c r="AO181" s="610"/>
      <c r="AP181" s="610"/>
      <c r="AQ181" s="610"/>
    </row>
    <row r="182" spans="2:43" s="609" customFormat="1">
      <c r="B182" s="610"/>
      <c r="C182" s="610"/>
      <c r="D182" s="610"/>
      <c r="E182" s="610"/>
      <c r="F182" s="610"/>
      <c r="G182" s="610"/>
      <c r="H182" s="610"/>
      <c r="I182" s="610"/>
      <c r="J182" s="610"/>
      <c r="L182" s="610"/>
      <c r="M182" s="610"/>
      <c r="N182" s="610"/>
      <c r="O182" s="610"/>
      <c r="P182" s="610"/>
      <c r="Q182" s="610"/>
      <c r="R182" s="610"/>
      <c r="S182" s="610"/>
      <c r="T182" s="610"/>
      <c r="U182" s="610"/>
      <c r="V182" s="610"/>
      <c r="W182" s="610"/>
      <c r="X182" s="610"/>
      <c r="Y182" s="610"/>
      <c r="Z182" s="610"/>
      <c r="AA182" s="610"/>
      <c r="AB182" s="610"/>
      <c r="AC182" s="610"/>
      <c r="AD182" s="610"/>
      <c r="AE182" s="610"/>
      <c r="AF182" s="610"/>
      <c r="AG182" s="610"/>
      <c r="AH182" s="610"/>
      <c r="AI182" s="610"/>
      <c r="AJ182" s="610"/>
      <c r="AK182" s="610"/>
      <c r="AL182" s="610"/>
      <c r="AM182" s="610"/>
      <c r="AN182" s="610"/>
      <c r="AO182" s="610"/>
      <c r="AP182" s="610"/>
      <c r="AQ182" s="610"/>
    </row>
    <row r="183" spans="2:43" s="609" customFormat="1">
      <c r="B183" s="610"/>
      <c r="C183" s="610"/>
      <c r="D183" s="610"/>
      <c r="E183" s="610"/>
      <c r="F183" s="610"/>
      <c r="G183" s="610"/>
      <c r="H183" s="610"/>
      <c r="I183" s="610"/>
      <c r="J183" s="610"/>
      <c r="L183" s="610"/>
      <c r="M183" s="610"/>
      <c r="N183" s="610"/>
      <c r="O183" s="610"/>
      <c r="P183" s="610"/>
      <c r="Q183" s="610"/>
      <c r="R183" s="610"/>
      <c r="S183" s="610"/>
      <c r="T183" s="610"/>
      <c r="U183" s="610"/>
      <c r="V183" s="610"/>
      <c r="W183" s="610"/>
      <c r="X183" s="610"/>
      <c r="Y183" s="610"/>
      <c r="Z183" s="610"/>
      <c r="AA183" s="610"/>
      <c r="AB183" s="610"/>
      <c r="AC183" s="610"/>
      <c r="AD183" s="610"/>
      <c r="AE183" s="610"/>
      <c r="AF183" s="610"/>
      <c r="AG183" s="610"/>
      <c r="AH183" s="610"/>
      <c r="AI183" s="610"/>
      <c r="AJ183" s="610"/>
      <c r="AK183" s="610"/>
      <c r="AL183" s="610"/>
      <c r="AM183" s="610"/>
      <c r="AN183" s="610"/>
      <c r="AO183" s="610"/>
      <c r="AP183" s="610"/>
      <c r="AQ183" s="610"/>
    </row>
    <row r="184" spans="2:43" s="609" customFormat="1">
      <c r="B184" s="610"/>
      <c r="C184" s="610"/>
      <c r="D184" s="610"/>
      <c r="E184" s="610"/>
      <c r="F184" s="610"/>
      <c r="G184" s="610"/>
      <c r="H184" s="610"/>
      <c r="I184" s="610"/>
      <c r="J184" s="610"/>
      <c r="L184" s="610"/>
      <c r="M184" s="610"/>
      <c r="N184" s="610"/>
      <c r="O184" s="610"/>
      <c r="P184" s="610"/>
      <c r="Q184" s="610"/>
      <c r="R184" s="610"/>
      <c r="S184" s="610"/>
      <c r="T184" s="610"/>
      <c r="U184" s="610"/>
      <c r="V184" s="610"/>
      <c r="W184" s="610"/>
      <c r="X184" s="610"/>
      <c r="Y184" s="610"/>
      <c r="Z184" s="610"/>
      <c r="AA184" s="610"/>
      <c r="AB184" s="610"/>
      <c r="AC184" s="610"/>
      <c r="AD184" s="610"/>
      <c r="AE184" s="610"/>
      <c r="AF184" s="610"/>
      <c r="AG184" s="610"/>
      <c r="AH184" s="610"/>
      <c r="AI184" s="610"/>
      <c r="AJ184" s="610"/>
      <c r="AK184" s="610"/>
      <c r="AL184" s="610"/>
      <c r="AM184" s="610"/>
      <c r="AN184" s="610"/>
      <c r="AO184" s="610"/>
      <c r="AP184" s="610"/>
      <c r="AQ184" s="610"/>
    </row>
    <row r="185" spans="2:43" s="609" customFormat="1">
      <c r="B185" s="610"/>
      <c r="C185" s="610"/>
      <c r="D185" s="610"/>
      <c r="E185" s="610"/>
      <c r="F185" s="610"/>
      <c r="G185" s="610"/>
      <c r="H185" s="610"/>
      <c r="I185" s="610"/>
      <c r="J185" s="610"/>
      <c r="L185" s="610"/>
      <c r="M185" s="610"/>
      <c r="N185" s="610"/>
      <c r="O185" s="610"/>
      <c r="P185" s="610"/>
      <c r="Q185" s="610"/>
      <c r="R185" s="610"/>
      <c r="S185" s="610"/>
      <c r="T185" s="610"/>
      <c r="U185" s="610"/>
      <c r="V185" s="610"/>
      <c r="W185" s="610"/>
      <c r="X185" s="610"/>
      <c r="Y185" s="610"/>
      <c r="Z185" s="610"/>
      <c r="AA185" s="610"/>
      <c r="AB185" s="610"/>
      <c r="AC185" s="610"/>
      <c r="AD185" s="610"/>
      <c r="AE185" s="610"/>
      <c r="AF185" s="610"/>
      <c r="AG185" s="610"/>
      <c r="AH185" s="610"/>
      <c r="AI185" s="610"/>
      <c r="AJ185" s="610"/>
      <c r="AK185" s="610"/>
      <c r="AL185" s="610"/>
      <c r="AM185" s="610"/>
      <c r="AN185" s="610"/>
      <c r="AO185" s="610"/>
      <c r="AP185" s="610"/>
      <c r="AQ185" s="610"/>
    </row>
    <row r="186" spans="2:43" s="609" customFormat="1">
      <c r="B186" s="610"/>
      <c r="C186" s="610"/>
      <c r="D186" s="610"/>
      <c r="E186" s="610"/>
      <c r="F186" s="610"/>
      <c r="G186" s="610"/>
      <c r="H186" s="610"/>
      <c r="I186" s="610"/>
      <c r="J186" s="610"/>
      <c r="L186" s="610"/>
      <c r="M186" s="610"/>
      <c r="N186" s="610"/>
      <c r="O186" s="610"/>
      <c r="P186" s="610"/>
      <c r="Q186" s="610"/>
      <c r="R186" s="610"/>
      <c r="S186" s="610"/>
      <c r="T186" s="610"/>
      <c r="U186" s="610"/>
      <c r="V186" s="610"/>
      <c r="W186" s="610"/>
      <c r="X186" s="610"/>
      <c r="Y186" s="610"/>
      <c r="Z186" s="610"/>
      <c r="AA186" s="610"/>
      <c r="AB186" s="610"/>
      <c r="AC186" s="610"/>
      <c r="AD186" s="610"/>
      <c r="AE186" s="610"/>
      <c r="AF186" s="610"/>
      <c r="AG186" s="610"/>
      <c r="AH186" s="610"/>
      <c r="AI186" s="610"/>
      <c r="AJ186" s="610"/>
      <c r="AK186" s="610"/>
      <c r="AL186" s="610"/>
      <c r="AM186" s="610"/>
      <c r="AN186" s="610"/>
      <c r="AO186" s="610"/>
      <c r="AP186" s="610"/>
      <c r="AQ186" s="610"/>
    </row>
    <row r="187" spans="2:43" s="609" customFormat="1">
      <c r="B187" s="610"/>
      <c r="C187" s="610"/>
      <c r="D187" s="610"/>
      <c r="E187" s="610"/>
      <c r="F187" s="610"/>
      <c r="G187" s="610"/>
      <c r="H187" s="610"/>
      <c r="I187" s="610"/>
      <c r="J187" s="610"/>
      <c r="L187" s="610"/>
      <c r="M187" s="610"/>
      <c r="N187" s="610"/>
      <c r="O187" s="610"/>
      <c r="P187" s="610"/>
      <c r="Q187" s="610"/>
      <c r="R187" s="610"/>
      <c r="S187" s="610"/>
      <c r="T187" s="610"/>
      <c r="U187" s="610"/>
      <c r="V187" s="610"/>
      <c r="W187" s="610"/>
      <c r="X187" s="610"/>
      <c r="Y187" s="610"/>
      <c r="Z187" s="610"/>
      <c r="AA187" s="610"/>
      <c r="AB187" s="610"/>
      <c r="AC187" s="610"/>
      <c r="AD187" s="610"/>
      <c r="AE187" s="610"/>
      <c r="AF187" s="610"/>
      <c r="AG187" s="610"/>
      <c r="AH187" s="610"/>
      <c r="AI187" s="610"/>
      <c r="AJ187" s="610"/>
      <c r="AK187" s="610"/>
      <c r="AL187" s="610"/>
      <c r="AM187" s="610"/>
      <c r="AN187" s="610"/>
      <c r="AO187" s="610"/>
      <c r="AP187" s="610"/>
      <c r="AQ187" s="610"/>
    </row>
    <row r="188" spans="2:43" s="609" customFormat="1">
      <c r="B188" s="610"/>
      <c r="C188" s="610"/>
      <c r="D188" s="610"/>
      <c r="E188" s="610"/>
      <c r="F188" s="610"/>
      <c r="G188" s="610"/>
      <c r="H188" s="610"/>
      <c r="I188" s="610"/>
      <c r="J188" s="610"/>
      <c r="L188" s="610"/>
      <c r="M188" s="610"/>
      <c r="N188" s="610"/>
      <c r="O188" s="610"/>
      <c r="P188" s="610"/>
      <c r="Q188" s="610"/>
      <c r="R188" s="610"/>
      <c r="S188" s="610"/>
      <c r="T188" s="610"/>
      <c r="U188" s="610"/>
      <c r="V188" s="610"/>
      <c r="W188" s="610"/>
      <c r="X188" s="610"/>
      <c r="Y188" s="610"/>
      <c r="Z188" s="610"/>
      <c r="AA188" s="610"/>
      <c r="AB188" s="610"/>
      <c r="AC188" s="610"/>
      <c r="AD188" s="610"/>
      <c r="AE188" s="610"/>
      <c r="AF188" s="610"/>
      <c r="AG188" s="610"/>
      <c r="AH188" s="610"/>
      <c r="AI188" s="610"/>
      <c r="AJ188" s="610"/>
      <c r="AK188" s="610"/>
      <c r="AL188" s="610"/>
      <c r="AM188" s="610"/>
      <c r="AN188" s="610"/>
      <c r="AO188" s="610"/>
      <c r="AP188" s="610"/>
      <c r="AQ188" s="610"/>
    </row>
    <row r="189" spans="2:43" s="609" customFormat="1">
      <c r="B189" s="610"/>
      <c r="C189" s="610"/>
      <c r="D189" s="610"/>
      <c r="E189" s="610"/>
      <c r="F189" s="610"/>
      <c r="G189" s="610"/>
      <c r="H189" s="610"/>
      <c r="I189" s="610"/>
      <c r="J189" s="610"/>
      <c r="L189" s="610"/>
      <c r="M189" s="610"/>
      <c r="N189" s="610"/>
      <c r="O189" s="610"/>
      <c r="P189" s="610"/>
      <c r="Q189" s="610"/>
      <c r="R189" s="610"/>
      <c r="S189" s="610"/>
      <c r="T189" s="610"/>
      <c r="U189" s="610"/>
      <c r="V189" s="610"/>
      <c r="W189" s="610"/>
      <c r="X189" s="610"/>
      <c r="Y189" s="610"/>
      <c r="Z189" s="610"/>
      <c r="AA189" s="610"/>
      <c r="AB189" s="610"/>
      <c r="AC189" s="610"/>
      <c r="AD189" s="610"/>
      <c r="AE189" s="610"/>
      <c r="AF189" s="610"/>
      <c r="AG189" s="610"/>
      <c r="AH189" s="610"/>
      <c r="AI189" s="610"/>
      <c r="AJ189" s="610"/>
      <c r="AK189" s="610"/>
      <c r="AL189" s="610"/>
      <c r="AM189" s="610"/>
      <c r="AN189" s="610"/>
      <c r="AO189" s="610"/>
      <c r="AP189" s="610"/>
      <c r="AQ189" s="610"/>
    </row>
    <row r="190" spans="2:43" s="609" customFormat="1">
      <c r="B190" s="610"/>
      <c r="C190" s="610"/>
      <c r="D190" s="610"/>
      <c r="E190" s="610"/>
      <c r="F190" s="610"/>
      <c r="G190" s="610"/>
      <c r="H190" s="610"/>
      <c r="I190" s="610"/>
      <c r="J190" s="610"/>
      <c r="L190" s="610"/>
      <c r="M190" s="610"/>
      <c r="N190" s="610"/>
      <c r="O190" s="610"/>
      <c r="P190" s="610"/>
      <c r="Q190" s="610"/>
      <c r="R190" s="610"/>
      <c r="S190" s="610"/>
      <c r="T190" s="610"/>
      <c r="U190" s="610"/>
      <c r="V190" s="610"/>
      <c r="W190" s="610"/>
      <c r="X190" s="610"/>
      <c r="Y190" s="610"/>
      <c r="Z190" s="610"/>
      <c r="AA190" s="610"/>
      <c r="AB190" s="610"/>
      <c r="AC190" s="610"/>
      <c r="AD190" s="610"/>
      <c r="AE190" s="610"/>
      <c r="AF190" s="610"/>
      <c r="AG190" s="610"/>
      <c r="AH190" s="610"/>
      <c r="AI190" s="610"/>
      <c r="AJ190" s="610"/>
      <c r="AK190" s="610"/>
      <c r="AL190" s="610"/>
      <c r="AM190" s="610"/>
      <c r="AN190" s="610"/>
      <c r="AO190" s="610"/>
      <c r="AP190" s="610"/>
      <c r="AQ190" s="610"/>
    </row>
    <row r="191" spans="2:43" s="609" customFormat="1">
      <c r="B191" s="610"/>
      <c r="C191" s="610"/>
      <c r="D191" s="610"/>
      <c r="E191" s="610"/>
      <c r="F191" s="610"/>
      <c r="G191" s="610"/>
      <c r="H191" s="610"/>
      <c r="I191" s="610"/>
      <c r="J191" s="610"/>
      <c r="L191" s="610"/>
      <c r="M191" s="610"/>
      <c r="N191" s="610"/>
      <c r="O191" s="610"/>
      <c r="P191" s="610"/>
      <c r="Q191" s="610"/>
      <c r="R191" s="610"/>
      <c r="S191" s="610"/>
      <c r="T191" s="610"/>
      <c r="U191" s="610"/>
      <c r="V191" s="610"/>
      <c r="W191" s="610"/>
      <c r="X191" s="610"/>
      <c r="Y191" s="610"/>
      <c r="Z191" s="610"/>
      <c r="AA191" s="610"/>
      <c r="AB191" s="610"/>
      <c r="AC191" s="610"/>
      <c r="AD191" s="610"/>
      <c r="AE191" s="610"/>
      <c r="AF191" s="610"/>
      <c r="AG191" s="610"/>
      <c r="AH191" s="610"/>
      <c r="AI191" s="610"/>
      <c r="AJ191" s="610"/>
      <c r="AK191" s="610"/>
      <c r="AL191" s="610"/>
      <c r="AM191" s="610"/>
      <c r="AN191" s="610"/>
      <c r="AO191" s="610"/>
      <c r="AP191" s="610"/>
      <c r="AQ191" s="610"/>
    </row>
    <row r="192" spans="2:43" s="609" customFormat="1">
      <c r="B192" s="610"/>
      <c r="C192" s="610"/>
      <c r="D192" s="610"/>
      <c r="E192" s="610"/>
      <c r="F192" s="610"/>
      <c r="G192" s="610"/>
      <c r="H192" s="610"/>
      <c r="I192" s="610"/>
      <c r="J192" s="610"/>
      <c r="L192" s="610"/>
      <c r="M192" s="610"/>
      <c r="N192" s="610"/>
      <c r="O192" s="610"/>
      <c r="P192" s="610"/>
      <c r="Q192" s="610"/>
      <c r="R192" s="610"/>
      <c r="S192" s="610"/>
      <c r="T192" s="610"/>
      <c r="U192" s="610"/>
      <c r="V192" s="610"/>
      <c r="W192" s="610"/>
      <c r="X192" s="610"/>
      <c r="Y192" s="610"/>
      <c r="Z192" s="610"/>
      <c r="AA192" s="610"/>
      <c r="AB192" s="610"/>
      <c r="AC192" s="610"/>
      <c r="AD192" s="610"/>
      <c r="AE192" s="610"/>
      <c r="AF192" s="610"/>
      <c r="AG192" s="610"/>
      <c r="AH192" s="610"/>
      <c r="AI192" s="610"/>
      <c r="AJ192" s="610"/>
      <c r="AK192" s="610"/>
      <c r="AL192" s="610"/>
      <c r="AM192" s="610"/>
      <c r="AN192" s="610"/>
      <c r="AO192" s="610"/>
      <c r="AP192" s="610"/>
      <c r="AQ192" s="610"/>
    </row>
    <row r="193" spans="2:43" s="609" customFormat="1">
      <c r="B193" s="610"/>
      <c r="C193" s="610"/>
      <c r="D193" s="610"/>
      <c r="E193" s="610"/>
      <c r="F193" s="610"/>
      <c r="G193" s="610"/>
      <c r="H193" s="610"/>
      <c r="I193" s="610"/>
      <c r="J193" s="610"/>
      <c r="L193" s="610"/>
      <c r="M193" s="610"/>
      <c r="N193" s="610"/>
      <c r="O193" s="610"/>
      <c r="P193" s="610"/>
      <c r="Q193" s="610"/>
      <c r="R193" s="610"/>
      <c r="S193" s="610"/>
      <c r="T193" s="610"/>
      <c r="U193" s="610"/>
      <c r="V193" s="610"/>
      <c r="W193" s="610"/>
      <c r="X193" s="610"/>
      <c r="Y193" s="610"/>
      <c r="Z193" s="610"/>
      <c r="AA193" s="610"/>
      <c r="AB193" s="610"/>
      <c r="AC193" s="610"/>
      <c r="AD193" s="610"/>
      <c r="AE193" s="610"/>
      <c r="AF193" s="610"/>
      <c r="AG193" s="610"/>
      <c r="AH193" s="610"/>
      <c r="AI193" s="610"/>
      <c r="AJ193" s="610"/>
      <c r="AK193" s="610"/>
      <c r="AL193" s="610"/>
      <c r="AM193" s="610"/>
      <c r="AN193" s="610"/>
      <c r="AO193" s="610"/>
      <c r="AP193" s="610"/>
      <c r="AQ193" s="610"/>
    </row>
    <row r="194" spans="2:43" s="609" customFormat="1">
      <c r="B194" s="610"/>
      <c r="C194" s="610"/>
      <c r="D194" s="610"/>
      <c r="E194" s="610"/>
      <c r="F194" s="610"/>
      <c r="G194" s="610"/>
      <c r="H194" s="610"/>
      <c r="I194" s="610"/>
      <c r="J194" s="610"/>
      <c r="L194" s="610"/>
      <c r="M194" s="610"/>
      <c r="N194" s="610"/>
      <c r="O194" s="610"/>
      <c r="P194" s="610"/>
      <c r="Q194" s="610"/>
      <c r="R194" s="610"/>
      <c r="S194" s="610"/>
      <c r="T194" s="610"/>
      <c r="U194" s="610"/>
      <c r="V194" s="610"/>
      <c r="W194" s="610"/>
      <c r="X194" s="610"/>
      <c r="Y194" s="610"/>
      <c r="Z194" s="610"/>
      <c r="AA194" s="610"/>
      <c r="AB194" s="610"/>
      <c r="AC194" s="610"/>
      <c r="AD194" s="610"/>
      <c r="AE194" s="610"/>
      <c r="AF194" s="610"/>
      <c r="AG194" s="610"/>
      <c r="AH194" s="610"/>
      <c r="AI194" s="610"/>
      <c r="AJ194" s="610"/>
      <c r="AK194" s="610"/>
      <c r="AL194" s="610"/>
      <c r="AM194" s="610"/>
      <c r="AN194" s="610"/>
      <c r="AO194" s="610"/>
      <c r="AP194" s="610"/>
      <c r="AQ194" s="610"/>
    </row>
    <row r="195" spans="2:43" s="609" customFormat="1">
      <c r="B195" s="610"/>
      <c r="C195" s="610"/>
      <c r="D195" s="610"/>
      <c r="E195" s="610"/>
      <c r="F195" s="610"/>
      <c r="G195" s="610"/>
      <c r="H195" s="610"/>
      <c r="I195" s="610"/>
      <c r="J195" s="610"/>
      <c r="L195" s="610"/>
      <c r="M195" s="610"/>
      <c r="N195" s="610"/>
      <c r="O195" s="610"/>
      <c r="P195" s="610"/>
      <c r="Q195" s="610"/>
      <c r="R195" s="610"/>
      <c r="S195" s="610"/>
      <c r="T195" s="610"/>
      <c r="U195" s="610"/>
      <c r="V195" s="610"/>
      <c r="W195" s="610"/>
      <c r="X195" s="610"/>
      <c r="Y195" s="610"/>
      <c r="Z195" s="610"/>
      <c r="AA195" s="610"/>
      <c r="AB195" s="610"/>
      <c r="AC195" s="610"/>
      <c r="AD195" s="610"/>
      <c r="AE195" s="610"/>
      <c r="AF195" s="610"/>
      <c r="AG195" s="610"/>
      <c r="AH195" s="610"/>
      <c r="AI195" s="610"/>
      <c r="AJ195" s="610"/>
      <c r="AK195" s="610"/>
      <c r="AL195" s="610"/>
      <c r="AM195" s="610"/>
      <c r="AN195" s="610"/>
      <c r="AO195" s="610"/>
      <c r="AP195" s="610"/>
      <c r="AQ195" s="610"/>
    </row>
    <row r="196" spans="2:43" s="609" customFormat="1">
      <c r="B196" s="610"/>
      <c r="C196" s="610"/>
      <c r="D196" s="610"/>
      <c r="E196" s="610"/>
      <c r="F196" s="610"/>
      <c r="G196" s="610"/>
      <c r="H196" s="610"/>
      <c r="I196" s="610"/>
      <c r="J196" s="610"/>
      <c r="L196" s="610"/>
      <c r="M196" s="610"/>
      <c r="N196" s="610"/>
      <c r="O196" s="610"/>
      <c r="P196" s="610"/>
      <c r="Q196" s="610"/>
      <c r="R196" s="610"/>
      <c r="S196" s="610"/>
      <c r="T196" s="610"/>
      <c r="U196" s="610"/>
      <c r="V196" s="610"/>
      <c r="W196" s="610"/>
      <c r="X196" s="610"/>
      <c r="Y196" s="610"/>
      <c r="Z196" s="610"/>
      <c r="AA196" s="610"/>
      <c r="AB196" s="610"/>
      <c r="AC196" s="610"/>
      <c r="AD196" s="610"/>
      <c r="AE196" s="610"/>
      <c r="AF196" s="610"/>
      <c r="AG196" s="610"/>
      <c r="AH196" s="610"/>
      <c r="AI196" s="610"/>
      <c r="AJ196" s="610"/>
      <c r="AK196" s="610"/>
      <c r="AL196" s="610"/>
      <c r="AM196" s="610"/>
      <c r="AN196" s="610"/>
      <c r="AO196" s="610"/>
      <c r="AP196" s="610"/>
      <c r="AQ196" s="610"/>
    </row>
    <row r="197" spans="2:43" s="609" customFormat="1">
      <c r="B197" s="610"/>
      <c r="C197" s="610"/>
      <c r="D197" s="610"/>
      <c r="E197" s="610"/>
      <c r="F197" s="610"/>
      <c r="G197" s="610"/>
      <c r="H197" s="610"/>
      <c r="I197" s="610"/>
      <c r="J197" s="610"/>
      <c r="L197" s="610"/>
      <c r="M197" s="610"/>
      <c r="N197" s="610"/>
      <c r="O197" s="610"/>
      <c r="P197" s="610"/>
      <c r="Q197" s="610"/>
      <c r="R197" s="610"/>
      <c r="S197" s="610"/>
      <c r="T197" s="610"/>
      <c r="U197" s="610"/>
      <c r="V197" s="610"/>
      <c r="W197" s="610"/>
      <c r="X197" s="610"/>
      <c r="Y197" s="610"/>
      <c r="Z197" s="610"/>
      <c r="AA197" s="610"/>
      <c r="AB197" s="610"/>
      <c r="AC197" s="610"/>
      <c r="AD197" s="610"/>
      <c r="AE197" s="610"/>
      <c r="AF197" s="610"/>
      <c r="AG197" s="610"/>
      <c r="AH197" s="610"/>
      <c r="AI197" s="610"/>
      <c r="AJ197" s="610"/>
      <c r="AK197" s="610"/>
      <c r="AL197" s="610"/>
      <c r="AM197" s="610"/>
      <c r="AN197" s="610"/>
      <c r="AO197" s="610"/>
      <c r="AP197" s="610"/>
      <c r="AQ197" s="610"/>
    </row>
    <row r="198" spans="2:43" s="609" customFormat="1">
      <c r="B198" s="610"/>
      <c r="C198" s="610"/>
      <c r="D198" s="610"/>
      <c r="E198" s="610"/>
      <c r="F198" s="610"/>
      <c r="G198" s="610"/>
      <c r="H198" s="610"/>
      <c r="I198" s="610"/>
      <c r="J198" s="610"/>
      <c r="L198" s="610"/>
      <c r="M198" s="610"/>
      <c r="N198" s="610"/>
      <c r="O198" s="610"/>
      <c r="P198" s="610"/>
      <c r="Q198" s="610"/>
      <c r="R198" s="610"/>
      <c r="S198" s="610"/>
      <c r="T198" s="610"/>
      <c r="U198" s="610"/>
      <c r="V198" s="610"/>
      <c r="W198" s="610"/>
      <c r="X198" s="610"/>
      <c r="Y198" s="610"/>
      <c r="Z198" s="610"/>
      <c r="AA198" s="610"/>
      <c r="AB198" s="610"/>
      <c r="AC198" s="610"/>
      <c r="AD198" s="610"/>
      <c r="AE198" s="610"/>
      <c r="AF198" s="610"/>
      <c r="AG198" s="610"/>
      <c r="AH198" s="610"/>
      <c r="AI198" s="610"/>
      <c r="AJ198" s="610"/>
      <c r="AK198" s="610"/>
      <c r="AL198" s="610"/>
      <c r="AM198" s="610"/>
      <c r="AN198" s="610"/>
      <c r="AO198" s="610"/>
      <c r="AP198" s="610"/>
      <c r="AQ198" s="610"/>
    </row>
    <row r="199" spans="2:43" s="609" customFormat="1">
      <c r="B199" s="610"/>
      <c r="C199" s="610"/>
      <c r="D199" s="610"/>
      <c r="E199" s="610"/>
      <c r="F199" s="610"/>
      <c r="G199" s="610"/>
      <c r="H199" s="610"/>
      <c r="I199" s="610"/>
      <c r="J199" s="610"/>
      <c r="L199" s="610"/>
      <c r="M199" s="610"/>
      <c r="N199" s="610"/>
      <c r="O199" s="610"/>
      <c r="P199" s="610"/>
      <c r="Q199" s="610"/>
      <c r="R199" s="610"/>
      <c r="S199" s="610"/>
      <c r="T199" s="610"/>
      <c r="U199" s="610"/>
      <c r="V199" s="610"/>
      <c r="W199" s="610"/>
      <c r="X199" s="610"/>
      <c r="Y199" s="610"/>
      <c r="Z199" s="610"/>
      <c r="AA199" s="610"/>
      <c r="AB199" s="610"/>
      <c r="AC199" s="610"/>
      <c r="AD199" s="610"/>
      <c r="AE199" s="610"/>
      <c r="AF199" s="610"/>
      <c r="AG199" s="610"/>
      <c r="AH199" s="610"/>
      <c r="AI199" s="610"/>
      <c r="AJ199" s="610"/>
      <c r="AK199" s="610"/>
      <c r="AL199" s="610"/>
      <c r="AM199" s="610"/>
      <c r="AN199" s="610"/>
      <c r="AO199" s="610"/>
      <c r="AP199" s="610"/>
      <c r="AQ199" s="610"/>
    </row>
    <row r="200" spans="2:43" s="609" customFormat="1">
      <c r="B200" s="610"/>
      <c r="C200" s="610"/>
      <c r="D200" s="610"/>
      <c r="E200" s="610"/>
      <c r="F200" s="610"/>
      <c r="G200" s="610"/>
      <c r="H200" s="610"/>
      <c r="I200" s="610"/>
      <c r="J200" s="610"/>
      <c r="L200" s="610"/>
      <c r="M200" s="610"/>
      <c r="N200" s="610"/>
      <c r="O200" s="610"/>
      <c r="P200" s="610"/>
      <c r="Q200" s="610"/>
      <c r="R200" s="610"/>
      <c r="S200" s="610"/>
      <c r="T200" s="610"/>
      <c r="U200" s="610"/>
      <c r="V200" s="610"/>
      <c r="W200" s="610"/>
      <c r="X200" s="610"/>
      <c r="Y200" s="610"/>
      <c r="Z200" s="610"/>
      <c r="AA200" s="610"/>
      <c r="AB200" s="610"/>
      <c r="AC200" s="610"/>
      <c r="AD200" s="610"/>
      <c r="AE200" s="610"/>
      <c r="AF200" s="610"/>
      <c r="AG200" s="610"/>
      <c r="AH200" s="610"/>
      <c r="AI200" s="610"/>
      <c r="AJ200" s="610"/>
      <c r="AK200" s="610"/>
      <c r="AL200" s="610"/>
      <c r="AM200" s="610"/>
      <c r="AN200" s="610"/>
      <c r="AO200" s="610"/>
      <c r="AP200" s="610"/>
      <c r="AQ200" s="610"/>
    </row>
    <row r="201" spans="2:43" s="609" customFormat="1">
      <c r="B201" s="610"/>
      <c r="C201" s="610"/>
      <c r="D201" s="610"/>
      <c r="E201" s="610"/>
      <c r="F201" s="610"/>
      <c r="G201" s="610"/>
      <c r="H201" s="610"/>
      <c r="I201" s="610"/>
      <c r="J201" s="610"/>
      <c r="L201" s="610"/>
      <c r="M201" s="610"/>
      <c r="N201" s="610"/>
      <c r="O201" s="610"/>
      <c r="P201" s="610"/>
      <c r="Q201" s="610"/>
      <c r="R201" s="610"/>
      <c r="S201" s="610"/>
      <c r="T201" s="610"/>
      <c r="U201" s="610"/>
      <c r="V201" s="610"/>
      <c r="W201" s="610"/>
      <c r="X201" s="610"/>
      <c r="Y201" s="610"/>
      <c r="Z201" s="610"/>
      <c r="AA201" s="610"/>
      <c r="AB201" s="610"/>
      <c r="AC201" s="610"/>
      <c r="AD201" s="610"/>
      <c r="AE201" s="610"/>
      <c r="AF201" s="610"/>
      <c r="AG201" s="610"/>
      <c r="AH201" s="610"/>
      <c r="AI201" s="610"/>
      <c r="AJ201" s="610"/>
      <c r="AK201" s="610"/>
      <c r="AL201" s="610"/>
      <c r="AM201" s="610"/>
      <c r="AN201" s="610"/>
      <c r="AO201" s="610"/>
      <c r="AP201" s="610"/>
      <c r="AQ201" s="610"/>
    </row>
    <row r="202" spans="2:43" s="609" customFormat="1">
      <c r="B202" s="610"/>
      <c r="C202" s="610"/>
      <c r="D202" s="610"/>
      <c r="E202" s="610"/>
      <c r="F202" s="610"/>
      <c r="G202" s="610"/>
      <c r="H202" s="610"/>
      <c r="I202" s="610"/>
      <c r="J202" s="610"/>
      <c r="L202" s="610"/>
      <c r="M202" s="610"/>
      <c r="N202" s="610"/>
      <c r="O202" s="610"/>
      <c r="P202" s="610"/>
      <c r="Q202" s="610"/>
      <c r="R202" s="610"/>
      <c r="S202" s="610"/>
      <c r="T202" s="610"/>
      <c r="U202" s="610"/>
      <c r="V202" s="610"/>
      <c r="W202" s="610"/>
      <c r="X202" s="610"/>
      <c r="Y202" s="610"/>
      <c r="Z202" s="610"/>
      <c r="AA202" s="610"/>
      <c r="AB202" s="610"/>
      <c r="AC202" s="610"/>
      <c r="AD202" s="610"/>
      <c r="AE202" s="610"/>
      <c r="AF202" s="610"/>
      <c r="AG202" s="610"/>
      <c r="AH202" s="610"/>
      <c r="AI202" s="610"/>
      <c r="AJ202" s="610"/>
      <c r="AK202" s="610"/>
      <c r="AL202" s="610"/>
      <c r="AM202" s="610"/>
      <c r="AN202" s="610"/>
      <c r="AO202" s="610"/>
      <c r="AP202" s="610"/>
      <c r="AQ202" s="610"/>
    </row>
    <row r="203" spans="2:43" s="609" customFormat="1">
      <c r="B203" s="610"/>
      <c r="C203" s="610"/>
      <c r="D203" s="610"/>
      <c r="E203" s="610"/>
      <c r="F203" s="610"/>
      <c r="G203" s="610"/>
      <c r="H203" s="610"/>
      <c r="I203" s="610"/>
      <c r="J203" s="610"/>
      <c r="L203" s="610"/>
      <c r="M203" s="610"/>
      <c r="N203" s="610"/>
      <c r="O203" s="610"/>
      <c r="P203" s="610"/>
      <c r="Q203" s="610"/>
      <c r="R203" s="610"/>
      <c r="S203" s="610"/>
      <c r="T203" s="610"/>
      <c r="U203" s="610"/>
      <c r="V203" s="610"/>
      <c r="W203" s="610"/>
      <c r="X203" s="610"/>
      <c r="Y203" s="610"/>
      <c r="Z203" s="610"/>
      <c r="AA203" s="610"/>
      <c r="AB203" s="610"/>
      <c r="AC203" s="610"/>
      <c r="AD203" s="610"/>
      <c r="AE203" s="610"/>
      <c r="AF203" s="610"/>
      <c r="AG203" s="610"/>
      <c r="AH203" s="610"/>
      <c r="AI203" s="610"/>
      <c r="AJ203" s="610"/>
      <c r="AK203" s="610"/>
      <c r="AL203" s="610"/>
      <c r="AM203" s="610"/>
      <c r="AN203" s="610"/>
      <c r="AO203" s="610"/>
      <c r="AP203" s="610"/>
      <c r="AQ203" s="610"/>
    </row>
    <row r="204" spans="2:43" s="609" customFormat="1">
      <c r="B204" s="610"/>
      <c r="C204" s="610"/>
      <c r="D204" s="610"/>
      <c r="E204" s="610"/>
      <c r="F204" s="610"/>
      <c r="G204" s="610"/>
      <c r="H204" s="610"/>
      <c r="I204" s="610"/>
      <c r="J204" s="610"/>
      <c r="L204" s="610"/>
      <c r="M204" s="610"/>
      <c r="N204" s="610"/>
      <c r="O204" s="610"/>
      <c r="P204" s="610"/>
      <c r="Q204" s="610"/>
      <c r="R204" s="610"/>
      <c r="S204" s="610"/>
      <c r="T204" s="610"/>
      <c r="U204" s="610"/>
      <c r="V204" s="610"/>
      <c r="W204" s="610"/>
      <c r="X204" s="610"/>
      <c r="Y204" s="610"/>
      <c r="Z204" s="610"/>
      <c r="AA204" s="610"/>
      <c r="AB204" s="610"/>
      <c r="AC204" s="610"/>
      <c r="AD204" s="610"/>
      <c r="AE204" s="610"/>
      <c r="AF204" s="610"/>
      <c r="AG204" s="610"/>
      <c r="AH204" s="610"/>
      <c r="AI204" s="610"/>
      <c r="AJ204" s="610"/>
      <c r="AK204" s="610"/>
      <c r="AL204" s="610"/>
      <c r="AM204" s="610"/>
      <c r="AN204" s="610"/>
      <c r="AO204" s="610"/>
      <c r="AP204" s="610"/>
      <c r="AQ204" s="610"/>
    </row>
    <row r="205" spans="2:43" s="609" customFormat="1">
      <c r="B205" s="610"/>
      <c r="C205" s="610"/>
      <c r="D205" s="610"/>
      <c r="E205" s="610"/>
      <c r="F205" s="610"/>
      <c r="G205" s="610"/>
      <c r="H205" s="610"/>
      <c r="I205" s="610"/>
      <c r="J205" s="610"/>
      <c r="L205" s="610"/>
      <c r="M205" s="610"/>
      <c r="N205" s="610"/>
      <c r="O205" s="610"/>
      <c r="P205" s="610"/>
      <c r="Q205" s="610"/>
      <c r="R205" s="610"/>
      <c r="S205" s="610"/>
      <c r="T205" s="610"/>
      <c r="U205" s="610"/>
      <c r="V205" s="610"/>
      <c r="W205" s="610"/>
      <c r="X205" s="610"/>
      <c r="Y205" s="610"/>
      <c r="Z205" s="610"/>
      <c r="AA205" s="610"/>
      <c r="AB205" s="610"/>
      <c r="AC205" s="610"/>
      <c r="AD205" s="610"/>
      <c r="AE205" s="610"/>
      <c r="AF205" s="610"/>
      <c r="AG205" s="610"/>
      <c r="AH205" s="610"/>
      <c r="AI205" s="610"/>
      <c r="AJ205" s="610"/>
      <c r="AK205" s="610"/>
      <c r="AL205" s="610"/>
      <c r="AM205" s="610"/>
      <c r="AN205" s="610"/>
      <c r="AO205" s="610"/>
      <c r="AP205" s="610"/>
      <c r="AQ205" s="610"/>
    </row>
    <row r="206" spans="2:43" s="609" customFormat="1">
      <c r="B206" s="610"/>
      <c r="C206" s="610"/>
      <c r="D206" s="610"/>
      <c r="E206" s="610"/>
      <c r="F206" s="610"/>
      <c r="G206" s="610"/>
      <c r="H206" s="610"/>
      <c r="I206" s="610"/>
      <c r="J206" s="610"/>
      <c r="L206" s="610"/>
      <c r="M206" s="610"/>
      <c r="N206" s="610"/>
      <c r="O206" s="610"/>
      <c r="P206" s="610"/>
      <c r="Q206" s="610"/>
      <c r="R206" s="610"/>
      <c r="S206" s="610"/>
      <c r="T206" s="610"/>
      <c r="U206" s="610"/>
      <c r="V206" s="610"/>
      <c r="W206" s="610"/>
      <c r="X206" s="610"/>
      <c r="Y206" s="610"/>
      <c r="Z206" s="610"/>
      <c r="AA206" s="610"/>
      <c r="AB206" s="610"/>
      <c r="AC206" s="610"/>
      <c r="AD206" s="610"/>
      <c r="AE206" s="610"/>
      <c r="AF206" s="610"/>
      <c r="AG206" s="610"/>
      <c r="AH206" s="610"/>
      <c r="AI206" s="610"/>
      <c r="AJ206" s="610"/>
      <c r="AK206" s="610"/>
      <c r="AL206" s="610"/>
      <c r="AM206" s="610"/>
      <c r="AN206" s="610"/>
      <c r="AO206" s="610"/>
      <c r="AP206" s="610"/>
      <c r="AQ206" s="610"/>
    </row>
    <row r="207" spans="2:43" s="609" customFormat="1">
      <c r="B207" s="610"/>
      <c r="C207" s="610"/>
      <c r="D207" s="610"/>
      <c r="E207" s="610"/>
      <c r="F207" s="610"/>
      <c r="G207" s="610"/>
      <c r="H207" s="610"/>
      <c r="I207" s="610"/>
      <c r="J207" s="610"/>
      <c r="L207" s="610"/>
      <c r="M207" s="610"/>
      <c r="N207" s="610"/>
      <c r="O207" s="610"/>
      <c r="P207" s="610"/>
      <c r="Q207" s="610"/>
      <c r="R207" s="610"/>
      <c r="S207" s="610"/>
      <c r="T207" s="610"/>
      <c r="U207" s="610"/>
      <c r="V207" s="610"/>
      <c r="W207" s="610"/>
      <c r="X207" s="610"/>
      <c r="Y207" s="610"/>
      <c r="Z207" s="610"/>
      <c r="AA207" s="610"/>
      <c r="AB207" s="610"/>
      <c r="AC207" s="610"/>
      <c r="AD207" s="610"/>
      <c r="AE207" s="610"/>
      <c r="AF207" s="610"/>
      <c r="AG207" s="610"/>
      <c r="AH207" s="610"/>
      <c r="AI207" s="610"/>
      <c r="AJ207" s="610"/>
      <c r="AK207" s="610"/>
      <c r="AL207" s="610"/>
      <c r="AM207" s="610"/>
      <c r="AN207" s="610"/>
      <c r="AO207" s="610"/>
      <c r="AP207" s="610"/>
      <c r="AQ207" s="610"/>
    </row>
    <row r="208" spans="2:43" s="609" customFormat="1">
      <c r="B208" s="610"/>
      <c r="C208" s="610"/>
      <c r="D208" s="610"/>
      <c r="E208" s="610"/>
      <c r="F208" s="610"/>
      <c r="G208" s="610"/>
      <c r="H208" s="610"/>
      <c r="I208" s="610"/>
      <c r="J208" s="610"/>
      <c r="L208" s="610"/>
      <c r="M208" s="610"/>
      <c r="N208" s="610"/>
      <c r="O208" s="610"/>
      <c r="P208" s="610"/>
      <c r="Q208" s="610"/>
      <c r="R208" s="610"/>
      <c r="S208" s="610"/>
      <c r="T208" s="610"/>
      <c r="U208" s="610"/>
      <c r="V208" s="610"/>
      <c r="W208" s="610"/>
      <c r="X208" s="610"/>
      <c r="Y208" s="610"/>
      <c r="Z208" s="610"/>
      <c r="AA208" s="610"/>
      <c r="AB208" s="610"/>
      <c r="AC208" s="610"/>
      <c r="AD208" s="610"/>
      <c r="AE208" s="610"/>
      <c r="AF208" s="610"/>
      <c r="AG208" s="610"/>
      <c r="AH208" s="610"/>
      <c r="AI208" s="610"/>
      <c r="AJ208" s="610"/>
      <c r="AK208" s="610"/>
      <c r="AL208" s="610"/>
      <c r="AM208" s="610"/>
      <c r="AN208" s="610"/>
      <c r="AO208" s="610"/>
      <c r="AP208" s="610"/>
      <c r="AQ208" s="610"/>
    </row>
    <row r="209" spans="2:43" s="609" customFormat="1">
      <c r="B209" s="610"/>
      <c r="C209" s="610"/>
      <c r="D209" s="610"/>
      <c r="E209" s="610"/>
      <c r="F209" s="610"/>
      <c r="G209" s="610"/>
      <c r="H209" s="610"/>
      <c r="I209" s="610"/>
      <c r="J209" s="610"/>
      <c r="L209" s="610"/>
      <c r="M209" s="610"/>
      <c r="N209" s="610"/>
      <c r="O209" s="610"/>
      <c r="P209" s="610"/>
      <c r="Q209" s="610"/>
      <c r="R209" s="610"/>
      <c r="S209" s="610"/>
      <c r="T209" s="610"/>
      <c r="U209" s="610"/>
      <c r="V209" s="610"/>
      <c r="W209" s="610"/>
      <c r="X209" s="610"/>
      <c r="Y209" s="610"/>
      <c r="Z209" s="610"/>
      <c r="AA209" s="610"/>
      <c r="AB209" s="610"/>
      <c r="AC209" s="610"/>
      <c r="AD209" s="610"/>
      <c r="AE209" s="610"/>
      <c r="AF209" s="610"/>
      <c r="AG209" s="610"/>
      <c r="AH209" s="610"/>
      <c r="AI209" s="610"/>
      <c r="AJ209" s="610"/>
      <c r="AK209" s="610"/>
      <c r="AL209" s="610"/>
      <c r="AM209" s="610"/>
      <c r="AN209" s="610"/>
      <c r="AO209" s="610"/>
      <c r="AP209" s="610"/>
      <c r="AQ209" s="610"/>
    </row>
    <row r="210" spans="2:43" s="609" customFormat="1">
      <c r="B210" s="610"/>
      <c r="C210" s="610"/>
      <c r="D210" s="610"/>
      <c r="E210" s="610"/>
      <c r="F210" s="610"/>
      <c r="G210" s="610"/>
      <c r="H210" s="610"/>
      <c r="I210" s="610"/>
      <c r="J210" s="610"/>
      <c r="L210" s="610"/>
      <c r="M210" s="610"/>
      <c r="N210" s="610"/>
      <c r="O210" s="610"/>
      <c r="P210" s="610"/>
      <c r="Q210" s="610"/>
      <c r="R210" s="610"/>
      <c r="S210" s="610"/>
      <c r="T210" s="610"/>
      <c r="U210" s="610"/>
      <c r="V210" s="610"/>
      <c r="W210" s="610"/>
      <c r="X210" s="610"/>
      <c r="Y210" s="610"/>
      <c r="Z210" s="610"/>
      <c r="AA210" s="610"/>
      <c r="AB210" s="610"/>
      <c r="AC210" s="610"/>
      <c r="AD210" s="610"/>
      <c r="AE210" s="610"/>
      <c r="AF210" s="610"/>
      <c r="AG210" s="610"/>
      <c r="AH210" s="610"/>
      <c r="AI210" s="610"/>
      <c r="AJ210" s="610"/>
      <c r="AK210" s="610"/>
      <c r="AL210" s="610"/>
      <c r="AM210" s="610"/>
      <c r="AN210" s="610"/>
      <c r="AO210" s="610"/>
      <c r="AP210" s="610"/>
      <c r="AQ210" s="610"/>
    </row>
    <row r="211" spans="2:43" s="609" customFormat="1">
      <c r="B211" s="610"/>
      <c r="C211" s="610"/>
      <c r="D211" s="610"/>
      <c r="E211" s="610"/>
      <c r="F211" s="610"/>
      <c r="G211" s="610"/>
      <c r="H211" s="610"/>
      <c r="I211" s="610"/>
      <c r="J211" s="610"/>
      <c r="L211" s="610"/>
      <c r="M211" s="610"/>
      <c r="N211" s="610"/>
      <c r="O211" s="610"/>
      <c r="P211" s="610"/>
      <c r="Q211" s="610"/>
      <c r="R211" s="610"/>
      <c r="S211" s="610"/>
      <c r="T211" s="610"/>
      <c r="U211" s="610"/>
      <c r="V211" s="610"/>
      <c r="W211" s="610"/>
      <c r="X211" s="610"/>
      <c r="Y211" s="610"/>
      <c r="Z211" s="610"/>
      <c r="AA211" s="610"/>
      <c r="AB211" s="610"/>
      <c r="AC211" s="610"/>
      <c r="AD211" s="610"/>
      <c r="AE211" s="610"/>
      <c r="AF211" s="610"/>
      <c r="AG211" s="610"/>
      <c r="AH211" s="610"/>
      <c r="AI211" s="610"/>
      <c r="AJ211" s="610"/>
      <c r="AK211" s="610"/>
      <c r="AL211" s="610"/>
      <c r="AM211" s="610"/>
      <c r="AN211" s="610"/>
      <c r="AO211" s="610"/>
      <c r="AP211" s="610"/>
      <c r="AQ211" s="610"/>
    </row>
    <row r="212" spans="2:43" s="609" customFormat="1">
      <c r="B212" s="610"/>
      <c r="C212" s="610"/>
      <c r="D212" s="610"/>
      <c r="E212" s="610"/>
      <c r="F212" s="610"/>
      <c r="G212" s="610"/>
      <c r="H212" s="610"/>
      <c r="I212" s="610"/>
      <c r="J212" s="610"/>
      <c r="L212" s="610"/>
      <c r="M212" s="610"/>
      <c r="N212" s="610"/>
      <c r="O212" s="610"/>
      <c r="P212" s="610"/>
      <c r="Q212" s="610"/>
      <c r="R212" s="610"/>
      <c r="S212" s="610"/>
      <c r="T212" s="610"/>
      <c r="U212" s="610"/>
      <c r="V212" s="610"/>
      <c r="W212" s="610"/>
      <c r="X212" s="610"/>
      <c r="Y212" s="610"/>
      <c r="Z212" s="610"/>
      <c r="AA212" s="610"/>
      <c r="AB212" s="610"/>
      <c r="AC212" s="610"/>
      <c r="AD212" s="610"/>
      <c r="AE212" s="610"/>
      <c r="AF212" s="610"/>
      <c r="AG212" s="610"/>
      <c r="AH212" s="610"/>
      <c r="AI212" s="610"/>
      <c r="AJ212" s="610"/>
      <c r="AK212" s="610"/>
      <c r="AL212" s="610"/>
      <c r="AM212" s="610"/>
      <c r="AN212" s="610"/>
      <c r="AO212" s="610"/>
      <c r="AP212" s="610"/>
      <c r="AQ212" s="610"/>
    </row>
    <row r="213" spans="2:43" s="609" customFormat="1">
      <c r="B213" s="610"/>
      <c r="C213" s="610"/>
      <c r="D213" s="610"/>
      <c r="E213" s="610"/>
      <c r="F213" s="610"/>
      <c r="G213" s="610"/>
      <c r="H213" s="610"/>
      <c r="I213" s="610"/>
      <c r="J213" s="610"/>
      <c r="L213" s="610"/>
      <c r="M213" s="610"/>
      <c r="N213" s="610"/>
      <c r="O213" s="610"/>
      <c r="P213" s="610"/>
      <c r="Q213" s="610"/>
      <c r="R213" s="610"/>
      <c r="S213" s="610"/>
      <c r="T213" s="610"/>
      <c r="U213" s="610"/>
      <c r="V213" s="610"/>
      <c r="W213" s="610"/>
      <c r="X213" s="610"/>
      <c r="Y213" s="610"/>
      <c r="Z213" s="610"/>
      <c r="AA213" s="610"/>
      <c r="AB213" s="610"/>
      <c r="AC213" s="610"/>
      <c r="AD213" s="610"/>
      <c r="AE213" s="610"/>
      <c r="AF213" s="610"/>
      <c r="AG213" s="610"/>
      <c r="AH213" s="610"/>
      <c r="AI213" s="610"/>
      <c r="AJ213" s="610"/>
      <c r="AK213" s="610"/>
      <c r="AL213" s="610"/>
      <c r="AM213" s="610"/>
      <c r="AN213" s="610"/>
      <c r="AO213" s="610"/>
      <c r="AP213" s="610"/>
      <c r="AQ213" s="610"/>
    </row>
    <row r="214" spans="2:43" s="609" customFormat="1">
      <c r="B214" s="610"/>
      <c r="C214" s="610"/>
      <c r="D214" s="610"/>
      <c r="E214" s="610"/>
      <c r="F214" s="610"/>
      <c r="G214" s="610"/>
      <c r="H214" s="610"/>
      <c r="I214" s="610"/>
      <c r="J214" s="610"/>
      <c r="L214" s="610"/>
      <c r="M214" s="610"/>
      <c r="N214" s="610"/>
      <c r="O214" s="610"/>
      <c r="P214" s="610"/>
      <c r="Q214" s="610"/>
      <c r="R214" s="610"/>
      <c r="S214" s="610"/>
      <c r="T214" s="610"/>
      <c r="U214" s="610"/>
      <c r="V214" s="610"/>
      <c r="W214" s="610"/>
      <c r="X214" s="610"/>
      <c r="Y214" s="610"/>
      <c r="Z214" s="610"/>
      <c r="AA214" s="610"/>
      <c r="AB214" s="610"/>
      <c r="AC214" s="610"/>
      <c r="AD214" s="610"/>
      <c r="AE214" s="610"/>
      <c r="AF214" s="610"/>
      <c r="AG214" s="610"/>
      <c r="AH214" s="610"/>
      <c r="AI214" s="610"/>
      <c r="AJ214" s="610"/>
      <c r="AK214" s="610"/>
      <c r="AL214" s="610"/>
      <c r="AM214" s="610"/>
      <c r="AN214" s="610"/>
      <c r="AO214" s="610"/>
      <c r="AP214" s="610"/>
      <c r="AQ214" s="610"/>
    </row>
    <row r="215" spans="2:43" s="609" customFormat="1">
      <c r="B215" s="610"/>
      <c r="C215" s="610"/>
      <c r="D215" s="610"/>
      <c r="E215" s="610"/>
      <c r="F215" s="610"/>
      <c r="G215" s="610"/>
      <c r="H215" s="610"/>
      <c r="I215" s="610"/>
      <c r="J215" s="610"/>
      <c r="L215" s="610"/>
      <c r="M215" s="610"/>
      <c r="N215" s="610"/>
      <c r="O215" s="610"/>
      <c r="P215" s="610"/>
      <c r="Q215" s="610"/>
      <c r="R215" s="610"/>
      <c r="S215" s="610"/>
      <c r="T215" s="610"/>
      <c r="U215" s="610"/>
      <c r="V215" s="610"/>
      <c r="W215" s="610"/>
      <c r="X215" s="610"/>
      <c r="Y215" s="610"/>
      <c r="Z215" s="610"/>
      <c r="AA215" s="610"/>
      <c r="AB215" s="610"/>
      <c r="AC215" s="610"/>
      <c r="AD215" s="610"/>
      <c r="AE215" s="610"/>
      <c r="AF215" s="610"/>
      <c r="AG215" s="610"/>
      <c r="AH215" s="610"/>
      <c r="AI215" s="610"/>
      <c r="AJ215" s="610"/>
      <c r="AK215" s="610"/>
      <c r="AL215" s="610"/>
      <c r="AM215" s="610"/>
      <c r="AN215" s="610"/>
      <c r="AO215" s="610"/>
      <c r="AP215" s="610"/>
      <c r="AQ215" s="610"/>
    </row>
    <row r="216" spans="2:43" s="609" customFormat="1">
      <c r="B216" s="610"/>
      <c r="C216" s="610"/>
      <c r="D216" s="610"/>
      <c r="E216" s="610"/>
      <c r="F216" s="610"/>
      <c r="G216" s="610"/>
      <c r="H216" s="610"/>
      <c r="I216" s="610"/>
      <c r="J216" s="610"/>
      <c r="L216" s="610"/>
      <c r="M216" s="610"/>
      <c r="N216" s="610"/>
      <c r="O216" s="610"/>
      <c r="P216" s="610"/>
      <c r="Q216" s="610"/>
      <c r="R216" s="610"/>
      <c r="S216" s="610"/>
      <c r="T216" s="610"/>
      <c r="U216" s="610"/>
      <c r="V216" s="610"/>
      <c r="W216" s="610"/>
      <c r="X216" s="610"/>
      <c r="Y216" s="610"/>
      <c r="Z216" s="610"/>
      <c r="AA216" s="610"/>
      <c r="AB216" s="610"/>
      <c r="AC216" s="610"/>
      <c r="AD216" s="610"/>
      <c r="AE216" s="610"/>
      <c r="AF216" s="610"/>
      <c r="AG216" s="610"/>
      <c r="AH216" s="610"/>
      <c r="AI216" s="610"/>
      <c r="AJ216" s="610"/>
      <c r="AK216" s="610"/>
      <c r="AL216" s="610"/>
      <c r="AM216" s="610"/>
      <c r="AN216" s="610"/>
      <c r="AO216" s="610"/>
      <c r="AP216" s="610"/>
      <c r="AQ216" s="610"/>
    </row>
    <row r="217" spans="2:43" s="609" customFormat="1">
      <c r="B217" s="610"/>
      <c r="C217" s="610"/>
      <c r="D217" s="610"/>
      <c r="E217" s="610"/>
      <c r="F217" s="610"/>
      <c r="G217" s="610"/>
      <c r="H217" s="610"/>
      <c r="I217" s="610"/>
      <c r="J217" s="610"/>
      <c r="L217" s="610"/>
      <c r="M217" s="610"/>
      <c r="N217" s="610"/>
      <c r="O217" s="610"/>
      <c r="P217" s="610"/>
      <c r="Q217" s="610"/>
      <c r="R217" s="610"/>
      <c r="S217" s="610"/>
      <c r="T217" s="610"/>
      <c r="U217" s="610"/>
      <c r="V217" s="610"/>
      <c r="W217" s="610"/>
      <c r="X217" s="610"/>
      <c r="Y217" s="610"/>
      <c r="Z217" s="610"/>
      <c r="AA217" s="610"/>
      <c r="AB217" s="610"/>
      <c r="AC217" s="610"/>
      <c r="AD217" s="610"/>
      <c r="AE217" s="610"/>
      <c r="AF217" s="610"/>
      <c r="AG217" s="610"/>
      <c r="AH217" s="610"/>
      <c r="AI217" s="610"/>
      <c r="AJ217" s="610"/>
      <c r="AK217" s="610"/>
      <c r="AL217" s="610"/>
      <c r="AM217" s="610"/>
      <c r="AN217" s="610"/>
      <c r="AO217" s="610"/>
      <c r="AP217" s="610"/>
      <c r="AQ217" s="610"/>
    </row>
    <row r="218" spans="2:43" s="609" customFormat="1">
      <c r="B218" s="610"/>
      <c r="C218" s="610"/>
      <c r="D218" s="610"/>
      <c r="E218" s="610"/>
      <c r="F218" s="610"/>
      <c r="G218" s="610"/>
      <c r="H218" s="610"/>
      <c r="I218" s="610"/>
      <c r="J218" s="610"/>
      <c r="L218" s="610"/>
      <c r="M218" s="610"/>
      <c r="N218" s="610"/>
      <c r="O218" s="610"/>
      <c r="P218" s="610"/>
      <c r="Q218" s="610"/>
      <c r="R218" s="610"/>
      <c r="S218" s="610"/>
      <c r="T218" s="610"/>
      <c r="U218" s="610"/>
      <c r="V218" s="610"/>
      <c r="W218" s="610"/>
      <c r="X218" s="610"/>
      <c r="Y218" s="610"/>
      <c r="Z218" s="610"/>
      <c r="AA218" s="610"/>
      <c r="AB218" s="610"/>
      <c r="AC218" s="610"/>
      <c r="AD218" s="610"/>
      <c r="AE218" s="610"/>
      <c r="AF218" s="610"/>
      <c r="AG218" s="610"/>
      <c r="AH218" s="610"/>
      <c r="AI218" s="610"/>
      <c r="AJ218" s="610"/>
      <c r="AK218" s="610"/>
      <c r="AL218" s="610"/>
      <c r="AM218" s="610"/>
      <c r="AN218" s="610"/>
      <c r="AO218" s="610"/>
      <c r="AP218" s="610"/>
      <c r="AQ218" s="610"/>
    </row>
    <row r="219" spans="2:43" s="609" customFormat="1">
      <c r="B219" s="610"/>
      <c r="C219" s="610"/>
      <c r="D219" s="610"/>
      <c r="E219" s="610"/>
      <c r="F219" s="610"/>
      <c r="G219" s="610"/>
      <c r="H219" s="610"/>
      <c r="I219" s="610"/>
      <c r="J219" s="610"/>
      <c r="L219" s="610"/>
      <c r="M219" s="610"/>
      <c r="N219" s="610"/>
      <c r="O219" s="610"/>
      <c r="P219" s="610"/>
      <c r="Q219" s="610"/>
      <c r="R219" s="610"/>
      <c r="S219" s="610"/>
      <c r="T219" s="610"/>
      <c r="U219" s="610"/>
      <c r="V219" s="610"/>
      <c r="W219" s="610"/>
      <c r="X219" s="610"/>
      <c r="Y219" s="610"/>
      <c r="Z219" s="610"/>
      <c r="AA219" s="610"/>
      <c r="AB219" s="610"/>
      <c r="AC219" s="610"/>
      <c r="AD219" s="610"/>
      <c r="AE219" s="610"/>
      <c r="AF219" s="610"/>
      <c r="AG219" s="610"/>
      <c r="AH219" s="610"/>
      <c r="AI219" s="610"/>
      <c r="AJ219" s="610"/>
      <c r="AK219" s="610"/>
      <c r="AL219" s="610"/>
      <c r="AM219" s="610"/>
      <c r="AN219" s="610"/>
      <c r="AO219" s="610"/>
      <c r="AP219" s="610"/>
      <c r="AQ219" s="610"/>
    </row>
    <row r="220" spans="2:43" s="609" customFormat="1">
      <c r="B220" s="610"/>
      <c r="C220" s="610"/>
      <c r="D220" s="610"/>
      <c r="E220" s="610"/>
      <c r="F220" s="610"/>
      <c r="G220" s="610"/>
      <c r="H220" s="610"/>
      <c r="I220" s="610"/>
      <c r="J220" s="610"/>
      <c r="L220" s="610"/>
      <c r="M220" s="610"/>
      <c r="N220" s="610"/>
      <c r="O220" s="610"/>
      <c r="P220" s="610"/>
      <c r="Q220" s="610"/>
      <c r="R220" s="610"/>
      <c r="S220" s="610"/>
      <c r="T220" s="610"/>
      <c r="U220" s="610"/>
      <c r="V220" s="610"/>
      <c r="W220" s="610"/>
      <c r="X220" s="610"/>
      <c r="Y220" s="610"/>
      <c r="Z220" s="610"/>
      <c r="AA220" s="610"/>
      <c r="AB220" s="610"/>
      <c r="AC220" s="610"/>
      <c r="AD220" s="610"/>
      <c r="AE220" s="610"/>
      <c r="AF220" s="610"/>
      <c r="AG220" s="610"/>
      <c r="AH220" s="610"/>
      <c r="AI220" s="610"/>
      <c r="AJ220" s="610"/>
      <c r="AK220" s="610"/>
      <c r="AL220" s="610"/>
      <c r="AM220" s="610"/>
      <c r="AN220" s="610"/>
      <c r="AO220" s="610"/>
      <c r="AP220" s="610"/>
      <c r="AQ220" s="610"/>
    </row>
    <row r="221" spans="2:43" s="609" customFormat="1">
      <c r="B221" s="610"/>
      <c r="C221" s="610"/>
      <c r="D221" s="610"/>
      <c r="E221" s="610"/>
      <c r="F221" s="610"/>
      <c r="G221" s="610"/>
      <c r="H221" s="610"/>
      <c r="I221" s="610"/>
      <c r="J221" s="610"/>
      <c r="L221" s="610"/>
      <c r="M221" s="610"/>
      <c r="N221" s="610"/>
      <c r="O221" s="610"/>
      <c r="P221" s="610"/>
      <c r="Q221" s="610"/>
      <c r="R221" s="610"/>
      <c r="S221" s="610"/>
      <c r="T221" s="610"/>
      <c r="U221" s="610"/>
      <c r="V221" s="610"/>
      <c r="W221" s="610"/>
      <c r="X221" s="610"/>
      <c r="Y221" s="610"/>
      <c r="Z221" s="610"/>
      <c r="AA221" s="610"/>
      <c r="AB221" s="610"/>
      <c r="AC221" s="610"/>
      <c r="AD221" s="610"/>
      <c r="AE221" s="610"/>
      <c r="AF221" s="610"/>
      <c r="AG221" s="610"/>
      <c r="AH221" s="610"/>
      <c r="AI221" s="610"/>
      <c r="AJ221" s="610"/>
      <c r="AK221" s="610"/>
      <c r="AL221" s="610"/>
      <c r="AM221" s="610"/>
      <c r="AN221" s="610"/>
      <c r="AO221" s="610"/>
      <c r="AP221" s="610"/>
      <c r="AQ221" s="610"/>
    </row>
    <row r="222" spans="2:43" s="609" customFormat="1">
      <c r="B222" s="610"/>
      <c r="C222" s="610"/>
      <c r="D222" s="610"/>
      <c r="E222" s="610"/>
      <c r="F222" s="610"/>
      <c r="G222" s="610"/>
      <c r="H222" s="610"/>
      <c r="I222" s="610"/>
      <c r="J222" s="610"/>
      <c r="L222" s="610"/>
      <c r="M222" s="610"/>
      <c r="N222" s="610"/>
      <c r="O222" s="610"/>
      <c r="P222" s="610"/>
      <c r="Q222" s="610"/>
      <c r="R222" s="610"/>
      <c r="S222" s="610"/>
      <c r="T222" s="610"/>
      <c r="U222" s="610"/>
      <c r="V222" s="610"/>
      <c r="W222" s="610"/>
      <c r="X222" s="610"/>
      <c r="Y222" s="610"/>
      <c r="Z222" s="610"/>
      <c r="AA222" s="610"/>
      <c r="AB222" s="610"/>
      <c r="AC222" s="610"/>
      <c r="AD222" s="610"/>
      <c r="AE222" s="610"/>
      <c r="AF222" s="610"/>
      <c r="AG222" s="610"/>
      <c r="AH222" s="610"/>
      <c r="AI222" s="610"/>
      <c r="AJ222" s="610"/>
      <c r="AK222" s="610"/>
      <c r="AL222" s="610"/>
      <c r="AM222" s="610"/>
      <c r="AN222" s="610"/>
      <c r="AO222" s="610"/>
      <c r="AP222" s="610"/>
      <c r="AQ222" s="610"/>
    </row>
    <row r="223" spans="2:43" s="609" customFormat="1">
      <c r="B223" s="610"/>
      <c r="C223" s="610"/>
      <c r="D223" s="610"/>
      <c r="E223" s="610"/>
      <c r="F223" s="610"/>
      <c r="G223" s="610"/>
      <c r="H223" s="610"/>
      <c r="I223" s="610"/>
      <c r="J223" s="610"/>
      <c r="L223" s="610"/>
      <c r="M223" s="610"/>
      <c r="N223" s="610"/>
      <c r="O223" s="610"/>
      <c r="P223" s="610"/>
      <c r="Q223" s="610"/>
      <c r="R223" s="610"/>
      <c r="S223" s="610"/>
      <c r="T223" s="610"/>
      <c r="U223" s="610"/>
      <c r="V223" s="610"/>
      <c r="W223" s="610"/>
      <c r="X223" s="610"/>
      <c r="Y223" s="610"/>
      <c r="Z223" s="610"/>
      <c r="AA223" s="610"/>
      <c r="AB223" s="610"/>
      <c r="AC223" s="610"/>
      <c r="AD223" s="610"/>
      <c r="AE223" s="610"/>
      <c r="AF223" s="610"/>
      <c r="AG223" s="610"/>
      <c r="AH223" s="610"/>
      <c r="AI223" s="610"/>
      <c r="AJ223" s="610"/>
      <c r="AK223" s="610"/>
      <c r="AL223" s="610"/>
      <c r="AM223" s="610"/>
      <c r="AN223" s="610"/>
      <c r="AO223" s="610"/>
      <c r="AP223" s="610"/>
      <c r="AQ223" s="610"/>
    </row>
    <row r="224" spans="2:43" s="609" customFormat="1">
      <c r="B224" s="610"/>
      <c r="C224" s="610"/>
      <c r="D224" s="610"/>
      <c r="E224" s="610"/>
      <c r="F224" s="610"/>
      <c r="G224" s="610"/>
      <c r="H224" s="610"/>
      <c r="I224" s="610"/>
      <c r="J224" s="610"/>
      <c r="L224" s="610"/>
      <c r="M224" s="610"/>
      <c r="N224" s="610"/>
      <c r="O224" s="610"/>
      <c r="P224" s="610"/>
      <c r="Q224" s="610"/>
      <c r="R224" s="610"/>
      <c r="S224" s="610"/>
      <c r="T224" s="610"/>
      <c r="U224" s="610"/>
      <c r="V224" s="610"/>
      <c r="W224" s="610"/>
      <c r="X224" s="610"/>
      <c r="Y224" s="610"/>
      <c r="Z224" s="610"/>
      <c r="AA224" s="610"/>
      <c r="AB224" s="610"/>
      <c r="AC224" s="610"/>
      <c r="AD224" s="610"/>
      <c r="AE224" s="610"/>
      <c r="AF224" s="610"/>
      <c r="AG224" s="610"/>
      <c r="AH224" s="610"/>
      <c r="AI224" s="610"/>
      <c r="AJ224" s="610"/>
      <c r="AK224" s="610"/>
      <c r="AL224" s="610"/>
      <c r="AM224" s="610"/>
      <c r="AN224" s="610"/>
      <c r="AO224" s="610"/>
      <c r="AP224" s="610"/>
      <c r="AQ224" s="610"/>
    </row>
    <row r="225" spans="2:43" s="609" customFormat="1">
      <c r="B225" s="610"/>
      <c r="C225" s="610"/>
      <c r="D225" s="610"/>
      <c r="E225" s="610"/>
      <c r="F225" s="610"/>
      <c r="G225" s="610"/>
      <c r="H225" s="610"/>
      <c r="I225" s="610"/>
      <c r="J225" s="610"/>
      <c r="L225" s="610"/>
      <c r="M225" s="610"/>
      <c r="N225" s="610"/>
      <c r="O225" s="610"/>
      <c r="P225" s="610"/>
      <c r="Q225" s="610"/>
      <c r="R225" s="610"/>
      <c r="S225" s="610"/>
      <c r="T225" s="610"/>
      <c r="U225" s="610"/>
      <c r="V225" s="610"/>
      <c r="W225" s="610"/>
      <c r="X225" s="610"/>
      <c r="Y225" s="610"/>
      <c r="Z225" s="610"/>
      <c r="AA225" s="610"/>
      <c r="AB225" s="610"/>
      <c r="AC225" s="610"/>
      <c r="AD225" s="610"/>
      <c r="AE225" s="610"/>
      <c r="AF225" s="610"/>
      <c r="AG225" s="610"/>
      <c r="AH225" s="610"/>
      <c r="AI225" s="610"/>
      <c r="AJ225" s="610"/>
      <c r="AK225" s="610"/>
      <c r="AL225" s="610"/>
      <c r="AM225" s="610"/>
      <c r="AN225" s="610"/>
      <c r="AO225" s="610"/>
      <c r="AP225" s="610"/>
      <c r="AQ225" s="610"/>
    </row>
    <row r="226" spans="2:43" s="609" customFormat="1">
      <c r="B226" s="610"/>
      <c r="C226" s="610"/>
      <c r="D226" s="610"/>
      <c r="E226" s="610"/>
      <c r="F226" s="610"/>
      <c r="G226" s="610"/>
      <c r="H226" s="610"/>
      <c r="I226" s="610"/>
      <c r="J226" s="610"/>
      <c r="L226" s="610"/>
      <c r="M226" s="610"/>
      <c r="N226" s="610"/>
      <c r="O226" s="610"/>
      <c r="P226" s="610"/>
      <c r="Q226" s="610"/>
      <c r="R226" s="610"/>
      <c r="S226" s="610"/>
      <c r="T226" s="610"/>
      <c r="U226" s="610"/>
      <c r="V226" s="610"/>
      <c r="W226" s="610"/>
      <c r="X226" s="610"/>
      <c r="Y226" s="610"/>
      <c r="Z226" s="610"/>
      <c r="AA226" s="610"/>
      <c r="AB226" s="610"/>
      <c r="AC226" s="610"/>
      <c r="AD226" s="610"/>
      <c r="AE226" s="610"/>
      <c r="AF226" s="610"/>
      <c r="AG226" s="610"/>
      <c r="AH226" s="610"/>
      <c r="AI226" s="610"/>
      <c r="AJ226" s="610"/>
      <c r="AK226" s="610"/>
      <c r="AL226" s="610"/>
      <c r="AM226" s="610"/>
      <c r="AN226" s="610"/>
      <c r="AO226" s="610"/>
      <c r="AP226" s="610"/>
      <c r="AQ226" s="610"/>
    </row>
    <row r="227" spans="2:43" s="609" customFormat="1">
      <c r="B227" s="610"/>
      <c r="C227" s="610"/>
      <c r="D227" s="610"/>
      <c r="E227" s="610"/>
      <c r="F227" s="610"/>
      <c r="G227" s="610"/>
      <c r="H227" s="610"/>
      <c r="I227" s="610"/>
      <c r="J227" s="610"/>
      <c r="L227" s="610"/>
      <c r="M227" s="610"/>
      <c r="N227" s="610"/>
      <c r="O227" s="610"/>
      <c r="P227" s="610"/>
      <c r="Q227" s="610"/>
      <c r="R227" s="610"/>
      <c r="S227" s="610"/>
      <c r="T227" s="610"/>
      <c r="U227" s="610"/>
      <c r="V227" s="610"/>
      <c r="W227" s="610"/>
      <c r="X227" s="610"/>
      <c r="Y227" s="610"/>
      <c r="Z227" s="610"/>
      <c r="AA227" s="610"/>
      <c r="AB227" s="610"/>
      <c r="AC227" s="610"/>
      <c r="AD227" s="610"/>
      <c r="AE227" s="610"/>
      <c r="AF227" s="610"/>
      <c r="AG227" s="610"/>
      <c r="AH227" s="610"/>
      <c r="AI227" s="610"/>
      <c r="AJ227" s="610"/>
      <c r="AK227" s="610"/>
      <c r="AL227" s="610"/>
      <c r="AM227" s="610"/>
      <c r="AN227" s="610"/>
      <c r="AO227" s="610"/>
      <c r="AP227" s="610"/>
      <c r="AQ227" s="610"/>
    </row>
    <row r="228" spans="2:43" s="609" customFormat="1">
      <c r="B228" s="610"/>
      <c r="C228" s="610"/>
      <c r="D228" s="610"/>
      <c r="E228" s="610"/>
      <c r="F228" s="610"/>
      <c r="G228" s="610"/>
      <c r="H228" s="610"/>
      <c r="I228" s="610"/>
      <c r="J228" s="610"/>
      <c r="L228" s="610"/>
      <c r="M228" s="610"/>
      <c r="N228" s="610"/>
      <c r="O228" s="610"/>
      <c r="P228" s="610"/>
      <c r="Q228" s="610"/>
      <c r="R228" s="610"/>
      <c r="S228" s="610"/>
      <c r="T228" s="610"/>
      <c r="U228" s="610"/>
      <c r="V228" s="610"/>
      <c r="W228" s="610"/>
      <c r="X228" s="610"/>
      <c r="Y228" s="610"/>
      <c r="Z228" s="610"/>
      <c r="AA228" s="610"/>
      <c r="AB228" s="610"/>
      <c r="AC228" s="610"/>
      <c r="AD228" s="610"/>
      <c r="AE228" s="610"/>
      <c r="AF228" s="610"/>
      <c r="AG228" s="610"/>
      <c r="AH228" s="610"/>
      <c r="AI228" s="610"/>
      <c r="AJ228" s="610"/>
      <c r="AK228" s="610"/>
      <c r="AL228" s="610"/>
      <c r="AM228" s="610"/>
      <c r="AN228" s="610"/>
      <c r="AO228" s="610"/>
      <c r="AP228" s="610"/>
      <c r="AQ228" s="610"/>
    </row>
    <row r="229" spans="2:43" s="609" customFormat="1">
      <c r="B229" s="610"/>
      <c r="C229" s="610"/>
      <c r="D229" s="610"/>
      <c r="E229" s="610"/>
      <c r="F229" s="610"/>
      <c r="G229" s="610"/>
      <c r="H229" s="610"/>
      <c r="I229" s="610"/>
      <c r="J229" s="610"/>
      <c r="L229" s="610"/>
      <c r="M229" s="610"/>
      <c r="N229" s="610"/>
      <c r="O229" s="610"/>
      <c r="P229" s="610"/>
      <c r="Q229" s="610"/>
      <c r="R229" s="610"/>
      <c r="S229" s="610"/>
      <c r="T229" s="610"/>
      <c r="U229" s="610"/>
      <c r="V229" s="610"/>
      <c r="W229" s="610"/>
      <c r="X229" s="610"/>
      <c r="Y229" s="610"/>
      <c r="Z229" s="610"/>
      <c r="AA229" s="610"/>
      <c r="AB229" s="610"/>
      <c r="AC229" s="610"/>
      <c r="AD229" s="610"/>
      <c r="AE229" s="610"/>
      <c r="AF229" s="610"/>
      <c r="AG229" s="610"/>
      <c r="AH229" s="610"/>
      <c r="AI229" s="610"/>
      <c r="AJ229" s="610"/>
      <c r="AK229" s="610"/>
      <c r="AL229" s="610"/>
      <c r="AM229" s="610"/>
      <c r="AN229" s="610"/>
      <c r="AO229" s="610"/>
      <c r="AP229" s="610"/>
      <c r="AQ229" s="610"/>
    </row>
    <row r="230" spans="2:43" s="609" customFormat="1">
      <c r="B230" s="610"/>
      <c r="C230" s="610"/>
      <c r="D230" s="610"/>
      <c r="E230" s="610"/>
      <c r="F230" s="610"/>
      <c r="G230" s="610"/>
      <c r="H230" s="610"/>
      <c r="I230" s="610"/>
      <c r="J230" s="610"/>
      <c r="L230" s="610"/>
      <c r="M230" s="610"/>
      <c r="N230" s="610"/>
      <c r="O230" s="610"/>
      <c r="P230" s="610"/>
      <c r="Q230" s="610"/>
      <c r="R230" s="610"/>
      <c r="S230" s="610"/>
      <c r="T230" s="610"/>
      <c r="U230" s="610"/>
      <c r="V230" s="610"/>
      <c r="W230" s="610"/>
      <c r="X230" s="610"/>
      <c r="Y230" s="610"/>
      <c r="Z230" s="610"/>
      <c r="AA230" s="610"/>
      <c r="AB230" s="610"/>
      <c r="AC230" s="610"/>
      <c r="AD230" s="610"/>
      <c r="AE230" s="610"/>
      <c r="AF230" s="610"/>
      <c r="AG230" s="610"/>
      <c r="AH230" s="610"/>
      <c r="AI230" s="610"/>
      <c r="AJ230" s="610"/>
      <c r="AK230" s="610"/>
      <c r="AL230" s="610"/>
      <c r="AM230" s="610"/>
      <c r="AN230" s="610"/>
      <c r="AO230" s="610"/>
      <c r="AP230" s="610"/>
      <c r="AQ230" s="610"/>
    </row>
    <row r="231" spans="2:43" s="609" customFormat="1">
      <c r="B231" s="610"/>
      <c r="C231" s="610"/>
      <c r="D231" s="610"/>
      <c r="E231" s="610"/>
      <c r="F231" s="610"/>
      <c r="G231" s="610"/>
      <c r="H231" s="610"/>
      <c r="I231" s="610"/>
      <c r="J231" s="610"/>
      <c r="L231" s="610"/>
      <c r="M231" s="610"/>
      <c r="N231" s="610"/>
      <c r="O231" s="610"/>
      <c r="P231" s="610"/>
      <c r="Q231" s="610"/>
      <c r="R231" s="610"/>
      <c r="S231" s="610"/>
      <c r="T231" s="610"/>
      <c r="U231" s="610"/>
      <c r="V231" s="610"/>
      <c r="W231" s="610"/>
      <c r="X231" s="610"/>
      <c r="Y231" s="610"/>
      <c r="Z231" s="610"/>
      <c r="AA231" s="610"/>
      <c r="AB231" s="610"/>
      <c r="AC231" s="610"/>
      <c r="AD231" s="610"/>
      <c r="AE231" s="610"/>
      <c r="AF231" s="610"/>
      <c r="AG231" s="610"/>
      <c r="AH231" s="610"/>
      <c r="AI231" s="610"/>
      <c r="AJ231" s="610"/>
      <c r="AK231" s="610"/>
      <c r="AL231" s="610"/>
      <c r="AM231" s="610"/>
      <c r="AN231" s="610"/>
      <c r="AO231" s="610"/>
      <c r="AP231" s="610"/>
      <c r="AQ231" s="610"/>
    </row>
    <row r="232" spans="2:43" s="609" customFormat="1">
      <c r="B232" s="610"/>
      <c r="C232" s="610"/>
      <c r="D232" s="610"/>
      <c r="E232" s="610"/>
      <c r="F232" s="610"/>
      <c r="G232" s="610"/>
      <c r="H232" s="610"/>
      <c r="I232" s="610"/>
      <c r="J232" s="610"/>
      <c r="L232" s="610"/>
      <c r="M232" s="610"/>
      <c r="N232" s="610"/>
      <c r="O232" s="610"/>
      <c r="P232" s="610"/>
      <c r="Q232" s="610"/>
      <c r="R232" s="610"/>
      <c r="S232" s="610"/>
      <c r="T232" s="610"/>
      <c r="U232" s="610"/>
      <c r="V232" s="610"/>
      <c r="W232" s="610"/>
      <c r="X232" s="610"/>
      <c r="Y232" s="610"/>
      <c r="Z232" s="610"/>
      <c r="AA232" s="610"/>
      <c r="AB232" s="610"/>
      <c r="AC232" s="610"/>
      <c r="AD232" s="610"/>
      <c r="AE232" s="610"/>
      <c r="AF232" s="610"/>
      <c r="AG232" s="610"/>
      <c r="AH232" s="610"/>
      <c r="AI232" s="610"/>
      <c r="AJ232" s="610"/>
      <c r="AK232" s="610"/>
      <c r="AL232" s="610"/>
      <c r="AM232" s="610"/>
      <c r="AN232" s="610"/>
      <c r="AO232" s="610"/>
      <c r="AP232" s="610"/>
      <c r="AQ232" s="610"/>
    </row>
    <row r="233" spans="2:43" s="609" customFormat="1">
      <c r="B233" s="610"/>
      <c r="C233" s="610"/>
      <c r="D233" s="610"/>
      <c r="E233" s="610"/>
      <c r="F233" s="610"/>
      <c r="G233" s="610"/>
      <c r="H233" s="610"/>
      <c r="I233" s="610"/>
      <c r="J233" s="610"/>
      <c r="L233" s="610"/>
      <c r="M233" s="610"/>
      <c r="N233" s="610"/>
      <c r="O233" s="610"/>
      <c r="P233" s="610"/>
      <c r="Q233" s="610"/>
      <c r="R233" s="610"/>
      <c r="S233" s="610"/>
      <c r="T233" s="610"/>
      <c r="U233" s="610"/>
      <c r="V233" s="610"/>
      <c r="W233" s="610"/>
      <c r="X233" s="610"/>
      <c r="Y233" s="610"/>
      <c r="Z233" s="610"/>
      <c r="AA233" s="610"/>
      <c r="AB233" s="610"/>
      <c r="AC233" s="610"/>
      <c r="AD233" s="610"/>
      <c r="AE233" s="610"/>
      <c r="AF233" s="610"/>
      <c r="AG233" s="610"/>
      <c r="AH233" s="610"/>
      <c r="AI233" s="610"/>
      <c r="AJ233" s="610"/>
      <c r="AK233" s="610"/>
      <c r="AL233" s="610"/>
      <c r="AM233" s="610"/>
      <c r="AN233" s="610"/>
      <c r="AO233" s="610"/>
      <c r="AP233" s="610"/>
      <c r="AQ233" s="610"/>
    </row>
    <row r="234" spans="2:43" s="609" customFormat="1">
      <c r="B234" s="610"/>
      <c r="C234" s="610"/>
      <c r="D234" s="610"/>
      <c r="E234" s="610"/>
      <c r="F234" s="610"/>
      <c r="G234" s="610"/>
      <c r="H234" s="610"/>
      <c r="I234" s="610"/>
      <c r="J234" s="610"/>
      <c r="L234" s="610"/>
      <c r="M234" s="610"/>
      <c r="N234" s="610"/>
      <c r="O234" s="610"/>
      <c r="P234" s="610"/>
      <c r="Q234" s="610"/>
      <c r="R234" s="610"/>
      <c r="S234" s="610"/>
      <c r="T234" s="610"/>
      <c r="U234" s="610"/>
      <c r="V234" s="610"/>
      <c r="W234" s="610"/>
      <c r="X234" s="610"/>
      <c r="Y234" s="610"/>
      <c r="Z234" s="610"/>
      <c r="AA234" s="610"/>
      <c r="AB234" s="610"/>
      <c r="AC234" s="610"/>
      <c r="AD234" s="610"/>
      <c r="AE234" s="610"/>
      <c r="AF234" s="610"/>
      <c r="AG234" s="610"/>
      <c r="AH234" s="610"/>
      <c r="AI234" s="610"/>
      <c r="AJ234" s="610"/>
      <c r="AK234" s="610"/>
      <c r="AL234" s="610"/>
      <c r="AM234" s="610"/>
      <c r="AN234" s="610"/>
      <c r="AO234" s="610"/>
      <c r="AP234" s="610"/>
      <c r="AQ234" s="610"/>
    </row>
    <row r="235" spans="2:43" s="609" customFormat="1">
      <c r="B235" s="610"/>
      <c r="C235" s="610"/>
      <c r="D235" s="610"/>
      <c r="E235" s="610"/>
      <c r="F235" s="610"/>
      <c r="G235" s="610"/>
      <c r="H235" s="610"/>
      <c r="I235" s="610"/>
      <c r="J235" s="610"/>
      <c r="L235" s="610"/>
      <c r="M235" s="610"/>
      <c r="N235" s="610"/>
      <c r="O235" s="610"/>
      <c r="P235" s="610"/>
      <c r="Q235" s="610"/>
      <c r="R235" s="610"/>
      <c r="S235" s="610"/>
      <c r="T235" s="610"/>
      <c r="U235" s="610"/>
      <c r="V235" s="610"/>
      <c r="W235" s="610"/>
      <c r="X235" s="610"/>
      <c r="Y235" s="610"/>
      <c r="Z235" s="610"/>
      <c r="AA235" s="610"/>
      <c r="AB235" s="610"/>
      <c r="AC235" s="610"/>
      <c r="AD235" s="610"/>
      <c r="AE235" s="610"/>
      <c r="AF235" s="610"/>
      <c r="AG235" s="610"/>
      <c r="AH235" s="610"/>
      <c r="AI235" s="610"/>
      <c r="AJ235" s="610"/>
      <c r="AK235" s="610"/>
      <c r="AL235" s="610"/>
      <c r="AM235" s="610"/>
      <c r="AN235" s="610"/>
      <c r="AO235" s="610"/>
      <c r="AP235" s="610"/>
      <c r="AQ235" s="610"/>
    </row>
    <row r="236" spans="2:43" s="609" customFormat="1">
      <c r="B236" s="610"/>
      <c r="C236" s="610"/>
      <c r="D236" s="610"/>
      <c r="E236" s="610"/>
      <c r="F236" s="610"/>
      <c r="G236" s="610"/>
      <c r="H236" s="610"/>
      <c r="I236" s="610"/>
      <c r="J236" s="610"/>
      <c r="L236" s="610"/>
      <c r="M236" s="610"/>
      <c r="N236" s="610"/>
      <c r="O236" s="610"/>
      <c r="P236" s="610"/>
      <c r="Q236" s="610"/>
      <c r="R236" s="610"/>
      <c r="S236" s="610"/>
      <c r="T236" s="610"/>
      <c r="U236" s="610"/>
      <c r="V236" s="610"/>
      <c r="W236" s="610"/>
      <c r="X236" s="610"/>
      <c r="Y236" s="610"/>
      <c r="Z236" s="610"/>
      <c r="AA236" s="610"/>
      <c r="AB236" s="610"/>
      <c r="AC236" s="610"/>
      <c r="AD236" s="610"/>
      <c r="AE236" s="610"/>
      <c r="AF236" s="610"/>
      <c r="AG236" s="610"/>
      <c r="AH236" s="610"/>
      <c r="AI236" s="610"/>
      <c r="AJ236" s="610"/>
      <c r="AK236" s="610"/>
      <c r="AL236" s="610"/>
      <c r="AM236" s="610"/>
      <c r="AN236" s="610"/>
      <c r="AO236" s="610"/>
      <c r="AP236" s="610"/>
      <c r="AQ236" s="610"/>
    </row>
    <row r="237" spans="2:43" s="609" customFormat="1">
      <c r="B237" s="610"/>
      <c r="C237" s="610"/>
      <c r="D237" s="610"/>
      <c r="E237" s="610"/>
      <c r="F237" s="610"/>
      <c r="G237" s="610"/>
      <c r="H237" s="610"/>
      <c r="I237" s="610"/>
      <c r="J237" s="610"/>
      <c r="L237" s="610"/>
      <c r="M237" s="610"/>
      <c r="N237" s="610"/>
      <c r="O237" s="610"/>
      <c r="P237" s="610"/>
      <c r="Q237" s="610"/>
      <c r="R237" s="610"/>
      <c r="S237" s="610"/>
      <c r="T237" s="610"/>
      <c r="U237" s="610"/>
      <c r="V237" s="610"/>
      <c r="W237" s="610"/>
      <c r="X237" s="610"/>
      <c r="Y237" s="610"/>
      <c r="Z237" s="610"/>
      <c r="AA237" s="610"/>
      <c r="AB237" s="610"/>
      <c r="AC237" s="610"/>
      <c r="AD237" s="610"/>
      <c r="AE237" s="610"/>
      <c r="AF237" s="610"/>
      <c r="AG237" s="610"/>
      <c r="AH237" s="610"/>
      <c r="AI237" s="610"/>
      <c r="AJ237" s="610"/>
      <c r="AK237" s="610"/>
      <c r="AL237" s="610"/>
      <c r="AM237" s="610"/>
      <c r="AN237" s="610"/>
      <c r="AO237" s="610"/>
      <c r="AP237" s="610"/>
      <c r="AQ237" s="610"/>
    </row>
    <row r="238" spans="2:43" s="609" customFormat="1">
      <c r="B238" s="610"/>
      <c r="C238" s="610"/>
      <c r="D238" s="610"/>
      <c r="E238" s="610"/>
      <c r="F238" s="610"/>
      <c r="G238" s="610"/>
      <c r="H238" s="610"/>
      <c r="I238" s="610"/>
      <c r="J238" s="610"/>
      <c r="L238" s="610"/>
      <c r="M238" s="610"/>
      <c r="N238" s="610"/>
      <c r="O238" s="610"/>
      <c r="P238" s="610"/>
      <c r="Q238" s="610"/>
      <c r="R238" s="610"/>
      <c r="S238" s="610"/>
      <c r="T238" s="610"/>
      <c r="U238" s="610"/>
      <c r="V238" s="610"/>
      <c r="W238" s="610"/>
      <c r="X238" s="610"/>
      <c r="Y238" s="610"/>
      <c r="Z238" s="610"/>
      <c r="AA238" s="610"/>
      <c r="AB238" s="610"/>
      <c r="AC238" s="610"/>
      <c r="AD238" s="610"/>
      <c r="AE238" s="610"/>
      <c r="AF238" s="610"/>
      <c r="AG238" s="610"/>
      <c r="AH238" s="610"/>
      <c r="AI238" s="610"/>
      <c r="AJ238" s="610"/>
      <c r="AK238" s="610"/>
      <c r="AL238" s="610"/>
      <c r="AM238" s="610"/>
      <c r="AN238" s="610"/>
      <c r="AO238" s="610"/>
      <c r="AP238" s="610"/>
      <c r="AQ238" s="610"/>
    </row>
    <row r="239" spans="2:43" s="609" customFormat="1">
      <c r="B239" s="610"/>
      <c r="C239" s="610"/>
      <c r="D239" s="610"/>
      <c r="E239" s="610"/>
      <c r="F239" s="610"/>
      <c r="G239" s="610"/>
      <c r="H239" s="610"/>
      <c r="I239" s="610"/>
      <c r="J239" s="610"/>
      <c r="L239" s="610"/>
      <c r="M239" s="610"/>
      <c r="N239" s="610"/>
      <c r="O239" s="610"/>
      <c r="P239" s="610"/>
      <c r="Q239" s="610"/>
      <c r="R239" s="610"/>
      <c r="S239" s="610"/>
      <c r="T239" s="610"/>
      <c r="U239" s="610"/>
      <c r="V239" s="610"/>
      <c r="W239" s="610"/>
      <c r="X239" s="610"/>
      <c r="Y239" s="610"/>
      <c r="Z239" s="610"/>
      <c r="AA239" s="610"/>
      <c r="AB239" s="610"/>
      <c r="AC239" s="610"/>
      <c r="AD239" s="610"/>
      <c r="AE239" s="610"/>
      <c r="AF239" s="610"/>
      <c r="AG239" s="610"/>
      <c r="AH239" s="610"/>
      <c r="AI239" s="610"/>
      <c r="AJ239" s="610"/>
      <c r="AK239" s="610"/>
      <c r="AL239" s="610"/>
      <c r="AM239" s="610"/>
      <c r="AN239" s="610"/>
      <c r="AO239" s="610"/>
      <c r="AP239" s="610"/>
      <c r="AQ239" s="610"/>
    </row>
    <row r="240" spans="2:43" s="609" customFormat="1">
      <c r="B240" s="610"/>
      <c r="C240" s="610"/>
      <c r="D240" s="610"/>
      <c r="E240" s="610"/>
      <c r="F240" s="610"/>
      <c r="G240" s="610"/>
      <c r="H240" s="610"/>
      <c r="I240" s="610"/>
      <c r="J240" s="610"/>
      <c r="L240" s="610"/>
      <c r="M240" s="610"/>
      <c r="N240" s="610"/>
      <c r="O240" s="610"/>
      <c r="P240" s="610"/>
      <c r="Q240" s="610"/>
      <c r="R240" s="610"/>
      <c r="S240" s="610"/>
      <c r="T240" s="610"/>
      <c r="U240" s="610"/>
      <c r="V240" s="610"/>
      <c r="W240" s="610"/>
      <c r="X240" s="610"/>
      <c r="Y240" s="610"/>
      <c r="Z240" s="610"/>
      <c r="AA240" s="610"/>
      <c r="AB240" s="610"/>
      <c r="AC240" s="610"/>
      <c r="AD240" s="610"/>
      <c r="AE240" s="610"/>
      <c r="AF240" s="610"/>
      <c r="AG240" s="610"/>
      <c r="AH240" s="610"/>
      <c r="AI240" s="610"/>
      <c r="AJ240" s="610"/>
      <c r="AK240" s="610"/>
      <c r="AL240" s="610"/>
      <c r="AM240" s="610"/>
      <c r="AN240" s="610"/>
      <c r="AO240" s="610"/>
      <c r="AP240" s="610"/>
      <c r="AQ240" s="610"/>
    </row>
    <row r="241" spans="2:43" s="609" customFormat="1">
      <c r="B241" s="610"/>
      <c r="C241" s="610"/>
      <c r="D241" s="610"/>
      <c r="E241" s="610"/>
      <c r="F241" s="610"/>
      <c r="G241" s="610"/>
      <c r="H241" s="610"/>
      <c r="I241" s="610"/>
      <c r="J241" s="610"/>
      <c r="L241" s="610"/>
      <c r="M241" s="610"/>
      <c r="N241" s="610"/>
      <c r="O241" s="610"/>
      <c r="P241" s="610"/>
      <c r="Q241" s="610"/>
      <c r="R241" s="610"/>
      <c r="S241" s="610"/>
      <c r="T241" s="610"/>
      <c r="U241" s="610"/>
      <c r="V241" s="610"/>
      <c r="W241" s="610"/>
      <c r="X241" s="610"/>
      <c r="Y241" s="610"/>
      <c r="Z241" s="610"/>
      <c r="AA241" s="610"/>
      <c r="AB241" s="610"/>
      <c r="AC241" s="610"/>
      <c r="AD241" s="610"/>
      <c r="AE241" s="610"/>
      <c r="AF241" s="610"/>
      <c r="AG241" s="610"/>
      <c r="AH241" s="610"/>
      <c r="AI241" s="610"/>
      <c r="AJ241" s="610"/>
      <c r="AK241" s="610"/>
      <c r="AL241" s="610"/>
      <c r="AM241" s="610"/>
      <c r="AN241" s="610"/>
      <c r="AO241" s="610"/>
      <c r="AP241" s="610"/>
      <c r="AQ241" s="610"/>
    </row>
    <row r="242" spans="2:43" s="609" customFormat="1">
      <c r="B242" s="610"/>
      <c r="C242" s="610"/>
      <c r="D242" s="610"/>
      <c r="E242" s="610"/>
      <c r="F242" s="610"/>
      <c r="G242" s="610"/>
      <c r="H242" s="610"/>
      <c r="I242" s="610"/>
      <c r="J242" s="610"/>
      <c r="L242" s="610"/>
      <c r="M242" s="610"/>
      <c r="N242" s="610"/>
      <c r="O242" s="610"/>
      <c r="P242" s="610"/>
      <c r="Q242" s="610"/>
      <c r="R242" s="610"/>
      <c r="S242" s="610"/>
      <c r="T242" s="610"/>
      <c r="U242" s="610"/>
      <c r="V242" s="610"/>
      <c r="W242" s="610"/>
      <c r="X242" s="610"/>
      <c r="Y242" s="610"/>
      <c r="Z242" s="610"/>
      <c r="AA242" s="610"/>
      <c r="AB242" s="610"/>
      <c r="AC242" s="610"/>
      <c r="AD242" s="610"/>
      <c r="AE242" s="610"/>
      <c r="AF242" s="610"/>
      <c r="AG242" s="610"/>
      <c r="AH242" s="610"/>
      <c r="AI242" s="610"/>
      <c r="AJ242" s="610"/>
      <c r="AK242" s="610"/>
      <c r="AL242" s="610"/>
      <c r="AM242" s="610"/>
      <c r="AN242" s="610"/>
      <c r="AO242" s="610"/>
      <c r="AP242" s="610"/>
      <c r="AQ242" s="610"/>
    </row>
    <row r="243" spans="2:43" s="609" customFormat="1">
      <c r="B243" s="610"/>
      <c r="C243" s="610"/>
      <c r="D243" s="610"/>
      <c r="E243" s="610"/>
      <c r="F243" s="610"/>
      <c r="G243" s="610"/>
      <c r="H243" s="610"/>
      <c r="I243" s="610"/>
      <c r="J243" s="610"/>
      <c r="L243" s="610"/>
      <c r="M243" s="610"/>
      <c r="N243" s="610"/>
      <c r="O243" s="610"/>
      <c r="P243" s="610"/>
      <c r="Q243" s="610"/>
      <c r="R243" s="610"/>
      <c r="S243" s="610"/>
      <c r="T243" s="610"/>
      <c r="U243" s="610"/>
      <c r="V243" s="610"/>
      <c r="W243" s="610"/>
      <c r="X243" s="610"/>
      <c r="Y243" s="610"/>
      <c r="Z243" s="610"/>
      <c r="AA243" s="610"/>
      <c r="AB243" s="610"/>
      <c r="AC243" s="610"/>
      <c r="AD243" s="610"/>
      <c r="AE243" s="610"/>
      <c r="AF243" s="610"/>
      <c r="AG243" s="610"/>
      <c r="AH243" s="610"/>
      <c r="AI243" s="610"/>
      <c r="AJ243" s="610"/>
      <c r="AK243" s="610"/>
      <c r="AL243" s="610"/>
      <c r="AM243" s="610"/>
      <c r="AN243" s="610"/>
      <c r="AO243" s="610"/>
      <c r="AP243" s="610"/>
      <c r="AQ243" s="610"/>
    </row>
    <row r="244" spans="2:43" s="609" customFormat="1">
      <c r="B244" s="610"/>
      <c r="C244" s="610"/>
      <c r="D244" s="610"/>
      <c r="E244" s="610"/>
      <c r="F244" s="610"/>
      <c r="G244" s="610"/>
      <c r="H244" s="610"/>
      <c r="I244" s="610"/>
      <c r="J244" s="610"/>
      <c r="L244" s="610"/>
      <c r="M244" s="610"/>
      <c r="N244" s="610"/>
      <c r="O244" s="610"/>
      <c r="P244" s="610"/>
      <c r="Q244" s="610"/>
      <c r="R244" s="610"/>
      <c r="S244" s="610"/>
      <c r="T244" s="610"/>
      <c r="U244" s="610"/>
      <c r="V244" s="610"/>
      <c r="W244" s="610"/>
      <c r="X244" s="610"/>
      <c r="Y244" s="610"/>
      <c r="Z244" s="610"/>
      <c r="AA244" s="610"/>
      <c r="AB244" s="610"/>
      <c r="AC244" s="610"/>
      <c r="AD244" s="610"/>
      <c r="AE244" s="610"/>
      <c r="AF244" s="610"/>
      <c r="AG244" s="610"/>
      <c r="AH244" s="610"/>
      <c r="AI244" s="610"/>
      <c r="AJ244" s="610"/>
      <c r="AK244" s="610"/>
      <c r="AL244" s="610"/>
      <c r="AM244" s="610"/>
      <c r="AN244" s="610"/>
      <c r="AO244" s="610"/>
      <c r="AP244" s="610"/>
      <c r="AQ244" s="610"/>
    </row>
    <row r="245" spans="2:43" s="609" customFormat="1">
      <c r="B245" s="610"/>
      <c r="C245" s="610"/>
      <c r="D245" s="610"/>
      <c r="E245" s="610"/>
      <c r="F245" s="610"/>
      <c r="G245" s="610"/>
      <c r="H245" s="610"/>
      <c r="I245" s="610"/>
      <c r="J245" s="610"/>
      <c r="L245" s="610"/>
      <c r="M245" s="610"/>
      <c r="N245" s="610"/>
      <c r="O245" s="610"/>
      <c r="P245" s="610"/>
      <c r="Q245" s="610"/>
      <c r="R245" s="610"/>
      <c r="S245" s="610"/>
      <c r="T245" s="610"/>
      <c r="U245" s="610"/>
      <c r="V245" s="610"/>
      <c r="W245" s="610"/>
      <c r="X245" s="610"/>
      <c r="Y245" s="610"/>
      <c r="Z245" s="610"/>
      <c r="AA245" s="610"/>
      <c r="AB245" s="610"/>
      <c r="AC245" s="610"/>
      <c r="AD245" s="610"/>
      <c r="AE245" s="610"/>
      <c r="AF245" s="610"/>
      <c r="AG245" s="610"/>
      <c r="AH245" s="610"/>
      <c r="AI245" s="610"/>
      <c r="AJ245" s="610"/>
      <c r="AK245" s="610"/>
      <c r="AL245" s="610"/>
      <c r="AM245" s="610"/>
      <c r="AN245" s="610"/>
      <c r="AO245" s="610"/>
      <c r="AP245" s="610"/>
      <c r="AQ245" s="610"/>
    </row>
    <row r="246" spans="2:43" s="609" customFormat="1">
      <c r="B246" s="610"/>
      <c r="C246" s="610"/>
      <c r="D246" s="610"/>
      <c r="E246" s="610"/>
      <c r="F246" s="610"/>
      <c r="G246" s="610"/>
      <c r="H246" s="610"/>
      <c r="I246" s="610"/>
      <c r="J246" s="610"/>
      <c r="L246" s="610"/>
      <c r="M246" s="610"/>
      <c r="N246" s="610"/>
      <c r="O246" s="610"/>
      <c r="P246" s="610"/>
      <c r="Q246" s="610"/>
      <c r="R246" s="610"/>
      <c r="S246" s="610"/>
      <c r="T246" s="610"/>
      <c r="U246" s="610"/>
      <c r="V246" s="610"/>
      <c r="W246" s="610"/>
      <c r="X246" s="610"/>
      <c r="Y246" s="610"/>
      <c r="Z246" s="610"/>
      <c r="AA246" s="610"/>
      <c r="AB246" s="610"/>
      <c r="AC246" s="610"/>
      <c r="AD246" s="610"/>
      <c r="AE246" s="610"/>
      <c r="AF246" s="610"/>
      <c r="AG246" s="610"/>
      <c r="AH246" s="610"/>
      <c r="AI246" s="610"/>
      <c r="AJ246" s="610"/>
      <c r="AK246" s="610"/>
      <c r="AL246" s="610"/>
      <c r="AM246" s="610"/>
      <c r="AN246" s="610"/>
      <c r="AO246" s="610"/>
      <c r="AP246" s="610"/>
      <c r="AQ246" s="610"/>
    </row>
    <row r="247" spans="2:43" s="609" customFormat="1">
      <c r="B247" s="610"/>
      <c r="C247" s="610"/>
      <c r="D247" s="610"/>
      <c r="E247" s="610"/>
      <c r="F247" s="610"/>
      <c r="G247" s="610"/>
      <c r="H247" s="610"/>
      <c r="I247" s="610"/>
      <c r="J247" s="610"/>
      <c r="L247" s="610"/>
      <c r="M247" s="610"/>
      <c r="N247" s="610"/>
      <c r="O247" s="610"/>
      <c r="P247" s="610"/>
      <c r="Q247" s="610"/>
      <c r="R247" s="610"/>
      <c r="S247" s="610"/>
      <c r="T247" s="610"/>
      <c r="U247" s="610"/>
      <c r="V247" s="610"/>
      <c r="W247" s="610"/>
      <c r="X247" s="610"/>
      <c r="Y247" s="610"/>
      <c r="Z247" s="610"/>
      <c r="AA247" s="610"/>
      <c r="AB247" s="610"/>
      <c r="AC247" s="610"/>
      <c r="AD247" s="610"/>
      <c r="AE247" s="610"/>
      <c r="AF247" s="610"/>
      <c r="AG247" s="610"/>
      <c r="AH247" s="610"/>
      <c r="AI247" s="610"/>
      <c r="AJ247" s="610"/>
      <c r="AK247" s="610"/>
      <c r="AL247" s="610"/>
      <c r="AM247" s="610"/>
      <c r="AN247" s="610"/>
      <c r="AO247" s="610"/>
      <c r="AP247" s="610"/>
      <c r="AQ247" s="610"/>
    </row>
    <row r="248" spans="2:43" s="609" customFormat="1">
      <c r="B248" s="610"/>
      <c r="C248" s="610"/>
      <c r="D248" s="610"/>
      <c r="E248" s="610"/>
      <c r="F248" s="610"/>
      <c r="G248" s="610"/>
      <c r="H248" s="610"/>
      <c r="I248" s="610"/>
      <c r="J248" s="610"/>
      <c r="L248" s="610"/>
      <c r="M248" s="610"/>
      <c r="N248" s="610"/>
      <c r="O248" s="610"/>
      <c r="P248" s="610"/>
      <c r="Q248" s="610"/>
      <c r="R248" s="610"/>
      <c r="S248" s="610"/>
      <c r="T248" s="610"/>
      <c r="U248" s="610"/>
      <c r="V248" s="610"/>
      <c r="W248" s="610"/>
      <c r="X248" s="610"/>
      <c r="Y248" s="610"/>
      <c r="Z248" s="610"/>
      <c r="AA248" s="610"/>
      <c r="AB248" s="610"/>
      <c r="AC248" s="610"/>
      <c r="AD248" s="610"/>
      <c r="AE248" s="610"/>
      <c r="AF248" s="610"/>
      <c r="AG248" s="610"/>
      <c r="AH248" s="610"/>
      <c r="AI248" s="610"/>
      <c r="AJ248" s="610"/>
      <c r="AK248" s="610"/>
      <c r="AL248" s="610"/>
      <c r="AM248" s="610"/>
      <c r="AN248" s="610"/>
      <c r="AO248" s="610"/>
      <c r="AP248" s="610"/>
      <c r="AQ248" s="610"/>
    </row>
    <row r="249" spans="2:43" s="609" customFormat="1">
      <c r="B249" s="610"/>
      <c r="C249" s="610"/>
      <c r="D249" s="610"/>
      <c r="E249" s="610"/>
      <c r="F249" s="610"/>
      <c r="G249" s="610"/>
      <c r="H249" s="610"/>
      <c r="I249" s="610"/>
      <c r="J249" s="610"/>
      <c r="L249" s="610"/>
      <c r="M249" s="610"/>
      <c r="N249" s="610"/>
      <c r="O249" s="610"/>
      <c r="P249" s="610"/>
      <c r="Q249" s="610"/>
      <c r="R249" s="610"/>
      <c r="S249" s="610"/>
      <c r="T249" s="610"/>
      <c r="U249" s="610"/>
      <c r="V249" s="610"/>
      <c r="W249" s="610"/>
      <c r="X249" s="610"/>
      <c r="Y249" s="610"/>
      <c r="Z249" s="610"/>
      <c r="AA249" s="610"/>
      <c r="AB249" s="610"/>
      <c r="AC249" s="610"/>
      <c r="AD249" s="610"/>
      <c r="AE249" s="610"/>
      <c r="AF249" s="610"/>
      <c r="AG249" s="610"/>
      <c r="AH249" s="610"/>
      <c r="AI249" s="610"/>
      <c r="AJ249" s="610"/>
      <c r="AK249" s="610"/>
      <c r="AL249" s="610"/>
      <c r="AM249" s="610"/>
      <c r="AN249" s="610"/>
      <c r="AO249" s="610"/>
      <c r="AP249" s="610"/>
      <c r="AQ249" s="610"/>
    </row>
    <row r="250" spans="2:43" s="609" customFormat="1">
      <c r="B250" s="610"/>
      <c r="C250" s="610"/>
      <c r="D250" s="610"/>
      <c r="E250" s="610"/>
      <c r="F250" s="610"/>
      <c r="G250" s="610"/>
      <c r="H250" s="610"/>
      <c r="I250" s="610"/>
      <c r="J250" s="610"/>
      <c r="L250" s="610"/>
      <c r="M250" s="610"/>
      <c r="N250" s="610"/>
      <c r="O250" s="610"/>
      <c r="P250" s="610"/>
      <c r="Q250" s="610"/>
      <c r="R250" s="610"/>
      <c r="S250" s="610"/>
      <c r="T250" s="610"/>
      <c r="U250" s="610"/>
      <c r="V250" s="610"/>
      <c r="W250" s="610"/>
      <c r="X250" s="610"/>
      <c r="Y250" s="610"/>
      <c r="Z250" s="610"/>
      <c r="AA250" s="610"/>
      <c r="AB250" s="610"/>
      <c r="AC250" s="610"/>
      <c r="AD250" s="610"/>
      <c r="AE250" s="610"/>
      <c r="AF250" s="610"/>
      <c r="AG250" s="610"/>
      <c r="AH250" s="610"/>
      <c r="AI250" s="610"/>
      <c r="AJ250" s="610"/>
      <c r="AK250" s="610"/>
      <c r="AL250" s="610"/>
      <c r="AM250" s="610"/>
      <c r="AN250" s="610"/>
      <c r="AO250" s="610"/>
      <c r="AP250" s="610"/>
      <c r="AQ250" s="610"/>
    </row>
    <row r="251" spans="2:43" s="609" customFormat="1">
      <c r="B251" s="610"/>
      <c r="C251" s="610"/>
      <c r="D251" s="610"/>
      <c r="E251" s="610"/>
      <c r="F251" s="610"/>
      <c r="G251" s="610"/>
      <c r="H251" s="610"/>
      <c r="I251" s="610"/>
      <c r="J251" s="610"/>
      <c r="L251" s="610"/>
      <c r="M251" s="610"/>
      <c r="N251" s="610"/>
      <c r="O251" s="610"/>
      <c r="P251" s="610"/>
      <c r="Q251" s="610"/>
      <c r="R251" s="610"/>
      <c r="S251" s="610"/>
      <c r="T251" s="610"/>
      <c r="U251" s="610"/>
      <c r="V251" s="610"/>
      <c r="W251" s="610"/>
      <c r="X251" s="610"/>
      <c r="Y251" s="610"/>
      <c r="Z251" s="610"/>
      <c r="AA251" s="610"/>
      <c r="AB251" s="610"/>
      <c r="AC251" s="610"/>
      <c r="AD251" s="610"/>
      <c r="AE251" s="610"/>
      <c r="AF251" s="610"/>
      <c r="AG251" s="610"/>
      <c r="AH251" s="610"/>
      <c r="AI251" s="610"/>
      <c r="AJ251" s="610"/>
      <c r="AK251" s="610"/>
      <c r="AL251" s="610"/>
      <c r="AM251" s="610"/>
      <c r="AN251" s="610"/>
      <c r="AO251" s="610"/>
      <c r="AP251" s="610"/>
      <c r="AQ251" s="610"/>
    </row>
    <row r="252" spans="2:43" s="609" customFormat="1">
      <c r="B252" s="610"/>
      <c r="C252" s="610"/>
      <c r="D252" s="610"/>
      <c r="E252" s="610"/>
      <c r="F252" s="610"/>
      <c r="G252" s="610"/>
      <c r="H252" s="610"/>
      <c r="I252" s="610"/>
      <c r="J252" s="610"/>
      <c r="L252" s="610"/>
      <c r="M252" s="610"/>
      <c r="N252" s="610"/>
      <c r="O252" s="610"/>
      <c r="P252" s="610"/>
      <c r="Q252" s="610"/>
      <c r="R252" s="610"/>
      <c r="S252" s="610"/>
      <c r="T252" s="610"/>
      <c r="U252" s="610"/>
      <c r="V252" s="610"/>
      <c r="W252" s="610"/>
      <c r="X252" s="610"/>
      <c r="Y252" s="610"/>
      <c r="Z252" s="610"/>
      <c r="AA252" s="610"/>
      <c r="AB252" s="610"/>
      <c r="AC252" s="610"/>
      <c r="AD252" s="610"/>
      <c r="AE252" s="610"/>
      <c r="AF252" s="610"/>
      <c r="AG252" s="610"/>
      <c r="AH252" s="610"/>
      <c r="AI252" s="610"/>
      <c r="AJ252" s="610"/>
      <c r="AK252" s="610"/>
      <c r="AL252" s="610"/>
      <c r="AM252" s="610"/>
      <c r="AN252" s="610"/>
      <c r="AO252" s="610"/>
      <c r="AP252" s="610"/>
      <c r="AQ252" s="610"/>
    </row>
    <row r="253" spans="2:43" s="609" customFormat="1">
      <c r="B253" s="610"/>
      <c r="C253" s="610"/>
      <c r="D253" s="610"/>
      <c r="E253" s="610"/>
      <c r="F253" s="610"/>
      <c r="G253" s="610"/>
      <c r="H253" s="610"/>
      <c r="I253" s="610"/>
      <c r="J253" s="610"/>
      <c r="L253" s="610"/>
      <c r="M253" s="610"/>
      <c r="N253" s="610"/>
      <c r="O253" s="610"/>
      <c r="P253" s="610"/>
      <c r="Q253" s="610"/>
      <c r="R253" s="610"/>
      <c r="S253" s="610"/>
      <c r="T253" s="610"/>
      <c r="U253" s="610"/>
      <c r="V253" s="610"/>
      <c r="W253" s="610"/>
      <c r="X253" s="610"/>
      <c r="Y253" s="610"/>
      <c r="Z253" s="610"/>
      <c r="AA253" s="610"/>
      <c r="AB253" s="610"/>
      <c r="AC253" s="610"/>
      <c r="AD253" s="610"/>
      <c r="AE253" s="610"/>
      <c r="AF253" s="610"/>
      <c r="AG253" s="610"/>
      <c r="AH253" s="610"/>
      <c r="AI253" s="610"/>
      <c r="AJ253" s="610"/>
      <c r="AK253" s="610"/>
      <c r="AL253" s="610"/>
      <c r="AM253" s="610"/>
      <c r="AN253" s="610"/>
      <c r="AO253" s="610"/>
      <c r="AP253" s="610"/>
      <c r="AQ253" s="610"/>
    </row>
    <row r="254" spans="2:43" s="609" customFormat="1">
      <c r="B254" s="610"/>
      <c r="C254" s="610"/>
      <c r="D254" s="610"/>
      <c r="E254" s="610"/>
      <c r="F254" s="610"/>
      <c r="G254" s="610"/>
      <c r="H254" s="610"/>
      <c r="I254" s="610"/>
      <c r="J254" s="610"/>
      <c r="L254" s="610"/>
      <c r="M254" s="610"/>
      <c r="N254" s="610"/>
      <c r="O254" s="610"/>
      <c r="P254" s="610"/>
      <c r="Q254" s="610"/>
      <c r="R254" s="610"/>
      <c r="S254" s="610"/>
      <c r="T254" s="610"/>
      <c r="U254" s="610"/>
      <c r="V254" s="610"/>
      <c r="W254" s="610"/>
      <c r="X254" s="610"/>
      <c r="Y254" s="610"/>
      <c r="Z254" s="610"/>
      <c r="AA254" s="610"/>
      <c r="AB254" s="610"/>
      <c r="AC254" s="610"/>
      <c r="AD254" s="610"/>
      <c r="AE254" s="610"/>
      <c r="AF254" s="610"/>
      <c r="AG254" s="610"/>
      <c r="AH254" s="610"/>
      <c r="AI254" s="610"/>
      <c r="AJ254" s="610"/>
      <c r="AK254" s="610"/>
      <c r="AL254" s="610"/>
      <c r="AM254" s="610"/>
      <c r="AN254" s="610"/>
      <c r="AO254" s="610"/>
      <c r="AP254" s="610"/>
      <c r="AQ254" s="610"/>
    </row>
    <row r="255" spans="2:43" s="609" customFormat="1">
      <c r="B255" s="610"/>
      <c r="C255" s="610"/>
      <c r="D255" s="610"/>
      <c r="E255" s="610"/>
      <c r="F255" s="610"/>
      <c r="G255" s="610"/>
      <c r="H255" s="610"/>
      <c r="I255" s="610"/>
      <c r="J255" s="610"/>
      <c r="L255" s="610"/>
      <c r="M255" s="610"/>
      <c r="N255" s="610"/>
      <c r="O255" s="610"/>
      <c r="P255" s="610"/>
      <c r="Q255" s="610"/>
      <c r="R255" s="610"/>
      <c r="S255" s="610"/>
      <c r="T255" s="610"/>
      <c r="U255" s="610"/>
      <c r="V255" s="610"/>
      <c r="W255" s="610"/>
      <c r="X255" s="610"/>
      <c r="Y255" s="610"/>
      <c r="Z255" s="610"/>
      <c r="AA255" s="610"/>
      <c r="AB255" s="610"/>
      <c r="AC255" s="610"/>
      <c r="AD255" s="610"/>
      <c r="AE255" s="610"/>
      <c r="AF255" s="610"/>
      <c r="AG255" s="610"/>
      <c r="AH255" s="610"/>
      <c r="AI255" s="610"/>
      <c r="AJ255" s="610"/>
      <c r="AK255" s="610"/>
      <c r="AL255" s="610"/>
      <c r="AM255" s="610"/>
      <c r="AN255" s="610"/>
      <c r="AO255" s="610"/>
      <c r="AP255" s="610"/>
      <c r="AQ255" s="610"/>
    </row>
    <row r="256" spans="2:43" s="609" customFormat="1">
      <c r="B256" s="610"/>
      <c r="C256" s="610"/>
      <c r="D256" s="610"/>
      <c r="E256" s="610"/>
      <c r="F256" s="610"/>
      <c r="G256" s="610"/>
      <c r="H256" s="610"/>
      <c r="I256" s="610"/>
      <c r="J256" s="610"/>
      <c r="L256" s="610"/>
      <c r="M256" s="610"/>
      <c r="N256" s="610"/>
      <c r="O256" s="610"/>
      <c r="P256" s="610"/>
      <c r="Q256" s="610"/>
      <c r="R256" s="610"/>
      <c r="S256" s="610"/>
      <c r="T256" s="610"/>
      <c r="U256" s="610"/>
      <c r="V256" s="610"/>
      <c r="W256" s="610"/>
      <c r="X256" s="610"/>
      <c r="Y256" s="610"/>
      <c r="Z256" s="610"/>
      <c r="AA256" s="610"/>
      <c r="AB256" s="610"/>
      <c r="AC256" s="610"/>
      <c r="AD256" s="610"/>
      <c r="AE256" s="610"/>
      <c r="AF256" s="610"/>
      <c r="AG256" s="610"/>
      <c r="AH256" s="610"/>
      <c r="AI256" s="610"/>
      <c r="AJ256" s="610"/>
      <c r="AK256" s="610"/>
      <c r="AL256" s="610"/>
      <c r="AM256" s="610"/>
      <c r="AN256" s="610"/>
      <c r="AO256" s="610"/>
      <c r="AP256" s="610"/>
      <c r="AQ256" s="610"/>
    </row>
    <row r="257" spans="2:43" s="609" customFormat="1">
      <c r="B257" s="610"/>
      <c r="C257" s="610"/>
      <c r="D257" s="610"/>
      <c r="E257" s="610"/>
      <c r="F257" s="610"/>
      <c r="G257" s="610"/>
      <c r="H257" s="610"/>
      <c r="I257" s="610"/>
      <c r="J257" s="610"/>
      <c r="L257" s="610"/>
      <c r="M257" s="610"/>
      <c r="N257" s="610"/>
      <c r="O257" s="610"/>
      <c r="P257" s="610"/>
      <c r="Q257" s="610"/>
      <c r="R257" s="610"/>
      <c r="S257" s="610"/>
      <c r="T257" s="610"/>
      <c r="U257" s="610"/>
      <c r="V257" s="610"/>
      <c r="W257" s="610"/>
      <c r="X257" s="610"/>
      <c r="Y257" s="610"/>
      <c r="Z257" s="610"/>
      <c r="AA257" s="610"/>
      <c r="AB257" s="610"/>
      <c r="AC257" s="610"/>
      <c r="AD257" s="610"/>
      <c r="AE257" s="610"/>
      <c r="AF257" s="610"/>
      <c r="AG257" s="610"/>
      <c r="AH257" s="610"/>
      <c r="AI257" s="610"/>
      <c r="AJ257" s="610"/>
      <c r="AK257" s="610"/>
      <c r="AL257" s="610"/>
      <c r="AM257" s="610"/>
      <c r="AN257" s="610"/>
      <c r="AO257" s="610"/>
      <c r="AP257" s="610"/>
      <c r="AQ257" s="610"/>
    </row>
    <row r="258" spans="2:43" s="609" customFormat="1">
      <c r="B258" s="610"/>
      <c r="C258" s="610"/>
      <c r="D258" s="610"/>
      <c r="E258" s="610"/>
      <c r="F258" s="610"/>
      <c r="G258" s="610"/>
      <c r="H258" s="610"/>
      <c r="I258" s="610"/>
      <c r="J258" s="610"/>
      <c r="L258" s="610"/>
      <c r="M258" s="610"/>
      <c r="N258" s="610"/>
      <c r="O258" s="610"/>
      <c r="P258" s="610"/>
      <c r="Q258" s="610"/>
      <c r="R258" s="610"/>
      <c r="S258" s="610"/>
      <c r="T258" s="610"/>
      <c r="U258" s="610"/>
      <c r="V258" s="610"/>
      <c r="W258" s="610"/>
      <c r="X258" s="610"/>
      <c r="Y258" s="610"/>
      <c r="Z258" s="610"/>
      <c r="AA258" s="610"/>
      <c r="AB258" s="610"/>
      <c r="AC258" s="610"/>
      <c r="AD258" s="610"/>
      <c r="AE258" s="610"/>
      <c r="AF258" s="610"/>
      <c r="AG258" s="610"/>
      <c r="AH258" s="610"/>
      <c r="AI258" s="610"/>
      <c r="AJ258" s="610"/>
      <c r="AK258" s="610"/>
      <c r="AL258" s="610"/>
      <c r="AM258" s="610"/>
      <c r="AN258" s="610"/>
      <c r="AO258" s="610"/>
      <c r="AP258" s="610"/>
      <c r="AQ258" s="610"/>
    </row>
    <row r="259" spans="2:43" s="609" customFormat="1">
      <c r="B259" s="610"/>
      <c r="C259" s="610"/>
      <c r="D259" s="610"/>
      <c r="E259" s="610"/>
      <c r="F259" s="610"/>
      <c r="G259" s="610"/>
      <c r="H259" s="610"/>
      <c r="I259" s="610"/>
      <c r="J259" s="610"/>
      <c r="L259" s="610"/>
      <c r="M259" s="610"/>
      <c r="N259" s="610"/>
      <c r="O259" s="610"/>
      <c r="P259" s="610"/>
      <c r="Q259" s="610"/>
      <c r="R259" s="610"/>
      <c r="S259" s="610"/>
      <c r="T259" s="610"/>
      <c r="U259" s="610"/>
      <c r="V259" s="610"/>
      <c r="W259" s="610"/>
      <c r="X259" s="610"/>
      <c r="Y259" s="610"/>
      <c r="Z259" s="610"/>
      <c r="AA259" s="610"/>
      <c r="AB259" s="610"/>
      <c r="AC259" s="610"/>
      <c r="AD259" s="610"/>
      <c r="AE259" s="610"/>
      <c r="AF259" s="610"/>
      <c r="AG259" s="610"/>
      <c r="AH259" s="610"/>
      <c r="AI259" s="610"/>
      <c r="AJ259" s="610"/>
      <c r="AK259" s="610"/>
      <c r="AL259" s="610"/>
      <c r="AM259" s="610"/>
      <c r="AN259" s="610"/>
      <c r="AO259" s="610"/>
      <c r="AP259" s="610"/>
      <c r="AQ259" s="610"/>
    </row>
    <row r="260" spans="2:43" s="609" customFormat="1">
      <c r="B260" s="610"/>
      <c r="C260" s="610"/>
      <c r="D260" s="610"/>
      <c r="E260" s="610"/>
      <c r="F260" s="610"/>
      <c r="G260" s="610"/>
      <c r="H260" s="610"/>
      <c r="I260" s="610"/>
      <c r="J260" s="610"/>
      <c r="L260" s="610"/>
      <c r="M260" s="610"/>
      <c r="N260" s="610"/>
      <c r="O260" s="610"/>
      <c r="P260" s="610"/>
      <c r="Q260" s="610"/>
      <c r="R260" s="610"/>
      <c r="S260" s="610"/>
      <c r="T260" s="610"/>
      <c r="U260" s="610"/>
      <c r="V260" s="610"/>
      <c r="W260" s="610"/>
      <c r="X260" s="610"/>
      <c r="Y260" s="610"/>
      <c r="Z260" s="610"/>
      <c r="AA260" s="610"/>
      <c r="AB260" s="610"/>
      <c r="AC260" s="610"/>
      <c r="AD260" s="610"/>
      <c r="AE260" s="610"/>
      <c r="AF260" s="610"/>
      <c r="AG260" s="610"/>
      <c r="AH260" s="610"/>
      <c r="AI260" s="610"/>
      <c r="AJ260" s="610"/>
      <c r="AK260" s="610"/>
      <c r="AL260" s="610"/>
      <c r="AM260" s="610"/>
      <c r="AN260" s="610"/>
      <c r="AO260" s="610"/>
      <c r="AP260" s="610"/>
      <c r="AQ260" s="610"/>
    </row>
    <row r="261" spans="2:43" s="609" customFormat="1">
      <c r="B261" s="610"/>
      <c r="C261" s="610"/>
      <c r="D261" s="610"/>
      <c r="E261" s="610"/>
      <c r="F261" s="610"/>
      <c r="G261" s="610"/>
      <c r="H261" s="610"/>
      <c r="I261" s="610"/>
      <c r="J261" s="610"/>
      <c r="L261" s="610"/>
      <c r="M261" s="610"/>
      <c r="N261" s="610"/>
      <c r="O261" s="610"/>
      <c r="P261" s="610"/>
      <c r="Q261" s="610"/>
      <c r="R261" s="610"/>
      <c r="S261" s="610"/>
      <c r="T261" s="610"/>
      <c r="U261" s="610"/>
      <c r="V261" s="610"/>
      <c r="W261" s="610"/>
      <c r="X261" s="610"/>
      <c r="Y261" s="610"/>
      <c r="Z261" s="610"/>
      <c r="AA261" s="610"/>
      <c r="AB261" s="610"/>
      <c r="AC261" s="610"/>
      <c r="AD261" s="610"/>
      <c r="AE261" s="610"/>
      <c r="AF261" s="610"/>
      <c r="AG261" s="610"/>
      <c r="AH261" s="610"/>
      <c r="AI261" s="610"/>
      <c r="AJ261" s="610"/>
      <c r="AK261" s="610"/>
      <c r="AL261" s="610"/>
      <c r="AM261" s="610"/>
      <c r="AN261" s="610"/>
      <c r="AO261" s="610"/>
      <c r="AP261" s="610"/>
      <c r="AQ261" s="610"/>
    </row>
    <row r="262" spans="2:43" s="609" customFormat="1">
      <c r="B262" s="610"/>
      <c r="C262" s="610"/>
      <c r="D262" s="610"/>
      <c r="E262" s="610"/>
      <c r="F262" s="610"/>
      <c r="G262" s="610"/>
      <c r="H262" s="610"/>
      <c r="I262" s="610"/>
      <c r="J262" s="610"/>
      <c r="L262" s="610"/>
      <c r="M262" s="610"/>
      <c r="N262" s="610"/>
      <c r="O262" s="610"/>
      <c r="P262" s="610"/>
      <c r="Q262" s="610"/>
      <c r="R262" s="610"/>
      <c r="S262" s="610"/>
      <c r="T262" s="610"/>
      <c r="U262" s="610"/>
      <c r="V262" s="610"/>
      <c r="W262" s="610"/>
      <c r="X262" s="610"/>
      <c r="Y262" s="610"/>
      <c r="Z262" s="610"/>
      <c r="AA262" s="610"/>
      <c r="AB262" s="610"/>
      <c r="AC262" s="610"/>
      <c r="AD262" s="610"/>
      <c r="AE262" s="610"/>
      <c r="AF262" s="610"/>
      <c r="AG262" s="610"/>
      <c r="AH262" s="610"/>
      <c r="AI262" s="610"/>
      <c r="AJ262" s="610"/>
      <c r="AK262" s="610"/>
      <c r="AL262" s="610"/>
      <c r="AM262" s="610"/>
      <c r="AN262" s="610"/>
      <c r="AO262" s="610"/>
      <c r="AP262" s="610"/>
      <c r="AQ262" s="610"/>
    </row>
    <row r="263" spans="2:43" s="609" customFormat="1">
      <c r="B263" s="610"/>
      <c r="C263" s="610"/>
      <c r="D263" s="610"/>
      <c r="E263" s="610"/>
      <c r="F263" s="610"/>
      <c r="G263" s="610"/>
      <c r="H263" s="610"/>
      <c r="I263" s="610"/>
      <c r="J263" s="610"/>
      <c r="L263" s="610"/>
      <c r="M263" s="610"/>
      <c r="N263" s="610"/>
      <c r="O263" s="610"/>
      <c r="P263" s="610"/>
      <c r="Q263" s="610"/>
      <c r="R263" s="610"/>
      <c r="S263" s="610"/>
      <c r="T263" s="610"/>
      <c r="U263" s="610"/>
      <c r="V263" s="610"/>
      <c r="W263" s="610"/>
      <c r="X263" s="610"/>
      <c r="Y263" s="610"/>
      <c r="Z263" s="610"/>
      <c r="AA263" s="610"/>
      <c r="AB263" s="610"/>
      <c r="AC263" s="610"/>
      <c r="AD263" s="610"/>
      <c r="AE263" s="610"/>
      <c r="AF263" s="610"/>
      <c r="AG263" s="610"/>
      <c r="AH263" s="610"/>
      <c r="AI263" s="610"/>
      <c r="AJ263" s="610"/>
      <c r="AK263" s="610"/>
      <c r="AL263" s="610"/>
      <c r="AM263" s="610"/>
      <c r="AN263" s="610"/>
      <c r="AO263" s="610"/>
      <c r="AP263" s="610"/>
      <c r="AQ263" s="610"/>
    </row>
    <row r="264" spans="2:43" s="609" customFormat="1">
      <c r="B264" s="610"/>
      <c r="C264" s="610"/>
      <c r="D264" s="610"/>
      <c r="E264" s="610"/>
      <c r="F264" s="610"/>
      <c r="G264" s="610"/>
      <c r="H264" s="610"/>
      <c r="I264" s="610"/>
      <c r="J264" s="610"/>
      <c r="L264" s="610"/>
      <c r="M264" s="610"/>
      <c r="N264" s="610"/>
      <c r="O264" s="610"/>
      <c r="P264" s="610"/>
      <c r="Q264" s="610"/>
      <c r="R264" s="610"/>
      <c r="S264" s="610"/>
      <c r="T264" s="610"/>
      <c r="U264" s="610"/>
      <c r="V264" s="610"/>
      <c r="W264" s="610"/>
      <c r="X264" s="610"/>
      <c r="Y264" s="610"/>
      <c r="Z264" s="610"/>
      <c r="AA264" s="610"/>
      <c r="AB264" s="610"/>
      <c r="AC264" s="610"/>
      <c r="AD264" s="610"/>
      <c r="AE264" s="610"/>
      <c r="AF264" s="610"/>
      <c r="AG264" s="610"/>
      <c r="AH264" s="610"/>
      <c r="AI264" s="610"/>
      <c r="AJ264" s="610"/>
      <c r="AK264" s="610"/>
      <c r="AL264" s="610"/>
      <c r="AM264" s="610"/>
      <c r="AN264" s="610"/>
      <c r="AO264" s="610"/>
      <c r="AP264" s="610"/>
      <c r="AQ264" s="610"/>
    </row>
    <row r="265" spans="2:43" s="609" customFormat="1">
      <c r="B265" s="610"/>
      <c r="C265" s="610"/>
      <c r="D265" s="610"/>
      <c r="E265" s="610"/>
      <c r="F265" s="610"/>
      <c r="G265" s="610"/>
      <c r="H265" s="610"/>
      <c r="I265" s="610"/>
      <c r="J265" s="610"/>
      <c r="L265" s="610"/>
      <c r="M265" s="610"/>
      <c r="N265" s="610"/>
      <c r="O265" s="610"/>
      <c r="P265" s="610"/>
      <c r="Q265" s="610"/>
      <c r="R265" s="610"/>
      <c r="S265" s="610"/>
      <c r="T265" s="610"/>
      <c r="U265" s="610"/>
      <c r="V265" s="610"/>
      <c r="W265" s="610"/>
      <c r="X265" s="610"/>
      <c r="Y265" s="610"/>
      <c r="Z265" s="610"/>
      <c r="AA265" s="610"/>
      <c r="AB265" s="610"/>
      <c r="AC265" s="610"/>
      <c r="AD265" s="610"/>
      <c r="AE265" s="610"/>
      <c r="AF265" s="610"/>
      <c r="AG265" s="610"/>
      <c r="AH265" s="610"/>
      <c r="AI265" s="610"/>
      <c r="AJ265" s="610"/>
      <c r="AK265" s="610"/>
      <c r="AL265" s="610"/>
      <c r="AM265" s="610"/>
      <c r="AN265" s="610"/>
      <c r="AO265" s="610"/>
      <c r="AP265" s="610"/>
      <c r="AQ265" s="610"/>
    </row>
    <row r="266" spans="2:43" s="609" customFormat="1">
      <c r="B266" s="610"/>
      <c r="C266" s="610"/>
      <c r="D266" s="610"/>
      <c r="E266" s="610"/>
      <c r="F266" s="610"/>
      <c r="G266" s="610"/>
      <c r="H266" s="610"/>
      <c r="I266" s="610"/>
      <c r="J266" s="610"/>
      <c r="L266" s="610"/>
      <c r="M266" s="610"/>
      <c r="N266" s="610"/>
      <c r="O266" s="610"/>
      <c r="P266" s="610"/>
      <c r="Q266" s="610"/>
      <c r="R266" s="610"/>
      <c r="S266" s="610"/>
      <c r="T266" s="610"/>
      <c r="U266" s="610"/>
      <c r="V266" s="610"/>
      <c r="W266" s="610"/>
      <c r="X266" s="610"/>
      <c r="Y266" s="610"/>
      <c r="Z266" s="610"/>
      <c r="AA266" s="610"/>
      <c r="AB266" s="610"/>
      <c r="AC266" s="610"/>
      <c r="AD266" s="610"/>
      <c r="AE266" s="610"/>
      <c r="AF266" s="610"/>
      <c r="AG266" s="610"/>
      <c r="AH266" s="610"/>
      <c r="AI266" s="610"/>
      <c r="AJ266" s="610"/>
      <c r="AK266" s="610"/>
      <c r="AL266" s="610"/>
      <c r="AM266" s="610"/>
      <c r="AN266" s="610"/>
      <c r="AO266" s="610"/>
      <c r="AP266" s="610"/>
      <c r="AQ266" s="610"/>
    </row>
    <row r="267" spans="2:43" s="609" customFormat="1">
      <c r="B267" s="610"/>
      <c r="C267" s="610"/>
      <c r="D267" s="610"/>
      <c r="E267" s="610"/>
      <c r="F267" s="610"/>
      <c r="G267" s="610"/>
      <c r="H267" s="610"/>
      <c r="I267" s="610"/>
      <c r="J267" s="610"/>
      <c r="L267" s="610"/>
      <c r="M267" s="610"/>
      <c r="N267" s="610"/>
      <c r="O267" s="610"/>
      <c r="P267" s="610"/>
      <c r="Q267" s="610"/>
      <c r="R267" s="610"/>
      <c r="S267" s="610"/>
      <c r="T267" s="610"/>
      <c r="U267" s="610"/>
      <c r="V267" s="610"/>
      <c r="W267" s="610"/>
      <c r="X267" s="610"/>
      <c r="Y267" s="610"/>
      <c r="Z267" s="610"/>
      <c r="AA267" s="610"/>
      <c r="AB267" s="610"/>
      <c r="AC267" s="610"/>
      <c r="AD267" s="610"/>
      <c r="AE267" s="610"/>
      <c r="AF267" s="610"/>
      <c r="AG267" s="610"/>
      <c r="AH267" s="610"/>
      <c r="AI267" s="610"/>
      <c r="AJ267" s="610"/>
      <c r="AK267" s="610"/>
      <c r="AL267" s="610"/>
      <c r="AM267" s="610"/>
      <c r="AN267" s="610"/>
      <c r="AO267" s="610"/>
      <c r="AP267" s="610"/>
      <c r="AQ267" s="610"/>
    </row>
    <row r="268" spans="2:43" s="609" customFormat="1">
      <c r="B268" s="610"/>
      <c r="C268" s="610"/>
      <c r="D268" s="610"/>
      <c r="E268" s="610"/>
      <c r="F268" s="610"/>
      <c r="G268" s="610"/>
      <c r="H268" s="610"/>
      <c r="I268" s="610"/>
      <c r="J268" s="610"/>
      <c r="L268" s="610"/>
      <c r="M268" s="610"/>
      <c r="N268" s="610"/>
      <c r="O268" s="610"/>
      <c r="P268" s="610"/>
      <c r="Q268" s="610"/>
      <c r="R268" s="610"/>
      <c r="S268" s="610"/>
      <c r="T268" s="610"/>
      <c r="U268" s="610"/>
      <c r="V268" s="610"/>
      <c r="W268" s="610"/>
      <c r="X268" s="610"/>
      <c r="Y268" s="610"/>
      <c r="Z268" s="610"/>
      <c r="AA268" s="610"/>
      <c r="AB268" s="610"/>
      <c r="AC268" s="610"/>
      <c r="AD268" s="610"/>
      <c r="AE268" s="610"/>
      <c r="AF268" s="610"/>
      <c r="AG268" s="610"/>
      <c r="AH268" s="610"/>
      <c r="AI268" s="610"/>
      <c r="AJ268" s="610"/>
      <c r="AK268" s="610"/>
      <c r="AL268" s="610"/>
      <c r="AM268" s="610"/>
      <c r="AN268" s="610"/>
      <c r="AO268" s="610"/>
      <c r="AP268" s="610"/>
      <c r="AQ268" s="610"/>
    </row>
    <row r="269" spans="2:43" s="609" customFormat="1">
      <c r="B269" s="610"/>
      <c r="C269" s="610"/>
      <c r="D269" s="610"/>
      <c r="E269" s="610"/>
      <c r="F269" s="610"/>
      <c r="G269" s="610"/>
      <c r="H269" s="610"/>
      <c r="I269" s="610"/>
      <c r="J269" s="610"/>
      <c r="L269" s="610"/>
      <c r="M269" s="610"/>
      <c r="N269" s="610"/>
      <c r="O269" s="610"/>
      <c r="P269" s="610"/>
      <c r="Q269" s="610"/>
      <c r="R269" s="610"/>
      <c r="S269" s="610"/>
      <c r="T269" s="610"/>
      <c r="U269" s="610"/>
      <c r="V269" s="610"/>
      <c r="W269" s="610"/>
      <c r="X269" s="610"/>
      <c r="Y269" s="610"/>
      <c r="Z269" s="610"/>
      <c r="AA269" s="610"/>
      <c r="AB269" s="610"/>
      <c r="AC269" s="610"/>
      <c r="AD269" s="610"/>
      <c r="AE269" s="610"/>
      <c r="AF269" s="610"/>
      <c r="AG269" s="610"/>
      <c r="AH269" s="610"/>
      <c r="AI269" s="610"/>
      <c r="AJ269" s="610"/>
      <c r="AK269" s="610"/>
      <c r="AL269" s="610"/>
      <c r="AM269" s="610"/>
      <c r="AN269" s="610"/>
      <c r="AO269" s="610"/>
      <c r="AP269" s="610"/>
      <c r="AQ269" s="610"/>
    </row>
    <row r="270" spans="2:43" s="609" customFormat="1">
      <c r="B270" s="610"/>
      <c r="C270" s="610"/>
      <c r="D270" s="610"/>
      <c r="E270" s="610"/>
      <c r="F270" s="610"/>
      <c r="G270" s="610"/>
      <c r="H270" s="610"/>
      <c r="I270" s="610"/>
      <c r="J270" s="610"/>
      <c r="L270" s="610"/>
      <c r="M270" s="610"/>
      <c r="N270" s="610"/>
      <c r="O270" s="610"/>
      <c r="P270" s="610"/>
      <c r="Q270" s="610"/>
      <c r="R270" s="610"/>
      <c r="S270" s="610"/>
      <c r="T270" s="610"/>
      <c r="U270" s="610"/>
      <c r="V270" s="610"/>
      <c r="W270" s="610"/>
      <c r="X270" s="610"/>
      <c r="Y270" s="610"/>
      <c r="Z270" s="610"/>
      <c r="AA270" s="610"/>
      <c r="AB270" s="610"/>
      <c r="AC270" s="610"/>
      <c r="AD270" s="610"/>
      <c r="AE270" s="610"/>
      <c r="AF270" s="610"/>
      <c r="AG270" s="610"/>
      <c r="AH270" s="610"/>
      <c r="AI270" s="610"/>
      <c r="AJ270" s="610"/>
      <c r="AK270" s="610"/>
      <c r="AL270" s="610"/>
      <c r="AM270" s="610"/>
      <c r="AN270" s="610"/>
      <c r="AO270" s="610"/>
      <c r="AP270" s="610"/>
      <c r="AQ270" s="610"/>
    </row>
    <row r="271" spans="2:43" s="609" customFormat="1">
      <c r="B271" s="610"/>
      <c r="C271" s="610"/>
      <c r="D271" s="610"/>
      <c r="E271" s="610"/>
      <c r="F271" s="610"/>
      <c r="G271" s="610"/>
      <c r="H271" s="610"/>
      <c r="I271" s="610"/>
      <c r="J271" s="610"/>
      <c r="L271" s="610"/>
      <c r="M271" s="610"/>
      <c r="N271" s="610"/>
      <c r="O271" s="610"/>
      <c r="P271" s="610"/>
      <c r="Q271" s="610"/>
      <c r="R271" s="610"/>
      <c r="S271" s="610"/>
      <c r="T271" s="610"/>
      <c r="U271" s="610"/>
      <c r="V271" s="610"/>
      <c r="W271" s="610"/>
      <c r="X271" s="610"/>
      <c r="Y271" s="610"/>
      <c r="Z271" s="610"/>
      <c r="AA271" s="610"/>
      <c r="AB271" s="610"/>
      <c r="AC271" s="610"/>
      <c r="AD271" s="610"/>
      <c r="AE271" s="610"/>
      <c r="AF271" s="610"/>
      <c r="AG271" s="610"/>
      <c r="AH271" s="610"/>
      <c r="AI271" s="610"/>
      <c r="AJ271" s="610"/>
      <c r="AK271" s="610"/>
      <c r="AL271" s="610"/>
      <c r="AM271" s="610"/>
      <c r="AN271" s="610"/>
      <c r="AO271" s="610"/>
      <c r="AP271" s="610"/>
      <c r="AQ271" s="610"/>
    </row>
    <row r="272" spans="2:43" s="609" customFormat="1">
      <c r="B272" s="610"/>
      <c r="C272" s="610"/>
      <c r="D272" s="610"/>
      <c r="E272" s="610"/>
      <c r="F272" s="610"/>
      <c r="G272" s="610"/>
      <c r="H272" s="610"/>
      <c r="I272" s="610"/>
      <c r="J272" s="610"/>
      <c r="L272" s="610"/>
      <c r="M272" s="610"/>
      <c r="N272" s="610"/>
      <c r="O272" s="610"/>
      <c r="P272" s="610"/>
      <c r="Q272" s="610"/>
      <c r="R272" s="610"/>
      <c r="S272" s="610"/>
      <c r="T272" s="610"/>
      <c r="U272" s="610"/>
      <c r="V272" s="610"/>
      <c r="W272" s="610"/>
      <c r="X272" s="610"/>
      <c r="Y272" s="610"/>
      <c r="Z272" s="610"/>
      <c r="AA272" s="610"/>
      <c r="AB272" s="610"/>
      <c r="AC272" s="610"/>
      <c r="AD272" s="610"/>
      <c r="AE272" s="610"/>
      <c r="AF272" s="610"/>
      <c r="AG272" s="610"/>
      <c r="AH272" s="610"/>
      <c r="AI272" s="610"/>
      <c r="AJ272" s="610"/>
      <c r="AK272" s="610"/>
      <c r="AL272" s="610"/>
      <c r="AM272" s="610"/>
      <c r="AN272" s="610"/>
      <c r="AO272" s="610"/>
      <c r="AP272" s="610"/>
      <c r="AQ272" s="610"/>
    </row>
    <row r="273" spans="2:43" s="609" customFormat="1">
      <c r="B273" s="610"/>
      <c r="C273" s="610"/>
      <c r="D273" s="610"/>
      <c r="E273" s="610"/>
      <c r="F273" s="610"/>
      <c r="G273" s="610"/>
      <c r="H273" s="610"/>
      <c r="I273" s="610"/>
      <c r="J273" s="610"/>
      <c r="L273" s="610"/>
      <c r="M273" s="610"/>
      <c r="N273" s="610"/>
      <c r="O273" s="610"/>
      <c r="P273" s="610"/>
      <c r="Q273" s="610"/>
      <c r="R273" s="610"/>
      <c r="S273" s="610"/>
      <c r="T273" s="610"/>
      <c r="U273" s="610"/>
      <c r="V273" s="610"/>
      <c r="W273" s="610"/>
      <c r="X273" s="610"/>
      <c r="Y273" s="610"/>
      <c r="Z273" s="610"/>
      <c r="AA273" s="610"/>
      <c r="AB273" s="610"/>
      <c r="AC273" s="610"/>
      <c r="AD273" s="610"/>
      <c r="AE273" s="610"/>
      <c r="AF273" s="610"/>
      <c r="AG273" s="610"/>
      <c r="AH273" s="610"/>
      <c r="AI273" s="610"/>
      <c r="AJ273" s="610"/>
      <c r="AK273" s="610"/>
      <c r="AL273" s="610"/>
      <c r="AM273" s="610"/>
      <c r="AN273" s="610"/>
      <c r="AO273" s="610"/>
      <c r="AP273" s="610"/>
      <c r="AQ273" s="610"/>
    </row>
    <row r="274" spans="2:43" s="609" customFormat="1">
      <c r="B274" s="610"/>
      <c r="C274" s="610"/>
      <c r="D274" s="610"/>
      <c r="E274" s="610"/>
      <c r="F274" s="610"/>
      <c r="G274" s="610"/>
      <c r="H274" s="610"/>
      <c r="I274" s="610"/>
      <c r="J274" s="610"/>
      <c r="L274" s="610"/>
      <c r="M274" s="610"/>
      <c r="N274" s="610"/>
      <c r="O274" s="610"/>
      <c r="P274" s="610"/>
      <c r="Q274" s="610"/>
      <c r="R274" s="610"/>
      <c r="S274" s="610"/>
      <c r="T274" s="610"/>
      <c r="U274" s="610"/>
      <c r="V274" s="610"/>
      <c r="W274" s="610"/>
      <c r="X274" s="610"/>
      <c r="Y274" s="610"/>
      <c r="Z274" s="610"/>
      <c r="AA274" s="610"/>
      <c r="AB274" s="610"/>
      <c r="AC274" s="610"/>
      <c r="AD274" s="610"/>
      <c r="AE274" s="610"/>
      <c r="AF274" s="610"/>
      <c r="AG274" s="610"/>
      <c r="AH274" s="610"/>
      <c r="AI274" s="610"/>
      <c r="AJ274" s="610"/>
      <c r="AK274" s="610"/>
      <c r="AL274" s="610"/>
      <c r="AM274" s="610"/>
      <c r="AN274" s="610"/>
      <c r="AO274" s="610"/>
      <c r="AP274" s="610"/>
      <c r="AQ274" s="610"/>
    </row>
    <row r="275" spans="2:43" s="609" customFormat="1">
      <c r="B275" s="610"/>
      <c r="C275" s="610"/>
      <c r="D275" s="610"/>
      <c r="E275" s="610"/>
      <c r="F275" s="610"/>
      <c r="G275" s="610"/>
      <c r="H275" s="610"/>
      <c r="I275" s="610"/>
      <c r="J275" s="610"/>
      <c r="L275" s="610"/>
      <c r="M275" s="610"/>
      <c r="N275" s="610"/>
      <c r="O275" s="610"/>
      <c r="P275" s="610"/>
      <c r="Q275" s="610"/>
      <c r="R275" s="610"/>
      <c r="S275" s="610"/>
      <c r="T275" s="610"/>
      <c r="U275" s="610"/>
      <c r="V275" s="610"/>
      <c r="W275" s="610"/>
      <c r="X275" s="610"/>
      <c r="Y275" s="610"/>
      <c r="Z275" s="610"/>
      <c r="AA275" s="610"/>
      <c r="AB275" s="610"/>
      <c r="AC275" s="610"/>
      <c r="AD275" s="610"/>
      <c r="AE275" s="610"/>
      <c r="AF275" s="610"/>
      <c r="AG275" s="610"/>
      <c r="AH275" s="610"/>
      <c r="AI275" s="610"/>
      <c r="AJ275" s="610"/>
      <c r="AK275" s="610"/>
      <c r="AL275" s="610"/>
      <c r="AM275" s="610"/>
      <c r="AN275" s="610"/>
      <c r="AO275" s="610"/>
      <c r="AP275" s="610"/>
      <c r="AQ275" s="610"/>
    </row>
    <row r="276" spans="2:43" s="609" customFormat="1">
      <c r="B276" s="610"/>
      <c r="C276" s="610"/>
      <c r="D276" s="610"/>
      <c r="E276" s="610"/>
      <c r="F276" s="610"/>
      <c r="G276" s="610"/>
      <c r="H276" s="610"/>
      <c r="I276" s="610"/>
      <c r="J276" s="610"/>
      <c r="L276" s="610"/>
      <c r="M276" s="610"/>
      <c r="N276" s="610"/>
      <c r="O276" s="610"/>
      <c r="P276" s="610"/>
      <c r="Q276" s="610"/>
      <c r="R276" s="610"/>
      <c r="S276" s="610"/>
      <c r="T276" s="610"/>
      <c r="U276" s="610"/>
      <c r="V276" s="610"/>
      <c r="W276" s="610"/>
      <c r="X276" s="610"/>
      <c r="Y276" s="610"/>
      <c r="Z276" s="610"/>
      <c r="AA276" s="610"/>
      <c r="AB276" s="610"/>
      <c r="AC276" s="610"/>
      <c r="AD276" s="610"/>
      <c r="AE276" s="610"/>
      <c r="AF276" s="610"/>
      <c r="AG276" s="610"/>
      <c r="AH276" s="610"/>
      <c r="AI276" s="610"/>
      <c r="AJ276" s="610"/>
      <c r="AK276" s="610"/>
      <c r="AL276" s="610"/>
      <c r="AM276" s="610"/>
      <c r="AN276" s="610"/>
      <c r="AO276" s="610"/>
      <c r="AP276" s="610"/>
      <c r="AQ276" s="610"/>
    </row>
    <row r="277" spans="2:43" s="609" customFormat="1">
      <c r="B277" s="610"/>
      <c r="C277" s="610"/>
      <c r="D277" s="610"/>
      <c r="E277" s="610"/>
      <c r="F277" s="610"/>
      <c r="G277" s="610"/>
      <c r="H277" s="610"/>
      <c r="I277" s="610"/>
      <c r="J277" s="610"/>
      <c r="L277" s="610"/>
      <c r="M277" s="610"/>
      <c r="N277" s="610"/>
      <c r="O277" s="610"/>
      <c r="P277" s="610"/>
      <c r="Q277" s="610"/>
      <c r="R277" s="610"/>
      <c r="S277" s="610"/>
      <c r="T277" s="610"/>
      <c r="U277" s="610"/>
      <c r="V277" s="610"/>
      <c r="W277" s="610"/>
      <c r="X277" s="610"/>
      <c r="Y277" s="610"/>
      <c r="Z277" s="610"/>
      <c r="AA277" s="610"/>
      <c r="AB277" s="610"/>
      <c r="AC277" s="610"/>
      <c r="AD277" s="610"/>
      <c r="AE277" s="610"/>
      <c r="AF277" s="610"/>
      <c r="AG277" s="610"/>
      <c r="AH277" s="610"/>
      <c r="AI277" s="610"/>
      <c r="AJ277" s="610"/>
      <c r="AK277" s="610"/>
      <c r="AL277" s="610"/>
      <c r="AM277" s="610"/>
      <c r="AN277" s="610"/>
      <c r="AO277" s="610"/>
      <c r="AP277" s="610"/>
      <c r="AQ277" s="610"/>
    </row>
    <row r="278" spans="2:43" s="609" customFormat="1">
      <c r="B278" s="610"/>
      <c r="C278" s="610"/>
      <c r="D278" s="610"/>
      <c r="E278" s="610"/>
      <c r="F278" s="610"/>
      <c r="G278" s="610"/>
      <c r="H278" s="610"/>
      <c r="I278" s="610"/>
      <c r="J278" s="610"/>
      <c r="L278" s="610"/>
      <c r="M278" s="610"/>
      <c r="N278" s="610"/>
      <c r="O278" s="610"/>
      <c r="P278" s="610"/>
      <c r="Q278" s="610"/>
      <c r="R278" s="610"/>
      <c r="S278" s="610"/>
      <c r="T278" s="610"/>
      <c r="U278" s="610"/>
      <c r="V278" s="610"/>
      <c r="W278" s="610"/>
      <c r="X278" s="610"/>
      <c r="Y278" s="610"/>
      <c r="Z278" s="610"/>
      <c r="AA278" s="610"/>
      <c r="AB278" s="610"/>
      <c r="AC278" s="610"/>
      <c r="AD278" s="610"/>
      <c r="AE278" s="610"/>
      <c r="AF278" s="610"/>
      <c r="AG278" s="610"/>
      <c r="AH278" s="610"/>
      <c r="AI278" s="610"/>
      <c r="AJ278" s="610"/>
      <c r="AK278" s="610"/>
      <c r="AL278" s="610"/>
      <c r="AM278" s="610"/>
      <c r="AN278" s="610"/>
      <c r="AO278" s="610"/>
      <c r="AP278" s="610"/>
      <c r="AQ278" s="610"/>
    </row>
    <row r="279" spans="2:43" s="609" customFormat="1">
      <c r="B279" s="610"/>
      <c r="C279" s="610"/>
      <c r="D279" s="610"/>
      <c r="E279" s="610"/>
      <c r="F279" s="610"/>
      <c r="G279" s="610"/>
      <c r="H279" s="610"/>
      <c r="I279" s="610"/>
      <c r="J279" s="610"/>
      <c r="L279" s="610"/>
      <c r="M279" s="610"/>
      <c r="N279" s="610"/>
      <c r="O279" s="610"/>
      <c r="P279" s="610"/>
      <c r="Q279" s="610"/>
      <c r="R279" s="610"/>
      <c r="S279" s="610"/>
      <c r="T279" s="610"/>
      <c r="U279" s="610"/>
      <c r="V279" s="610"/>
      <c r="W279" s="610"/>
      <c r="X279" s="610"/>
      <c r="Y279" s="610"/>
      <c r="Z279" s="610"/>
      <c r="AA279" s="610"/>
      <c r="AB279" s="610"/>
      <c r="AC279" s="610"/>
      <c r="AD279" s="610"/>
      <c r="AE279" s="610"/>
      <c r="AF279" s="610"/>
      <c r="AG279" s="610"/>
      <c r="AH279" s="610"/>
      <c r="AI279" s="610"/>
      <c r="AJ279" s="610"/>
      <c r="AK279" s="610"/>
      <c r="AL279" s="610"/>
      <c r="AM279" s="610"/>
      <c r="AN279" s="610"/>
      <c r="AO279" s="610"/>
      <c r="AP279" s="610"/>
      <c r="AQ279" s="610"/>
    </row>
    <row r="280" spans="2:43" s="609" customFormat="1">
      <c r="B280" s="610"/>
      <c r="C280" s="610"/>
      <c r="D280" s="610"/>
      <c r="E280" s="610"/>
      <c r="F280" s="610"/>
      <c r="G280" s="610"/>
      <c r="H280" s="610"/>
      <c r="I280" s="610"/>
      <c r="J280" s="610"/>
      <c r="L280" s="610"/>
      <c r="M280" s="610"/>
      <c r="N280" s="610"/>
      <c r="O280" s="610"/>
      <c r="P280" s="610"/>
      <c r="Q280" s="610"/>
      <c r="R280" s="610"/>
      <c r="S280" s="610"/>
      <c r="T280" s="610"/>
      <c r="U280" s="610"/>
      <c r="V280" s="610"/>
      <c r="W280" s="610"/>
      <c r="X280" s="610"/>
      <c r="Y280" s="610"/>
      <c r="Z280" s="610"/>
      <c r="AA280" s="610"/>
      <c r="AB280" s="610"/>
      <c r="AC280" s="610"/>
      <c r="AD280" s="610"/>
      <c r="AE280" s="610"/>
      <c r="AF280" s="610"/>
      <c r="AG280" s="610"/>
      <c r="AH280" s="610"/>
      <c r="AI280" s="610"/>
      <c r="AJ280" s="610"/>
      <c r="AK280" s="610"/>
      <c r="AL280" s="610"/>
      <c r="AM280" s="610"/>
      <c r="AN280" s="610"/>
      <c r="AO280" s="610"/>
      <c r="AP280" s="610"/>
      <c r="AQ280" s="610"/>
    </row>
    <row r="281" spans="2:43" s="609" customFormat="1">
      <c r="B281" s="610"/>
      <c r="C281" s="610"/>
      <c r="D281" s="610"/>
      <c r="E281" s="610"/>
      <c r="F281" s="610"/>
      <c r="G281" s="610"/>
      <c r="H281" s="610"/>
      <c r="I281" s="610"/>
      <c r="J281" s="610"/>
      <c r="L281" s="610"/>
      <c r="M281" s="610"/>
      <c r="N281" s="610"/>
      <c r="O281" s="610"/>
      <c r="P281" s="610"/>
      <c r="Q281" s="610"/>
      <c r="R281" s="610"/>
      <c r="S281" s="610"/>
      <c r="T281" s="610"/>
      <c r="U281" s="610"/>
      <c r="V281" s="610"/>
      <c r="W281" s="610"/>
      <c r="X281" s="610"/>
      <c r="Y281" s="610"/>
      <c r="Z281" s="610"/>
      <c r="AA281" s="610"/>
      <c r="AB281" s="610"/>
      <c r="AC281" s="610"/>
      <c r="AD281" s="610"/>
      <c r="AE281" s="610"/>
      <c r="AF281" s="610"/>
      <c r="AG281" s="610"/>
      <c r="AH281" s="610"/>
      <c r="AI281" s="610"/>
      <c r="AJ281" s="610"/>
      <c r="AK281" s="610"/>
      <c r="AL281" s="610"/>
      <c r="AM281" s="610"/>
      <c r="AN281" s="610"/>
      <c r="AO281" s="610"/>
      <c r="AP281" s="610"/>
      <c r="AQ281" s="610"/>
    </row>
    <row r="282" spans="2:43" s="609" customFormat="1">
      <c r="B282" s="610"/>
      <c r="C282" s="610"/>
      <c r="D282" s="610"/>
      <c r="E282" s="610"/>
      <c r="F282" s="610"/>
      <c r="G282" s="610"/>
      <c r="H282" s="610"/>
      <c r="I282" s="610"/>
      <c r="J282" s="610"/>
      <c r="L282" s="610"/>
      <c r="M282" s="610"/>
      <c r="N282" s="610"/>
      <c r="O282" s="610"/>
      <c r="P282" s="610"/>
      <c r="Q282" s="610"/>
      <c r="R282" s="610"/>
      <c r="S282" s="610"/>
      <c r="T282" s="610"/>
      <c r="U282" s="610"/>
      <c r="V282" s="610"/>
      <c r="W282" s="610"/>
      <c r="X282" s="610"/>
      <c r="Y282" s="610"/>
      <c r="Z282" s="610"/>
      <c r="AA282" s="610"/>
      <c r="AB282" s="610"/>
      <c r="AC282" s="610"/>
      <c r="AD282" s="610"/>
      <c r="AE282" s="610"/>
      <c r="AF282" s="610"/>
      <c r="AG282" s="610"/>
      <c r="AH282" s="610"/>
      <c r="AI282" s="610"/>
      <c r="AJ282" s="610"/>
      <c r="AK282" s="610"/>
      <c r="AL282" s="610"/>
      <c r="AM282" s="610"/>
      <c r="AN282" s="610"/>
      <c r="AO282" s="610"/>
      <c r="AP282" s="610"/>
      <c r="AQ282" s="610"/>
    </row>
    <row r="283" spans="2:43" s="609" customFormat="1">
      <c r="B283" s="610"/>
      <c r="C283" s="610"/>
      <c r="D283" s="610"/>
      <c r="E283" s="610"/>
      <c r="F283" s="610"/>
      <c r="G283" s="610"/>
      <c r="H283" s="610"/>
      <c r="I283" s="610"/>
      <c r="J283" s="610"/>
      <c r="L283" s="610"/>
      <c r="M283" s="610"/>
      <c r="N283" s="610"/>
      <c r="O283" s="610"/>
      <c r="P283" s="610"/>
      <c r="Q283" s="610"/>
      <c r="R283" s="610"/>
      <c r="S283" s="610"/>
      <c r="T283" s="610"/>
      <c r="U283" s="610"/>
      <c r="V283" s="610"/>
      <c r="W283" s="610"/>
      <c r="X283" s="610"/>
      <c r="Y283" s="610"/>
      <c r="Z283" s="610"/>
      <c r="AA283" s="610"/>
      <c r="AB283" s="610"/>
      <c r="AC283" s="610"/>
      <c r="AD283" s="610"/>
      <c r="AE283" s="610"/>
      <c r="AF283" s="610"/>
      <c r="AG283" s="610"/>
      <c r="AH283" s="610"/>
      <c r="AI283" s="610"/>
      <c r="AJ283" s="610"/>
      <c r="AK283" s="610"/>
      <c r="AL283" s="610"/>
      <c r="AM283" s="610"/>
      <c r="AN283" s="610"/>
      <c r="AO283" s="610"/>
      <c r="AP283" s="610"/>
      <c r="AQ283" s="610"/>
    </row>
    <row r="284" spans="2:43" s="609" customFormat="1">
      <c r="B284" s="610"/>
      <c r="C284" s="610"/>
      <c r="D284" s="610"/>
      <c r="E284" s="610"/>
      <c r="F284" s="610"/>
      <c r="G284" s="610"/>
      <c r="H284" s="610"/>
      <c r="I284" s="610"/>
      <c r="J284" s="610"/>
      <c r="L284" s="610"/>
      <c r="M284" s="610"/>
      <c r="N284" s="610"/>
      <c r="O284" s="610"/>
      <c r="P284" s="610"/>
      <c r="Q284" s="610"/>
      <c r="R284" s="610"/>
      <c r="S284" s="610"/>
      <c r="T284" s="610"/>
      <c r="U284" s="610"/>
      <c r="V284" s="610"/>
      <c r="W284" s="610"/>
      <c r="X284" s="610"/>
      <c r="Y284" s="610"/>
      <c r="Z284" s="610"/>
      <c r="AA284" s="610"/>
      <c r="AB284" s="610"/>
      <c r="AC284" s="610"/>
      <c r="AD284" s="610"/>
      <c r="AE284" s="610"/>
      <c r="AF284" s="610"/>
      <c r="AG284" s="610"/>
      <c r="AH284" s="610"/>
      <c r="AI284" s="610"/>
      <c r="AJ284" s="610"/>
      <c r="AK284" s="610"/>
      <c r="AL284" s="610"/>
      <c r="AM284" s="610"/>
      <c r="AN284" s="610"/>
      <c r="AO284" s="610"/>
      <c r="AP284" s="610"/>
      <c r="AQ284" s="610"/>
    </row>
    <row r="285" spans="2:43" s="609" customFormat="1">
      <c r="B285" s="610"/>
      <c r="C285" s="610"/>
      <c r="D285" s="610"/>
      <c r="E285" s="610"/>
      <c r="F285" s="610"/>
      <c r="G285" s="610"/>
      <c r="H285" s="610"/>
      <c r="I285" s="610"/>
      <c r="J285" s="610"/>
      <c r="L285" s="610"/>
      <c r="M285" s="610"/>
      <c r="N285" s="610"/>
      <c r="O285" s="610"/>
      <c r="P285" s="610"/>
      <c r="Q285" s="610"/>
      <c r="R285" s="610"/>
      <c r="S285" s="610"/>
      <c r="T285" s="610"/>
      <c r="U285" s="610"/>
      <c r="V285" s="610"/>
      <c r="W285" s="610"/>
      <c r="X285" s="610"/>
      <c r="Y285" s="610"/>
      <c r="Z285" s="610"/>
      <c r="AA285" s="610"/>
      <c r="AB285" s="610"/>
      <c r="AC285" s="610"/>
      <c r="AD285" s="610"/>
      <c r="AE285" s="610"/>
      <c r="AF285" s="610"/>
      <c r="AG285" s="610"/>
      <c r="AH285" s="610"/>
      <c r="AI285" s="610"/>
      <c r="AJ285" s="610"/>
      <c r="AK285" s="610"/>
      <c r="AL285" s="610"/>
      <c r="AM285" s="610"/>
      <c r="AN285" s="610"/>
      <c r="AO285" s="610"/>
      <c r="AP285" s="610"/>
      <c r="AQ285" s="610"/>
    </row>
    <row r="286" spans="2:43" s="609" customFormat="1">
      <c r="B286" s="610"/>
      <c r="C286" s="610"/>
      <c r="D286" s="610"/>
      <c r="E286" s="610"/>
      <c r="F286" s="610"/>
      <c r="G286" s="610"/>
      <c r="H286" s="610"/>
      <c r="I286" s="610"/>
      <c r="J286" s="610"/>
      <c r="L286" s="610"/>
      <c r="M286" s="610"/>
      <c r="N286" s="610"/>
      <c r="O286" s="610"/>
      <c r="P286" s="610"/>
      <c r="Q286" s="610"/>
      <c r="R286" s="610"/>
      <c r="S286" s="610"/>
      <c r="T286" s="610"/>
      <c r="U286" s="610"/>
      <c r="V286" s="610"/>
      <c r="W286" s="610"/>
      <c r="X286" s="610"/>
      <c r="Y286" s="610"/>
      <c r="Z286" s="610"/>
      <c r="AA286" s="610"/>
      <c r="AB286" s="610"/>
      <c r="AC286" s="610"/>
      <c r="AD286" s="610"/>
      <c r="AE286" s="610"/>
      <c r="AF286" s="610"/>
      <c r="AG286" s="610"/>
      <c r="AH286" s="610"/>
      <c r="AI286" s="610"/>
      <c r="AJ286" s="610"/>
      <c r="AK286" s="610"/>
      <c r="AL286" s="610"/>
      <c r="AM286" s="610"/>
      <c r="AN286" s="610"/>
      <c r="AO286" s="610"/>
      <c r="AP286" s="610"/>
      <c r="AQ286" s="610"/>
    </row>
    <row r="287" spans="2:43" s="609" customFormat="1">
      <c r="B287" s="610"/>
      <c r="C287" s="610"/>
      <c r="D287" s="610"/>
      <c r="E287" s="610"/>
      <c r="F287" s="610"/>
      <c r="G287" s="610"/>
      <c r="H287" s="610"/>
      <c r="I287" s="610"/>
      <c r="J287" s="610"/>
      <c r="L287" s="610"/>
      <c r="M287" s="610"/>
      <c r="N287" s="610"/>
      <c r="O287" s="610"/>
      <c r="P287" s="610"/>
      <c r="Q287" s="610"/>
      <c r="R287" s="610"/>
      <c r="S287" s="610"/>
      <c r="T287" s="610"/>
      <c r="U287" s="610"/>
      <c r="V287" s="610"/>
      <c r="W287" s="610"/>
      <c r="X287" s="610"/>
      <c r="Y287" s="610"/>
      <c r="Z287" s="610"/>
      <c r="AA287" s="610"/>
      <c r="AB287" s="610"/>
      <c r="AC287" s="610"/>
      <c r="AD287" s="610"/>
      <c r="AE287" s="610"/>
      <c r="AF287" s="610"/>
      <c r="AG287" s="610"/>
      <c r="AH287" s="610"/>
      <c r="AI287" s="610"/>
      <c r="AJ287" s="610"/>
      <c r="AK287" s="610"/>
      <c r="AL287" s="610"/>
      <c r="AM287" s="610"/>
      <c r="AN287" s="610"/>
      <c r="AO287" s="610"/>
      <c r="AP287" s="610"/>
      <c r="AQ287" s="610"/>
    </row>
    <row r="288" spans="2:43" s="609" customFormat="1">
      <c r="B288" s="610"/>
      <c r="C288" s="610"/>
      <c r="D288" s="610"/>
      <c r="E288" s="610"/>
      <c r="F288" s="610"/>
      <c r="G288" s="610"/>
      <c r="H288" s="610"/>
      <c r="I288" s="610"/>
      <c r="J288" s="610"/>
      <c r="L288" s="610"/>
      <c r="M288" s="610"/>
      <c r="N288" s="610"/>
      <c r="O288" s="610"/>
      <c r="P288" s="610"/>
      <c r="Q288" s="610"/>
      <c r="R288" s="610"/>
      <c r="S288" s="610"/>
      <c r="T288" s="610"/>
      <c r="U288" s="610"/>
      <c r="V288" s="610"/>
      <c r="W288" s="610"/>
      <c r="X288" s="610"/>
      <c r="Y288" s="610"/>
      <c r="Z288" s="610"/>
      <c r="AA288" s="610"/>
      <c r="AB288" s="610"/>
      <c r="AC288" s="610"/>
      <c r="AD288" s="610"/>
      <c r="AE288" s="610"/>
      <c r="AF288" s="610"/>
      <c r="AG288" s="610"/>
      <c r="AH288" s="610"/>
      <c r="AI288" s="610"/>
      <c r="AJ288" s="610"/>
      <c r="AK288" s="610"/>
      <c r="AL288" s="610"/>
      <c r="AM288" s="610"/>
      <c r="AN288" s="610"/>
      <c r="AO288" s="610"/>
      <c r="AP288" s="610"/>
      <c r="AQ288" s="610"/>
    </row>
    <row r="289" spans="2:43" s="609" customFormat="1">
      <c r="B289" s="610"/>
      <c r="C289" s="610"/>
      <c r="D289" s="610"/>
      <c r="E289" s="610"/>
      <c r="F289" s="610"/>
      <c r="G289" s="610"/>
      <c r="H289" s="610"/>
      <c r="I289" s="610"/>
      <c r="J289" s="610"/>
      <c r="L289" s="610"/>
      <c r="M289" s="610"/>
      <c r="N289" s="610"/>
      <c r="O289" s="610"/>
      <c r="P289" s="610"/>
      <c r="Q289" s="610"/>
      <c r="R289" s="610"/>
      <c r="S289" s="610"/>
      <c r="T289" s="610"/>
      <c r="U289" s="610"/>
      <c r="V289" s="610"/>
      <c r="W289" s="610"/>
      <c r="X289" s="610"/>
      <c r="Y289" s="610"/>
      <c r="Z289" s="610"/>
      <c r="AA289" s="610"/>
      <c r="AB289" s="610"/>
      <c r="AC289" s="610"/>
      <c r="AD289" s="610"/>
      <c r="AE289" s="610"/>
      <c r="AF289" s="610"/>
      <c r="AG289" s="610"/>
      <c r="AH289" s="610"/>
      <c r="AI289" s="610"/>
      <c r="AJ289" s="610"/>
      <c r="AK289" s="610"/>
      <c r="AL289" s="610"/>
      <c r="AM289" s="610"/>
      <c r="AN289" s="610"/>
      <c r="AO289" s="610"/>
      <c r="AP289" s="610"/>
      <c r="AQ289" s="610"/>
    </row>
    <row r="290" spans="2:43" s="609" customFormat="1">
      <c r="B290" s="610"/>
      <c r="C290" s="610"/>
      <c r="D290" s="610"/>
      <c r="E290" s="610"/>
      <c r="F290" s="610"/>
      <c r="G290" s="610"/>
      <c r="H290" s="610"/>
      <c r="I290" s="610"/>
      <c r="J290" s="610"/>
      <c r="L290" s="610"/>
      <c r="M290" s="610"/>
      <c r="N290" s="610"/>
      <c r="O290" s="610"/>
      <c r="P290" s="610"/>
      <c r="Q290" s="610"/>
      <c r="R290" s="610"/>
      <c r="S290" s="610"/>
      <c r="T290" s="610"/>
      <c r="U290" s="610"/>
      <c r="V290" s="610"/>
      <c r="W290" s="610"/>
      <c r="X290" s="610"/>
      <c r="Y290" s="610"/>
      <c r="Z290" s="610"/>
      <c r="AA290" s="610"/>
      <c r="AB290" s="610"/>
      <c r="AC290" s="610"/>
      <c r="AD290" s="610"/>
      <c r="AE290" s="610"/>
      <c r="AF290" s="610"/>
      <c r="AG290" s="610"/>
      <c r="AH290" s="610"/>
      <c r="AI290" s="610"/>
      <c r="AJ290" s="610"/>
      <c r="AK290" s="610"/>
      <c r="AL290" s="610"/>
      <c r="AM290" s="610"/>
      <c r="AN290" s="610"/>
      <c r="AO290" s="610"/>
      <c r="AP290" s="610"/>
      <c r="AQ290" s="610"/>
    </row>
    <row r="291" spans="2:43" s="609" customFormat="1">
      <c r="B291" s="610"/>
      <c r="C291" s="610"/>
      <c r="D291" s="610"/>
      <c r="E291" s="610"/>
      <c r="F291" s="610"/>
      <c r="G291" s="610"/>
      <c r="H291" s="610"/>
      <c r="I291" s="610"/>
      <c r="J291" s="610"/>
      <c r="L291" s="610"/>
      <c r="M291" s="610"/>
      <c r="N291" s="610"/>
      <c r="O291" s="610"/>
      <c r="P291" s="610"/>
      <c r="Q291" s="610"/>
      <c r="R291" s="610"/>
      <c r="S291" s="610"/>
      <c r="T291" s="610"/>
      <c r="U291" s="610"/>
      <c r="V291" s="610"/>
      <c r="W291" s="610"/>
      <c r="X291" s="610"/>
      <c r="Y291" s="610"/>
      <c r="Z291" s="610"/>
      <c r="AA291" s="610"/>
      <c r="AB291" s="610"/>
      <c r="AC291" s="610"/>
      <c r="AD291" s="610"/>
      <c r="AE291" s="610"/>
      <c r="AF291" s="610"/>
      <c r="AG291" s="610"/>
      <c r="AH291" s="610"/>
      <c r="AI291" s="610"/>
      <c r="AJ291" s="610"/>
      <c r="AK291" s="610"/>
      <c r="AL291" s="610"/>
      <c r="AM291" s="610"/>
      <c r="AN291" s="610"/>
      <c r="AO291" s="610"/>
      <c r="AP291" s="610"/>
      <c r="AQ291" s="610"/>
    </row>
    <row r="292" spans="2:43" s="609" customFormat="1">
      <c r="B292" s="610"/>
      <c r="C292" s="610"/>
      <c r="D292" s="610"/>
      <c r="E292" s="610"/>
      <c r="F292" s="610"/>
      <c r="G292" s="610"/>
      <c r="H292" s="610"/>
      <c r="I292" s="610"/>
      <c r="J292" s="610"/>
      <c r="L292" s="610"/>
      <c r="M292" s="610"/>
      <c r="N292" s="610"/>
      <c r="O292" s="610"/>
      <c r="P292" s="610"/>
      <c r="Q292" s="610"/>
      <c r="R292" s="610"/>
      <c r="S292" s="610"/>
      <c r="T292" s="610"/>
      <c r="U292" s="610"/>
      <c r="V292" s="610"/>
      <c r="W292" s="610"/>
      <c r="X292" s="610"/>
      <c r="Y292" s="610"/>
      <c r="Z292" s="610"/>
      <c r="AA292" s="610"/>
      <c r="AB292" s="610"/>
      <c r="AC292" s="610"/>
      <c r="AD292" s="610"/>
      <c r="AE292" s="610"/>
      <c r="AF292" s="610"/>
      <c r="AG292" s="610"/>
      <c r="AH292" s="610"/>
      <c r="AI292" s="610"/>
      <c r="AJ292" s="610"/>
      <c r="AK292" s="610"/>
      <c r="AL292" s="610"/>
      <c r="AM292" s="610"/>
      <c r="AN292" s="610"/>
      <c r="AO292" s="610"/>
      <c r="AP292" s="610"/>
      <c r="AQ292" s="610"/>
    </row>
    <row r="293" spans="2:43" s="609" customFormat="1">
      <c r="B293" s="610"/>
      <c r="C293" s="610"/>
      <c r="D293" s="610"/>
      <c r="E293" s="610"/>
      <c r="F293" s="610"/>
      <c r="G293" s="610"/>
      <c r="H293" s="610"/>
      <c r="I293" s="610"/>
      <c r="J293" s="610"/>
      <c r="L293" s="610"/>
      <c r="M293" s="610"/>
      <c r="N293" s="610"/>
      <c r="O293" s="610"/>
      <c r="P293" s="610"/>
      <c r="Q293" s="610"/>
      <c r="R293" s="610"/>
      <c r="S293" s="610"/>
      <c r="T293" s="610"/>
      <c r="U293" s="610"/>
      <c r="V293" s="610"/>
      <c r="W293" s="610"/>
      <c r="X293" s="610"/>
      <c r="Y293" s="610"/>
      <c r="Z293" s="610"/>
      <c r="AA293" s="610"/>
      <c r="AB293" s="610"/>
      <c r="AC293" s="610"/>
      <c r="AD293" s="610"/>
      <c r="AE293" s="610"/>
      <c r="AF293" s="610"/>
      <c r="AG293" s="610"/>
      <c r="AH293" s="610"/>
      <c r="AI293" s="610"/>
      <c r="AJ293" s="610"/>
      <c r="AK293" s="610"/>
      <c r="AL293" s="610"/>
      <c r="AM293" s="610"/>
      <c r="AN293" s="610"/>
      <c r="AO293" s="610"/>
      <c r="AP293" s="610"/>
      <c r="AQ293" s="610"/>
    </row>
    <row r="294" spans="2:43" s="609" customFormat="1">
      <c r="B294" s="610"/>
      <c r="C294" s="610"/>
      <c r="D294" s="610"/>
      <c r="E294" s="610"/>
      <c r="F294" s="610"/>
      <c r="G294" s="610"/>
      <c r="H294" s="610"/>
      <c r="I294" s="610"/>
      <c r="J294" s="610"/>
      <c r="L294" s="610"/>
      <c r="M294" s="610"/>
      <c r="N294" s="610"/>
      <c r="O294" s="610"/>
      <c r="P294" s="610"/>
      <c r="Q294" s="610"/>
      <c r="R294" s="610"/>
      <c r="S294" s="610"/>
      <c r="T294" s="610"/>
      <c r="U294" s="610"/>
      <c r="V294" s="610"/>
      <c r="W294" s="610"/>
      <c r="X294" s="610"/>
      <c r="Y294" s="610"/>
      <c r="Z294" s="610"/>
      <c r="AA294" s="610"/>
      <c r="AB294" s="610"/>
      <c r="AC294" s="610"/>
      <c r="AD294" s="610"/>
      <c r="AE294" s="610"/>
      <c r="AF294" s="610"/>
      <c r="AG294" s="610"/>
      <c r="AH294" s="610"/>
      <c r="AI294" s="610"/>
      <c r="AJ294" s="610"/>
      <c r="AK294" s="610"/>
      <c r="AL294" s="610"/>
      <c r="AM294" s="610"/>
      <c r="AN294" s="610"/>
      <c r="AO294" s="610"/>
      <c r="AP294" s="610"/>
      <c r="AQ294" s="610"/>
    </row>
    <row r="295" spans="2:43" s="609" customFormat="1">
      <c r="B295" s="610"/>
      <c r="C295" s="610"/>
      <c r="D295" s="610"/>
      <c r="E295" s="610"/>
      <c r="F295" s="610"/>
      <c r="G295" s="610"/>
      <c r="H295" s="610"/>
      <c r="I295" s="610"/>
      <c r="J295" s="610"/>
      <c r="L295" s="610"/>
      <c r="M295" s="610"/>
      <c r="N295" s="610"/>
      <c r="O295" s="610"/>
      <c r="P295" s="610"/>
      <c r="Q295" s="610"/>
      <c r="R295" s="610"/>
      <c r="S295" s="610"/>
      <c r="T295" s="610"/>
      <c r="U295" s="610"/>
      <c r="V295" s="610"/>
      <c r="W295" s="610"/>
      <c r="X295" s="610"/>
      <c r="Y295" s="610"/>
      <c r="Z295" s="610"/>
      <c r="AA295" s="610"/>
      <c r="AB295" s="610"/>
      <c r="AC295" s="610"/>
      <c r="AD295" s="610"/>
      <c r="AE295" s="610"/>
      <c r="AF295" s="610"/>
      <c r="AG295" s="610"/>
      <c r="AH295" s="610"/>
      <c r="AI295" s="610"/>
      <c r="AJ295" s="610"/>
      <c r="AK295" s="610"/>
      <c r="AL295" s="610"/>
      <c r="AM295" s="610"/>
      <c r="AN295" s="610"/>
      <c r="AO295" s="610"/>
      <c r="AP295" s="610"/>
      <c r="AQ295" s="610"/>
    </row>
    <row r="296" spans="2:43" s="609" customFormat="1">
      <c r="B296" s="610"/>
      <c r="C296" s="610"/>
      <c r="D296" s="610"/>
      <c r="E296" s="610"/>
      <c r="F296" s="610"/>
      <c r="G296" s="610"/>
      <c r="H296" s="610"/>
      <c r="I296" s="610"/>
      <c r="J296" s="610"/>
      <c r="L296" s="610"/>
      <c r="M296" s="610"/>
      <c r="N296" s="610"/>
      <c r="O296" s="610"/>
      <c r="P296" s="610"/>
      <c r="Q296" s="610"/>
      <c r="R296" s="610"/>
      <c r="S296" s="610"/>
      <c r="T296" s="610"/>
      <c r="U296" s="610"/>
      <c r="V296" s="610"/>
      <c r="W296" s="610"/>
      <c r="X296" s="610"/>
      <c r="Y296" s="610"/>
      <c r="Z296" s="610"/>
      <c r="AA296" s="610"/>
      <c r="AB296" s="610"/>
      <c r="AC296" s="610"/>
      <c r="AD296" s="610"/>
      <c r="AE296" s="610"/>
      <c r="AF296" s="610"/>
      <c r="AG296" s="610"/>
      <c r="AH296" s="610"/>
      <c r="AI296" s="610"/>
      <c r="AJ296" s="610"/>
      <c r="AK296" s="610"/>
      <c r="AL296" s="610"/>
      <c r="AM296" s="610"/>
      <c r="AN296" s="610"/>
      <c r="AO296" s="610"/>
      <c r="AP296" s="610"/>
      <c r="AQ296" s="610"/>
    </row>
    <row r="297" spans="2:43" s="609" customFormat="1">
      <c r="B297" s="610"/>
      <c r="C297" s="610"/>
      <c r="D297" s="610"/>
      <c r="E297" s="610"/>
      <c r="F297" s="610"/>
      <c r="G297" s="610"/>
      <c r="H297" s="610"/>
      <c r="I297" s="610"/>
      <c r="J297" s="610"/>
      <c r="L297" s="610"/>
      <c r="M297" s="610"/>
      <c r="N297" s="610"/>
      <c r="O297" s="610"/>
      <c r="P297" s="610"/>
      <c r="Q297" s="610"/>
      <c r="R297" s="610"/>
      <c r="S297" s="610"/>
      <c r="T297" s="610"/>
      <c r="U297" s="610"/>
      <c r="V297" s="610"/>
      <c r="W297" s="610"/>
      <c r="X297" s="610"/>
      <c r="Y297" s="610"/>
      <c r="Z297" s="610"/>
      <c r="AA297" s="610"/>
      <c r="AB297" s="610"/>
      <c r="AC297" s="610"/>
      <c r="AD297" s="610"/>
      <c r="AE297" s="610"/>
      <c r="AF297" s="610"/>
      <c r="AG297" s="610"/>
      <c r="AH297" s="610"/>
      <c r="AI297" s="610"/>
      <c r="AJ297" s="610"/>
      <c r="AK297" s="610"/>
      <c r="AL297" s="610"/>
      <c r="AM297" s="610"/>
      <c r="AN297" s="610"/>
      <c r="AO297" s="610"/>
      <c r="AP297" s="610"/>
      <c r="AQ297" s="610"/>
    </row>
    <row r="298" spans="2:43" s="609" customFormat="1">
      <c r="B298" s="610"/>
      <c r="C298" s="610"/>
      <c r="D298" s="610"/>
      <c r="E298" s="610"/>
      <c r="F298" s="610"/>
      <c r="G298" s="610"/>
      <c r="H298" s="610"/>
      <c r="I298" s="610"/>
      <c r="J298" s="610"/>
      <c r="L298" s="610"/>
      <c r="M298" s="610"/>
      <c r="N298" s="610"/>
      <c r="O298" s="610"/>
      <c r="P298" s="610"/>
      <c r="Q298" s="610"/>
      <c r="R298" s="610"/>
      <c r="S298" s="610"/>
      <c r="T298" s="610"/>
      <c r="U298" s="610"/>
      <c r="V298" s="610"/>
      <c r="W298" s="610"/>
      <c r="X298" s="610"/>
      <c r="Y298" s="610"/>
      <c r="Z298" s="610"/>
      <c r="AA298" s="610"/>
      <c r="AB298" s="610"/>
      <c r="AC298" s="610"/>
      <c r="AD298" s="610"/>
      <c r="AE298" s="610"/>
      <c r="AF298" s="610"/>
      <c r="AG298" s="610"/>
      <c r="AH298" s="610"/>
      <c r="AI298" s="610"/>
      <c r="AJ298" s="610"/>
      <c r="AK298" s="610"/>
      <c r="AL298" s="610"/>
      <c r="AM298" s="610"/>
      <c r="AN298" s="610"/>
      <c r="AO298" s="610"/>
      <c r="AP298" s="610"/>
      <c r="AQ298" s="610"/>
    </row>
    <row r="299" spans="2:43" s="609" customFormat="1">
      <c r="B299" s="610"/>
      <c r="C299" s="610"/>
      <c r="D299" s="610"/>
      <c r="E299" s="610"/>
      <c r="F299" s="610"/>
      <c r="G299" s="610"/>
      <c r="H299" s="610"/>
      <c r="I299" s="610"/>
      <c r="J299" s="610"/>
      <c r="L299" s="610"/>
      <c r="M299" s="610"/>
      <c r="N299" s="610"/>
      <c r="O299" s="610"/>
      <c r="P299" s="610"/>
      <c r="Q299" s="610"/>
      <c r="R299" s="610"/>
      <c r="S299" s="610"/>
      <c r="T299" s="610"/>
      <c r="U299" s="610"/>
      <c r="V299" s="610"/>
      <c r="W299" s="610"/>
      <c r="X299" s="610"/>
      <c r="Y299" s="610"/>
      <c r="Z299" s="610"/>
      <c r="AA299" s="610"/>
      <c r="AB299" s="610"/>
      <c r="AC299" s="610"/>
      <c r="AD299" s="610"/>
      <c r="AE299" s="610"/>
      <c r="AF299" s="610"/>
      <c r="AG299" s="610"/>
      <c r="AH299" s="610"/>
      <c r="AI299" s="610"/>
      <c r="AJ299" s="610"/>
      <c r="AK299" s="610"/>
      <c r="AL299" s="610"/>
      <c r="AM299" s="610"/>
      <c r="AN299" s="610"/>
      <c r="AO299" s="610"/>
      <c r="AP299" s="610"/>
      <c r="AQ299" s="610"/>
    </row>
    <row r="300" spans="2:43" s="609" customFormat="1">
      <c r="B300" s="610"/>
      <c r="C300" s="610"/>
      <c r="D300" s="610"/>
      <c r="E300" s="610"/>
      <c r="F300" s="610"/>
      <c r="G300" s="610"/>
      <c r="H300" s="610"/>
      <c r="I300" s="610"/>
      <c r="J300" s="610"/>
      <c r="L300" s="610"/>
      <c r="M300" s="610"/>
      <c r="N300" s="610"/>
      <c r="O300" s="610"/>
      <c r="P300" s="610"/>
      <c r="Q300" s="610"/>
      <c r="R300" s="610"/>
      <c r="S300" s="610"/>
      <c r="T300" s="610"/>
      <c r="U300" s="610"/>
      <c r="V300" s="610"/>
      <c r="W300" s="610"/>
      <c r="X300" s="610"/>
      <c r="Y300" s="610"/>
      <c r="Z300" s="610"/>
      <c r="AA300" s="610"/>
      <c r="AB300" s="610"/>
      <c r="AC300" s="610"/>
      <c r="AD300" s="610"/>
      <c r="AE300" s="610"/>
      <c r="AF300" s="610"/>
      <c r="AG300" s="610"/>
      <c r="AH300" s="610"/>
      <c r="AI300" s="610"/>
      <c r="AJ300" s="610"/>
      <c r="AK300" s="610"/>
      <c r="AL300" s="610"/>
      <c r="AM300" s="610"/>
      <c r="AN300" s="610"/>
      <c r="AO300" s="610"/>
      <c r="AP300" s="610"/>
      <c r="AQ300" s="610"/>
    </row>
    <row r="301" spans="2:43" s="609" customFormat="1">
      <c r="B301" s="610"/>
      <c r="C301" s="610"/>
      <c r="D301" s="610"/>
      <c r="E301" s="610"/>
      <c r="F301" s="610"/>
      <c r="G301" s="610"/>
      <c r="H301" s="610"/>
      <c r="I301" s="610"/>
      <c r="J301" s="610"/>
      <c r="L301" s="610"/>
      <c r="M301" s="610"/>
      <c r="N301" s="610"/>
      <c r="O301" s="610"/>
      <c r="P301" s="610"/>
      <c r="Q301" s="610"/>
      <c r="R301" s="610"/>
      <c r="S301" s="610"/>
      <c r="T301" s="610"/>
      <c r="U301" s="610"/>
      <c r="V301" s="610"/>
      <c r="W301" s="610"/>
      <c r="X301" s="610"/>
      <c r="Y301" s="610"/>
      <c r="Z301" s="610"/>
      <c r="AA301" s="610"/>
      <c r="AB301" s="610"/>
      <c r="AC301" s="610"/>
      <c r="AD301" s="610"/>
      <c r="AE301" s="610"/>
      <c r="AF301" s="610"/>
      <c r="AG301" s="610"/>
      <c r="AH301" s="610"/>
      <c r="AI301" s="610"/>
      <c r="AJ301" s="610"/>
      <c r="AK301" s="610"/>
      <c r="AL301" s="610"/>
      <c r="AM301" s="610"/>
      <c r="AN301" s="610"/>
      <c r="AO301" s="610"/>
      <c r="AP301" s="610"/>
      <c r="AQ301" s="610"/>
    </row>
    <row r="302" spans="2:43" s="609" customFormat="1">
      <c r="B302" s="610"/>
      <c r="C302" s="610"/>
      <c r="D302" s="610"/>
      <c r="E302" s="610"/>
      <c r="F302" s="610"/>
      <c r="G302" s="610"/>
      <c r="H302" s="610"/>
      <c r="I302" s="610"/>
      <c r="J302" s="610"/>
      <c r="L302" s="610"/>
      <c r="M302" s="610"/>
      <c r="N302" s="610"/>
      <c r="O302" s="610"/>
      <c r="P302" s="610"/>
      <c r="Q302" s="610"/>
      <c r="R302" s="610"/>
      <c r="S302" s="610"/>
      <c r="T302" s="610"/>
      <c r="U302" s="610"/>
      <c r="V302" s="610"/>
      <c r="W302" s="610"/>
      <c r="X302" s="610"/>
      <c r="Y302" s="610"/>
      <c r="Z302" s="610"/>
      <c r="AA302" s="610"/>
      <c r="AB302" s="610"/>
      <c r="AC302" s="610"/>
      <c r="AD302" s="610"/>
      <c r="AE302" s="610"/>
      <c r="AF302" s="610"/>
      <c r="AG302" s="610"/>
      <c r="AH302" s="610"/>
      <c r="AI302" s="610"/>
      <c r="AJ302" s="610"/>
      <c r="AK302" s="610"/>
      <c r="AL302" s="610"/>
      <c r="AM302" s="610"/>
      <c r="AN302" s="610"/>
      <c r="AO302" s="610"/>
      <c r="AP302" s="610"/>
      <c r="AQ302" s="610"/>
    </row>
    <row r="303" spans="2:43" s="609" customFormat="1">
      <c r="B303" s="610"/>
      <c r="C303" s="610"/>
      <c r="D303" s="610"/>
      <c r="E303" s="610"/>
      <c r="F303" s="610"/>
      <c r="G303" s="610"/>
      <c r="H303" s="610"/>
      <c r="I303" s="610"/>
      <c r="J303" s="610"/>
      <c r="L303" s="610"/>
      <c r="M303" s="610"/>
      <c r="N303" s="610"/>
      <c r="O303" s="610"/>
      <c r="P303" s="610"/>
      <c r="Q303" s="610"/>
      <c r="R303" s="610"/>
      <c r="S303" s="610"/>
      <c r="T303" s="610"/>
      <c r="U303" s="610"/>
      <c r="V303" s="610"/>
      <c r="W303" s="610"/>
      <c r="X303" s="610"/>
      <c r="Y303" s="610"/>
      <c r="Z303" s="610"/>
      <c r="AA303" s="610"/>
      <c r="AB303" s="610"/>
      <c r="AC303" s="610"/>
      <c r="AD303" s="610"/>
      <c r="AE303" s="610"/>
      <c r="AF303" s="610"/>
      <c r="AG303" s="610"/>
      <c r="AH303" s="610"/>
      <c r="AI303" s="610"/>
      <c r="AJ303" s="610"/>
      <c r="AK303" s="610"/>
      <c r="AL303" s="610"/>
      <c r="AM303" s="610"/>
      <c r="AN303" s="610"/>
      <c r="AO303" s="610"/>
      <c r="AP303" s="610"/>
      <c r="AQ303" s="610"/>
    </row>
    <row r="304" spans="2:43" s="609" customFormat="1">
      <c r="B304" s="610"/>
      <c r="C304" s="610"/>
      <c r="D304" s="610"/>
      <c r="E304" s="610"/>
      <c r="F304" s="610"/>
      <c r="G304" s="610"/>
      <c r="H304" s="610"/>
      <c r="I304" s="610"/>
      <c r="J304" s="610"/>
      <c r="L304" s="610"/>
      <c r="M304" s="610"/>
      <c r="N304" s="610"/>
      <c r="O304" s="610"/>
      <c r="P304" s="610"/>
      <c r="Q304" s="610"/>
      <c r="R304" s="610"/>
      <c r="S304" s="610"/>
      <c r="T304" s="610"/>
      <c r="U304" s="610"/>
      <c r="V304" s="610"/>
      <c r="W304" s="610"/>
      <c r="X304" s="610"/>
      <c r="Y304" s="610"/>
      <c r="Z304" s="610"/>
      <c r="AA304" s="610"/>
      <c r="AB304" s="610"/>
      <c r="AC304" s="610"/>
      <c r="AD304" s="610"/>
      <c r="AE304" s="610"/>
      <c r="AF304" s="610"/>
      <c r="AG304" s="610"/>
      <c r="AH304" s="610"/>
      <c r="AI304" s="610"/>
      <c r="AJ304" s="610"/>
      <c r="AK304" s="610"/>
      <c r="AL304" s="610"/>
      <c r="AM304" s="610"/>
      <c r="AN304" s="610"/>
      <c r="AO304" s="610"/>
      <c r="AP304" s="610"/>
      <c r="AQ304" s="610"/>
    </row>
    <row r="305" spans="2:43" s="609" customFormat="1">
      <c r="B305" s="610"/>
      <c r="C305" s="610"/>
      <c r="D305" s="610"/>
      <c r="E305" s="610"/>
      <c r="F305" s="610"/>
      <c r="G305" s="610"/>
      <c r="H305" s="610"/>
      <c r="I305" s="610"/>
      <c r="J305" s="610"/>
      <c r="L305" s="610"/>
      <c r="M305" s="610"/>
      <c r="N305" s="610"/>
      <c r="O305" s="610"/>
      <c r="P305" s="610"/>
      <c r="Q305" s="610"/>
      <c r="R305" s="610"/>
      <c r="S305" s="610"/>
      <c r="T305" s="610"/>
      <c r="U305" s="610"/>
      <c r="V305" s="610"/>
      <c r="W305" s="610"/>
      <c r="X305" s="610"/>
      <c r="Y305" s="610"/>
      <c r="Z305" s="610"/>
      <c r="AA305" s="610"/>
      <c r="AB305" s="610"/>
      <c r="AC305" s="610"/>
      <c r="AD305" s="610"/>
      <c r="AE305" s="610"/>
      <c r="AF305" s="610"/>
      <c r="AG305" s="610"/>
      <c r="AH305" s="610"/>
      <c r="AI305" s="610"/>
      <c r="AJ305" s="610"/>
      <c r="AK305" s="610"/>
      <c r="AL305" s="610"/>
      <c r="AM305" s="610"/>
      <c r="AN305" s="610"/>
      <c r="AO305" s="610"/>
      <c r="AP305" s="610"/>
      <c r="AQ305" s="610"/>
    </row>
    <row r="306" spans="2:43" s="609" customFormat="1">
      <c r="B306" s="610"/>
      <c r="C306" s="610"/>
      <c r="D306" s="610"/>
      <c r="E306" s="610"/>
      <c r="F306" s="610"/>
      <c r="G306" s="610"/>
      <c r="H306" s="610"/>
      <c r="I306" s="610"/>
      <c r="J306" s="610"/>
      <c r="L306" s="610"/>
      <c r="M306" s="610"/>
      <c r="N306" s="610"/>
      <c r="O306" s="610"/>
      <c r="P306" s="610"/>
      <c r="Q306" s="610"/>
      <c r="R306" s="610"/>
      <c r="S306" s="610"/>
      <c r="T306" s="610"/>
      <c r="U306" s="610"/>
      <c r="V306" s="610"/>
      <c r="W306" s="610"/>
      <c r="X306" s="610"/>
      <c r="Y306" s="610"/>
      <c r="Z306" s="610"/>
      <c r="AA306" s="610"/>
      <c r="AB306" s="610"/>
      <c r="AC306" s="610"/>
      <c r="AD306" s="610"/>
      <c r="AE306" s="610"/>
      <c r="AF306" s="610"/>
      <c r="AG306" s="610"/>
      <c r="AH306" s="610"/>
      <c r="AI306" s="610"/>
      <c r="AJ306" s="610"/>
      <c r="AK306" s="610"/>
      <c r="AL306" s="610"/>
      <c r="AM306" s="610"/>
      <c r="AN306" s="610"/>
      <c r="AO306" s="610"/>
      <c r="AP306" s="610"/>
      <c r="AQ306" s="610"/>
    </row>
    <row r="307" spans="2:43" s="609" customFormat="1">
      <c r="B307" s="610"/>
      <c r="C307" s="610"/>
      <c r="D307" s="610"/>
      <c r="E307" s="610"/>
      <c r="F307" s="610"/>
      <c r="G307" s="610"/>
      <c r="H307" s="610"/>
      <c r="I307" s="610"/>
      <c r="J307" s="610"/>
      <c r="L307" s="610"/>
      <c r="M307" s="610"/>
      <c r="N307" s="610"/>
      <c r="O307" s="610"/>
      <c r="P307" s="610"/>
      <c r="Q307" s="610"/>
      <c r="R307" s="610"/>
      <c r="S307" s="610"/>
      <c r="T307" s="610"/>
      <c r="U307" s="610"/>
      <c r="V307" s="610"/>
      <c r="W307" s="610"/>
      <c r="X307" s="610"/>
      <c r="Y307" s="610"/>
      <c r="Z307" s="610"/>
      <c r="AA307" s="610"/>
      <c r="AB307" s="610"/>
      <c r="AC307" s="610"/>
      <c r="AD307" s="610"/>
      <c r="AE307" s="610"/>
      <c r="AF307" s="610"/>
      <c r="AG307" s="610"/>
      <c r="AH307" s="610"/>
      <c r="AI307" s="610"/>
      <c r="AJ307" s="610"/>
      <c r="AK307" s="610"/>
      <c r="AL307" s="610"/>
      <c r="AM307" s="610"/>
      <c r="AN307" s="610"/>
      <c r="AO307" s="610"/>
      <c r="AP307" s="610"/>
      <c r="AQ307" s="610"/>
    </row>
    <row r="308" spans="2:43" s="609" customFormat="1">
      <c r="B308" s="610"/>
      <c r="C308" s="610"/>
      <c r="D308" s="610"/>
      <c r="E308" s="610"/>
      <c r="F308" s="610"/>
      <c r="G308" s="610"/>
      <c r="H308" s="610"/>
      <c r="I308" s="610"/>
      <c r="J308" s="610"/>
      <c r="L308" s="610"/>
      <c r="M308" s="610"/>
      <c r="N308" s="610"/>
      <c r="O308" s="610"/>
      <c r="P308" s="610"/>
      <c r="Q308" s="610"/>
      <c r="R308" s="610"/>
      <c r="S308" s="610"/>
      <c r="T308" s="610"/>
      <c r="U308" s="610"/>
      <c r="V308" s="610"/>
      <c r="W308" s="610"/>
      <c r="X308" s="610"/>
      <c r="Y308" s="610"/>
      <c r="Z308" s="610"/>
      <c r="AA308" s="610"/>
      <c r="AB308" s="610"/>
      <c r="AC308" s="610"/>
      <c r="AD308" s="610"/>
      <c r="AE308" s="610"/>
      <c r="AF308" s="610"/>
      <c r="AG308" s="610"/>
      <c r="AH308" s="610"/>
      <c r="AI308" s="610"/>
      <c r="AJ308" s="610"/>
      <c r="AK308" s="610"/>
      <c r="AL308" s="610"/>
      <c r="AM308" s="610"/>
      <c r="AN308" s="610"/>
      <c r="AO308" s="610"/>
      <c r="AP308" s="610"/>
      <c r="AQ308" s="610"/>
    </row>
    <row r="309" spans="2:43" s="609" customFormat="1">
      <c r="B309" s="610"/>
      <c r="C309" s="610"/>
      <c r="D309" s="610"/>
      <c r="E309" s="610"/>
      <c r="F309" s="610"/>
      <c r="G309" s="610"/>
      <c r="H309" s="610"/>
      <c r="I309" s="610"/>
      <c r="J309" s="610"/>
      <c r="L309" s="610"/>
      <c r="M309" s="610"/>
      <c r="N309" s="610"/>
      <c r="O309" s="610"/>
      <c r="P309" s="610"/>
      <c r="Q309" s="610"/>
      <c r="R309" s="610"/>
      <c r="S309" s="610"/>
      <c r="T309" s="610"/>
      <c r="U309" s="610"/>
      <c r="V309" s="610"/>
      <c r="W309" s="610"/>
      <c r="X309" s="610"/>
      <c r="Y309" s="610"/>
      <c r="Z309" s="610"/>
      <c r="AA309" s="610"/>
      <c r="AB309" s="610"/>
      <c r="AC309" s="610"/>
      <c r="AD309" s="610"/>
      <c r="AE309" s="610"/>
      <c r="AF309" s="610"/>
      <c r="AG309" s="610"/>
      <c r="AH309" s="610"/>
      <c r="AI309" s="610"/>
      <c r="AJ309" s="610"/>
      <c r="AK309" s="610"/>
      <c r="AL309" s="610"/>
      <c r="AM309" s="610"/>
      <c r="AN309" s="610"/>
      <c r="AO309" s="610"/>
      <c r="AP309" s="610"/>
      <c r="AQ309" s="610"/>
    </row>
    <row r="310" spans="2:43" s="609" customFormat="1">
      <c r="B310" s="610"/>
      <c r="C310" s="610"/>
      <c r="D310" s="610"/>
      <c r="E310" s="610"/>
      <c r="F310" s="610"/>
      <c r="G310" s="610"/>
      <c r="H310" s="610"/>
      <c r="I310" s="610"/>
      <c r="J310" s="610"/>
      <c r="L310" s="610"/>
      <c r="M310" s="610"/>
      <c r="N310" s="610"/>
      <c r="O310" s="610"/>
      <c r="P310" s="610"/>
      <c r="Q310" s="610"/>
      <c r="R310" s="610"/>
      <c r="S310" s="610"/>
      <c r="T310" s="610"/>
      <c r="U310" s="610"/>
      <c r="V310" s="610"/>
      <c r="W310" s="610"/>
      <c r="X310" s="610"/>
      <c r="Y310" s="610"/>
      <c r="Z310" s="610"/>
      <c r="AA310" s="610"/>
      <c r="AB310" s="610"/>
      <c r="AC310" s="610"/>
      <c r="AD310" s="610"/>
      <c r="AE310" s="610"/>
      <c r="AF310" s="610"/>
      <c r="AG310" s="610"/>
      <c r="AH310" s="610"/>
      <c r="AI310" s="610"/>
      <c r="AJ310" s="610"/>
      <c r="AK310" s="610"/>
      <c r="AL310" s="610"/>
      <c r="AM310" s="610"/>
      <c r="AN310" s="610"/>
      <c r="AO310" s="610"/>
      <c r="AP310" s="610"/>
      <c r="AQ310" s="610"/>
    </row>
    <row r="311" spans="2:43" s="609" customFormat="1">
      <c r="B311" s="610"/>
      <c r="C311" s="610"/>
      <c r="D311" s="610"/>
      <c r="E311" s="610"/>
      <c r="F311" s="610"/>
      <c r="G311" s="610"/>
      <c r="H311" s="610"/>
      <c r="I311" s="610"/>
      <c r="J311" s="610"/>
      <c r="L311" s="610"/>
      <c r="M311" s="610"/>
      <c r="N311" s="610"/>
      <c r="O311" s="610"/>
      <c r="P311" s="610"/>
      <c r="Q311" s="610"/>
      <c r="R311" s="610"/>
      <c r="S311" s="610"/>
      <c r="T311" s="610"/>
      <c r="U311" s="610"/>
      <c r="V311" s="610"/>
      <c r="W311" s="610"/>
      <c r="X311" s="610"/>
      <c r="Y311" s="610"/>
      <c r="Z311" s="610"/>
      <c r="AA311" s="610"/>
      <c r="AB311" s="610"/>
      <c r="AC311" s="610"/>
      <c r="AD311" s="610"/>
      <c r="AE311" s="610"/>
      <c r="AF311" s="610"/>
      <c r="AG311" s="610"/>
      <c r="AH311" s="610"/>
      <c r="AI311" s="610"/>
      <c r="AJ311" s="610"/>
      <c r="AK311" s="610"/>
      <c r="AL311" s="610"/>
      <c r="AM311" s="610"/>
      <c r="AN311" s="610"/>
      <c r="AO311" s="610"/>
      <c r="AP311" s="610"/>
      <c r="AQ311" s="610"/>
    </row>
    <row r="312" spans="2:43" s="609" customFormat="1">
      <c r="B312" s="610"/>
      <c r="C312" s="610"/>
      <c r="D312" s="610"/>
      <c r="E312" s="610"/>
      <c r="F312" s="610"/>
      <c r="G312" s="610"/>
      <c r="H312" s="610"/>
      <c r="I312" s="610"/>
      <c r="J312" s="610"/>
      <c r="L312" s="610"/>
      <c r="M312" s="610"/>
      <c r="N312" s="610"/>
      <c r="O312" s="610"/>
      <c r="P312" s="610"/>
      <c r="Q312" s="610"/>
      <c r="R312" s="610"/>
      <c r="S312" s="610"/>
      <c r="T312" s="610"/>
      <c r="U312" s="610"/>
      <c r="V312" s="610"/>
      <c r="W312" s="610"/>
      <c r="X312" s="610"/>
      <c r="Y312" s="610"/>
      <c r="Z312" s="610"/>
      <c r="AA312" s="610"/>
      <c r="AB312" s="610"/>
      <c r="AC312" s="610"/>
      <c r="AD312" s="610"/>
      <c r="AE312" s="610"/>
      <c r="AF312" s="610"/>
      <c r="AG312" s="610"/>
      <c r="AH312" s="610"/>
      <c r="AI312" s="610"/>
      <c r="AJ312" s="610"/>
      <c r="AK312" s="610"/>
      <c r="AL312" s="610"/>
      <c r="AM312" s="610"/>
      <c r="AN312" s="610"/>
      <c r="AO312" s="610"/>
      <c r="AP312" s="610"/>
      <c r="AQ312" s="610"/>
    </row>
    <row r="313" spans="2:43" s="609" customFormat="1">
      <c r="B313" s="610"/>
      <c r="C313" s="610"/>
      <c r="D313" s="610"/>
      <c r="E313" s="610"/>
      <c r="F313" s="610"/>
      <c r="G313" s="610"/>
      <c r="H313" s="610"/>
      <c r="I313" s="610"/>
      <c r="J313" s="610"/>
      <c r="L313" s="610"/>
      <c r="M313" s="610"/>
      <c r="N313" s="610"/>
      <c r="O313" s="610"/>
      <c r="P313" s="610"/>
      <c r="Q313" s="610"/>
      <c r="R313" s="610"/>
      <c r="S313" s="610"/>
      <c r="T313" s="610"/>
      <c r="U313" s="610"/>
      <c r="V313" s="610"/>
      <c r="W313" s="610"/>
      <c r="X313" s="610"/>
      <c r="Y313" s="610"/>
      <c r="Z313" s="610"/>
      <c r="AA313" s="610"/>
      <c r="AB313" s="610"/>
      <c r="AC313" s="610"/>
      <c r="AD313" s="610"/>
      <c r="AE313" s="610"/>
      <c r="AF313" s="610"/>
      <c r="AG313" s="610"/>
      <c r="AH313" s="610"/>
      <c r="AI313" s="610"/>
      <c r="AJ313" s="610"/>
      <c r="AK313" s="610"/>
      <c r="AL313" s="610"/>
      <c r="AM313" s="610"/>
      <c r="AN313" s="610"/>
      <c r="AO313" s="610"/>
      <c r="AP313" s="610"/>
      <c r="AQ313" s="610"/>
    </row>
    <row r="314" spans="2:43" s="609" customFormat="1">
      <c r="B314" s="610"/>
      <c r="C314" s="610"/>
      <c r="D314" s="610"/>
      <c r="E314" s="610"/>
      <c r="F314" s="610"/>
      <c r="G314" s="610"/>
      <c r="H314" s="610"/>
      <c r="I314" s="610"/>
      <c r="J314" s="610"/>
      <c r="L314" s="610"/>
      <c r="M314" s="610"/>
      <c r="N314" s="610"/>
      <c r="O314" s="610"/>
      <c r="P314" s="610"/>
      <c r="Q314" s="610"/>
      <c r="R314" s="610"/>
      <c r="S314" s="610"/>
      <c r="T314" s="610"/>
      <c r="U314" s="610"/>
      <c r="V314" s="610"/>
      <c r="W314" s="610"/>
      <c r="X314" s="610"/>
      <c r="Y314" s="610"/>
      <c r="Z314" s="610"/>
      <c r="AA314" s="610"/>
      <c r="AB314" s="610"/>
      <c r="AC314" s="610"/>
      <c r="AD314" s="610"/>
      <c r="AE314" s="610"/>
      <c r="AF314" s="610"/>
      <c r="AG314" s="610"/>
      <c r="AH314" s="610"/>
      <c r="AI314" s="610"/>
      <c r="AJ314" s="610"/>
      <c r="AK314" s="610"/>
      <c r="AL314" s="610"/>
      <c r="AM314" s="610"/>
      <c r="AN314" s="610"/>
      <c r="AO314" s="610"/>
      <c r="AP314" s="610"/>
      <c r="AQ314" s="610"/>
    </row>
    <row r="315" spans="2:43" s="609" customFormat="1">
      <c r="B315" s="610"/>
      <c r="C315" s="610"/>
      <c r="D315" s="610"/>
      <c r="E315" s="610"/>
      <c r="F315" s="610"/>
      <c r="G315" s="610"/>
      <c r="H315" s="610"/>
      <c r="I315" s="610"/>
      <c r="J315" s="610"/>
      <c r="L315" s="610"/>
      <c r="M315" s="610"/>
      <c r="N315" s="610"/>
      <c r="O315" s="610"/>
      <c r="P315" s="610"/>
      <c r="Q315" s="610"/>
      <c r="R315" s="610"/>
      <c r="S315" s="610"/>
      <c r="T315" s="610"/>
      <c r="U315" s="610"/>
      <c r="V315" s="610"/>
      <c r="W315" s="610"/>
      <c r="X315" s="610"/>
      <c r="Y315" s="610"/>
      <c r="Z315" s="610"/>
      <c r="AA315" s="610"/>
      <c r="AB315" s="610"/>
      <c r="AC315" s="610"/>
      <c r="AD315" s="610"/>
      <c r="AE315" s="610"/>
      <c r="AF315" s="610"/>
      <c r="AG315" s="610"/>
      <c r="AH315" s="610"/>
      <c r="AI315" s="610"/>
      <c r="AJ315" s="610"/>
      <c r="AK315" s="610"/>
      <c r="AL315" s="610"/>
      <c r="AM315" s="610"/>
      <c r="AN315" s="610"/>
      <c r="AO315" s="610"/>
      <c r="AP315" s="610"/>
      <c r="AQ315" s="610"/>
    </row>
    <row r="316" spans="2:43" s="609" customFormat="1">
      <c r="B316" s="610"/>
      <c r="C316" s="610"/>
      <c r="D316" s="610"/>
      <c r="E316" s="610"/>
      <c r="F316" s="610"/>
      <c r="G316" s="610"/>
      <c r="H316" s="610"/>
      <c r="I316" s="610"/>
      <c r="J316" s="610"/>
      <c r="L316" s="610"/>
      <c r="M316" s="610"/>
      <c r="N316" s="610"/>
      <c r="O316" s="610"/>
      <c r="P316" s="610"/>
      <c r="Q316" s="610"/>
      <c r="R316" s="610"/>
      <c r="S316" s="610"/>
      <c r="T316" s="610"/>
      <c r="U316" s="610"/>
      <c r="V316" s="610"/>
      <c r="W316" s="610"/>
      <c r="X316" s="610"/>
      <c r="Y316" s="610"/>
      <c r="Z316" s="610"/>
      <c r="AA316" s="610"/>
      <c r="AB316" s="610"/>
      <c r="AC316" s="610"/>
      <c r="AD316" s="610"/>
      <c r="AE316" s="610"/>
      <c r="AF316" s="610"/>
      <c r="AG316" s="610"/>
      <c r="AH316" s="610"/>
      <c r="AI316" s="610"/>
      <c r="AJ316" s="610"/>
      <c r="AK316" s="610"/>
      <c r="AL316" s="610"/>
      <c r="AM316" s="610"/>
      <c r="AN316" s="610"/>
      <c r="AO316" s="610"/>
      <c r="AP316" s="610"/>
      <c r="AQ316" s="610"/>
    </row>
    <row r="317" spans="2:43" s="609" customFormat="1">
      <c r="B317" s="610"/>
      <c r="C317" s="610"/>
      <c r="D317" s="610"/>
      <c r="E317" s="610"/>
      <c r="F317" s="610"/>
      <c r="G317" s="610"/>
      <c r="H317" s="610"/>
      <c r="I317" s="610"/>
      <c r="J317" s="610"/>
      <c r="L317" s="610"/>
      <c r="M317" s="610"/>
      <c r="N317" s="610"/>
      <c r="O317" s="610"/>
      <c r="P317" s="610"/>
      <c r="Q317" s="610"/>
      <c r="R317" s="610"/>
      <c r="S317" s="610"/>
      <c r="T317" s="610"/>
      <c r="U317" s="610"/>
      <c r="V317" s="610"/>
      <c r="W317" s="610"/>
      <c r="X317" s="610"/>
      <c r="Y317" s="610"/>
      <c r="Z317" s="610"/>
      <c r="AA317" s="610"/>
      <c r="AB317" s="610"/>
      <c r="AC317" s="610"/>
      <c r="AD317" s="610"/>
      <c r="AE317" s="610"/>
      <c r="AF317" s="610"/>
      <c r="AG317" s="610"/>
      <c r="AH317" s="610"/>
      <c r="AI317" s="610"/>
      <c r="AJ317" s="610"/>
      <c r="AK317" s="610"/>
      <c r="AL317" s="610"/>
      <c r="AM317" s="610"/>
      <c r="AN317" s="610"/>
      <c r="AO317" s="610"/>
      <c r="AP317" s="610"/>
      <c r="AQ317" s="610"/>
    </row>
    <row r="318" spans="2:43" s="609" customFormat="1">
      <c r="B318" s="610"/>
      <c r="C318" s="610"/>
      <c r="D318" s="610"/>
      <c r="E318" s="610"/>
      <c r="F318" s="610"/>
      <c r="G318" s="610"/>
      <c r="H318" s="610"/>
      <c r="I318" s="610"/>
      <c r="J318" s="610"/>
      <c r="L318" s="610"/>
      <c r="M318" s="610"/>
      <c r="N318" s="610"/>
      <c r="O318" s="610"/>
      <c r="P318" s="610"/>
      <c r="Q318" s="610"/>
      <c r="R318" s="610"/>
      <c r="S318" s="610"/>
      <c r="T318" s="610"/>
      <c r="U318" s="610"/>
      <c r="V318" s="610"/>
      <c r="W318" s="610"/>
      <c r="X318" s="610"/>
      <c r="Y318" s="610"/>
      <c r="Z318" s="610"/>
      <c r="AA318" s="610"/>
      <c r="AB318" s="610"/>
      <c r="AC318" s="610"/>
      <c r="AD318" s="610"/>
      <c r="AE318" s="610"/>
      <c r="AF318" s="610"/>
      <c r="AG318" s="610"/>
      <c r="AH318" s="610"/>
      <c r="AI318" s="610"/>
      <c r="AJ318" s="610"/>
      <c r="AK318" s="610"/>
      <c r="AL318" s="610"/>
      <c r="AM318" s="610"/>
      <c r="AN318" s="610"/>
      <c r="AO318" s="610"/>
      <c r="AP318" s="610"/>
      <c r="AQ318" s="610"/>
    </row>
    <row r="319" spans="2:43" s="609" customFormat="1">
      <c r="B319" s="610"/>
      <c r="C319" s="610"/>
      <c r="D319" s="610"/>
      <c r="E319" s="610"/>
      <c r="F319" s="610"/>
      <c r="G319" s="610"/>
      <c r="H319" s="610"/>
      <c r="I319" s="610"/>
      <c r="J319" s="610"/>
      <c r="L319" s="610"/>
      <c r="M319" s="610"/>
      <c r="N319" s="610"/>
      <c r="O319" s="610"/>
      <c r="P319" s="610"/>
      <c r="Q319" s="610"/>
      <c r="R319" s="610"/>
      <c r="S319" s="610"/>
      <c r="T319" s="610"/>
      <c r="U319" s="610"/>
      <c r="V319" s="610"/>
      <c r="W319" s="610"/>
      <c r="X319" s="610"/>
      <c r="Y319" s="610"/>
      <c r="Z319" s="610"/>
      <c r="AA319" s="610"/>
      <c r="AB319" s="610"/>
      <c r="AC319" s="610"/>
      <c r="AD319" s="610"/>
      <c r="AE319" s="610"/>
      <c r="AF319" s="610"/>
      <c r="AG319" s="610"/>
      <c r="AH319" s="610"/>
      <c r="AI319" s="610"/>
      <c r="AJ319" s="610"/>
      <c r="AK319" s="610"/>
      <c r="AL319" s="610"/>
      <c r="AM319" s="610"/>
      <c r="AN319" s="610"/>
      <c r="AO319" s="610"/>
      <c r="AP319" s="610"/>
      <c r="AQ319" s="610"/>
    </row>
    <row r="320" spans="2:43" s="609" customFormat="1">
      <c r="B320" s="610"/>
      <c r="C320" s="610"/>
      <c r="D320" s="610"/>
      <c r="E320" s="610"/>
      <c r="F320" s="610"/>
      <c r="G320" s="610"/>
      <c r="H320" s="610"/>
      <c r="I320" s="610"/>
      <c r="J320" s="610"/>
      <c r="L320" s="610"/>
      <c r="M320" s="610"/>
      <c r="N320" s="610"/>
      <c r="O320" s="610"/>
      <c r="P320" s="610"/>
      <c r="Q320" s="610"/>
      <c r="R320" s="610"/>
      <c r="S320" s="610"/>
      <c r="T320" s="610"/>
      <c r="U320" s="610"/>
      <c r="V320" s="610"/>
      <c r="W320" s="610"/>
      <c r="X320" s="610"/>
      <c r="Y320" s="610"/>
      <c r="Z320" s="610"/>
      <c r="AA320" s="610"/>
      <c r="AB320" s="610"/>
      <c r="AC320" s="610"/>
      <c r="AD320" s="610"/>
      <c r="AE320" s="610"/>
      <c r="AF320" s="610"/>
      <c r="AG320" s="610"/>
      <c r="AH320" s="610"/>
      <c r="AI320" s="610"/>
      <c r="AJ320" s="610"/>
      <c r="AK320" s="610"/>
      <c r="AL320" s="610"/>
      <c r="AM320" s="610"/>
      <c r="AN320" s="610"/>
      <c r="AO320" s="610"/>
      <c r="AP320" s="610"/>
      <c r="AQ320" s="610"/>
    </row>
    <row r="321" spans="2:43" s="609" customFormat="1">
      <c r="B321" s="610"/>
      <c r="C321" s="610"/>
      <c r="D321" s="610"/>
      <c r="E321" s="610"/>
      <c r="F321" s="610"/>
      <c r="G321" s="610"/>
      <c r="H321" s="610"/>
      <c r="I321" s="610"/>
      <c r="J321" s="610"/>
      <c r="L321" s="610"/>
      <c r="M321" s="610"/>
      <c r="N321" s="610"/>
      <c r="O321" s="610"/>
      <c r="P321" s="610"/>
      <c r="Q321" s="610"/>
      <c r="R321" s="610"/>
      <c r="S321" s="610"/>
      <c r="T321" s="610"/>
      <c r="U321" s="610"/>
      <c r="V321" s="610"/>
      <c r="W321" s="610"/>
      <c r="X321" s="610"/>
      <c r="Y321" s="610"/>
      <c r="Z321" s="610"/>
      <c r="AA321" s="610"/>
      <c r="AB321" s="610"/>
      <c r="AC321" s="610"/>
      <c r="AD321" s="610"/>
      <c r="AE321" s="610"/>
      <c r="AF321" s="610"/>
      <c r="AG321" s="610"/>
      <c r="AH321" s="610"/>
      <c r="AI321" s="610"/>
      <c r="AJ321" s="610"/>
      <c r="AK321" s="610"/>
      <c r="AL321" s="610"/>
      <c r="AM321" s="610"/>
      <c r="AN321" s="610"/>
      <c r="AO321" s="610"/>
      <c r="AP321" s="610"/>
      <c r="AQ321" s="610"/>
    </row>
    <row r="322" spans="2:43" s="609" customFormat="1">
      <c r="B322" s="610"/>
      <c r="C322" s="610"/>
      <c r="D322" s="610"/>
      <c r="E322" s="610"/>
      <c r="F322" s="610"/>
      <c r="G322" s="610"/>
      <c r="H322" s="610"/>
      <c r="I322" s="610"/>
      <c r="J322" s="610"/>
      <c r="L322" s="610"/>
      <c r="M322" s="610"/>
      <c r="N322" s="610"/>
      <c r="O322" s="610"/>
      <c r="P322" s="610"/>
      <c r="Q322" s="610"/>
      <c r="R322" s="610"/>
      <c r="S322" s="610"/>
      <c r="T322" s="610"/>
      <c r="U322" s="610"/>
      <c r="V322" s="610"/>
      <c r="W322" s="610"/>
      <c r="X322" s="610"/>
      <c r="Y322" s="610"/>
      <c r="Z322" s="610"/>
      <c r="AA322" s="610"/>
      <c r="AB322" s="610"/>
      <c r="AC322" s="610"/>
      <c r="AD322" s="610"/>
      <c r="AE322" s="610"/>
      <c r="AF322" s="610"/>
      <c r="AG322" s="610"/>
      <c r="AH322" s="610"/>
      <c r="AI322" s="610"/>
      <c r="AJ322" s="610"/>
      <c r="AK322" s="610"/>
      <c r="AL322" s="610"/>
      <c r="AM322" s="610"/>
      <c r="AN322" s="610"/>
      <c r="AO322" s="610"/>
      <c r="AP322" s="610"/>
      <c r="AQ322" s="610"/>
    </row>
    <row r="323" spans="2:43" s="609" customFormat="1">
      <c r="B323" s="610"/>
      <c r="C323" s="610"/>
      <c r="D323" s="610"/>
      <c r="E323" s="610"/>
      <c r="F323" s="610"/>
      <c r="G323" s="610"/>
      <c r="H323" s="610"/>
      <c r="I323" s="610"/>
      <c r="J323" s="610"/>
      <c r="L323" s="610"/>
      <c r="M323" s="610"/>
      <c r="N323" s="610"/>
      <c r="O323" s="610"/>
      <c r="P323" s="610"/>
      <c r="Q323" s="610"/>
      <c r="R323" s="610"/>
      <c r="S323" s="610"/>
      <c r="T323" s="610"/>
      <c r="U323" s="610"/>
      <c r="V323" s="610"/>
      <c r="W323" s="610"/>
      <c r="X323" s="610"/>
      <c r="Y323" s="610"/>
      <c r="Z323" s="610"/>
      <c r="AA323" s="610"/>
      <c r="AB323" s="610"/>
      <c r="AC323" s="610"/>
      <c r="AD323" s="610"/>
      <c r="AE323" s="610"/>
      <c r="AF323" s="610"/>
      <c r="AG323" s="610"/>
      <c r="AH323" s="610"/>
      <c r="AI323" s="610"/>
      <c r="AJ323" s="610"/>
      <c r="AK323" s="610"/>
      <c r="AL323" s="610"/>
      <c r="AM323" s="610"/>
      <c r="AN323" s="610"/>
      <c r="AO323" s="610"/>
      <c r="AP323" s="610"/>
      <c r="AQ323" s="610"/>
    </row>
    <row r="324" spans="2:43" s="609" customFormat="1">
      <c r="B324" s="610"/>
      <c r="C324" s="610"/>
      <c r="D324" s="610"/>
      <c r="E324" s="610"/>
      <c r="F324" s="610"/>
      <c r="G324" s="610"/>
      <c r="H324" s="610"/>
      <c r="I324" s="610"/>
      <c r="J324" s="610"/>
      <c r="L324" s="610"/>
      <c r="M324" s="610"/>
      <c r="N324" s="610"/>
      <c r="O324" s="610"/>
      <c r="P324" s="610"/>
      <c r="Q324" s="610"/>
      <c r="R324" s="610"/>
      <c r="S324" s="610"/>
      <c r="T324" s="610"/>
      <c r="U324" s="610"/>
      <c r="V324" s="610"/>
      <c r="W324" s="610"/>
      <c r="X324" s="610"/>
      <c r="Y324" s="610"/>
      <c r="Z324" s="610"/>
      <c r="AA324" s="610"/>
      <c r="AB324" s="610"/>
      <c r="AC324" s="610"/>
      <c r="AD324" s="610"/>
      <c r="AE324" s="610"/>
      <c r="AF324" s="610"/>
      <c r="AG324" s="610"/>
      <c r="AH324" s="610"/>
      <c r="AI324" s="610"/>
      <c r="AJ324" s="610"/>
      <c r="AK324" s="610"/>
      <c r="AL324" s="610"/>
      <c r="AM324" s="610"/>
      <c r="AN324" s="610"/>
      <c r="AO324" s="610"/>
      <c r="AP324" s="610"/>
      <c r="AQ324" s="610"/>
    </row>
    <row r="325" spans="2:43" s="609" customFormat="1">
      <c r="B325" s="610"/>
      <c r="C325" s="610"/>
      <c r="D325" s="610"/>
      <c r="E325" s="610"/>
      <c r="F325" s="610"/>
      <c r="G325" s="610"/>
      <c r="H325" s="610"/>
      <c r="I325" s="610"/>
      <c r="J325" s="610"/>
      <c r="L325" s="610"/>
      <c r="M325" s="610"/>
      <c r="N325" s="610"/>
      <c r="O325" s="610"/>
      <c r="P325" s="610"/>
      <c r="Q325" s="610"/>
      <c r="R325" s="610"/>
      <c r="S325" s="610"/>
      <c r="T325" s="610"/>
      <c r="U325" s="610"/>
      <c r="V325" s="610"/>
      <c r="W325" s="610"/>
      <c r="X325" s="610"/>
      <c r="Y325" s="610"/>
      <c r="Z325" s="610"/>
      <c r="AA325" s="610"/>
      <c r="AB325" s="610"/>
      <c r="AC325" s="610"/>
      <c r="AD325" s="610"/>
      <c r="AE325" s="610"/>
      <c r="AF325" s="610"/>
      <c r="AG325" s="610"/>
      <c r="AH325" s="610"/>
      <c r="AI325" s="610"/>
      <c r="AJ325" s="610"/>
      <c r="AK325" s="610"/>
      <c r="AL325" s="610"/>
      <c r="AM325" s="610"/>
      <c r="AN325" s="610"/>
      <c r="AO325" s="610"/>
      <c r="AP325" s="610"/>
      <c r="AQ325" s="610"/>
    </row>
    <row r="326" spans="2:43" s="609" customFormat="1">
      <c r="B326" s="610"/>
      <c r="C326" s="610"/>
      <c r="D326" s="610"/>
      <c r="E326" s="610"/>
      <c r="F326" s="610"/>
      <c r="G326" s="610"/>
      <c r="H326" s="610"/>
      <c r="I326" s="610"/>
      <c r="J326" s="610"/>
      <c r="L326" s="610"/>
      <c r="M326" s="610"/>
      <c r="N326" s="610"/>
      <c r="O326" s="610"/>
      <c r="P326" s="610"/>
      <c r="Q326" s="610"/>
      <c r="R326" s="610"/>
      <c r="S326" s="610"/>
      <c r="T326" s="610"/>
      <c r="U326" s="610"/>
      <c r="V326" s="610"/>
      <c r="W326" s="610"/>
      <c r="X326" s="610"/>
      <c r="Y326" s="610"/>
      <c r="Z326" s="610"/>
      <c r="AA326" s="610"/>
      <c r="AB326" s="610"/>
      <c r="AC326" s="610"/>
      <c r="AD326" s="610"/>
      <c r="AE326" s="610"/>
      <c r="AF326" s="610"/>
      <c r="AG326" s="610"/>
      <c r="AH326" s="610"/>
      <c r="AI326" s="610"/>
      <c r="AJ326" s="610"/>
      <c r="AK326" s="610"/>
      <c r="AL326" s="610"/>
      <c r="AM326" s="610"/>
      <c r="AN326" s="610"/>
      <c r="AO326" s="610"/>
      <c r="AP326" s="610"/>
      <c r="AQ326" s="610"/>
    </row>
    <row r="327" spans="2:43" s="609" customFormat="1">
      <c r="B327" s="610"/>
      <c r="C327" s="610"/>
      <c r="D327" s="610"/>
      <c r="E327" s="610"/>
      <c r="F327" s="610"/>
      <c r="G327" s="610"/>
      <c r="H327" s="610"/>
      <c r="I327" s="610"/>
      <c r="J327" s="610"/>
      <c r="L327" s="610"/>
      <c r="M327" s="610"/>
      <c r="N327" s="610"/>
      <c r="O327" s="610"/>
      <c r="P327" s="610"/>
      <c r="Q327" s="610"/>
      <c r="R327" s="610"/>
      <c r="S327" s="610"/>
      <c r="T327" s="610"/>
      <c r="U327" s="610"/>
      <c r="V327" s="610"/>
      <c r="W327" s="610"/>
      <c r="X327" s="610"/>
      <c r="Y327" s="610"/>
      <c r="Z327" s="610"/>
      <c r="AA327" s="610"/>
      <c r="AB327" s="610"/>
      <c r="AC327" s="610"/>
      <c r="AD327" s="610"/>
      <c r="AE327" s="610"/>
      <c r="AF327" s="610"/>
      <c r="AG327" s="610"/>
      <c r="AH327" s="610"/>
      <c r="AI327" s="610"/>
      <c r="AJ327" s="610"/>
      <c r="AK327" s="610"/>
      <c r="AL327" s="610"/>
      <c r="AM327" s="610"/>
      <c r="AN327" s="610"/>
      <c r="AO327" s="610"/>
      <c r="AP327" s="610"/>
      <c r="AQ327" s="610"/>
    </row>
    <row r="328" spans="2:43" s="609" customFormat="1">
      <c r="B328" s="610"/>
      <c r="C328" s="610"/>
      <c r="D328" s="610"/>
      <c r="E328" s="610"/>
      <c r="F328" s="610"/>
      <c r="G328" s="610"/>
      <c r="H328" s="610"/>
      <c r="I328" s="610"/>
      <c r="J328" s="610"/>
      <c r="L328" s="610"/>
      <c r="M328" s="610"/>
      <c r="N328" s="610"/>
      <c r="O328" s="610"/>
      <c r="P328" s="610"/>
      <c r="Q328" s="610"/>
      <c r="R328" s="610"/>
      <c r="S328" s="610"/>
      <c r="T328" s="610"/>
      <c r="U328" s="610"/>
      <c r="V328" s="610"/>
      <c r="W328" s="610"/>
      <c r="X328" s="610"/>
      <c r="Y328" s="610"/>
      <c r="Z328" s="610"/>
      <c r="AA328" s="610"/>
      <c r="AB328" s="610"/>
      <c r="AC328" s="610"/>
      <c r="AD328" s="610"/>
      <c r="AE328" s="610"/>
      <c r="AF328" s="610"/>
      <c r="AG328" s="610"/>
      <c r="AH328" s="610"/>
      <c r="AI328" s="610"/>
      <c r="AJ328" s="610"/>
      <c r="AK328" s="610"/>
      <c r="AL328" s="610"/>
      <c r="AM328" s="610"/>
      <c r="AN328" s="610"/>
      <c r="AO328" s="610"/>
      <c r="AP328" s="610"/>
      <c r="AQ328" s="610"/>
    </row>
    <row r="329" spans="2:43" s="609" customFormat="1">
      <c r="B329" s="610"/>
      <c r="C329" s="610"/>
      <c r="D329" s="610"/>
      <c r="E329" s="610"/>
      <c r="F329" s="610"/>
      <c r="G329" s="610"/>
      <c r="H329" s="610"/>
      <c r="I329" s="610"/>
      <c r="J329" s="610"/>
      <c r="L329" s="610"/>
      <c r="M329" s="610"/>
      <c r="N329" s="610"/>
      <c r="O329" s="610"/>
      <c r="P329" s="610"/>
      <c r="Q329" s="610"/>
      <c r="R329" s="610"/>
      <c r="S329" s="610"/>
      <c r="T329" s="610"/>
      <c r="U329" s="610"/>
      <c r="V329" s="610"/>
      <c r="W329" s="610"/>
      <c r="X329" s="610"/>
      <c r="Y329" s="610"/>
      <c r="Z329" s="610"/>
      <c r="AA329" s="610"/>
      <c r="AB329" s="610"/>
      <c r="AC329" s="610"/>
      <c r="AD329" s="610"/>
      <c r="AE329" s="610"/>
      <c r="AF329" s="610"/>
      <c r="AG329" s="610"/>
      <c r="AH329" s="610"/>
      <c r="AI329" s="610"/>
      <c r="AJ329" s="610"/>
      <c r="AK329" s="610"/>
      <c r="AL329" s="610"/>
      <c r="AM329" s="610"/>
      <c r="AN329" s="610"/>
      <c r="AO329" s="610"/>
      <c r="AP329" s="610"/>
      <c r="AQ329" s="610"/>
    </row>
    <row r="330" spans="2:43" s="609" customFormat="1">
      <c r="B330" s="610"/>
      <c r="C330" s="610"/>
      <c r="D330" s="610"/>
      <c r="E330" s="610"/>
      <c r="F330" s="610"/>
      <c r="G330" s="610"/>
      <c r="H330" s="610"/>
      <c r="I330" s="610"/>
      <c r="J330" s="610"/>
      <c r="L330" s="610"/>
      <c r="M330" s="610"/>
      <c r="N330" s="610"/>
      <c r="O330" s="610"/>
      <c r="P330" s="610"/>
      <c r="Q330" s="610"/>
      <c r="R330" s="610"/>
      <c r="S330" s="610"/>
      <c r="T330" s="610"/>
      <c r="U330" s="610"/>
      <c r="V330" s="610"/>
      <c r="W330" s="610"/>
      <c r="X330" s="610"/>
      <c r="Y330" s="610"/>
      <c r="Z330" s="610"/>
      <c r="AA330" s="610"/>
      <c r="AB330" s="610"/>
      <c r="AC330" s="610"/>
      <c r="AD330" s="610"/>
      <c r="AE330" s="610"/>
      <c r="AF330" s="610"/>
      <c r="AG330" s="610"/>
      <c r="AH330" s="610"/>
      <c r="AI330" s="610"/>
      <c r="AJ330" s="610"/>
      <c r="AK330" s="610"/>
      <c r="AL330" s="610"/>
      <c r="AM330" s="610"/>
      <c r="AN330" s="610"/>
      <c r="AO330" s="610"/>
      <c r="AP330" s="610"/>
      <c r="AQ330" s="610"/>
    </row>
    <row r="331" spans="2:43" s="609" customFormat="1">
      <c r="B331" s="610"/>
      <c r="C331" s="610"/>
      <c r="D331" s="610"/>
      <c r="E331" s="610"/>
      <c r="F331" s="610"/>
      <c r="G331" s="610"/>
      <c r="H331" s="610"/>
      <c r="I331" s="610"/>
      <c r="J331" s="610"/>
      <c r="L331" s="610"/>
      <c r="M331" s="610"/>
      <c r="N331" s="610"/>
      <c r="O331" s="610"/>
      <c r="P331" s="610"/>
      <c r="Q331" s="610"/>
      <c r="R331" s="610"/>
      <c r="S331" s="610"/>
      <c r="T331" s="610"/>
      <c r="U331" s="610"/>
      <c r="V331" s="610"/>
      <c r="W331" s="610"/>
      <c r="X331" s="610"/>
      <c r="Y331" s="610"/>
      <c r="Z331" s="610"/>
      <c r="AA331" s="610"/>
      <c r="AB331" s="610"/>
      <c r="AC331" s="610"/>
      <c r="AD331" s="610"/>
      <c r="AE331" s="610"/>
      <c r="AF331" s="610"/>
      <c r="AG331" s="610"/>
      <c r="AH331" s="610"/>
      <c r="AI331" s="610"/>
      <c r="AJ331" s="610"/>
      <c r="AK331" s="610"/>
      <c r="AL331" s="610"/>
      <c r="AM331" s="610"/>
      <c r="AN331" s="610"/>
      <c r="AO331" s="610"/>
      <c r="AP331" s="610"/>
      <c r="AQ331" s="610"/>
    </row>
    <row r="332" spans="2:43" s="609" customFormat="1">
      <c r="B332" s="610"/>
      <c r="C332" s="610"/>
      <c r="D332" s="610"/>
      <c r="E332" s="610"/>
      <c r="F332" s="610"/>
      <c r="G332" s="610"/>
      <c r="H332" s="610"/>
      <c r="I332" s="610"/>
      <c r="J332" s="610"/>
      <c r="L332" s="610"/>
      <c r="M332" s="610"/>
      <c r="N332" s="610"/>
      <c r="O332" s="610"/>
      <c r="P332" s="610"/>
      <c r="Q332" s="610"/>
      <c r="R332" s="610"/>
      <c r="S332" s="610"/>
      <c r="T332" s="610"/>
      <c r="U332" s="610"/>
      <c r="V332" s="610"/>
      <c r="W332" s="610"/>
      <c r="X332" s="610"/>
      <c r="Y332" s="610"/>
      <c r="Z332" s="610"/>
      <c r="AA332" s="610"/>
      <c r="AB332" s="610"/>
      <c r="AC332" s="610"/>
      <c r="AD332" s="610"/>
      <c r="AE332" s="610"/>
      <c r="AF332" s="610"/>
      <c r="AG332" s="610"/>
      <c r="AH332" s="610"/>
      <c r="AI332" s="610"/>
      <c r="AJ332" s="610"/>
      <c r="AK332" s="610"/>
      <c r="AL332" s="610"/>
      <c r="AM332" s="610"/>
      <c r="AN332" s="610"/>
      <c r="AO332" s="610"/>
      <c r="AP332" s="610"/>
      <c r="AQ332" s="610"/>
    </row>
    <row r="333" spans="2:43" s="609" customFormat="1">
      <c r="B333" s="610"/>
      <c r="C333" s="610"/>
      <c r="D333" s="610"/>
      <c r="E333" s="610"/>
      <c r="F333" s="610"/>
      <c r="G333" s="610"/>
      <c r="H333" s="610"/>
      <c r="I333" s="610"/>
      <c r="J333" s="610"/>
      <c r="L333" s="610"/>
      <c r="M333" s="610"/>
      <c r="N333" s="610"/>
      <c r="O333" s="610"/>
      <c r="P333" s="610"/>
      <c r="Q333" s="610"/>
      <c r="R333" s="610"/>
      <c r="S333" s="610"/>
      <c r="T333" s="610"/>
      <c r="U333" s="610"/>
      <c r="V333" s="610"/>
      <c r="W333" s="610"/>
      <c r="X333" s="610"/>
      <c r="Y333" s="610"/>
      <c r="Z333" s="610"/>
      <c r="AA333" s="610"/>
      <c r="AB333" s="610"/>
      <c r="AC333" s="610"/>
      <c r="AD333" s="610"/>
      <c r="AE333" s="610"/>
      <c r="AF333" s="610"/>
      <c r="AG333" s="610"/>
      <c r="AH333" s="610"/>
      <c r="AI333" s="610"/>
      <c r="AJ333" s="610"/>
      <c r="AK333" s="610"/>
      <c r="AL333" s="610"/>
      <c r="AM333" s="610"/>
      <c r="AN333" s="610"/>
      <c r="AO333" s="610"/>
      <c r="AP333" s="610"/>
      <c r="AQ333" s="610"/>
    </row>
    <row r="334" spans="2:43" s="609" customFormat="1">
      <c r="B334" s="610"/>
      <c r="C334" s="610"/>
      <c r="D334" s="610"/>
      <c r="E334" s="610"/>
      <c r="F334" s="610"/>
      <c r="G334" s="610"/>
      <c r="H334" s="610"/>
      <c r="I334" s="610"/>
      <c r="J334" s="610"/>
      <c r="L334" s="610"/>
      <c r="M334" s="610"/>
      <c r="N334" s="610"/>
      <c r="O334" s="610"/>
      <c r="P334" s="610"/>
      <c r="Q334" s="610"/>
      <c r="R334" s="610"/>
      <c r="S334" s="610"/>
      <c r="T334" s="610"/>
      <c r="U334" s="610"/>
      <c r="V334" s="610"/>
      <c r="W334" s="610"/>
      <c r="X334" s="610"/>
      <c r="Y334" s="610"/>
      <c r="Z334" s="610"/>
      <c r="AA334" s="610"/>
      <c r="AB334" s="610"/>
      <c r="AC334" s="610"/>
      <c r="AD334" s="610"/>
      <c r="AE334" s="610"/>
      <c r="AF334" s="610"/>
      <c r="AG334" s="610"/>
      <c r="AH334" s="610"/>
      <c r="AI334" s="610"/>
      <c r="AJ334" s="610"/>
      <c r="AK334" s="610"/>
      <c r="AL334" s="610"/>
      <c r="AM334" s="610"/>
      <c r="AN334" s="610"/>
      <c r="AO334" s="610"/>
      <c r="AP334" s="610"/>
      <c r="AQ334" s="610"/>
    </row>
    <row r="335" spans="2:43" s="609" customFormat="1">
      <c r="B335" s="610"/>
      <c r="C335" s="610"/>
      <c r="D335" s="610"/>
      <c r="E335" s="610"/>
      <c r="F335" s="610"/>
      <c r="G335" s="610"/>
      <c r="H335" s="610"/>
      <c r="I335" s="610"/>
      <c r="J335" s="610"/>
      <c r="L335" s="610"/>
      <c r="M335" s="610"/>
      <c r="N335" s="610"/>
      <c r="O335" s="610"/>
      <c r="P335" s="610"/>
      <c r="Q335" s="610"/>
      <c r="R335" s="610"/>
      <c r="S335" s="610"/>
      <c r="T335" s="610"/>
      <c r="U335" s="610"/>
      <c r="V335" s="610"/>
      <c r="W335" s="610"/>
      <c r="X335" s="610"/>
      <c r="Y335" s="610"/>
      <c r="Z335" s="610"/>
      <c r="AA335" s="610"/>
      <c r="AB335" s="610"/>
      <c r="AC335" s="610"/>
      <c r="AD335" s="610"/>
      <c r="AE335" s="610"/>
      <c r="AF335" s="610"/>
      <c r="AG335" s="610"/>
      <c r="AH335" s="610"/>
      <c r="AI335" s="610"/>
      <c r="AJ335" s="610"/>
      <c r="AK335" s="610"/>
      <c r="AL335" s="610"/>
      <c r="AM335" s="610"/>
      <c r="AN335" s="610"/>
      <c r="AO335" s="610"/>
      <c r="AP335" s="610"/>
      <c r="AQ335" s="610"/>
    </row>
    <row r="336" spans="2:43" s="609" customFormat="1">
      <c r="B336" s="610"/>
      <c r="C336" s="610"/>
      <c r="D336" s="610"/>
      <c r="E336" s="610"/>
      <c r="F336" s="610"/>
      <c r="G336" s="610"/>
      <c r="H336" s="610"/>
      <c r="I336" s="610"/>
      <c r="J336" s="610"/>
      <c r="L336" s="610"/>
      <c r="M336" s="610"/>
      <c r="N336" s="610"/>
      <c r="O336" s="610"/>
      <c r="P336" s="610"/>
      <c r="Q336" s="610"/>
      <c r="R336" s="610"/>
      <c r="S336" s="610"/>
      <c r="T336" s="610"/>
      <c r="U336" s="610"/>
      <c r="V336" s="610"/>
      <c r="W336" s="610"/>
      <c r="X336" s="610"/>
      <c r="Y336" s="610"/>
      <c r="Z336" s="610"/>
      <c r="AA336" s="610"/>
      <c r="AB336" s="610"/>
      <c r="AC336" s="610"/>
      <c r="AD336" s="610"/>
      <c r="AE336" s="610"/>
      <c r="AF336" s="610"/>
      <c r="AG336" s="610"/>
      <c r="AH336" s="610"/>
      <c r="AI336" s="610"/>
      <c r="AJ336" s="610"/>
      <c r="AK336" s="610"/>
      <c r="AL336" s="610"/>
      <c r="AM336" s="610"/>
      <c r="AN336" s="610"/>
      <c r="AO336" s="610"/>
      <c r="AP336" s="610"/>
      <c r="AQ336" s="610"/>
    </row>
    <row r="337" spans="2:43" s="609" customFormat="1">
      <c r="B337" s="610"/>
      <c r="C337" s="610"/>
      <c r="D337" s="610"/>
      <c r="E337" s="610"/>
      <c r="F337" s="610"/>
      <c r="G337" s="610"/>
      <c r="H337" s="610"/>
      <c r="I337" s="610"/>
      <c r="J337" s="610"/>
      <c r="L337" s="610"/>
      <c r="M337" s="610"/>
      <c r="N337" s="610"/>
      <c r="O337" s="610"/>
      <c r="P337" s="610"/>
      <c r="Q337" s="610"/>
      <c r="R337" s="610"/>
      <c r="S337" s="610"/>
      <c r="T337" s="610"/>
      <c r="U337" s="610"/>
      <c r="V337" s="610"/>
      <c r="W337" s="610"/>
      <c r="X337" s="610"/>
      <c r="Y337" s="610"/>
      <c r="Z337" s="610"/>
      <c r="AA337" s="610"/>
      <c r="AB337" s="610"/>
      <c r="AC337" s="610"/>
      <c r="AD337" s="610"/>
      <c r="AE337" s="610"/>
      <c r="AF337" s="610"/>
      <c r="AG337" s="610"/>
      <c r="AH337" s="610"/>
      <c r="AI337" s="610"/>
      <c r="AJ337" s="610"/>
      <c r="AK337" s="610"/>
      <c r="AL337" s="610"/>
      <c r="AM337" s="610"/>
      <c r="AN337" s="610"/>
      <c r="AO337" s="610"/>
      <c r="AP337" s="610"/>
      <c r="AQ337" s="610"/>
    </row>
    <row r="338" spans="2:43" s="609" customFormat="1">
      <c r="B338" s="610"/>
      <c r="C338" s="610"/>
      <c r="D338" s="610"/>
      <c r="E338" s="610"/>
      <c r="F338" s="610"/>
      <c r="G338" s="610"/>
      <c r="H338" s="610"/>
      <c r="I338" s="610"/>
      <c r="J338" s="610"/>
      <c r="L338" s="610"/>
      <c r="M338" s="610"/>
      <c r="N338" s="610"/>
      <c r="O338" s="610"/>
      <c r="P338" s="610"/>
      <c r="Q338" s="610"/>
      <c r="R338" s="610"/>
      <c r="S338" s="610"/>
      <c r="T338" s="610"/>
      <c r="U338" s="610"/>
      <c r="V338" s="610"/>
      <c r="W338" s="610"/>
      <c r="X338" s="610"/>
      <c r="Y338" s="610"/>
      <c r="Z338" s="610"/>
      <c r="AA338" s="610"/>
      <c r="AB338" s="610"/>
      <c r="AC338" s="610"/>
      <c r="AD338" s="610"/>
      <c r="AE338" s="610"/>
      <c r="AF338" s="610"/>
      <c r="AG338" s="610"/>
      <c r="AH338" s="610"/>
      <c r="AI338" s="610"/>
      <c r="AJ338" s="610"/>
      <c r="AK338" s="610"/>
      <c r="AL338" s="610"/>
      <c r="AM338" s="610"/>
      <c r="AN338" s="610"/>
      <c r="AO338" s="610"/>
      <c r="AP338" s="610"/>
      <c r="AQ338" s="610"/>
    </row>
    <row r="339" spans="2:43" s="609" customFormat="1">
      <c r="B339" s="610"/>
      <c r="C339" s="610"/>
      <c r="D339" s="610"/>
      <c r="E339" s="610"/>
      <c r="F339" s="610"/>
      <c r="G339" s="610"/>
      <c r="H339" s="610"/>
      <c r="I339" s="610"/>
      <c r="J339" s="610"/>
      <c r="L339" s="610"/>
      <c r="M339" s="610"/>
      <c r="N339" s="610"/>
      <c r="O339" s="610"/>
      <c r="P339" s="610"/>
      <c r="Q339" s="610"/>
      <c r="R339" s="610"/>
      <c r="S339" s="610"/>
      <c r="T339" s="610"/>
      <c r="U339" s="610"/>
      <c r="V339" s="610"/>
      <c r="W339" s="610"/>
      <c r="X339" s="610"/>
      <c r="Y339" s="610"/>
      <c r="Z339" s="610"/>
      <c r="AA339" s="610"/>
      <c r="AB339" s="610"/>
      <c r="AC339" s="610"/>
      <c r="AD339" s="610"/>
      <c r="AE339" s="610"/>
      <c r="AF339" s="610"/>
      <c r="AG339" s="610"/>
      <c r="AH339" s="610"/>
      <c r="AI339" s="610"/>
      <c r="AJ339" s="610"/>
      <c r="AK339" s="610"/>
      <c r="AL339" s="610"/>
      <c r="AM339" s="610"/>
      <c r="AN339" s="610"/>
      <c r="AO339" s="610"/>
      <c r="AP339" s="610"/>
      <c r="AQ339" s="610"/>
    </row>
    <row r="340" spans="2:43" s="609" customFormat="1">
      <c r="B340" s="610"/>
      <c r="C340" s="610"/>
      <c r="D340" s="610"/>
      <c r="E340" s="610"/>
      <c r="F340" s="610"/>
      <c r="G340" s="610"/>
      <c r="H340" s="610"/>
      <c r="I340" s="610"/>
      <c r="J340" s="610"/>
      <c r="L340" s="610"/>
      <c r="M340" s="610"/>
      <c r="N340" s="610"/>
      <c r="O340" s="610"/>
      <c r="P340" s="610"/>
      <c r="Q340" s="610"/>
      <c r="R340" s="610"/>
      <c r="S340" s="610"/>
      <c r="T340" s="610"/>
      <c r="U340" s="610"/>
      <c r="V340" s="610"/>
      <c r="W340" s="610"/>
      <c r="X340" s="610"/>
      <c r="Y340" s="610"/>
      <c r="Z340" s="610"/>
      <c r="AA340" s="610"/>
      <c r="AB340" s="610"/>
      <c r="AC340" s="610"/>
      <c r="AD340" s="610"/>
      <c r="AE340" s="610"/>
      <c r="AF340" s="610"/>
      <c r="AG340" s="610"/>
      <c r="AH340" s="610"/>
      <c r="AI340" s="610"/>
      <c r="AJ340" s="610"/>
      <c r="AK340" s="610"/>
      <c r="AL340" s="610"/>
      <c r="AM340" s="610"/>
      <c r="AN340" s="610"/>
      <c r="AO340" s="610"/>
      <c r="AP340" s="610"/>
      <c r="AQ340" s="610"/>
    </row>
    <row r="341" spans="2:43" s="609" customFormat="1">
      <c r="B341" s="610"/>
      <c r="C341" s="610"/>
      <c r="D341" s="610"/>
      <c r="E341" s="610"/>
      <c r="F341" s="610"/>
      <c r="G341" s="610"/>
      <c r="H341" s="610"/>
      <c r="I341" s="610"/>
      <c r="J341" s="610"/>
      <c r="L341" s="610"/>
      <c r="M341" s="610"/>
      <c r="N341" s="610"/>
      <c r="O341" s="610"/>
      <c r="P341" s="610"/>
      <c r="Q341" s="610"/>
      <c r="R341" s="610"/>
      <c r="S341" s="610"/>
      <c r="T341" s="610"/>
      <c r="U341" s="610"/>
      <c r="V341" s="610"/>
      <c r="W341" s="610"/>
      <c r="X341" s="610"/>
      <c r="Y341" s="610"/>
      <c r="Z341" s="610"/>
      <c r="AA341" s="610"/>
      <c r="AB341" s="610"/>
      <c r="AC341" s="610"/>
      <c r="AD341" s="610"/>
      <c r="AE341" s="610"/>
      <c r="AF341" s="610"/>
      <c r="AG341" s="610"/>
      <c r="AH341" s="610"/>
      <c r="AI341" s="610"/>
      <c r="AJ341" s="610"/>
      <c r="AK341" s="610"/>
      <c r="AL341" s="610"/>
      <c r="AM341" s="610"/>
      <c r="AN341" s="610"/>
      <c r="AO341" s="610"/>
      <c r="AP341" s="610"/>
      <c r="AQ341" s="610"/>
    </row>
    <row r="342" spans="2:43" s="609" customFormat="1">
      <c r="B342" s="610"/>
      <c r="C342" s="610"/>
      <c r="D342" s="610"/>
      <c r="E342" s="610"/>
      <c r="F342" s="610"/>
      <c r="G342" s="610"/>
      <c r="H342" s="610"/>
      <c r="I342" s="610"/>
      <c r="J342" s="610"/>
      <c r="L342" s="610"/>
      <c r="M342" s="610"/>
      <c r="N342" s="610"/>
      <c r="O342" s="610"/>
      <c r="P342" s="610"/>
      <c r="Q342" s="610"/>
      <c r="R342" s="610"/>
      <c r="S342" s="610"/>
      <c r="T342" s="610"/>
      <c r="U342" s="610"/>
      <c r="V342" s="610"/>
      <c r="W342" s="610"/>
      <c r="X342" s="610"/>
      <c r="Y342" s="610"/>
      <c r="Z342" s="610"/>
      <c r="AA342" s="610"/>
      <c r="AB342" s="610"/>
      <c r="AC342" s="610"/>
      <c r="AD342" s="610"/>
      <c r="AE342" s="610"/>
      <c r="AF342" s="610"/>
      <c r="AG342" s="610"/>
      <c r="AH342" s="610"/>
      <c r="AI342" s="610"/>
      <c r="AJ342" s="610"/>
      <c r="AK342" s="610"/>
      <c r="AL342" s="610"/>
      <c r="AM342" s="610"/>
      <c r="AN342" s="610"/>
      <c r="AO342" s="610"/>
      <c r="AP342" s="610"/>
      <c r="AQ342" s="610"/>
    </row>
    <row r="343" spans="2:43" s="609" customFormat="1">
      <c r="B343" s="610"/>
      <c r="C343" s="610"/>
      <c r="D343" s="610"/>
      <c r="E343" s="610"/>
      <c r="F343" s="610"/>
      <c r="G343" s="610"/>
      <c r="H343" s="610"/>
      <c r="I343" s="610"/>
      <c r="J343" s="610"/>
      <c r="L343" s="610"/>
      <c r="M343" s="610"/>
      <c r="N343" s="610"/>
      <c r="O343" s="610"/>
      <c r="P343" s="610"/>
      <c r="Q343" s="610"/>
      <c r="R343" s="610"/>
      <c r="S343" s="610"/>
      <c r="T343" s="610"/>
      <c r="U343" s="610"/>
      <c r="V343" s="610"/>
      <c r="W343" s="610"/>
      <c r="X343" s="610"/>
      <c r="Y343" s="610"/>
      <c r="Z343" s="610"/>
      <c r="AA343" s="610"/>
      <c r="AB343" s="610"/>
      <c r="AC343" s="610"/>
      <c r="AD343" s="610"/>
      <c r="AE343" s="610"/>
      <c r="AF343" s="610"/>
      <c r="AG343" s="610"/>
      <c r="AH343" s="610"/>
      <c r="AI343" s="610"/>
      <c r="AJ343" s="610"/>
      <c r="AK343" s="610"/>
      <c r="AL343" s="610"/>
      <c r="AM343" s="610"/>
      <c r="AN343" s="610"/>
      <c r="AO343" s="610"/>
      <c r="AP343" s="610"/>
      <c r="AQ343" s="610"/>
    </row>
    <row r="344" spans="2:43" s="609" customFormat="1">
      <c r="B344" s="610"/>
      <c r="C344" s="610"/>
      <c r="D344" s="610"/>
      <c r="E344" s="610"/>
      <c r="F344" s="610"/>
      <c r="G344" s="610"/>
      <c r="H344" s="610"/>
      <c r="I344" s="610"/>
      <c r="J344" s="610"/>
      <c r="L344" s="610"/>
      <c r="M344" s="610"/>
      <c r="N344" s="610"/>
      <c r="O344" s="610"/>
      <c r="P344" s="610"/>
      <c r="Q344" s="610"/>
      <c r="R344" s="610"/>
      <c r="S344" s="610"/>
      <c r="T344" s="610"/>
      <c r="U344" s="610"/>
      <c r="V344" s="610"/>
      <c r="W344" s="610"/>
      <c r="X344" s="610"/>
      <c r="Y344" s="610"/>
      <c r="Z344" s="610"/>
      <c r="AA344" s="610"/>
      <c r="AB344" s="610"/>
      <c r="AC344" s="610"/>
      <c r="AD344" s="610"/>
      <c r="AE344" s="610"/>
      <c r="AF344" s="610"/>
      <c r="AG344" s="610"/>
      <c r="AH344" s="610"/>
      <c r="AI344" s="610"/>
      <c r="AJ344" s="610"/>
      <c r="AK344" s="610"/>
      <c r="AL344" s="610"/>
      <c r="AM344" s="610"/>
      <c r="AN344" s="610"/>
      <c r="AO344" s="610"/>
      <c r="AP344" s="610"/>
      <c r="AQ344" s="610"/>
    </row>
    <row r="345" spans="2:43" s="609" customFormat="1">
      <c r="B345" s="610"/>
      <c r="C345" s="610"/>
      <c r="D345" s="610"/>
      <c r="E345" s="610"/>
      <c r="F345" s="610"/>
      <c r="G345" s="610"/>
      <c r="H345" s="610"/>
      <c r="I345" s="610"/>
      <c r="J345" s="610"/>
      <c r="L345" s="610"/>
      <c r="M345" s="610"/>
      <c r="N345" s="610"/>
      <c r="O345" s="610"/>
      <c r="P345" s="610"/>
      <c r="Q345" s="610"/>
      <c r="R345" s="610"/>
      <c r="S345" s="610"/>
      <c r="T345" s="610"/>
      <c r="U345" s="610"/>
      <c r="V345" s="610"/>
      <c r="W345" s="610"/>
      <c r="X345" s="610"/>
      <c r="Y345" s="610"/>
      <c r="Z345" s="610"/>
      <c r="AA345" s="610"/>
      <c r="AB345" s="610"/>
      <c r="AC345" s="610"/>
      <c r="AD345" s="610"/>
      <c r="AE345" s="610"/>
      <c r="AF345" s="610"/>
      <c r="AG345" s="610"/>
      <c r="AH345" s="610"/>
      <c r="AI345" s="610"/>
      <c r="AJ345" s="610"/>
      <c r="AK345" s="610"/>
      <c r="AL345" s="610"/>
      <c r="AM345" s="610"/>
      <c r="AN345" s="610"/>
      <c r="AO345" s="610"/>
      <c r="AP345" s="610"/>
      <c r="AQ345" s="610"/>
    </row>
    <row r="346" spans="2:43" s="609" customFormat="1">
      <c r="B346" s="610"/>
      <c r="C346" s="610"/>
      <c r="D346" s="610"/>
      <c r="E346" s="610"/>
      <c r="F346" s="610"/>
      <c r="G346" s="610"/>
      <c r="H346" s="610"/>
      <c r="I346" s="610"/>
      <c r="J346" s="610"/>
      <c r="L346" s="610"/>
      <c r="M346" s="610"/>
      <c r="N346" s="610"/>
      <c r="O346" s="610"/>
      <c r="P346" s="610"/>
      <c r="Q346" s="610"/>
      <c r="R346" s="610"/>
      <c r="S346" s="610"/>
      <c r="T346" s="610"/>
      <c r="U346" s="610"/>
      <c r="V346" s="610"/>
      <c r="W346" s="610"/>
      <c r="X346" s="610"/>
      <c r="Y346" s="610"/>
      <c r="Z346" s="610"/>
      <c r="AA346" s="610"/>
      <c r="AB346" s="610"/>
      <c r="AC346" s="610"/>
      <c r="AD346" s="610"/>
      <c r="AE346" s="610"/>
      <c r="AF346" s="610"/>
      <c r="AG346" s="610"/>
      <c r="AH346" s="610"/>
      <c r="AI346" s="610"/>
      <c r="AJ346" s="610"/>
      <c r="AK346" s="610"/>
      <c r="AL346" s="610"/>
      <c r="AM346" s="610"/>
      <c r="AN346" s="610"/>
      <c r="AO346" s="610"/>
      <c r="AP346" s="610"/>
      <c r="AQ346" s="610"/>
    </row>
    <row r="347" spans="2:43" s="609" customFormat="1">
      <c r="B347" s="610"/>
      <c r="C347" s="610"/>
      <c r="D347" s="610"/>
      <c r="E347" s="610"/>
      <c r="F347" s="610"/>
      <c r="G347" s="610"/>
      <c r="H347" s="610"/>
      <c r="I347" s="610"/>
      <c r="J347" s="610"/>
      <c r="L347" s="610"/>
      <c r="M347" s="610"/>
      <c r="N347" s="610"/>
      <c r="O347" s="610"/>
      <c r="P347" s="610"/>
      <c r="Q347" s="610"/>
      <c r="R347" s="610"/>
      <c r="S347" s="610"/>
      <c r="T347" s="610"/>
      <c r="U347" s="610"/>
      <c r="V347" s="610"/>
      <c r="W347" s="610"/>
      <c r="X347" s="610"/>
      <c r="Y347" s="610"/>
      <c r="Z347" s="610"/>
      <c r="AA347" s="610"/>
      <c r="AB347" s="610"/>
      <c r="AC347" s="610"/>
      <c r="AD347" s="610"/>
      <c r="AE347" s="610"/>
      <c r="AF347" s="610"/>
      <c r="AG347" s="610"/>
      <c r="AH347" s="610"/>
      <c r="AI347" s="610"/>
      <c r="AJ347" s="610"/>
      <c r="AK347" s="610"/>
      <c r="AL347" s="610"/>
      <c r="AM347" s="610"/>
      <c r="AN347" s="610"/>
      <c r="AO347" s="610"/>
      <c r="AP347" s="610"/>
      <c r="AQ347" s="610"/>
    </row>
    <row r="348" spans="2:43" s="609" customFormat="1">
      <c r="B348" s="610"/>
      <c r="C348" s="610"/>
      <c r="D348" s="610"/>
      <c r="E348" s="610"/>
      <c r="F348" s="610"/>
      <c r="G348" s="610"/>
      <c r="H348" s="610"/>
      <c r="I348" s="610"/>
      <c r="J348" s="610"/>
      <c r="L348" s="610"/>
      <c r="M348" s="610"/>
      <c r="N348" s="610"/>
      <c r="O348" s="610"/>
      <c r="P348" s="610"/>
      <c r="Q348" s="610"/>
      <c r="R348" s="610"/>
      <c r="S348" s="610"/>
      <c r="T348" s="610"/>
      <c r="U348" s="610"/>
      <c r="V348" s="610"/>
      <c r="W348" s="610"/>
      <c r="X348" s="610"/>
      <c r="Y348" s="610"/>
      <c r="Z348" s="610"/>
      <c r="AA348" s="610"/>
      <c r="AB348" s="610"/>
      <c r="AC348" s="610"/>
      <c r="AD348" s="610"/>
      <c r="AE348" s="610"/>
      <c r="AF348" s="610"/>
      <c r="AG348" s="610"/>
      <c r="AH348" s="610"/>
      <c r="AI348" s="610"/>
      <c r="AJ348" s="610"/>
      <c r="AK348" s="610"/>
      <c r="AL348" s="610"/>
      <c r="AM348" s="610"/>
      <c r="AN348" s="610"/>
      <c r="AO348" s="610"/>
      <c r="AP348" s="610"/>
      <c r="AQ348" s="610"/>
    </row>
    <row r="349" spans="2:43" s="609" customFormat="1">
      <c r="B349" s="610"/>
      <c r="C349" s="610"/>
      <c r="D349" s="610"/>
      <c r="E349" s="610"/>
      <c r="F349" s="610"/>
      <c r="G349" s="610"/>
      <c r="H349" s="610"/>
      <c r="I349" s="610"/>
      <c r="J349" s="610"/>
      <c r="L349" s="610"/>
      <c r="M349" s="610"/>
      <c r="N349" s="610"/>
      <c r="O349" s="610"/>
      <c r="P349" s="610"/>
      <c r="Q349" s="610"/>
      <c r="R349" s="610"/>
      <c r="S349" s="610"/>
      <c r="T349" s="610"/>
      <c r="U349" s="610"/>
      <c r="V349" s="610"/>
      <c r="W349" s="610"/>
      <c r="X349" s="610"/>
      <c r="Y349" s="610"/>
      <c r="Z349" s="610"/>
      <c r="AA349" s="610"/>
      <c r="AB349" s="610"/>
      <c r="AC349" s="610"/>
      <c r="AD349" s="610"/>
      <c r="AE349" s="610"/>
      <c r="AF349" s="610"/>
      <c r="AG349" s="610"/>
      <c r="AH349" s="610"/>
      <c r="AI349" s="610"/>
      <c r="AJ349" s="610"/>
      <c r="AK349" s="610"/>
      <c r="AL349" s="610"/>
      <c r="AM349" s="610"/>
      <c r="AN349" s="610"/>
      <c r="AO349" s="610"/>
      <c r="AP349" s="610"/>
      <c r="AQ349" s="610"/>
    </row>
    <row r="350" spans="2:43" s="609" customFormat="1">
      <c r="B350" s="610"/>
      <c r="C350" s="610"/>
      <c r="D350" s="610"/>
      <c r="E350" s="610"/>
      <c r="F350" s="610"/>
      <c r="G350" s="610"/>
      <c r="H350" s="610"/>
      <c r="I350" s="610"/>
      <c r="J350" s="610"/>
      <c r="L350" s="610"/>
      <c r="M350" s="610"/>
      <c r="N350" s="610"/>
      <c r="O350" s="610"/>
      <c r="P350" s="610"/>
      <c r="Q350" s="610"/>
      <c r="R350" s="610"/>
      <c r="S350" s="610"/>
      <c r="T350" s="610"/>
      <c r="U350" s="610"/>
      <c r="V350" s="610"/>
      <c r="W350" s="610"/>
      <c r="X350" s="610"/>
      <c r="Y350" s="610"/>
      <c r="Z350" s="610"/>
      <c r="AA350" s="610"/>
      <c r="AB350" s="610"/>
      <c r="AC350" s="610"/>
      <c r="AD350" s="610"/>
      <c r="AE350" s="610"/>
      <c r="AF350" s="610"/>
      <c r="AG350" s="610"/>
      <c r="AH350" s="610"/>
      <c r="AI350" s="610"/>
      <c r="AJ350" s="610"/>
      <c r="AK350" s="610"/>
      <c r="AL350" s="610"/>
      <c r="AM350" s="610"/>
      <c r="AN350" s="610"/>
      <c r="AO350" s="610"/>
      <c r="AP350" s="610"/>
      <c r="AQ350" s="610"/>
    </row>
    <row r="351" spans="2:43" s="609" customFormat="1">
      <c r="B351" s="610"/>
      <c r="C351" s="610"/>
      <c r="D351" s="610"/>
      <c r="E351" s="610"/>
      <c r="F351" s="610"/>
      <c r="G351" s="610"/>
      <c r="H351" s="610"/>
      <c r="I351" s="610"/>
      <c r="J351" s="610"/>
      <c r="L351" s="610"/>
      <c r="M351" s="610"/>
      <c r="N351" s="610"/>
      <c r="O351" s="610"/>
      <c r="P351" s="610"/>
      <c r="Q351" s="610"/>
      <c r="R351" s="610"/>
      <c r="S351" s="610"/>
      <c r="T351" s="610"/>
      <c r="U351" s="610"/>
      <c r="V351" s="610"/>
      <c r="W351" s="610"/>
      <c r="X351" s="610"/>
      <c r="Y351" s="610"/>
      <c r="Z351" s="610"/>
      <c r="AA351" s="610"/>
      <c r="AB351" s="610"/>
      <c r="AC351" s="610"/>
      <c r="AD351" s="610"/>
      <c r="AE351" s="610"/>
      <c r="AF351" s="610"/>
      <c r="AG351" s="610"/>
      <c r="AH351" s="610"/>
      <c r="AI351" s="610"/>
      <c r="AJ351" s="610"/>
      <c r="AK351" s="610"/>
      <c r="AL351" s="610"/>
      <c r="AM351" s="610"/>
      <c r="AN351" s="610"/>
      <c r="AO351" s="610"/>
      <c r="AP351" s="610"/>
      <c r="AQ351" s="610"/>
    </row>
    <row r="352" spans="2:43" s="609" customFormat="1">
      <c r="B352" s="610"/>
      <c r="C352" s="610"/>
      <c r="D352" s="610"/>
      <c r="E352" s="610"/>
      <c r="F352" s="610"/>
      <c r="G352" s="610"/>
      <c r="H352" s="610"/>
      <c r="I352" s="610"/>
      <c r="J352" s="610"/>
      <c r="L352" s="610"/>
      <c r="M352" s="610"/>
      <c r="N352" s="610"/>
      <c r="O352" s="610"/>
      <c r="P352" s="610"/>
      <c r="Q352" s="610"/>
      <c r="R352" s="610"/>
      <c r="S352" s="610"/>
      <c r="T352" s="610"/>
      <c r="U352" s="610"/>
      <c r="V352" s="610"/>
      <c r="W352" s="610"/>
      <c r="X352" s="610"/>
      <c r="Y352" s="610"/>
      <c r="Z352" s="610"/>
      <c r="AA352" s="610"/>
      <c r="AB352" s="610"/>
      <c r="AC352" s="610"/>
      <c r="AD352" s="610"/>
      <c r="AE352" s="610"/>
      <c r="AF352" s="610"/>
      <c r="AG352" s="610"/>
      <c r="AH352" s="610"/>
      <c r="AI352" s="610"/>
      <c r="AJ352" s="610"/>
      <c r="AK352" s="610"/>
      <c r="AL352" s="610"/>
      <c r="AM352" s="610"/>
      <c r="AN352" s="610"/>
      <c r="AO352" s="610"/>
      <c r="AP352" s="610"/>
      <c r="AQ352" s="610"/>
    </row>
    <row r="353" spans="2:43" s="609" customFormat="1">
      <c r="B353" s="610"/>
      <c r="C353" s="610"/>
      <c r="D353" s="610"/>
      <c r="E353" s="610"/>
      <c r="F353" s="610"/>
      <c r="G353" s="610"/>
      <c r="H353" s="610"/>
      <c r="I353" s="610"/>
      <c r="J353" s="610"/>
      <c r="L353" s="610"/>
      <c r="M353" s="610"/>
      <c r="N353" s="610"/>
      <c r="O353" s="610"/>
      <c r="P353" s="610"/>
      <c r="Q353" s="610"/>
      <c r="R353" s="610"/>
      <c r="S353" s="610"/>
      <c r="T353" s="610"/>
      <c r="U353" s="610"/>
      <c r="V353" s="610"/>
      <c r="W353" s="610"/>
      <c r="X353" s="610"/>
      <c r="Y353" s="610"/>
      <c r="Z353" s="610"/>
      <c r="AA353" s="610"/>
      <c r="AB353" s="610"/>
      <c r="AC353" s="610"/>
      <c r="AD353" s="610"/>
      <c r="AE353" s="610"/>
      <c r="AF353" s="610"/>
      <c r="AG353" s="610"/>
      <c r="AH353" s="610"/>
      <c r="AI353" s="610"/>
      <c r="AJ353" s="610"/>
      <c r="AK353" s="610"/>
      <c r="AL353" s="610"/>
      <c r="AM353" s="610"/>
      <c r="AN353" s="610"/>
      <c r="AO353" s="610"/>
      <c r="AP353" s="610"/>
      <c r="AQ353" s="610"/>
    </row>
    <row r="354" spans="2:43" s="609" customFormat="1">
      <c r="B354" s="610"/>
      <c r="C354" s="610"/>
      <c r="D354" s="610"/>
      <c r="E354" s="610"/>
      <c r="F354" s="610"/>
      <c r="G354" s="610"/>
      <c r="H354" s="610"/>
      <c r="I354" s="610"/>
      <c r="J354" s="610"/>
      <c r="L354" s="610"/>
      <c r="M354" s="610"/>
      <c r="N354" s="610"/>
      <c r="O354" s="610"/>
      <c r="P354" s="610"/>
      <c r="Q354" s="610"/>
      <c r="R354" s="610"/>
      <c r="S354" s="610"/>
      <c r="T354" s="610"/>
      <c r="U354" s="610"/>
      <c r="V354" s="610"/>
      <c r="W354" s="610"/>
      <c r="X354" s="610"/>
      <c r="Y354" s="610"/>
      <c r="Z354" s="610"/>
      <c r="AA354" s="610"/>
      <c r="AB354" s="610"/>
      <c r="AC354" s="610"/>
      <c r="AD354" s="610"/>
      <c r="AE354" s="610"/>
      <c r="AF354" s="610"/>
      <c r="AG354" s="610"/>
      <c r="AH354" s="610"/>
      <c r="AI354" s="610"/>
      <c r="AJ354" s="610"/>
      <c r="AK354" s="610"/>
      <c r="AL354" s="610"/>
      <c r="AM354" s="610"/>
      <c r="AN354" s="610"/>
      <c r="AO354" s="610"/>
      <c r="AP354" s="610"/>
      <c r="AQ354" s="610"/>
    </row>
    <row r="355" spans="2:43" s="609" customFormat="1">
      <c r="B355" s="610"/>
      <c r="C355" s="610"/>
      <c r="D355" s="610"/>
      <c r="E355" s="610"/>
      <c r="F355" s="610"/>
      <c r="G355" s="610"/>
      <c r="H355" s="610"/>
      <c r="I355" s="610"/>
      <c r="J355" s="610"/>
      <c r="L355" s="610"/>
      <c r="M355" s="610"/>
      <c r="N355" s="610"/>
      <c r="O355" s="610"/>
      <c r="P355" s="610"/>
      <c r="Q355" s="610"/>
      <c r="R355" s="610"/>
      <c r="S355" s="610"/>
      <c r="T355" s="610"/>
      <c r="U355" s="610"/>
      <c r="V355" s="610"/>
      <c r="W355" s="610"/>
      <c r="X355" s="610"/>
      <c r="Y355" s="610"/>
      <c r="Z355" s="610"/>
      <c r="AA355" s="610"/>
      <c r="AB355" s="610"/>
      <c r="AC355" s="610"/>
      <c r="AD355" s="610"/>
      <c r="AE355" s="610"/>
      <c r="AF355" s="610"/>
      <c r="AG355" s="610"/>
      <c r="AH355" s="610"/>
      <c r="AI355" s="610"/>
      <c r="AJ355" s="610"/>
      <c r="AK355" s="610"/>
      <c r="AL355" s="610"/>
      <c r="AM355" s="610"/>
      <c r="AN355" s="610"/>
      <c r="AO355" s="610"/>
      <c r="AP355" s="610"/>
      <c r="AQ355" s="610"/>
    </row>
    <row r="356" spans="2:43" s="609" customFormat="1">
      <c r="B356" s="610"/>
      <c r="C356" s="610"/>
      <c r="D356" s="610"/>
      <c r="E356" s="610"/>
      <c r="F356" s="610"/>
      <c r="G356" s="610"/>
      <c r="H356" s="610"/>
      <c r="I356" s="610"/>
      <c r="J356" s="610"/>
      <c r="L356" s="610"/>
      <c r="M356" s="610"/>
      <c r="N356" s="610"/>
      <c r="O356" s="610"/>
      <c r="P356" s="610"/>
      <c r="Q356" s="610"/>
      <c r="R356" s="610"/>
      <c r="S356" s="610"/>
      <c r="T356" s="610"/>
      <c r="U356" s="610"/>
      <c r="V356" s="610"/>
      <c r="W356" s="610"/>
      <c r="X356" s="610"/>
      <c r="Y356" s="610"/>
      <c r="Z356" s="610"/>
      <c r="AA356" s="610"/>
      <c r="AB356" s="610"/>
      <c r="AC356" s="610"/>
      <c r="AD356" s="610"/>
      <c r="AE356" s="610"/>
      <c r="AF356" s="610"/>
      <c r="AG356" s="610"/>
      <c r="AH356" s="610"/>
      <c r="AI356" s="610"/>
      <c r="AJ356" s="610"/>
      <c r="AK356" s="610"/>
      <c r="AL356" s="610"/>
      <c r="AM356" s="610"/>
      <c r="AN356" s="610"/>
      <c r="AO356" s="610"/>
      <c r="AP356" s="610"/>
      <c r="AQ356" s="610"/>
    </row>
    <row r="357" spans="2:43" s="609" customFormat="1">
      <c r="B357" s="610"/>
      <c r="C357" s="610"/>
      <c r="D357" s="610"/>
      <c r="E357" s="610"/>
      <c r="F357" s="610"/>
      <c r="G357" s="610"/>
      <c r="H357" s="610"/>
      <c r="I357" s="610"/>
      <c r="J357" s="610"/>
      <c r="L357" s="610"/>
      <c r="M357" s="610"/>
      <c r="N357" s="610"/>
      <c r="O357" s="610"/>
      <c r="P357" s="610"/>
      <c r="Q357" s="610"/>
      <c r="R357" s="610"/>
      <c r="S357" s="610"/>
      <c r="T357" s="610"/>
      <c r="U357" s="610"/>
      <c r="V357" s="610"/>
      <c r="W357" s="610"/>
      <c r="X357" s="610"/>
      <c r="Y357" s="610"/>
      <c r="Z357" s="610"/>
      <c r="AA357" s="610"/>
      <c r="AB357" s="610"/>
      <c r="AC357" s="610"/>
      <c r="AD357" s="610"/>
      <c r="AE357" s="610"/>
      <c r="AF357" s="610"/>
      <c r="AG357" s="610"/>
      <c r="AH357" s="610"/>
      <c r="AI357" s="610"/>
      <c r="AJ357" s="610"/>
      <c r="AK357" s="610"/>
      <c r="AL357" s="610"/>
      <c r="AM357" s="610"/>
      <c r="AN357" s="610"/>
      <c r="AO357" s="610"/>
      <c r="AP357" s="610"/>
      <c r="AQ357" s="610"/>
    </row>
    <row r="358" spans="2:43" s="609" customFormat="1">
      <c r="B358" s="610"/>
      <c r="C358" s="610"/>
      <c r="D358" s="610"/>
      <c r="E358" s="610"/>
      <c r="F358" s="610"/>
      <c r="G358" s="610"/>
      <c r="H358" s="610"/>
      <c r="I358" s="610"/>
      <c r="J358" s="610"/>
      <c r="L358" s="610"/>
      <c r="M358" s="610"/>
      <c r="N358" s="610"/>
      <c r="O358" s="610"/>
      <c r="P358" s="610"/>
      <c r="Q358" s="610"/>
      <c r="R358" s="610"/>
      <c r="S358" s="610"/>
      <c r="T358" s="610"/>
      <c r="U358" s="610"/>
      <c r="V358" s="610"/>
      <c r="W358" s="610"/>
      <c r="X358" s="610"/>
      <c r="Y358" s="610"/>
      <c r="Z358" s="610"/>
      <c r="AA358" s="610"/>
      <c r="AB358" s="610"/>
      <c r="AC358" s="610"/>
      <c r="AD358" s="610"/>
      <c r="AE358" s="610"/>
      <c r="AF358" s="610"/>
      <c r="AG358" s="610"/>
      <c r="AH358" s="610"/>
      <c r="AI358" s="610"/>
      <c r="AJ358" s="610"/>
      <c r="AK358" s="610"/>
      <c r="AL358" s="610"/>
      <c r="AM358" s="610"/>
      <c r="AN358" s="610"/>
      <c r="AO358" s="610"/>
      <c r="AP358" s="610"/>
      <c r="AQ358" s="610"/>
    </row>
    <row r="359" spans="2:43" s="609" customFormat="1">
      <c r="B359" s="610"/>
      <c r="C359" s="610"/>
      <c r="D359" s="610"/>
      <c r="E359" s="610"/>
      <c r="F359" s="610"/>
      <c r="G359" s="610"/>
      <c r="H359" s="610"/>
      <c r="I359" s="610"/>
      <c r="J359" s="610"/>
      <c r="L359" s="610"/>
      <c r="M359" s="610"/>
      <c r="N359" s="610"/>
      <c r="O359" s="610"/>
      <c r="P359" s="610"/>
      <c r="Q359" s="610"/>
      <c r="R359" s="610"/>
      <c r="S359" s="610"/>
      <c r="T359" s="610"/>
      <c r="U359" s="610"/>
      <c r="V359" s="610"/>
      <c r="W359" s="610"/>
      <c r="X359" s="610"/>
      <c r="Y359" s="610"/>
      <c r="Z359" s="610"/>
      <c r="AA359" s="610"/>
      <c r="AB359" s="610"/>
      <c r="AC359" s="610"/>
      <c r="AD359" s="610"/>
      <c r="AE359" s="610"/>
      <c r="AF359" s="610"/>
      <c r="AG359" s="610"/>
      <c r="AH359" s="610"/>
      <c r="AI359" s="610"/>
      <c r="AJ359" s="610"/>
      <c r="AK359" s="610"/>
      <c r="AL359" s="610"/>
      <c r="AM359" s="610"/>
      <c r="AN359" s="610"/>
      <c r="AO359" s="610"/>
      <c r="AP359" s="610"/>
      <c r="AQ359" s="610"/>
    </row>
    <row r="360" spans="2:43" s="609" customFormat="1">
      <c r="B360" s="610"/>
      <c r="C360" s="610"/>
      <c r="D360" s="610"/>
      <c r="E360" s="610"/>
      <c r="F360" s="610"/>
      <c r="G360" s="610"/>
      <c r="H360" s="610"/>
      <c r="I360" s="610"/>
      <c r="J360" s="610"/>
      <c r="L360" s="610"/>
      <c r="M360" s="610"/>
      <c r="N360" s="610"/>
      <c r="O360" s="610"/>
      <c r="P360" s="610"/>
      <c r="Q360" s="610"/>
      <c r="R360" s="610"/>
      <c r="S360" s="610"/>
      <c r="T360" s="610"/>
      <c r="U360" s="610"/>
      <c r="V360" s="610"/>
      <c r="W360" s="610"/>
      <c r="X360" s="610"/>
      <c r="Y360" s="610"/>
      <c r="Z360" s="610"/>
      <c r="AA360" s="610"/>
      <c r="AB360" s="610"/>
      <c r="AC360" s="610"/>
      <c r="AD360" s="610"/>
      <c r="AE360" s="610"/>
      <c r="AF360" s="610"/>
      <c r="AG360" s="610"/>
      <c r="AH360" s="610"/>
      <c r="AI360" s="610"/>
      <c r="AJ360" s="610"/>
      <c r="AK360" s="610"/>
      <c r="AL360" s="610"/>
      <c r="AM360" s="610"/>
      <c r="AN360" s="610"/>
      <c r="AO360" s="610"/>
      <c r="AP360" s="610"/>
      <c r="AQ360" s="610"/>
    </row>
    <row r="361" spans="2:43" s="609" customFormat="1">
      <c r="B361" s="610"/>
      <c r="C361" s="610"/>
      <c r="D361" s="610"/>
      <c r="E361" s="610"/>
      <c r="F361" s="610"/>
      <c r="G361" s="610"/>
      <c r="H361" s="610"/>
      <c r="I361" s="610"/>
      <c r="J361" s="610"/>
      <c r="L361" s="610"/>
      <c r="M361" s="610"/>
      <c r="N361" s="610"/>
      <c r="O361" s="610"/>
      <c r="P361" s="610"/>
      <c r="Q361" s="610"/>
      <c r="R361" s="610"/>
      <c r="S361" s="610"/>
      <c r="T361" s="610"/>
      <c r="U361" s="610"/>
      <c r="V361" s="610"/>
      <c r="W361" s="610"/>
      <c r="X361" s="610"/>
      <c r="Y361" s="610"/>
      <c r="Z361" s="610"/>
      <c r="AA361" s="610"/>
      <c r="AB361" s="610"/>
      <c r="AC361" s="610"/>
      <c r="AD361" s="610"/>
      <c r="AE361" s="610"/>
      <c r="AF361" s="610"/>
      <c r="AG361" s="610"/>
      <c r="AH361" s="610"/>
      <c r="AI361" s="610"/>
      <c r="AJ361" s="610"/>
      <c r="AK361" s="610"/>
      <c r="AL361" s="610"/>
      <c r="AM361" s="610"/>
      <c r="AN361" s="610"/>
      <c r="AO361" s="610"/>
      <c r="AP361" s="610"/>
      <c r="AQ361" s="610"/>
    </row>
    <row r="362" spans="2:43" s="609" customFormat="1">
      <c r="B362" s="610"/>
      <c r="C362" s="610"/>
      <c r="D362" s="610"/>
      <c r="E362" s="610"/>
      <c r="F362" s="610"/>
      <c r="G362" s="610"/>
      <c r="H362" s="610"/>
      <c r="I362" s="610"/>
      <c r="J362" s="610"/>
      <c r="L362" s="610"/>
      <c r="M362" s="610"/>
      <c r="N362" s="610"/>
      <c r="O362" s="610"/>
      <c r="P362" s="610"/>
      <c r="Q362" s="610"/>
      <c r="R362" s="610"/>
      <c r="S362" s="610"/>
      <c r="T362" s="610"/>
      <c r="U362" s="610"/>
      <c r="V362" s="610"/>
      <c r="W362" s="610"/>
      <c r="X362" s="610"/>
      <c r="Y362" s="610"/>
      <c r="Z362" s="610"/>
      <c r="AA362" s="610"/>
      <c r="AB362" s="610"/>
      <c r="AC362" s="610"/>
      <c r="AD362" s="610"/>
      <c r="AE362" s="610"/>
      <c r="AF362" s="610"/>
      <c r="AG362" s="610"/>
      <c r="AH362" s="610"/>
      <c r="AI362" s="610"/>
      <c r="AJ362" s="610"/>
      <c r="AK362" s="610"/>
      <c r="AL362" s="610"/>
      <c r="AM362" s="610"/>
      <c r="AN362" s="610"/>
      <c r="AO362" s="610"/>
      <c r="AP362" s="610"/>
      <c r="AQ362" s="610"/>
    </row>
    <row r="363" spans="2:43" s="609" customFormat="1">
      <c r="B363" s="610"/>
      <c r="C363" s="610"/>
      <c r="D363" s="610"/>
      <c r="E363" s="610"/>
      <c r="F363" s="610"/>
      <c r="G363" s="610"/>
      <c r="H363" s="610"/>
      <c r="I363" s="610"/>
      <c r="J363" s="610"/>
      <c r="L363" s="610"/>
      <c r="M363" s="610"/>
      <c r="N363" s="610"/>
      <c r="O363" s="610"/>
      <c r="P363" s="610"/>
      <c r="Q363" s="610"/>
      <c r="R363" s="610"/>
      <c r="S363" s="610"/>
      <c r="T363" s="610"/>
      <c r="U363" s="610"/>
      <c r="V363" s="610"/>
      <c r="W363" s="610"/>
      <c r="X363" s="610"/>
      <c r="Y363" s="610"/>
      <c r="Z363" s="610"/>
      <c r="AA363" s="610"/>
      <c r="AB363" s="610"/>
      <c r="AC363" s="610"/>
      <c r="AD363" s="610"/>
      <c r="AE363" s="610"/>
      <c r="AF363" s="610"/>
      <c r="AG363" s="610"/>
      <c r="AH363" s="610"/>
      <c r="AI363" s="610"/>
      <c r="AJ363" s="610"/>
      <c r="AK363" s="610"/>
      <c r="AL363" s="610"/>
      <c r="AM363" s="610"/>
      <c r="AN363" s="610"/>
      <c r="AO363" s="610"/>
      <c r="AP363" s="610"/>
      <c r="AQ363" s="610"/>
    </row>
    <row r="364" spans="2:43" s="609" customFormat="1">
      <c r="B364" s="610"/>
      <c r="C364" s="610"/>
      <c r="D364" s="610"/>
      <c r="E364" s="610"/>
      <c r="F364" s="610"/>
      <c r="G364" s="610"/>
      <c r="H364" s="610"/>
      <c r="I364" s="610"/>
      <c r="J364" s="610"/>
      <c r="L364" s="610"/>
      <c r="M364" s="610"/>
      <c r="N364" s="610"/>
      <c r="O364" s="610"/>
      <c r="P364" s="610"/>
      <c r="Q364" s="610"/>
      <c r="R364" s="610"/>
      <c r="S364" s="610"/>
      <c r="T364" s="610"/>
      <c r="U364" s="610"/>
      <c r="V364" s="610"/>
      <c r="W364" s="610"/>
      <c r="X364" s="610"/>
      <c r="Y364" s="610"/>
      <c r="Z364" s="610"/>
      <c r="AA364" s="610"/>
      <c r="AB364" s="610"/>
      <c r="AC364" s="610"/>
      <c r="AD364" s="610"/>
      <c r="AE364" s="610"/>
      <c r="AF364" s="610"/>
      <c r="AG364" s="610"/>
      <c r="AH364" s="610"/>
      <c r="AI364" s="610"/>
      <c r="AJ364" s="610"/>
      <c r="AK364" s="610"/>
      <c r="AL364" s="610"/>
      <c r="AM364" s="610"/>
      <c r="AN364" s="610"/>
      <c r="AO364" s="610"/>
      <c r="AP364" s="610"/>
      <c r="AQ364" s="610"/>
    </row>
    <row r="365" spans="2:43" s="609" customFormat="1">
      <c r="B365" s="610"/>
      <c r="C365" s="610"/>
      <c r="D365" s="610"/>
      <c r="E365" s="610"/>
      <c r="F365" s="610"/>
      <c r="G365" s="610"/>
      <c r="H365" s="610"/>
      <c r="I365" s="610"/>
      <c r="J365" s="610"/>
      <c r="L365" s="610"/>
      <c r="M365" s="610"/>
      <c r="N365" s="610"/>
      <c r="O365" s="610"/>
      <c r="P365" s="610"/>
      <c r="Q365" s="610"/>
      <c r="R365" s="610"/>
      <c r="S365" s="610"/>
      <c r="T365" s="610"/>
      <c r="U365" s="610"/>
      <c r="V365" s="610"/>
      <c r="W365" s="610"/>
      <c r="X365" s="610"/>
      <c r="Y365" s="610"/>
      <c r="Z365" s="610"/>
      <c r="AA365" s="610"/>
      <c r="AB365" s="610"/>
      <c r="AC365" s="610"/>
      <c r="AD365" s="610"/>
      <c r="AE365" s="610"/>
      <c r="AF365" s="610"/>
      <c r="AG365" s="610"/>
      <c r="AH365" s="610"/>
      <c r="AI365" s="610"/>
      <c r="AJ365" s="610"/>
      <c r="AK365" s="610"/>
      <c r="AL365" s="610"/>
      <c r="AM365" s="610"/>
      <c r="AN365" s="610"/>
      <c r="AO365" s="610"/>
      <c r="AP365" s="610"/>
      <c r="AQ365" s="610"/>
    </row>
    <row r="366" spans="2:43" s="609" customFormat="1">
      <c r="B366" s="610"/>
      <c r="C366" s="610"/>
      <c r="D366" s="610"/>
      <c r="E366" s="610"/>
      <c r="F366" s="610"/>
      <c r="G366" s="610"/>
      <c r="H366" s="610"/>
      <c r="I366" s="610"/>
      <c r="J366" s="610"/>
      <c r="L366" s="610"/>
      <c r="M366" s="610"/>
      <c r="N366" s="610"/>
      <c r="O366" s="610"/>
      <c r="P366" s="610"/>
      <c r="Q366" s="610"/>
      <c r="R366" s="610"/>
      <c r="S366" s="610"/>
      <c r="T366" s="610"/>
      <c r="U366" s="610"/>
      <c r="V366" s="610"/>
      <c r="W366" s="610"/>
      <c r="X366" s="610"/>
      <c r="Y366" s="610"/>
      <c r="Z366" s="610"/>
      <c r="AA366" s="610"/>
      <c r="AB366" s="610"/>
      <c r="AC366" s="610"/>
      <c r="AD366" s="610"/>
      <c r="AE366" s="610"/>
      <c r="AF366" s="610"/>
      <c r="AG366" s="610"/>
      <c r="AH366" s="610"/>
      <c r="AI366" s="610"/>
      <c r="AJ366" s="610"/>
      <c r="AK366" s="610"/>
      <c r="AL366" s="610"/>
      <c r="AM366" s="610"/>
      <c r="AN366" s="610"/>
      <c r="AO366" s="610"/>
      <c r="AP366" s="610"/>
      <c r="AQ366" s="610"/>
    </row>
    <row r="367" spans="2:43" s="609" customFormat="1">
      <c r="B367" s="610"/>
      <c r="C367" s="610"/>
      <c r="D367" s="610"/>
      <c r="E367" s="610"/>
      <c r="F367" s="610"/>
      <c r="G367" s="610"/>
      <c r="H367" s="610"/>
      <c r="I367" s="610"/>
      <c r="J367" s="610"/>
      <c r="L367" s="610"/>
      <c r="M367" s="610"/>
      <c r="N367" s="610"/>
      <c r="O367" s="610"/>
      <c r="P367" s="610"/>
      <c r="Q367" s="610"/>
      <c r="R367" s="610"/>
      <c r="S367" s="610"/>
      <c r="T367" s="610"/>
      <c r="U367" s="610"/>
      <c r="V367" s="610"/>
      <c r="W367" s="610"/>
      <c r="X367" s="610"/>
      <c r="Y367" s="610"/>
      <c r="Z367" s="610"/>
      <c r="AA367" s="610"/>
      <c r="AB367" s="610"/>
      <c r="AC367" s="610"/>
      <c r="AD367" s="610"/>
      <c r="AE367" s="610"/>
      <c r="AF367" s="610"/>
      <c r="AG367" s="610"/>
      <c r="AH367" s="610"/>
      <c r="AI367" s="610"/>
      <c r="AJ367" s="610"/>
      <c r="AK367" s="610"/>
      <c r="AL367" s="610"/>
      <c r="AM367" s="610"/>
      <c r="AN367" s="610"/>
      <c r="AO367" s="610"/>
      <c r="AP367" s="610"/>
      <c r="AQ367" s="610"/>
    </row>
    <row r="368" spans="2:43" s="609" customFormat="1">
      <c r="B368" s="610"/>
      <c r="C368" s="610"/>
      <c r="D368" s="610"/>
      <c r="E368" s="610"/>
      <c r="F368" s="610"/>
      <c r="G368" s="610"/>
      <c r="H368" s="610"/>
      <c r="I368" s="610"/>
      <c r="J368" s="610"/>
      <c r="L368" s="610"/>
      <c r="M368" s="610"/>
      <c r="N368" s="610"/>
      <c r="O368" s="610"/>
      <c r="P368" s="610"/>
      <c r="Q368" s="610"/>
      <c r="R368" s="610"/>
      <c r="S368" s="610"/>
      <c r="T368" s="610"/>
      <c r="U368" s="610"/>
      <c r="V368" s="610"/>
      <c r="W368" s="610"/>
      <c r="X368" s="610"/>
      <c r="Y368" s="610"/>
      <c r="Z368" s="610"/>
      <c r="AA368" s="610"/>
      <c r="AB368" s="610"/>
      <c r="AC368" s="610"/>
      <c r="AD368" s="610"/>
      <c r="AE368" s="610"/>
      <c r="AF368" s="610"/>
      <c r="AG368" s="610"/>
      <c r="AH368" s="610"/>
      <c r="AI368" s="610"/>
      <c r="AJ368" s="610"/>
      <c r="AK368" s="610"/>
      <c r="AL368" s="610"/>
      <c r="AM368" s="610"/>
      <c r="AN368" s="610"/>
      <c r="AO368" s="610"/>
      <c r="AP368" s="610"/>
      <c r="AQ368" s="610"/>
    </row>
    <row r="369" spans="2:43" s="609" customFormat="1">
      <c r="B369" s="610"/>
      <c r="C369" s="610"/>
      <c r="D369" s="610"/>
      <c r="E369" s="610"/>
      <c r="F369" s="610"/>
      <c r="G369" s="610"/>
      <c r="H369" s="610"/>
      <c r="I369" s="610"/>
      <c r="J369" s="610"/>
      <c r="L369" s="610"/>
      <c r="M369" s="610"/>
      <c r="N369" s="610"/>
      <c r="O369" s="610"/>
      <c r="P369" s="610"/>
      <c r="Q369" s="610"/>
      <c r="R369" s="610"/>
      <c r="S369" s="610"/>
      <c r="T369" s="610"/>
      <c r="U369" s="610"/>
      <c r="V369" s="610"/>
      <c r="W369" s="610"/>
      <c r="X369" s="610"/>
      <c r="Y369" s="610"/>
      <c r="Z369" s="610"/>
      <c r="AA369" s="610"/>
      <c r="AB369" s="610"/>
      <c r="AC369" s="610"/>
      <c r="AD369" s="610"/>
      <c r="AE369" s="610"/>
      <c r="AF369" s="610"/>
      <c r="AG369" s="610"/>
      <c r="AH369" s="610"/>
      <c r="AI369" s="610"/>
      <c r="AJ369" s="610"/>
      <c r="AK369" s="610"/>
      <c r="AL369" s="610"/>
      <c r="AM369" s="610"/>
      <c r="AN369" s="610"/>
      <c r="AO369" s="610"/>
      <c r="AP369" s="610"/>
      <c r="AQ369" s="610"/>
    </row>
    <row r="370" spans="2:43" s="609" customFormat="1">
      <c r="B370" s="610"/>
      <c r="C370" s="610"/>
      <c r="D370" s="610"/>
      <c r="E370" s="610"/>
      <c r="F370" s="610"/>
      <c r="G370" s="610"/>
      <c r="H370" s="610"/>
      <c r="I370" s="610"/>
      <c r="J370" s="610"/>
      <c r="L370" s="610"/>
      <c r="M370" s="610"/>
      <c r="N370" s="610"/>
      <c r="O370" s="610"/>
      <c r="P370" s="610"/>
      <c r="Q370" s="610"/>
      <c r="R370" s="610"/>
      <c r="S370" s="610"/>
      <c r="T370" s="610"/>
      <c r="U370" s="610"/>
      <c r="V370" s="610"/>
      <c r="W370" s="610"/>
      <c r="X370" s="610"/>
      <c r="Y370" s="610"/>
      <c r="Z370" s="610"/>
      <c r="AA370" s="610"/>
      <c r="AB370" s="610"/>
      <c r="AC370" s="610"/>
      <c r="AD370" s="610"/>
      <c r="AE370" s="610"/>
      <c r="AF370" s="610"/>
      <c r="AG370" s="610"/>
      <c r="AH370" s="610"/>
      <c r="AI370" s="610"/>
      <c r="AJ370" s="610"/>
      <c r="AK370" s="610"/>
      <c r="AL370" s="610"/>
      <c r="AM370" s="610"/>
      <c r="AN370" s="610"/>
      <c r="AO370" s="610"/>
      <c r="AP370" s="610"/>
      <c r="AQ370" s="610"/>
    </row>
    <row r="371" spans="2:43" s="609" customFormat="1">
      <c r="B371" s="610"/>
      <c r="C371" s="610"/>
      <c r="D371" s="610"/>
      <c r="E371" s="610"/>
      <c r="F371" s="610"/>
      <c r="G371" s="610"/>
      <c r="H371" s="610"/>
      <c r="I371" s="610"/>
      <c r="J371" s="610"/>
      <c r="L371" s="610"/>
      <c r="M371" s="610"/>
      <c r="N371" s="610"/>
      <c r="O371" s="610"/>
      <c r="P371" s="610"/>
      <c r="Q371" s="610"/>
      <c r="R371" s="610"/>
      <c r="S371" s="610"/>
      <c r="T371" s="610"/>
      <c r="U371" s="610"/>
      <c r="V371" s="610"/>
      <c r="W371" s="610"/>
      <c r="X371" s="610"/>
      <c r="Y371" s="610"/>
      <c r="Z371" s="610"/>
      <c r="AA371" s="610"/>
      <c r="AB371" s="610"/>
      <c r="AC371" s="610"/>
      <c r="AD371" s="610"/>
      <c r="AE371" s="610"/>
      <c r="AF371" s="610"/>
      <c r="AG371" s="610"/>
      <c r="AH371" s="610"/>
      <c r="AI371" s="610"/>
      <c r="AJ371" s="610"/>
      <c r="AK371" s="610"/>
      <c r="AL371" s="610"/>
      <c r="AM371" s="610"/>
      <c r="AN371" s="610"/>
      <c r="AO371" s="610"/>
      <c r="AP371" s="610"/>
      <c r="AQ371" s="610"/>
    </row>
    <row r="372" spans="2:43" s="609" customFormat="1">
      <c r="B372" s="610"/>
      <c r="C372" s="610"/>
      <c r="D372" s="610"/>
      <c r="E372" s="610"/>
      <c r="F372" s="610"/>
      <c r="G372" s="610"/>
      <c r="H372" s="610"/>
      <c r="I372" s="610"/>
      <c r="J372" s="610"/>
      <c r="L372" s="610"/>
      <c r="M372" s="610"/>
      <c r="N372" s="610"/>
      <c r="O372" s="610"/>
      <c r="P372" s="610"/>
      <c r="Q372" s="610"/>
      <c r="R372" s="610"/>
      <c r="S372" s="610"/>
      <c r="T372" s="610"/>
      <c r="U372" s="610"/>
      <c r="V372" s="610"/>
      <c r="W372" s="610"/>
      <c r="X372" s="610"/>
      <c r="Y372" s="610"/>
      <c r="Z372" s="610"/>
      <c r="AA372" s="610"/>
      <c r="AB372" s="610"/>
      <c r="AC372" s="610"/>
      <c r="AD372" s="610"/>
      <c r="AE372" s="610"/>
      <c r="AF372" s="610"/>
      <c r="AG372" s="610"/>
      <c r="AH372" s="610"/>
      <c r="AI372" s="610"/>
      <c r="AJ372" s="610"/>
      <c r="AK372" s="610"/>
      <c r="AL372" s="610"/>
      <c r="AM372" s="610"/>
      <c r="AN372" s="610"/>
      <c r="AO372" s="610"/>
      <c r="AP372" s="610"/>
      <c r="AQ372" s="610"/>
    </row>
    <row r="373" spans="2:43" s="609" customFormat="1">
      <c r="B373" s="610"/>
      <c r="C373" s="610"/>
      <c r="D373" s="610"/>
      <c r="E373" s="610"/>
      <c r="F373" s="610"/>
      <c r="G373" s="610"/>
      <c r="H373" s="610"/>
      <c r="I373" s="610"/>
      <c r="J373" s="610"/>
      <c r="L373" s="610"/>
      <c r="M373" s="610"/>
      <c r="N373" s="610"/>
      <c r="O373" s="610"/>
      <c r="P373" s="610"/>
      <c r="Q373" s="610"/>
      <c r="R373" s="610"/>
      <c r="S373" s="610"/>
      <c r="T373" s="610"/>
      <c r="U373" s="610"/>
      <c r="V373" s="610"/>
      <c r="W373" s="610"/>
      <c r="X373" s="610"/>
      <c r="Y373" s="610"/>
      <c r="Z373" s="610"/>
      <c r="AA373" s="610"/>
      <c r="AB373" s="610"/>
      <c r="AC373" s="610"/>
      <c r="AD373" s="610"/>
      <c r="AE373" s="610"/>
      <c r="AF373" s="610"/>
      <c r="AG373" s="610"/>
      <c r="AH373" s="610"/>
      <c r="AI373" s="610"/>
      <c r="AJ373" s="610"/>
      <c r="AK373" s="610"/>
      <c r="AL373" s="610"/>
      <c r="AM373" s="610"/>
      <c r="AN373" s="610"/>
      <c r="AO373" s="610"/>
      <c r="AP373" s="610"/>
      <c r="AQ373" s="610"/>
    </row>
    <row r="374" spans="2:43" s="609" customFormat="1">
      <c r="B374" s="610"/>
      <c r="C374" s="610"/>
      <c r="D374" s="610"/>
      <c r="E374" s="610"/>
      <c r="F374" s="610"/>
      <c r="G374" s="610"/>
      <c r="H374" s="610"/>
      <c r="I374" s="610"/>
      <c r="J374" s="610"/>
      <c r="L374" s="610"/>
      <c r="M374" s="610"/>
      <c r="N374" s="610"/>
      <c r="O374" s="610"/>
      <c r="P374" s="610"/>
      <c r="Q374" s="610"/>
      <c r="R374" s="610"/>
      <c r="S374" s="610"/>
      <c r="T374" s="610"/>
      <c r="U374" s="610"/>
      <c r="V374" s="610"/>
      <c r="W374" s="610"/>
      <c r="X374" s="610"/>
      <c r="Y374" s="610"/>
      <c r="Z374" s="610"/>
      <c r="AA374" s="610"/>
      <c r="AB374" s="610"/>
      <c r="AC374" s="610"/>
      <c r="AD374" s="610"/>
      <c r="AE374" s="610"/>
      <c r="AF374" s="610"/>
      <c r="AG374" s="610"/>
      <c r="AH374" s="610"/>
      <c r="AI374" s="610"/>
      <c r="AJ374" s="610"/>
      <c r="AK374" s="610"/>
      <c r="AL374" s="610"/>
      <c r="AM374" s="610"/>
      <c r="AN374" s="610"/>
      <c r="AO374" s="610"/>
      <c r="AP374" s="610"/>
      <c r="AQ374" s="610"/>
    </row>
    <row r="375" spans="2:43" s="609" customFormat="1">
      <c r="B375" s="610"/>
      <c r="C375" s="610"/>
      <c r="D375" s="610"/>
      <c r="E375" s="610"/>
      <c r="F375" s="610"/>
      <c r="G375" s="610"/>
      <c r="H375" s="610"/>
      <c r="I375" s="610"/>
      <c r="J375" s="610"/>
      <c r="L375" s="610"/>
      <c r="M375" s="610"/>
      <c r="N375" s="610"/>
      <c r="O375" s="610"/>
      <c r="P375" s="610"/>
      <c r="Q375" s="610"/>
      <c r="R375" s="610"/>
      <c r="S375" s="610"/>
      <c r="T375" s="610"/>
      <c r="U375" s="610"/>
      <c r="V375" s="610"/>
      <c r="W375" s="610"/>
      <c r="X375" s="610"/>
      <c r="Y375" s="610"/>
      <c r="Z375" s="610"/>
      <c r="AA375" s="610"/>
      <c r="AB375" s="610"/>
      <c r="AC375" s="610"/>
      <c r="AD375" s="610"/>
      <c r="AE375" s="610"/>
      <c r="AF375" s="610"/>
      <c r="AG375" s="610"/>
      <c r="AH375" s="610"/>
      <c r="AI375" s="610"/>
      <c r="AJ375" s="610"/>
      <c r="AK375" s="610"/>
      <c r="AL375" s="610"/>
      <c r="AM375" s="610"/>
      <c r="AN375" s="610"/>
      <c r="AO375" s="610"/>
      <c r="AP375" s="610"/>
      <c r="AQ375" s="610"/>
    </row>
    <row r="376" spans="2:43" s="609" customFormat="1">
      <c r="B376" s="610"/>
      <c r="C376" s="610"/>
      <c r="D376" s="610"/>
      <c r="E376" s="610"/>
      <c r="F376" s="610"/>
      <c r="G376" s="610"/>
      <c r="H376" s="610"/>
      <c r="I376" s="610"/>
      <c r="J376" s="610"/>
      <c r="L376" s="610"/>
      <c r="M376" s="610"/>
      <c r="N376" s="610"/>
      <c r="O376" s="610"/>
      <c r="P376" s="610"/>
      <c r="Q376" s="610"/>
      <c r="R376" s="610"/>
      <c r="S376" s="610"/>
      <c r="T376" s="610"/>
      <c r="U376" s="610"/>
      <c r="V376" s="610"/>
      <c r="W376" s="610"/>
      <c r="X376" s="610"/>
      <c r="Y376" s="610"/>
      <c r="Z376" s="610"/>
      <c r="AA376" s="610"/>
      <c r="AB376" s="610"/>
      <c r="AC376" s="610"/>
      <c r="AD376" s="610"/>
      <c r="AE376" s="610"/>
      <c r="AF376" s="610"/>
      <c r="AG376" s="610"/>
      <c r="AH376" s="610"/>
      <c r="AI376" s="610"/>
      <c r="AJ376" s="610"/>
      <c r="AK376" s="610"/>
      <c r="AL376" s="610"/>
      <c r="AM376" s="610"/>
      <c r="AN376" s="610"/>
      <c r="AO376" s="610"/>
      <c r="AP376" s="610"/>
      <c r="AQ376" s="610"/>
    </row>
    <row r="377" spans="2:43" s="609" customFormat="1">
      <c r="B377" s="610"/>
      <c r="C377" s="610"/>
      <c r="D377" s="610"/>
      <c r="E377" s="610"/>
      <c r="F377" s="610"/>
      <c r="G377" s="610"/>
      <c r="H377" s="610"/>
      <c r="I377" s="610"/>
      <c r="J377" s="610"/>
      <c r="L377" s="610"/>
      <c r="M377" s="610"/>
      <c r="N377" s="610"/>
      <c r="O377" s="610"/>
      <c r="P377" s="610"/>
      <c r="Q377" s="610"/>
      <c r="R377" s="610"/>
      <c r="S377" s="610"/>
      <c r="T377" s="610"/>
      <c r="U377" s="610"/>
      <c r="V377" s="610"/>
      <c r="W377" s="610"/>
      <c r="X377" s="610"/>
      <c r="Y377" s="610"/>
      <c r="Z377" s="610"/>
      <c r="AA377" s="610"/>
      <c r="AB377" s="610"/>
      <c r="AC377" s="610"/>
      <c r="AD377" s="610"/>
      <c r="AE377" s="610"/>
      <c r="AF377" s="610"/>
      <c r="AG377" s="610"/>
      <c r="AH377" s="610"/>
      <c r="AI377" s="610"/>
      <c r="AJ377" s="610"/>
      <c r="AK377" s="610"/>
      <c r="AL377" s="610"/>
      <c r="AM377" s="610"/>
      <c r="AN377" s="610"/>
      <c r="AO377" s="610"/>
      <c r="AP377" s="610"/>
      <c r="AQ377" s="610"/>
    </row>
    <row r="378" spans="2:43" s="609" customFormat="1">
      <c r="B378" s="610"/>
      <c r="C378" s="610"/>
      <c r="D378" s="610"/>
      <c r="E378" s="610"/>
      <c r="F378" s="610"/>
      <c r="G378" s="610"/>
      <c r="H378" s="610"/>
      <c r="I378" s="610"/>
      <c r="J378" s="610"/>
      <c r="L378" s="610"/>
      <c r="M378" s="610"/>
      <c r="N378" s="610"/>
      <c r="O378" s="610"/>
      <c r="P378" s="610"/>
      <c r="Q378" s="610"/>
      <c r="R378" s="610"/>
      <c r="S378" s="610"/>
      <c r="T378" s="610"/>
      <c r="U378" s="610"/>
      <c r="V378" s="610"/>
      <c r="W378" s="610"/>
      <c r="X378" s="610"/>
      <c r="Y378" s="610"/>
      <c r="Z378" s="610"/>
      <c r="AA378" s="610"/>
      <c r="AB378" s="610"/>
      <c r="AC378" s="610"/>
      <c r="AD378" s="610"/>
      <c r="AE378" s="610"/>
      <c r="AF378" s="610"/>
      <c r="AG378" s="610"/>
      <c r="AH378" s="610"/>
      <c r="AI378" s="610"/>
      <c r="AJ378" s="610"/>
      <c r="AK378" s="610"/>
      <c r="AL378" s="610"/>
      <c r="AM378" s="610"/>
      <c r="AN378" s="610"/>
      <c r="AO378" s="610"/>
      <c r="AP378" s="610"/>
      <c r="AQ378" s="610"/>
    </row>
    <row r="379" spans="2:43" s="609" customFormat="1">
      <c r="B379" s="610"/>
      <c r="C379" s="610"/>
      <c r="D379" s="610"/>
      <c r="E379" s="610"/>
      <c r="F379" s="610"/>
      <c r="G379" s="610"/>
      <c r="H379" s="610"/>
      <c r="I379" s="610"/>
      <c r="J379" s="610"/>
      <c r="L379" s="610"/>
      <c r="M379" s="610"/>
      <c r="N379" s="610"/>
      <c r="O379" s="610"/>
      <c r="P379" s="610"/>
      <c r="Q379" s="610"/>
      <c r="R379" s="610"/>
      <c r="S379" s="610"/>
      <c r="T379" s="610"/>
      <c r="U379" s="610"/>
      <c r="V379" s="610"/>
      <c r="W379" s="610"/>
      <c r="X379" s="610"/>
      <c r="Y379" s="610"/>
      <c r="Z379" s="610"/>
      <c r="AA379" s="610"/>
      <c r="AB379" s="610"/>
      <c r="AC379" s="610"/>
      <c r="AD379" s="610"/>
      <c r="AE379" s="610"/>
      <c r="AF379" s="610"/>
      <c r="AG379" s="610"/>
      <c r="AH379" s="610"/>
      <c r="AI379" s="610"/>
      <c r="AJ379" s="610"/>
      <c r="AK379" s="610"/>
      <c r="AL379" s="610"/>
      <c r="AM379" s="610"/>
      <c r="AN379" s="610"/>
      <c r="AO379" s="610"/>
      <c r="AP379" s="610"/>
      <c r="AQ379" s="610"/>
    </row>
    <row r="380" spans="2:43" s="609" customFormat="1">
      <c r="B380" s="610"/>
      <c r="C380" s="610"/>
      <c r="D380" s="610"/>
      <c r="E380" s="610"/>
      <c r="F380" s="610"/>
      <c r="G380" s="610"/>
      <c r="H380" s="610"/>
      <c r="I380" s="610"/>
      <c r="J380" s="610"/>
      <c r="L380" s="610"/>
      <c r="M380" s="610"/>
      <c r="N380" s="610"/>
      <c r="O380" s="610"/>
      <c r="P380" s="610"/>
      <c r="Q380" s="610"/>
      <c r="R380" s="610"/>
      <c r="S380" s="610"/>
      <c r="T380" s="610"/>
      <c r="U380" s="610"/>
      <c r="V380" s="610"/>
      <c r="W380" s="610"/>
      <c r="X380" s="610"/>
      <c r="Y380" s="610"/>
      <c r="Z380" s="610"/>
      <c r="AA380" s="610"/>
      <c r="AB380" s="610"/>
      <c r="AC380" s="610"/>
      <c r="AD380" s="610"/>
      <c r="AE380" s="610"/>
      <c r="AF380" s="610"/>
      <c r="AG380" s="610"/>
      <c r="AH380" s="610"/>
      <c r="AI380" s="610"/>
      <c r="AJ380" s="610"/>
      <c r="AK380" s="610"/>
      <c r="AL380" s="610"/>
      <c r="AM380" s="610"/>
      <c r="AN380" s="610"/>
      <c r="AO380" s="610"/>
      <c r="AP380" s="610"/>
      <c r="AQ380" s="610"/>
    </row>
    <row r="381" spans="2:43" s="609" customFormat="1">
      <c r="B381" s="610"/>
      <c r="C381" s="610"/>
      <c r="D381" s="610"/>
      <c r="E381" s="610"/>
      <c r="F381" s="610"/>
      <c r="G381" s="610"/>
      <c r="H381" s="610"/>
      <c r="I381" s="610"/>
      <c r="J381" s="610"/>
      <c r="L381" s="610"/>
      <c r="M381" s="610"/>
      <c r="N381" s="610"/>
      <c r="O381" s="610"/>
      <c r="P381" s="610"/>
      <c r="Q381" s="610"/>
      <c r="R381" s="610"/>
      <c r="S381" s="610"/>
      <c r="T381" s="610"/>
      <c r="U381" s="610"/>
      <c r="V381" s="610"/>
      <c r="W381" s="610"/>
      <c r="X381" s="610"/>
      <c r="Y381" s="610"/>
      <c r="Z381" s="610"/>
      <c r="AA381" s="610"/>
      <c r="AB381" s="610"/>
      <c r="AC381" s="610"/>
      <c r="AD381" s="610"/>
      <c r="AE381" s="610"/>
      <c r="AF381" s="610"/>
      <c r="AG381" s="610"/>
      <c r="AH381" s="610"/>
      <c r="AI381" s="610"/>
      <c r="AJ381" s="610"/>
      <c r="AK381" s="610"/>
      <c r="AL381" s="610"/>
      <c r="AM381" s="610"/>
      <c r="AN381" s="610"/>
      <c r="AO381" s="610"/>
      <c r="AP381" s="610"/>
      <c r="AQ381" s="610"/>
    </row>
    <row r="382" spans="2:43" s="609" customFormat="1">
      <c r="B382" s="610"/>
      <c r="C382" s="610"/>
      <c r="D382" s="610"/>
      <c r="E382" s="610"/>
      <c r="F382" s="610"/>
      <c r="G382" s="610"/>
      <c r="H382" s="610"/>
      <c r="I382" s="610"/>
      <c r="J382" s="610"/>
      <c r="L382" s="610"/>
      <c r="M382" s="610"/>
      <c r="N382" s="610"/>
      <c r="O382" s="610"/>
      <c r="P382" s="610"/>
      <c r="Q382" s="610"/>
      <c r="R382" s="610"/>
      <c r="S382" s="610"/>
      <c r="T382" s="610"/>
      <c r="U382" s="610"/>
      <c r="V382" s="610"/>
      <c r="W382" s="610"/>
      <c r="X382" s="610"/>
      <c r="Y382" s="610"/>
      <c r="Z382" s="610"/>
      <c r="AA382" s="610"/>
      <c r="AB382" s="610"/>
      <c r="AC382" s="610"/>
      <c r="AD382" s="610"/>
      <c r="AE382" s="610"/>
      <c r="AF382" s="610"/>
      <c r="AG382" s="610"/>
      <c r="AH382" s="610"/>
      <c r="AI382" s="610"/>
      <c r="AJ382" s="610"/>
      <c r="AK382" s="610"/>
      <c r="AL382" s="610"/>
      <c r="AM382" s="610"/>
      <c r="AN382" s="610"/>
      <c r="AO382" s="610"/>
      <c r="AP382" s="610"/>
      <c r="AQ382" s="610"/>
    </row>
    <row r="383" spans="2:43" s="609" customFormat="1">
      <c r="B383" s="610"/>
      <c r="C383" s="610"/>
      <c r="D383" s="610"/>
      <c r="E383" s="610"/>
      <c r="F383" s="610"/>
      <c r="G383" s="610"/>
      <c r="H383" s="610"/>
      <c r="I383" s="610"/>
      <c r="J383" s="610"/>
      <c r="L383" s="610"/>
      <c r="M383" s="610"/>
      <c r="N383" s="610"/>
      <c r="O383" s="610"/>
      <c r="P383" s="610"/>
      <c r="Q383" s="610"/>
      <c r="R383" s="610"/>
      <c r="S383" s="610"/>
      <c r="T383" s="610"/>
      <c r="U383" s="610"/>
      <c r="V383" s="610"/>
      <c r="W383" s="610"/>
      <c r="X383" s="610"/>
      <c r="Y383" s="610"/>
      <c r="Z383" s="610"/>
      <c r="AA383" s="610"/>
      <c r="AB383" s="610"/>
      <c r="AC383" s="610"/>
      <c r="AD383" s="610"/>
      <c r="AE383" s="610"/>
      <c r="AF383" s="610"/>
      <c r="AG383" s="610"/>
      <c r="AH383" s="610"/>
      <c r="AI383" s="610"/>
      <c r="AJ383" s="610"/>
      <c r="AK383" s="610"/>
      <c r="AL383" s="610"/>
      <c r="AM383" s="610"/>
      <c r="AN383" s="610"/>
      <c r="AO383" s="610"/>
      <c r="AP383" s="610"/>
      <c r="AQ383" s="610"/>
    </row>
    <row r="384" spans="2:43" s="609" customFormat="1">
      <c r="B384" s="610"/>
      <c r="C384" s="610"/>
      <c r="D384" s="610"/>
      <c r="E384" s="610"/>
      <c r="F384" s="610"/>
      <c r="G384" s="610"/>
      <c r="H384" s="610"/>
      <c r="I384" s="610"/>
      <c r="J384" s="610"/>
      <c r="L384" s="610"/>
      <c r="M384" s="610"/>
      <c r="N384" s="610"/>
      <c r="O384" s="610"/>
      <c r="P384" s="610"/>
      <c r="Q384" s="610"/>
      <c r="R384" s="610"/>
      <c r="S384" s="610"/>
      <c r="T384" s="610"/>
      <c r="U384" s="610"/>
      <c r="V384" s="610"/>
      <c r="W384" s="610"/>
      <c r="X384" s="610"/>
      <c r="Y384" s="610"/>
      <c r="Z384" s="610"/>
      <c r="AA384" s="610"/>
      <c r="AB384" s="610"/>
      <c r="AC384" s="610"/>
      <c r="AD384" s="610"/>
      <c r="AE384" s="610"/>
      <c r="AF384" s="610"/>
      <c r="AG384" s="610"/>
      <c r="AH384" s="610"/>
      <c r="AI384" s="610"/>
      <c r="AJ384" s="610"/>
      <c r="AK384" s="610"/>
      <c r="AL384" s="610"/>
      <c r="AM384" s="610"/>
      <c r="AN384" s="610"/>
      <c r="AO384" s="610"/>
      <c r="AP384" s="610"/>
      <c r="AQ384" s="610"/>
    </row>
    <row r="385" spans="2:43" s="609" customFormat="1">
      <c r="B385" s="610"/>
      <c r="C385" s="610"/>
      <c r="D385" s="610"/>
      <c r="E385" s="610"/>
      <c r="F385" s="610"/>
      <c r="G385" s="610"/>
      <c r="H385" s="610"/>
      <c r="I385" s="610"/>
      <c r="J385" s="610"/>
      <c r="L385" s="610"/>
      <c r="M385" s="610"/>
      <c r="N385" s="610"/>
      <c r="O385" s="610"/>
      <c r="P385" s="610"/>
      <c r="Q385" s="610"/>
      <c r="R385" s="610"/>
      <c r="S385" s="610"/>
      <c r="T385" s="610"/>
      <c r="U385" s="610"/>
      <c r="V385" s="610"/>
      <c r="W385" s="610"/>
      <c r="X385" s="610"/>
      <c r="Y385" s="610"/>
      <c r="Z385" s="610"/>
      <c r="AA385" s="610"/>
      <c r="AB385" s="610"/>
      <c r="AC385" s="610"/>
      <c r="AD385" s="610"/>
      <c r="AE385" s="610"/>
      <c r="AF385" s="610"/>
      <c r="AG385" s="610"/>
      <c r="AH385" s="610"/>
      <c r="AI385" s="610"/>
      <c r="AJ385" s="610"/>
      <c r="AK385" s="610"/>
      <c r="AL385" s="610"/>
      <c r="AM385" s="610"/>
      <c r="AN385" s="610"/>
      <c r="AO385" s="610"/>
      <c r="AP385" s="610"/>
      <c r="AQ385" s="610"/>
    </row>
    <row r="386" spans="2:43" s="609" customFormat="1">
      <c r="B386" s="610"/>
      <c r="C386" s="610"/>
      <c r="D386" s="610"/>
      <c r="E386" s="610"/>
      <c r="F386" s="610"/>
      <c r="G386" s="610"/>
      <c r="H386" s="610"/>
      <c r="I386" s="610"/>
      <c r="J386" s="610"/>
      <c r="L386" s="610"/>
      <c r="M386" s="610"/>
      <c r="N386" s="610"/>
      <c r="O386" s="610"/>
      <c r="P386" s="610"/>
      <c r="Q386" s="610"/>
      <c r="R386" s="610"/>
      <c r="S386" s="610"/>
      <c r="T386" s="610"/>
      <c r="U386" s="610"/>
      <c r="V386" s="610"/>
      <c r="W386" s="610"/>
      <c r="X386" s="610"/>
      <c r="Y386" s="610"/>
      <c r="Z386" s="610"/>
      <c r="AA386" s="610"/>
      <c r="AB386" s="610"/>
      <c r="AC386" s="610"/>
      <c r="AD386" s="610"/>
      <c r="AE386" s="610"/>
      <c r="AF386" s="610"/>
      <c r="AG386" s="610"/>
      <c r="AH386" s="610"/>
      <c r="AI386" s="610"/>
      <c r="AJ386" s="610"/>
      <c r="AK386" s="610"/>
      <c r="AL386" s="610"/>
      <c r="AM386" s="610"/>
      <c r="AN386" s="610"/>
      <c r="AO386" s="610"/>
      <c r="AP386" s="610"/>
      <c r="AQ386" s="610"/>
    </row>
    <row r="387" spans="2:43" s="609" customFormat="1">
      <c r="B387" s="610"/>
      <c r="C387" s="610"/>
      <c r="D387" s="610"/>
      <c r="E387" s="610"/>
      <c r="F387" s="610"/>
      <c r="G387" s="610"/>
      <c r="H387" s="610"/>
      <c r="I387" s="610"/>
      <c r="J387" s="610"/>
      <c r="L387" s="610"/>
      <c r="M387" s="610"/>
      <c r="N387" s="610"/>
      <c r="O387" s="610"/>
      <c r="P387" s="610"/>
      <c r="Q387" s="610"/>
      <c r="R387" s="610"/>
      <c r="S387" s="610"/>
      <c r="T387" s="610"/>
      <c r="U387" s="610"/>
      <c r="V387" s="610"/>
      <c r="W387" s="610"/>
      <c r="X387" s="610"/>
      <c r="Y387" s="610"/>
      <c r="Z387" s="610"/>
      <c r="AA387" s="610"/>
      <c r="AB387" s="610"/>
      <c r="AC387" s="610"/>
      <c r="AD387" s="610"/>
      <c r="AE387" s="610"/>
      <c r="AF387" s="610"/>
      <c r="AG387" s="610"/>
      <c r="AH387" s="610"/>
      <c r="AI387" s="610"/>
      <c r="AJ387" s="610"/>
      <c r="AK387" s="610"/>
      <c r="AL387" s="610"/>
      <c r="AM387" s="610"/>
      <c r="AN387" s="610"/>
      <c r="AO387" s="610"/>
      <c r="AP387" s="610"/>
      <c r="AQ387" s="610"/>
    </row>
    <row r="388" spans="2:43" s="609" customFormat="1">
      <c r="B388" s="610"/>
      <c r="C388" s="610"/>
      <c r="D388" s="610"/>
      <c r="E388" s="610"/>
      <c r="F388" s="610"/>
      <c r="G388" s="610"/>
      <c r="H388" s="610"/>
      <c r="I388" s="610"/>
      <c r="J388" s="610"/>
      <c r="L388" s="610"/>
      <c r="M388" s="610"/>
      <c r="N388" s="610"/>
      <c r="O388" s="610"/>
      <c r="P388" s="610"/>
      <c r="Q388" s="610"/>
      <c r="R388" s="610"/>
      <c r="S388" s="610"/>
      <c r="T388" s="610"/>
      <c r="U388" s="610"/>
      <c r="V388" s="610"/>
      <c r="W388" s="610"/>
      <c r="X388" s="610"/>
      <c r="Y388" s="610"/>
      <c r="Z388" s="610"/>
      <c r="AA388" s="610"/>
      <c r="AB388" s="610"/>
      <c r="AC388" s="610"/>
      <c r="AD388" s="610"/>
      <c r="AE388" s="610"/>
      <c r="AF388" s="610"/>
      <c r="AG388" s="610"/>
      <c r="AH388" s="610"/>
      <c r="AI388" s="610"/>
      <c r="AJ388" s="610"/>
      <c r="AK388" s="610"/>
      <c r="AL388" s="610"/>
      <c r="AM388" s="610"/>
      <c r="AN388" s="610"/>
      <c r="AO388" s="610"/>
      <c r="AP388" s="610"/>
      <c r="AQ388" s="610"/>
    </row>
    <row r="389" spans="2:43" s="609" customFormat="1">
      <c r="B389" s="610"/>
      <c r="C389" s="610"/>
      <c r="D389" s="610"/>
      <c r="E389" s="610"/>
      <c r="F389" s="610"/>
      <c r="G389" s="610"/>
      <c r="H389" s="610"/>
      <c r="I389" s="610"/>
      <c r="J389" s="610"/>
      <c r="L389" s="610"/>
      <c r="M389" s="610"/>
      <c r="N389" s="610"/>
      <c r="O389" s="610"/>
      <c r="P389" s="610"/>
      <c r="Q389" s="610"/>
      <c r="R389" s="610"/>
      <c r="S389" s="610"/>
      <c r="T389" s="610"/>
      <c r="U389" s="610"/>
      <c r="V389" s="610"/>
      <c r="W389" s="610"/>
      <c r="X389" s="610"/>
      <c r="Y389" s="610"/>
      <c r="Z389" s="610"/>
      <c r="AA389" s="610"/>
      <c r="AB389" s="610"/>
      <c r="AC389" s="610"/>
      <c r="AD389" s="610"/>
      <c r="AE389" s="610"/>
      <c r="AF389" s="610"/>
      <c r="AG389" s="610"/>
      <c r="AH389" s="610"/>
      <c r="AI389" s="610"/>
      <c r="AJ389" s="610"/>
      <c r="AK389" s="610"/>
      <c r="AL389" s="610"/>
      <c r="AM389" s="610"/>
      <c r="AN389" s="610"/>
      <c r="AO389" s="610"/>
      <c r="AP389" s="610"/>
      <c r="AQ389" s="610"/>
    </row>
    <row r="390" spans="2:43" s="609" customFormat="1">
      <c r="B390" s="610"/>
      <c r="C390" s="610"/>
      <c r="D390" s="610"/>
      <c r="E390" s="610"/>
      <c r="F390" s="610"/>
      <c r="G390" s="610"/>
      <c r="H390" s="610"/>
      <c r="I390" s="610"/>
      <c r="J390" s="610"/>
      <c r="L390" s="610"/>
      <c r="M390" s="610"/>
      <c r="N390" s="610"/>
      <c r="O390" s="610"/>
      <c r="P390" s="610"/>
      <c r="Q390" s="610"/>
      <c r="R390" s="610"/>
      <c r="S390" s="610"/>
      <c r="T390" s="610"/>
      <c r="U390" s="610"/>
      <c r="V390" s="610"/>
      <c r="W390" s="610"/>
      <c r="X390" s="610"/>
      <c r="Y390" s="610"/>
      <c r="Z390" s="610"/>
      <c r="AA390" s="610"/>
      <c r="AB390" s="610"/>
      <c r="AC390" s="610"/>
      <c r="AD390" s="610"/>
      <c r="AE390" s="610"/>
      <c r="AF390" s="610"/>
      <c r="AG390" s="610"/>
      <c r="AH390" s="610"/>
      <c r="AI390" s="610"/>
      <c r="AJ390" s="610"/>
      <c r="AK390" s="610"/>
      <c r="AL390" s="610"/>
      <c r="AM390" s="610"/>
      <c r="AN390" s="610"/>
      <c r="AO390" s="610"/>
      <c r="AP390" s="610"/>
      <c r="AQ390" s="610"/>
    </row>
    <row r="391" spans="2:43" s="609" customFormat="1">
      <c r="B391" s="610"/>
      <c r="C391" s="610"/>
      <c r="D391" s="610"/>
      <c r="E391" s="610"/>
      <c r="F391" s="610"/>
      <c r="G391" s="610"/>
      <c r="H391" s="610"/>
      <c r="I391" s="610"/>
      <c r="J391" s="610"/>
      <c r="L391" s="610"/>
      <c r="M391" s="610"/>
      <c r="N391" s="610"/>
      <c r="O391" s="610"/>
      <c r="P391" s="610"/>
      <c r="Q391" s="610"/>
      <c r="R391" s="610"/>
      <c r="S391" s="610"/>
      <c r="T391" s="610"/>
      <c r="U391" s="610"/>
      <c r="V391" s="610"/>
      <c r="W391" s="610"/>
      <c r="X391" s="610"/>
      <c r="Y391" s="610"/>
      <c r="Z391" s="610"/>
      <c r="AA391" s="610"/>
      <c r="AB391" s="610"/>
      <c r="AC391" s="610"/>
      <c r="AD391" s="610"/>
      <c r="AE391" s="610"/>
      <c r="AF391" s="610"/>
      <c r="AG391" s="610"/>
      <c r="AH391" s="610"/>
      <c r="AI391" s="610"/>
      <c r="AJ391" s="610"/>
      <c r="AK391" s="610"/>
      <c r="AL391" s="610"/>
      <c r="AM391" s="610"/>
      <c r="AN391" s="610"/>
      <c r="AO391" s="610"/>
      <c r="AP391" s="610"/>
      <c r="AQ391" s="610"/>
    </row>
    <row r="392" spans="2:43" s="609" customFormat="1">
      <c r="B392" s="610"/>
      <c r="C392" s="610"/>
      <c r="D392" s="610"/>
      <c r="E392" s="610"/>
      <c r="F392" s="610"/>
      <c r="G392" s="610"/>
      <c r="H392" s="610"/>
      <c r="I392" s="610"/>
      <c r="J392" s="610"/>
      <c r="L392" s="610"/>
      <c r="M392" s="610"/>
      <c r="N392" s="610"/>
      <c r="O392" s="610"/>
      <c r="P392" s="610"/>
      <c r="Q392" s="610"/>
      <c r="R392" s="610"/>
      <c r="S392" s="610"/>
      <c r="T392" s="610"/>
      <c r="U392" s="610"/>
      <c r="V392" s="610"/>
      <c r="W392" s="610"/>
      <c r="X392" s="610"/>
      <c r="Y392" s="610"/>
      <c r="Z392" s="610"/>
      <c r="AA392" s="610"/>
      <c r="AB392" s="610"/>
      <c r="AC392" s="610"/>
      <c r="AD392" s="610"/>
      <c r="AE392" s="610"/>
      <c r="AF392" s="610"/>
      <c r="AG392" s="610"/>
      <c r="AH392" s="610"/>
      <c r="AI392" s="610"/>
      <c r="AJ392" s="610"/>
      <c r="AK392" s="610"/>
      <c r="AL392" s="610"/>
      <c r="AM392" s="610"/>
      <c r="AN392" s="610"/>
      <c r="AO392" s="610"/>
      <c r="AP392" s="610"/>
      <c r="AQ392" s="610"/>
    </row>
    <row r="393" spans="2:43" s="609" customFormat="1">
      <c r="B393" s="610"/>
      <c r="C393" s="610"/>
      <c r="D393" s="610"/>
      <c r="E393" s="610"/>
      <c r="F393" s="610"/>
      <c r="G393" s="610"/>
      <c r="H393" s="610"/>
      <c r="I393" s="610"/>
      <c r="J393" s="610"/>
      <c r="L393" s="610"/>
      <c r="M393" s="610"/>
      <c r="N393" s="610"/>
      <c r="O393" s="610"/>
      <c r="P393" s="610"/>
      <c r="Q393" s="610"/>
      <c r="R393" s="610"/>
      <c r="S393" s="610"/>
      <c r="T393" s="610"/>
      <c r="U393" s="610"/>
      <c r="V393" s="610"/>
      <c r="W393" s="610"/>
      <c r="X393" s="610"/>
      <c r="Y393" s="610"/>
      <c r="Z393" s="610"/>
      <c r="AA393" s="610"/>
      <c r="AB393" s="610"/>
      <c r="AC393" s="610"/>
      <c r="AD393" s="610"/>
      <c r="AE393" s="610"/>
      <c r="AF393" s="610"/>
      <c r="AG393" s="610"/>
      <c r="AH393" s="610"/>
      <c r="AI393" s="610"/>
      <c r="AJ393" s="610"/>
      <c r="AK393" s="610"/>
      <c r="AL393" s="610"/>
      <c r="AM393" s="610"/>
      <c r="AN393" s="610"/>
      <c r="AO393" s="610"/>
      <c r="AP393" s="610"/>
      <c r="AQ393" s="610"/>
    </row>
    <row r="394" spans="2:43" s="609" customFormat="1">
      <c r="B394" s="610"/>
      <c r="C394" s="610"/>
      <c r="D394" s="610"/>
      <c r="E394" s="610"/>
      <c r="F394" s="610"/>
      <c r="G394" s="610"/>
      <c r="H394" s="610"/>
      <c r="I394" s="610"/>
      <c r="J394" s="610"/>
      <c r="L394" s="610"/>
      <c r="M394" s="610"/>
      <c r="N394" s="610"/>
      <c r="O394" s="610"/>
      <c r="P394" s="610"/>
      <c r="Q394" s="610"/>
      <c r="R394" s="610"/>
      <c r="S394" s="610"/>
      <c r="T394" s="610"/>
      <c r="U394" s="610"/>
      <c r="V394" s="610"/>
      <c r="W394" s="610"/>
      <c r="X394" s="610"/>
      <c r="Y394" s="610"/>
      <c r="Z394" s="610"/>
      <c r="AA394" s="610"/>
      <c r="AB394" s="610"/>
      <c r="AC394" s="610"/>
      <c r="AD394" s="610"/>
      <c r="AE394" s="610"/>
      <c r="AF394" s="610"/>
      <c r="AG394" s="610"/>
      <c r="AH394" s="610"/>
      <c r="AI394" s="610"/>
      <c r="AJ394" s="610"/>
      <c r="AK394" s="610"/>
      <c r="AL394" s="610"/>
      <c r="AM394" s="610"/>
      <c r="AN394" s="610"/>
      <c r="AO394" s="610"/>
      <c r="AP394" s="610"/>
      <c r="AQ394" s="610"/>
    </row>
    <row r="395" spans="2:43" s="609" customFormat="1">
      <c r="B395" s="610"/>
      <c r="C395" s="610"/>
      <c r="D395" s="610"/>
      <c r="E395" s="610"/>
      <c r="F395" s="610"/>
      <c r="G395" s="610"/>
      <c r="H395" s="610"/>
      <c r="I395" s="610"/>
      <c r="J395" s="610"/>
      <c r="L395" s="610"/>
      <c r="M395" s="610"/>
      <c r="N395" s="610"/>
      <c r="O395" s="610"/>
      <c r="P395" s="610"/>
      <c r="Q395" s="610"/>
      <c r="R395" s="610"/>
      <c r="S395" s="610"/>
      <c r="T395" s="610"/>
      <c r="U395" s="610"/>
      <c r="V395" s="610"/>
      <c r="W395" s="610"/>
      <c r="X395" s="610"/>
      <c r="Y395" s="610"/>
      <c r="Z395" s="610"/>
      <c r="AA395" s="610"/>
      <c r="AB395" s="610"/>
      <c r="AC395" s="610"/>
      <c r="AD395" s="610"/>
      <c r="AE395" s="610"/>
      <c r="AF395" s="610"/>
      <c r="AG395" s="610"/>
      <c r="AH395" s="610"/>
      <c r="AI395" s="610"/>
      <c r="AJ395" s="610"/>
      <c r="AK395" s="610"/>
      <c r="AL395" s="610"/>
      <c r="AM395" s="610"/>
      <c r="AN395" s="610"/>
      <c r="AO395" s="610"/>
      <c r="AP395" s="610"/>
      <c r="AQ395" s="610"/>
    </row>
    <row r="396" spans="2:43" s="609" customFormat="1">
      <c r="B396" s="610"/>
      <c r="C396" s="610"/>
      <c r="D396" s="610"/>
      <c r="E396" s="610"/>
      <c r="F396" s="610"/>
      <c r="G396" s="610"/>
      <c r="H396" s="610"/>
      <c r="I396" s="610"/>
      <c r="J396" s="610"/>
      <c r="L396" s="610"/>
      <c r="M396" s="610"/>
      <c r="N396" s="610"/>
      <c r="O396" s="610"/>
      <c r="P396" s="610"/>
      <c r="Q396" s="610"/>
      <c r="R396" s="610"/>
      <c r="S396" s="610"/>
      <c r="T396" s="610"/>
      <c r="U396" s="610"/>
      <c r="V396" s="610"/>
      <c r="W396" s="610"/>
      <c r="X396" s="610"/>
      <c r="Y396" s="610"/>
      <c r="Z396" s="610"/>
      <c r="AA396" s="610"/>
      <c r="AB396" s="610"/>
      <c r="AC396" s="610"/>
      <c r="AD396" s="610"/>
      <c r="AE396" s="610"/>
      <c r="AF396" s="610"/>
      <c r="AG396" s="610"/>
      <c r="AH396" s="610"/>
      <c r="AI396" s="610"/>
      <c r="AJ396" s="610"/>
      <c r="AK396" s="610"/>
      <c r="AL396" s="610"/>
      <c r="AM396" s="610"/>
      <c r="AN396" s="610"/>
      <c r="AO396" s="610"/>
      <c r="AP396" s="610"/>
      <c r="AQ396" s="610"/>
    </row>
    <row r="397" spans="2:43" s="609" customFormat="1">
      <c r="B397" s="610"/>
      <c r="C397" s="610"/>
      <c r="D397" s="610"/>
      <c r="E397" s="610"/>
      <c r="F397" s="610"/>
      <c r="G397" s="610"/>
      <c r="H397" s="610"/>
      <c r="I397" s="610"/>
      <c r="J397" s="610"/>
      <c r="L397" s="610"/>
      <c r="M397" s="610"/>
      <c r="N397" s="610"/>
      <c r="O397" s="610"/>
      <c r="P397" s="610"/>
      <c r="Q397" s="610"/>
      <c r="R397" s="610"/>
      <c r="S397" s="610"/>
      <c r="T397" s="610"/>
      <c r="U397" s="610"/>
      <c r="V397" s="610"/>
      <c r="W397" s="610"/>
      <c r="X397" s="610"/>
      <c r="Y397" s="610"/>
      <c r="Z397" s="610"/>
      <c r="AA397" s="610"/>
      <c r="AB397" s="610"/>
      <c r="AC397" s="610"/>
      <c r="AD397" s="610"/>
      <c r="AE397" s="610"/>
      <c r="AF397" s="610"/>
      <c r="AG397" s="610"/>
      <c r="AH397" s="610"/>
      <c r="AI397" s="610"/>
      <c r="AJ397" s="610"/>
      <c r="AK397" s="610"/>
      <c r="AL397" s="610"/>
      <c r="AM397" s="610"/>
      <c r="AN397" s="610"/>
      <c r="AO397" s="610"/>
      <c r="AP397" s="610"/>
      <c r="AQ397" s="610"/>
    </row>
    <row r="398" spans="2:43" s="609" customFormat="1">
      <c r="B398" s="610"/>
      <c r="C398" s="610"/>
      <c r="D398" s="610"/>
      <c r="E398" s="610"/>
      <c r="F398" s="610"/>
      <c r="G398" s="610"/>
      <c r="H398" s="610"/>
      <c r="I398" s="610"/>
      <c r="J398" s="610"/>
      <c r="L398" s="610"/>
      <c r="M398" s="610"/>
      <c r="N398" s="610"/>
      <c r="O398" s="610"/>
      <c r="P398" s="610"/>
      <c r="Q398" s="610"/>
      <c r="R398" s="610"/>
      <c r="S398" s="610"/>
      <c r="T398" s="610"/>
      <c r="U398" s="610"/>
      <c r="V398" s="610"/>
      <c r="W398" s="610"/>
      <c r="X398" s="610"/>
      <c r="Y398" s="610"/>
      <c r="Z398" s="610"/>
      <c r="AA398" s="610"/>
      <c r="AB398" s="610"/>
      <c r="AC398" s="610"/>
      <c r="AD398" s="610"/>
      <c r="AE398" s="610"/>
      <c r="AF398" s="610"/>
      <c r="AG398" s="610"/>
      <c r="AH398" s="610"/>
      <c r="AI398" s="610"/>
      <c r="AJ398" s="610"/>
      <c r="AK398" s="610"/>
      <c r="AL398" s="610"/>
      <c r="AM398" s="610"/>
      <c r="AN398" s="610"/>
      <c r="AO398" s="610"/>
      <c r="AP398" s="610"/>
      <c r="AQ398" s="610"/>
    </row>
    <row r="399" spans="2:43" s="609" customFormat="1">
      <c r="B399" s="610"/>
      <c r="C399" s="610"/>
      <c r="D399" s="610"/>
      <c r="E399" s="610"/>
      <c r="F399" s="610"/>
      <c r="G399" s="610"/>
      <c r="H399" s="610"/>
      <c r="I399" s="610"/>
      <c r="J399" s="610"/>
      <c r="L399" s="610"/>
      <c r="M399" s="610"/>
      <c r="N399" s="610"/>
      <c r="O399" s="610"/>
      <c r="P399" s="610"/>
      <c r="Q399" s="610"/>
      <c r="R399" s="610"/>
      <c r="S399" s="610"/>
      <c r="T399" s="610"/>
      <c r="U399" s="610"/>
      <c r="V399" s="610"/>
      <c r="W399" s="610"/>
      <c r="X399" s="610"/>
      <c r="Y399" s="610"/>
      <c r="Z399" s="610"/>
      <c r="AA399" s="610"/>
      <c r="AB399" s="610"/>
      <c r="AC399" s="610"/>
      <c r="AD399" s="610"/>
      <c r="AE399" s="610"/>
      <c r="AF399" s="610"/>
      <c r="AG399" s="610"/>
      <c r="AH399" s="610"/>
      <c r="AI399" s="610"/>
      <c r="AJ399" s="610"/>
      <c r="AK399" s="610"/>
      <c r="AL399" s="610"/>
      <c r="AM399" s="610"/>
      <c r="AN399" s="610"/>
      <c r="AO399" s="610"/>
      <c r="AP399" s="610"/>
      <c r="AQ399" s="610"/>
    </row>
    <row r="400" spans="2:43" s="609" customFormat="1">
      <c r="B400" s="610"/>
      <c r="C400" s="610"/>
      <c r="D400" s="610"/>
      <c r="E400" s="610"/>
      <c r="F400" s="610"/>
      <c r="G400" s="610"/>
      <c r="H400" s="610"/>
      <c r="I400" s="610"/>
      <c r="J400" s="610"/>
      <c r="L400" s="610"/>
      <c r="M400" s="610"/>
      <c r="N400" s="610"/>
      <c r="O400" s="610"/>
      <c r="P400" s="610"/>
      <c r="Q400" s="610"/>
      <c r="R400" s="610"/>
      <c r="S400" s="610"/>
      <c r="T400" s="610"/>
      <c r="U400" s="610"/>
      <c r="V400" s="610"/>
      <c r="W400" s="610"/>
      <c r="X400" s="610"/>
      <c r="Y400" s="610"/>
      <c r="Z400" s="610"/>
      <c r="AA400" s="610"/>
      <c r="AB400" s="610"/>
      <c r="AC400" s="610"/>
      <c r="AD400" s="610"/>
      <c r="AE400" s="610"/>
      <c r="AF400" s="610"/>
      <c r="AG400" s="610"/>
      <c r="AH400" s="610"/>
      <c r="AI400" s="610"/>
      <c r="AJ400" s="610"/>
      <c r="AK400" s="610"/>
      <c r="AL400" s="610"/>
      <c r="AM400" s="610"/>
      <c r="AN400" s="610"/>
      <c r="AO400" s="610"/>
      <c r="AP400" s="610"/>
      <c r="AQ400" s="610"/>
    </row>
    <row r="401" spans="2:43" s="609" customFormat="1">
      <c r="B401" s="610"/>
      <c r="C401" s="610"/>
      <c r="D401" s="610"/>
      <c r="E401" s="610"/>
      <c r="F401" s="610"/>
      <c r="G401" s="610"/>
      <c r="H401" s="610"/>
      <c r="I401" s="610"/>
      <c r="J401" s="610"/>
      <c r="L401" s="610"/>
      <c r="M401" s="610"/>
      <c r="N401" s="610"/>
      <c r="O401" s="610"/>
      <c r="P401" s="610"/>
      <c r="Q401" s="610"/>
      <c r="R401" s="610"/>
      <c r="S401" s="610"/>
      <c r="T401" s="610"/>
      <c r="U401" s="610"/>
      <c r="V401" s="610"/>
      <c r="W401" s="610"/>
      <c r="X401" s="610"/>
      <c r="Y401" s="610"/>
      <c r="Z401" s="610"/>
      <c r="AA401" s="610"/>
      <c r="AB401" s="610"/>
      <c r="AC401" s="610"/>
      <c r="AD401" s="610"/>
      <c r="AE401" s="610"/>
      <c r="AF401" s="610"/>
      <c r="AG401" s="610"/>
      <c r="AH401" s="610"/>
      <c r="AI401" s="610"/>
      <c r="AJ401" s="610"/>
      <c r="AK401" s="610"/>
      <c r="AL401" s="610"/>
      <c r="AM401" s="610"/>
      <c r="AN401" s="610"/>
      <c r="AO401" s="610"/>
      <c r="AP401" s="610"/>
      <c r="AQ401" s="610"/>
    </row>
    <row r="402" spans="2:43" s="609" customFormat="1">
      <c r="B402" s="610"/>
      <c r="C402" s="610"/>
      <c r="D402" s="610"/>
      <c r="E402" s="610"/>
      <c r="F402" s="610"/>
      <c r="G402" s="610"/>
      <c r="H402" s="610"/>
      <c r="I402" s="610"/>
      <c r="J402" s="610"/>
      <c r="L402" s="610"/>
      <c r="M402" s="610"/>
      <c r="N402" s="610"/>
      <c r="O402" s="610"/>
      <c r="P402" s="610"/>
      <c r="Q402" s="610"/>
      <c r="R402" s="610"/>
      <c r="S402" s="610"/>
      <c r="T402" s="610"/>
      <c r="U402" s="610"/>
      <c r="V402" s="610"/>
      <c r="W402" s="610"/>
      <c r="X402" s="610"/>
      <c r="Y402" s="610"/>
      <c r="Z402" s="610"/>
      <c r="AA402" s="610"/>
      <c r="AB402" s="610"/>
      <c r="AC402" s="610"/>
      <c r="AD402" s="610"/>
      <c r="AE402" s="610"/>
      <c r="AF402" s="610"/>
      <c r="AG402" s="610"/>
      <c r="AH402" s="610"/>
      <c r="AI402" s="610"/>
      <c r="AJ402" s="610"/>
      <c r="AK402" s="610"/>
      <c r="AL402" s="610"/>
      <c r="AM402" s="610"/>
      <c r="AN402" s="610"/>
      <c r="AO402" s="610"/>
      <c r="AP402" s="610"/>
      <c r="AQ402" s="610"/>
    </row>
    <row r="403" spans="2:43" s="609" customFormat="1">
      <c r="B403" s="610"/>
      <c r="C403" s="610"/>
      <c r="D403" s="610"/>
      <c r="E403" s="610"/>
      <c r="F403" s="610"/>
      <c r="G403" s="610"/>
      <c r="H403" s="610"/>
      <c r="I403" s="610"/>
      <c r="J403" s="610"/>
      <c r="L403" s="610"/>
      <c r="M403" s="610"/>
      <c r="N403" s="610"/>
      <c r="O403" s="610"/>
      <c r="P403" s="610"/>
      <c r="Q403" s="610"/>
      <c r="R403" s="610"/>
      <c r="S403" s="610"/>
      <c r="T403" s="610"/>
      <c r="U403" s="610"/>
      <c r="V403" s="610"/>
      <c r="W403" s="610"/>
      <c r="X403" s="610"/>
      <c r="Y403" s="610"/>
      <c r="Z403" s="610"/>
      <c r="AA403" s="610"/>
      <c r="AB403" s="610"/>
      <c r="AC403" s="610"/>
      <c r="AD403" s="610"/>
      <c r="AE403" s="610"/>
      <c r="AF403" s="610"/>
      <c r="AG403" s="610"/>
      <c r="AH403" s="610"/>
      <c r="AI403" s="610"/>
      <c r="AJ403" s="610"/>
      <c r="AK403" s="610"/>
      <c r="AL403" s="610"/>
      <c r="AM403" s="610"/>
      <c r="AN403" s="610"/>
      <c r="AO403" s="610"/>
      <c r="AP403" s="610"/>
      <c r="AQ403" s="610"/>
    </row>
    <row r="404" spans="2:43" s="609" customFormat="1">
      <c r="B404" s="610"/>
      <c r="C404" s="610"/>
      <c r="D404" s="610"/>
      <c r="E404" s="610"/>
      <c r="F404" s="610"/>
      <c r="G404" s="610"/>
      <c r="H404" s="610"/>
      <c r="I404" s="610"/>
      <c r="J404" s="610"/>
      <c r="L404" s="610"/>
      <c r="M404" s="610"/>
      <c r="N404" s="610"/>
      <c r="O404" s="610"/>
      <c r="P404" s="610"/>
      <c r="Q404" s="610"/>
      <c r="R404" s="610"/>
      <c r="S404" s="610"/>
      <c r="T404" s="610"/>
      <c r="U404" s="610"/>
      <c r="V404" s="610"/>
      <c r="W404" s="610"/>
      <c r="X404" s="610"/>
      <c r="Y404" s="610"/>
      <c r="Z404" s="610"/>
      <c r="AA404" s="610"/>
      <c r="AB404" s="610"/>
      <c r="AC404" s="610"/>
      <c r="AD404" s="610"/>
      <c r="AE404" s="610"/>
      <c r="AF404" s="610"/>
      <c r="AG404" s="610"/>
      <c r="AH404" s="610"/>
      <c r="AI404" s="610"/>
      <c r="AJ404" s="610"/>
      <c r="AK404" s="610"/>
      <c r="AL404" s="610"/>
      <c r="AM404" s="610"/>
      <c r="AN404" s="610"/>
      <c r="AO404" s="610"/>
      <c r="AP404" s="610"/>
      <c r="AQ404" s="610"/>
    </row>
    <row r="405" spans="2:43" s="609" customFormat="1">
      <c r="B405" s="610"/>
      <c r="C405" s="610"/>
      <c r="D405" s="610"/>
      <c r="E405" s="610"/>
      <c r="F405" s="610"/>
      <c r="G405" s="610"/>
      <c r="H405" s="610"/>
      <c r="I405" s="610"/>
      <c r="J405" s="610"/>
      <c r="L405" s="610"/>
      <c r="M405" s="610"/>
      <c r="N405" s="610"/>
      <c r="O405" s="610"/>
      <c r="P405" s="610"/>
      <c r="Q405" s="610"/>
      <c r="R405" s="610"/>
      <c r="S405" s="610"/>
      <c r="T405" s="610"/>
      <c r="U405" s="610"/>
      <c r="V405" s="610"/>
      <c r="W405" s="610"/>
      <c r="X405" s="610"/>
      <c r="Y405" s="610"/>
      <c r="Z405" s="610"/>
      <c r="AA405" s="610"/>
      <c r="AB405" s="610"/>
      <c r="AC405" s="610"/>
      <c r="AD405" s="610"/>
      <c r="AE405" s="610"/>
      <c r="AF405" s="610"/>
      <c r="AG405" s="610"/>
      <c r="AH405" s="610"/>
      <c r="AI405" s="610"/>
      <c r="AJ405" s="610"/>
      <c r="AK405" s="610"/>
      <c r="AL405" s="610"/>
      <c r="AM405" s="610"/>
      <c r="AN405" s="610"/>
      <c r="AO405" s="610"/>
      <c r="AP405" s="610"/>
      <c r="AQ405" s="610"/>
    </row>
    <row r="406" spans="2:43" s="609" customFormat="1">
      <c r="B406" s="610"/>
      <c r="C406" s="610"/>
      <c r="D406" s="610"/>
      <c r="E406" s="610"/>
      <c r="F406" s="610"/>
      <c r="G406" s="610"/>
      <c r="H406" s="610"/>
      <c r="I406" s="610"/>
      <c r="J406" s="610"/>
      <c r="L406" s="610"/>
      <c r="M406" s="610"/>
      <c r="N406" s="610"/>
      <c r="O406" s="610"/>
      <c r="P406" s="610"/>
      <c r="Q406" s="610"/>
      <c r="R406" s="610"/>
      <c r="S406" s="610"/>
      <c r="T406" s="610"/>
      <c r="U406" s="610"/>
      <c r="V406" s="610"/>
      <c r="W406" s="610"/>
      <c r="X406" s="610"/>
      <c r="Y406" s="610"/>
      <c r="Z406" s="610"/>
      <c r="AA406" s="610"/>
      <c r="AB406" s="610"/>
      <c r="AC406" s="610"/>
      <c r="AD406" s="610"/>
      <c r="AE406" s="610"/>
      <c r="AF406" s="610"/>
      <c r="AG406" s="610"/>
      <c r="AH406" s="610"/>
      <c r="AI406" s="610"/>
      <c r="AJ406" s="610"/>
      <c r="AK406" s="610"/>
      <c r="AL406" s="610"/>
      <c r="AM406" s="610"/>
      <c r="AN406" s="610"/>
      <c r="AO406" s="610"/>
      <c r="AP406" s="610"/>
      <c r="AQ406" s="610"/>
    </row>
    <row r="407" spans="2:43" s="609" customFormat="1">
      <c r="B407" s="610"/>
      <c r="C407" s="610"/>
      <c r="D407" s="610"/>
      <c r="E407" s="610"/>
      <c r="F407" s="610"/>
      <c r="G407" s="610"/>
      <c r="H407" s="610"/>
      <c r="I407" s="610"/>
      <c r="J407" s="610"/>
      <c r="L407" s="610"/>
      <c r="M407" s="610"/>
      <c r="N407" s="610"/>
      <c r="O407" s="610"/>
      <c r="P407" s="610"/>
      <c r="Q407" s="610"/>
      <c r="R407" s="610"/>
      <c r="S407" s="610"/>
      <c r="T407" s="610"/>
      <c r="U407" s="610"/>
      <c r="V407" s="610"/>
      <c r="W407" s="610"/>
      <c r="X407" s="610"/>
      <c r="Y407" s="610"/>
      <c r="Z407" s="610"/>
      <c r="AA407" s="610"/>
      <c r="AB407" s="610"/>
      <c r="AC407" s="610"/>
      <c r="AD407" s="610"/>
      <c r="AE407" s="610"/>
      <c r="AF407" s="610"/>
      <c r="AG407" s="610"/>
      <c r="AH407" s="610"/>
      <c r="AI407" s="610"/>
      <c r="AJ407" s="610"/>
      <c r="AK407" s="610"/>
      <c r="AL407" s="610"/>
      <c r="AM407" s="610"/>
      <c r="AN407" s="610"/>
      <c r="AO407" s="610"/>
      <c r="AP407" s="610"/>
      <c r="AQ407" s="610"/>
    </row>
    <row r="408" spans="2:43" s="609" customFormat="1">
      <c r="B408" s="610"/>
      <c r="C408" s="610"/>
      <c r="D408" s="610"/>
      <c r="E408" s="610"/>
      <c r="F408" s="610"/>
      <c r="G408" s="610"/>
      <c r="H408" s="610"/>
      <c r="I408" s="610"/>
      <c r="J408" s="610"/>
      <c r="L408" s="610"/>
      <c r="M408" s="610"/>
      <c r="N408" s="610"/>
      <c r="O408" s="610"/>
      <c r="P408" s="610"/>
      <c r="Q408" s="610"/>
      <c r="R408" s="610"/>
      <c r="S408" s="610"/>
      <c r="T408" s="610"/>
      <c r="U408" s="610"/>
      <c r="V408" s="610"/>
      <c r="W408" s="610"/>
      <c r="X408" s="610"/>
      <c r="Y408" s="610"/>
      <c r="Z408" s="610"/>
      <c r="AA408" s="610"/>
      <c r="AB408" s="610"/>
      <c r="AC408" s="610"/>
      <c r="AD408" s="610"/>
      <c r="AE408" s="610"/>
      <c r="AF408" s="610"/>
      <c r="AG408" s="610"/>
      <c r="AH408" s="610"/>
      <c r="AI408" s="610"/>
      <c r="AJ408" s="610"/>
      <c r="AK408" s="610"/>
      <c r="AL408" s="610"/>
      <c r="AM408" s="610"/>
      <c r="AN408" s="610"/>
      <c r="AO408" s="610"/>
      <c r="AP408" s="610"/>
      <c r="AQ408" s="610"/>
    </row>
    <row r="409" spans="2:43" s="609" customFormat="1">
      <c r="B409" s="610"/>
      <c r="C409" s="610"/>
      <c r="D409" s="610"/>
      <c r="E409" s="610"/>
      <c r="F409" s="610"/>
      <c r="G409" s="610"/>
      <c r="H409" s="610"/>
      <c r="I409" s="610"/>
      <c r="J409" s="610"/>
      <c r="L409" s="610"/>
      <c r="M409" s="610"/>
      <c r="N409" s="610"/>
      <c r="O409" s="610"/>
      <c r="P409" s="610"/>
      <c r="Q409" s="610"/>
      <c r="R409" s="610"/>
      <c r="S409" s="610"/>
      <c r="T409" s="610"/>
      <c r="U409" s="610"/>
      <c r="V409" s="610"/>
      <c r="W409" s="610"/>
      <c r="X409" s="610"/>
      <c r="Y409" s="610"/>
      <c r="Z409" s="610"/>
      <c r="AA409" s="610"/>
      <c r="AB409" s="610"/>
      <c r="AC409" s="610"/>
      <c r="AD409" s="610"/>
      <c r="AE409" s="610"/>
      <c r="AF409" s="610"/>
      <c r="AG409" s="610"/>
      <c r="AH409" s="610"/>
      <c r="AI409" s="610"/>
      <c r="AJ409" s="610"/>
      <c r="AK409" s="610"/>
      <c r="AL409" s="610"/>
      <c r="AM409" s="610"/>
      <c r="AN409" s="610"/>
      <c r="AO409" s="610"/>
      <c r="AP409" s="610"/>
      <c r="AQ409" s="610"/>
    </row>
    <row r="410" spans="2:43" s="609" customFormat="1">
      <c r="B410" s="610"/>
      <c r="C410" s="610"/>
      <c r="D410" s="610"/>
      <c r="E410" s="610"/>
      <c r="F410" s="610"/>
      <c r="G410" s="610"/>
      <c r="H410" s="610"/>
      <c r="I410" s="610"/>
      <c r="J410" s="610"/>
      <c r="L410" s="610"/>
      <c r="M410" s="610"/>
      <c r="N410" s="610"/>
      <c r="O410" s="610"/>
      <c r="P410" s="610"/>
      <c r="Q410" s="610"/>
      <c r="R410" s="610"/>
      <c r="S410" s="610"/>
      <c r="T410" s="610"/>
      <c r="U410" s="610"/>
      <c r="V410" s="610"/>
      <c r="W410" s="610"/>
      <c r="X410" s="610"/>
      <c r="Y410" s="610"/>
      <c r="Z410" s="610"/>
      <c r="AA410" s="610"/>
      <c r="AB410" s="610"/>
      <c r="AC410" s="610"/>
      <c r="AD410" s="610"/>
      <c r="AE410" s="610"/>
      <c r="AF410" s="610"/>
      <c r="AG410" s="610"/>
      <c r="AH410" s="610"/>
      <c r="AI410" s="610"/>
      <c r="AJ410" s="610"/>
      <c r="AK410" s="610"/>
      <c r="AL410" s="610"/>
      <c r="AM410" s="610"/>
      <c r="AN410" s="610"/>
      <c r="AO410" s="610"/>
      <c r="AP410" s="610"/>
      <c r="AQ410" s="610"/>
    </row>
    <row r="411" spans="2:43" s="609" customFormat="1">
      <c r="B411" s="610"/>
      <c r="C411" s="610"/>
      <c r="D411" s="610"/>
      <c r="E411" s="610"/>
      <c r="F411" s="610"/>
      <c r="G411" s="610"/>
      <c r="H411" s="610"/>
      <c r="I411" s="610"/>
      <c r="J411" s="610"/>
      <c r="L411" s="610"/>
      <c r="M411" s="610"/>
      <c r="N411" s="610"/>
      <c r="O411" s="610"/>
      <c r="P411" s="610"/>
      <c r="Q411" s="610"/>
      <c r="R411" s="610"/>
      <c r="S411" s="610"/>
      <c r="T411" s="610"/>
      <c r="U411" s="610"/>
      <c r="V411" s="610"/>
      <c r="W411" s="610"/>
      <c r="X411" s="610"/>
      <c r="Y411" s="610"/>
      <c r="Z411" s="610"/>
      <c r="AA411" s="610"/>
      <c r="AB411" s="610"/>
      <c r="AC411" s="610"/>
      <c r="AD411" s="610"/>
      <c r="AE411" s="610"/>
      <c r="AF411" s="610"/>
      <c r="AG411" s="610"/>
      <c r="AH411" s="610"/>
      <c r="AI411" s="610"/>
      <c r="AJ411" s="610"/>
      <c r="AK411" s="610"/>
      <c r="AL411" s="610"/>
      <c r="AM411" s="610"/>
      <c r="AN411" s="610"/>
      <c r="AO411" s="610"/>
      <c r="AP411" s="610"/>
      <c r="AQ411" s="610"/>
    </row>
    <row r="412" spans="2:43" s="609" customFormat="1">
      <c r="B412" s="610"/>
      <c r="C412" s="610"/>
      <c r="D412" s="610"/>
      <c r="E412" s="610"/>
      <c r="F412" s="610"/>
      <c r="G412" s="610"/>
      <c r="H412" s="610"/>
      <c r="I412" s="610"/>
      <c r="J412" s="610"/>
      <c r="L412" s="610"/>
      <c r="M412" s="610"/>
      <c r="N412" s="610"/>
      <c r="O412" s="610"/>
      <c r="P412" s="610"/>
      <c r="Q412" s="610"/>
      <c r="R412" s="610"/>
      <c r="S412" s="610"/>
      <c r="T412" s="610"/>
      <c r="U412" s="610"/>
      <c r="V412" s="610"/>
      <c r="W412" s="610"/>
      <c r="X412" s="610"/>
      <c r="Y412" s="610"/>
      <c r="Z412" s="610"/>
      <c r="AA412" s="610"/>
      <c r="AB412" s="610"/>
      <c r="AC412" s="610"/>
      <c r="AD412" s="610"/>
      <c r="AE412" s="610"/>
      <c r="AF412" s="610"/>
      <c r="AG412" s="610"/>
      <c r="AH412" s="610"/>
      <c r="AI412" s="610"/>
      <c r="AJ412" s="610"/>
      <c r="AK412" s="610"/>
      <c r="AL412" s="610"/>
      <c r="AM412" s="610"/>
      <c r="AN412" s="610"/>
      <c r="AO412" s="610"/>
      <c r="AP412" s="610"/>
      <c r="AQ412" s="610"/>
    </row>
    <row r="413" spans="2:43" s="609" customFormat="1">
      <c r="B413" s="610"/>
      <c r="C413" s="610"/>
      <c r="D413" s="610"/>
      <c r="E413" s="610"/>
      <c r="F413" s="610"/>
      <c r="G413" s="610"/>
      <c r="H413" s="610"/>
      <c r="I413" s="610"/>
      <c r="J413" s="610"/>
      <c r="L413" s="610"/>
      <c r="M413" s="610"/>
      <c r="N413" s="610"/>
      <c r="O413" s="610"/>
      <c r="P413" s="610"/>
      <c r="Q413" s="610"/>
      <c r="R413" s="610"/>
      <c r="S413" s="610"/>
      <c r="T413" s="610"/>
      <c r="U413" s="610"/>
      <c r="V413" s="610"/>
      <c r="W413" s="610"/>
      <c r="X413" s="610"/>
      <c r="Y413" s="610"/>
      <c r="Z413" s="610"/>
      <c r="AA413" s="610"/>
      <c r="AB413" s="610"/>
      <c r="AC413" s="610"/>
      <c r="AD413" s="610"/>
      <c r="AE413" s="610"/>
      <c r="AF413" s="610"/>
      <c r="AG413" s="610"/>
      <c r="AH413" s="610"/>
      <c r="AI413" s="610"/>
      <c r="AJ413" s="610"/>
      <c r="AK413" s="610"/>
      <c r="AL413" s="610"/>
      <c r="AM413" s="610"/>
      <c r="AN413" s="610"/>
      <c r="AO413" s="610"/>
      <c r="AP413" s="610"/>
      <c r="AQ413" s="610"/>
    </row>
    <row r="414" spans="2:43" s="609" customFormat="1">
      <c r="B414" s="610"/>
      <c r="C414" s="610"/>
      <c r="D414" s="610"/>
      <c r="E414" s="610"/>
      <c r="F414" s="610"/>
      <c r="G414" s="610"/>
      <c r="H414" s="610"/>
      <c r="I414" s="610"/>
      <c r="J414" s="610"/>
      <c r="L414" s="610"/>
      <c r="M414" s="610"/>
      <c r="N414" s="610"/>
      <c r="O414" s="610"/>
      <c r="P414" s="610"/>
      <c r="Q414" s="610"/>
      <c r="R414" s="610"/>
      <c r="S414" s="610"/>
      <c r="T414" s="610"/>
      <c r="U414" s="610"/>
      <c r="V414" s="610"/>
      <c r="W414" s="610"/>
      <c r="X414" s="610"/>
      <c r="Y414" s="610"/>
      <c r="Z414" s="610"/>
      <c r="AA414" s="610"/>
      <c r="AB414" s="610"/>
      <c r="AC414" s="610"/>
      <c r="AD414" s="610"/>
      <c r="AE414" s="610"/>
      <c r="AF414" s="610"/>
      <c r="AG414" s="610"/>
      <c r="AH414" s="610"/>
      <c r="AI414" s="610"/>
      <c r="AJ414" s="610"/>
      <c r="AK414" s="610"/>
      <c r="AL414" s="610"/>
      <c r="AM414" s="610"/>
      <c r="AN414" s="610"/>
      <c r="AO414" s="610"/>
      <c r="AP414" s="610"/>
      <c r="AQ414" s="610"/>
    </row>
    <row r="415" spans="2:43" s="609" customFormat="1">
      <c r="B415" s="610"/>
      <c r="C415" s="610"/>
      <c r="D415" s="610"/>
      <c r="E415" s="610"/>
      <c r="F415" s="610"/>
      <c r="G415" s="610"/>
      <c r="H415" s="610"/>
      <c r="I415" s="610"/>
      <c r="J415" s="610"/>
      <c r="L415" s="610"/>
      <c r="M415" s="610"/>
      <c r="N415" s="610"/>
      <c r="O415" s="610"/>
      <c r="P415" s="610"/>
      <c r="Q415" s="610"/>
      <c r="R415" s="610"/>
      <c r="S415" s="610"/>
      <c r="T415" s="610"/>
      <c r="U415" s="610"/>
      <c r="V415" s="610"/>
      <c r="W415" s="610"/>
      <c r="X415" s="610"/>
      <c r="Y415" s="610"/>
      <c r="Z415" s="610"/>
      <c r="AA415" s="610"/>
      <c r="AB415" s="610"/>
      <c r="AC415" s="610"/>
      <c r="AD415" s="610"/>
      <c r="AE415" s="610"/>
      <c r="AF415" s="610"/>
      <c r="AG415" s="610"/>
      <c r="AH415" s="610"/>
      <c r="AI415" s="610"/>
      <c r="AJ415" s="610"/>
      <c r="AK415" s="610"/>
      <c r="AL415" s="610"/>
      <c r="AM415" s="610"/>
      <c r="AN415" s="610"/>
      <c r="AO415" s="610"/>
      <c r="AP415" s="610"/>
      <c r="AQ415" s="610"/>
    </row>
    <row r="416" spans="2:43" s="609" customFormat="1">
      <c r="B416" s="610"/>
      <c r="C416" s="610"/>
      <c r="D416" s="610"/>
      <c r="E416" s="610"/>
      <c r="F416" s="610"/>
      <c r="G416" s="610"/>
      <c r="H416" s="610"/>
      <c r="I416" s="610"/>
      <c r="J416" s="610"/>
      <c r="L416" s="610"/>
      <c r="M416" s="610"/>
      <c r="N416" s="610"/>
      <c r="O416" s="610"/>
      <c r="P416" s="610"/>
      <c r="Q416" s="610"/>
      <c r="R416" s="610"/>
      <c r="S416" s="610"/>
      <c r="T416" s="610"/>
      <c r="U416" s="610"/>
      <c r="V416" s="610"/>
      <c r="W416" s="610"/>
      <c r="X416" s="610"/>
      <c r="Y416" s="610"/>
      <c r="Z416" s="610"/>
      <c r="AA416" s="610"/>
      <c r="AB416" s="610"/>
      <c r="AC416" s="610"/>
      <c r="AD416" s="610"/>
      <c r="AE416" s="610"/>
      <c r="AF416" s="610"/>
      <c r="AG416" s="610"/>
      <c r="AH416" s="610"/>
      <c r="AI416" s="610"/>
      <c r="AJ416" s="610"/>
      <c r="AK416" s="610"/>
      <c r="AL416" s="610"/>
      <c r="AM416" s="610"/>
      <c r="AN416" s="610"/>
      <c r="AO416" s="610"/>
      <c r="AP416" s="610"/>
      <c r="AQ416" s="610"/>
    </row>
    <row r="417" spans="2:43" s="609" customFormat="1">
      <c r="B417" s="610"/>
      <c r="C417" s="610"/>
      <c r="D417" s="610"/>
      <c r="E417" s="610"/>
      <c r="F417" s="610"/>
      <c r="G417" s="610"/>
      <c r="H417" s="610"/>
      <c r="I417" s="610"/>
      <c r="J417" s="610"/>
      <c r="L417" s="610"/>
      <c r="M417" s="610"/>
      <c r="N417" s="610"/>
      <c r="O417" s="610"/>
      <c r="P417" s="610"/>
      <c r="Q417" s="610"/>
      <c r="R417" s="610"/>
      <c r="S417" s="610"/>
      <c r="T417" s="610"/>
      <c r="U417" s="610"/>
      <c r="V417" s="610"/>
      <c r="W417" s="610"/>
      <c r="X417" s="610"/>
      <c r="Y417" s="610"/>
      <c r="Z417" s="610"/>
      <c r="AA417" s="610"/>
      <c r="AB417" s="610"/>
      <c r="AC417" s="610"/>
      <c r="AD417" s="610"/>
      <c r="AE417" s="610"/>
      <c r="AF417" s="610"/>
      <c r="AG417" s="610"/>
      <c r="AH417" s="610"/>
      <c r="AI417" s="610"/>
      <c r="AJ417" s="610"/>
      <c r="AK417" s="610"/>
      <c r="AL417" s="610"/>
      <c r="AM417" s="610"/>
      <c r="AN417" s="610"/>
      <c r="AO417" s="610"/>
      <c r="AP417" s="610"/>
      <c r="AQ417" s="610"/>
    </row>
    <row r="418" spans="2:43" s="609" customFormat="1">
      <c r="B418" s="610"/>
      <c r="C418" s="610"/>
      <c r="D418" s="610"/>
      <c r="E418" s="610"/>
      <c r="F418" s="610"/>
      <c r="G418" s="610"/>
      <c r="H418" s="610"/>
      <c r="I418" s="610"/>
      <c r="J418" s="610"/>
      <c r="L418" s="610"/>
      <c r="M418" s="610"/>
      <c r="N418" s="610"/>
      <c r="O418" s="610"/>
      <c r="P418" s="610"/>
      <c r="Q418" s="610"/>
      <c r="R418" s="610"/>
      <c r="S418" s="610"/>
      <c r="T418" s="610"/>
      <c r="U418" s="610"/>
      <c r="V418" s="610"/>
      <c r="W418" s="610"/>
      <c r="X418" s="610"/>
      <c r="Y418" s="610"/>
      <c r="Z418" s="610"/>
      <c r="AA418" s="610"/>
      <c r="AB418" s="610"/>
      <c r="AC418" s="610"/>
      <c r="AD418" s="610"/>
      <c r="AE418" s="610"/>
      <c r="AF418" s="610"/>
      <c r="AG418" s="610"/>
      <c r="AH418" s="610"/>
      <c r="AI418" s="610"/>
      <c r="AJ418" s="610"/>
      <c r="AK418" s="610"/>
      <c r="AL418" s="610"/>
      <c r="AM418" s="610"/>
      <c r="AN418" s="610"/>
      <c r="AO418" s="610"/>
      <c r="AP418" s="610"/>
      <c r="AQ418" s="610"/>
    </row>
    <row r="419" spans="2:43" s="609" customFormat="1">
      <c r="B419" s="610"/>
      <c r="C419" s="610"/>
      <c r="D419" s="610"/>
      <c r="E419" s="610"/>
      <c r="F419" s="610"/>
      <c r="G419" s="610"/>
      <c r="H419" s="610"/>
      <c r="I419" s="610"/>
      <c r="J419" s="610"/>
      <c r="L419" s="610"/>
      <c r="M419" s="610"/>
      <c r="N419" s="610"/>
      <c r="O419" s="610"/>
      <c r="P419" s="610"/>
      <c r="Q419" s="610"/>
      <c r="R419" s="610"/>
      <c r="S419" s="610"/>
      <c r="T419" s="610"/>
      <c r="U419" s="610"/>
      <c r="V419" s="610"/>
      <c r="W419" s="610"/>
      <c r="X419" s="610"/>
      <c r="Y419" s="610"/>
      <c r="Z419" s="610"/>
      <c r="AA419" s="610"/>
      <c r="AB419" s="610"/>
      <c r="AC419" s="610"/>
      <c r="AD419" s="610"/>
      <c r="AE419" s="610"/>
      <c r="AF419" s="610"/>
      <c r="AG419" s="610"/>
      <c r="AH419" s="610"/>
      <c r="AI419" s="610"/>
      <c r="AJ419" s="610"/>
      <c r="AK419" s="610"/>
      <c r="AL419" s="610"/>
      <c r="AM419" s="610"/>
      <c r="AN419" s="610"/>
      <c r="AO419" s="610"/>
      <c r="AP419" s="610"/>
      <c r="AQ419" s="610"/>
    </row>
    <row r="420" spans="2:43" s="609" customFormat="1">
      <c r="B420" s="610"/>
      <c r="C420" s="610"/>
      <c r="D420" s="610"/>
      <c r="E420" s="610"/>
      <c r="F420" s="610"/>
      <c r="G420" s="610"/>
      <c r="H420" s="610"/>
      <c r="I420" s="610"/>
      <c r="J420" s="610"/>
      <c r="L420" s="610"/>
      <c r="M420" s="610"/>
      <c r="N420" s="610"/>
      <c r="O420" s="610"/>
      <c r="P420" s="610"/>
      <c r="Q420" s="610"/>
      <c r="R420" s="610"/>
      <c r="S420" s="610"/>
      <c r="T420" s="610"/>
      <c r="U420" s="610"/>
      <c r="V420" s="610"/>
      <c r="W420" s="610"/>
      <c r="X420" s="610"/>
      <c r="Y420" s="610"/>
      <c r="Z420" s="610"/>
      <c r="AA420" s="610"/>
      <c r="AB420" s="610"/>
      <c r="AC420" s="610"/>
      <c r="AD420" s="610"/>
      <c r="AE420" s="610"/>
      <c r="AF420" s="610"/>
      <c r="AG420" s="610"/>
      <c r="AH420" s="610"/>
      <c r="AI420" s="610"/>
      <c r="AJ420" s="610"/>
      <c r="AK420" s="610"/>
      <c r="AL420" s="610"/>
      <c r="AM420" s="610"/>
      <c r="AN420" s="610"/>
      <c r="AO420" s="610"/>
      <c r="AP420" s="610"/>
      <c r="AQ420" s="610"/>
    </row>
    <row r="421" spans="2:43" s="609" customFormat="1">
      <c r="B421" s="610"/>
      <c r="C421" s="610"/>
      <c r="D421" s="610"/>
      <c r="E421" s="610"/>
      <c r="F421" s="610"/>
      <c r="G421" s="610"/>
      <c r="H421" s="610"/>
      <c r="I421" s="610"/>
      <c r="J421" s="610"/>
      <c r="L421" s="610"/>
      <c r="M421" s="610"/>
      <c r="N421" s="610"/>
      <c r="O421" s="610"/>
      <c r="P421" s="610"/>
      <c r="Q421" s="610"/>
      <c r="R421" s="610"/>
      <c r="S421" s="610"/>
      <c r="T421" s="610"/>
      <c r="U421" s="610"/>
      <c r="V421" s="610"/>
      <c r="W421" s="610"/>
      <c r="X421" s="610"/>
      <c r="Y421" s="610"/>
      <c r="Z421" s="610"/>
      <c r="AA421" s="610"/>
      <c r="AB421" s="610"/>
      <c r="AC421" s="610"/>
      <c r="AD421" s="610"/>
      <c r="AE421" s="610"/>
      <c r="AF421" s="610"/>
      <c r="AG421" s="610"/>
      <c r="AH421" s="610"/>
      <c r="AI421" s="610"/>
      <c r="AJ421" s="610"/>
      <c r="AK421" s="610"/>
      <c r="AL421" s="610"/>
      <c r="AM421" s="610"/>
      <c r="AN421" s="610"/>
      <c r="AO421" s="610"/>
      <c r="AP421" s="610"/>
      <c r="AQ421" s="610"/>
    </row>
    <row r="422" spans="2:43" s="609" customFormat="1">
      <c r="B422" s="610"/>
      <c r="C422" s="610"/>
      <c r="D422" s="610"/>
      <c r="E422" s="610"/>
      <c r="F422" s="610"/>
      <c r="G422" s="610"/>
      <c r="H422" s="610"/>
      <c r="I422" s="610"/>
      <c r="J422" s="610"/>
      <c r="L422" s="610"/>
      <c r="M422" s="610"/>
      <c r="N422" s="610"/>
      <c r="O422" s="610"/>
      <c r="P422" s="610"/>
      <c r="Q422" s="610"/>
      <c r="R422" s="610"/>
      <c r="S422" s="610"/>
      <c r="T422" s="610"/>
      <c r="U422" s="610"/>
      <c r="V422" s="610"/>
      <c r="W422" s="610"/>
      <c r="X422" s="610"/>
      <c r="Y422" s="610"/>
      <c r="Z422" s="610"/>
      <c r="AA422" s="610"/>
      <c r="AB422" s="610"/>
      <c r="AC422" s="610"/>
      <c r="AD422" s="610"/>
      <c r="AE422" s="610"/>
      <c r="AF422" s="610"/>
      <c r="AG422" s="610"/>
      <c r="AH422" s="610"/>
      <c r="AI422" s="610"/>
      <c r="AJ422" s="610"/>
      <c r="AK422" s="610"/>
      <c r="AL422" s="610"/>
      <c r="AM422" s="610"/>
      <c r="AN422" s="610"/>
      <c r="AO422" s="610"/>
      <c r="AP422" s="610"/>
      <c r="AQ422" s="610"/>
    </row>
    <row r="423" spans="2:43" s="609" customFormat="1">
      <c r="B423" s="610"/>
      <c r="C423" s="610"/>
      <c r="D423" s="610"/>
      <c r="E423" s="610"/>
      <c r="F423" s="610"/>
      <c r="G423" s="610"/>
      <c r="H423" s="610"/>
      <c r="I423" s="610"/>
      <c r="J423" s="610"/>
      <c r="L423" s="610"/>
      <c r="M423" s="610"/>
      <c r="N423" s="610"/>
      <c r="O423" s="610"/>
      <c r="P423" s="610"/>
      <c r="Q423" s="610"/>
      <c r="R423" s="610"/>
      <c r="S423" s="610"/>
      <c r="T423" s="610"/>
      <c r="U423" s="610"/>
      <c r="V423" s="610"/>
      <c r="W423" s="610"/>
      <c r="X423" s="610"/>
      <c r="Y423" s="610"/>
      <c r="Z423" s="610"/>
      <c r="AA423" s="610"/>
      <c r="AB423" s="610"/>
      <c r="AC423" s="610"/>
      <c r="AD423" s="610"/>
      <c r="AE423" s="610"/>
      <c r="AF423" s="610"/>
      <c r="AG423" s="610"/>
      <c r="AH423" s="610"/>
      <c r="AI423" s="610"/>
      <c r="AJ423" s="610"/>
      <c r="AK423" s="610"/>
      <c r="AL423" s="610"/>
      <c r="AM423" s="610"/>
      <c r="AN423" s="610"/>
      <c r="AO423" s="610"/>
      <c r="AP423" s="610"/>
      <c r="AQ423" s="610"/>
    </row>
    <row r="424" spans="2:43" s="609" customFormat="1">
      <c r="B424" s="610"/>
      <c r="C424" s="610"/>
      <c r="D424" s="610"/>
      <c r="E424" s="610"/>
      <c r="F424" s="610"/>
      <c r="G424" s="610"/>
      <c r="H424" s="610"/>
      <c r="I424" s="610"/>
      <c r="J424" s="610"/>
      <c r="L424" s="610"/>
      <c r="M424" s="610"/>
      <c r="N424" s="610"/>
      <c r="O424" s="610"/>
      <c r="P424" s="610"/>
      <c r="Q424" s="610"/>
      <c r="R424" s="610"/>
      <c r="S424" s="610"/>
      <c r="T424" s="610"/>
      <c r="U424" s="610"/>
      <c r="V424" s="610"/>
      <c r="W424" s="610"/>
      <c r="X424" s="610"/>
      <c r="Y424" s="610"/>
      <c r="Z424" s="610"/>
      <c r="AA424" s="610"/>
      <c r="AB424" s="610"/>
      <c r="AC424" s="610"/>
      <c r="AD424" s="610"/>
      <c r="AE424" s="610"/>
      <c r="AF424" s="610"/>
      <c r="AG424" s="610"/>
      <c r="AH424" s="610"/>
      <c r="AI424" s="610"/>
      <c r="AJ424" s="610"/>
      <c r="AK424" s="610"/>
      <c r="AL424" s="610"/>
      <c r="AM424" s="610"/>
      <c r="AN424" s="610"/>
      <c r="AO424" s="610"/>
      <c r="AP424" s="610"/>
      <c r="AQ424" s="610"/>
    </row>
    <row r="425" spans="2:43" s="609" customFormat="1">
      <c r="B425" s="610"/>
      <c r="C425" s="610"/>
      <c r="D425" s="610"/>
      <c r="E425" s="610"/>
      <c r="F425" s="610"/>
      <c r="G425" s="610"/>
      <c r="H425" s="610"/>
      <c r="I425" s="610"/>
      <c r="J425" s="610"/>
      <c r="L425" s="610"/>
      <c r="M425" s="610"/>
      <c r="N425" s="610"/>
      <c r="O425" s="610"/>
      <c r="P425" s="610"/>
      <c r="Q425" s="610"/>
      <c r="R425" s="610"/>
      <c r="S425" s="610"/>
      <c r="T425" s="610"/>
      <c r="U425" s="610"/>
      <c r="V425" s="610"/>
      <c r="W425" s="610"/>
      <c r="X425" s="610"/>
      <c r="Y425" s="610"/>
      <c r="Z425" s="610"/>
      <c r="AA425" s="610"/>
      <c r="AB425" s="610"/>
      <c r="AC425" s="610"/>
      <c r="AD425" s="610"/>
      <c r="AE425" s="610"/>
      <c r="AF425" s="610"/>
      <c r="AG425" s="610"/>
      <c r="AH425" s="610"/>
      <c r="AI425" s="610"/>
      <c r="AJ425" s="610"/>
      <c r="AK425" s="610"/>
      <c r="AL425" s="610"/>
      <c r="AM425" s="610"/>
      <c r="AN425" s="610"/>
      <c r="AO425" s="610"/>
      <c r="AP425" s="610"/>
      <c r="AQ425" s="610"/>
    </row>
    <row r="426" spans="2:43" s="609" customFormat="1">
      <c r="B426" s="610"/>
      <c r="C426" s="610"/>
      <c r="D426" s="610"/>
      <c r="E426" s="610"/>
      <c r="F426" s="610"/>
      <c r="G426" s="610"/>
      <c r="H426" s="610"/>
      <c r="I426" s="610"/>
      <c r="J426" s="610"/>
      <c r="L426" s="610"/>
      <c r="M426" s="610"/>
      <c r="N426" s="610"/>
      <c r="O426" s="610"/>
      <c r="P426" s="610"/>
      <c r="Q426" s="610"/>
      <c r="R426" s="610"/>
      <c r="S426" s="610"/>
      <c r="T426" s="610"/>
      <c r="U426" s="610"/>
      <c r="V426" s="610"/>
      <c r="W426" s="610"/>
      <c r="X426" s="610"/>
      <c r="Y426" s="610"/>
      <c r="Z426" s="610"/>
      <c r="AA426" s="610"/>
      <c r="AB426" s="610"/>
      <c r="AC426" s="610"/>
      <c r="AD426" s="610"/>
      <c r="AE426" s="610"/>
      <c r="AF426" s="610"/>
      <c r="AG426" s="610"/>
      <c r="AH426" s="610"/>
      <c r="AI426" s="610"/>
      <c r="AJ426" s="610"/>
      <c r="AK426" s="610"/>
      <c r="AL426" s="610"/>
      <c r="AM426" s="610"/>
      <c r="AN426" s="610"/>
      <c r="AO426" s="610"/>
      <c r="AP426" s="610"/>
      <c r="AQ426" s="610"/>
    </row>
    <row r="427" spans="2:43" s="609" customFormat="1">
      <c r="B427" s="610"/>
      <c r="C427" s="610"/>
      <c r="D427" s="610"/>
      <c r="E427" s="610"/>
      <c r="F427" s="610"/>
      <c r="G427" s="610"/>
      <c r="H427" s="610"/>
      <c r="I427" s="610"/>
      <c r="J427" s="610"/>
      <c r="L427" s="610"/>
      <c r="M427" s="610"/>
      <c r="N427" s="610"/>
      <c r="O427" s="610"/>
      <c r="P427" s="610"/>
      <c r="Q427" s="610"/>
      <c r="R427" s="610"/>
      <c r="S427" s="610"/>
      <c r="T427" s="610"/>
      <c r="U427" s="610"/>
      <c r="V427" s="610"/>
      <c r="W427" s="610"/>
      <c r="X427" s="610"/>
      <c r="Y427" s="610"/>
      <c r="Z427" s="610"/>
      <c r="AA427" s="610"/>
      <c r="AB427" s="610"/>
      <c r="AC427" s="610"/>
      <c r="AD427" s="610"/>
      <c r="AE427" s="610"/>
      <c r="AF427" s="610"/>
      <c r="AG427" s="610"/>
      <c r="AH427" s="610"/>
      <c r="AI427" s="610"/>
      <c r="AJ427" s="610"/>
      <c r="AK427" s="610"/>
      <c r="AL427" s="610"/>
      <c r="AM427" s="610"/>
      <c r="AN427" s="610"/>
      <c r="AO427" s="610"/>
      <c r="AP427" s="610"/>
      <c r="AQ427" s="610"/>
    </row>
    <row r="428" spans="2:43" s="609" customFormat="1">
      <c r="B428" s="610"/>
      <c r="C428" s="610"/>
      <c r="D428" s="610"/>
      <c r="E428" s="610"/>
      <c r="F428" s="610"/>
      <c r="G428" s="610"/>
      <c r="H428" s="610"/>
      <c r="I428" s="610"/>
      <c r="J428" s="610"/>
      <c r="L428" s="610"/>
      <c r="M428" s="610"/>
      <c r="N428" s="610"/>
      <c r="O428" s="610"/>
      <c r="P428" s="610"/>
      <c r="Q428" s="610"/>
      <c r="R428" s="610"/>
      <c r="S428" s="610"/>
      <c r="T428" s="610"/>
      <c r="U428" s="610"/>
      <c r="V428" s="610"/>
      <c r="W428" s="610"/>
      <c r="X428" s="610"/>
      <c r="Y428" s="610"/>
      <c r="Z428" s="610"/>
      <c r="AA428" s="610"/>
      <c r="AB428" s="610"/>
      <c r="AC428" s="610"/>
      <c r="AD428" s="610"/>
      <c r="AE428" s="610"/>
      <c r="AF428" s="610"/>
      <c r="AG428" s="610"/>
      <c r="AH428" s="610"/>
      <c r="AI428" s="610"/>
      <c r="AJ428" s="610"/>
      <c r="AK428" s="610"/>
      <c r="AL428" s="610"/>
      <c r="AM428" s="610"/>
      <c r="AN428" s="610"/>
      <c r="AO428" s="610"/>
      <c r="AP428" s="610"/>
      <c r="AQ428" s="610"/>
    </row>
    <row r="429" spans="2:43" s="609" customFormat="1">
      <c r="B429" s="610"/>
      <c r="C429" s="610"/>
      <c r="D429" s="610"/>
      <c r="E429" s="610"/>
      <c r="F429" s="610"/>
      <c r="G429" s="610"/>
      <c r="H429" s="610"/>
      <c r="I429" s="610"/>
      <c r="J429" s="610"/>
      <c r="L429" s="610"/>
      <c r="M429" s="610"/>
      <c r="N429" s="610"/>
      <c r="O429" s="610"/>
      <c r="P429" s="610"/>
      <c r="Q429" s="610"/>
      <c r="R429" s="610"/>
      <c r="S429" s="610"/>
      <c r="T429" s="610"/>
      <c r="U429" s="610"/>
      <c r="V429" s="610"/>
      <c r="W429" s="610"/>
      <c r="X429" s="610"/>
      <c r="Y429" s="610"/>
      <c r="Z429" s="610"/>
      <c r="AA429" s="610"/>
      <c r="AB429" s="610"/>
      <c r="AC429" s="610"/>
      <c r="AD429" s="610"/>
      <c r="AE429" s="610"/>
      <c r="AF429" s="610"/>
      <c r="AG429" s="610"/>
      <c r="AH429" s="610"/>
      <c r="AI429" s="610"/>
      <c r="AJ429" s="610"/>
      <c r="AK429" s="610"/>
      <c r="AL429" s="610"/>
      <c r="AM429" s="610"/>
      <c r="AN429" s="610"/>
      <c r="AO429" s="610"/>
      <c r="AP429" s="610"/>
      <c r="AQ429" s="610"/>
    </row>
    <row r="430" spans="2:43" s="609" customFormat="1">
      <c r="B430" s="610"/>
      <c r="C430" s="610"/>
      <c r="D430" s="610"/>
      <c r="E430" s="610"/>
      <c r="F430" s="610"/>
      <c r="G430" s="610"/>
      <c r="H430" s="610"/>
      <c r="I430" s="610"/>
      <c r="J430" s="610"/>
      <c r="L430" s="610"/>
      <c r="M430" s="610"/>
      <c r="N430" s="610"/>
      <c r="O430" s="610"/>
      <c r="P430" s="610"/>
      <c r="Q430" s="610"/>
      <c r="R430" s="610"/>
      <c r="S430" s="610"/>
      <c r="T430" s="610"/>
      <c r="U430" s="610"/>
      <c r="V430" s="610"/>
      <c r="W430" s="610"/>
      <c r="X430" s="610"/>
      <c r="Y430" s="610"/>
      <c r="Z430" s="610"/>
      <c r="AA430" s="610"/>
      <c r="AB430" s="610"/>
      <c r="AC430" s="610"/>
      <c r="AD430" s="610"/>
      <c r="AE430" s="610"/>
      <c r="AF430" s="610"/>
      <c r="AG430" s="610"/>
      <c r="AH430" s="610"/>
      <c r="AI430" s="610"/>
      <c r="AJ430" s="610"/>
      <c r="AK430" s="610"/>
      <c r="AL430" s="610"/>
      <c r="AM430" s="610"/>
      <c r="AN430" s="610"/>
      <c r="AO430" s="610"/>
      <c r="AP430" s="610"/>
      <c r="AQ430" s="610"/>
    </row>
    <row r="431" spans="2:43" s="609" customFormat="1">
      <c r="B431" s="610"/>
      <c r="C431" s="610"/>
      <c r="D431" s="610"/>
      <c r="E431" s="610"/>
      <c r="F431" s="610"/>
      <c r="G431" s="610"/>
      <c r="H431" s="610"/>
      <c r="I431" s="610"/>
      <c r="J431" s="610"/>
      <c r="L431" s="610"/>
      <c r="M431" s="610"/>
      <c r="N431" s="610"/>
      <c r="O431" s="610"/>
      <c r="P431" s="610"/>
      <c r="Q431" s="610"/>
      <c r="R431" s="610"/>
      <c r="S431" s="610"/>
      <c r="T431" s="610"/>
      <c r="U431" s="610"/>
      <c r="V431" s="610"/>
      <c r="W431" s="610"/>
      <c r="X431" s="610"/>
      <c r="Y431" s="610"/>
      <c r="Z431" s="610"/>
      <c r="AA431" s="610"/>
      <c r="AB431" s="610"/>
      <c r="AC431" s="610"/>
      <c r="AD431" s="610"/>
      <c r="AE431" s="610"/>
      <c r="AF431" s="610"/>
      <c r="AG431" s="610"/>
      <c r="AH431" s="610"/>
      <c r="AI431" s="610"/>
      <c r="AJ431" s="610"/>
      <c r="AK431" s="610"/>
      <c r="AL431" s="610"/>
      <c r="AM431" s="610"/>
      <c r="AN431" s="610"/>
      <c r="AO431" s="610"/>
      <c r="AP431" s="610"/>
      <c r="AQ431" s="610"/>
    </row>
    <row r="432" spans="2:43" s="609" customFormat="1">
      <c r="B432" s="610"/>
      <c r="C432" s="610"/>
      <c r="D432" s="610"/>
      <c r="E432" s="610"/>
      <c r="F432" s="610"/>
      <c r="G432" s="610"/>
      <c r="H432" s="610"/>
      <c r="I432" s="610"/>
      <c r="J432" s="610"/>
      <c r="L432" s="610"/>
      <c r="M432" s="610"/>
      <c r="N432" s="610"/>
      <c r="O432" s="610"/>
      <c r="P432" s="610"/>
      <c r="Q432" s="610"/>
      <c r="R432" s="610"/>
      <c r="S432" s="610"/>
      <c r="T432" s="610"/>
      <c r="U432" s="610"/>
      <c r="V432" s="610"/>
      <c r="W432" s="610"/>
      <c r="X432" s="610"/>
      <c r="Y432" s="610"/>
      <c r="Z432" s="610"/>
      <c r="AA432" s="610"/>
      <c r="AB432" s="610"/>
      <c r="AC432" s="610"/>
      <c r="AD432" s="610"/>
      <c r="AE432" s="610"/>
      <c r="AF432" s="610"/>
      <c r="AG432" s="610"/>
      <c r="AH432" s="610"/>
      <c r="AI432" s="610"/>
      <c r="AJ432" s="610"/>
      <c r="AK432" s="610"/>
      <c r="AL432" s="610"/>
      <c r="AM432" s="610"/>
      <c r="AN432" s="610"/>
      <c r="AO432" s="610"/>
      <c r="AP432" s="610"/>
      <c r="AQ432" s="610"/>
    </row>
    <row r="433" spans="2:43" s="609" customFormat="1">
      <c r="B433" s="610"/>
      <c r="C433" s="610"/>
      <c r="D433" s="610"/>
      <c r="E433" s="610"/>
      <c r="F433" s="610"/>
      <c r="G433" s="610"/>
      <c r="H433" s="610"/>
      <c r="I433" s="610"/>
      <c r="J433" s="610"/>
      <c r="L433" s="610"/>
      <c r="M433" s="610"/>
      <c r="N433" s="610"/>
      <c r="O433" s="610"/>
      <c r="P433" s="610"/>
      <c r="Q433" s="610"/>
      <c r="R433" s="610"/>
      <c r="S433" s="610"/>
      <c r="T433" s="610"/>
      <c r="U433" s="610"/>
      <c r="V433" s="610"/>
      <c r="W433" s="610"/>
      <c r="X433" s="610"/>
      <c r="Y433" s="610"/>
      <c r="Z433" s="610"/>
      <c r="AA433" s="610"/>
      <c r="AB433" s="610"/>
      <c r="AC433" s="610"/>
      <c r="AD433" s="610"/>
      <c r="AE433" s="610"/>
      <c r="AF433" s="610"/>
      <c r="AG433" s="610"/>
      <c r="AH433" s="610"/>
      <c r="AI433" s="610"/>
      <c r="AJ433" s="610"/>
      <c r="AK433" s="610"/>
      <c r="AL433" s="610"/>
      <c r="AM433" s="610"/>
      <c r="AN433" s="610"/>
      <c r="AO433" s="610"/>
      <c r="AP433" s="610"/>
      <c r="AQ433" s="610"/>
    </row>
    <row r="434" spans="2:43" s="609" customFormat="1">
      <c r="B434" s="610"/>
      <c r="C434" s="610"/>
      <c r="D434" s="610"/>
      <c r="E434" s="610"/>
      <c r="F434" s="610"/>
      <c r="G434" s="610"/>
      <c r="H434" s="610"/>
      <c r="I434" s="610"/>
      <c r="J434" s="610"/>
      <c r="L434" s="610"/>
      <c r="M434" s="610"/>
      <c r="N434" s="610"/>
      <c r="O434" s="610"/>
      <c r="P434" s="610"/>
      <c r="Q434" s="610"/>
      <c r="R434" s="610"/>
      <c r="S434" s="610"/>
      <c r="T434" s="610"/>
      <c r="U434" s="610"/>
      <c r="V434" s="610"/>
      <c r="W434" s="610"/>
      <c r="X434" s="610"/>
      <c r="Y434" s="610"/>
      <c r="Z434" s="610"/>
      <c r="AA434" s="610"/>
      <c r="AB434" s="610"/>
      <c r="AC434" s="610"/>
      <c r="AD434" s="610"/>
      <c r="AE434" s="610"/>
      <c r="AF434" s="610"/>
      <c r="AG434" s="610"/>
      <c r="AH434" s="610"/>
      <c r="AI434" s="610"/>
      <c r="AJ434" s="610"/>
      <c r="AK434" s="610"/>
      <c r="AL434" s="610"/>
      <c r="AM434" s="610"/>
      <c r="AN434" s="610"/>
      <c r="AO434" s="610"/>
      <c r="AP434" s="610"/>
      <c r="AQ434" s="610"/>
    </row>
    <row r="435" spans="2:43" s="609" customFormat="1">
      <c r="B435" s="610"/>
      <c r="C435" s="610"/>
      <c r="D435" s="610"/>
      <c r="E435" s="610"/>
      <c r="F435" s="610"/>
      <c r="G435" s="610"/>
      <c r="H435" s="610"/>
      <c r="I435" s="610"/>
      <c r="J435" s="610"/>
      <c r="L435" s="610"/>
      <c r="M435" s="610"/>
      <c r="N435" s="610"/>
      <c r="O435" s="610"/>
      <c r="P435" s="610"/>
      <c r="Q435" s="610"/>
      <c r="R435" s="610"/>
      <c r="S435" s="610"/>
      <c r="T435" s="610"/>
      <c r="U435" s="610"/>
      <c r="V435" s="610"/>
      <c r="W435" s="610"/>
      <c r="X435" s="610"/>
      <c r="Y435" s="610"/>
      <c r="Z435" s="610"/>
      <c r="AA435" s="610"/>
      <c r="AB435" s="610"/>
      <c r="AC435" s="610"/>
      <c r="AD435" s="610"/>
      <c r="AE435" s="610"/>
      <c r="AF435" s="610"/>
      <c r="AG435" s="610"/>
      <c r="AH435" s="610"/>
      <c r="AI435" s="610"/>
      <c r="AJ435" s="610"/>
      <c r="AK435" s="610"/>
      <c r="AL435" s="610"/>
      <c r="AM435" s="610"/>
      <c r="AN435" s="610"/>
      <c r="AO435" s="610"/>
      <c r="AP435" s="610"/>
      <c r="AQ435" s="610"/>
    </row>
    <row r="436" spans="2:43" s="609" customFormat="1">
      <c r="B436" s="610"/>
      <c r="C436" s="610"/>
      <c r="D436" s="610"/>
      <c r="E436" s="610"/>
      <c r="F436" s="610"/>
      <c r="G436" s="610"/>
      <c r="H436" s="610"/>
      <c r="I436" s="610"/>
      <c r="J436" s="610"/>
      <c r="L436" s="610"/>
      <c r="M436" s="610"/>
      <c r="N436" s="610"/>
      <c r="O436" s="610"/>
      <c r="P436" s="610"/>
      <c r="Q436" s="610"/>
      <c r="R436" s="610"/>
      <c r="S436" s="610"/>
      <c r="T436" s="610"/>
      <c r="U436" s="610"/>
      <c r="V436" s="610"/>
      <c r="W436" s="610"/>
      <c r="X436" s="610"/>
      <c r="Y436" s="610"/>
      <c r="Z436" s="610"/>
      <c r="AA436" s="610"/>
      <c r="AB436" s="610"/>
      <c r="AC436" s="610"/>
      <c r="AD436" s="610"/>
      <c r="AE436" s="610"/>
      <c r="AF436" s="610"/>
      <c r="AG436" s="610"/>
      <c r="AH436" s="610"/>
      <c r="AI436" s="610"/>
      <c r="AJ436" s="610"/>
      <c r="AK436" s="610"/>
      <c r="AL436" s="610"/>
      <c r="AM436" s="610"/>
      <c r="AN436" s="610"/>
      <c r="AO436" s="610"/>
      <c r="AP436" s="610"/>
      <c r="AQ436" s="610"/>
    </row>
    <row r="437" spans="2:43" s="609" customFormat="1">
      <c r="B437" s="610"/>
      <c r="C437" s="610"/>
      <c r="D437" s="610"/>
      <c r="E437" s="610"/>
      <c r="F437" s="610"/>
      <c r="G437" s="610"/>
      <c r="H437" s="610"/>
      <c r="I437" s="610"/>
      <c r="J437" s="610"/>
      <c r="L437" s="610"/>
      <c r="M437" s="610"/>
      <c r="N437" s="610"/>
      <c r="O437" s="610"/>
      <c r="P437" s="610"/>
      <c r="Q437" s="610"/>
      <c r="R437" s="610"/>
      <c r="S437" s="610"/>
      <c r="T437" s="610"/>
      <c r="U437" s="610"/>
      <c r="V437" s="610"/>
      <c r="W437" s="610"/>
      <c r="X437" s="610"/>
      <c r="Y437" s="610"/>
      <c r="Z437" s="610"/>
      <c r="AA437" s="610"/>
      <c r="AB437" s="610"/>
      <c r="AC437" s="610"/>
      <c r="AD437" s="610"/>
      <c r="AE437" s="610"/>
      <c r="AF437" s="610"/>
      <c r="AG437" s="610"/>
      <c r="AH437" s="610"/>
      <c r="AI437" s="610"/>
      <c r="AJ437" s="610"/>
      <c r="AK437" s="610"/>
      <c r="AL437" s="610"/>
      <c r="AM437" s="610"/>
      <c r="AN437" s="610"/>
      <c r="AO437" s="610"/>
      <c r="AP437" s="610"/>
      <c r="AQ437" s="610"/>
    </row>
    <row r="438" spans="2:43" s="609" customFormat="1">
      <c r="B438" s="610"/>
      <c r="C438" s="610"/>
      <c r="D438" s="610"/>
      <c r="E438" s="610"/>
      <c r="F438" s="610"/>
      <c r="G438" s="610"/>
      <c r="H438" s="610"/>
      <c r="I438" s="610"/>
      <c r="J438" s="610"/>
      <c r="L438" s="610"/>
      <c r="M438" s="610"/>
      <c r="N438" s="610"/>
      <c r="O438" s="610"/>
      <c r="P438" s="610"/>
      <c r="Q438" s="610"/>
      <c r="R438" s="610"/>
      <c r="S438" s="610"/>
      <c r="T438" s="610"/>
      <c r="U438" s="610"/>
      <c r="V438" s="610"/>
      <c r="W438" s="610"/>
      <c r="X438" s="610"/>
      <c r="Y438" s="610"/>
      <c r="Z438" s="610"/>
      <c r="AA438" s="610"/>
      <c r="AB438" s="610"/>
      <c r="AC438" s="610"/>
      <c r="AD438" s="610"/>
      <c r="AE438" s="610"/>
      <c r="AF438" s="610"/>
      <c r="AG438" s="610"/>
      <c r="AH438" s="610"/>
      <c r="AI438" s="610"/>
      <c r="AJ438" s="610"/>
      <c r="AK438" s="610"/>
      <c r="AL438" s="610"/>
      <c r="AM438" s="610"/>
      <c r="AN438" s="610"/>
      <c r="AO438" s="610"/>
      <c r="AP438" s="610"/>
      <c r="AQ438" s="610"/>
    </row>
    <row r="439" spans="2:43" s="609" customFormat="1">
      <c r="B439" s="610"/>
      <c r="C439" s="610"/>
      <c r="D439" s="610"/>
      <c r="E439" s="610"/>
      <c r="F439" s="610"/>
      <c r="G439" s="610"/>
      <c r="H439" s="610"/>
      <c r="I439" s="610"/>
      <c r="J439" s="610"/>
      <c r="L439" s="610"/>
      <c r="M439" s="610"/>
      <c r="N439" s="610"/>
      <c r="O439" s="610"/>
      <c r="P439" s="610"/>
      <c r="Q439" s="610"/>
      <c r="R439" s="610"/>
      <c r="S439" s="610"/>
      <c r="T439" s="610"/>
      <c r="U439" s="610"/>
      <c r="V439" s="610"/>
      <c r="W439" s="610"/>
      <c r="X439" s="610"/>
      <c r="Y439" s="610"/>
      <c r="Z439" s="610"/>
      <c r="AA439" s="610"/>
      <c r="AB439" s="610"/>
      <c r="AC439" s="610"/>
      <c r="AD439" s="610"/>
      <c r="AE439" s="610"/>
      <c r="AF439" s="610"/>
      <c r="AG439" s="610"/>
      <c r="AH439" s="610"/>
      <c r="AI439" s="610"/>
      <c r="AJ439" s="610"/>
      <c r="AK439" s="610"/>
      <c r="AL439" s="610"/>
      <c r="AM439" s="610"/>
      <c r="AN439" s="610"/>
      <c r="AO439" s="610"/>
      <c r="AP439" s="610"/>
      <c r="AQ439" s="610"/>
    </row>
    <row r="440" spans="2:43" s="609" customFormat="1">
      <c r="B440" s="610"/>
      <c r="C440" s="610"/>
      <c r="D440" s="610"/>
      <c r="E440" s="610"/>
      <c r="F440" s="610"/>
      <c r="G440" s="610"/>
      <c r="H440" s="610"/>
      <c r="I440" s="610"/>
      <c r="J440" s="610"/>
      <c r="L440" s="610"/>
      <c r="M440" s="610"/>
      <c r="N440" s="610"/>
      <c r="O440" s="610"/>
      <c r="P440" s="610"/>
      <c r="Q440" s="610"/>
      <c r="R440" s="610"/>
      <c r="S440" s="610"/>
      <c r="T440" s="610"/>
      <c r="U440" s="610"/>
      <c r="V440" s="610"/>
      <c r="W440" s="610"/>
      <c r="X440" s="610"/>
      <c r="Y440" s="610"/>
      <c r="Z440" s="610"/>
      <c r="AA440" s="610"/>
      <c r="AB440" s="610"/>
      <c r="AC440" s="610"/>
      <c r="AD440" s="610"/>
      <c r="AE440" s="610"/>
      <c r="AF440" s="610"/>
      <c r="AG440" s="610"/>
      <c r="AH440" s="610"/>
      <c r="AI440" s="610"/>
      <c r="AJ440" s="610"/>
      <c r="AK440" s="610"/>
      <c r="AL440" s="610"/>
      <c r="AM440" s="610"/>
      <c r="AN440" s="610"/>
      <c r="AO440" s="610"/>
      <c r="AP440" s="610"/>
      <c r="AQ440" s="610"/>
    </row>
    <row r="441" spans="2:43" s="609" customFormat="1">
      <c r="B441" s="610"/>
      <c r="C441" s="610"/>
      <c r="D441" s="610"/>
      <c r="E441" s="610"/>
      <c r="F441" s="610"/>
      <c r="G441" s="610"/>
      <c r="H441" s="610"/>
      <c r="I441" s="610"/>
      <c r="J441" s="610"/>
      <c r="L441" s="610"/>
      <c r="M441" s="610"/>
      <c r="N441" s="610"/>
      <c r="O441" s="610"/>
      <c r="P441" s="610"/>
      <c r="Q441" s="610"/>
      <c r="R441" s="610"/>
      <c r="S441" s="610"/>
      <c r="T441" s="610"/>
      <c r="U441" s="610"/>
      <c r="V441" s="610"/>
      <c r="W441" s="610"/>
      <c r="X441" s="610"/>
      <c r="Y441" s="610"/>
      <c r="Z441" s="610"/>
      <c r="AA441" s="610"/>
      <c r="AB441" s="610"/>
      <c r="AC441" s="610"/>
      <c r="AD441" s="610"/>
      <c r="AE441" s="610"/>
      <c r="AF441" s="610"/>
      <c r="AG441" s="610"/>
      <c r="AH441" s="610"/>
      <c r="AI441" s="610"/>
      <c r="AJ441" s="610"/>
      <c r="AK441" s="610"/>
      <c r="AL441" s="610"/>
      <c r="AM441" s="610"/>
      <c r="AN441" s="610"/>
      <c r="AO441" s="610"/>
      <c r="AP441" s="610"/>
      <c r="AQ441" s="610"/>
    </row>
    <row r="442" spans="2:43" s="609" customFormat="1">
      <c r="B442" s="610"/>
      <c r="C442" s="610"/>
      <c r="D442" s="610"/>
      <c r="E442" s="610"/>
      <c r="F442" s="610"/>
      <c r="G442" s="610"/>
      <c r="H442" s="610"/>
      <c r="I442" s="610"/>
      <c r="J442" s="610"/>
      <c r="L442" s="610"/>
      <c r="M442" s="610"/>
      <c r="N442" s="610"/>
      <c r="O442" s="610"/>
      <c r="P442" s="610"/>
      <c r="Q442" s="610"/>
      <c r="R442" s="610"/>
      <c r="S442" s="610"/>
      <c r="T442" s="610"/>
      <c r="U442" s="610"/>
      <c r="V442" s="610"/>
      <c r="W442" s="610"/>
      <c r="X442" s="610"/>
      <c r="Y442" s="610"/>
      <c r="Z442" s="610"/>
      <c r="AA442" s="610"/>
      <c r="AB442" s="610"/>
      <c r="AC442" s="610"/>
      <c r="AD442" s="610"/>
      <c r="AE442" s="610"/>
      <c r="AF442" s="610"/>
      <c r="AG442" s="610"/>
      <c r="AH442" s="610"/>
      <c r="AI442" s="610"/>
      <c r="AJ442" s="610"/>
      <c r="AK442" s="610"/>
      <c r="AL442" s="610"/>
      <c r="AM442" s="610"/>
      <c r="AN442" s="610"/>
      <c r="AO442" s="610"/>
      <c r="AP442" s="610"/>
      <c r="AQ442" s="610"/>
    </row>
    <row r="443" spans="2:43" s="609" customFormat="1">
      <c r="B443" s="610"/>
      <c r="C443" s="610"/>
      <c r="D443" s="610"/>
      <c r="E443" s="610"/>
      <c r="F443" s="610"/>
      <c r="G443" s="610"/>
      <c r="H443" s="610"/>
      <c r="I443" s="610"/>
      <c r="J443" s="610"/>
      <c r="L443" s="610"/>
      <c r="M443" s="610"/>
      <c r="N443" s="610"/>
      <c r="O443" s="610"/>
      <c r="P443" s="610"/>
      <c r="Q443" s="610"/>
      <c r="R443" s="610"/>
      <c r="S443" s="610"/>
      <c r="T443" s="610"/>
      <c r="U443" s="610"/>
      <c r="V443" s="610"/>
      <c r="W443" s="610"/>
      <c r="X443" s="610"/>
      <c r="Y443" s="610"/>
      <c r="Z443" s="610"/>
      <c r="AA443" s="610"/>
      <c r="AB443" s="610"/>
      <c r="AC443" s="610"/>
      <c r="AD443" s="610"/>
      <c r="AE443" s="610"/>
      <c r="AF443" s="610"/>
      <c r="AG443" s="610"/>
      <c r="AH443" s="610"/>
      <c r="AI443" s="610"/>
      <c r="AJ443" s="610"/>
      <c r="AK443" s="610"/>
      <c r="AL443" s="610"/>
      <c r="AM443" s="610"/>
      <c r="AN443" s="610"/>
      <c r="AO443" s="610"/>
      <c r="AP443" s="610"/>
      <c r="AQ443" s="610"/>
    </row>
    <row r="444" spans="2:43" s="609" customFormat="1">
      <c r="B444" s="610"/>
      <c r="C444" s="610"/>
      <c r="D444" s="610"/>
      <c r="E444" s="610"/>
      <c r="F444" s="610"/>
      <c r="G444" s="610"/>
      <c r="H444" s="610"/>
      <c r="I444" s="610"/>
      <c r="J444" s="610"/>
      <c r="L444" s="610"/>
      <c r="M444" s="610"/>
      <c r="N444" s="610"/>
      <c r="O444" s="610"/>
      <c r="P444" s="610"/>
      <c r="Q444" s="610"/>
      <c r="R444" s="610"/>
      <c r="S444" s="610"/>
      <c r="T444" s="610"/>
      <c r="U444" s="610"/>
      <c r="V444" s="610"/>
      <c r="W444" s="610"/>
      <c r="X444" s="610"/>
      <c r="Y444" s="610"/>
      <c r="Z444" s="610"/>
      <c r="AA444" s="610"/>
      <c r="AB444" s="610"/>
      <c r="AC444" s="610"/>
      <c r="AD444" s="610"/>
      <c r="AE444" s="610"/>
      <c r="AF444" s="610"/>
      <c r="AG444" s="610"/>
      <c r="AH444" s="610"/>
      <c r="AI444" s="610"/>
      <c r="AJ444" s="610"/>
      <c r="AK444" s="610"/>
      <c r="AL444" s="610"/>
      <c r="AM444" s="610"/>
      <c r="AN444" s="610"/>
      <c r="AO444" s="610"/>
      <c r="AP444" s="610"/>
      <c r="AQ444" s="610"/>
    </row>
    <row r="445" spans="2:43" s="609" customFormat="1">
      <c r="B445" s="610"/>
      <c r="C445" s="610"/>
      <c r="D445" s="610"/>
      <c r="E445" s="610"/>
      <c r="F445" s="610"/>
      <c r="G445" s="610"/>
      <c r="H445" s="610"/>
      <c r="I445" s="610"/>
      <c r="J445" s="610"/>
      <c r="L445" s="610"/>
      <c r="M445" s="610"/>
      <c r="N445" s="610"/>
      <c r="O445" s="610"/>
      <c r="P445" s="610"/>
      <c r="Q445" s="610"/>
      <c r="R445" s="610"/>
      <c r="S445" s="610"/>
      <c r="T445" s="610"/>
      <c r="U445" s="610"/>
      <c r="V445" s="610"/>
      <c r="W445" s="610"/>
      <c r="X445" s="610"/>
      <c r="Y445" s="610"/>
      <c r="Z445" s="610"/>
      <c r="AA445" s="610"/>
      <c r="AB445" s="610"/>
      <c r="AC445" s="610"/>
      <c r="AD445" s="610"/>
      <c r="AE445" s="610"/>
      <c r="AF445" s="610"/>
      <c r="AG445" s="610"/>
      <c r="AH445" s="610"/>
      <c r="AI445" s="610"/>
      <c r="AJ445" s="610"/>
      <c r="AK445" s="610"/>
      <c r="AL445" s="610"/>
      <c r="AM445" s="610"/>
      <c r="AN445" s="610"/>
      <c r="AO445" s="610"/>
      <c r="AP445" s="610"/>
      <c r="AQ445" s="610"/>
    </row>
    <row r="446" spans="2:43" s="609" customFormat="1">
      <c r="B446" s="610"/>
      <c r="C446" s="610"/>
      <c r="D446" s="610"/>
      <c r="E446" s="610"/>
      <c r="F446" s="610"/>
      <c r="G446" s="610"/>
      <c r="H446" s="610"/>
      <c r="I446" s="610"/>
      <c r="J446" s="610"/>
      <c r="L446" s="610"/>
      <c r="M446" s="610"/>
      <c r="N446" s="610"/>
      <c r="O446" s="610"/>
      <c r="P446" s="610"/>
      <c r="Q446" s="610"/>
      <c r="R446" s="610"/>
      <c r="S446" s="610"/>
      <c r="T446" s="610"/>
      <c r="U446" s="610"/>
      <c r="V446" s="610"/>
      <c r="W446" s="610"/>
      <c r="X446" s="610"/>
      <c r="Y446" s="610"/>
      <c r="Z446" s="610"/>
      <c r="AA446" s="610"/>
      <c r="AB446" s="610"/>
      <c r="AC446" s="610"/>
      <c r="AD446" s="610"/>
      <c r="AE446" s="610"/>
      <c r="AF446" s="610"/>
      <c r="AG446" s="610"/>
      <c r="AH446" s="610"/>
      <c r="AI446" s="610"/>
      <c r="AJ446" s="610"/>
      <c r="AK446" s="610"/>
      <c r="AL446" s="610"/>
      <c r="AM446" s="610"/>
      <c r="AN446" s="610"/>
      <c r="AO446" s="610"/>
      <c r="AP446" s="610"/>
      <c r="AQ446" s="610"/>
    </row>
    <row r="447" spans="2:43" s="609" customFormat="1">
      <c r="B447" s="610"/>
      <c r="C447" s="610"/>
      <c r="D447" s="610"/>
      <c r="E447" s="610"/>
      <c r="F447" s="610"/>
      <c r="G447" s="610"/>
      <c r="H447" s="610"/>
      <c r="I447" s="610"/>
      <c r="J447" s="610"/>
      <c r="L447" s="610"/>
      <c r="M447" s="610"/>
      <c r="N447" s="610"/>
      <c r="O447" s="610"/>
      <c r="P447" s="610"/>
      <c r="Q447" s="610"/>
      <c r="R447" s="610"/>
      <c r="S447" s="610"/>
      <c r="T447" s="610"/>
      <c r="U447" s="610"/>
      <c r="V447" s="610"/>
      <c r="W447" s="610"/>
      <c r="X447" s="610"/>
      <c r="Y447" s="610"/>
      <c r="Z447" s="610"/>
      <c r="AA447" s="610"/>
      <c r="AB447" s="610"/>
      <c r="AC447" s="610"/>
      <c r="AD447" s="610"/>
      <c r="AE447" s="610"/>
      <c r="AF447" s="610"/>
      <c r="AG447" s="610"/>
      <c r="AH447" s="610"/>
      <c r="AI447" s="610"/>
      <c r="AJ447" s="610"/>
      <c r="AK447" s="610"/>
      <c r="AL447" s="610"/>
      <c r="AM447" s="610"/>
      <c r="AN447" s="610"/>
      <c r="AO447" s="610"/>
      <c r="AP447" s="610"/>
      <c r="AQ447" s="610"/>
    </row>
    <row r="448" spans="2:43" s="609" customFormat="1">
      <c r="B448" s="610"/>
      <c r="C448" s="610"/>
      <c r="D448" s="610"/>
      <c r="E448" s="610"/>
      <c r="F448" s="610"/>
      <c r="G448" s="610"/>
      <c r="H448" s="610"/>
      <c r="I448" s="610"/>
      <c r="J448" s="610"/>
      <c r="L448" s="610"/>
      <c r="M448" s="610"/>
      <c r="N448" s="610"/>
      <c r="O448" s="610"/>
      <c r="P448" s="610"/>
      <c r="Q448" s="610"/>
      <c r="R448" s="610"/>
      <c r="S448" s="610"/>
      <c r="T448" s="610"/>
      <c r="U448" s="610"/>
      <c r="V448" s="610"/>
      <c r="W448" s="610"/>
      <c r="X448" s="610"/>
      <c r="Y448" s="610"/>
      <c r="Z448" s="610"/>
      <c r="AA448" s="610"/>
      <c r="AB448" s="610"/>
      <c r="AC448" s="610"/>
      <c r="AD448" s="610"/>
      <c r="AE448" s="610"/>
      <c r="AF448" s="610"/>
      <c r="AG448" s="610"/>
      <c r="AH448" s="610"/>
      <c r="AI448" s="610"/>
      <c r="AJ448" s="610"/>
      <c r="AK448" s="610"/>
      <c r="AL448" s="610"/>
      <c r="AM448" s="610"/>
      <c r="AN448" s="610"/>
      <c r="AO448" s="610"/>
      <c r="AP448" s="610"/>
      <c r="AQ448" s="610"/>
    </row>
    <row r="449" spans="2:43" s="609" customFormat="1">
      <c r="B449" s="610"/>
      <c r="C449" s="610"/>
      <c r="D449" s="610"/>
      <c r="E449" s="610"/>
      <c r="F449" s="610"/>
      <c r="G449" s="610"/>
      <c r="H449" s="610"/>
      <c r="I449" s="610"/>
      <c r="J449" s="610"/>
      <c r="L449" s="610"/>
      <c r="M449" s="610"/>
      <c r="N449" s="610"/>
      <c r="O449" s="610"/>
      <c r="P449" s="610"/>
      <c r="Q449" s="610"/>
      <c r="R449" s="610"/>
      <c r="S449" s="610"/>
      <c r="T449" s="610"/>
      <c r="U449" s="610"/>
      <c r="V449" s="610"/>
      <c r="W449" s="610"/>
      <c r="X449" s="610"/>
      <c r="Y449" s="610"/>
      <c r="Z449" s="610"/>
      <c r="AA449" s="610"/>
      <c r="AB449" s="610"/>
      <c r="AC449" s="610"/>
      <c r="AD449" s="610"/>
      <c r="AE449" s="610"/>
      <c r="AF449" s="610"/>
      <c r="AG449" s="610"/>
      <c r="AH449" s="610"/>
      <c r="AI449" s="610"/>
      <c r="AJ449" s="610"/>
      <c r="AK449" s="610"/>
      <c r="AL449" s="610"/>
      <c r="AM449" s="610"/>
      <c r="AN449" s="610"/>
      <c r="AO449" s="610"/>
      <c r="AP449" s="610"/>
      <c r="AQ449" s="610"/>
    </row>
    <row r="450" spans="2:43" s="609" customFormat="1">
      <c r="B450" s="610"/>
      <c r="C450" s="610"/>
      <c r="D450" s="610"/>
      <c r="E450" s="610"/>
      <c r="F450" s="610"/>
      <c r="G450" s="610"/>
      <c r="H450" s="610"/>
      <c r="I450" s="610"/>
      <c r="J450" s="610"/>
      <c r="L450" s="610"/>
      <c r="M450" s="610"/>
      <c r="N450" s="610"/>
      <c r="O450" s="610"/>
      <c r="P450" s="610"/>
      <c r="Q450" s="610"/>
      <c r="R450" s="610"/>
      <c r="S450" s="610"/>
      <c r="T450" s="610"/>
      <c r="U450" s="610"/>
      <c r="V450" s="610"/>
      <c r="W450" s="610"/>
      <c r="X450" s="610"/>
      <c r="Y450" s="610"/>
      <c r="Z450" s="610"/>
      <c r="AA450" s="610"/>
      <c r="AB450" s="610"/>
      <c r="AC450" s="610"/>
      <c r="AD450" s="610"/>
      <c r="AE450" s="610"/>
      <c r="AF450" s="610"/>
      <c r="AG450" s="610"/>
      <c r="AH450" s="610"/>
      <c r="AI450" s="610"/>
      <c r="AJ450" s="610"/>
      <c r="AK450" s="610"/>
      <c r="AL450" s="610"/>
      <c r="AM450" s="610"/>
      <c r="AN450" s="610"/>
      <c r="AO450" s="610"/>
      <c r="AP450" s="610"/>
      <c r="AQ450" s="610"/>
    </row>
    <row r="451" spans="2:43" s="609" customFormat="1">
      <c r="B451" s="610"/>
      <c r="C451" s="610"/>
      <c r="D451" s="610"/>
      <c r="E451" s="610"/>
      <c r="F451" s="610"/>
      <c r="G451" s="610"/>
      <c r="H451" s="610"/>
      <c r="I451" s="610"/>
      <c r="J451" s="610"/>
      <c r="L451" s="610"/>
      <c r="M451" s="610"/>
      <c r="N451" s="610"/>
      <c r="O451" s="610"/>
      <c r="P451" s="610"/>
      <c r="Q451" s="610"/>
      <c r="R451" s="610"/>
      <c r="S451" s="610"/>
      <c r="T451" s="610"/>
      <c r="U451" s="610"/>
      <c r="V451" s="610"/>
      <c r="W451" s="610"/>
      <c r="X451" s="610"/>
      <c r="Y451" s="610"/>
      <c r="Z451" s="610"/>
      <c r="AA451" s="610"/>
      <c r="AB451" s="610"/>
      <c r="AC451" s="610"/>
      <c r="AD451" s="610"/>
      <c r="AE451" s="610"/>
      <c r="AF451" s="610"/>
      <c r="AG451" s="610"/>
      <c r="AH451" s="610"/>
      <c r="AI451" s="610"/>
      <c r="AJ451" s="610"/>
      <c r="AK451" s="610"/>
      <c r="AL451" s="610"/>
      <c r="AM451" s="610"/>
      <c r="AN451" s="610"/>
      <c r="AO451" s="610"/>
      <c r="AP451" s="610"/>
      <c r="AQ451" s="610"/>
    </row>
    <row r="452" spans="2:43" s="609" customFormat="1">
      <c r="B452" s="610"/>
      <c r="C452" s="610"/>
      <c r="D452" s="610"/>
      <c r="E452" s="610"/>
      <c r="F452" s="610"/>
      <c r="G452" s="610"/>
      <c r="H452" s="610"/>
      <c r="I452" s="610"/>
      <c r="J452" s="610"/>
      <c r="L452" s="610"/>
      <c r="M452" s="610"/>
      <c r="N452" s="610"/>
      <c r="O452" s="610"/>
      <c r="P452" s="610"/>
      <c r="Q452" s="610"/>
      <c r="R452" s="610"/>
      <c r="S452" s="610"/>
      <c r="T452" s="610"/>
      <c r="U452" s="610"/>
      <c r="V452" s="610"/>
      <c r="W452" s="610"/>
      <c r="X452" s="610"/>
      <c r="Y452" s="610"/>
      <c r="Z452" s="610"/>
      <c r="AA452" s="610"/>
      <c r="AB452" s="610"/>
      <c r="AC452" s="610"/>
      <c r="AD452" s="610"/>
      <c r="AE452" s="610"/>
      <c r="AF452" s="610"/>
      <c r="AG452" s="610"/>
      <c r="AH452" s="610"/>
      <c r="AI452" s="610"/>
      <c r="AJ452" s="610"/>
      <c r="AK452" s="610"/>
      <c r="AL452" s="610"/>
      <c r="AM452" s="610"/>
      <c r="AN452" s="610"/>
      <c r="AO452" s="610"/>
      <c r="AP452" s="610"/>
      <c r="AQ452" s="610"/>
    </row>
    <row r="453" spans="2:43" s="609" customFormat="1">
      <c r="B453" s="610"/>
      <c r="C453" s="610"/>
      <c r="D453" s="610"/>
      <c r="E453" s="610"/>
      <c r="F453" s="610"/>
      <c r="G453" s="610"/>
      <c r="H453" s="610"/>
      <c r="I453" s="610"/>
      <c r="J453" s="610"/>
      <c r="L453" s="610"/>
      <c r="M453" s="610"/>
      <c r="N453" s="610"/>
      <c r="O453" s="610"/>
      <c r="P453" s="610"/>
      <c r="Q453" s="610"/>
      <c r="R453" s="610"/>
      <c r="S453" s="610"/>
      <c r="T453" s="610"/>
      <c r="U453" s="610"/>
      <c r="V453" s="610"/>
      <c r="W453" s="610"/>
      <c r="X453" s="610"/>
      <c r="Y453" s="610"/>
      <c r="Z453" s="610"/>
      <c r="AA453" s="610"/>
      <c r="AB453" s="610"/>
      <c r="AC453" s="610"/>
      <c r="AD453" s="610"/>
      <c r="AE453" s="610"/>
      <c r="AF453" s="610"/>
      <c r="AG453" s="610"/>
      <c r="AH453" s="610"/>
      <c r="AI453" s="610"/>
      <c r="AJ453" s="610"/>
      <c r="AK453" s="610"/>
      <c r="AL453" s="610"/>
      <c r="AM453" s="610"/>
      <c r="AN453" s="610"/>
      <c r="AO453" s="610"/>
      <c r="AP453" s="610"/>
      <c r="AQ453" s="610"/>
    </row>
    <row r="454" spans="2:43" s="609" customFormat="1">
      <c r="B454" s="610"/>
      <c r="C454" s="610"/>
      <c r="D454" s="610"/>
      <c r="E454" s="610"/>
      <c r="F454" s="610"/>
      <c r="G454" s="610"/>
      <c r="H454" s="610"/>
      <c r="I454" s="610"/>
      <c r="J454" s="610"/>
      <c r="L454" s="610"/>
      <c r="M454" s="610"/>
      <c r="N454" s="610"/>
      <c r="O454" s="610"/>
      <c r="P454" s="610"/>
      <c r="Q454" s="610"/>
      <c r="R454" s="610"/>
      <c r="S454" s="610"/>
      <c r="T454" s="610"/>
      <c r="U454" s="610"/>
      <c r="V454" s="610"/>
      <c r="W454" s="610"/>
      <c r="X454" s="610"/>
      <c r="Y454" s="610"/>
      <c r="Z454" s="610"/>
      <c r="AA454" s="610"/>
      <c r="AB454" s="610"/>
      <c r="AC454" s="610"/>
      <c r="AD454" s="610"/>
      <c r="AE454" s="610"/>
      <c r="AF454" s="610"/>
      <c r="AG454" s="610"/>
      <c r="AH454" s="610"/>
      <c r="AI454" s="610"/>
      <c r="AJ454" s="610"/>
      <c r="AK454" s="610"/>
      <c r="AL454" s="610"/>
      <c r="AM454" s="610"/>
      <c r="AN454" s="610"/>
      <c r="AO454" s="610"/>
      <c r="AP454" s="610"/>
      <c r="AQ454" s="610"/>
    </row>
    <row r="455" spans="2:43" s="609" customFormat="1">
      <c r="B455" s="610"/>
      <c r="C455" s="610"/>
      <c r="D455" s="610"/>
      <c r="E455" s="610"/>
      <c r="F455" s="610"/>
      <c r="G455" s="610"/>
      <c r="H455" s="610"/>
      <c r="I455" s="610"/>
      <c r="J455" s="610"/>
      <c r="L455" s="610"/>
      <c r="M455" s="610"/>
      <c r="N455" s="610"/>
      <c r="O455" s="610"/>
      <c r="P455" s="610"/>
      <c r="Q455" s="610"/>
      <c r="R455" s="610"/>
      <c r="S455" s="610"/>
      <c r="T455" s="610"/>
      <c r="U455" s="610"/>
      <c r="V455" s="610"/>
      <c r="W455" s="610"/>
      <c r="X455" s="610"/>
      <c r="Y455" s="610"/>
      <c r="Z455" s="610"/>
      <c r="AA455" s="610"/>
      <c r="AB455" s="610"/>
      <c r="AC455" s="610"/>
      <c r="AD455" s="610"/>
      <c r="AE455" s="610"/>
      <c r="AF455" s="610"/>
      <c r="AG455" s="610"/>
      <c r="AH455" s="610"/>
      <c r="AI455" s="610"/>
      <c r="AJ455" s="610"/>
      <c r="AK455" s="610"/>
      <c r="AL455" s="610"/>
      <c r="AM455" s="610"/>
      <c r="AN455" s="610"/>
      <c r="AO455" s="610"/>
      <c r="AP455" s="610"/>
      <c r="AQ455" s="610"/>
    </row>
    <row r="456" spans="2:43" s="609" customFormat="1">
      <c r="B456" s="610"/>
      <c r="C456" s="610"/>
      <c r="D456" s="610"/>
      <c r="E456" s="610"/>
      <c r="F456" s="610"/>
      <c r="G456" s="610"/>
      <c r="H456" s="610"/>
      <c r="I456" s="610"/>
      <c r="J456" s="610"/>
      <c r="L456" s="610"/>
      <c r="M456" s="610"/>
      <c r="N456" s="610"/>
      <c r="O456" s="610"/>
      <c r="P456" s="610"/>
      <c r="Q456" s="610"/>
      <c r="R456" s="610"/>
      <c r="S456" s="610"/>
      <c r="T456" s="610"/>
      <c r="U456" s="610"/>
      <c r="V456" s="610"/>
      <c r="W456" s="610"/>
      <c r="X456" s="610"/>
      <c r="Y456" s="610"/>
      <c r="Z456" s="610"/>
      <c r="AA456" s="610"/>
      <c r="AB456" s="610"/>
      <c r="AC456" s="610"/>
      <c r="AD456" s="610"/>
      <c r="AE456" s="610"/>
      <c r="AF456" s="610"/>
      <c r="AG456" s="610"/>
      <c r="AH456" s="610"/>
      <c r="AI456" s="610"/>
      <c r="AJ456" s="610"/>
      <c r="AK456" s="610"/>
      <c r="AL456" s="610"/>
      <c r="AM456" s="610"/>
      <c r="AN456" s="610"/>
      <c r="AO456" s="610"/>
      <c r="AP456" s="610"/>
      <c r="AQ456" s="610"/>
    </row>
    <row r="457" spans="2:43" s="609" customFormat="1">
      <c r="B457" s="610"/>
      <c r="C457" s="610"/>
      <c r="D457" s="610"/>
      <c r="E457" s="610"/>
      <c r="F457" s="610"/>
      <c r="G457" s="610"/>
      <c r="H457" s="610"/>
      <c r="I457" s="610"/>
      <c r="J457" s="610"/>
      <c r="L457" s="610"/>
      <c r="M457" s="610"/>
      <c r="N457" s="610"/>
      <c r="O457" s="610"/>
      <c r="P457" s="610"/>
      <c r="Q457" s="610"/>
      <c r="R457" s="610"/>
      <c r="S457" s="610"/>
      <c r="T457" s="610"/>
      <c r="U457" s="610"/>
      <c r="V457" s="610"/>
      <c r="W457" s="610"/>
      <c r="X457" s="610"/>
      <c r="Y457" s="610"/>
      <c r="Z457" s="610"/>
      <c r="AA457" s="610"/>
      <c r="AB457" s="610"/>
      <c r="AC457" s="610"/>
      <c r="AD457" s="610"/>
      <c r="AE457" s="610"/>
      <c r="AF457" s="610"/>
      <c r="AG457" s="610"/>
      <c r="AH457" s="610"/>
      <c r="AI457" s="610"/>
      <c r="AJ457" s="610"/>
      <c r="AK457" s="610"/>
      <c r="AL457" s="610"/>
      <c r="AM457" s="610"/>
      <c r="AN457" s="610"/>
      <c r="AO457" s="610"/>
      <c r="AP457" s="610"/>
      <c r="AQ457" s="610"/>
    </row>
    <row r="458" spans="2:43" s="609" customFormat="1">
      <c r="B458" s="610"/>
      <c r="C458" s="610"/>
      <c r="D458" s="610"/>
      <c r="E458" s="610"/>
      <c r="F458" s="610"/>
      <c r="G458" s="610"/>
      <c r="H458" s="610"/>
      <c r="I458" s="610"/>
      <c r="J458" s="610"/>
      <c r="L458" s="610"/>
      <c r="M458" s="610"/>
      <c r="N458" s="610"/>
      <c r="O458" s="610"/>
      <c r="P458" s="610"/>
      <c r="Q458" s="610"/>
      <c r="R458" s="610"/>
      <c r="S458" s="610"/>
      <c r="T458" s="610"/>
      <c r="U458" s="610"/>
      <c r="V458" s="610"/>
      <c r="W458" s="610"/>
      <c r="X458" s="610"/>
      <c r="Y458" s="610"/>
      <c r="Z458" s="610"/>
      <c r="AA458" s="610"/>
      <c r="AB458" s="610"/>
      <c r="AC458" s="610"/>
      <c r="AD458" s="610"/>
      <c r="AE458" s="610"/>
      <c r="AF458" s="610"/>
      <c r="AG458" s="610"/>
      <c r="AH458" s="610"/>
      <c r="AI458" s="610"/>
      <c r="AJ458" s="610"/>
      <c r="AK458" s="610"/>
      <c r="AL458" s="610"/>
      <c r="AM458" s="610"/>
      <c r="AN458" s="610"/>
      <c r="AO458" s="610"/>
      <c r="AP458" s="610"/>
      <c r="AQ458" s="610"/>
    </row>
    <row r="459" spans="2:43" s="609" customFormat="1">
      <c r="B459" s="610"/>
      <c r="C459" s="610"/>
      <c r="D459" s="610"/>
      <c r="E459" s="610"/>
      <c r="F459" s="610"/>
      <c r="G459" s="610"/>
      <c r="H459" s="610"/>
      <c r="I459" s="610"/>
      <c r="J459" s="610"/>
      <c r="L459" s="610"/>
      <c r="M459" s="610"/>
      <c r="N459" s="610"/>
      <c r="O459" s="610"/>
      <c r="P459" s="610"/>
      <c r="Q459" s="610"/>
      <c r="R459" s="610"/>
      <c r="S459" s="610"/>
      <c r="T459" s="610"/>
      <c r="U459" s="610"/>
      <c r="V459" s="610"/>
      <c r="W459" s="610"/>
      <c r="X459" s="610"/>
      <c r="Y459" s="610"/>
      <c r="Z459" s="610"/>
      <c r="AA459" s="610"/>
      <c r="AB459" s="610"/>
      <c r="AC459" s="610"/>
      <c r="AD459" s="610"/>
      <c r="AE459" s="610"/>
      <c r="AF459" s="610"/>
      <c r="AG459" s="610"/>
      <c r="AH459" s="610"/>
      <c r="AI459" s="610"/>
      <c r="AJ459" s="610"/>
      <c r="AK459" s="610"/>
      <c r="AL459" s="610"/>
      <c r="AM459" s="610"/>
      <c r="AN459" s="610"/>
      <c r="AO459" s="610"/>
      <c r="AP459" s="610"/>
      <c r="AQ459" s="610"/>
    </row>
    <row r="460" spans="2:43" s="609" customFormat="1">
      <c r="B460" s="610"/>
      <c r="C460" s="610"/>
      <c r="D460" s="610"/>
      <c r="E460" s="610"/>
      <c r="F460" s="610"/>
      <c r="G460" s="610"/>
      <c r="H460" s="610"/>
      <c r="I460" s="610"/>
      <c r="J460" s="610"/>
      <c r="L460" s="610"/>
      <c r="M460" s="610"/>
      <c r="N460" s="610"/>
      <c r="O460" s="610"/>
      <c r="P460" s="610"/>
      <c r="Q460" s="610"/>
      <c r="R460" s="610"/>
      <c r="S460" s="610"/>
      <c r="T460" s="610"/>
      <c r="U460" s="610"/>
      <c r="V460" s="610"/>
      <c r="W460" s="610"/>
      <c r="X460" s="610"/>
      <c r="Y460" s="610"/>
      <c r="Z460" s="610"/>
      <c r="AA460" s="610"/>
      <c r="AB460" s="610"/>
      <c r="AC460" s="610"/>
      <c r="AD460" s="610"/>
      <c r="AE460" s="610"/>
      <c r="AF460" s="610"/>
      <c r="AG460" s="610"/>
      <c r="AH460" s="610"/>
      <c r="AI460" s="610"/>
      <c r="AJ460" s="610"/>
      <c r="AK460" s="610"/>
      <c r="AL460" s="610"/>
      <c r="AM460" s="610"/>
      <c r="AN460" s="610"/>
      <c r="AO460" s="610"/>
      <c r="AP460" s="610"/>
      <c r="AQ460" s="610"/>
    </row>
    <row r="461" spans="2:43" s="609" customFormat="1">
      <c r="B461" s="610"/>
      <c r="C461" s="610"/>
      <c r="D461" s="610"/>
      <c r="E461" s="610"/>
      <c r="F461" s="610"/>
      <c r="G461" s="610"/>
      <c r="H461" s="610"/>
      <c r="I461" s="610"/>
      <c r="J461" s="610"/>
      <c r="L461" s="610"/>
      <c r="M461" s="610"/>
      <c r="N461" s="610"/>
      <c r="O461" s="610"/>
      <c r="P461" s="610"/>
      <c r="Q461" s="610"/>
      <c r="R461" s="610"/>
      <c r="S461" s="610"/>
      <c r="T461" s="610"/>
      <c r="U461" s="610"/>
      <c r="V461" s="610"/>
      <c r="W461" s="610"/>
      <c r="X461" s="610"/>
      <c r="Y461" s="610"/>
      <c r="Z461" s="610"/>
      <c r="AA461" s="610"/>
      <c r="AB461" s="610"/>
      <c r="AC461" s="610"/>
      <c r="AD461" s="610"/>
      <c r="AE461" s="610"/>
      <c r="AF461" s="610"/>
      <c r="AG461" s="610"/>
      <c r="AH461" s="610"/>
      <c r="AI461" s="610"/>
      <c r="AJ461" s="610"/>
      <c r="AK461" s="610"/>
      <c r="AL461" s="610"/>
      <c r="AM461" s="610"/>
      <c r="AN461" s="610"/>
      <c r="AO461" s="610"/>
      <c r="AP461" s="610"/>
      <c r="AQ461" s="610"/>
    </row>
    <row r="462" spans="2:43" s="609" customFormat="1">
      <c r="B462" s="610"/>
      <c r="C462" s="610"/>
      <c r="D462" s="610"/>
      <c r="E462" s="610"/>
      <c r="F462" s="610"/>
      <c r="G462" s="610"/>
      <c r="H462" s="610"/>
      <c r="I462" s="610"/>
      <c r="J462" s="610"/>
      <c r="L462" s="610"/>
      <c r="M462" s="610"/>
      <c r="N462" s="610"/>
      <c r="O462" s="610"/>
      <c r="P462" s="610"/>
      <c r="Q462" s="610"/>
      <c r="R462" s="610"/>
      <c r="S462" s="610"/>
      <c r="T462" s="610"/>
      <c r="U462" s="610"/>
      <c r="V462" s="610"/>
      <c r="W462" s="610"/>
      <c r="X462" s="610"/>
      <c r="Y462" s="610"/>
      <c r="Z462" s="610"/>
      <c r="AA462" s="610"/>
      <c r="AB462" s="610"/>
      <c r="AC462" s="610"/>
      <c r="AD462" s="610"/>
      <c r="AE462" s="610"/>
      <c r="AF462" s="610"/>
      <c r="AG462" s="610"/>
      <c r="AH462" s="610"/>
      <c r="AI462" s="610"/>
      <c r="AJ462" s="610"/>
      <c r="AK462" s="610"/>
      <c r="AL462" s="610"/>
      <c r="AM462" s="610"/>
      <c r="AN462" s="610"/>
      <c r="AO462" s="610"/>
      <c r="AP462" s="610"/>
      <c r="AQ462" s="610"/>
    </row>
    <row r="463" spans="2:43" s="609" customFormat="1">
      <c r="B463" s="610"/>
      <c r="C463" s="610"/>
      <c r="D463" s="610"/>
      <c r="E463" s="610"/>
      <c r="F463" s="610"/>
      <c r="G463" s="610"/>
      <c r="H463" s="610"/>
      <c r="I463" s="610"/>
      <c r="J463" s="610"/>
      <c r="L463" s="610"/>
      <c r="M463" s="610"/>
      <c r="N463" s="610"/>
      <c r="O463" s="610"/>
      <c r="P463" s="610"/>
      <c r="Q463" s="610"/>
      <c r="R463" s="610"/>
      <c r="S463" s="610"/>
      <c r="T463" s="610"/>
      <c r="U463" s="610"/>
      <c r="V463" s="610"/>
      <c r="W463" s="610"/>
      <c r="X463" s="610"/>
      <c r="Y463" s="610"/>
      <c r="Z463" s="610"/>
      <c r="AA463" s="610"/>
      <c r="AB463" s="610"/>
      <c r="AC463" s="610"/>
      <c r="AD463" s="610"/>
      <c r="AE463" s="610"/>
      <c r="AF463" s="610"/>
      <c r="AG463" s="610"/>
      <c r="AH463" s="610"/>
      <c r="AI463" s="610"/>
      <c r="AJ463" s="610"/>
      <c r="AK463" s="610"/>
      <c r="AL463" s="610"/>
      <c r="AM463" s="610"/>
      <c r="AN463" s="610"/>
      <c r="AO463" s="610"/>
      <c r="AP463" s="610"/>
      <c r="AQ463" s="610"/>
    </row>
    <row r="464" spans="2:43" s="609" customFormat="1">
      <c r="B464" s="610"/>
      <c r="C464" s="610"/>
      <c r="D464" s="610"/>
      <c r="E464" s="610"/>
      <c r="F464" s="610"/>
      <c r="G464" s="610"/>
      <c r="H464" s="610"/>
      <c r="I464" s="610"/>
      <c r="J464" s="610"/>
      <c r="L464" s="610"/>
      <c r="M464" s="610"/>
      <c r="N464" s="610"/>
      <c r="O464" s="610"/>
      <c r="P464" s="610"/>
      <c r="Q464" s="610"/>
      <c r="R464" s="610"/>
      <c r="S464" s="610"/>
      <c r="T464" s="610"/>
      <c r="U464" s="610"/>
      <c r="V464" s="610"/>
      <c r="W464" s="610"/>
      <c r="X464" s="610"/>
      <c r="Y464" s="610"/>
      <c r="Z464" s="610"/>
      <c r="AA464" s="610"/>
      <c r="AB464" s="610"/>
      <c r="AC464" s="610"/>
      <c r="AD464" s="610"/>
      <c r="AE464" s="610"/>
      <c r="AF464" s="610"/>
      <c r="AG464" s="610"/>
      <c r="AH464" s="610"/>
      <c r="AI464" s="610"/>
      <c r="AJ464" s="610"/>
      <c r="AK464" s="610"/>
      <c r="AL464" s="610"/>
      <c r="AM464" s="610"/>
      <c r="AN464" s="610"/>
      <c r="AO464" s="610"/>
      <c r="AP464" s="610"/>
      <c r="AQ464" s="610"/>
    </row>
    <row r="465" spans="2:43" s="609" customFormat="1">
      <c r="B465" s="610"/>
      <c r="C465" s="610"/>
      <c r="D465" s="610"/>
      <c r="E465" s="610"/>
      <c r="F465" s="610"/>
      <c r="G465" s="610"/>
      <c r="H465" s="610"/>
      <c r="I465" s="610"/>
      <c r="J465" s="610"/>
      <c r="L465" s="610"/>
      <c r="M465" s="610"/>
      <c r="N465" s="610"/>
      <c r="O465" s="610"/>
      <c r="P465" s="610"/>
      <c r="Q465" s="610"/>
      <c r="R465" s="610"/>
      <c r="S465" s="610"/>
      <c r="T465" s="610"/>
      <c r="U465" s="610"/>
      <c r="V465" s="610"/>
      <c r="W465" s="610"/>
      <c r="X465" s="610"/>
      <c r="Y465" s="610"/>
      <c r="Z465" s="610"/>
      <c r="AA465" s="610"/>
      <c r="AB465" s="610"/>
      <c r="AC465" s="610"/>
      <c r="AD465" s="610"/>
      <c r="AE465" s="610"/>
      <c r="AF465" s="610"/>
      <c r="AG465" s="610"/>
      <c r="AH465" s="610"/>
      <c r="AI465" s="610"/>
      <c r="AJ465" s="610"/>
      <c r="AK465" s="610"/>
      <c r="AL465" s="610"/>
      <c r="AM465" s="610"/>
      <c r="AN465" s="610"/>
      <c r="AO465" s="610"/>
      <c r="AP465" s="610"/>
      <c r="AQ465" s="610"/>
    </row>
    <row r="466" spans="2:43" s="609" customFormat="1">
      <c r="B466" s="610"/>
      <c r="C466" s="610"/>
      <c r="D466" s="610"/>
      <c r="E466" s="610"/>
      <c r="F466" s="610"/>
      <c r="G466" s="610"/>
      <c r="H466" s="610"/>
      <c r="I466" s="610"/>
      <c r="J466" s="610"/>
      <c r="L466" s="610"/>
      <c r="M466" s="610"/>
      <c r="N466" s="610"/>
      <c r="O466" s="610"/>
      <c r="P466" s="610"/>
      <c r="Q466" s="610"/>
      <c r="R466" s="610"/>
      <c r="S466" s="610"/>
      <c r="T466" s="610"/>
      <c r="U466" s="610"/>
      <c r="V466" s="610"/>
      <c r="W466" s="610"/>
      <c r="X466" s="610"/>
      <c r="Y466" s="610"/>
      <c r="Z466" s="610"/>
      <c r="AA466" s="610"/>
      <c r="AB466" s="610"/>
      <c r="AC466" s="610"/>
      <c r="AD466" s="610"/>
      <c r="AE466" s="610"/>
      <c r="AF466" s="610"/>
      <c r="AG466" s="610"/>
      <c r="AH466" s="610"/>
      <c r="AI466" s="610"/>
      <c r="AJ466" s="610"/>
      <c r="AK466" s="610"/>
      <c r="AL466" s="610"/>
      <c r="AM466" s="610"/>
      <c r="AN466" s="610"/>
      <c r="AO466" s="610"/>
      <c r="AP466" s="610"/>
      <c r="AQ466" s="610"/>
    </row>
    <row r="467" spans="2:43" s="609" customFormat="1">
      <c r="B467" s="610"/>
      <c r="C467" s="610"/>
      <c r="D467" s="610"/>
      <c r="E467" s="610"/>
      <c r="F467" s="610"/>
      <c r="G467" s="610"/>
      <c r="H467" s="610"/>
      <c r="I467" s="610"/>
      <c r="J467" s="610"/>
      <c r="L467" s="610"/>
      <c r="M467" s="610"/>
      <c r="N467" s="610"/>
      <c r="O467" s="610"/>
      <c r="P467" s="610"/>
      <c r="Q467" s="610"/>
      <c r="R467" s="610"/>
      <c r="S467" s="610"/>
      <c r="T467" s="610"/>
      <c r="U467" s="610"/>
      <c r="V467" s="610"/>
      <c r="W467" s="610"/>
      <c r="X467" s="610"/>
      <c r="Y467" s="610"/>
      <c r="Z467" s="610"/>
      <c r="AA467" s="610"/>
      <c r="AB467" s="610"/>
      <c r="AC467" s="610"/>
      <c r="AD467" s="610"/>
      <c r="AE467" s="610"/>
      <c r="AF467" s="610"/>
      <c r="AG467" s="610"/>
      <c r="AH467" s="610"/>
      <c r="AI467" s="610"/>
      <c r="AJ467" s="610"/>
      <c r="AK467" s="610"/>
      <c r="AL467" s="610"/>
      <c r="AM467" s="610"/>
      <c r="AN467" s="610"/>
      <c r="AO467" s="610"/>
      <c r="AP467" s="610"/>
      <c r="AQ467" s="610"/>
    </row>
    <row r="468" spans="2:43" s="609" customFormat="1">
      <c r="B468" s="610"/>
      <c r="C468" s="610"/>
      <c r="D468" s="610"/>
      <c r="E468" s="610"/>
      <c r="F468" s="610"/>
      <c r="G468" s="610"/>
      <c r="H468" s="610"/>
      <c r="I468" s="610"/>
      <c r="J468" s="610"/>
      <c r="L468" s="610"/>
      <c r="M468" s="610"/>
      <c r="N468" s="610"/>
      <c r="O468" s="610"/>
      <c r="P468" s="610"/>
      <c r="Q468" s="610"/>
      <c r="R468" s="610"/>
      <c r="S468" s="610"/>
      <c r="T468" s="610"/>
      <c r="U468" s="610"/>
      <c r="V468" s="610"/>
      <c r="W468" s="610"/>
      <c r="X468" s="610"/>
      <c r="Y468" s="610"/>
      <c r="Z468" s="610"/>
      <c r="AA468" s="610"/>
      <c r="AB468" s="610"/>
      <c r="AC468" s="610"/>
      <c r="AD468" s="610"/>
      <c r="AE468" s="610"/>
      <c r="AF468" s="610"/>
      <c r="AG468" s="610"/>
      <c r="AH468" s="610"/>
      <c r="AI468" s="610"/>
      <c r="AJ468" s="610"/>
      <c r="AK468" s="610"/>
      <c r="AL468" s="610"/>
      <c r="AM468" s="610"/>
      <c r="AN468" s="610"/>
      <c r="AO468" s="610"/>
      <c r="AP468" s="610"/>
      <c r="AQ468" s="610"/>
    </row>
    <row r="469" spans="2:43" s="609" customFormat="1">
      <c r="B469" s="610"/>
      <c r="C469" s="610"/>
      <c r="D469" s="610"/>
      <c r="E469" s="610"/>
      <c r="F469" s="610"/>
      <c r="G469" s="610"/>
      <c r="H469" s="610"/>
      <c r="I469" s="610"/>
      <c r="J469" s="610"/>
      <c r="L469" s="610"/>
      <c r="M469" s="610"/>
      <c r="N469" s="610"/>
      <c r="O469" s="610"/>
      <c r="P469" s="610"/>
      <c r="Q469" s="610"/>
      <c r="R469" s="610"/>
      <c r="S469" s="610"/>
      <c r="T469" s="610"/>
      <c r="U469" s="610"/>
      <c r="V469" s="610"/>
      <c r="W469" s="610"/>
      <c r="X469" s="610"/>
      <c r="Y469" s="610"/>
      <c r="Z469" s="610"/>
      <c r="AA469" s="610"/>
      <c r="AB469" s="610"/>
      <c r="AC469" s="610"/>
      <c r="AD469" s="610"/>
      <c r="AE469" s="610"/>
      <c r="AF469" s="610"/>
      <c r="AG469" s="610"/>
      <c r="AH469" s="610"/>
      <c r="AI469" s="610"/>
      <c r="AJ469" s="610"/>
      <c r="AK469" s="610"/>
      <c r="AL469" s="610"/>
      <c r="AM469" s="610"/>
      <c r="AN469" s="610"/>
      <c r="AO469" s="610"/>
      <c r="AP469" s="610"/>
      <c r="AQ469" s="610"/>
    </row>
    <row r="470" spans="2:43" s="609" customFormat="1">
      <c r="B470" s="610"/>
      <c r="C470" s="610"/>
      <c r="D470" s="610"/>
      <c r="E470" s="610"/>
      <c r="F470" s="610"/>
      <c r="G470" s="610"/>
      <c r="H470" s="610"/>
      <c r="I470" s="610"/>
      <c r="J470" s="610"/>
      <c r="L470" s="610"/>
      <c r="M470" s="610"/>
      <c r="N470" s="610"/>
      <c r="O470" s="610"/>
      <c r="P470" s="610"/>
      <c r="Q470" s="610"/>
      <c r="R470" s="610"/>
      <c r="S470" s="610"/>
      <c r="T470" s="610"/>
      <c r="U470" s="610"/>
      <c r="V470" s="610"/>
      <c r="W470" s="610"/>
      <c r="X470" s="610"/>
      <c r="Y470" s="610"/>
      <c r="Z470" s="610"/>
      <c r="AA470" s="610"/>
      <c r="AB470" s="610"/>
      <c r="AC470" s="610"/>
      <c r="AD470" s="610"/>
      <c r="AE470" s="610"/>
      <c r="AF470" s="610"/>
      <c r="AG470" s="610"/>
      <c r="AH470" s="610"/>
      <c r="AI470" s="610"/>
      <c r="AJ470" s="610"/>
      <c r="AK470" s="610"/>
      <c r="AL470" s="610"/>
      <c r="AM470" s="610"/>
      <c r="AN470" s="610"/>
      <c r="AO470" s="610"/>
      <c r="AP470" s="610"/>
      <c r="AQ470" s="610"/>
    </row>
    <row r="471" spans="2:43" s="609" customFormat="1">
      <c r="B471" s="610"/>
      <c r="C471" s="610"/>
      <c r="D471" s="610"/>
      <c r="E471" s="610"/>
      <c r="F471" s="610"/>
      <c r="G471" s="610"/>
      <c r="H471" s="610"/>
      <c r="I471" s="610"/>
      <c r="J471" s="610"/>
      <c r="L471" s="610"/>
      <c r="M471" s="610"/>
      <c r="N471" s="610"/>
      <c r="O471" s="610"/>
      <c r="P471" s="610"/>
      <c r="Q471" s="610"/>
      <c r="R471" s="610"/>
      <c r="S471" s="610"/>
      <c r="T471" s="610"/>
      <c r="U471" s="610"/>
      <c r="V471" s="610"/>
      <c r="W471" s="610"/>
      <c r="X471" s="610"/>
      <c r="Y471" s="610"/>
      <c r="Z471" s="610"/>
      <c r="AA471" s="610"/>
      <c r="AB471" s="610"/>
      <c r="AC471" s="610"/>
      <c r="AD471" s="610"/>
      <c r="AE471" s="610"/>
      <c r="AF471" s="610"/>
      <c r="AG471" s="610"/>
      <c r="AH471" s="610"/>
      <c r="AI471" s="610"/>
      <c r="AJ471" s="610"/>
      <c r="AK471" s="610"/>
      <c r="AL471" s="610"/>
      <c r="AM471" s="610"/>
      <c r="AN471" s="610"/>
      <c r="AO471" s="610"/>
      <c r="AP471" s="610"/>
      <c r="AQ471" s="610"/>
    </row>
    <row r="472" spans="2:43" s="609" customFormat="1">
      <c r="B472" s="610"/>
      <c r="C472" s="610"/>
      <c r="D472" s="610"/>
      <c r="E472" s="610"/>
      <c r="F472" s="610"/>
      <c r="G472" s="610"/>
      <c r="H472" s="610"/>
      <c r="I472" s="610"/>
      <c r="J472" s="610"/>
      <c r="L472" s="610"/>
      <c r="M472" s="610"/>
      <c r="N472" s="610"/>
      <c r="O472" s="610"/>
      <c r="P472" s="610"/>
      <c r="Q472" s="610"/>
      <c r="R472" s="610"/>
      <c r="S472" s="610"/>
      <c r="T472" s="610"/>
      <c r="U472" s="610"/>
      <c r="V472" s="610"/>
      <c r="W472" s="610"/>
      <c r="X472" s="610"/>
      <c r="Y472" s="610"/>
      <c r="Z472" s="610"/>
      <c r="AA472" s="610"/>
      <c r="AB472" s="610"/>
      <c r="AC472" s="610"/>
      <c r="AD472" s="610"/>
      <c r="AE472" s="610"/>
      <c r="AF472" s="610"/>
      <c r="AG472" s="610"/>
      <c r="AH472" s="610"/>
      <c r="AI472" s="610"/>
      <c r="AJ472" s="610"/>
      <c r="AK472" s="610"/>
      <c r="AL472" s="610"/>
      <c r="AM472" s="610"/>
      <c r="AN472" s="610"/>
      <c r="AO472" s="610"/>
      <c r="AP472" s="610"/>
      <c r="AQ472" s="610"/>
    </row>
    <row r="473" spans="2:43" s="609" customFormat="1">
      <c r="B473" s="610"/>
      <c r="C473" s="610"/>
      <c r="D473" s="610"/>
      <c r="E473" s="610"/>
      <c r="F473" s="610"/>
      <c r="G473" s="610"/>
      <c r="H473" s="610"/>
      <c r="I473" s="610"/>
      <c r="J473" s="610"/>
      <c r="L473" s="610"/>
      <c r="M473" s="610"/>
      <c r="N473" s="610"/>
      <c r="O473" s="610"/>
      <c r="P473" s="610"/>
      <c r="Q473" s="610"/>
      <c r="R473" s="610"/>
      <c r="S473" s="610"/>
      <c r="T473" s="610"/>
      <c r="U473" s="610"/>
      <c r="V473" s="610"/>
      <c r="W473" s="610"/>
      <c r="X473" s="610"/>
      <c r="Y473" s="610"/>
      <c r="Z473" s="610"/>
      <c r="AA473" s="610"/>
      <c r="AB473" s="610"/>
      <c r="AC473" s="610"/>
      <c r="AD473" s="610"/>
      <c r="AE473" s="610"/>
      <c r="AF473" s="610"/>
      <c r="AG473" s="610"/>
      <c r="AH473" s="610"/>
      <c r="AI473" s="610"/>
      <c r="AJ473" s="610"/>
      <c r="AK473" s="610"/>
      <c r="AL473" s="610"/>
      <c r="AM473" s="610"/>
      <c r="AN473" s="610"/>
      <c r="AO473" s="610"/>
      <c r="AP473" s="610"/>
      <c r="AQ473" s="610"/>
    </row>
    <row r="474" spans="2:43" s="609" customFormat="1">
      <c r="B474" s="610"/>
      <c r="C474" s="610"/>
      <c r="D474" s="610"/>
      <c r="E474" s="610"/>
      <c r="F474" s="610"/>
      <c r="G474" s="610"/>
      <c r="H474" s="610"/>
      <c r="I474" s="610"/>
      <c r="J474" s="610"/>
      <c r="L474" s="610"/>
      <c r="M474" s="610"/>
      <c r="N474" s="610"/>
      <c r="O474" s="610"/>
      <c r="P474" s="610"/>
      <c r="Q474" s="610"/>
      <c r="R474" s="610"/>
      <c r="S474" s="610"/>
      <c r="T474" s="610"/>
      <c r="U474" s="610"/>
      <c r="V474" s="610"/>
      <c r="W474" s="610"/>
      <c r="X474" s="610"/>
      <c r="Y474" s="610"/>
      <c r="Z474" s="610"/>
      <c r="AA474" s="610"/>
      <c r="AB474" s="610"/>
      <c r="AC474" s="610"/>
      <c r="AD474" s="610"/>
      <c r="AE474" s="610"/>
      <c r="AF474" s="610"/>
      <c r="AG474" s="610"/>
      <c r="AH474" s="610"/>
      <c r="AI474" s="610"/>
      <c r="AJ474" s="610"/>
      <c r="AK474" s="610"/>
      <c r="AL474" s="610"/>
      <c r="AM474" s="610"/>
      <c r="AN474" s="610"/>
      <c r="AO474" s="610"/>
      <c r="AP474" s="610"/>
      <c r="AQ474" s="610"/>
    </row>
    <row r="475" spans="2:43" s="609" customFormat="1">
      <c r="B475" s="610"/>
      <c r="C475" s="610"/>
      <c r="D475" s="610"/>
      <c r="E475" s="610"/>
      <c r="F475" s="610"/>
      <c r="G475" s="610"/>
      <c r="H475" s="610"/>
      <c r="I475" s="610"/>
      <c r="J475" s="610"/>
      <c r="L475" s="610"/>
      <c r="M475" s="610"/>
      <c r="N475" s="610"/>
      <c r="O475" s="610"/>
      <c r="P475" s="610"/>
      <c r="Q475" s="610"/>
      <c r="R475" s="610"/>
      <c r="S475" s="610"/>
      <c r="T475" s="610"/>
      <c r="U475" s="610"/>
      <c r="V475" s="610"/>
      <c r="W475" s="610"/>
      <c r="X475" s="610"/>
      <c r="Y475" s="610"/>
      <c r="Z475" s="610"/>
      <c r="AA475" s="610"/>
      <c r="AB475" s="610"/>
      <c r="AC475" s="610"/>
      <c r="AD475" s="610"/>
      <c r="AE475" s="610"/>
      <c r="AF475" s="610"/>
      <c r="AG475" s="610"/>
      <c r="AH475" s="610"/>
      <c r="AI475" s="610"/>
      <c r="AJ475" s="610"/>
      <c r="AK475" s="610"/>
      <c r="AL475" s="610"/>
      <c r="AM475" s="610"/>
      <c r="AN475" s="610"/>
      <c r="AO475" s="610"/>
      <c r="AP475" s="610"/>
      <c r="AQ475" s="610"/>
    </row>
    <row r="476" spans="2:43" s="609" customFormat="1">
      <c r="B476" s="610"/>
      <c r="C476" s="610"/>
      <c r="D476" s="610"/>
      <c r="E476" s="610"/>
      <c r="F476" s="610"/>
      <c r="G476" s="610"/>
      <c r="H476" s="610"/>
      <c r="I476" s="610"/>
      <c r="J476" s="610"/>
      <c r="L476" s="610"/>
      <c r="M476" s="610"/>
      <c r="N476" s="610"/>
      <c r="O476" s="610"/>
      <c r="P476" s="610"/>
      <c r="Q476" s="610"/>
      <c r="R476" s="610"/>
      <c r="S476" s="610"/>
      <c r="T476" s="610"/>
      <c r="U476" s="610"/>
      <c r="V476" s="610"/>
      <c r="W476" s="610"/>
      <c r="X476" s="610"/>
      <c r="Y476" s="610"/>
      <c r="Z476" s="610"/>
      <c r="AA476" s="610"/>
      <c r="AB476" s="610"/>
      <c r="AC476" s="610"/>
      <c r="AD476" s="610"/>
      <c r="AE476" s="610"/>
      <c r="AF476" s="610"/>
      <c r="AG476" s="610"/>
      <c r="AH476" s="610"/>
      <c r="AI476" s="610"/>
      <c r="AJ476" s="610"/>
      <c r="AK476" s="610"/>
      <c r="AL476" s="610"/>
      <c r="AM476" s="610"/>
      <c r="AN476" s="610"/>
      <c r="AO476" s="610"/>
      <c r="AP476" s="610"/>
      <c r="AQ476" s="610"/>
    </row>
    <row r="477" spans="2:43" s="609" customFormat="1">
      <c r="B477" s="610"/>
      <c r="C477" s="610"/>
      <c r="D477" s="610"/>
      <c r="E477" s="610"/>
      <c r="F477" s="610"/>
      <c r="G477" s="610"/>
      <c r="H477" s="610"/>
      <c r="I477" s="610"/>
      <c r="J477" s="610"/>
      <c r="L477" s="610"/>
      <c r="M477" s="610"/>
      <c r="N477" s="610"/>
      <c r="O477" s="610"/>
      <c r="P477" s="610"/>
      <c r="Q477" s="610"/>
      <c r="R477" s="610"/>
      <c r="S477" s="610"/>
      <c r="T477" s="610"/>
      <c r="U477" s="610"/>
      <c r="V477" s="610"/>
      <c r="W477" s="610"/>
      <c r="X477" s="610"/>
      <c r="Y477" s="610"/>
      <c r="Z477" s="610"/>
      <c r="AA477" s="610"/>
      <c r="AB477" s="610"/>
      <c r="AC477" s="610"/>
      <c r="AD477" s="610"/>
      <c r="AE477" s="610"/>
      <c r="AF477" s="610"/>
      <c r="AG477" s="610"/>
      <c r="AH477" s="610"/>
      <c r="AI477" s="610"/>
      <c r="AJ477" s="610"/>
      <c r="AK477" s="610"/>
      <c r="AL477" s="610"/>
      <c r="AM477" s="610"/>
      <c r="AN477" s="610"/>
      <c r="AO477" s="610"/>
      <c r="AP477" s="610"/>
      <c r="AQ477" s="610"/>
    </row>
    <row r="478" spans="2:43" s="609" customFormat="1">
      <c r="B478" s="610"/>
      <c r="C478" s="610"/>
      <c r="D478" s="610"/>
      <c r="E478" s="610"/>
      <c r="F478" s="610"/>
      <c r="G478" s="610"/>
      <c r="H478" s="610"/>
      <c r="I478" s="610"/>
      <c r="J478" s="610"/>
      <c r="L478" s="610"/>
      <c r="M478" s="610"/>
      <c r="N478" s="610"/>
      <c r="O478" s="610"/>
      <c r="P478" s="610"/>
      <c r="Q478" s="610"/>
      <c r="R478" s="610"/>
      <c r="S478" s="610"/>
      <c r="T478" s="610"/>
      <c r="U478" s="610"/>
      <c r="V478" s="610"/>
      <c r="W478" s="610"/>
      <c r="X478" s="610"/>
      <c r="Y478" s="610"/>
      <c r="Z478" s="610"/>
      <c r="AA478" s="610"/>
      <c r="AB478" s="610"/>
      <c r="AC478" s="610"/>
      <c r="AD478" s="610"/>
      <c r="AE478" s="610"/>
      <c r="AF478" s="610"/>
      <c r="AG478" s="610"/>
      <c r="AH478" s="610"/>
      <c r="AI478" s="610"/>
      <c r="AJ478" s="610"/>
      <c r="AK478" s="610"/>
      <c r="AL478" s="610"/>
      <c r="AM478" s="610"/>
      <c r="AN478" s="610"/>
      <c r="AO478" s="610"/>
      <c r="AP478" s="610"/>
      <c r="AQ478" s="610"/>
    </row>
    <row r="479" spans="2:43" s="609" customFormat="1">
      <c r="B479" s="610"/>
      <c r="C479" s="610"/>
      <c r="D479" s="610"/>
      <c r="E479" s="610"/>
      <c r="F479" s="610"/>
      <c r="G479" s="610"/>
      <c r="H479" s="610"/>
      <c r="I479" s="610"/>
      <c r="J479" s="610"/>
      <c r="L479" s="610"/>
      <c r="M479" s="610"/>
      <c r="N479" s="610"/>
      <c r="O479" s="610"/>
      <c r="P479" s="610"/>
      <c r="Q479" s="610"/>
      <c r="R479" s="610"/>
      <c r="S479" s="610"/>
      <c r="T479" s="610"/>
      <c r="U479" s="610"/>
      <c r="V479" s="610"/>
      <c r="W479" s="610"/>
      <c r="X479" s="610"/>
      <c r="Y479" s="610"/>
      <c r="Z479" s="610"/>
      <c r="AA479" s="610"/>
      <c r="AB479" s="610"/>
      <c r="AC479" s="610"/>
      <c r="AD479" s="610"/>
      <c r="AE479" s="610"/>
      <c r="AF479" s="610"/>
      <c r="AG479" s="610"/>
      <c r="AH479" s="610"/>
      <c r="AI479" s="610"/>
      <c r="AJ479" s="610"/>
      <c r="AK479" s="610"/>
      <c r="AL479" s="610"/>
      <c r="AM479" s="610"/>
      <c r="AN479" s="610"/>
      <c r="AO479" s="610"/>
      <c r="AP479" s="610"/>
      <c r="AQ479" s="610"/>
    </row>
    <row r="480" spans="2:43" s="609" customFormat="1">
      <c r="B480" s="610"/>
      <c r="C480" s="610"/>
      <c r="D480" s="610"/>
      <c r="E480" s="610"/>
      <c r="F480" s="610"/>
      <c r="G480" s="610"/>
      <c r="H480" s="610"/>
      <c r="I480" s="610"/>
      <c r="J480" s="610"/>
      <c r="L480" s="610"/>
      <c r="M480" s="610"/>
      <c r="N480" s="610"/>
      <c r="O480" s="610"/>
      <c r="P480" s="610"/>
      <c r="Q480" s="610"/>
      <c r="R480" s="610"/>
      <c r="S480" s="610"/>
      <c r="T480" s="610"/>
      <c r="U480" s="610"/>
      <c r="V480" s="610"/>
      <c r="W480" s="610"/>
      <c r="X480" s="610"/>
      <c r="Y480" s="610"/>
      <c r="Z480" s="610"/>
      <c r="AA480" s="610"/>
      <c r="AB480" s="610"/>
      <c r="AC480" s="610"/>
      <c r="AD480" s="610"/>
      <c r="AE480" s="610"/>
      <c r="AF480" s="610"/>
      <c r="AG480" s="610"/>
      <c r="AH480" s="610"/>
      <c r="AI480" s="610"/>
      <c r="AJ480" s="610"/>
      <c r="AK480" s="610"/>
      <c r="AL480" s="610"/>
      <c r="AM480" s="610"/>
      <c r="AN480" s="610"/>
      <c r="AO480" s="610"/>
      <c r="AP480" s="610"/>
      <c r="AQ480" s="610"/>
    </row>
    <row r="481" spans="2:43" s="609" customFormat="1">
      <c r="B481" s="610"/>
      <c r="C481" s="610"/>
      <c r="D481" s="610"/>
      <c r="E481" s="610"/>
      <c r="F481" s="610"/>
      <c r="G481" s="610"/>
      <c r="H481" s="610"/>
      <c r="I481" s="610"/>
      <c r="J481" s="610"/>
      <c r="L481" s="610"/>
      <c r="M481" s="610"/>
      <c r="N481" s="610"/>
      <c r="O481" s="610"/>
      <c r="P481" s="610"/>
      <c r="Q481" s="610"/>
      <c r="R481" s="610"/>
      <c r="S481" s="610"/>
      <c r="T481" s="610"/>
      <c r="U481" s="610"/>
      <c r="V481" s="610"/>
      <c r="W481" s="610"/>
      <c r="X481" s="610"/>
      <c r="Y481" s="610"/>
      <c r="Z481" s="610"/>
      <c r="AA481" s="610"/>
      <c r="AB481" s="610"/>
      <c r="AC481" s="610"/>
      <c r="AD481" s="610"/>
      <c r="AE481" s="610"/>
      <c r="AF481" s="610"/>
      <c r="AG481" s="610"/>
      <c r="AH481" s="610"/>
      <c r="AI481" s="610"/>
      <c r="AJ481" s="610"/>
      <c r="AK481" s="610"/>
      <c r="AL481" s="610"/>
      <c r="AM481" s="610"/>
      <c r="AN481" s="610"/>
      <c r="AO481" s="610"/>
      <c r="AP481" s="610"/>
      <c r="AQ481" s="610"/>
    </row>
    <row r="482" spans="2:43" s="609" customFormat="1">
      <c r="B482" s="610"/>
      <c r="C482" s="610"/>
      <c r="D482" s="610"/>
      <c r="E482" s="610"/>
      <c r="F482" s="610"/>
      <c r="G482" s="610"/>
      <c r="H482" s="610"/>
      <c r="I482" s="610"/>
      <c r="J482" s="610"/>
      <c r="L482" s="610"/>
      <c r="M482" s="610"/>
      <c r="N482" s="610"/>
      <c r="O482" s="610"/>
      <c r="P482" s="610"/>
      <c r="Q482" s="610"/>
      <c r="R482" s="610"/>
      <c r="S482" s="610"/>
      <c r="T482" s="610"/>
      <c r="U482" s="610"/>
      <c r="V482" s="610"/>
      <c r="W482" s="610"/>
      <c r="X482" s="610"/>
      <c r="Y482" s="610"/>
      <c r="Z482" s="610"/>
      <c r="AA482" s="610"/>
      <c r="AB482" s="610"/>
      <c r="AC482" s="610"/>
      <c r="AD482" s="610"/>
      <c r="AE482" s="610"/>
      <c r="AF482" s="610"/>
      <c r="AG482" s="610"/>
      <c r="AH482" s="610"/>
      <c r="AI482" s="610"/>
      <c r="AJ482" s="610"/>
      <c r="AK482" s="610"/>
      <c r="AL482" s="610"/>
      <c r="AM482" s="610"/>
      <c r="AN482" s="610"/>
      <c r="AO482" s="610"/>
      <c r="AP482" s="610"/>
      <c r="AQ482" s="610"/>
    </row>
    <row r="483" spans="2:43" s="609" customFormat="1">
      <c r="B483" s="610"/>
      <c r="C483" s="610"/>
      <c r="D483" s="610"/>
      <c r="E483" s="610"/>
      <c r="F483" s="610"/>
      <c r="G483" s="610"/>
      <c r="H483" s="610"/>
      <c r="I483" s="610"/>
      <c r="J483" s="610"/>
      <c r="L483" s="610"/>
      <c r="M483" s="610"/>
      <c r="N483" s="610"/>
      <c r="O483" s="610"/>
      <c r="P483" s="610"/>
      <c r="Q483" s="610"/>
      <c r="R483" s="610"/>
      <c r="S483" s="610"/>
      <c r="T483" s="610"/>
      <c r="U483" s="610"/>
      <c r="V483" s="610"/>
      <c r="W483" s="610"/>
      <c r="X483" s="610"/>
      <c r="Y483" s="610"/>
      <c r="Z483" s="610"/>
      <c r="AA483" s="610"/>
      <c r="AB483" s="610"/>
      <c r="AC483" s="610"/>
      <c r="AD483" s="610"/>
      <c r="AE483" s="610"/>
      <c r="AF483" s="610"/>
      <c r="AG483" s="610"/>
      <c r="AH483" s="610"/>
      <c r="AI483" s="610"/>
      <c r="AJ483" s="610"/>
      <c r="AK483" s="610"/>
      <c r="AL483" s="610"/>
      <c r="AM483" s="610"/>
      <c r="AN483" s="610"/>
      <c r="AO483" s="610"/>
      <c r="AP483" s="610"/>
      <c r="AQ483" s="610"/>
    </row>
    <row r="484" spans="2:43" s="609" customFormat="1">
      <c r="B484" s="610"/>
      <c r="C484" s="610"/>
      <c r="D484" s="610"/>
      <c r="E484" s="610"/>
      <c r="F484" s="610"/>
      <c r="G484" s="610"/>
      <c r="H484" s="610"/>
      <c r="I484" s="610"/>
      <c r="J484" s="610"/>
      <c r="L484" s="610"/>
      <c r="M484" s="610"/>
      <c r="N484" s="610"/>
      <c r="O484" s="610"/>
      <c r="P484" s="610"/>
      <c r="Q484" s="610"/>
      <c r="R484" s="610"/>
      <c r="S484" s="610"/>
      <c r="T484" s="610"/>
      <c r="U484" s="610"/>
      <c r="V484" s="610"/>
      <c r="W484" s="610"/>
      <c r="X484" s="610"/>
      <c r="Y484" s="610"/>
      <c r="Z484" s="610"/>
      <c r="AA484" s="610"/>
      <c r="AB484" s="610"/>
      <c r="AC484" s="610"/>
      <c r="AD484" s="610"/>
      <c r="AE484" s="610"/>
      <c r="AF484" s="610"/>
      <c r="AG484" s="610"/>
      <c r="AH484" s="610"/>
      <c r="AI484" s="610"/>
      <c r="AJ484" s="610"/>
      <c r="AK484" s="610"/>
      <c r="AL484" s="610"/>
      <c r="AM484" s="610"/>
      <c r="AN484" s="610"/>
      <c r="AO484" s="610"/>
      <c r="AP484" s="610"/>
      <c r="AQ484" s="610"/>
    </row>
    <row r="485" spans="2:43" s="609" customFormat="1">
      <c r="B485" s="610"/>
      <c r="C485" s="610"/>
      <c r="D485" s="610"/>
      <c r="E485" s="610"/>
      <c r="F485" s="610"/>
      <c r="G485" s="610"/>
      <c r="H485" s="610"/>
      <c r="I485" s="610"/>
      <c r="J485" s="610"/>
      <c r="L485" s="610"/>
      <c r="M485" s="610"/>
      <c r="N485" s="610"/>
      <c r="O485" s="610"/>
      <c r="P485" s="610"/>
      <c r="Q485" s="610"/>
      <c r="R485" s="610"/>
      <c r="S485" s="610"/>
      <c r="T485" s="610"/>
      <c r="U485" s="610"/>
      <c r="V485" s="610"/>
      <c r="W485" s="610"/>
      <c r="X485" s="610"/>
      <c r="Y485" s="610"/>
      <c r="Z485" s="610"/>
      <c r="AA485" s="610"/>
      <c r="AB485" s="610"/>
      <c r="AC485" s="610"/>
      <c r="AD485" s="610"/>
      <c r="AE485" s="610"/>
      <c r="AF485" s="610"/>
      <c r="AG485" s="610"/>
      <c r="AH485" s="610"/>
      <c r="AI485" s="610"/>
      <c r="AJ485" s="610"/>
      <c r="AK485" s="610"/>
      <c r="AL485" s="610"/>
      <c r="AM485" s="610"/>
      <c r="AN485" s="610"/>
      <c r="AO485" s="610"/>
      <c r="AP485" s="610"/>
      <c r="AQ485" s="610"/>
    </row>
    <row r="486" spans="2:43" s="609" customFormat="1">
      <c r="B486" s="610"/>
      <c r="C486" s="610"/>
      <c r="D486" s="610"/>
      <c r="E486" s="610"/>
      <c r="F486" s="610"/>
      <c r="G486" s="610"/>
      <c r="H486" s="610"/>
      <c r="I486" s="610"/>
      <c r="J486" s="610"/>
      <c r="L486" s="610"/>
      <c r="M486" s="610"/>
      <c r="N486" s="610"/>
      <c r="O486" s="610"/>
      <c r="P486" s="610"/>
      <c r="Q486" s="610"/>
      <c r="R486" s="610"/>
      <c r="S486" s="610"/>
      <c r="T486" s="610"/>
      <c r="U486" s="610"/>
      <c r="V486" s="610"/>
      <c r="W486" s="610"/>
      <c r="X486" s="610"/>
      <c r="Y486" s="610"/>
      <c r="Z486" s="610"/>
      <c r="AA486" s="610"/>
      <c r="AB486" s="610"/>
      <c r="AC486" s="610"/>
      <c r="AD486" s="610"/>
      <c r="AE486" s="610"/>
      <c r="AF486" s="610"/>
      <c r="AG486" s="610"/>
      <c r="AH486" s="610"/>
      <c r="AI486" s="610"/>
      <c r="AJ486" s="610"/>
      <c r="AK486" s="610"/>
      <c r="AL486" s="610"/>
      <c r="AM486" s="610"/>
      <c r="AN486" s="610"/>
      <c r="AO486" s="610"/>
      <c r="AP486" s="610"/>
      <c r="AQ486" s="610"/>
    </row>
    <row r="487" spans="2:43" s="609" customFormat="1">
      <c r="B487" s="610"/>
      <c r="C487" s="610"/>
      <c r="D487" s="610"/>
      <c r="E487" s="610"/>
      <c r="F487" s="610"/>
      <c r="G487" s="610"/>
      <c r="H487" s="610"/>
      <c r="I487" s="610"/>
      <c r="J487" s="610"/>
      <c r="L487" s="610"/>
      <c r="M487" s="610"/>
      <c r="N487" s="610"/>
      <c r="O487" s="610"/>
      <c r="P487" s="610"/>
      <c r="Q487" s="610"/>
      <c r="R487" s="610"/>
      <c r="S487" s="610"/>
      <c r="T487" s="610"/>
      <c r="U487" s="610"/>
      <c r="V487" s="610"/>
      <c r="W487" s="610"/>
      <c r="X487" s="610"/>
      <c r="Y487" s="610"/>
      <c r="Z487" s="610"/>
      <c r="AA487" s="610"/>
      <c r="AB487" s="610"/>
      <c r="AC487" s="610"/>
      <c r="AD487" s="610"/>
      <c r="AE487" s="610"/>
      <c r="AF487" s="610"/>
      <c r="AG487" s="610"/>
      <c r="AH487" s="610"/>
      <c r="AI487" s="610"/>
      <c r="AJ487" s="610"/>
      <c r="AK487" s="610"/>
      <c r="AL487" s="610"/>
      <c r="AM487" s="610"/>
      <c r="AN487" s="610"/>
      <c r="AO487" s="610"/>
      <c r="AP487" s="610"/>
      <c r="AQ487" s="610"/>
    </row>
    <row r="488" spans="2:43" s="609" customFormat="1">
      <c r="B488" s="610"/>
      <c r="C488" s="610"/>
      <c r="D488" s="610"/>
      <c r="E488" s="610"/>
      <c r="F488" s="610"/>
      <c r="G488" s="610"/>
      <c r="H488" s="610"/>
      <c r="I488" s="610"/>
      <c r="J488" s="610"/>
      <c r="L488" s="610"/>
      <c r="M488" s="610"/>
      <c r="N488" s="610"/>
      <c r="O488" s="610"/>
      <c r="P488" s="610"/>
      <c r="Q488" s="610"/>
      <c r="R488" s="610"/>
      <c r="S488" s="610"/>
      <c r="T488" s="610"/>
      <c r="U488" s="610"/>
      <c r="V488" s="610"/>
      <c r="W488" s="610"/>
      <c r="X488" s="610"/>
      <c r="Y488" s="610"/>
      <c r="Z488" s="610"/>
      <c r="AA488" s="610"/>
      <c r="AB488" s="610"/>
      <c r="AC488" s="610"/>
      <c r="AD488" s="610"/>
      <c r="AE488" s="610"/>
      <c r="AF488" s="610"/>
      <c r="AG488" s="610"/>
      <c r="AH488" s="610"/>
      <c r="AI488" s="610"/>
      <c r="AJ488" s="610"/>
      <c r="AK488" s="610"/>
      <c r="AL488" s="610"/>
      <c r="AM488" s="610"/>
      <c r="AN488" s="610"/>
      <c r="AO488" s="610"/>
      <c r="AP488" s="610"/>
      <c r="AQ488" s="610"/>
    </row>
    <row r="489" spans="2:43" s="609" customFormat="1">
      <c r="B489" s="610"/>
      <c r="C489" s="610"/>
      <c r="D489" s="610"/>
      <c r="E489" s="610"/>
      <c r="F489" s="610"/>
      <c r="G489" s="610"/>
      <c r="H489" s="610"/>
      <c r="I489" s="610"/>
      <c r="J489" s="610"/>
      <c r="L489" s="610"/>
      <c r="M489" s="610"/>
      <c r="N489" s="610"/>
      <c r="O489" s="610"/>
      <c r="P489" s="610"/>
      <c r="Q489" s="610"/>
      <c r="R489" s="610"/>
      <c r="S489" s="610"/>
      <c r="T489" s="610"/>
      <c r="U489" s="610"/>
      <c r="V489" s="610"/>
      <c r="W489" s="610"/>
      <c r="X489" s="610"/>
      <c r="Y489" s="610"/>
      <c r="Z489" s="610"/>
      <c r="AA489" s="610"/>
      <c r="AB489" s="610"/>
      <c r="AC489" s="610"/>
      <c r="AD489" s="610"/>
      <c r="AE489" s="610"/>
      <c r="AF489" s="610"/>
      <c r="AG489" s="610"/>
      <c r="AH489" s="610"/>
      <c r="AI489" s="610"/>
      <c r="AJ489" s="610"/>
      <c r="AK489" s="610"/>
      <c r="AL489" s="610"/>
      <c r="AM489" s="610"/>
      <c r="AN489" s="610"/>
      <c r="AO489" s="610"/>
      <c r="AP489" s="610"/>
      <c r="AQ489" s="610"/>
    </row>
    <row r="490" spans="2:43" s="609" customFormat="1">
      <c r="B490" s="610"/>
      <c r="C490" s="610"/>
      <c r="D490" s="610"/>
      <c r="E490" s="610"/>
      <c r="F490" s="610"/>
      <c r="G490" s="610"/>
      <c r="H490" s="610"/>
      <c r="I490" s="610"/>
      <c r="J490" s="610"/>
      <c r="L490" s="610"/>
      <c r="M490" s="610"/>
      <c r="N490" s="610"/>
      <c r="O490" s="610"/>
      <c r="P490" s="610"/>
      <c r="Q490" s="610"/>
      <c r="R490" s="610"/>
      <c r="S490" s="610"/>
      <c r="T490" s="610"/>
      <c r="U490" s="610"/>
      <c r="V490" s="610"/>
      <c r="W490" s="610"/>
      <c r="X490" s="610"/>
      <c r="Y490" s="610"/>
      <c r="Z490" s="610"/>
      <c r="AA490" s="610"/>
      <c r="AB490" s="610"/>
      <c r="AC490" s="610"/>
      <c r="AD490" s="610"/>
      <c r="AE490" s="610"/>
      <c r="AF490" s="610"/>
      <c r="AG490" s="610"/>
      <c r="AH490" s="610"/>
      <c r="AI490" s="610"/>
      <c r="AJ490" s="610"/>
      <c r="AK490" s="610"/>
      <c r="AL490" s="610"/>
      <c r="AM490" s="610"/>
      <c r="AN490" s="610"/>
      <c r="AO490" s="610"/>
      <c r="AP490" s="610"/>
      <c r="AQ490" s="610"/>
    </row>
    <row r="491" spans="2:43" s="609" customFormat="1">
      <c r="B491" s="610"/>
      <c r="C491" s="610"/>
      <c r="D491" s="610"/>
      <c r="E491" s="610"/>
      <c r="F491" s="610"/>
      <c r="G491" s="610"/>
      <c r="H491" s="610"/>
      <c r="I491" s="610"/>
      <c r="J491" s="610"/>
      <c r="L491" s="610"/>
      <c r="M491" s="610"/>
      <c r="N491" s="610"/>
      <c r="O491" s="610"/>
      <c r="P491" s="610"/>
      <c r="Q491" s="610"/>
      <c r="R491" s="610"/>
      <c r="S491" s="610"/>
      <c r="T491" s="610"/>
      <c r="U491" s="610"/>
      <c r="V491" s="610"/>
      <c r="W491" s="610"/>
      <c r="X491" s="610"/>
      <c r="Y491" s="610"/>
      <c r="Z491" s="610"/>
      <c r="AA491" s="610"/>
      <c r="AB491" s="610"/>
      <c r="AC491" s="610"/>
      <c r="AD491" s="610"/>
      <c r="AE491" s="610"/>
      <c r="AF491" s="610"/>
      <c r="AG491" s="610"/>
      <c r="AH491" s="610"/>
      <c r="AI491" s="610"/>
      <c r="AJ491" s="610"/>
      <c r="AK491" s="610"/>
      <c r="AL491" s="610"/>
      <c r="AM491" s="610"/>
      <c r="AN491" s="610"/>
      <c r="AO491" s="610"/>
      <c r="AP491" s="610"/>
      <c r="AQ491" s="610"/>
    </row>
    <row r="492" spans="2:43" s="609" customFormat="1">
      <c r="B492" s="610"/>
      <c r="C492" s="610"/>
      <c r="D492" s="610"/>
      <c r="E492" s="610"/>
      <c r="F492" s="610"/>
      <c r="G492" s="610"/>
      <c r="H492" s="610"/>
      <c r="I492" s="610"/>
      <c r="J492" s="610"/>
      <c r="L492" s="610"/>
      <c r="M492" s="610"/>
      <c r="N492" s="610"/>
      <c r="O492" s="610"/>
      <c r="P492" s="610"/>
      <c r="Q492" s="610"/>
      <c r="R492" s="610"/>
      <c r="S492" s="610"/>
      <c r="T492" s="610"/>
      <c r="U492" s="610"/>
      <c r="V492" s="610"/>
      <c r="W492" s="610"/>
      <c r="X492" s="610"/>
      <c r="Y492" s="610"/>
      <c r="Z492" s="610"/>
      <c r="AA492" s="610"/>
      <c r="AB492" s="610"/>
      <c r="AC492" s="610"/>
      <c r="AD492" s="610"/>
      <c r="AE492" s="610"/>
      <c r="AF492" s="610"/>
      <c r="AG492" s="610"/>
      <c r="AH492" s="610"/>
      <c r="AI492" s="610"/>
      <c r="AJ492" s="610"/>
      <c r="AK492" s="610"/>
      <c r="AL492" s="610"/>
      <c r="AM492" s="610"/>
      <c r="AN492" s="610"/>
      <c r="AO492" s="610"/>
      <c r="AP492" s="610"/>
      <c r="AQ492" s="610"/>
    </row>
    <row r="493" spans="2:43" s="609" customFormat="1">
      <c r="B493" s="610"/>
      <c r="C493" s="610"/>
      <c r="D493" s="610"/>
      <c r="E493" s="610"/>
      <c r="F493" s="610"/>
      <c r="G493" s="610"/>
      <c r="H493" s="610"/>
      <c r="I493" s="610"/>
      <c r="J493" s="610"/>
      <c r="L493" s="610"/>
      <c r="M493" s="610"/>
      <c r="N493" s="610"/>
      <c r="O493" s="610"/>
      <c r="P493" s="610"/>
      <c r="Q493" s="610"/>
      <c r="R493" s="610"/>
      <c r="S493" s="610"/>
      <c r="T493" s="610"/>
      <c r="U493" s="610"/>
      <c r="V493" s="610"/>
      <c r="W493" s="610"/>
      <c r="X493" s="610"/>
      <c r="Y493" s="610"/>
      <c r="Z493" s="610"/>
      <c r="AA493" s="610"/>
      <c r="AB493" s="610"/>
      <c r="AC493" s="610"/>
      <c r="AD493" s="610"/>
      <c r="AE493" s="610"/>
      <c r="AF493" s="610"/>
      <c r="AG493" s="610"/>
      <c r="AH493" s="610"/>
      <c r="AI493" s="610"/>
      <c r="AJ493" s="610"/>
      <c r="AK493" s="610"/>
      <c r="AL493" s="610"/>
      <c r="AM493" s="610"/>
      <c r="AN493" s="610"/>
      <c r="AO493" s="610"/>
      <c r="AP493" s="610"/>
      <c r="AQ493" s="610"/>
    </row>
    <row r="494" spans="2:43" s="609" customFormat="1">
      <c r="B494" s="610"/>
      <c r="C494" s="610"/>
      <c r="D494" s="610"/>
      <c r="E494" s="610"/>
      <c r="F494" s="610"/>
      <c r="G494" s="610"/>
      <c r="H494" s="610"/>
      <c r="I494" s="610"/>
      <c r="J494" s="610"/>
      <c r="L494" s="610"/>
      <c r="M494" s="610"/>
      <c r="N494" s="610"/>
      <c r="O494" s="610"/>
      <c r="P494" s="610"/>
      <c r="Q494" s="610"/>
      <c r="R494" s="610"/>
      <c r="S494" s="610"/>
      <c r="T494" s="610"/>
      <c r="U494" s="610"/>
      <c r="V494" s="610"/>
      <c r="W494" s="610"/>
      <c r="X494" s="610"/>
      <c r="Y494" s="610"/>
      <c r="Z494" s="610"/>
      <c r="AA494" s="610"/>
      <c r="AB494" s="610"/>
      <c r="AC494" s="610"/>
      <c r="AD494" s="610"/>
      <c r="AE494" s="610"/>
      <c r="AF494" s="610"/>
      <c r="AG494" s="610"/>
      <c r="AH494" s="610"/>
      <c r="AI494" s="610"/>
      <c r="AJ494" s="610"/>
      <c r="AK494" s="610"/>
      <c r="AL494" s="610"/>
      <c r="AM494" s="610"/>
      <c r="AN494" s="610"/>
      <c r="AO494" s="610"/>
      <c r="AP494" s="610"/>
      <c r="AQ494" s="610"/>
    </row>
    <row r="495" spans="2:43" s="609" customFormat="1">
      <c r="B495" s="610"/>
      <c r="C495" s="610"/>
      <c r="D495" s="610"/>
      <c r="E495" s="610"/>
      <c r="F495" s="610"/>
      <c r="G495" s="610"/>
      <c r="H495" s="610"/>
      <c r="I495" s="610"/>
      <c r="J495" s="610"/>
      <c r="L495" s="610"/>
      <c r="M495" s="610"/>
      <c r="N495" s="610"/>
      <c r="O495" s="610"/>
      <c r="P495" s="610"/>
      <c r="Q495" s="610"/>
      <c r="R495" s="610"/>
      <c r="S495" s="610"/>
      <c r="T495" s="610"/>
      <c r="U495" s="610"/>
      <c r="V495" s="610"/>
      <c r="W495" s="610"/>
      <c r="X495" s="610"/>
      <c r="Y495" s="610"/>
      <c r="Z495" s="610"/>
      <c r="AA495" s="610"/>
      <c r="AB495" s="610"/>
      <c r="AC495" s="610"/>
      <c r="AD495" s="610"/>
      <c r="AE495" s="610"/>
      <c r="AF495" s="610"/>
      <c r="AG495" s="610"/>
      <c r="AH495" s="610"/>
      <c r="AI495" s="610"/>
      <c r="AJ495" s="610"/>
      <c r="AK495" s="610"/>
      <c r="AL495" s="610"/>
      <c r="AM495" s="610"/>
      <c r="AN495" s="610"/>
      <c r="AO495" s="610"/>
      <c r="AP495" s="610"/>
      <c r="AQ495" s="610"/>
    </row>
    <row r="496" spans="2:43" s="609" customFormat="1">
      <c r="B496" s="610"/>
      <c r="C496" s="610"/>
      <c r="D496" s="610"/>
      <c r="E496" s="610"/>
      <c r="F496" s="610"/>
      <c r="G496" s="610"/>
      <c r="H496" s="610"/>
      <c r="I496" s="610"/>
      <c r="J496" s="610"/>
      <c r="L496" s="610"/>
      <c r="M496" s="610"/>
      <c r="N496" s="610"/>
      <c r="O496" s="610"/>
      <c r="P496" s="610"/>
      <c r="Q496" s="610"/>
      <c r="R496" s="610"/>
      <c r="S496" s="610"/>
      <c r="T496" s="610"/>
      <c r="U496" s="610"/>
      <c r="V496" s="610"/>
      <c r="W496" s="610"/>
      <c r="X496" s="610"/>
      <c r="Y496" s="610"/>
      <c r="Z496" s="610"/>
      <c r="AA496" s="610"/>
      <c r="AB496" s="610"/>
      <c r="AC496" s="610"/>
      <c r="AD496" s="610"/>
      <c r="AE496" s="610"/>
      <c r="AF496" s="610"/>
      <c r="AG496" s="610"/>
      <c r="AH496" s="610"/>
      <c r="AI496" s="610"/>
      <c r="AJ496" s="610"/>
      <c r="AK496" s="610"/>
      <c r="AL496" s="610"/>
      <c r="AM496" s="610"/>
      <c r="AN496" s="610"/>
      <c r="AO496" s="610"/>
      <c r="AP496" s="610"/>
      <c r="AQ496" s="610"/>
    </row>
    <row r="497" spans="2:43" s="609" customFormat="1">
      <c r="B497" s="610"/>
      <c r="C497" s="610"/>
      <c r="D497" s="610"/>
      <c r="E497" s="610"/>
      <c r="F497" s="610"/>
      <c r="G497" s="610"/>
      <c r="H497" s="610"/>
      <c r="I497" s="610"/>
      <c r="J497" s="610"/>
      <c r="L497" s="610"/>
      <c r="M497" s="610"/>
      <c r="N497" s="610"/>
      <c r="O497" s="610"/>
      <c r="P497" s="610"/>
      <c r="Q497" s="610"/>
      <c r="R497" s="610"/>
      <c r="S497" s="610"/>
      <c r="T497" s="610"/>
      <c r="U497" s="610"/>
      <c r="V497" s="610"/>
      <c r="W497" s="610"/>
      <c r="X497" s="610"/>
      <c r="Y497" s="610"/>
      <c r="Z497" s="610"/>
      <c r="AA497" s="610"/>
      <c r="AB497" s="610"/>
      <c r="AC497" s="610"/>
      <c r="AD497" s="610"/>
      <c r="AE497" s="610"/>
      <c r="AF497" s="610"/>
      <c r="AG497" s="610"/>
      <c r="AH497" s="610"/>
      <c r="AI497" s="610"/>
      <c r="AJ497" s="610"/>
      <c r="AK497" s="610"/>
      <c r="AL497" s="610"/>
      <c r="AM497" s="610"/>
      <c r="AN497" s="610"/>
      <c r="AO497" s="610"/>
      <c r="AP497" s="610"/>
      <c r="AQ497" s="610"/>
    </row>
    <row r="498" spans="2:43" s="609" customFormat="1">
      <c r="B498" s="610"/>
      <c r="C498" s="610"/>
      <c r="D498" s="610"/>
      <c r="E498" s="610"/>
      <c r="F498" s="610"/>
      <c r="G498" s="610"/>
      <c r="H498" s="610"/>
      <c r="I498" s="610"/>
      <c r="J498" s="610"/>
      <c r="L498" s="610"/>
      <c r="M498" s="610"/>
      <c r="N498" s="610"/>
      <c r="O498" s="610"/>
      <c r="P498" s="610"/>
      <c r="Q498" s="610"/>
      <c r="R498" s="610"/>
      <c r="S498" s="610"/>
      <c r="T498" s="610"/>
      <c r="U498" s="610"/>
      <c r="V498" s="610"/>
      <c r="W498" s="610"/>
      <c r="X498" s="610"/>
      <c r="Y498" s="610"/>
      <c r="Z498" s="610"/>
      <c r="AA498" s="610"/>
      <c r="AB498" s="610"/>
      <c r="AC498" s="610"/>
      <c r="AD498" s="610"/>
      <c r="AE498" s="610"/>
      <c r="AF498" s="610"/>
      <c r="AG498" s="610"/>
      <c r="AH498" s="610"/>
      <c r="AI498" s="610"/>
      <c r="AJ498" s="610"/>
      <c r="AK498" s="610"/>
      <c r="AL498" s="610"/>
      <c r="AM498" s="610"/>
      <c r="AN498" s="610"/>
      <c r="AO498" s="610"/>
      <c r="AP498" s="610"/>
      <c r="AQ498" s="610"/>
    </row>
    <row r="499" spans="2:43" s="609" customFormat="1">
      <c r="B499" s="610"/>
      <c r="C499" s="610"/>
      <c r="D499" s="610"/>
      <c r="E499" s="610"/>
      <c r="F499" s="610"/>
      <c r="G499" s="610"/>
      <c r="H499" s="610"/>
      <c r="I499" s="610"/>
      <c r="J499" s="610"/>
      <c r="L499" s="610"/>
      <c r="M499" s="610"/>
      <c r="N499" s="610"/>
      <c r="O499" s="610"/>
      <c r="P499" s="610"/>
      <c r="Q499" s="610"/>
      <c r="R499" s="610"/>
      <c r="S499" s="610"/>
      <c r="T499" s="610"/>
      <c r="U499" s="610"/>
      <c r="V499" s="610"/>
      <c r="W499" s="610"/>
      <c r="X499" s="610"/>
      <c r="Y499" s="610"/>
      <c r="Z499" s="610"/>
      <c r="AA499" s="610"/>
      <c r="AB499" s="610"/>
      <c r="AC499" s="610"/>
      <c r="AD499" s="610"/>
      <c r="AE499" s="610"/>
      <c r="AF499" s="610"/>
      <c r="AG499" s="610"/>
      <c r="AH499" s="610"/>
      <c r="AI499" s="610"/>
      <c r="AJ499" s="610"/>
      <c r="AK499" s="610"/>
      <c r="AL499" s="610"/>
      <c r="AM499" s="610"/>
      <c r="AN499" s="610"/>
      <c r="AO499" s="610"/>
      <c r="AP499" s="610"/>
      <c r="AQ499" s="610"/>
    </row>
    <row r="500" spans="2:43" s="609" customFormat="1">
      <c r="B500" s="610"/>
      <c r="C500" s="610"/>
      <c r="D500" s="610"/>
      <c r="E500" s="610"/>
      <c r="F500" s="610"/>
      <c r="G500" s="610"/>
      <c r="H500" s="610"/>
      <c r="I500" s="610"/>
      <c r="J500" s="610"/>
      <c r="L500" s="610"/>
      <c r="M500" s="610"/>
      <c r="N500" s="610"/>
      <c r="O500" s="610"/>
      <c r="P500" s="610"/>
      <c r="Q500" s="610"/>
      <c r="R500" s="610"/>
      <c r="S500" s="610"/>
      <c r="T500" s="610"/>
      <c r="U500" s="610"/>
      <c r="V500" s="610"/>
      <c r="W500" s="610"/>
      <c r="X500" s="610"/>
      <c r="Y500" s="610"/>
      <c r="Z500" s="610"/>
      <c r="AA500" s="610"/>
      <c r="AB500" s="610"/>
      <c r="AC500" s="610"/>
      <c r="AD500" s="610"/>
      <c r="AE500" s="610"/>
      <c r="AF500" s="610"/>
      <c r="AG500" s="610"/>
      <c r="AH500" s="610"/>
      <c r="AI500" s="610"/>
      <c r="AJ500" s="610"/>
      <c r="AK500" s="610"/>
      <c r="AL500" s="610"/>
      <c r="AM500" s="610"/>
      <c r="AN500" s="610"/>
      <c r="AO500" s="610"/>
      <c r="AP500" s="610"/>
      <c r="AQ500" s="610"/>
    </row>
    <row r="501" spans="2:43" s="609" customFormat="1">
      <c r="B501" s="610"/>
      <c r="C501" s="610"/>
      <c r="D501" s="610"/>
      <c r="E501" s="610"/>
      <c r="F501" s="610"/>
      <c r="G501" s="610"/>
      <c r="H501" s="610"/>
      <c r="I501" s="610"/>
      <c r="J501" s="610"/>
      <c r="L501" s="610"/>
      <c r="M501" s="610"/>
      <c r="N501" s="610"/>
      <c r="O501" s="610"/>
      <c r="P501" s="610"/>
      <c r="Q501" s="610"/>
      <c r="R501" s="610"/>
      <c r="S501" s="610"/>
      <c r="T501" s="610"/>
      <c r="U501" s="610"/>
      <c r="V501" s="610"/>
      <c r="W501" s="610"/>
      <c r="X501" s="610"/>
      <c r="Y501" s="610"/>
      <c r="Z501" s="610"/>
      <c r="AA501" s="610"/>
      <c r="AB501" s="610"/>
      <c r="AC501" s="610"/>
      <c r="AD501" s="610"/>
      <c r="AE501" s="610"/>
      <c r="AF501" s="610"/>
      <c r="AG501" s="610"/>
      <c r="AH501" s="610"/>
      <c r="AI501" s="610"/>
      <c r="AJ501" s="610"/>
      <c r="AK501" s="610"/>
      <c r="AL501" s="610"/>
      <c r="AM501" s="610"/>
      <c r="AN501" s="610"/>
      <c r="AO501" s="610"/>
      <c r="AP501" s="610"/>
      <c r="AQ501" s="610"/>
    </row>
    <row r="502" spans="2:43" s="609" customFormat="1">
      <c r="B502" s="610"/>
      <c r="C502" s="610"/>
      <c r="D502" s="610"/>
      <c r="E502" s="610"/>
      <c r="F502" s="610"/>
      <c r="G502" s="610"/>
      <c r="H502" s="610"/>
      <c r="I502" s="610"/>
      <c r="J502" s="610"/>
      <c r="L502" s="610"/>
      <c r="M502" s="610"/>
      <c r="N502" s="610"/>
      <c r="O502" s="610"/>
      <c r="P502" s="610"/>
      <c r="Q502" s="610"/>
      <c r="R502" s="610"/>
      <c r="S502" s="610"/>
      <c r="T502" s="610"/>
      <c r="U502" s="610"/>
      <c r="V502" s="610"/>
      <c r="W502" s="610"/>
      <c r="X502" s="610"/>
      <c r="Y502" s="610"/>
      <c r="Z502" s="610"/>
      <c r="AA502" s="610"/>
      <c r="AB502" s="610"/>
      <c r="AC502" s="610"/>
      <c r="AD502" s="610"/>
      <c r="AE502" s="610"/>
      <c r="AF502" s="610"/>
      <c r="AG502" s="610"/>
      <c r="AH502" s="610"/>
      <c r="AI502" s="610"/>
      <c r="AJ502" s="610"/>
      <c r="AK502" s="610"/>
      <c r="AL502" s="610"/>
      <c r="AM502" s="610"/>
      <c r="AN502" s="610"/>
      <c r="AO502" s="610"/>
      <c r="AP502" s="610"/>
      <c r="AQ502" s="610"/>
    </row>
    <row r="503" spans="2:43" s="609" customFormat="1">
      <c r="B503" s="610"/>
      <c r="C503" s="610"/>
      <c r="D503" s="610"/>
      <c r="E503" s="610"/>
      <c r="F503" s="610"/>
      <c r="G503" s="610"/>
      <c r="H503" s="610"/>
      <c r="I503" s="610"/>
      <c r="J503" s="610"/>
      <c r="L503" s="610"/>
      <c r="M503" s="610"/>
      <c r="N503" s="610"/>
      <c r="O503" s="610"/>
      <c r="P503" s="610"/>
      <c r="Q503" s="610"/>
      <c r="R503" s="610"/>
      <c r="S503" s="610"/>
      <c r="T503" s="610"/>
      <c r="U503" s="610"/>
      <c r="V503" s="610"/>
      <c r="W503" s="610"/>
      <c r="X503" s="610"/>
      <c r="Y503" s="610"/>
      <c r="Z503" s="610"/>
      <c r="AA503" s="610"/>
      <c r="AB503" s="610"/>
      <c r="AC503" s="610"/>
      <c r="AD503" s="610"/>
      <c r="AE503" s="610"/>
      <c r="AF503" s="610"/>
      <c r="AG503" s="610"/>
      <c r="AH503" s="610"/>
      <c r="AI503" s="610"/>
      <c r="AJ503" s="610"/>
      <c r="AK503" s="610"/>
      <c r="AL503" s="610"/>
      <c r="AM503" s="610"/>
      <c r="AN503" s="610"/>
      <c r="AO503" s="610"/>
      <c r="AP503" s="610"/>
      <c r="AQ503" s="610"/>
    </row>
    <row r="504" spans="2:43" s="609" customFormat="1">
      <c r="B504" s="610"/>
      <c r="C504" s="610"/>
      <c r="D504" s="610"/>
      <c r="E504" s="610"/>
      <c r="F504" s="610"/>
      <c r="G504" s="610"/>
      <c r="H504" s="610"/>
      <c r="I504" s="610"/>
      <c r="J504" s="610"/>
      <c r="L504" s="610"/>
      <c r="M504" s="610"/>
      <c r="N504" s="610"/>
      <c r="O504" s="610"/>
      <c r="P504" s="610"/>
      <c r="Q504" s="610"/>
      <c r="R504" s="610"/>
      <c r="S504" s="610"/>
      <c r="T504" s="610"/>
      <c r="U504" s="610"/>
      <c r="V504" s="610"/>
      <c r="W504" s="610"/>
      <c r="X504" s="610"/>
      <c r="Y504" s="610"/>
      <c r="Z504" s="610"/>
      <c r="AA504" s="610"/>
      <c r="AB504" s="610"/>
      <c r="AC504" s="610"/>
      <c r="AD504" s="610"/>
      <c r="AE504" s="610"/>
      <c r="AF504" s="610"/>
      <c r="AG504" s="610"/>
      <c r="AH504" s="610"/>
      <c r="AI504" s="610"/>
      <c r="AJ504" s="610"/>
      <c r="AK504" s="610"/>
      <c r="AL504" s="610"/>
      <c r="AM504" s="610"/>
      <c r="AN504" s="610"/>
      <c r="AO504" s="610"/>
      <c r="AP504" s="610"/>
      <c r="AQ504" s="610"/>
    </row>
    <row r="505" spans="2:43" s="609" customFormat="1">
      <c r="B505" s="610"/>
      <c r="C505" s="610"/>
      <c r="D505" s="610"/>
      <c r="E505" s="610"/>
      <c r="F505" s="610"/>
      <c r="G505" s="610"/>
      <c r="H505" s="610"/>
      <c r="I505" s="610"/>
      <c r="J505" s="610"/>
      <c r="L505" s="610"/>
      <c r="M505" s="610"/>
      <c r="N505" s="610"/>
      <c r="O505" s="610"/>
      <c r="P505" s="610"/>
      <c r="Q505" s="610"/>
      <c r="R505" s="610"/>
      <c r="S505" s="610"/>
      <c r="T505" s="610"/>
      <c r="U505" s="610"/>
      <c r="V505" s="610"/>
      <c r="W505" s="610"/>
      <c r="X505" s="610"/>
      <c r="Y505" s="610"/>
      <c r="Z505" s="610"/>
      <c r="AA505" s="610"/>
      <c r="AB505" s="610"/>
      <c r="AC505" s="610"/>
      <c r="AD505" s="610"/>
      <c r="AE505" s="610"/>
      <c r="AF505" s="610"/>
      <c r="AG505" s="610"/>
      <c r="AH505" s="610"/>
      <c r="AI505" s="610"/>
      <c r="AJ505" s="610"/>
      <c r="AK505" s="610"/>
      <c r="AL505" s="610"/>
      <c r="AM505" s="610"/>
      <c r="AN505" s="610"/>
      <c r="AO505" s="610"/>
      <c r="AP505" s="610"/>
      <c r="AQ505" s="610"/>
    </row>
    <row r="506" spans="2:43" s="609" customFormat="1">
      <c r="B506" s="610"/>
      <c r="C506" s="610"/>
      <c r="D506" s="610"/>
      <c r="E506" s="610"/>
      <c r="F506" s="610"/>
      <c r="G506" s="610"/>
      <c r="H506" s="610"/>
      <c r="I506" s="610"/>
      <c r="J506" s="610"/>
      <c r="L506" s="610"/>
      <c r="M506" s="610"/>
      <c r="N506" s="610"/>
      <c r="O506" s="610"/>
      <c r="P506" s="610"/>
      <c r="Q506" s="610"/>
      <c r="R506" s="610"/>
      <c r="S506" s="610"/>
      <c r="T506" s="610"/>
      <c r="U506" s="610"/>
      <c r="V506" s="610"/>
      <c r="W506" s="610"/>
      <c r="X506" s="610"/>
      <c r="Y506" s="610"/>
      <c r="Z506" s="610"/>
      <c r="AA506" s="610"/>
      <c r="AB506" s="610"/>
      <c r="AC506" s="610"/>
      <c r="AD506" s="610"/>
      <c r="AE506" s="610"/>
      <c r="AF506" s="610"/>
      <c r="AG506" s="610"/>
      <c r="AH506" s="610"/>
      <c r="AI506" s="610"/>
      <c r="AJ506" s="610"/>
      <c r="AK506" s="610"/>
      <c r="AL506" s="610"/>
      <c r="AM506" s="610"/>
      <c r="AN506" s="610"/>
      <c r="AO506" s="610"/>
      <c r="AP506" s="610"/>
      <c r="AQ506" s="610"/>
    </row>
    <row r="507" spans="2:43" s="609" customFormat="1">
      <c r="B507" s="610"/>
      <c r="C507" s="610"/>
      <c r="D507" s="610"/>
      <c r="E507" s="610"/>
      <c r="F507" s="610"/>
      <c r="G507" s="610"/>
      <c r="H507" s="610"/>
      <c r="I507" s="610"/>
      <c r="J507" s="610"/>
      <c r="L507" s="610"/>
      <c r="M507" s="610"/>
      <c r="N507" s="610"/>
      <c r="O507" s="610"/>
      <c r="P507" s="610"/>
      <c r="Q507" s="610"/>
      <c r="R507" s="610"/>
      <c r="S507" s="610"/>
      <c r="T507" s="610"/>
      <c r="U507" s="610"/>
      <c r="V507" s="610"/>
      <c r="W507" s="610"/>
      <c r="X507" s="610"/>
      <c r="Y507" s="610"/>
      <c r="Z507" s="610"/>
      <c r="AA507" s="610"/>
      <c r="AB507" s="610"/>
      <c r="AC507" s="610"/>
      <c r="AD507" s="610"/>
      <c r="AE507" s="610"/>
      <c r="AF507" s="610"/>
      <c r="AG507" s="610"/>
      <c r="AH507" s="610"/>
      <c r="AI507" s="610"/>
      <c r="AJ507" s="610"/>
      <c r="AK507" s="610"/>
      <c r="AL507" s="610"/>
      <c r="AM507" s="610"/>
      <c r="AN507" s="610"/>
      <c r="AO507" s="610"/>
      <c r="AP507" s="610"/>
      <c r="AQ507" s="610"/>
    </row>
    <row r="508" spans="2:43" s="609" customFormat="1">
      <c r="B508" s="610"/>
      <c r="C508" s="610"/>
      <c r="D508" s="610"/>
      <c r="E508" s="610"/>
      <c r="F508" s="610"/>
      <c r="G508" s="610"/>
      <c r="H508" s="610"/>
      <c r="I508" s="610"/>
      <c r="J508" s="610"/>
      <c r="L508" s="610"/>
      <c r="M508" s="610"/>
      <c r="N508" s="610"/>
      <c r="O508" s="610"/>
      <c r="P508" s="610"/>
      <c r="Q508" s="610"/>
      <c r="R508" s="610"/>
      <c r="S508" s="610"/>
      <c r="T508" s="610"/>
      <c r="U508" s="610"/>
      <c r="V508" s="610"/>
      <c r="W508" s="610"/>
      <c r="X508" s="610"/>
      <c r="Y508" s="610"/>
      <c r="Z508" s="610"/>
      <c r="AA508" s="610"/>
      <c r="AB508" s="610"/>
      <c r="AC508" s="610"/>
      <c r="AD508" s="610"/>
      <c r="AE508" s="610"/>
      <c r="AF508" s="610"/>
      <c r="AG508" s="610"/>
      <c r="AH508" s="610"/>
      <c r="AI508" s="610"/>
      <c r="AJ508" s="610"/>
      <c r="AK508" s="610"/>
      <c r="AL508" s="610"/>
      <c r="AM508" s="610"/>
      <c r="AN508" s="610"/>
      <c r="AO508" s="610"/>
      <c r="AP508" s="610"/>
      <c r="AQ508" s="610"/>
    </row>
    <row r="509" spans="2:43" s="609" customFormat="1">
      <c r="B509" s="610"/>
      <c r="C509" s="610"/>
      <c r="D509" s="610"/>
      <c r="E509" s="610"/>
      <c r="F509" s="610"/>
      <c r="G509" s="610"/>
      <c r="H509" s="610"/>
      <c r="I509" s="610"/>
      <c r="J509" s="610"/>
      <c r="L509" s="610"/>
      <c r="M509" s="610"/>
      <c r="N509" s="610"/>
      <c r="O509" s="610"/>
      <c r="P509" s="610"/>
      <c r="Q509" s="610"/>
      <c r="R509" s="610"/>
      <c r="S509" s="610"/>
      <c r="T509" s="610"/>
      <c r="U509" s="610"/>
      <c r="V509" s="610"/>
      <c r="W509" s="610"/>
      <c r="X509" s="610"/>
      <c r="Y509" s="610"/>
      <c r="Z509" s="610"/>
      <c r="AA509" s="610"/>
      <c r="AB509" s="610"/>
      <c r="AC509" s="610"/>
      <c r="AD509" s="610"/>
      <c r="AE509" s="610"/>
      <c r="AF509" s="610"/>
      <c r="AG509" s="610"/>
      <c r="AH509" s="610"/>
      <c r="AI509" s="610"/>
      <c r="AJ509" s="610"/>
      <c r="AK509" s="610"/>
      <c r="AL509" s="610"/>
      <c r="AM509" s="610"/>
      <c r="AN509" s="610"/>
      <c r="AO509" s="610"/>
      <c r="AP509" s="610"/>
      <c r="AQ509" s="610"/>
    </row>
    <row r="510" spans="2:43" s="609" customFormat="1">
      <c r="B510" s="610"/>
      <c r="C510" s="610"/>
      <c r="D510" s="610"/>
      <c r="E510" s="610"/>
      <c r="F510" s="610"/>
      <c r="G510" s="610"/>
      <c r="H510" s="610"/>
      <c r="I510" s="610"/>
      <c r="J510" s="610"/>
      <c r="L510" s="610"/>
      <c r="M510" s="610"/>
      <c r="N510" s="610"/>
      <c r="O510" s="610"/>
      <c r="P510" s="610"/>
      <c r="Q510" s="610"/>
      <c r="R510" s="610"/>
      <c r="S510" s="610"/>
      <c r="T510" s="610"/>
      <c r="U510" s="610"/>
      <c r="V510" s="610"/>
      <c r="W510" s="610"/>
      <c r="X510" s="610"/>
      <c r="Y510" s="610"/>
      <c r="Z510" s="610"/>
      <c r="AA510" s="610"/>
      <c r="AB510" s="610"/>
      <c r="AC510" s="610"/>
      <c r="AD510" s="610"/>
      <c r="AE510" s="610"/>
      <c r="AF510" s="610"/>
      <c r="AG510" s="610"/>
      <c r="AH510" s="610"/>
      <c r="AI510" s="610"/>
      <c r="AJ510" s="610"/>
      <c r="AK510" s="610"/>
      <c r="AL510" s="610"/>
      <c r="AM510" s="610"/>
      <c r="AN510" s="610"/>
      <c r="AO510" s="610"/>
      <c r="AP510" s="610"/>
      <c r="AQ510" s="610"/>
    </row>
    <row r="511" spans="2:43" s="609" customFormat="1">
      <c r="B511" s="610"/>
      <c r="C511" s="610"/>
      <c r="D511" s="610"/>
      <c r="E511" s="610"/>
      <c r="F511" s="610"/>
      <c r="G511" s="610"/>
      <c r="H511" s="610"/>
      <c r="I511" s="610"/>
      <c r="J511" s="610"/>
      <c r="L511" s="610"/>
      <c r="M511" s="610"/>
      <c r="N511" s="610"/>
      <c r="O511" s="610"/>
      <c r="P511" s="610"/>
      <c r="Q511" s="610"/>
      <c r="R511" s="610"/>
      <c r="S511" s="610"/>
      <c r="T511" s="610"/>
      <c r="U511" s="610"/>
      <c r="V511" s="610"/>
      <c r="W511" s="610"/>
      <c r="X511" s="610"/>
      <c r="Y511" s="610"/>
      <c r="Z511" s="610"/>
      <c r="AA511" s="610"/>
      <c r="AB511" s="610"/>
      <c r="AC511" s="610"/>
      <c r="AD511" s="610"/>
      <c r="AE511" s="610"/>
      <c r="AF511" s="610"/>
      <c r="AG511" s="610"/>
      <c r="AH511" s="610"/>
      <c r="AI511" s="610"/>
      <c r="AJ511" s="610"/>
      <c r="AK511" s="610"/>
      <c r="AL511" s="610"/>
      <c r="AM511" s="610"/>
      <c r="AN511" s="610"/>
      <c r="AO511" s="610"/>
      <c r="AP511" s="610"/>
      <c r="AQ511" s="610"/>
    </row>
    <row r="512" spans="2:43" s="609" customFormat="1">
      <c r="B512" s="610"/>
      <c r="C512" s="610"/>
      <c r="D512" s="610"/>
      <c r="E512" s="610"/>
      <c r="F512" s="610"/>
      <c r="G512" s="610"/>
      <c r="H512" s="610"/>
      <c r="I512" s="610"/>
      <c r="J512" s="610"/>
      <c r="L512" s="610"/>
      <c r="M512" s="610"/>
      <c r="N512" s="610"/>
      <c r="O512" s="610"/>
      <c r="P512" s="610"/>
      <c r="Q512" s="610"/>
      <c r="R512" s="610"/>
      <c r="S512" s="610"/>
      <c r="T512" s="610"/>
      <c r="U512" s="610"/>
      <c r="V512" s="610"/>
      <c r="W512" s="610"/>
      <c r="X512" s="610"/>
      <c r="Y512" s="610"/>
      <c r="Z512" s="610"/>
      <c r="AA512" s="610"/>
      <c r="AB512" s="610"/>
      <c r="AC512" s="610"/>
      <c r="AD512" s="610"/>
      <c r="AE512" s="610"/>
      <c r="AF512" s="610"/>
      <c r="AG512" s="610"/>
      <c r="AH512" s="610"/>
      <c r="AI512" s="610"/>
      <c r="AJ512" s="610"/>
      <c r="AK512" s="610"/>
      <c r="AL512" s="610"/>
      <c r="AM512" s="610"/>
      <c r="AN512" s="610"/>
      <c r="AO512" s="610"/>
      <c r="AP512" s="610"/>
      <c r="AQ512" s="610"/>
    </row>
    <row r="513" spans="2:43" s="609" customFormat="1">
      <c r="B513" s="610"/>
      <c r="C513" s="610"/>
      <c r="D513" s="610"/>
      <c r="E513" s="610"/>
      <c r="F513" s="610"/>
      <c r="G513" s="610"/>
      <c r="H513" s="610"/>
      <c r="I513" s="610"/>
      <c r="J513" s="610"/>
      <c r="L513" s="610"/>
      <c r="M513" s="610"/>
      <c r="N513" s="610"/>
      <c r="O513" s="610"/>
      <c r="P513" s="610"/>
      <c r="Q513" s="610"/>
      <c r="R513" s="610"/>
      <c r="S513" s="610"/>
      <c r="T513" s="610"/>
      <c r="U513" s="610"/>
      <c r="V513" s="610"/>
      <c r="W513" s="610"/>
      <c r="X513" s="610"/>
      <c r="Y513" s="610"/>
      <c r="Z513" s="610"/>
      <c r="AA513" s="610"/>
      <c r="AB513" s="610"/>
      <c r="AC513" s="610"/>
      <c r="AD513" s="610"/>
      <c r="AE513" s="610"/>
      <c r="AF513" s="610"/>
      <c r="AG513" s="610"/>
      <c r="AH513" s="610"/>
      <c r="AI513" s="610"/>
      <c r="AJ513" s="610"/>
      <c r="AK513" s="610"/>
      <c r="AL513" s="610"/>
      <c r="AM513" s="610"/>
      <c r="AN513" s="610"/>
      <c r="AO513" s="610"/>
      <c r="AP513" s="610"/>
      <c r="AQ513" s="610"/>
    </row>
    <row r="514" spans="2:43" s="609" customFormat="1">
      <c r="B514" s="610"/>
      <c r="C514" s="610"/>
      <c r="D514" s="610"/>
      <c r="E514" s="610"/>
      <c r="F514" s="610"/>
      <c r="G514" s="610"/>
      <c r="H514" s="610"/>
      <c r="I514" s="610"/>
      <c r="J514" s="610"/>
      <c r="L514" s="610"/>
      <c r="M514" s="610"/>
      <c r="N514" s="610"/>
      <c r="O514" s="610"/>
      <c r="P514" s="610"/>
      <c r="Q514" s="610"/>
      <c r="R514" s="610"/>
      <c r="S514" s="610"/>
      <c r="T514" s="610"/>
      <c r="U514" s="610"/>
      <c r="V514" s="610"/>
      <c r="W514" s="610"/>
      <c r="X514" s="610"/>
      <c r="Y514" s="610"/>
      <c r="Z514" s="610"/>
      <c r="AA514" s="610"/>
      <c r="AB514" s="610"/>
      <c r="AC514" s="610"/>
      <c r="AD514" s="610"/>
      <c r="AE514" s="610"/>
      <c r="AF514" s="610"/>
      <c r="AG514" s="610"/>
      <c r="AH514" s="610"/>
      <c r="AI514" s="610"/>
      <c r="AJ514" s="610"/>
      <c r="AK514" s="610"/>
      <c r="AL514" s="610"/>
      <c r="AM514" s="610"/>
      <c r="AN514" s="610"/>
      <c r="AO514" s="610"/>
      <c r="AP514" s="610"/>
      <c r="AQ514" s="610"/>
    </row>
    <row r="515" spans="2:43" s="609" customFormat="1">
      <c r="B515" s="610"/>
      <c r="C515" s="610"/>
      <c r="D515" s="610"/>
      <c r="E515" s="610"/>
      <c r="F515" s="610"/>
      <c r="G515" s="610"/>
      <c r="H515" s="610"/>
      <c r="I515" s="610"/>
      <c r="J515" s="610"/>
      <c r="L515" s="610"/>
      <c r="M515" s="610"/>
      <c r="N515" s="610"/>
      <c r="O515" s="610"/>
      <c r="P515" s="610"/>
      <c r="Q515" s="610"/>
      <c r="R515" s="610"/>
      <c r="S515" s="610"/>
      <c r="T515" s="610"/>
      <c r="U515" s="610"/>
      <c r="V515" s="610"/>
      <c r="W515" s="610"/>
      <c r="X515" s="610"/>
      <c r="Y515" s="610"/>
      <c r="Z515" s="610"/>
      <c r="AA515" s="610"/>
      <c r="AB515" s="610"/>
      <c r="AC515" s="610"/>
      <c r="AD515" s="610"/>
      <c r="AE515" s="610"/>
      <c r="AF515" s="610"/>
      <c r="AG515" s="610"/>
      <c r="AH515" s="610"/>
      <c r="AI515" s="610"/>
      <c r="AJ515" s="610"/>
      <c r="AK515" s="610"/>
      <c r="AL515" s="610"/>
      <c r="AM515" s="610"/>
      <c r="AN515" s="610"/>
      <c r="AO515" s="610"/>
      <c r="AP515" s="610"/>
      <c r="AQ515" s="610"/>
    </row>
    <row r="516" spans="2:43" s="609" customFormat="1">
      <c r="B516" s="610"/>
      <c r="C516" s="610"/>
      <c r="D516" s="610"/>
      <c r="E516" s="610"/>
      <c r="F516" s="610"/>
      <c r="G516" s="610"/>
      <c r="H516" s="610"/>
      <c r="I516" s="610"/>
      <c r="J516" s="610"/>
      <c r="L516" s="610"/>
      <c r="M516" s="610"/>
      <c r="N516" s="610"/>
      <c r="O516" s="610"/>
      <c r="P516" s="610"/>
      <c r="Q516" s="610"/>
      <c r="R516" s="610"/>
      <c r="S516" s="610"/>
      <c r="T516" s="610"/>
      <c r="U516" s="610"/>
      <c r="V516" s="610"/>
      <c r="W516" s="610"/>
      <c r="X516" s="610"/>
      <c r="Y516" s="610"/>
      <c r="Z516" s="610"/>
      <c r="AA516" s="610"/>
      <c r="AB516" s="610"/>
      <c r="AC516" s="610"/>
      <c r="AD516" s="610"/>
      <c r="AE516" s="610"/>
      <c r="AF516" s="610"/>
      <c r="AG516" s="610"/>
      <c r="AH516" s="610"/>
      <c r="AI516" s="610"/>
      <c r="AJ516" s="610"/>
      <c r="AK516" s="610"/>
      <c r="AL516" s="610"/>
      <c r="AM516" s="610"/>
      <c r="AN516" s="610"/>
      <c r="AO516" s="610"/>
      <c r="AP516" s="610"/>
      <c r="AQ516" s="610"/>
    </row>
    <row r="517" spans="2:43" s="609" customFormat="1">
      <c r="B517" s="610"/>
      <c r="C517" s="610"/>
      <c r="D517" s="610"/>
      <c r="E517" s="610"/>
      <c r="F517" s="610"/>
      <c r="G517" s="610"/>
      <c r="H517" s="610"/>
      <c r="I517" s="610"/>
      <c r="J517" s="610"/>
      <c r="L517" s="610"/>
      <c r="M517" s="610"/>
      <c r="N517" s="610"/>
      <c r="O517" s="610"/>
      <c r="P517" s="610"/>
      <c r="Q517" s="610"/>
      <c r="R517" s="610"/>
      <c r="S517" s="610"/>
      <c r="T517" s="610"/>
      <c r="U517" s="610"/>
      <c r="V517" s="610"/>
      <c r="W517" s="610"/>
      <c r="X517" s="610"/>
      <c r="Y517" s="610"/>
      <c r="Z517" s="610"/>
      <c r="AA517" s="610"/>
      <c r="AB517" s="610"/>
      <c r="AC517" s="610"/>
      <c r="AD517" s="610"/>
      <c r="AE517" s="610"/>
      <c r="AF517" s="610"/>
      <c r="AG517" s="610"/>
      <c r="AH517" s="610"/>
      <c r="AI517" s="610"/>
      <c r="AJ517" s="610"/>
      <c r="AK517" s="610"/>
      <c r="AL517" s="610"/>
      <c r="AM517" s="610"/>
      <c r="AN517" s="610"/>
      <c r="AO517" s="610"/>
      <c r="AP517" s="610"/>
      <c r="AQ517" s="610"/>
    </row>
    <row r="518" spans="2:43" s="609" customFormat="1">
      <c r="B518" s="610"/>
      <c r="C518" s="610"/>
      <c r="D518" s="610"/>
      <c r="E518" s="610"/>
      <c r="F518" s="610"/>
      <c r="G518" s="610"/>
      <c r="H518" s="610"/>
      <c r="I518" s="610"/>
      <c r="J518" s="610"/>
      <c r="L518" s="610"/>
      <c r="M518" s="610"/>
      <c r="N518" s="610"/>
      <c r="O518" s="610"/>
      <c r="P518" s="610"/>
      <c r="Q518" s="610"/>
      <c r="R518" s="610"/>
      <c r="S518" s="610"/>
      <c r="T518" s="610"/>
      <c r="U518" s="610"/>
      <c r="V518" s="610"/>
      <c r="W518" s="610"/>
      <c r="X518" s="610"/>
      <c r="Y518" s="610"/>
      <c r="Z518" s="610"/>
      <c r="AA518" s="610"/>
      <c r="AB518" s="610"/>
      <c r="AC518" s="610"/>
      <c r="AD518" s="610"/>
      <c r="AE518" s="610"/>
      <c r="AF518" s="610"/>
      <c r="AG518" s="610"/>
      <c r="AH518" s="610"/>
      <c r="AI518" s="610"/>
      <c r="AJ518" s="610"/>
      <c r="AK518" s="610"/>
      <c r="AL518" s="610"/>
      <c r="AM518" s="610"/>
      <c r="AN518" s="610"/>
      <c r="AO518" s="610"/>
      <c r="AP518" s="610"/>
      <c r="AQ518" s="610"/>
    </row>
    <row r="519" spans="2:43" s="609" customFormat="1">
      <c r="B519" s="610"/>
      <c r="C519" s="610"/>
      <c r="D519" s="610"/>
      <c r="E519" s="610"/>
      <c r="F519" s="610"/>
      <c r="G519" s="610"/>
      <c r="H519" s="610"/>
      <c r="I519" s="610"/>
      <c r="J519" s="610"/>
      <c r="L519" s="610"/>
      <c r="M519" s="610"/>
      <c r="N519" s="610"/>
      <c r="O519" s="610"/>
      <c r="P519" s="610"/>
      <c r="Q519" s="610"/>
      <c r="R519" s="610"/>
      <c r="S519" s="610"/>
      <c r="T519" s="610"/>
      <c r="U519" s="610"/>
      <c r="V519" s="610"/>
      <c r="W519" s="610"/>
      <c r="X519" s="610"/>
      <c r="Y519" s="610"/>
      <c r="Z519" s="610"/>
      <c r="AA519" s="610"/>
      <c r="AB519" s="610"/>
      <c r="AC519" s="610"/>
      <c r="AD519" s="610"/>
      <c r="AE519" s="610"/>
      <c r="AF519" s="610"/>
      <c r="AG519" s="610"/>
      <c r="AH519" s="610"/>
      <c r="AI519" s="610"/>
      <c r="AJ519" s="610"/>
      <c r="AK519" s="610"/>
      <c r="AL519" s="610"/>
      <c r="AM519" s="610"/>
      <c r="AN519" s="610"/>
      <c r="AO519" s="610"/>
      <c r="AP519" s="610"/>
      <c r="AQ519" s="610"/>
    </row>
    <row r="520" spans="2:43" s="609" customFormat="1">
      <c r="B520" s="610"/>
      <c r="C520" s="610"/>
      <c r="D520" s="610"/>
      <c r="E520" s="610"/>
      <c r="F520" s="610"/>
      <c r="G520" s="610"/>
      <c r="H520" s="610"/>
      <c r="I520" s="610"/>
      <c r="J520" s="610"/>
      <c r="L520" s="610"/>
      <c r="M520" s="610"/>
      <c r="N520" s="610"/>
      <c r="O520" s="610"/>
      <c r="P520" s="610"/>
      <c r="Q520" s="610"/>
      <c r="R520" s="610"/>
      <c r="S520" s="610"/>
      <c r="T520" s="610"/>
      <c r="U520" s="610"/>
      <c r="V520" s="610"/>
      <c r="W520" s="610"/>
      <c r="X520" s="610"/>
      <c r="Y520" s="610"/>
      <c r="Z520" s="610"/>
      <c r="AA520" s="610"/>
      <c r="AB520" s="610"/>
      <c r="AC520" s="610"/>
      <c r="AD520" s="610"/>
      <c r="AE520" s="610"/>
      <c r="AF520" s="610"/>
      <c r="AG520" s="610"/>
      <c r="AH520" s="610"/>
      <c r="AI520" s="610"/>
      <c r="AJ520" s="610"/>
      <c r="AK520" s="610"/>
      <c r="AL520" s="610"/>
      <c r="AM520" s="610"/>
      <c r="AN520" s="610"/>
      <c r="AO520" s="610"/>
      <c r="AP520" s="610"/>
      <c r="AQ520" s="610"/>
    </row>
    <row r="521" spans="2:43" s="609" customFormat="1">
      <c r="B521" s="610"/>
      <c r="C521" s="610"/>
      <c r="D521" s="610"/>
      <c r="E521" s="610"/>
      <c r="F521" s="610"/>
      <c r="G521" s="610"/>
      <c r="H521" s="610"/>
      <c r="I521" s="610"/>
      <c r="J521" s="610"/>
      <c r="L521" s="610"/>
      <c r="M521" s="610"/>
      <c r="N521" s="610"/>
      <c r="O521" s="610"/>
      <c r="P521" s="610"/>
      <c r="Q521" s="610"/>
      <c r="R521" s="610"/>
      <c r="S521" s="610"/>
      <c r="T521" s="610"/>
      <c r="U521" s="610"/>
      <c r="V521" s="610"/>
      <c r="W521" s="610"/>
      <c r="X521" s="610"/>
      <c r="Y521" s="610"/>
      <c r="Z521" s="610"/>
      <c r="AA521" s="610"/>
      <c r="AB521" s="610"/>
      <c r="AC521" s="610"/>
      <c r="AD521" s="610"/>
      <c r="AE521" s="610"/>
      <c r="AF521" s="610"/>
      <c r="AG521" s="610"/>
      <c r="AH521" s="610"/>
      <c r="AI521" s="610"/>
      <c r="AJ521" s="610"/>
      <c r="AK521" s="610"/>
      <c r="AL521" s="610"/>
      <c r="AM521" s="610"/>
      <c r="AN521" s="610"/>
      <c r="AO521" s="610"/>
      <c r="AP521" s="610"/>
      <c r="AQ521" s="610"/>
    </row>
    <row r="522" spans="2:43" s="609" customFormat="1">
      <c r="B522" s="610"/>
      <c r="C522" s="610"/>
      <c r="D522" s="610"/>
      <c r="E522" s="610"/>
      <c r="F522" s="610"/>
      <c r="G522" s="610"/>
      <c r="H522" s="610"/>
      <c r="I522" s="610"/>
      <c r="J522" s="610"/>
      <c r="L522" s="610"/>
      <c r="M522" s="610"/>
      <c r="N522" s="610"/>
      <c r="O522" s="610"/>
      <c r="P522" s="610"/>
      <c r="Q522" s="610"/>
      <c r="R522" s="610"/>
      <c r="S522" s="610"/>
      <c r="T522" s="610"/>
      <c r="U522" s="610"/>
      <c r="V522" s="610"/>
      <c r="W522" s="610"/>
      <c r="X522" s="610"/>
      <c r="Y522" s="610"/>
      <c r="Z522" s="610"/>
      <c r="AA522" s="610"/>
      <c r="AB522" s="610"/>
      <c r="AC522" s="610"/>
      <c r="AD522" s="610"/>
      <c r="AE522" s="610"/>
      <c r="AF522" s="610"/>
      <c r="AG522" s="610"/>
      <c r="AH522" s="610"/>
      <c r="AI522" s="610"/>
      <c r="AJ522" s="610"/>
      <c r="AK522" s="610"/>
      <c r="AL522" s="610"/>
      <c r="AM522" s="610"/>
      <c r="AN522" s="610"/>
      <c r="AO522" s="610"/>
      <c r="AP522" s="610"/>
      <c r="AQ522" s="610"/>
    </row>
    <row r="523" spans="2:43" s="609" customFormat="1">
      <c r="B523" s="610"/>
      <c r="C523" s="610"/>
      <c r="D523" s="610"/>
      <c r="E523" s="610"/>
      <c r="F523" s="610"/>
      <c r="G523" s="610"/>
      <c r="H523" s="610"/>
      <c r="I523" s="610"/>
      <c r="J523" s="610"/>
      <c r="L523" s="610"/>
      <c r="M523" s="610"/>
      <c r="N523" s="610"/>
      <c r="O523" s="610"/>
      <c r="P523" s="610"/>
      <c r="Q523" s="610"/>
      <c r="R523" s="610"/>
      <c r="S523" s="610"/>
      <c r="T523" s="610"/>
      <c r="U523" s="610"/>
      <c r="V523" s="610"/>
      <c r="W523" s="610"/>
      <c r="X523" s="610"/>
      <c r="Y523" s="610"/>
      <c r="Z523" s="610"/>
      <c r="AA523" s="610"/>
      <c r="AB523" s="610"/>
      <c r="AC523" s="610"/>
      <c r="AD523" s="610"/>
      <c r="AE523" s="610"/>
      <c r="AF523" s="610"/>
      <c r="AG523" s="610"/>
      <c r="AH523" s="610"/>
      <c r="AI523" s="610"/>
      <c r="AJ523" s="610"/>
      <c r="AK523" s="610"/>
      <c r="AL523" s="610"/>
      <c r="AM523" s="610"/>
      <c r="AN523" s="610"/>
      <c r="AO523" s="610"/>
      <c r="AP523" s="610"/>
      <c r="AQ523" s="610"/>
    </row>
    <row r="524" spans="2:43" s="609" customFormat="1">
      <c r="B524" s="610"/>
      <c r="C524" s="610"/>
      <c r="D524" s="610"/>
      <c r="E524" s="610"/>
      <c r="F524" s="610"/>
      <c r="G524" s="610"/>
      <c r="H524" s="610"/>
      <c r="I524" s="610"/>
      <c r="J524" s="610"/>
      <c r="L524" s="610"/>
      <c r="M524" s="610"/>
      <c r="N524" s="610"/>
      <c r="O524" s="610"/>
      <c r="P524" s="610"/>
      <c r="Q524" s="610"/>
      <c r="R524" s="610"/>
      <c r="S524" s="610"/>
      <c r="T524" s="610"/>
      <c r="U524" s="610"/>
      <c r="V524" s="610"/>
      <c r="W524" s="610"/>
      <c r="X524" s="610"/>
      <c r="Y524" s="610"/>
      <c r="Z524" s="610"/>
      <c r="AA524" s="610"/>
      <c r="AB524" s="610"/>
      <c r="AC524" s="610"/>
      <c r="AD524" s="610"/>
      <c r="AE524" s="610"/>
      <c r="AF524" s="610"/>
      <c r="AG524" s="610"/>
      <c r="AH524" s="610"/>
      <c r="AI524" s="610"/>
      <c r="AJ524" s="610"/>
      <c r="AK524" s="610"/>
      <c r="AL524" s="610"/>
      <c r="AM524" s="610"/>
      <c r="AN524" s="610"/>
      <c r="AO524" s="610"/>
      <c r="AP524" s="610"/>
      <c r="AQ524" s="610"/>
    </row>
    <row r="525" spans="2:43" s="609" customFormat="1">
      <c r="B525" s="610"/>
      <c r="C525" s="610"/>
      <c r="D525" s="610"/>
      <c r="E525" s="610"/>
      <c r="F525" s="610"/>
      <c r="G525" s="610"/>
      <c r="H525" s="610"/>
      <c r="I525" s="610"/>
      <c r="J525" s="610"/>
      <c r="L525" s="610"/>
      <c r="M525" s="610"/>
      <c r="N525" s="610"/>
      <c r="O525" s="610"/>
      <c r="P525" s="610"/>
      <c r="Q525" s="610"/>
      <c r="R525" s="610"/>
      <c r="S525" s="610"/>
      <c r="T525" s="610"/>
      <c r="U525" s="610"/>
      <c r="V525" s="610"/>
      <c r="W525" s="610"/>
      <c r="X525" s="610"/>
      <c r="Y525" s="610"/>
      <c r="Z525" s="610"/>
      <c r="AA525" s="610"/>
      <c r="AB525" s="610"/>
      <c r="AC525" s="610"/>
      <c r="AD525" s="610"/>
      <c r="AE525" s="610"/>
      <c r="AF525" s="610"/>
      <c r="AG525" s="610"/>
      <c r="AH525" s="610"/>
      <c r="AI525" s="610"/>
      <c r="AJ525" s="610"/>
      <c r="AK525" s="610"/>
      <c r="AL525" s="610"/>
      <c r="AM525" s="610"/>
      <c r="AN525" s="610"/>
      <c r="AO525" s="610"/>
      <c r="AP525" s="610"/>
      <c r="AQ525" s="610"/>
    </row>
    <row r="526" spans="2:43" s="609" customFormat="1">
      <c r="B526" s="610"/>
      <c r="C526" s="610"/>
      <c r="D526" s="610"/>
      <c r="E526" s="610"/>
      <c r="F526" s="610"/>
      <c r="G526" s="610"/>
      <c r="H526" s="610"/>
      <c r="I526" s="610"/>
      <c r="J526" s="610"/>
      <c r="L526" s="610"/>
      <c r="M526" s="610"/>
      <c r="N526" s="610"/>
      <c r="O526" s="610"/>
      <c r="P526" s="610"/>
      <c r="Q526" s="610"/>
      <c r="R526" s="610"/>
      <c r="S526" s="610"/>
      <c r="T526" s="610"/>
      <c r="U526" s="610"/>
      <c r="V526" s="610"/>
      <c r="W526" s="610"/>
      <c r="X526" s="610"/>
      <c r="Y526" s="610"/>
      <c r="Z526" s="610"/>
      <c r="AA526" s="610"/>
      <c r="AB526" s="610"/>
      <c r="AC526" s="610"/>
      <c r="AD526" s="610"/>
      <c r="AE526" s="610"/>
      <c r="AF526" s="610"/>
      <c r="AG526" s="610"/>
      <c r="AH526" s="610"/>
      <c r="AI526" s="610"/>
      <c r="AJ526" s="610"/>
      <c r="AK526" s="610"/>
      <c r="AL526" s="610"/>
      <c r="AM526" s="610"/>
      <c r="AN526" s="610"/>
      <c r="AO526" s="610"/>
      <c r="AP526" s="610"/>
      <c r="AQ526" s="610"/>
    </row>
    <row r="527" spans="2:43" s="609" customFormat="1">
      <c r="B527" s="610"/>
      <c r="C527" s="610"/>
      <c r="D527" s="610"/>
      <c r="E527" s="610"/>
      <c r="F527" s="610"/>
      <c r="G527" s="610"/>
      <c r="H527" s="610"/>
      <c r="I527" s="610"/>
      <c r="J527" s="610"/>
      <c r="L527" s="610"/>
      <c r="M527" s="610"/>
      <c r="N527" s="610"/>
      <c r="O527" s="610"/>
      <c r="P527" s="610"/>
      <c r="Q527" s="610"/>
      <c r="R527" s="610"/>
      <c r="S527" s="610"/>
      <c r="T527" s="610"/>
      <c r="U527" s="610"/>
      <c r="V527" s="610"/>
      <c r="W527" s="610"/>
      <c r="X527" s="610"/>
      <c r="Y527" s="610"/>
      <c r="Z527" s="610"/>
      <c r="AA527" s="610"/>
      <c r="AB527" s="610"/>
      <c r="AC527" s="610"/>
      <c r="AD527" s="610"/>
      <c r="AE527" s="610"/>
      <c r="AF527" s="610"/>
      <c r="AG527" s="610"/>
      <c r="AH527" s="610"/>
      <c r="AI527" s="610"/>
      <c r="AJ527" s="610"/>
      <c r="AK527" s="610"/>
      <c r="AL527" s="610"/>
      <c r="AM527" s="610"/>
      <c r="AN527" s="610"/>
      <c r="AO527" s="610"/>
      <c r="AP527" s="610"/>
      <c r="AQ527" s="610"/>
    </row>
    <row r="528" spans="2:43" s="609" customFormat="1">
      <c r="B528" s="610"/>
      <c r="C528" s="610"/>
      <c r="D528" s="610"/>
      <c r="E528" s="610"/>
      <c r="F528" s="610"/>
      <c r="G528" s="610"/>
      <c r="H528" s="610"/>
      <c r="I528" s="610"/>
      <c r="J528" s="610"/>
      <c r="L528" s="610"/>
      <c r="M528" s="610"/>
      <c r="N528" s="610"/>
      <c r="O528" s="610"/>
      <c r="P528" s="610"/>
      <c r="Q528" s="610"/>
      <c r="R528" s="610"/>
      <c r="S528" s="610"/>
      <c r="T528" s="610"/>
      <c r="U528" s="610"/>
      <c r="V528" s="610"/>
      <c r="W528" s="610"/>
      <c r="X528" s="610"/>
      <c r="Y528" s="610"/>
      <c r="Z528" s="610"/>
      <c r="AA528" s="610"/>
      <c r="AB528" s="610"/>
      <c r="AC528" s="610"/>
      <c r="AD528" s="610"/>
      <c r="AE528" s="610"/>
      <c r="AF528" s="610"/>
      <c r="AG528" s="610"/>
      <c r="AH528" s="610"/>
      <c r="AI528" s="610"/>
      <c r="AJ528" s="610"/>
      <c r="AK528" s="610"/>
      <c r="AL528" s="610"/>
      <c r="AM528" s="610"/>
      <c r="AN528" s="610"/>
      <c r="AO528" s="610"/>
      <c r="AP528" s="610"/>
      <c r="AQ528" s="610"/>
    </row>
    <row r="529" spans="2:43" s="609" customFormat="1">
      <c r="B529" s="610"/>
      <c r="C529" s="610"/>
      <c r="D529" s="610"/>
      <c r="E529" s="610"/>
      <c r="F529" s="610"/>
      <c r="G529" s="610"/>
      <c r="H529" s="610"/>
      <c r="I529" s="610"/>
      <c r="J529" s="610"/>
      <c r="L529" s="610"/>
      <c r="M529" s="610"/>
      <c r="N529" s="610"/>
      <c r="O529" s="610"/>
      <c r="P529" s="610"/>
      <c r="Q529" s="610"/>
      <c r="R529" s="610"/>
      <c r="S529" s="610"/>
      <c r="T529" s="610"/>
      <c r="U529" s="610"/>
      <c r="V529" s="610"/>
      <c r="W529" s="610"/>
      <c r="X529" s="610"/>
      <c r="Y529" s="610"/>
      <c r="Z529" s="610"/>
      <c r="AA529" s="610"/>
      <c r="AB529" s="610"/>
      <c r="AC529" s="610"/>
      <c r="AD529" s="610"/>
      <c r="AE529" s="610"/>
      <c r="AF529" s="610"/>
      <c r="AG529" s="610"/>
      <c r="AH529" s="610"/>
      <c r="AI529" s="610"/>
      <c r="AJ529" s="610"/>
      <c r="AK529" s="610"/>
      <c r="AL529" s="610"/>
      <c r="AM529" s="610"/>
      <c r="AN529" s="610"/>
      <c r="AO529" s="610"/>
      <c r="AP529" s="610"/>
      <c r="AQ529" s="610"/>
    </row>
    <row r="530" spans="2:43" s="609" customFormat="1">
      <c r="B530" s="610"/>
      <c r="C530" s="610"/>
      <c r="D530" s="610"/>
      <c r="E530" s="610"/>
      <c r="F530" s="610"/>
      <c r="G530" s="610"/>
      <c r="H530" s="610"/>
      <c r="I530" s="610"/>
      <c r="J530" s="610"/>
      <c r="L530" s="610"/>
      <c r="M530" s="610"/>
      <c r="N530" s="610"/>
      <c r="O530" s="610"/>
      <c r="P530" s="610"/>
      <c r="Q530" s="610"/>
      <c r="R530" s="610"/>
      <c r="S530" s="610"/>
      <c r="T530" s="610"/>
      <c r="U530" s="610"/>
      <c r="V530" s="610"/>
      <c r="W530" s="610"/>
      <c r="X530" s="610"/>
      <c r="Y530" s="610"/>
      <c r="Z530" s="610"/>
      <c r="AA530" s="610"/>
      <c r="AB530" s="610"/>
      <c r="AC530" s="610"/>
      <c r="AD530" s="610"/>
      <c r="AE530" s="610"/>
      <c r="AF530" s="610"/>
      <c r="AG530" s="610"/>
      <c r="AH530" s="610"/>
      <c r="AI530" s="610"/>
      <c r="AJ530" s="610"/>
      <c r="AK530" s="610"/>
      <c r="AL530" s="610"/>
      <c r="AM530" s="610"/>
      <c r="AN530" s="610"/>
      <c r="AO530" s="610"/>
      <c r="AP530" s="610"/>
      <c r="AQ530" s="610"/>
    </row>
    <row r="531" spans="2:43" s="609" customFormat="1">
      <c r="B531" s="610"/>
      <c r="C531" s="610"/>
      <c r="D531" s="610"/>
      <c r="E531" s="610"/>
      <c r="F531" s="610"/>
      <c r="G531" s="610"/>
      <c r="H531" s="610"/>
      <c r="I531" s="610"/>
      <c r="J531" s="610"/>
      <c r="L531" s="610"/>
      <c r="M531" s="610"/>
      <c r="N531" s="610"/>
      <c r="O531" s="610"/>
      <c r="P531" s="610"/>
      <c r="Q531" s="610"/>
      <c r="R531" s="610"/>
      <c r="S531" s="610"/>
      <c r="T531" s="610"/>
      <c r="U531" s="610"/>
      <c r="V531" s="610"/>
      <c r="W531" s="610"/>
      <c r="X531" s="610"/>
      <c r="Y531" s="610"/>
      <c r="Z531" s="610"/>
      <c r="AA531" s="610"/>
      <c r="AB531" s="610"/>
      <c r="AC531" s="610"/>
      <c r="AD531" s="610"/>
      <c r="AE531" s="610"/>
      <c r="AF531" s="610"/>
      <c r="AG531" s="610"/>
      <c r="AH531" s="610"/>
      <c r="AI531" s="610"/>
      <c r="AJ531" s="610"/>
      <c r="AK531" s="610"/>
      <c r="AL531" s="610"/>
      <c r="AM531" s="610"/>
      <c r="AN531" s="610"/>
      <c r="AO531" s="610"/>
      <c r="AP531" s="610"/>
      <c r="AQ531" s="610"/>
    </row>
    <row r="532" spans="2:43" s="609" customFormat="1">
      <c r="B532" s="610"/>
      <c r="C532" s="610"/>
      <c r="D532" s="610"/>
      <c r="E532" s="610"/>
      <c r="F532" s="610"/>
      <c r="G532" s="610"/>
      <c r="H532" s="610"/>
      <c r="I532" s="610"/>
      <c r="J532" s="610"/>
      <c r="L532" s="610"/>
      <c r="M532" s="610"/>
      <c r="N532" s="610"/>
      <c r="O532" s="610"/>
      <c r="P532" s="610"/>
      <c r="Q532" s="610"/>
      <c r="R532" s="610"/>
      <c r="S532" s="610"/>
      <c r="T532" s="610"/>
      <c r="U532" s="610"/>
      <c r="V532" s="610"/>
      <c r="W532" s="610"/>
      <c r="X532" s="610"/>
      <c r="Y532" s="610"/>
      <c r="Z532" s="610"/>
      <c r="AA532" s="610"/>
      <c r="AB532" s="610"/>
      <c r="AC532" s="610"/>
      <c r="AD532" s="610"/>
      <c r="AE532" s="610"/>
      <c r="AF532" s="610"/>
      <c r="AG532" s="610"/>
      <c r="AH532" s="610"/>
      <c r="AI532" s="610"/>
      <c r="AJ532" s="610"/>
      <c r="AK532" s="610"/>
      <c r="AL532" s="610"/>
      <c r="AM532" s="610"/>
      <c r="AN532" s="610"/>
      <c r="AO532" s="610"/>
      <c r="AP532" s="610"/>
      <c r="AQ532" s="610"/>
    </row>
    <row r="533" spans="2:43" s="609" customFormat="1">
      <c r="B533" s="610"/>
      <c r="C533" s="610"/>
      <c r="D533" s="610"/>
      <c r="E533" s="610"/>
      <c r="F533" s="610"/>
      <c r="G533" s="610"/>
      <c r="H533" s="610"/>
      <c r="I533" s="610"/>
      <c r="J533" s="610"/>
      <c r="L533" s="610"/>
      <c r="M533" s="610"/>
      <c r="N533" s="610"/>
      <c r="O533" s="610"/>
      <c r="P533" s="610"/>
      <c r="Q533" s="610"/>
      <c r="R533" s="610"/>
      <c r="S533" s="610"/>
      <c r="T533" s="610"/>
      <c r="U533" s="610"/>
      <c r="V533" s="610"/>
      <c r="W533" s="610"/>
      <c r="X533" s="610"/>
      <c r="Y533" s="610"/>
      <c r="Z533" s="610"/>
      <c r="AA533" s="610"/>
      <c r="AB533" s="610"/>
      <c r="AC533" s="610"/>
      <c r="AD533" s="610"/>
      <c r="AE533" s="610"/>
      <c r="AF533" s="610"/>
      <c r="AG533" s="610"/>
      <c r="AH533" s="610"/>
      <c r="AI533" s="610"/>
      <c r="AJ533" s="610"/>
      <c r="AK533" s="610"/>
      <c r="AL533" s="610"/>
      <c r="AM533" s="610"/>
      <c r="AN533" s="610"/>
      <c r="AO533" s="610"/>
      <c r="AP533" s="610"/>
      <c r="AQ533" s="610"/>
    </row>
    <row r="534" spans="2:43" s="609" customFormat="1">
      <c r="B534" s="610"/>
      <c r="C534" s="610"/>
      <c r="D534" s="610"/>
      <c r="E534" s="610"/>
      <c r="F534" s="610"/>
      <c r="G534" s="610"/>
      <c r="H534" s="610"/>
      <c r="I534" s="610"/>
      <c r="J534" s="610"/>
      <c r="L534" s="610"/>
      <c r="M534" s="610"/>
      <c r="N534" s="610"/>
      <c r="O534" s="610"/>
      <c r="P534" s="610"/>
      <c r="Q534" s="610"/>
      <c r="R534" s="610"/>
      <c r="S534" s="610"/>
      <c r="T534" s="610"/>
      <c r="U534" s="610"/>
      <c r="V534" s="610"/>
      <c r="W534" s="610"/>
      <c r="X534" s="610"/>
      <c r="Y534" s="610"/>
      <c r="Z534" s="610"/>
      <c r="AA534" s="610"/>
      <c r="AB534" s="610"/>
      <c r="AC534" s="610"/>
      <c r="AD534" s="610"/>
      <c r="AE534" s="610"/>
      <c r="AF534" s="610"/>
      <c r="AG534" s="610"/>
      <c r="AH534" s="610"/>
      <c r="AI534" s="610"/>
      <c r="AJ534" s="610"/>
      <c r="AK534" s="610"/>
      <c r="AL534" s="610"/>
      <c r="AM534" s="610"/>
      <c r="AN534" s="610"/>
      <c r="AO534" s="610"/>
      <c r="AP534" s="610"/>
      <c r="AQ534" s="610"/>
    </row>
    <row r="535" spans="2:43" s="609" customFormat="1">
      <c r="B535" s="610"/>
      <c r="C535" s="610"/>
      <c r="D535" s="610"/>
      <c r="E535" s="610"/>
      <c r="F535" s="610"/>
      <c r="G535" s="610"/>
      <c r="H535" s="610"/>
      <c r="I535" s="610"/>
      <c r="J535" s="610"/>
      <c r="L535" s="610"/>
      <c r="M535" s="610"/>
      <c r="N535" s="610"/>
      <c r="O535" s="610"/>
      <c r="P535" s="610"/>
      <c r="Q535" s="610"/>
      <c r="R535" s="610"/>
      <c r="S535" s="610"/>
      <c r="T535" s="610"/>
      <c r="U535" s="610"/>
      <c r="V535" s="610"/>
      <c r="W535" s="610"/>
      <c r="X535" s="610"/>
      <c r="Y535" s="610"/>
      <c r="Z535" s="610"/>
      <c r="AA535" s="610"/>
      <c r="AB535" s="610"/>
      <c r="AC535" s="610"/>
      <c r="AD535" s="610"/>
      <c r="AE535" s="610"/>
      <c r="AF535" s="610"/>
      <c r="AG535" s="610"/>
      <c r="AH535" s="610"/>
      <c r="AI535" s="610"/>
      <c r="AJ535" s="610"/>
      <c r="AK535" s="610"/>
      <c r="AL535" s="610"/>
      <c r="AM535" s="610"/>
      <c r="AN535" s="610"/>
      <c r="AO535" s="610"/>
      <c r="AP535" s="610"/>
      <c r="AQ535" s="610"/>
    </row>
    <row r="536" spans="2:43" s="609" customFormat="1">
      <c r="B536" s="610"/>
      <c r="C536" s="610"/>
      <c r="D536" s="610"/>
      <c r="E536" s="610"/>
      <c r="F536" s="610"/>
      <c r="G536" s="610"/>
      <c r="H536" s="610"/>
      <c r="I536" s="610"/>
      <c r="J536" s="610"/>
      <c r="L536" s="610"/>
      <c r="M536" s="610"/>
      <c r="N536" s="610"/>
      <c r="O536" s="610"/>
      <c r="P536" s="610"/>
      <c r="Q536" s="610"/>
      <c r="R536" s="610"/>
      <c r="S536" s="610"/>
      <c r="T536" s="610"/>
      <c r="U536" s="610"/>
      <c r="V536" s="610"/>
      <c r="W536" s="610"/>
      <c r="X536" s="610"/>
      <c r="Y536" s="610"/>
      <c r="Z536" s="610"/>
      <c r="AA536" s="610"/>
      <c r="AB536" s="610"/>
      <c r="AC536" s="610"/>
      <c r="AD536" s="610"/>
      <c r="AE536" s="610"/>
      <c r="AF536" s="610"/>
      <c r="AG536" s="610"/>
      <c r="AH536" s="610"/>
      <c r="AI536" s="610"/>
      <c r="AJ536" s="610"/>
      <c r="AK536" s="610"/>
      <c r="AL536" s="610"/>
      <c r="AM536" s="610"/>
      <c r="AN536" s="610"/>
      <c r="AO536" s="610"/>
      <c r="AP536" s="610"/>
      <c r="AQ536" s="610"/>
    </row>
    <row r="537" spans="2:43" s="609" customFormat="1">
      <c r="B537" s="610"/>
      <c r="C537" s="610"/>
      <c r="D537" s="610"/>
      <c r="E537" s="610"/>
      <c r="F537" s="610"/>
      <c r="G537" s="610"/>
      <c r="H537" s="610"/>
      <c r="I537" s="610"/>
      <c r="J537" s="610"/>
      <c r="L537" s="610"/>
      <c r="M537" s="610"/>
      <c r="N537" s="610"/>
      <c r="O537" s="610"/>
      <c r="P537" s="610"/>
      <c r="Q537" s="610"/>
      <c r="R537" s="610"/>
      <c r="S537" s="610"/>
      <c r="T537" s="610"/>
      <c r="U537" s="610"/>
      <c r="V537" s="610"/>
      <c r="W537" s="610"/>
      <c r="X537" s="610"/>
      <c r="Y537" s="610"/>
      <c r="Z537" s="610"/>
      <c r="AA537" s="610"/>
      <c r="AB537" s="610"/>
      <c r="AC537" s="610"/>
      <c r="AD537" s="610"/>
      <c r="AE537" s="610"/>
      <c r="AF537" s="610"/>
      <c r="AG537" s="610"/>
      <c r="AH537" s="610"/>
      <c r="AI537" s="610"/>
      <c r="AJ537" s="610"/>
      <c r="AK537" s="610"/>
      <c r="AL537" s="610"/>
      <c r="AM537" s="610"/>
      <c r="AN537" s="610"/>
      <c r="AO537" s="610"/>
      <c r="AP537" s="610"/>
      <c r="AQ537" s="610"/>
    </row>
    <row r="538" spans="2:43" s="609" customFormat="1">
      <c r="B538" s="610"/>
      <c r="C538" s="610"/>
      <c r="D538" s="610"/>
      <c r="E538" s="610"/>
      <c r="F538" s="610"/>
      <c r="G538" s="610"/>
      <c r="H538" s="610"/>
      <c r="I538" s="610"/>
      <c r="J538" s="610"/>
      <c r="L538" s="610"/>
      <c r="M538" s="610"/>
      <c r="N538" s="610"/>
      <c r="O538" s="610"/>
      <c r="P538" s="610"/>
      <c r="Q538" s="610"/>
      <c r="R538" s="610"/>
      <c r="S538" s="610"/>
      <c r="T538" s="610"/>
      <c r="U538" s="610"/>
      <c r="V538" s="610"/>
      <c r="W538" s="610"/>
      <c r="X538" s="610"/>
      <c r="Y538" s="610"/>
      <c r="Z538" s="610"/>
      <c r="AA538" s="610"/>
      <c r="AB538" s="610"/>
      <c r="AC538" s="610"/>
      <c r="AD538" s="610"/>
      <c r="AE538" s="610"/>
      <c r="AF538" s="610"/>
      <c r="AG538" s="610"/>
      <c r="AH538" s="610"/>
      <c r="AI538" s="610"/>
      <c r="AJ538" s="610"/>
      <c r="AK538" s="610"/>
      <c r="AL538" s="610"/>
      <c r="AM538" s="610"/>
      <c r="AN538" s="610"/>
      <c r="AO538" s="610"/>
      <c r="AP538" s="610"/>
      <c r="AQ538" s="610"/>
    </row>
    <row r="539" spans="2:43" s="609" customFormat="1">
      <c r="B539" s="610"/>
      <c r="C539" s="610"/>
      <c r="D539" s="610"/>
      <c r="E539" s="610"/>
      <c r="F539" s="610"/>
      <c r="G539" s="610"/>
      <c r="H539" s="610"/>
      <c r="I539" s="610"/>
      <c r="J539" s="610"/>
      <c r="L539" s="610"/>
      <c r="M539" s="610"/>
      <c r="N539" s="610"/>
      <c r="O539" s="610"/>
      <c r="P539" s="610"/>
      <c r="Q539" s="610"/>
      <c r="R539" s="610"/>
      <c r="S539" s="610"/>
      <c r="T539" s="610"/>
      <c r="U539" s="610"/>
      <c r="V539" s="610"/>
      <c r="W539" s="610"/>
      <c r="X539" s="610"/>
      <c r="Y539" s="610"/>
      <c r="Z539" s="610"/>
      <c r="AA539" s="610"/>
      <c r="AB539" s="610"/>
      <c r="AC539" s="610"/>
      <c r="AD539" s="610"/>
      <c r="AE539" s="610"/>
      <c r="AF539" s="610"/>
      <c r="AG539" s="610"/>
      <c r="AH539" s="610"/>
      <c r="AI539" s="610"/>
      <c r="AJ539" s="610"/>
      <c r="AK539" s="610"/>
      <c r="AL539" s="610"/>
      <c r="AM539" s="610"/>
      <c r="AN539" s="610"/>
      <c r="AO539" s="610"/>
      <c r="AP539" s="610"/>
      <c r="AQ539" s="610"/>
    </row>
    <row r="540" spans="2:43" s="609" customFormat="1">
      <c r="B540" s="610"/>
      <c r="C540" s="610"/>
      <c r="D540" s="610"/>
      <c r="E540" s="610"/>
      <c r="F540" s="610"/>
      <c r="G540" s="610"/>
      <c r="H540" s="610"/>
      <c r="I540" s="610"/>
      <c r="J540" s="610"/>
      <c r="L540" s="610"/>
      <c r="M540" s="610"/>
      <c r="N540" s="610"/>
      <c r="O540" s="610"/>
      <c r="P540" s="610"/>
      <c r="Q540" s="610"/>
      <c r="R540" s="610"/>
      <c r="S540" s="610"/>
      <c r="T540" s="610"/>
      <c r="U540" s="610"/>
      <c r="V540" s="610"/>
      <c r="W540" s="610"/>
      <c r="X540" s="610"/>
      <c r="Y540" s="610"/>
      <c r="Z540" s="610"/>
      <c r="AA540" s="610"/>
      <c r="AB540" s="610"/>
      <c r="AC540" s="610"/>
      <c r="AD540" s="610"/>
      <c r="AE540" s="610"/>
      <c r="AF540" s="610"/>
      <c r="AG540" s="610"/>
      <c r="AH540" s="610"/>
      <c r="AI540" s="610"/>
      <c r="AJ540" s="610"/>
      <c r="AK540" s="610"/>
      <c r="AL540" s="610"/>
      <c r="AM540" s="610"/>
      <c r="AN540" s="610"/>
      <c r="AO540" s="610"/>
      <c r="AP540" s="610"/>
      <c r="AQ540" s="610"/>
    </row>
    <row r="541" spans="2:43" s="609" customFormat="1">
      <c r="B541" s="610"/>
      <c r="C541" s="610"/>
      <c r="D541" s="610"/>
      <c r="E541" s="610"/>
      <c r="F541" s="610"/>
      <c r="G541" s="610"/>
      <c r="H541" s="610"/>
      <c r="I541" s="610"/>
      <c r="J541" s="610"/>
      <c r="L541" s="610"/>
      <c r="M541" s="610"/>
      <c r="N541" s="610"/>
      <c r="O541" s="610"/>
      <c r="P541" s="610"/>
      <c r="Q541" s="610"/>
      <c r="R541" s="610"/>
      <c r="S541" s="610"/>
      <c r="T541" s="610"/>
      <c r="U541" s="610"/>
      <c r="V541" s="610"/>
      <c r="W541" s="610"/>
      <c r="X541" s="610"/>
      <c r="Y541" s="610"/>
      <c r="Z541" s="610"/>
      <c r="AA541" s="610"/>
      <c r="AB541" s="610"/>
      <c r="AC541" s="610"/>
      <c r="AD541" s="610"/>
      <c r="AE541" s="610"/>
      <c r="AF541" s="610"/>
      <c r="AG541" s="610"/>
      <c r="AH541" s="610"/>
      <c r="AI541" s="610"/>
      <c r="AJ541" s="610"/>
      <c r="AK541" s="610"/>
      <c r="AL541" s="610"/>
      <c r="AM541" s="610"/>
      <c r="AN541" s="610"/>
      <c r="AO541" s="610"/>
      <c r="AP541" s="610"/>
      <c r="AQ541" s="610"/>
    </row>
    <row r="542" spans="2:43" s="609" customFormat="1">
      <c r="B542" s="610"/>
      <c r="C542" s="610"/>
      <c r="D542" s="610"/>
      <c r="E542" s="610"/>
      <c r="F542" s="610"/>
      <c r="G542" s="610"/>
      <c r="H542" s="610"/>
      <c r="I542" s="610"/>
      <c r="J542" s="610"/>
      <c r="L542" s="610"/>
      <c r="M542" s="610"/>
      <c r="N542" s="610"/>
      <c r="O542" s="610"/>
      <c r="P542" s="610"/>
      <c r="Q542" s="610"/>
      <c r="R542" s="610"/>
      <c r="S542" s="610"/>
      <c r="T542" s="610"/>
      <c r="U542" s="610"/>
      <c r="V542" s="610"/>
      <c r="W542" s="610"/>
      <c r="X542" s="610"/>
      <c r="Y542" s="610"/>
      <c r="Z542" s="610"/>
      <c r="AA542" s="610"/>
      <c r="AB542" s="610"/>
      <c r="AC542" s="610"/>
      <c r="AD542" s="610"/>
      <c r="AE542" s="610"/>
      <c r="AF542" s="610"/>
      <c r="AG542" s="610"/>
      <c r="AH542" s="610"/>
      <c r="AI542" s="610"/>
      <c r="AJ542" s="610"/>
      <c r="AK542" s="610"/>
      <c r="AL542" s="610"/>
      <c r="AM542" s="610"/>
      <c r="AN542" s="610"/>
      <c r="AO542" s="610"/>
      <c r="AP542" s="610"/>
      <c r="AQ542" s="610"/>
    </row>
    <row r="543" spans="2:43" s="609" customFormat="1">
      <c r="B543" s="610"/>
      <c r="C543" s="610"/>
      <c r="D543" s="610"/>
      <c r="E543" s="610"/>
      <c r="F543" s="610"/>
      <c r="G543" s="610"/>
      <c r="H543" s="610"/>
      <c r="I543" s="610"/>
      <c r="J543" s="610"/>
      <c r="L543" s="610"/>
      <c r="M543" s="610"/>
      <c r="N543" s="610"/>
      <c r="O543" s="610"/>
      <c r="P543" s="610"/>
      <c r="Q543" s="610"/>
      <c r="R543" s="610"/>
      <c r="S543" s="610"/>
      <c r="T543" s="610"/>
      <c r="U543" s="610"/>
      <c r="V543" s="610"/>
      <c r="W543" s="610"/>
      <c r="X543" s="610"/>
      <c r="Y543" s="610"/>
      <c r="Z543" s="610"/>
      <c r="AA543" s="610"/>
      <c r="AB543" s="610"/>
      <c r="AC543" s="610"/>
      <c r="AD543" s="610"/>
      <c r="AE543" s="610"/>
      <c r="AF543" s="610"/>
      <c r="AG543" s="610"/>
      <c r="AH543" s="610"/>
      <c r="AI543" s="610"/>
      <c r="AJ543" s="610"/>
      <c r="AK543" s="610"/>
      <c r="AL543" s="610"/>
      <c r="AM543" s="610"/>
      <c r="AN543" s="610"/>
      <c r="AO543" s="610"/>
      <c r="AP543" s="610"/>
      <c r="AQ543" s="610"/>
    </row>
    <row r="544" spans="2:43" s="609" customFormat="1">
      <c r="B544" s="610"/>
      <c r="C544" s="610"/>
      <c r="D544" s="610"/>
      <c r="E544" s="610"/>
      <c r="F544" s="610"/>
      <c r="G544" s="610"/>
      <c r="H544" s="610"/>
      <c r="I544" s="610"/>
      <c r="J544" s="610"/>
      <c r="L544" s="610"/>
      <c r="M544" s="610"/>
      <c r="N544" s="610"/>
      <c r="O544" s="610"/>
      <c r="P544" s="610"/>
      <c r="Q544" s="610"/>
      <c r="R544" s="610"/>
      <c r="S544" s="610"/>
      <c r="T544" s="610"/>
      <c r="U544" s="610"/>
      <c r="V544" s="610"/>
      <c r="W544" s="610"/>
      <c r="X544" s="610"/>
      <c r="Y544" s="610"/>
      <c r="Z544" s="610"/>
      <c r="AA544" s="610"/>
      <c r="AB544" s="610"/>
      <c r="AC544" s="610"/>
      <c r="AD544" s="610"/>
      <c r="AE544" s="610"/>
      <c r="AF544" s="610"/>
      <c r="AG544" s="610"/>
      <c r="AH544" s="610"/>
      <c r="AI544" s="610"/>
      <c r="AJ544" s="610"/>
      <c r="AK544" s="610"/>
      <c r="AL544" s="610"/>
      <c r="AM544" s="610"/>
      <c r="AN544" s="610"/>
      <c r="AO544" s="610"/>
      <c r="AP544" s="610"/>
      <c r="AQ544" s="610"/>
    </row>
    <row r="545" spans="2:43" s="609" customFormat="1">
      <c r="B545" s="610"/>
      <c r="C545" s="610"/>
      <c r="D545" s="610"/>
      <c r="E545" s="610"/>
      <c r="F545" s="610"/>
      <c r="G545" s="610"/>
      <c r="H545" s="610"/>
      <c r="I545" s="610"/>
      <c r="J545" s="610"/>
      <c r="L545" s="610"/>
      <c r="M545" s="610"/>
      <c r="N545" s="610"/>
      <c r="O545" s="610"/>
      <c r="P545" s="610"/>
      <c r="Q545" s="610"/>
      <c r="R545" s="610"/>
      <c r="S545" s="610"/>
      <c r="T545" s="610"/>
      <c r="U545" s="610"/>
      <c r="V545" s="610"/>
      <c r="W545" s="610"/>
      <c r="X545" s="610"/>
      <c r="Y545" s="610"/>
      <c r="Z545" s="610"/>
      <c r="AA545" s="610"/>
      <c r="AB545" s="610"/>
      <c r="AC545" s="610"/>
      <c r="AD545" s="610"/>
      <c r="AE545" s="610"/>
      <c r="AF545" s="610"/>
      <c r="AG545" s="610"/>
      <c r="AH545" s="610"/>
      <c r="AI545" s="610"/>
      <c r="AJ545" s="610"/>
      <c r="AK545" s="610"/>
      <c r="AL545" s="610"/>
      <c r="AM545" s="610"/>
      <c r="AN545" s="610"/>
      <c r="AO545" s="610"/>
      <c r="AP545" s="610"/>
      <c r="AQ545" s="610"/>
    </row>
    <row r="546" spans="2:43" s="609" customFormat="1">
      <c r="B546" s="610"/>
      <c r="C546" s="610"/>
      <c r="D546" s="610"/>
      <c r="E546" s="610"/>
      <c r="F546" s="610"/>
      <c r="G546" s="610"/>
      <c r="H546" s="610"/>
      <c r="I546" s="610"/>
      <c r="J546" s="610"/>
      <c r="L546" s="610"/>
      <c r="M546" s="610"/>
      <c r="N546" s="610"/>
      <c r="O546" s="610"/>
      <c r="P546" s="610"/>
      <c r="Q546" s="610"/>
      <c r="R546" s="610"/>
      <c r="S546" s="610"/>
      <c r="T546" s="610"/>
      <c r="U546" s="610"/>
      <c r="V546" s="610"/>
      <c r="W546" s="610"/>
      <c r="X546" s="610"/>
      <c r="Y546" s="610"/>
      <c r="Z546" s="610"/>
      <c r="AA546" s="610"/>
      <c r="AB546" s="610"/>
      <c r="AC546" s="610"/>
      <c r="AD546" s="610"/>
      <c r="AE546" s="610"/>
      <c r="AF546" s="610"/>
      <c r="AG546" s="610"/>
      <c r="AH546" s="610"/>
      <c r="AI546" s="610"/>
      <c r="AJ546" s="610"/>
      <c r="AK546" s="610"/>
      <c r="AL546" s="610"/>
      <c r="AM546" s="610"/>
      <c r="AN546" s="610"/>
      <c r="AO546" s="610"/>
      <c r="AP546" s="610"/>
      <c r="AQ546" s="610"/>
    </row>
    <row r="547" spans="2:43" s="609" customFormat="1">
      <c r="B547" s="610"/>
      <c r="C547" s="610"/>
      <c r="D547" s="610"/>
      <c r="E547" s="610"/>
      <c r="F547" s="610"/>
      <c r="G547" s="610"/>
      <c r="H547" s="610"/>
      <c r="I547" s="610"/>
      <c r="J547" s="610"/>
      <c r="L547" s="610"/>
      <c r="M547" s="610"/>
      <c r="N547" s="610"/>
      <c r="O547" s="610"/>
      <c r="P547" s="610"/>
      <c r="Q547" s="610"/>
      <c r="R547" s="610"/>
      <c r="S547" s="610"/>
      <c r="T547" s="610"/>
      <c r="U547" s="610"/>
      <c r="V547" s="610"/>
      <c r="W547" s="610"/>
      <c r="X547" s="610"/>
      <c r="Y547" s="610"/>
      <c r="Z547" s="610"/>
      <c r="AA547" s="610"/>
      <c r="AB547" s="610"/>
      <c r="AC547" s="610"/>
      <c r="AD547" s="610"/>
      <c r="AE547" s="610"/>
      <c r="AF547" s="610"/>
      <c r="AG547" s="610"/>
      <c r="AH547" s="610"/>
      <c r="AI547" s="610"/>
      <c r="AJ547" s="610"/>
      <c r="AK547" s="610"/>
      <c r="AL547" s="610"/>
      <c r="AM547" s="610"/>
      <c r="AN547" s="610"/>
      <c r="AO547" s="610"/>
      <c r="AP547" s="610"/>
      <c r="AQ547" s="610"/>
    </row>
    <row r="548" spans="2:43" s="609" customFormat="1">
      <c r="B548" s="610"/>
      <c r="C548" s="610"/>
      <c r="D548" s="610"/>
      <c r="E548" s="610"/>
      <c r="F548" s="610"/>
      <c r="G548" s="610"/>
      <c r="H548" s="610"/>
      <c r="I548" s="610"/>
      <c r="J548" s="610"/>
      <c r="L548" s="610"/>
      <c r="M548" s="610"/>
      <c r="N548" s="610"/>
      <c r="O548" s="610"/>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c r="AN548" s="610"/>
      <c r="AO548" s="610"/>
      <c r="AP548" s="610"/>
      <c r="AQ548" s="610"/>
    </row>
    <row r="549" spans="2:43" s="609" customFormat="1">
      <c r="B549" s="610"/>
      <c r="C549" s="610"/>
      <c r="D549" s="610"/>
      <c r="E549" s="610"/>
      <c r="F549" s="610"/>
      <c r="G549" s="610"/>
      <c r="H549" s="610"/>
      <c r="I549" s="610"/>
      <c r="J549" s="610"/>
      <c r="L549" s="610"/>
      <c r="M549" s="610"/>
      <c r="N549" s="610"/>
      <c r="O549" s="610"/>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c r="AN549" s="610"/>
      <c r="AO549" s="610"/>
      <c r="AP549" s="610"/>
      <c r="AQ549" s="610"/>
    </row>
    <row r="550" spans="2:43" s="609" customFormat="1">
      <c r="B550" s="610"/>
      <c r="C550" s="610"/>
      <c r="D550" s="610"/>
      <c r="E550" s="610"/>
      <c r="F550" s="610"/>
      <c r="G550" s="610"/>
      <c r="H550" s="610"/>
      <c r="I550" s="610"/>
      <c r="J550" s="610"/>
      <c r="L550" s="610"/>
      <c r="M550" s="610"/>
      <c r="N550" s="610"/>
      <c r="O550" s="610"/>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c r="AN550" s="610"/>
      <c r="AO550" s="610"/>
      <c r="AP550" s="610"/>
      <c r="AQ550" s="610"/>
    </row>
    <row r="551" spans="2:43" s="609" customFormat="1">
      <c r="B551" s="610"/>
      <c r="C551" s="610"/>
      <c r="D551" s="610"/>
      <c r="E551" s="610"/>
      <c r="F551" s="610"/>
      <c r="G551" s="610"/>
      <c r="H551" s="610"/>
      <c r="I551" s="610"/>
      <c r="J551" s="610"/>
      <c r="L551" s="610"/>
      <c r="M551" s="610"/>
      <c r="N551" s="610"/>
      <c r="O551" s="610"/>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c r="AN551" s="610"/>
      <c r="AO551" s="610"/>
      <c r="AP551" s="610"/>
      <c r="AQ551" s="610"/>
    </row>
    <row r="552" spans="2:43" s="609" customFormat="1">
      <c r="B552" s="610"/>
      <c r="C552" s="610"/>
      <c r="D552" s="610"/>
      <c r="E552" s="610"/>
      <c r="F552" s="610"/>
      <c r="G552" s="610"/>
      <c r="H552" s="610"/>
      <c r="I552" s="610"/>
      <c r="J552" s="610"/>
      <c r="L552" s="610"/>
      <c r="M552" s="610"/>
      <c r="N552" s="610"/>
      <c r="O552" s="610"/>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c r="AN552" s="610"/>
      <c r="AO552" s="610"/>
      <c r="AP552" s="610"/>
      <c r="AQ552" s="610"/>
    </row>
    <row r="553" spans="2:43" s="609" customFormat="1">
      <c r="B553" s="610"/>
      <c r="C553" s="610"/>
      <c r="D553" s="610"/>
      <c r="E553" s="610"/>
      <c r="F553" s="610"/>
      <c r="G553" s="610"/>
      <c r="H553" s="610"/>
      <c r="I553" s="610"/>
      <c r="J553" s="610"/>
      <c r="L553" s="610"/>
      <c r="M553" s="610"/>
      <c r="N553" s="610"/>
      <c r="O553" s="610"/>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c r="AN553" s="610"/>
      <c r="AO553" s="610"/>
      <c r="AP553" s="610"/>
      <c r="AQ553" s="610"/>
    </row>
    <row r="554" spans="2:43" s="609" customFormat="1">
      <c r="B554" s="610"/>
      <c r="C554" s="610"/>
      <c r="D554" s="610"/>
      <c r="E554" s="610"/>
      <c r="F554" s="610"/>
      <c r="G554" s="610"/>
      <c r="H554" s="610"/>
      <c r="I554" s="610"/>
      <c r="J554" s="610"/>
      <c r="L554" s="610"/>
      <c r="M554" s="610"/>
      <c r="N554" s="610"/>
      <c r="O554" s="610"/>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c r="AN554" s="610"/>
      <c r="AO554" s="610"/>
      <c r="AP554" s="610"/>
      <c r="AQ554" s="610"/>
    </row>
    <row r="555" spans="2:43" s="609" customFormat="1">
      <c r="B555" s="610"/>
      <c r="C555" s="610"/>
      <c r="D555" s="610"/>
      <c r="E555" s="610"/>
      <c r="F555" s="610"/>
      <c r="G555" s="610"/>
      <c r="H555" s="610"/>
      <c r="I555" s="610"/>
      <c r="J555" s="610"/>
      <c r="L555" s="610"/>
      <c r="M555" s="610"/>
      <c r="N555" s="610"/>
      <c r="O555" s="610"/>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c r="AN555" s="610"/>
      <c r="AO555" s="610"/>
      <c r="AP555" s="610"/>
      <c r="AQ555" s="610"/>
    </row>
    <row r="556" spans="2:43" s="609" customFormat="1">
      <c r="B556" s="610"/>
      <c r="C556" s="610"/>
      <c r="D556" s="610"/>
      <c r="E556" s="610"/>
      <c r="F556" s="610"/>
      <c r="G556" s="610"/>
      <c r="H556" s="610"/>
      <c r="I556" s="610"/>
      <c r="J556" s="610"/>
      <c r="L556" s="610"/>
      <c r="M556" s="610"/>
      <c r="N556" s="610"/>
      <c r="O556" s="610"/>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c r="AN556" s="610"/>
      <c r="AO556" s="610"/>
      <c r="AP556" s="610"/>
      <c r="AQ556" s="610"/>
    </row>
    <row r="557" spans="2:43" s="609" customFormat="1">
      <c r="B557" s="610"/>
      <c r="C557" s="610"/>
      <c r="D557" s="610"/>
      <c r="E557" s="610"/>
      <c r="F557" s="610"/>
      <c r="G557" s="610"/>
      <c r="H557" s="610"/>
      <c r="I557" s="610"/>
      <c r="J557" s="610"/>
      <c r="L557" s="610"/>
      <c r="M557" s="610"/>
      <c r="N557" s="610"/>
      <c r="O557" s="610"/>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c r="AN557" s="610"/>
      <c r="AO557" s="610"/>
      <c r="AP557" s="610"/>
      <c r="AQ557" s="610"/>
    </row>
    <row r="558" spans="2:43" s="609" customFormat="1">
      <c r="B558" s="610"/>
      <c r="C558" s="610"/>
      <c r="D558" s="610"/>
      <c r="E558" s="610"/>
      <c r="F558" s="610"/>
      <c r="G558" s="610"/>
      <c r="H558" s="610"/>
      <c r="I558" s="610"/>
      <c r="J558" s="610"/>
      <c r="L558" s="610"/>
      <c r="M558" s="610"/>
      <c r="N558" s="610"/>
      <c r="O558" s="610"/>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c r="AN558" s="610"/>
      <c r="AO558" s="610"/>
      <c r="AP558" s="610"/>
      <c r="AQ558" s="610"/>
    </row>
    <row r="559" spans="2:43" s="609" customFormat="1">
      <c r="B559" s="610"/>
      <c r="C559" s="610"/>
      <c r="D559" s="610"/>
      <c r="E559" s="610"/>
      <c r="F559" s="610"/>
      <c r="G559" s="610"/>
      <c r="H559" s="610"/>
      <c r="I559" s="610"/>
      <c r="J559" s="610"/>
      <c r="L559" s="610"/>
      <c r="M559" s="610"/>
      <c r="N559" s="610"/>
      <c r="O559" s="610"/>
      <c r="P559" s="610"/>
      <c r="Q559" s="610"/>
      <c r="R559" s="610"/>
      <c r="S559" s="610"/>
      <c r="T559" s="610"/>
      <c r="U559" s="610"/>
      <c r="V559" s="610"/>
      <c r="W559" s="610"/>
      <c r="X559" s="610"/>
      <c r="Y559" s="610"/>
      <c r="Z559" s="610"/>
      <c r="AA559" s="610"/>
      <c r="AB559" s="610"/>
      <c r="AC559" s="610"/>
      <c r="AD559" s="610"/>
      <c r="AE559" s="610"/>
      <c r="AF559" s="610"/>
      <c r="AG559" s="610"/>
      <c r="AH559" s="610"/>
      <c r="AI559" s="610"/>
      <c r="AJ559" s="610"/>
      <c r="AK559" s="610"/>
      <c r="AL559" s="610"/>
      <c r="AM559" s="610"/>
      <c r="AN559" s="610"/>
      <c r="AO559" s="610"/>
      <c r="AP559" s="610"/>
      <c r="AQ559" s="610"/>
    </row>
    <row r="560" spans="2:43" s="609" customFormat="1">
      <c r="B560" s="610"/>
      <c r="C560" s="610"/>
      <c r="D560" s="610"/>
      <c r="E560" s="610"/>
      <c r="F560" s="610"/>
      <c r="G560" s="610"/>
      <c r="H560" s="610"/>
      <c r="I560" s="610"/>
      <c r="J560" s="610"/>
      <c r="L560" s="610"/>
      <c r="M560" s="610"/>
      <c r="N560" s="610"/>
      <c r="O560" s="610"/>
      <c r="P560" s="610"/>
      <c r="Q560" s="610"/>
      <c r="R560" s="610"/>
      <c r="S560" s="610"/>
      <c r="T560" s="610"/>
      <c r="U560" s="610"/>
      <c r="V560" s="610"/>
      <c r="W560" s="610"/>
      <c r="X560" s="610"/>
      <c r="Y560" s="610"/>
      <c r="Z560" s="610"/>
      <c r="AA560" s="610"/>
      <c r="AB560" s="610"/>
      <c r="AC560" s="610"/>
      <c r="AD560" s="610"/>
      <c r="AE560" s="610"/>
      <c r="AF560" s="610"/>
      <c r="AG560" s="610"/>
      <c r="AH560" s="610"/>
      <c r="AI560" s="610"/>
      <c r="AJ560" s="610"/>
      <c r="AK560" s="610"/>
      <c r="AL560" s="610"/>
      <c r="AM560" s="610"/>
      <c r="AN560" s="610"/>
      <c r="AO560" s="610"/>
      <c r="AP560" s="610"/>
      <c r="AQ560" s="610"/>
    </row>
    <row r="561" spans="2:43" s="609" customFormat="1">
      <c r="B561" s="610"/>
      <c r="C561" s="610"/>
      <c r="D561" s="610"/>
      <c r="E561" s="610"/>
      <c r="F561" s="610"/>
      <c r="G561" s="610"/>
      <c r="H561" s="610"/>
      <c r="I561" s="610"/>
      <c r="J561" s="610"/>
      <c r="L561" s="610"/>
      <c r="M561" s="610"/>
      <c r="N561" s="610"/>
      <c r="O561" s="610"/>
      <c r="P561" s="610"/>
      <c r="Q561" s="610"/>
      <c r="R561" s="610"/>
      <c r="S561" s="610"/>
      <c r="T561" s="610"/>
      <c r="U561" s="610"/>
      <c r="V561" s="610"/>
      <c r="W561" s="610"/>
      <c r="X561" s="610"/>
      <c r="Y561" s="610"/>
      <c r="Z561" s="610"/>
      <c r="AA561" s="610"/>
      <c r="AB561" s="610"/>
      <c r="AC561" s="610"/>
      <c r="AD561" s="610"/>
      <c r="AE561" s="610"/>
      <c r="AF561" s="610"/>
      <c r="AG561" s="610"/>
      <c r="AH561" s="610"/>
      <c r="AI561" s="610"/>
      <c r="AJ561" s="610"/>
      <c r="AK561" s="610"/>
      <c r="AL561" s="610"/>
      <c r="AM561" s="610"/>
      <c r="AN561" s="610"/>
      <c r="AO561" s="610"/>
      <c r="AP561" s="610"/>
      <c r="AQ561" s="610"/>
    </row>
    <row r="562" spans="2:43" s="609" customFormat="1">
      <c r="B562" s="610"/>
      <c r="C562" s="610"/>
      <c r="D562" s="610"/>
      <c r="E562" s="610"/>
      <c r="F562" s="610"/>
      <c r="G562" s="610"/>
      <c r="H562" s="610"/>
      <c r="I562" s="610"/>
      <c r="J562" s="610"/>
      <c r="L562" s="610"/>
      <c r="M562" s="610"/>
      <c r="N562" s="610"/>
      <c r="O562" s="610"/>
      <c r="P562" s="610"/>
      <c r="Q562" s="610"/>
      <c r="R562" s="610"/>
      <c r="S562" s="610"/>
      <c r="T562" s="610"/>
      <c r="U562" s="610"/>
      <c r="V562" s="610"/>
      <c r="W562" s="610"/>
      <c r="X562" s="610"/>
      <c r="Y562" s="610"/>
      <c r="Z562" s="610"/>
      <c r="AA562" s="610"/>
      <c r="AB562" s="610"/>
      <c r="AC562" s="610"/>
      <c r="AD562" s="610"/>
      <c r="AE562" s="610"/>
      <c r="AF562" s="610"/>
      <c r="AG562" s="610"/>
      <c r="AH562" s="610"/>
      <c r="AI562" s="610"/>
      <c r="AJ562" s="610"/>
      <c r="AK562" s="610"/>
      <c r="AL562" s="610"/>
      <c r="AM562" s="610"/>
      <c r="AN562" s="610"/>
      <c r="AO562" s="610"/>
      <c r="AP562" s="610"/>
      <c r="AQ562" s="610"/>
    </row>
    <row r="563" spans="2:43" s="609" customFormat="1">
      <c r="B563" s="610"/>
      <c r="C563" s="610"/>
      <c r="D563" s="610"/>
      <c r="E563" s="610"/>
      <c r="F563" s="610"/>
      <c r="G563" s="610"/>
      <c r="H563" s="610"/>
      <c r="I563" s="610"/>
      <c r="J563" s="610"/>
      <c r="L563" s="610"/>
      <c r="M563" s="610"/>
      <c r="N563" s="610"/>
      <c r="O563" s="610"/>
      <c r="P563" s="610"/>
      <c r="Q563" s="610"/>
      <c r="R563" s="610"/>
      <c r="S563" s="610"/>
      <c r="T563" s="610"/>
      <c r="U563" s="610"/>
      <c r="V563" s="610"/>
      <c r="W563" s="610"/>
      <c r="X563" s="610"/>
      <c r="Y563" s="610"/>
      <c r="Z563" s="610"/>
      <c r="AA563" s="610"/>
      <c r="AB563" s="610"/>
      <c r="AC563" s="610"/>
      <c r="AD563" s="610"/>
      <c r="AE563" s="610"/>
      <c r="AF563" s="610"/>
      <c r="AG563" s="610"/>
      <c r="AH563" s="610"/>
      <c r="AI563" s="610"/>
      <c r="AJ563" s="610"/>
      <c r="AK563" s="610"/>
      <c r="AL563" s="610"/>
      <c r="AM563" s="610"/>
      <c r="AN563" s="610"/>
      <c r="AO563" s="610"/>
      <c r="AP563" s="610"/>
      <c r="AQ563" s="610"/>
    </row>
    <row r="564" spans="2:43" s="609" customFormat="1">
      <c r="B564" s="610"/>
      <c r="C564" s="610"/>
      <c r="D564" s="610"/>
      <c r="E564" s="610"/>
      <c r="F564" s="610"/>
      <c r="G564" s="610"/>
      <c r="H564" s="610"/>
      <c r="I564" s="610"/>
      <c r="J564" s="610"/>
      <c r="L564" s="610"/>
      <c r="M564" s="610"/>
      <c r="N564" s="610"/>
      <c r="O564" s="610"/>
      <c r="P564" s="610"/>
      <c r="Q564" s="610"/>
      <c r="R564" s="610"/>
      <c r="S564" s="610"/>
      <c r="T564" s="610"/>
      <c r="U564" s="610"/>
      <c r="V564" s="610"/>
      <c r="W564" s="610"/>
      <c r="X564" s="610"/>
      <c r="Y564" s="610"/>
      <c r="Z564" s="610"/>
      <c r="AA564" s="610"/>
      <c r="AB564" s="610"/>
      <c r="AC564" s="610"/>
      <c r="AD564" s="610"/>
      <c r="AE564" s="610"/>
      <c r="AF564" s="610"/>
      <c r="AG564" s="610"/>
      <c r="AH564" s="610"/>
      <c r="AI564" s="610"/>
      <c r="AJ564" s="610"/>
      <c r="AK564" s="610"/>
      <c r="AL564" s="610"/>
      <c r="AM564" s="610"/>
      <c r="AN564" s="610"/>
      <c r="AO564" s="610"/>
      <c r="AP564" s="610"/>
      <c r="AQ564" s="610"/>
    </row>
    <row r="565" spans="2:43" s="609" customFormat="1">
      <c r="B565" s="610"/>
      <c r="C565" s="610"/>
      <c r="D565" s="610"/>
      <c r="E565" s="610"/>
      <c r="F565" s="610"/>
      <c r="G565" s="610"/>
      <c r="H565" s="610"/>
      <c r="I565" s="610"/>
      <c r="J565" s="610"/>
      <c r="L565" s="610"/>
      <c r="M565" s="610"/>
      <c r="N565" s="610"/>
      <c r="O565" s="610"/>
      <c r="P565" s="610"/>
      <c r="Q565" s="610"/>
      <c r="R565" s="610"/>
      <c r="S565" s="610"/>
      <c r="T565" s="610"/>
      <c r="U565" s="610"/>
      <c r="V565" s="610"/>
      <c r="W565" s="610"/>
      <c r="X565" s="610"/>
      <c r="Y565" s="610"/>
      <c r="Z565" s="610"/>
      <c r="AA565" s="610"/>
      <c r="AB565" s="610"/>
      <c r="AC565" s="610"/>
      <c r="AD565" s="610"/>
      <c r="AE565" s="610"/>
      <c r="AF565" s="610"/>
      <c r="AG565" s="610"/>
      <c r="AH565" s="610"/>
      <c r="AI565" s="610"/>
      <c r="AJ565" s="610"/>
      <c r="AK565" s="610"/>
      <c r="AL565" s="610"/>
      <c r="AM565" s="610"/>
      <c r="AN565" s="610"/>
      <c r="AO565" s="610"/>
      <c r="AP565" s="610"/>
      <c r="AQ565" s="610"/>
    </row>
    <row r="566" spans="2:43" s="609" customFormat="1">
      <c r="B566" s="610"/>
      <c r="C566" s="610"/>
      <c r="D566" s="610"/>
      <c r="E566" s="610"/>
      <c r="F566" s="610"/>
      <c r="G566" s="610"/>
      <c r="H566" s="610"/>
      <c r="I566" s="610"/>
      <c r="J566" s="610"/>
      <c r="L566" s="610"/>
      <c r="M566" s="610"/>
      <c r="N566" s="610"/>
      <c r="O566" s="610"/>
      <c r="P566" s="610"/>
      <c r="Q566" s="610"/>
      <c r="R566" s="610"/>
      <c r="S566" s="610"/>
      <c r="T566" s="610"/>
      <c r="U566" s="610"/>
      <c r="V566" s="610"/>
      <c r="W566" s="610"/>
      <c r="X566" s="610"/>
      <c r="Y566" s="610"/>
      <c r="Z566" s="610"/>
      <c r="AA566" s="610"/>
      <c r="AB566" s="610"/>
      <c r="AC566" s="610"/>
      <c r="AD566" s="610"/>
      <c r="AE566" s="610"/>
      <c r="AF566" s="610"/>
      <c r="AG566" s="610"/>
      <c r="AH566" s="610"/>
      <c r="AI566" s="610"/>
      <c r="AJ566" s="610"/>
      <c r="AK566" s="610"/>
      <c r="AL566" s="610"/>
      <c r="AM566" s="610"/>
      <c r="AN566" s="610"/>
      <c r="AO566" s="610"/>
      <c r="AP566" s="610"/>
      <c r="AQ566" s="610"/>
    </row>
    <row r="567" spans="2:43" s="609" customFormat="1">
      <c r="B567" s="610"/>
      <c r="C567" s="610"/>
      <c r="D567" s="610"/>
      <c r="E567" s="610"/>
      <c r="F567" s="610"/>
      <c r="G567" s="610"/>
      <c r="H567" s="610"/>
      <c r="I567" s="610"/>
      <c r="J567" s="610"/>
      <c r="L567" s="610"/>
      <c r="M567" s="610"/>
      <c r="N567" s="610"/>
      <c r="O567" s="610"/>
      <c r="P567" s="610"/>
      <c r="Q567" s="610"/>
      <c r="R567" s="610"/>
      <c r="S567" s="610"/>
      <c r="T567" s="610"/>
      <c r="U567" s="610"/>
      <c r="V567" s="610"/>
      <c r="W567" s="610"/>
      <c r="X567" s="610"/>
      <c r="Y567" s="610"/>
      <c r="Z567" s="610"/>
      <c r="AA567" s="610"/>
      <c r="AB567" s="610"/>
      <c r="AC567" s="610"/>
      <c r="AD567" s="610"/>
      <c r="AE567" s="610"/>
      <c r="AF567" s="610"/>
      <c r="AG567" s="610"/>
      <c r="AH567" s="610"/>
      <c r="AI567" s="610"/>
      <c r="AJ567" s="610"/>
      <c r="AK567" s="610"/>
      <c r="AL567" s="610"/>
      <c r="AM567" s="610"/>
      <c r="AN567" s="610"/>
      <c r="AO567" s="610"/>
      <c r="AP567" s="610"/>
      <c r="AQ567" s="610"/>
    </row>
    <row r="568" spans="2:43" s="609" customFormat="1">
      <c r="B568" s="610"/>
      <c r="C568" s="610"/>
      <c r="D568" s="610"/>
      <c r="E568" s="610"/>
      <c r="F568" s="610"/>
      <c r="G568" s="610"/>
      <c r="H568" s="610"/>
      <c r="I568" s="610"/>
      <c r="J568" s="610"/>
      <c r="L568" s="610"/>
      <c r="M568" s="610"/>
      <c r="N568" s="610"/>
      <c r="O568" s="610"/>
      <c r="P568" s="610"/>
      <c r="Q568" s="610"/>
      <c r="R568" s="610"/>
      <c r="S568" s="610"/>
      <c r="T568" s="610"/>
      <c r="U568" s="610"/>
      <c r="V568" s="610"/>
      <c r="W568" s="610"/>
      <c r="X568" s="610"/>
      <c r="Y568" s="610"/>
      <c r="Z568" s="610"/>
      <c r="AA568" s="610"/>
      <c r="AB568" s="610"/>
      <c r="AC568" s="610"/>
      <c r="AD568" s="610"/>
      <c r="AE568" s="610"/>
      <c r="AF568" s="610"/>
      <c r="AG568" s="610"/>
      <c r="AH568" s="610"/>
      <c r="AI568" s="610"/>
      <c r="AJ568" s="610"/>
      <c r="AK568" s="610"/>
      <c r="AL568" s="610"/>
      <c r="AM568" s="610"/>
      <c r="AN568" s="610"/>
      <c r="AO568" s="610"/>
      <c r="AP568" s="610"/>
      <c r="AQ568" s="610"/>
    </row>
    <row r="569" spans="2:43" s="609" customFormat="1">
      <c r="B569" s="610"/>
      <c r="C569" s="610"/>
      <c r="D569" s="610"/>
      <c r="E569" s="610"/>
      <c r="F569" s="610"/>
      <c r="G569" s="610"/>
      <c r="H569" s="610"/>
      <c r="I569" s="610"/>
      <c r="J569" s="610"/>
      <c r="L569" s="610"/>
      <c r="M569" s="610"/>
      <c r="N569" s="610"/>
      <c r="O569" s="610"/>
      <c r="P569" s="610"/>
      <c r="Q569" s="610"/>
      <c r="R569" s="610"/>
      <c r="S569" s="610"/>
      <c r="T569" s="610"/>
      <c r="U569" s="610"/>
      <c r="V569" s="610"/>
      <c r="W569" s="610"/>
      <c r="X569" s="610"/>
      <c r="Y569" s="610"/>
      <c r="Z569" s="610"/>
      <c r="AA569" s="610"/>
      <c r="AB569" s="610"/>
      <c r="AC569" s="610"/>
      <c r="AD569" s="610"/>
      <c r="AE569" s="610"/>
      <c r="AF569" s="610"/>
      <c r="AG569" s="610"/>
      <c r="AH569" s="610"/>
      <c r="AI569" s="610"/>
      <c r="AJ569" s="610"/>
      <c r="AK569" s="610"/>
      <c r="AL569" s="610"/>
      <c r="AM569" s="610"/>
      <c r="AN569" s="610"/>
      <c r="AO569" s="610"/>
      <c r="AP569" s="610"/>
      <c r="AQ569" s="610"/>
    </row>
    <row r="570" spans="2:43" s="609" customFormat="1">
      <c r="B570" s="610"/>
      <c r="C570" s="610"/>
      <c r="D570" s="610"/>
      <c r="E570" s="610"/>
      <c r="F570" s="610"/>
      <c r="G570" s="610"/>
      <c r="H570" s="610"/>
      <c r="I570" s="610"/>
      <c r="J570" s="610"/>
      <c r="L570" s="610"/>
      <c r="M570" s="610"/>
      <c r="N570" s="610"/>
      <c r="O570" s="610"/>
      <c r="P570" s="610"/>
      <c r="Q570" s="610"/>
      <c r="R570" s="610"/>
      <c r="S570" s="610"/>
      <c r="T570" s="610"/>
      <c r="U570" s="610"/>
      <c r="V570" s="610"/>
      <c r="W570" s="610"/>
      <c r="X570" s="610"/>
      <c r="Y570" s="610"/>
      <c r="Z570" s="610"/>
      <c r="AA570" s="610"/>
      <c r="AB570" s="610"/>
      <c r="AC570" s="610"/>
      <c r="AD570" s="610"/>
      <c r="AE570" s="610"/>
      <c r="AF570" s="610"/>
      <c r="AG570" s="610"/>
      <c r="AH570" s="610"/>
      <c r="AI570" s="610"/>
      <c r="AJ570" s="610"/>
      <c r="AK570" s="610"/>
      <c r="AL570" s="610"/>
      <c r="AM570" s="610"/>
      <c r="AN570" s="610"/>
      <c r="AO570" s="610"/>
      <c r="AP570" s="610"/>
      <c r="AQ570" s="610"/>
    </row>
    <row r="571" spans="2:43" s="609" customFormat="1">
      <c r="B571" s="610"/>
      <c r="C571" s="610"/>
      <c r="D571" s="610"/>
      <c r="E571" s="610"/>
      <c r="F571" s="610"/>
      <c r="G571" s="610"/>
      <c r="H571" s="610"/>
      <c r="I571" s="610"/>
      <c r="J571" s="610"/>
      <c r="L571" s="610"/>
      <c r="M571" s="610"/>
      <c r="N571" s="610"/>
      <c r="O571" s="610"/>
      <c r="P571" s="610"/>
      <c r="Q571" s="610"/>
      <c r="R571" s="610"/>
      <c r="S571" s="610"/>
      <c r="T571" s="610"/>
      <c r="U571" s="610"/>
      <c r="V571" s="610"/>
      <c r="W571" s="610"/>
      <c r="X571" s="610"/>
      <c r="Y571" s="610"/>
      <c r="Z571" s="610"/>
      <c r="AA571" s="610"/>
      <c r="AB571" s="610"/>
      <c r="AC571" s="610"/>
      <c r="AD571" s="610"/>
      <c r="AE571" s="610"/>
      <c r="AF571" s="610"/>
      <c r="AG571" s="610"/>
      <c r="AH571" s="610"/>
      <c r="AI571" s="610"/>
      <c r="AJ571" s="610"/>
      <c r="AK571" s="610"/>
      <c r="AL571" s="610"/>
      <c r="AM571" s="610"/>
      <c r="AN571" s="610"/>
      <c r="AO571" s="610"/>
      <c r="AP571" s="610"/>
      <c r="AQ571" s="610"/>
    </row>
    <row r="572" spans="2:43" s="609" customFormat="1">
      <c r="B572" s="610"/>
      <c r="C572" s="610"/>
      <c r="D572" s="610"/>
      <c r="E572" s="610"/>
      <c r="F572" s="610"/>
      <c r="G572" s="610"/>
      <c r="H572" s="610"/>
      <c r="I572" s="610"/>
      <c r="J572" s="610"/>
      <c r="L572" s="610"/>
      <c r="M572" s="610"/>
      <c r="N572" s="610"/>
      <c r="O572" s="610"/>
      <c r="P572" s="610"/>
      <c r="Q572" s="610"/>
      <c r="R572" s="610"/>
      <c r="S572" s="610"/>
      <c r="T572" s="610"/>
      <c r="U572" s="610"/>
      <c r="V572" s="610"/>
      <c r="W572" s="610"/>
      <c r="X572" s="610"/>
      <c r="Y572" s="610"/>
      <c r="Z572" s="610"/>
      <c r="AA572" s="610"/>
      <c r="AB572" s="610"/>
      <c r="AC572" s="610"/>
      <c r="AD572" s="610"/>
      <c r="AE572" s="610"/>
      <c r="AF572" s="610"/>
      <c r="AG572" s="610"/>
      <c r="AH572" s="610"/>
      <c r="AI572" s="610"/>
      <c r="AJ572" s="610"/>
      <c r="AK572" s="610"/>
      <c r="AL572" s="610"/>
      <c r="AM572" s="610"/>
      <c r="AN572" s="610"/>
      <c r="AO572" s="610"/>
      <c r="AP572" s="610"/>
      <c r="AQ572" s="610"/>
    </row>
    <row r="573" spans="2:43" s="609" customFormat="1">
      <c r="B573" s="610"/>
      <c r="C573" s="610"/>
      <c r="D573" s="610"/>
      <c r="E573" s="610"/>
      <c r="F573" s="610"/>
      <c r="G573" s="610"/>
      <c r="H573" s="610"/>
      <c r="I573" s="610"/>
      <c r="J573" s="610"/>
      <c r="L573" s="610"/>
      <c r="M573" s="610"/>
      <c r="N573" s="610"/>
      <c r="O573" s="610"/>
      <c r="P573" s="610"/>
      <c r="Q573" s="610"/>
      <c r="R573" s="610"/>
      <c r="S573" s="610"/>
      <c r="T573" s="610"/>
      <c r="U573" s="610"/>
      <c r="V573" s="610"/>
      <c r="W573" s="610"/>
      <c r="X573" s="610"/>
      <c r="Y573" s="610"/>
      <c r="Z573" s="610"/>
      <c r="AA573" s="610"/>
      <c r="AB573" s="610"/>
      <c r="AC573" s="610"/>
      <c r="AD573" s="610"/>
      <c r="AE573" s="610"/>
      <c r="AF573" s="610"/>
      <c r="AG573" s="610"/>
      <c r="AH573" s="610"/>
      <c r="AI573" s="610"/>
      <c r="AJ573" s="610"/>
      <c r="AK573" s="610"/>
      <c r="AL573" s="610"/>
      <c r="AM573" s="610"/>
      <c r="AN573" s="610"/>
      <c r="AO573" s="610"/>
      <c r="AP573" s="610"/>
      <c r="AQ573" s="610"/>
    </row>
    <row r="574" spans="2:43" s="609" customFormat="1">
      <c r="B574" s="610"/>
      <c r="C574" s="610"/>
      <c r="D574" s="610"/>
      <c r="E574" s="610"/>
      <c r="F574" s="610"/>
      <c r="G574" s="610"/>
      <c r="H574" s="610"/>
      <c r="I574" s="610"/>
      <c r="J574" s="610"/>
      <c r="L574" s="610"/>
      <c r="M574" s="610"/>
      <c r="N574" s="610"/>
      <c r="O574" s="610"/>
      <c r="P574" s="610"/>
      <c r="Q574" s="610"/>
      <c r="R574" s="610"/>
      <c r="S574" s="610"/>
      <c r="T574" s="610"/>
      <c r="U574" s="610"/>
      <c r="V574" s="610"/>
      <c r="W574" s="610"/>
      <c r="X574" s="610"/>
      <c r="Y574" s="610"/>
      <c r="Z574" s="610"/>
      <c r="AA574" s="610"/>
      <c r="AB574" s="610"/>
      <c r="AC574" s="610"/>
      <c r="AD574" s="610"/>
      <c r="AE574" s="610"/>
      <c r="AF574" s="610"/>
      <c r="AG574" s="610"/>
      <c r="AH574" s="610"/>
      <c r="AI574" s="610"/>
      <c r="AJ574" s="610"/>
      <c r="AK574" s="610"/>
      <c r="AL574" s="610"/>
      <c r="AM574" s="610"/>
      <c r="AN574" s="610"/>
      <c r="AO574" s="610"/>
      <c r="AP574" s="610"/>
      <c r="AQ574" s="610"/>
    </row>
    <row r="575" spans="2:43" s="609" customFormat="1">
      <c r="B575" s="610"/>
      <c r="C575" s="610"/>
      <c r="D575" s="610"/>
      <c r="E575" s="610"/>
      <c r="F575" s="610"/>
      <c r="G575" s="610"/>
      <c r="H575" s="610"/>
      <c r="I575" s="610"/>
      <c r="J575" s="610"/>
      <c r="L575" s="610"/>
      <c r="M575" s="610"/>
      <c r="N575" s="610"/>
      <c r="O575" s="610"/>
      <c r="P575" s="610"/>
      <c r="Q575" s="610"/>
      <c r="R575" s="610"/>
      <c r="S575" s="610"/>
      <c r="T575" s="610"/>
      <c r="U575" s="610"/>
      <c r="V575" s="610"/>
      <c r="W575" s="610"/>
      <c r="X575" s="610"/>
      <c r="Y575" s="610"/>
      <c r="Z575" s="610"/>
      <c r="AA575" s="610"/>
      <c r="AB575" s="610"/>
      <c r="AC575" s="610"/>
      <c r="AD575" s="610"/>
      <c r="AE575" s="610"/>
      <c r="AF575" s="610"/>
      <c r="AG575" s="610"/>
      <c r="AH575" s="610"/>
      <c r="AI575" s="610"/>
      <c r="AJ575" s="610"/>
      <c r="AK575" s="610"/>
      <c r="AL575" s="610"/>
      <c r="AM575" s="610"/>
      <c r="AN575" s="610"/>
      <c r="AO575" s="610"/>
      <c r="AP575" s="610"/>
      <c r="AQ575" s="610"/>
    </row>
    <row r="576" spans="2:43" s="609" customFormat="1">
      <c r="B576" s="610"/>
      <c r="C576" s="610"/>
      <c r="D576" s="610"/>
      <c r="E576" s="610"/>
      <c r="F576" s="610"/>
      <c r="G576" s="610"/>
      <c r="H576" s="610"/>
      <c r="I576" s="610"/>
      <c r="J576" s="610"/>
      <c r="L576" s="610"/>
      <c r="M576" s="610"/>
      <c r="N576" s="610"/>
      <c r="O576" s="610"/>
      <c r="P576" s="610"/>
      <c r="Q576" s="610"/>
      <c r="R576" s="610"/>
      <c r="S576" s="610"/>
      <c r="T576" s="610"/>
      <c r="U576" s="610"/>
      <c r="V576" s="610"/>
      <c r="W576" s="610"/>
      <c r="X576" s="610"/>
      <c r="Y576" s="610"/>
      <c r="Z576" s="610"/>
      <c r="AA576" s="610"/>
      <c r="AB576" s="610"/>
      <c r="AC576" s="610"/>
      <c r="AD576" s="610"/>
      <c r="AE576" s="610"/>
      <c r="AF576" s="610"/>
      <c r="AG576" s="610"/>
      <c r="AH576" s="610"/>
      <c r="AI576" s="610"/>
      <c r="AJ576" s="610"/>
      <c r="AK576" s="610"/>
      <c r="AL576" s="610"/>
      <c r="AM576" s="610"/>
      <c r="AN576" s="610"/>
      <c r="AO576" s="610"/>
      <c r="AP576" s="610"/>
      <c r="AQ576" s="610"/>
    </row>
    <row r="577" spans="2:43" s="609" customFormat="1">
      <c r="B577" s="610"/>
      <c r="C577" s="610"/>
      <c r="D577" s="610"/>
      <c r="E577" s="610"/>
      <c r="F577" s="610"/>
      <c r="G577" s="610"/>
      <c r="H577" s="610"/>
      <c r="I577" s="610"/>
      <c r="J577" s="610"/>
      <c r="L577" s="610"/>
      <c r="M577" s="610"/>
      <c r="N577" s="610"/>
      <c r="O577" s="610"/>
      <c r="P577" s="610"/>
      <c r="Q577" s="610"/>
      <c r="R577" s="610"/>
      <c r="S577" s="610"/>
      <c r="T577" s="610"/>
      <c r="U577" s="610"/>
      <c r="V577" s="610"/>
      <c r="W577" s="610"/>
      <c r="X577" s="610"/>
      <c r="Y577" s="610"/>
      <c r="Z577" s="610"/>
      <c r="AA577" s="610"/>
      <c r="AB577" s="610"/>
      <c r="AC577" s="610"/>
      <c r="AD577" s="610"/>
      <c r="AE577" s="610"/>
      <c r="AF577" s="610"/>
      <c r="AG577" s="610"/>
      <c r="AH577" s="610"/>
      <c r="AI577" s="610"/>
      <c r="AJ577" s="610"/>
      <c r="AK577" s="610"/>
      <c r="AL577" s="610"/>
      <c r="AM577" s="610"/>
      <c r="AN577" s="610"/>
      <c r="AO577" s="610"/>
      <c r="AP577" s="610"/>
      <c r="AQ577" s="610"/>
    </row>
    <row r="578" spans="2:43" s="609" customFormat="1">
      <c r="B578" s="610"/>
      <c r="C578" s="610"/>
      <c r="D578" s="610"/>
      <c r="E578" s="610"/>
      <c r="F578" s="610"/>
      <c r="G578" s="610"/>
      <c r="H578" s="610"/>
      <c r="I578" s="610"/>
      <c r="J578" s="610"/>
      <c r="L578" s="610"/>
      <c r="M578" s="610"/>
      <c r="N578" s="610"/>
      <c r="O578" s="610"/>
      <c r="P578" s="610"/>
      <c r="Q578" s="610"/>
      <c r="R578" s="610"/>
      <c r="S578" s="610"/>
      <c r="T578" s="610"/>
      <c r="U578" s="610"/>
      <c r="V578" s="610"/>
      <c r="W578" s="610"/>
      <c r="X578" s="610"/>
      <c r="Y578" s="610"/>
      <c r="Z578" s="610"/>
      <c r="AA578" s="610"/>
      <c r="AB578" s="610"/>
      <c r="AC578" s="610"/>
      <c r="AD578" s="610"/>
      <c r="AE578" s="610"/>
      <c r="AF578" s="610"/>
      <c r="AG578" s="610"/>
      <c r="AH578" s="610"/>
      <c r="AI578" s="610"/>
      <c r="AJ578" s="610"/>
      <c r="AK578" s="610"/>
      <c r="AL578" s="610"/>
      <c r="AM578" s="610"/>
      <c r="AN578" s="610"/>
      <c r="AO578" s="610"/>
      <c r="AP578" s="610"/>
      <c r="AQ578" s="610"/>
    </row>
    <row r="579" spans="2:43" s="609" customFormat="1">
      <c r="B579" s="610"/>
      <c r="C579" s="610"/>
      <c r="D579" s="610"/>
      <c r="E579" s="610"/>
      <c r="F579" s="610"/>
      <c r="G579" s="610"/>
      <c r="H579" s="610"/>
      <c r="I579" s="610"/>
      <c r="J579" s="610"/>
      <c r="L579" s="610"/>
      <c r="M579" s="610"/>
      <c r="N579" s="610"/>
      <c r="O579" s="610"/>
      <c r="P579" s="610"/>
      <c r="Q579" s="610"/>
      <c r="R579" s="610"/>
      <c r="S579" s="610"/>
      <c r="T579" s="610"/>
      <c r="U579" s="610"/>
      <c r="V579" s="610"/>
      <c r="W579" s="610"/>
      <c r="X579" s="610"/>
      <c r="Y579" s="610"/>
      <c r="Z579" s="610"/>
      <c r="AA579" s="610"/>
      <c r="AB579" s="610"/>
      <c r="AC579" s="610"/>
      <c r="AD579" s="610"/>
      <c r="AE579" s="610"/>
      <c r="AF579" s="610"/>
      <c r="AG579" s="610"/>
      <c r="AH579" s="610"/>
      <c r="AI579" s="610"/>
      <c r="AJ579" s="610"/>
      <c r="AK579" s="610"/>
      <c r="AL579" s="610"/>
      <c r="AM579" s="610"/>
      <c r="AN579" s="610"/>
      <c r="AO579" s="610"/>
      <c r="AP579" s="610"/>
      <c r="AQ579" s="610"/>
    </row>
    <row r="580" spans="2:43" s="609" customFormat="1">
      <c r="B580" s="610"/>
      <c r="C580" s="610"/>
      <c r="D580" s="610"/>
      <c r="E580" s="610"/>
      <c r="F580" s="610"/>
      <c r="G580" s="610"/>
      <c r="H580" s="610"/>
      <c r="I580" s="610"/>
      <c r="J580" s="610"/>
      <c r="L580" s="610"/>
      <c r="M580" s="610"/>
      <c r="N580" s="610"/>
      <c r="O580" s="610"/>
      <c r="P580" s="610"/>
      <c r="Q580" s="610"/>
      <c r="R580" s="610"/>
      <c r="S580" s="610"/>
      <c r="T580" s="610"/>
      <c r="U580" s="610"/>
      <c r="V580" s="610"/>
      <c r="W580" s="610"/>
      <c r="X580" s="610"/>
      <c r="Y580" s="610"/>
      <c r="Z580" s="610"/>
      <c r="AA580" s="610"/>
      <c r="AB580" s="610"/>
      <c r="AC580" s="610"/>
      <c r="AD580" s="610"/>
      <c r="AE580" s="610"/>
      <c r="AF580" s="610"/>
      <c r="AG580" s="610"/>
      <c r="AH580" s="610"/>
      <c r="AI580" s="610"/>
      <c r="AJ580" s="610"/>
      <c r="AK580" s="610"/>
      <c r="AL580" s="610"/>
      <c r="AM580" s="610"/>
      <c r="AN580" s="610"/>
      <c r="AO580" s="610"/>
      <c r="AP580" s="610"/>
      <c r="AQ580" s="610"/>
    </row>
    <row r="581" spans="2:43" s="609" customFormat="1">
      <c r="B581" s="610"/>
      <c r="C581" s="610"/>
      <c r="D581" s="610"/>
      <c r="E581" s="610"/>
      <c r="F581" s="610"/>
      <c r="G581" s="610"/>
      <c r="H581" s="610"/>
      <c r="I581" s="610"/>
      <c r="J581" s="610"/>
      <c r="L581" s="610"/>
      <c r="M581" s="610"/>
      <c r="N581" s="610"/>
      <c r="O581" s="610"/>
      <c r="P581" s="610"/>
      <c r="Q581" s="610"/>
      <c r="R581" s="610"/>
      <c r="S581" s="610"/>
      <c r="T581" s="610"/>
      <c r="U581" s="610"/>
      <c r="V581" s="610"/>
      <c r="W581" s="610"/>
      <c r="X581" s="610"/>
      <c r="Y581" s="610"/>
      <c r="Z581" s="610"/>
      <c r="AA581" s="610"/>
      <c r="AB581" s="610"/>
      <c r="AC581" s="610"/>
      <c r="AD581" s="610"/>
      <c r="AE581" s="610"/>
      <c r="AF581" s="610"/>
      <c r="AG581" s="610"/>
      <c r="AH581" s="610"/>
      <c r="AI581" s="610"/>
      <c r="AJ581" s="610"/>
      <c r="AK581" s="610"/>
      <c r="AL581" s="610"/>
      <c r="AM581" s="610"/>
      <c r="AN581" s="610"/>
      <c r="AO581" s="610"/>
      <c r="AP581" s="610"/>
      <c r="AQ581" s="610"/>
    </row>
    <row r="582" spans="2:43" s="609" customFormat="1">
      <c r="B582" s="610"/>
      <c r="C582" s="610"/>
      <c r="D582" s="610"/>
      <c r="E582" s="610"/>
      <c r="F582" s="610"/>
      <c r="G582" s="610"/>
      <c r="H582" s="610"/>
      <c r="I582" s="610"/>
      <c r="J582" s="610"/>
      <c r="L582" s="610"/>
      <c r="M582" s="610"/>
      <c r="N582" s="610"/>
      <c r="O582" s="610"/>
      <c r="P582" s="610"/>
      <c r="Q582" s="610"/>
      <c r="R582" s="610"/>
      <c r="S582" s="610"/>
      <c r="T582" s="610"/>
      <c r="U582" s="610"/>
      <c r="V582" s="610"/>
      <c r="W582" s="610"/>
      <c r="X582" s="610"/>
      <c r="Y582" s="610"/>
      <c r="Z582" s="610"/>
      <c r="AA582" s="610"/>
      <c r="AB582" s="610"/>
      <c r="AC582" s="610"/>
      <c r="AD582" s="610"/>
      <c r="AE582" s="610"/>
      <c r="AF582" s="610"/>
      <c r="AG582" s="610"/>
      <c r="AH582" s="610"/>
      <c r="AI582" s="610"/>
      <c r="AJ582" s="610"/>
      <c r="AK582" s="610"/>
      <c r="AL582" s="610"/>
      <c r="AM582" s="610"/>
      <c r="AN582" s="610"/>
      <c r="AO582" s="610"/>
      <c r="AP582" s="610"/>
      <c r="AQ582" s="610"/>
    </row>
    <row r="583" spans="2:43" s="609" customFormat="1">
      <c r="B583" s="610"/>
      <c r="C583" s="610"/>
      <c r="D583" s="610"/>
      <c r="E583" s="610"/>
      <c r="F583" s="610"/>
      <c r="G583" s="610"/>
      <c r="H583" s="610"/>
      <c r="I583" s="610"/>
      <c r="J583" s="610"/>
      <c r="L583" s="610"/>
      <c r="M583" s="610"/>
      <c r="N583" s="610"/>
      <c r="O583" s="610"/>
      <c r="P583" s="610"/>
      <c r="Q583" s="610"/>
      <c r="R583" s="610"/>
      <c r="S583" s="610"/>
      <c r="T583" s="610"/>
      <c r="U583" s="610"/>
      <c r="V583" s="610"/>
      <c r="W583" s="610"/>
      <c r="X583" s="610"/>
      <c r="Y583" s="610"/>
      <c r="Z583" s="610"/>
      <c r="AA583" s="610"/>
      <c r="AB583" s="610"/>
      <c r="AC583" s="610"/>
      <c r="AD583" s="610"/>
      <c r="AE583" s="610"/>
      <c r="AF583" s="610"/>
      <c r="AG583" s="610"/>
      <c r="AH583" s="610"/>
      <c r="AI583" s="610"/>
      <c r="AJ583" s="610"/>
      <c r="AK583" s="610"/>
      <c r="AL583" s="610"/>
      <c r="AM583" s="610"/>
      <c r="AN583" s="610"/>
      <c r="AO583" s="610"/>
      <c r="AP583" s="610"/>
      <c r="AQ583" s="610"/>
    </row>
    <row r="584" spans="2:43" s="609" customFormat="1">
      <c r="B584" s="610"/>
      <c r="C584" s="610"/>
      <c r="D584" s="610"/>
      <c r="E584" s="610"/>
      <c r="F584" s="610"/>
      <c r="G584" s="610"/>
      <c r="H584" s="610"/>
      <c r="I584" s="610"/>
      <c r="J584" s="610"/>
      <c r="L584" s="610"/>
      <c r="M584" s="610"/>
      <c r="N584" s="610"/>
      <c r="O584" s="610"/>
      <c r="P584" s="610"/>
      <c r="Q584" s="610"/>
      <c r="R584" s="610"/>
      <c r="S584" s="610"/>
      <c r="T584" s="610"/>
      <c r="U584" s="610"/>
      <c r="V584" s="610"/>
      <c r="W584" s="610"/>
      <c r="X584" s="610"/>
      <c r="Y584" s="610"/>
      <c r="Z584" s="610"/>
      <c r="AA584" s="610"/>
      <c r="AB584" s="610"/>
      <c r="AC584" s="610"/>
      <c r="AD584" s="610"/>
      <c r="AE584" s="610"/>
      <c r="AF584" s="610"/>
      <c r="AG584" s="610"/>
      <c r="AH584" s="610"/>
      <c r="AI584" s="610"/>
      <c r="AJ584" s="610"/>
      <c r="AK584" s="610"/>
      <c r="AL584" s="610"/>
      <c r="AM584" s="610"/>
      <c r="AN584" s="610"/>
      <c r="AO584" s="610"/>
      <c r="AP584" s="610"/>
      <c r="AQ584" s="610"/>
    </row>
    <row r="585" spans="2:43" s="609" customFormat="1">
      <c r="B585" s="610"/>
      <c r="C585" s="610"/>
      <c r="D585" s="610"/>
      <c r="E585" s="610"/>
      <c r="F585" s="610"/>
      <c r="G585" s="610"/>
      <c r="H585" s="610"/>
      <c r="I585" s="610"/>
      <c r="J585" s="610"/>
      <c r="L585" s="610"/>
      <c r="M585" s="610"/>
      <c r="N585" s="610"/>
      <c r="O585" s="610"/>
      <c r="P585" s="610"/>
      <c r="Q585" s="610"/>
      <c r="R585" s="610"/>
      <c r="S585" s="610"/>
      <c r="T585" s="610"/>
      <c r="U585" s="610"/>
      <c r="V585" s="610"/>
      <c r="W585" s="610"/>
      <c r="X585" s="610"/>
      <c r="Y585" s="610"/>
      <c r="Z585" s="610"/>
      <c r="AA585" s="610"/>
      <c r="AB585" s="610"/>
      <c r="AC585" s="610"/>
      <c r="AD585" s="610"/>
      <c r="AE585" s="610"/>
      <c r="AF585" s="610"/>
      <c r="AG585" s="610"/>
      <c r="AH585" s="610"/>
      <c r="AI585" s="610"/>
      <c r="AJ585" s="610"/>
      <c r="AK585" s="610"/>
      <c r="AL585" s="610"/>
      <c r="AM585" s="610"/>
      <c r="AN585" s="610"/>
      <c r="AO585" s="610"/>
      <c r="AP585" s="610"/>
      <c r="AQ585" s="610"/>
    </row>
    <row r="586" spans="2:43" s="609" customFormat="1">
      <c r="B586" s="610"/>
      <c r="C586" s="610"/>
      <c r="D586" s="610"/>
      <c r="E586" s="610"/>
      <c r="F586" s="610"/>
      <c r="G586" s="610"/>
      <c r="H586" s="610"/>
      <c r="I586" s="610"/>
      <c r="J586" s="610"/>
      <c r="L586" s="610"/>
      <c r="M586" s="610"/>
      <c r="N586" s="610"/>
      <c r="O586" s="610"/>
      <c r="P586" s="610"/>
      <c r="Q586" s="610"/>
      <c r="R586" s="610"/>
      <c r="S586" s="610"/>
      <c r="T586" s="610"/>
      <c r="U586" s="610"/>
      <c r="V586" s="610"/>
      <c r="W586" s="610"/>
      <c r="X586" s="610"/>
      <c r="Y586" s="610"/>
      <c r="Z586" s="610"/>
      <c r="AA586" s="610"/>
      <c r="AB586" s="610"/>
      <c r="AC586" s="610"/>
      <c r="AD586" s="610"/>
      <c r="AE586" s="610"/>
      <c r="AF586" s="610"/>
      <c r="AG586" s="610"/>
      <c r="AH586" s="610"/>
      <c r="AI586" s="610"/>
      <c r="AJ586" s="610"/>
      <c r="AK586" s="610"/>
      <c r="AL586" s="610"/>
      <c r="AM586" s="610"/>
      <c r="AN586" s="610"/>
      <c r="AO586" s="610"/>
      <c r="AP586" s="610"/>
      <c r="AQ586" s="610"/>
    </row>
    <row r="587" spans="2:43" s="609" customFormat="1">
      <c r="B587" s="610"/>
      <c r="C587" s="610"/>
      <c r="D587" s="610"/>
      <c r="E587" s="610"/>
      <c r="F587" s="610"/>
      <c r="G587" s="610"/>
      <c r="H587" s="610"/>
      <c r="I587" s="610"/>
      <c r="J587" s="610"/>
      <c r="L587" s="610"/>
      <c r="M587" s="610"/>
      <c r="N587" s="610"/>
      <c r="O587" s="610"/>
      <c r="P587" s="610"/>
      <c r="Q587" s="610"/>
      <c r="R587" s="610"/>
      <c r="S587" s="610"/>
      <c r="T587" s="610"/>
      <c r="U587" s="610"/>
      <c r="V587" s="610"/>
      <c r="W587" s="610"/>
      <c r="X587" s="610"/>
      <c r="Y587" s="610"/>
      <c r="Z587" s="610"/>
      <c r="AA587" s="610"/>
      <c r="AB587" s="610"/>
      <c r="AC587" s="610"/>
      <c r="AD587" s="610"/>
      <c r="AE587" s="610"/>
      <c r="AF587" s="610"/>
      <c r="AG587" s="610"/>
      <c r="AH587" s="610"/>
      <c r="AI587" s="610"/>
      <c r="AJ587" s="610"/>
      <c r="AK587" s="610"/>
      <c r="AL587" s="610"/>
      <c r="AM587" s="610"/>
      <c r="AN587" s="610"/>
      <c r="AO587" s="610"/>
      <c r="AP587" s="610"/>
      <c r="AQ587" s="610"/>
    </row>
    <row r="588" spans="2:43" s="609" customFormat="1">
      <c r="B588" s="610"/>
      <c r="C588" s="610"/>
      <c r="D588" s="610"/>
      <c r="E588" s="610"/>
      <c r="F588" s="610"/>
      <c r="G588" s="610"/>
      <c r="H588" s="610"/>
      <c r="I588" s="610"/>
      <c r="J588" s="610"/>
      <c r="L588" s="610"/>
      <c r="M588" s="610"/>
      <c r="N588" s="610"/>
      <c r="O588" s="610"/>
      <c r="P588" s="610"/>
      <c r="Q588" s="610"/>
      <c r="R588" s="610"/>
      <c r="S588" s="610"/>
      <c r="T588" s="610"/>
      <c r="U588" s="610"/>
      <c r="V588" s="610"/>
      <c r="W588" s="610"/>
      <c r="X588" s="610"/>
      <c r="Y588" s="610"/>
      <c r="Z588" s="610"/>
      <c r="AA588" s="610"/>
      <c r="AB588" s="610"/>
      <c r="AC588" s="610"/>
      <c r="AD588" s="610"/>
      <c r="AE588" s="610"/>
      <c r="AF588" s="610"/>
      <c r="AG588" s="610"/>
      <c r="AH588" s="610"/>
      <c r="AI588" s="610"/>
      <c r="AJ588" s="610"/>
      <c r="AK588" s="610"/>
      <c r="AL588" s="610"/>
      <c r="AM588" s="610"/>
      <c r="AN588" s="610"/>
      <c r="AO588" s="610"/>
      <c r="AP588" s="610"/>
      <c r="AQ588" s="610"/>
    </row>
    <row r="589" spans="2:43" s="609" customFormat="1">
      <c r="B589" s="610"/>
      <c r="C589" s="610"/>
      <c r="D589" s="610"/>
      <c r="E589" s="610"/>
      <c r="F589" s="610"/>
      <c r="G589" s="610"/>
      <c r="H589" s="610"/>
      <c r="I589" s="610"/>
      <c r="J589" s="610"/>
      <c r="L589" s="610"/>
      <c r="M589" s="610"/>
      <c r="N589" s="610"/>
      <c r="O589" s="610"/>
      <c r="P589" s="610"/>
      <c r="Q589" s="610"/>
      <c r="R589" s="610"/>
      <c r="S589" s="610"/>
      <c r="T589" s="610"/>
      <c r="U589" s="610"/>
      <c r="V589" s="610"/>
      <c r="W589" s="610"/>
      <c r="X589" s="610"/>
      <c r="Y589" s="610"/>
      <c r="Z589" s="610"/>
      <c r="AA589" s="610"/>
      <c r="AB589" s="610"/>
      <c r="AC589" s="610"/>
      <c r="AD589" s="610"/>
      <c r="AE589" s="610"/>
      <c r="AF589" s="610"/>
      <c r="AG589" s="610"/>
      <c r="AH589" s="610"/>
      <c r="AI589" s="610"/>
      <c r="AJ589" s="610"/>
      <c r="AK589" s="610"/>
      <c r="AL589" s="610"/>
      <c r="AM589" s="610"/>
      <c r="AN589" s="610"/>
      <c r="AO589" s="610"/>
      <c r="AP589" s="610"/>
      <c r="AQ589" s="610"/>
    </row>
    <row r="590" spans="2:43" s="609" customFormat="1">
      <c r="B590" s="610"/>
      <c r="C590" s="610"/>
      <c r="D590" s="610"/>
      <c r="E590" s="610"/>
      <c r="F590" s="610"/>
      <c r="G590" s="610"/>
      <c r="H590" s="610"/>
      <c r="I590" s="610"/>
      <c r="J590" s="610"/>
      <c r="L590" s="610"/>
      <c r="M590" s="610"/>
      <c r="N590" s="610"/>
      <c r="O590" s="610"/>
      <c r="P590" s="610"/>
      <c r="Q590" s="610"/>
      <c r="R590" s="610"/>
      <c r="S590" s="610"/>
      <c r="T590" s="610"/>
      <c r="U590" s="610"/>
      <c r="V590" s="610"/>
      <c r="W590" s="610"/>
      <c r="X590" s="610"/>
      <c r="Y590" s="610"/>
      <c r="Z590" s="610"/>
      <c r="AA590" s="610"/>
      <c r="AB590" s="610"/>
      <c r="AC590" s="610"/>
      <c r="AD590" s="610"/>
      <c r="AE590" s="610"/>
      <c r="AF590" s="610"/>
      <c r="AG590" s="610"/>
      <c r="AH590" s="610"/>
      <c r="AI590" s="610"/>
      <c r="AJ590" s="610"/>
      <c r="AK590" s="610"/>
      <c r="AL590" s="610"/>
      <c r="AM590" s="610"/>
      <c r="AN590" s="610"/>
      <c r="AO590" s="610"/>
      <c r="AP590" s="610"/>
      <c r="AQ590" s="610"/>
    </row>
    <row r="591" spans="2:43" s="609" customFormat="1">
      <c r="B591" s="610"/>
      <c r="C591" s="610"/>
      <c r="D591" s="610"/>
      <c r="E591" s="610"/>
      <c r="F591" s="610"/>
      <c r="G591" s="610"/>
      <c r="H591" s="610"/>
      <c r="I591" s="610"/>
      <c r="J591" s="610"/>
      <c r="L591" s="610"/>
      <c r="M591" s="610"/>
      <c r="N591" s="610"/>
      <c r="O591" s="610"/>
      <c r="P591" s="610"/>
      <c r="Q591" s="610"/>
      <c r="R591" s="610"/>
      <c r="S591" s="610"/>
      <c r="T591" s="610"/>
      <c r="U591" s="610"/>
      <c r="V591" s="610"/>
      <c r="W591" s="610"/>
      <c r="X591" s="610"/>
      <c r="Y591" s="610"/>
      <c r="Z591" s="610"/>
      <c r="AA591" s="610"/>
      <c r="AB591" s="610"/>
      <c r="AC591" s="610"/>
      <c r="AD591" s="610"/>
      <c r="AE591" s="610"/>
      <c r="AF591" s="610"/>
      <c r="AG591" s="610"/>
      <c r="AH591" s="610"/>
      <c r="AI591" s="610"/>
      <c r="AJ591" s="610"/>
      <c r="AK591" s="610"/>
      <c r="AL591" s="610"/>
      <c r="AM591" s="610"/>
      <c r="AN591" s="610"/>
      <c r="AO591" s="610"/>
      <c r="AP591" s="610"/>
      <c r="AQ591" s="610"/>
    </row>
    <row r="592" spans="2:43" s="609" customFormat="1">
      <c r="B592" s="610"/>
      <c r="C592" s="610"/>
      <c r="D592" s="610"/>
      <c r="E592" s="610"/>
      <c r="F592" s="610"/>
      <c r="G592" s="610"/>
      <c r="H592" s="610"/>
      <c r="I592" s="610"/>
      <c r="J592" s="610"/>
      <c r="L592" s="610"/>
      <c r="M592" s="610"/>
      <c r="N592" s="610"/>
      <c r="O592" s="610"/>
      <c r="P592" s="610"/>
      <c r="Q592" s="610"/>
      <c r="R592" s="610"/>
      <c r="S592" s="610"/>
      <c r="T592" s="610"/>
      <c r="U592" s="610"/>
      <c r="V592" s="610"/>
      <c r="W592" s="610"/>
      <c r="X592" s="610"/>
      <c r="Y592" s="610"/>
      <c r="Z592" s="610"/>
      <c r="AA592" s="610"/>
      <c r="AB592" s="610"/>
      <c r="AC592" s="610"/>
      <c r="AD592" s="610"/>
      <c r="AE592" s="610"/>
      <c r="AF592" s="610"/>
      <c r="AG592" s="610"/>
      <c r="AH592" s="610"/>
      <c r="AI592" s="610"/>
      <c r="AJ592" s="610"/>
      <c r="AK592" s="610"/>
      <c r="AL592" s="610"/>
      <c r="AM592" s="610"/>
      <c r="AN592" s="610"/>
      <c r="AO592" s="610"/>
      <c r="AP592" s="610"/>
      <c r="AQ592" s="610"/>
    </row>
    <row r="593" spans="2:43" s="609" customFormat="1">
      <c r="B593" s="610"/>
      <c r="C593" s="610"/>
      <c r="D593" s="610"/>
      <c r="E593" s="610"/>
      <c r="F593" s="610"/>
      <c r="G593" s="610"/>
      <c r="H593" s="610"/>
      <c r="I593" s="610"/>
      <c r="J593" s="610"/>
      <c r="L593" s="610"/>
      <c r="M593" s="610"/>
      <c r="N593" s="610"/>
      <c r="O593" s="610"/>
      <c r="P593" s="610"/>
      <c r="Q593" s="610"/>
      <c r="R593" s="610"/>
      <c r="S593" s="610"/>
      <c r="T593" s="610"/>
      <c r="U593" s="610"/>
      <c r="V593" s="610"/>
      <c r="W593" s="610"/>
      <c r="X593" s="610"/>
      <c r="Y593" s="610"/>
      <c r="Z593" s="610"/>
      <c r="AA593" s="610"/>
      <c r="AB593" s="610"/>
      <c r="AC593" s="610"/>
      <c r="AD593" s="610"/>
      <c r="AE593" s="610"/>
      <c r="AF593" s="610"/>
      <c r="AG593" s="610"/>
      <c r="AH593" s="610"/>
      <c r="AI593" s="610"/>
      <c r="AJ593" s="610"/>
      <c r="AK593" s="610"/>
      <c r="AL593" s="610"/>
      <c r="AM593" s="610"/>
      <c r="AN593" s="610"/>
      <c r="AO593" s="610"/>
      <c r="AP593" s="610"/>
      <c r="AQ593" s="610"/>
    </row>
    <row r="594" spans="2:43" s="609" customFormat="1">
      <c r="B594" s="610"/>
      <c r="C594" s="610"/>
      <c r="D594" s="610"/>
      <c r="E594" s="610"/>
      <c r="F594" s="610"/>
      <c r="G594" s="610"/>
      <c r="H594" s="610"/>
      <c r="I594" s="610"/>
      <c r="J594" s="610"/>
      <c r="L594" s="610"/>
      <c r="M594" s="610"/>
      <c r="N594" s="610"/>
      <c r="O594" s="610"/>
      <c r="P594" s="610"/>
      <c r="Q594" s="610"/>
      <c r="R594" s="610"/>
      <c r="S594" s="610"/>
      <c r="T594" s="610"/>
      <c r="U594" s="610"/>
      <c r="V594" s="610"/>
      <c r="W594" s="610"/>
      <c r="X594" s="610"/>
      <c r="Y594" s="610"/>
      <c r="Z594" s="610"/>
      <c r="AA594" s="610"/>
      <c r="AB594" s="610"/>
      <c r="AC594" s="610"/>
      <c r="AD594" s="610"/>
      <c r="AE594" s="610"/>
      <c r="AF594" s="610"/>
      <c r="AG594" s="610"/>
      <c r="AH594" s="610"/>
      <c r="AI594" s="610"/>
      <c r="AJ594" s="610"/>
      <c r="AK594" s="610"/>
      <c r="AL594" s="610"/>
      <c r="AM594" s="610"/>
      <c r="AN594" s="610"/>
      <c r="AO594" s="610"/>
      <c r="AP594" s="610"/>
      <c r="AQ594" s="610"/>
    </row>
    <row r="595" spans="2:43" s="609" customFormat="1">
      <c r="B595" s="610"/>
      <c r="C595" s="610"/>
      <c r="D595" s="610"/>
      <c r="E595" s="610"/>
      <c r="F595" s="610"/>
      <c r="G595" s="610"/>
      <c r="H595" s="610"/>
      <c r="I595" s="610"/>
      <c r="J595" s="610"/>
      <c r="L595" s="610"/>
      <c r="M595" s="610"/>
      <c r="N595" s="610"/>
      <c r="O595" s="610"/>
      <c r="P595" s="610"/>
      <c r="Q595" s="610"/>
      <c r="R595" s="610"/>
      <c r="S595" s="610"/>
      <c r="T595" s="610"/>
      <c r="U595" s="610"/>
      <c r="V595" s="610"/>
      <c r="W595" s="610"/>
      <c r="X595" s="610"/>
      <c r="Y595" s="610"/>
      <c r="Z595" s="610"/>
      <c r="AA595" s="610"/>
      <c r="AB595" s="610"/>
      <c r="AC595" s="610"/>
      <c r="AD595" s="610"/>
      <c r="AE595" s="610"/>
      <c r="AF595" s="610"/>
      <c r="AG595" s="610"/>
      <c r="AH595" s="610"/>
      <c r="AI595" s="610"/>
      <c r="AJ595" s="610"/>
      <c r="AK595" s="610"/>
      <c r="AL595" s="610"/>
      <c r="AM595" s="610"/>
      <c r="AN595" s="610"/>
      <c r="AO595" s="610"/>
      <c r="AP595" s="610"/>
      <c r="AQ595" s="610"/>
    </row>
    <row r="596" spans="2:43" s="609" customFormat="1">
      <c r="B596" s="610"/>
      <c r="C596" s="610"/>
      <c r="D596" s="610"/>
      <c r="E596" s="610"/>
      <c r="F596" s="610"/>
      <c r="G596" s="610"/>
      <c r="H596" s="610"/>
      <c r="I596" s="610"/>
      <c r="J596" s="610"/>
      <c r="L596" s="610"/>
      <c r="M596" s="610"/>
      <c r="N596" s="610"/>
      <c r="O596" s="610"/>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c r="AN596" s="610"/>
      <c r="AO596" s="610"/>
      <c r="AP596" s="610"/>
      <c r="AQ596" s="610"/>
    </row>
    <row r="597" spans="2:43" s="609" customFormat="1">
      <c r="B597" s="610"/>
      <c r="C597" s="610"/>
      <c r="D597" s="610"/>
      <c r="E597" s="610"/>
      <c r="F597" s="610"/>
      <c r="G597" s="610"/>
      <c r="H597" s="610"/>
      <c r="I597" s="610"/>
      <c r="J597" s="610"/>
      <c r="L597" s="610"/>
      <c r="M597" s="610"/>
      <c r="N597" s="610"/>
      <c r="O597" s="610"/>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c r="AN597" s="610"/>
      <c r="AO597" s="610"/>
      <c r="AP597" s="610"/>
      <c r="AQ597" s="610"/>
    </row>
    <row r="598" spans="2:43" s="609" customFormat="1">
      <c r="B598" s="610"/>
      <c r="C598" s="610"/>
      <c r="D598" s="610"/>
      <c r="E598" s="610"/>
      <c r="F598" s="610"/>
      <c r="G598" s="610"/>
      <c r="H598" s="610"/>
      <c r="I598" s="610"/>
      <c r="J598" s="610"/>
      <c r="L598" s="610"/>
      <c r="M598" s="610"/>
      <c r="N598" s="610"/>
      <c r="O598" s="610"/>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c r="AN598" s="610"/>
      <c r="AO598" s="610"/>
      <c r="AP598" s="610"/>
      <c r="AQ598" s="610"/>
    </row>
    <row r="599" spans="2:43" s="609" customFormat="1">
      <c r="B599" s="610"/>
      <c r="C599" s="610"/>
      <c r="D599" s="610"/>
      <c r="E599" s="610"/>
      <c r="F599" s="610"/>
      <c r="G599" s="610"/>
      <c r="H599" s="610"/>
      <c r="I599" s="610"/>
      <c r="J599" s="610"/>
      <c r="L599" s="610"/>
      <c r="M599" s="610"/>
      <c r="N599" s="610"/>
      <c r="O599" s="610"/>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c r="AN599" s="610"/>
      <c r="AO599" s="610"/>
      <c r="AP599" s="610"/>
      <c r="AQ599" s="610"/>
    </row>
    <row r="600" spans="2:43" s="609" customFormat="1">
      <c r="B600" s="610"/>
      <c r="C600" s="610"/>
      <c r="D600" s="610"/>
      <c r="E600" s="610"/>
      <c r="F600" s="610"/>
      <c r="G600" s="610"/>
      <c r="H600" s="610"/>
      <c r="I600" s="610"/>
      <c r="J600" s="610"/>
      <c r="L600" s="610"/>
      <c r="M600" s="610"/>
      <c r="N600" s="610"/>
      <c r="O600" s="610"/>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c r="AN600" s="610"/>
      <c r="AO600" s="610"/>
      <c r="AP600" s="610"/>
      <c r="AQ600" s="610"/>
    </row>
    <row r="601" spans="2:43" s="609" customFormat="1">
      <c r="B601" s="610"/>
      <c r="C601" s="610"/>
      <c r="D601" s="610"/>
      <c r="E601" s="610"/>
      <c r="F601" s="610"/>
      <c r="G601" s="610"/>
      <c r="H601" s="610"/>
      <c r="I601" s="610"/>
      <c r="J601" s="610"/>
      <c r="L601" s="610"/>
      <c r="M601" s="610"/>
      <c r="N601" s="610"/>
      <c r="O601" s="610"/>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c r="AN601" s="610"/>
      <c r="AO601" s="610"/>
      <c r="AP601" s="610"/>
      <c r="AQ601" s="610"/>
    </row>
    <row r="602" spans="2:43" s="609" customFormat="1">
      <c r="B602" s="610"/>
      <c r="C602" s="610"/>
      <c r="D602" s="610"/>
      <c r="E602" s="610"/>
      <c r="F602" s="610"/>
      <c r="G602" s="610"/>
      <c r="H602" s="610"/>
      <c r="I602" s="610"/>
      <c r="J602" s="610"/>
      <c r="L602" s="610"/>
      <c r="M602" s="610"/>
      <c r="N602" s="610"/>
      <c r="O602" s="610"/>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c r="AN602" s="610"/>
      <c r="AO602" s="610"/>
      <c r="AP602" s="610"/>
      <c r="AQ602" s="610"/>
    </row>
    <row r="603" spans="2:43" s="609" customFormat="1">
      <c r="B603" s="610"/>
      <c r="C603" s="610"/>
      <c r="D603" s="610"/>
      <c r="E603" s="610"/>
      <c r="F603" s="610"/>
      <c r="G603" s="610"/>
      <c r="H603" s="610"/>
      <c r="I603" s="610"/>
      <c r="J603" s="610"/>
      <c r="L603" s="610"/>
      <c r="M603" s="610"/>
      <c r="N603" s="610"/>
      <c r="O603" s="610"/>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c r="AN603" s="610"/>
      <c r="AO603" s="610"/>
      <c r="AP603" s="610"/>
      <c r="AQ603" s="610"/>
    </row>
    <row r="604" spans="2:43" s="609" customFormat="1">
      <c r="B604" s="610"/>
      <c r="C604" s="610"/>
      <c r="D604" s="610"/>
      <c r="E604" s="610"/>
      <c r="F604" s="610"/>
      <c r="G604" s="610"/>
      <c r="H604" s="610"/>
      <c r="I604" s="610"/>
      <c r="J604" s="610"/>
      <c r="L604" s="610"/>
      <c r="M604" s="610"/>
      <c r="N604" s="610"/>
      <c r="O604" s="610"/>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c r="AN604" s="610"/>
      <c r="AO604" s="610"/>
      <c r="AP604" s="610"/>
      <c r="AQ604" s="610"/>
    </row>
    <row r="605" spans="2:43" s="609" customFormat="1">
      <c r="B605" s="610"/>
      <c r="C605" s="610"/>
      <c r="D605" s="610"/>
      <c r="E605" s="610"/>
      <c r="F605" s="610"/>
      <c r="G605" s="610"/>
      <c r="H605" s="610"/>
      <c r="I605" s="610"/>
      <c r="J605" s="610"/>
      <c r="L605" s="610"/>
      <c r="M605" s="610"/>
      <c r="N605" s="610"/>
      <c r="O605" s="610"/>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c r="AN605" s="610"/>
      <c r="AO605" s="610"/>
      <c r="AP605" s="610"/>
      <c r="AQ605" s="610"/>
    </row>
    <row r="606" spans="2:43" s="609" customFormat="1">
      <c r="B606" s="610"/>
      <c r="C606" s="610"/>
      <c r="D606" s="610"/>
      <c r="E606" s="610"/>
      <c r="F606" s="610"/>
      <c r="G606" s="610"/>
      <c r="H606" s="610"/>
      <c r="I606" s="610"/>
      <c r="J606" s="610"/>
      <c r="L606" s="610"/>
      <c r="M606" s="610"/>
      <c r="N606" s="610"/>
      <c r="O606" s="610"/>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c r="AN606" s="610"/>
      <c r="AO606" s="610"/>
      <c r="AP606" s="610"/>
      <c r="AQ606" s="610"/>
    </row>
    <row r="607" spans="2:43" s="609" customFormat="1">
      <c r="B607" s="610"/>
      <c r="C607" s="610"/>
      <c r="D607" s="610"/>
      <c r="E607" s="610"/>
      <c r="F607" s="610"/>
      <c r="G607" s="610"/>
      <c r="H607" s="610"/>
      <c r="I607" s="610"/>
      <c r="J607" s="610"/>
      <c r="L607" s="610"/>
      <c r="M607" s="610"/>
      <c r="N607" s="610"/>
      <c r="O607" s="610"/>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c r="AN607" s="610"/>
      <c r="AO607" s="610"/>
      <c r="AP607" s="610"/>
      <c r="AQ607" s="610"/>
    </row>
    <row r="608" spans="2:43" s="609" customFormat="1">
      <c r="B608" s="610"/>
      <c r="C608" s="610"/>
      <c r="D608" s="610"/>
      <c r="E608" s="610"/>
      <c r="F608" s="610"/>
      <c r="G608" s="610"/>
      <c r="H608" s="610"/>
      <c r="I608" s="610"/>
      <c r="J608" s="610"/>
      <c r="L608" s="610"/>
      <c r="M608" s="610"/>
      <c r="N608" s="610"/>
      <c r="O608" s="610"/>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c r="AN608" s="610"/>
      <c r="AO608" s="610"/>
      <c r="AP608" s="610"/>
      <c r="AQ608" s="610"/>
    </row>
    <row r="609" spans="2:43" s="609" customFormat="1">
      <c r="B609" s="610"/>
      <c r="C609" s="610"/>
      <c r="D609" s="610"/>
      <c r="E609" s="610"/>
      <c r="F609" s="610"/>
      <c r="G609" s="610"/>
      <c r="H609" s="610"/>
      <c r="I609" s="610"/>
      <c r="J609" s="610"/>
      <c r="L609" s="610"/>
      <c r="M609" s="610"/>
      <c r="N609" s="610"/>
      <c r="O609" s="610"/>
      <c r="P609" s="610"/>
      <c r="Q609" s="610"/>
      <c r="R609" s="610"/>
      <c r="S609" s="610"/>
      <c r="T609" s="610"/>
      <c r="U609" s="610"/>
      <c r="V609" s="610"/>
      <c r="W609" s="610"/>
      <c r="X609" s="610"/>
      <c r="Y609" s="610"/>
      <c r="Z609" s="610"/>
      <c r="AA609" s="610"/>
      <c r="AB609" s="610"/>
      <c r="AC609" s="610"/>
      <c r="AD609" s="610"/>
      <c r="AE609" s="610"/>
      <c r="AF609" s="610"/>
      <c r="AG609" s="610"/>
      <c r="AH609" s="610"/>
      <c r="AI609" s="610"/>
      <c r="AJ609" s="610"/>
      <c r="AK609" s="610"/>
      <c r="AL609" s="610"/>
      <c r="AM609" s="610"/>
      <c r="AN609" s="610"/>
      <c r="AO609" s="610"/>
      <c r="AP609" s="610"/>
      <c r="AQ609" s="610"/>
    </row>
    <row r="610" spans="2:43" s="609" customFormat="1">
      <c r="B610" s="610"/>
      <c r="C610" s="610"/>
      <c r="D610" s="610"/>
      <c r="E610" s="610"/>
      <c r="F610" s="610"/>
      <c r="G610" s="610"/>
      <c r="H610" s="610"/>
      <c r="I610" s="610"/>
      <c r="J610" s="610"/>
      <c r="L610" s="610"/>
      <c r="M610" s="610"/>
      <c r="N610" s="610"/>
      <c r="O610" s="610"/>
      <c r="P610" s="610"/>
      <c r="Q610" s="610"/>
      <c r="R610" s="610"/>
      <c r="S610" s="610"/>
      <c r="T610" s="610"/>
      <c r="U610" s="610"/>
      <c r="V610" s="610"/>
      <c r="W610" s="610"/>
      <c r="X610" s="610"/>
      <c r="Y610" s="610"/>
      <c r="Z610" s="610"/>
      <c r="AA610" s="610"/>
      <c r="AB610" s="610"/>
      <c r="AC610" s="610"/>
      <c r="AD610" s="610"/>
      <c r="AE610" s="610"/>
      <c r="AF610" s="610"/>
      <c r="AG610" s="610"/>
      <c r="AH610" s="610"/>
      <c r="AI610" s="610"/>
      <c r="AJ610" s="610"/>
      <c r="AK610" s="610"/>
      <c r="AL610" s="610"/>
      <c r="AM610" s="610"/>
      <c r="AN610" s="610"/>
      <c r="AO610" s="610"/>
      <c r="AP610" s="610"/>
      <c r="AQ610" s="610"/>
    </row>
    <row r="611" spans="2:43" s="609" customFormat="1">
      <c r="B611" s="610"/>
      <c r="C611" s="610"/>
      <c r="D611" s="610"/>
      <c r="E611" s="610"/>
      <c r="F611" s="610"/>
      <c r="G611" s="610"/>
      <c r="H611" s="610"/>
      <c r="I611" s="610"/>
      <c r="J611" s="610"/>
      <c r="L611" s="610"/>
      <c r="M611" s="610"/>
      <c r="N611" s="610"/>
      <c r="O611" s="610"/>
      <c r="P611" s="610"/>
      <c r="Q611" s="610"/>
      <c r="R611" s="610"/>
      <c r="S611" s="610"/>
      <c r="T611" s="610"/>
      <c r="U611" s="610"/>
      <c r="V611" s="610"/>
      <c r="W611" s="610"/>
      <c r="X611" s="610"/>
      <c r="Y611" s="610"/>
      <c r="Z611" s="610"/>
      <c r="AA611" s="610"/>
      <c r="AB611" s="610"/>
      <c r="AC611" s="610"/>
      <c r="AD611" s="610"/>
      <c r="AE611" s="610"/>
      <c r="AF611" s="610"/>
      <c r="AG611" s="610"/>
      <c r="AH611" s="610"/>
      <c r="AI611" s="610"/>
      <c r="AJ611" s="610"/>
      <c r="AK611" s="610"/>
      <c r="AL611" s="610"/>
      <c r="AM611" s="610"/>
      <c r="AN611" s="610"/>
      <c r="AO611" s="610"/>
      <c r="AP611" s="610"/>
      <c r="AQ611" s="610"/>
    </row>
    <row r="612" spans="2:43" s="609" customFormat="1">
      <c r="B612" s="610"/>
      <c r="C612" s="610"/>
      <c r="D612" s="610"/>
      <c r="E612" s="610"/>
      <c r="F612" s="610"/>
      <c r="G612" s="610"/>
      <c r="H612" s="610"/>
      <c r="I612" s="610"/>
      <c r="J612" s="610"/>
      <c r="L612" s="610"/>
      <c r="M612" s="610"/>
      <c r="N612" s="610"/>
      <c r="O612" s="610"/>
      <c r="P612" s="610"/>
      <c r="Q612" s="610"/>
      <c r="R612" s="610"/>
      <c r="S612" s="610"/>
      <c r="T612" s="610"/>
      <c r="U612" s="610"/>
      <c r="V612" s="610"/>
      <c r="W612" s="610"/>
      <c r="X612" s="610"/>
      <c r="Y612" s="610"/>
      <c r="Z612" s="610"/>
      <c r="AA612" s="610"/>
      <c r="AB612" s="610"/>
      <c r="AC612" s="610"/>
      <c r="AD612" s="610"/>
      <c r="AE612" s="610"/>
      <c r="AF612" s="610"/>
      <c r="AG612" s="610"/>
      <c r="AH612" s="610"/>
      <c r="AI612" s="610"/>
      <c r="AJ612" s="610"/>
      <c r="AK612" s="610"/>
      <c r="AL612" s="610"/>
      <c r="AM612" s="610"/>
      <c r="AN612" s="610"/>
      <c r="AO612" s="610"/>
      <c r="AP612" s="610"/>
      <c r="AQ612" s="610"/>
    </row>
    <row r="613" spans="2:43" s="609" customFormat="1">
      <c r="B613" s="610"/>
      <c r="C613" s="610"/>
      <c r="D613" s="610"/>
      <c r="E613" s="610"/>
      <c r="F613" s="610"/>
      <c r="G613" s="610"/>
      <c r="H613" s="610"/>
      <c r="I613" s="610"/>
      <c r="J613" s="610"/>
      <c r="L613" s="610"/>
      <c r="M613" s="610"/>
      <c r="N613" s="610"/>
      <c r="O613" s="610"/>
      <c r="P613" s="610"/>
      <c r="Q613" s="610"/>
      <c r="R613" s="610"/>
      <c r="S613" s="610"/>
      <c r="T613" s="610"/>
      <c r="U613" s="610"/>
      <c r="V613" s="610"/>
      <c r="W613" s="610"/>
      <c r="X613" s="610"/>
      <c r="Y613" s="610"/>
      <c r="Z613" s="610"/>
      <c r="AA613" s="610"/>
      <c r="AB613" s="610"/>
      <c r="AC613" s="610"/>
      <c r="AD613" s="610"/>
      <c r="AE613" s="610"/>
      <c r="AF613" s="610"/>
      <c r="AG613" s="610"/>
      <c r="AH613" s="610"/>
      <c r="AI613" s="610"/>
      <c r="AJ613" s="610"/>
      <c r="AK613" s="610"/>
      <c r="AL613" s="610"/>
      <c r="AM613" s="610"/>
      <c r="AN613" s="610"/>
      <c r="AO613" s="610"/>
      <c r="AP613" s="610"/>
      <c r="AQ613" s="610"/>
    </row>
    <row r="614" spans="2:43" s="609" customFormat="1">
      <c r="B614" s="610"/>
      <c r="C614" s="610"/>
      <c r="D614" s="610"/>
      <c r="E614" s="610"/>
      <c r="F614" s="610"/>
      <c r="G614" s="610"/>
      <c r="H614" s="610"/>
      <c r="I614" s="610"/>
      <c r="J614" s="610"/>
      <c r="L614" s="610"/>
      <c r="M614" s="610"/>
      <c r="N614" s="610"/>
      <c r="O614" s="610"/>
      <c r="P614" s="610"/>
      <c r="Q614" s="610"/>
      <c r="R614" s="610"/>
      <c r="S614" s="610"/>
      <c r="T614" s="610"/>
      <c r="U614" s="610"/>
      <c r="V614" s="610"/>
      <c r="W614" s="610"/>
      <c r="X614" s="610"/>
      <c r="Y614" s="610"/>
      <c r="Z614" s="610"/>
      <c r="AA614" s="610"/>
      <c r="AB614" s="610"/>
      <c r="AC614" s="610"/>
      <c r="AD614" s="610"/>
      <c r="AE614" s="610"/>
      <c r="AF614" s="610"/>
      <c r="AG614" s="610"/>
      <c r="AH614" s="610"/>
      <c r="AI614" s="610"/>
      <c r="AJ614" s="610"/>
      <c r="AK614" s="610"/>
      <c r="AL614" s="610"/>
      <c r="AM614" s="610"/>
      <c r="AN614" s="610"/>
      <c r="AO614" s="610"/>
      <c r="AP614" s="610"/>
      <c r="AQ614" s="610"/>
    </row>
    <row r="615" spans="2:43" s="609" customFormat="1">
      <c r="B615" s="610"/>
      <c r="C615" s="610"/>
      <c r="D615" s="610"/>
      <c r="E615" s="610"/>
      <c r="F615" s="610"/>
      <c r="G615" s="610"/>
      <c r="H615" s="610"/>
      <c r="I615" s="610"/>
      <c r="J615" s="610"/>
      <c r="L615" s="610"/>
      <c r="M615" s="610"/>
      <c r="N615" s="610"/>
      <c r="O615" s="610"/>
      <c r="P615" s="610"/>
      <c r="Q615" s="610"/>
      <c r="R615" s="610"/>
      <c r="S615" s="610"/>
      <c r="T615" s="610"/>
      <c r="U615" s="610"/>
      <c r="V615" s="610"/>
      <c r="W615" s="610"/>
      <c r="X615" s="610"/>
      <c r="Y615" s="610"/>
      <c r="Z615" s="610"/>
      <c r="AA615" s="610"/>
      <c r="AB615" s="610"/>
      <c r="AC615" s="610"/>
      <c r="AD615" s="610"/>
      <c r="AE615" s="610"/>
      <c r="AF615" s="610"/>
      <c r="AG615" s="610"/>
      <c r="AH615" s="610"/>
      <c r="AI615" s="610"/>
      <c r="AJ615" s="610"/>
      <c r="AK615" s="610"/>
      <c r="AL615" s="610"/>
      <c r="AM615" s="610"/>
      <c r="AN615" s="610"/>
      <c r="AO615" s="610"/>
      <c r="AP615" s="610"/>
      <c r="AQ615" s="610"/>
    </row>
    <row r="616" spans="2:43" s="609" customFormat="1">
      <c r="B616" s="610"/>
      <c r="C616" s="610"/>
      <c r="D616" s="610"/>
      <c r="E616" s="610"/>
      <c r="F616" s="610"/>
      <c r="G616" s="610"/>
      <c r="H616" s="610"/>
      <c r="I616" s="610"/>
      <c r="J616" s="610"/>
      <c r="L616" s="610"/>
      <c r="M616" s="610"/>
      <c r="N616" s="610"/>
      <c r="O616" s="610"/>
      <c r="P616" s="610"/>
      <c r="Q616" s="610"/>
      <c r="R616" s="610"/>
      <c r="S616" s="610"/>
      <c r="T616" s="610"/>
      <c r="U616" s="610"/>
      <c r="V616" s="610"/>
      <c r="W616" s="610"/>
      <c r="X616" s="610"/>
      <c r="Y616" s="610"/>
      <c r="Z616" s="610"/>
      <c r="AA616" s="610"/>
      <c r="AB616" s="610"/>
      <c r="AC616" s="610"/>
      <c r="AD616" s="610"/>
      <c r="AE616" s="610"/>
      <c r="AF616" s="610"/>
      <c r="AG616" s="610"/>
      <c r="AH616" s="610"/>
      <c r="AI616" s="610"/>
      <c r="AJ616" s="610"/>
      <c r="AK616" s="610"/>
      <c r="AL616" s="610"/>
      <c r="AM616" s="610"/>
      <c r="AN616" s="610"/>
      <c r="AO616" s="610"/>
      <c r="AP616" s="610"/>
      <c r="AQ616" s="610"/>
    </row>
    <row r="617" spans="2:43" s="609" customFormat="1">
      <c r="B617" s="610"/>
      <c r="C617" s="610"/>
      <c r="D617" s="610"/>
      <c r="E617" s="610"/>
      <c r="F617" s="610"/>
      <c r="G617" s="610"/>
      <c r="H617" s="610"/>
      <c r="I617" s="610"/>
      <c r="J617" s="610"/>
      <c r="L617" s="610"/>
      <c r="M617" s="610"/>
      <c r="N617" s="610"/>
      <c r="O617" s="610"/>
      <c r="P617" s="610"/>
      <c r="Q617" s="610"/>
      <c r="R617" s="610"/>
      <c r="S617" s="610"/>
      <c r="T617" s="610"/>
      <c r="U617" s="610"/>
      <c r="V617" s="610"/>
      <c r="W617" s="610"/>
      <c r="X617" s="610"/>
      <c r="Y617" s="610"/>
      <c r="Z617" s="610"/>
      <c r="AA617" s="610"/>
      <c r="AB617" s="610"/>
      <c r="AC617" s="610"/>
      <c r="AD617" s="610"/>
      <c r="AE617" s="610"/>
      <c r="AF617" s="610"/>
      <c r="AG617" s="610"/>
      <c r="AH617" s="610"/>
      <c r="AI617" s="610"/>
      <c r="AJ617" s="610"/>
      <c r="AK617" s="610"/>
      <c r="AL617" s="610"/>
      <c r="AM617" s="610"/>
      <c r="AN617" s="610"/>
      <c r="AO617" s="610"/>
      <c r="AP617" s="610"/>
      <c r="AQ617" s="610"/>
    </row>
    <row r="618" spans="2:43" s="609" customFormat="1">
      <c r="B618" s="610"/>
      <c r="C618" s="610"/>
      <c r="D618" s="610"/>
      <c r="E618" s="610"/>
      <c r="F618" s="610"/>
      <c r="G618" s="610"/>
      <c r="H618" s="610"/>
      <c r="I618" s="610"/>
      <c r="J618" s="610"/>
      <c r="L618" s="610"/>
      <c r="M618" s="610"/>
      <c r="N618" s="610"/>
      <c r="O618" s="610"/>
      <c r="P618" s="610"/>
      <c r="Q618" s="610"/>
      <c r="R618" s="610"/>
      <c r="S618" s="610"/>
      <c r="T618" s="610"/>
      <c r="U618" s="610"/>
      <c r="V618" s="610"/>
      <c r="W618" s="610"/>
      <c r="X618" s="610"/>
      <c r="Y618" s="610"/>
      <c r="Z618" s="610"/>
      <c r="AA618" s="610"/>
      <c r="AB618" s="610"/>
      <c r="AC618" s="610"/>
      <c r="AD618" s="610"/>
      <c r="AE618" s="610"/>
      <c r="AF618" s="610"/>
      <c r="AG618" s="610"/>
      <c r="AH618" s="610"/>
      <c r="AI618" s="610"/>
      <c r="AJ618" s="610"/>
      <c r="AK618" s="610"/>
      <c r="AL618" s="610"/>
      <c r="AM618" s="610"/>
      <c r="AN618" s="610"/>
      <c r="AO618" s="610"/>
      <c r="AP618" s="610"/>
      <c r="AQ618" s="610"/>
    </row>
    <row r="619" spans="2:43" s="609" customFormat="1">
      <c r="B619" s="610"/>
      <c r="C619" s="610"/>
      <c r="D619" s="610"/>
      <c r="E619" s="610"/>
      <c r="F619" s="610"/>
      <c r="G619" s="610"/>
      <c r="H619" s="610"/>
      <c r="I619" s="610"/>
      <c r="J619" s="610"/>
      <c r="L619" s="610"/>
      <c r="M619" s="610"/>
      <c r="N619" s="610"/>
      <c r="O619" s="610"/>
      <c r="P619" s="610"/>
      <c r="Q619" s="610"/>
      <c r="R619" s="610"/>
      <c r="S619" s="610"/>
      <c r="T619" s="610"/>
      <c r="U619" s="610"/>
      <c r="V619" s="610"/>
      <c r="W619" s="610"/>
      <c r="X619" s="610"/>
      <c r="Y619" s="610"/>
      <c r="Z619" s="610"/>
      <c r="AA619" s="610"/>
      <c r="AB619" s="610"/>
      <c r="AC619" s="610"/>
      <c r="AD619" s="610"/>
      <c r="AE619" s="610"/>
      <c r="AF619" s="610"/>
      <c r="AG619" s="610"/>
      <c r="AH619" s="610"/>
      <c r="AI619" s="610"/>
      <c r="AJ619" s="610"/>
      <c r="AK619" s="610"/>
      <c r="AL619" s="610"/>
      <c r="AM619" s="610"/>
      <c r="AN619" s="610"/>
      <c r="AO619" s="610"/>
      <c r="AP619" s="610"/>
      <c r="AQ619" s="610"/>
    </row>
    <row r="620" spans="2:43" s="609" customFormat="1">
      <c r="B620" s="610"/>
      <c r="C620" s="610"/>
      <c r="D620" s="610"/>
      <c r="E620" s="610"/>
      <c r="F620" s="610"/>
      <c r="G620" s="610"/>
      <c r="H620" s="610"/>
      <c r="I620" s="610"/>
      <c r="J620" s="610"/>
      <c r="L620" s="610"/>
      <c r="M620" s="610"/>
      <c r="N620" s="610"/>
      <c r="O620" s="610"/>
      <c r="P620" s="610"/>
      <c r="Q620" s="610"/>
      <c r="R620" s="610"/>
      <c r="S620" s="610"/>
      <c r="T620" s="610"/>
      <c r="U620" s="610"/>
      <c r="V620" s="610"/>
      <c r="W620" s="610"/>
      <c r="X620" s="610"/>
      <c r="Y620" s="610"/>
      <c r="Z620" s="610"/>
      <c r="AA620" s="610"/>
      <c r="AB620" s="610"/>
      <c r="AC620" s="610"/>
      <c r="AD620" s="610"/>
      <c r="AE620" s="610"/>
      <c r="AF620" s="610"/>
      <c r="AG620" s="610"/>
      <c r="AH620" s="610"/>
      <c r="AI620" s="610"/>
      <c r="AJ620" s="610"/>
      <c r="AK620" s="610"/>
      <c r="AL620" s="610"/>
      <c r="AM620" s="610"/>
      <c r="AN620" s="610"/>
      <c r="AO620" s="610"/>
      <c r="AP620" s="610"/>
      <c r="AQ620" s="610"/>
    </row>
    <row r="621" spans="2:43" s="609" customFormat="1">
      <c r="B621" s="610"/>
      <c r="C621" s="610"/>
      <c r="D621" s="610"/>
      <c r="E621" s="610"/>
      <c r="F621" s="610"/>
      <c r="G621" s="610"/>
      <c r="H621" s="610"/>
      <c r="I621" s="610"/>
      <c r="J621" s="610"/>
      <c r="L621" s="610"/>
      <c r="M621" s="610"/>
      <c r="N621" s="610"/>
      <c r="O621" s="610"/>
      <c r="P621" s="610"/>
      <c r="Q621" s="610"/>
      <c r="R621" s="610"/>
      <c r="S621" s="610"/>
      <c r="T621" s="610"/>
      <c r="U621" s="610"/>
      <c r="V621" s="610"/>
      <c r="W621" s="610"/>
      <c r="X621" s="610"/>
      <c r="Y621" s="610"/>
      <c r="Z621" s="610"/>
      <c r="AA621" s="610"/>
      <c r="AB621" s="610"/>
      <c r="AC621" s="610"/>
      <c r="AD621" s="610"/>
      <c r="AE621" s="610"/>
      <c r="AF621" s="610"/>
      <c r="AG621" s="610"/>
      <c r="AH621" s="610"/>
      <c r="AI621" s="610"/>
      <c r="AJ621" s="610"/>
      <c r="AK621" s="610"/>
      <c r="AL621" s="610"/>
      <c r="AM621" s="610"/>
      <c r="AN621" s="610"/>
      <c r="AO621" s="610"/>
      <c r="AP621" s="610"/>
      <c r="AQ621" s="610"/>
    </row>
    <row r="622" spans="2:43" s="609" customFormat="1">
      <c r="B622" s="610"/>
      <c r="C622" s="610"/>
      <c r="D622" s="610"/>
      <c r="E622" s="610"/>
      <c r="F622" s="610"/>
      <c r="G622" s="610"/>
      <c r="H622" s="610"/>
      <c r="I622" s="610"/>
      <c r="J622" s="610"/>
      <c r="L622" s="610"/>
      <c r="M622" s="610"/>
      <c r="N622" s="610"/>
      <c r="O622" s="610"/>
      <c r="P622" s="610"/>
      <c r="Q622" s="610"/>
      <c r="R622" s="610"/>
      <c r="S622" s="610"/>
      <c r="T622" s="610"/>
      <c r="U622" s="610"/>
      <c r="V622" s="610"/>
      <c r="W622" s="610"/>
      <c r="X622" s="610"/>
      <c r="Y622" s="610"/>
      <c r="Z622" s="610"/>
      <c r="AA622" s="610"/>
      <c r="AB622" s="610"/>
      <c r="AC622" s="610"/>
      <c r="AD622" s="610"/>
      <c r="AE622" s="610"/>
      <c r="AF622" s="610"/>
      <c r="AG622" s="610"/>
      <c r="AH622" s="610"/>
      <c r="AI622" s="610"/>
      <c r="AJ622" s="610"/>
      <c r="AK622" s="610"/>
      <c r="AL622" s="610"/>
      <c r="AM622" s="610"/>
      <c r="AN622" s="610"/>
      <c r="AO622" s="610"/>
      <c r="AP622" s="610"/>
      <c r="AQ622" s="610"/>
    </row>
    <row r="623" spans="2:43" s="609" customFormat="1">
      <c r="B623" s="610"/>
      <c r="C623" s="610"/>
      <c r="D623" s="610"/>
      <c r="E623" s="610"/>
      <c r="F623" s="610"/>
      <c r="G623" s="610"/>
      <c r="H623" s="610"/>
      <c r="I623" s="610"/>
      <c r="J623" s="610"/>
      <c r="L623" s="610"/>
      <c r="M623" s="610"/>
      <c r="N623" s="610"/>
      <c r="O623" s="610"/>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c r="AN623" s="610"/>
      <c r="AO623" s="610"/>
      <c r="AP623" s="610"/>
      <c r="AQ623" s="610"/>
    </row>
    <row r="624" spans="2:43" s="609" customFormat="1">
      <c r="B624" s="610"/>
      <c r="C624" s="610"/>
      <c r="D624" s="610"/>
      <c r="E624" s="610"/>
      <c r="F624" s="610"/>
      <c r="G624" s="610"/>
      <c r="H624" s="610"/>
      <c r="I624" s="610"/>
      <c r="J624" s="610"/>
      <c r="L624" s="610"/>
      <c r="M624" s="610"/>
      <c r="N624" s="610"/>
      <c r="O624" s="610"/>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c r="AN624" s="610"/>
      <c r="AO624" s="610"/>
      <c r="AP624" s="610"/>
      <c r="AQ624" s="610"/>
    </row>
    <row r="625" spans="2:43" s="609" customFormat="1">
      <c r="B625" s="610"/>
      <c r="C625" s="610"/>
      <c r="D625" s="610"/>
      <c r="E625" s="610"/>
      <c r="F625" s="610"/>
      <c r="G625" s="610"/>
      <c r="H625" s="610"/>
      <c r="I625" s="610"/>
      <c r="J625" s="610"/>
      <c r="L625" s="610"/>
      <c r="M625" s="610"/>
      <c r="N625" s="610"/>
      <c r="O625" s="610"/>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c r="AN625" s="610"/>
      <c r="AO625" s="610"/>
      <c r="AP625" s="610"/>
      <c r="AQ625" s="610"/>
    </row>
    <row r="626" spans="2:43" s="609" customFormat="1">
      <c r="B626" s="610"/>
      <c r="C626" s="610"/>
      <c r="D626" s="610"/>
      <c r="E626" s="610"/>
      <c r="F626" s="610"/>
      <c r="G626" s="610"/>
      <c r="H626" s="610"/>
      <c r="I626" s="610"/>
      <c r="J626" s="610"/>
      <c r="L626" s="610"/>
      <c r="M626" s="610"/>
      <c r="N626" s="610"/>
      <c r="O626" s="610"/>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c r="AN626" s="610"/>
      <c r="AO626" s="610"/>
      <c r="AP626" s="610"/>
      <c r="AQ626" s="610"/>
    </row>
    <row r="627" spans="2:43" s="609" customFormat="1">
      <c r="B627" s="610"/>
      <c r="C627" s="610"/>
      <c r="D627" s="610"/>
      <c r="E627" s="610"/>
      <c r="F627" s="610"/>
      <c r="G627" s="610"/>
      <c r="H627" s="610"/>
      <c r="I627" s="610"/>
      <c r="J627" s="610"/>
      <c r="L627" s="610"/>
      <c r="M627" s="610"/>
      <c r="N627" s="610"/>
      <c r="O627" s="610"/>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c r="AN627" s="610"/>
      <c r="AO627" s="610"/>
      <c r="AP627" s="610"/>
      <c r="AQ627" s="610"/>
    </row>
    <row r="628" spans="2:43" s="609" customFormat="1">
      <c r="B628" s="610"/>
      <c r="C628" s="610"/>
      <c r="D628" s="610"/>
      <c r="E628" s="610"/>
      <c r="F628" s="610"/>
      <c r="G628" s="610"/>
      <c r="H628" s="610"/>
      <c r="I628" s="610"/>
      <c r="J628" s="610"/>
      <c r="L628" s="610"/>
      <c r="M628" s="610"/>
      <c r="N628" s="610"/>
      <c r="O628" s="610"/>
      <c r="P628" s="610"/>
      <c r="Q628" s="610"/>
      <c r="R628" s="610"/>
      <c r="S628" s="610"/>
      <c r="T628" s="610"/>
      <c r="U628" s="610"/>
      <c r="V628" s="610"/>
      <c r="W628" s="610"/>
      <c r="X628" s="610"/>
      <c r="Y628" s="610"/>
      <c r="Z628" s="610"/>
      <c r="AA628" s="610"/>
      <c r="AB628" s="610"/>
      <c r="AC628" s="610"/>
      <c r="AD628" s="610"/>
      <c r="AE628" s="610"/>
      <c r="AF628" s="610"/>
      <c r="AG628" s="610"/>
      <c r="AH628" s="610"/>
      <c r="AI628" s="610"/>
      <c r="AJ628" s="610"/>
      <c r="AK628" s="610"/>
      <c r="AL628" s="610"/>
      <c r="AM628" s="610"/>
      <c r="AN628" s="610"/>
      <c r="AO628" s="610"/>
      <c r="AP628" s="610"/>
      <c r="AQ628" s="610"/>
    </row>
    <row r="629" spans="2:43" s="609" customFormat="1">
      <c r="B629" s="610"/>
      <c r="C629" s="610"/>
      <c r="D629" s="610"/>
      <c r="E629" s="610"/>
      <c r="F629" s="610"/>
      <c r="G629" s="610"/>
      <c r="H629" s="610"/>
      <c r="I629" s="610"/>
      <c r="J629" s="610"/>
      <c r="L629" s="610"/>
      <c r="M629" s="610"/>
      <c r="N629" s="610"/>
      <c r="O629" s="610"/>
      <c r="P629" s="610"/>
      <c r="Q629" s="610"/>
      <c r="R629" s="610"/>
      <c r="S629" s="610"/>
      <c r="T629" s="610"/>
      <c r="U629" s="610"/>
      <c r="V629" s="610"/>
      <c r="W629" s="610"/>
      <c r="X629" s="610"/>
      <c r="Y629" s="610"/>
      <c r="Z629" s="610"/>
      <c r="AA629" s="610"/>
      <c r="AB629" s="610"/>
      <c r="AC629" s="610"/>
      <c r="AD629" s="610"/>
      <c r="AE629" s="610"/>
      <c r="AF629" s="610"/>
      <c r="AG629" s="610"/>
      <c r="AH629" s="610"/>
      <c r="AI629" s="610"/>
      <c r="AJ629" s="610"/>
      <c r="AK629" s="610"/>
      <c r="AL629" s="610"/>
      <c r="AM629" s="610"/>
      <c r="AN629" s="610"/>
      <c r="AO629" s="610"/>
      <c r="AP629" s="610"/>
      <c r="AQ629" s="610"/>
    </row>
    <row r="630" spans="2:43" s="609" customFormat="1">
      <c r="B630" s="610"/>
      <c r="C630" s="610"/>
      <c r="D630" s="610"/>
      <c r="E630" s="610"/>
      <c r="F630" s="610"/>
      <c r="G630" s="610"/>
      <c r="H630" s="610"/>
      <c r="I630" s="610"/>
      <c r="J630" s="610"/>
      <c r="L630" s="610"/>
      <c r="M630" s="610"/>
      <c r="N630" s="610"/>
      <c r="O630" s="610"/>
      <c r="P630" s="610"/>
      <c r="Q630" s="610"/>
      <c r="R630" s="610"/>
      <c r="S630" s="610"/>
      <c r="T630" s="610"/>
      <c r="U630" s="610"/>
      <c r="V630" s="610"/>
      <c r="W630" s="610"/>
      <c r="X630" s="610"/>
      <c r="Y630" s="610"/>
      <c r="Z630" s="610"/>
      <c r="AA630" s="610"/>
      <c r="AB630" s="610"/>
      <c r="AC630" s="610"/>
      <c r="AD630" s="610"/>
      <c r="AE630" s="610"/>
      <c r="AF630" s="610"/>
      <c r="AG630" s="610"/>
      <c r="AH630" s="610"/>
      <c r="AI630" s="610"/>
      <c r="AJ630" s="610"/>
      <c r="AK630" s="610"/>
      <c r="AL630" s="610"/>
      <c r="AM630" s="610"/>
      <c r="AN630" s="610"/>
      <c r="AO630" s="610"/>
      <c r="AP630" s="610"/>
      <c r="AQ630" s="610"/>
    </row>
    <row r="631" spans="2:43" s="609" customFormat="1">
      <c r="B631" s="610"/>
      <c r="C631" s="610"/>
      <c r="D631" s="610"/>
      <c r="E631" s="610"/>
      <c r="F631" s="610"/>
      <c r="G631" s="610"/>
      <c r="H631" s="610"/>
      <c r="I631" s="610"/>
      <c r="J631" s="610"/>
      <c r="L631" s="610"/>
      <c r="M631" s="610"/>
      <c r="N631" s="610"/>
      <c r="O631" s="610"/>
      <c r="P631" s="610"/>
      <c r="Q631" s="610"/>
      <c r="R631" s="610"/>
      <c r="S631" s="610"/>
      <c r="T631" s="610"/>
      <c r="U631" s="610"/>
      <c r="V631" s="610"/>
      <c r="W631" s="610"/>
      <c r="X631" s="610"/>
      <c r="Y631" s="610"/>
      <c r="Z631" s="610"/>
      <c r="AA631" s="610"/>
      <c r="AB631" s="610"/>
      <c r="AC631" s="610"/>
      <c r="AD631" s="610"/>
      <c r="AE631" s="610"/>
      <c r="AF631" s="610"/>
      <c r="AG631" s="610"/>
      <c r="AH631" s="610"/>
      <c r="AI631" s="610"/>
      <c r="AJ631" s="610"/>
      <c r="AK631" s="610"/>
      <c r="AL631" s="610"/>
      <c r="AM631" s="610"/>
      <c r="AN631" s="610"/>
      <c r="AO631" s="610"/>
      <c r="AP631" s="610"/>
      <c r="AQ631" s="610"/>
    </row>
    <row r="632" spans="2:43" s="609" customFormat="1">
      <c r="B632" s="610"/>
      <c r="C632" s="610"/>
      <c r="D632" s="610"/>
      <c r="E632" s="610"/>
      <c r="F632" s="610"/>
      <c r="G632" s="610"/>
      <c r="H632" s="610"/>
      <c r="I632" s="610"/>
      <c r="J632" s="610"/>
      <c r="L632" s="610"/>
      <c r="M632" s="610"/>
      <c r="N632" s="610"/>
      <c r="O632" s="610"/>
      <c r="P632" s="610"/>
      <c r="Q632" s="610"/>
      <c r="R632" s="610"/>
      <c r="S632" s="610"/>
      <c r="T632" s="610"/>
      <c r="U632" s="610"/>
      <c r="V632" s="610"/>
      <c r="W632" s="610"/>
      <c r="X632" s="610"/>
      <c r="Y632" s="610"/>
      <c r="Z632" s="610"/>
      <c r="AA632" s="610"/>
      <c r="AB632" s="610"/>
      <c r="AC632" s="610"/>
      <c r="AD632" s="610"/>
      <c r="AE632" s="610"/>
      <c r="AF632" s="610"/>
      <c r="AG632" s="610"/>
      <c r="AH632" s="610"/>
      <c r="AI632" s="610"/>
      <c r="AJ632" s="610"/>
      <c r="AK632" s="610"/>
      <c r="AL632" s="610"/>
      <c r="AM632" s="610"/>
      <c r="AN632" s="610"/>
      <c r="AO632" s="610"/>
      <c r="AP632" s="610"/>
      <c r="AQ632" s="610"/>
    </row>
    <row r="633" spans="2:43" s="609" customFormat="1">
      <c r="B633" s="610"/>
      <c r="C633" s="610"/>
      <c r="D633" s="610"/>
      <c r="E633" s="610"/>
      <c r="F633" s="610"/>
      <c r="G633" s="610"/>
      <c r="H633" s="610"/>
      <c r="I633" s="610"/>
      <c r="J633" s="610"/>
      <c r="L633" s="610"/>
      <c r="M633" s="610"/>
      <c r="N633" s="610"/>
      <c r="O633" s="610"/>
      <c r="P633" s="610"/>
      <c r="Q633" s="610"/>
      <c r="R633" s="610"/>
      <c r="S633" s="610"/>
      <c r="T633" s="610"/>
      <c r="U633" s="610"/>
      <c r="V633" s="610"/>
      <c r="W633" s="610"/>
      <c r="X633" s="610"/>
      <c r="Y633" s="610"/>
      <c r="Z633" s="610"/>
      <c r="AA633" s="610"/>
      <c r="AB633" s="610"/>
      <c r="AC633" s="610"/>
      <c r="AD633" s="610"/>
      <c r="AE633" s="610"/>
      <c r="AF633" s="610"/>
      <c r="AG633" s="610"/>
      <c r="AH633" s="610"/>
      <c r="AI633" s="610"/>
      <c r="AJ633" s="610"/>
      <c r="AK633" s="610"/>
      <c r="AL633" s="610"/>
      <c r="AM633" s="610"/>
      <c r="AN633" s="610"/>
      <c r="AO633" s="610"/>
      <c r="AP633" s="610"/>
      <c r="AQ633" s="610"/>
    </row>
    <row r="634" spans="2:43" s="609" customFormat="1">
      <c r="B634" s="610"/>
      <c r="C634" s="610"/>
      <c r="D634" s="610"/>
      <c r="E634" s="610"/>
      <c r="F634" s="610"/>
      <c r="G634" s="610"/>
      <c r="H634" s="610"/>
      <c r="I634" s="610"/>
      <c r="J634" s="610"/>
      <c r="L634" s="610"/>
      <c r="M634" s="610"/>
      <c r="N634" s="610"/>
      <c r="O634" s="610"/>
      <c r="P634" s="610"/>
      <c r="Q634" s="610"/>
      <c r="R634" s="610"/>
      <c r="S634" s="610"/>
      <c r="T634" s="610"/>
      <c r="U634" s="610"/>
      <c r="V634" s="610"/>
      <c r="W634" s="610"/>
      <c r="X634" s="610"/>
      <c r="Y634" s="610"/>
      <c r="Z634" s="610"/>
      <c r="AA634" s="610"/>
      <c r="AB634" s="610"/>
      <c r="AC634" s="610"/>
      <c r="AD634" s="610"/>
      <c r="AE634" s="610"/>
      <c r="AF634" s="610"/>
      <c r="AG634" s="610"/>
      <c r="AH634" s="610"/>
      <c r="AI634" s="610"/>
      <c r="AJ634" s="610"/>
      <c r="AK634" s="610"/>
      <c r="AL634" s="610"/>
      <c r="AM634" s="610"/>
      <c r="AN634" s="610"/>
      <c r="AO634" s="610"/>
      <c r="AP634" s="610"/>
      <c r="AQ634" s="610"/>
    </row>
    <row r="635" spans="2:43" s="609" customFormat="1">
      <c r="B635" s="610"/>
      <c r="C635" s="610"/>
      <c r="D635" s="610"/>
      <c r="E635" s="610"/>
      <c r="F635" s="610"/>
      <c r="G635" s="610"/>
      <c r="H635" s="610"/>
      <c r="I635" s="610"/>
      <c r="J635" s="610"/>
      <c r="L635" s="610"/>
      <c r="M635" s="610"/>
      <c r="N635" s="610"/>
      <c r="O635" s="610"/>
      <c r="P635" s="610"/>
      <c r="Q635" s="610"/>
      <c r="R635" s="610"/>
      <c r="S635" s="610"/>
      <c r="T635" s="610"/>
      <c r="U635" s="610"/>
      <c r="V635" s="610"/>
      <c r="W635" s="610"/>
      <c r="X635" s="610"/>
      <c r="Y635" s="610"/>
      <c r="Z635" s="610"/>
      <c r="AA635" s="610"/>
      <c r="AB635" s="610"/>
      <c r="AC635" s="610"/>
      <c r="AD635" s="610"/>
      <c r="AE635" s="610"/>
      <c r="AF635" s="610"/>
      <c r="AG635" s="610"/>
      <c r="AH635" s="610"/>
      <c r="AI635" s="610"/>
      <c r="AJ635" s="610"/>
      <c r="AK635" s="610"/>
      <c r="AL635" s="610"/>
      <c r="AM635" s="610"/>
      <c r="AN635" s="610"/>
      <c r="AO635" s="610"/>
      <c r="AP635" s="610"/>
      <c r="AQ635" s="610"/>
    </row>
    <row r="636" spans="2:43" s="609" customFormat="1">
      <c r="B636" s="610"/>
      <c r="C636" s="610"/>
      <c r="D636" s="610"/>
      <c r="E636" s="610"/>
      <c r="F636" s="610"/>
      <c r="G636" s="610"/>
      <c r="H636" s="610"/>
      <c r="I636" s="610"/>
      <c r="J636" s="610"/>
      <c r="L636" s="610"/>
      <c r="M636" s="610"/>
      <c r="N636" s="610"/>
      <c r="O636" s="610"/>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c r="AN636" s="610"/>
      <c r="AO636" s="610"/>
      <c r="AP636" s="610"/>
      <c r="AQ636" s="610"/>
    </row>
    <row r="637" spans="2:43" s="609" customFormat="1">
      <c r="B637" s="610"/>
      <c r="C637" s="610"/>
      <c r="D637" s="610"/>
      <c r="E637" s="610"/>
      <c r="F637" s="610"/>
      <c r="G637" s="610"/>
      <c r="H637" s="610"/>
      <c r="I637" s="610"/>
      <c r="J637" s="610"/>
      <c r="L637" s="610"/>
      <c r="M637" s="610"/>
      <c r="N637" s="610"/>
      <c r="O637" s="610"/>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c r="AN637" s="610"/>
      <c r="AO637" s="610"/>
      <c r="AP637" s="610"/>
      <c r="AQ637" s="610"/>
    </row>
    <row r="638" spans="2:43" s="609" customFormat="1">
      <c r="B638" s="610"/>
      <c r="C638" s="610"/>
      <c r="D638" s="610"/>
      <c r="E638" s="610"/>
      <c r="F638" s="610"/>
      <c r="G638" s="610"/>
      <c r="H638" s="610"/>
      <c r="I638" s="610"/>
      <c r="J638" s="610"/>
      <c r="L638" s="610"/>
      <c r="M638" s="610"/>
      <c r="N638" s="610"/>
      <c r="O638" s="610"/>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c r="AN638" s="610"/>
      <c r="AO638" s="610"/>
      <c r="AP638" s="610"/>
      <c r="AQ638" s="610"/>
    </row>
    <row r="639" spans="2:43" s="609" customFormat="1">
      <c r="B639" s="610"/>
      <c r="C639" s="610"/>
      <c r="D639" s="610"/>
      <c r="E639" s="610"/>
      <c r="F639" s="610"/>
      <c r="G639" s="610"/>
      <c r="H639" s="610"/>
      <c r="I639" s="610"/>
      <c r="J639" s="610"/>
      <c r="L639" s="610"/>
      <c r="M639" s="610"/>
      <c r="N639" s="610"/>
      <c r="O639" s="610"/>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c r="AN639" s="610"/>
      <c r="AO639" s="610"/>
      <c r="AP639" s="610"/>
      <c r="AQ639" s="610"/>
    </row>
    <row r="640" spans="2:43" s="609" customFormat="1">
      <c r="B640" s="610"/>
      <c r="C640" s="610"/>
      <c r="D640" s="610"/>
      <c r="E640" s="610"/>
      <c r="F640" s="610"/>
      <c r="G640" s="610"/>
      <c r="H640" s="610"/>
      <c r="I640" s="610"/>
      <c r="J640" s="610"/>
      <c r="L640" s="610"/>
      <c r="M640" s="610"/>
      <c r="N640" s="610"/>
      <c r="O640" s="610"/>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c r="AN640" s="610"/>
      <c r="AO640" s="610"/>
      <c r="AP640" s="610"/>
      <c r="AQ640" s="610"/>
    </row>
    <row r="641" spans="2:43" s="609" customFormat="1">
      <c r="B641" s="610"/>
      <c r="C641" s="610"/>
      <c r="D641" s="610"/>
      <c r="E641" s="610"/>
      <c r="F641" s="610"/>
      <c r="G641" s="610"/>
      <c r="H641" s="610"/>
      <c r="I641" s="610"/>
      <c r="J641" s="610"/>
      <c r="L641" s="610"/>
      <c r="M641" s="610"/>
      <c r="N641" s="610"/>
      <c r="O641" s="610"/>
      <c r="P641" s="610"/>
      <c r="Q641" s="610"/>
      <c r="R641" s="610"/>
      <c r="S641" s="610"/>
      <c r="T641" s="610"/>
      <c r="U641" s="610"/>
      <c r="V641" s="610"/>
      <c r="W641" s="610"/>
      <c r="X641" s="610"/>
      <c r="Y641" s="610"/>
      <c r="Z641" s="610"/>
      <c r="AA641" s="610"/>
      <c r="AB641" s="610"/>
      <c r="AC641" s="610"/>
      <c r="AD641" s="610"/>
      <c r="AE641" s="610"/>
      <c r="AF641" s="610"/>
      <c r="AG641" s="610"/>
      <c r="AH641" s="610"/>
      <c r="AI641" s="610"/>
      <c r="AJ641" s="610"/>
      <c r="AK641" s="610"/>
      <c r="AL641" s="610"/>
      <c r="AM641" s="610"/>
      <c r="AN641" s="610"/>
      <c r="AO641" s="610"/>
      <c r="AP641" s="610"/>
      <c r="AQ641" s="610"/>
    </row>
    <row r="642" spans="2:43" s="609" customFormat="1">
      <c r="B642" s="610"/>
      <c r="C642" s="610"/>
      <c r="D642" s="610"/>
      <c r="E642" s="610"/>
      <c r="F642" s="610"/>
      <c r="G642" s="610"/>
      <c r="H642" s="610"/>
      <c r="I642" s="610"/>
      <c r="J642" s="610"/>
      <c r="L642" s="610"/>
      <c r="M642" s="610"/>
      <c r="N642" s="610"/>
      <c r="O642" s="610"/>
      <c r="P642" s="610"/>
      <c r="Q642" s="610"/>
      <c r="R642" s="610"/>
      <c r="S642" s="610"/>
      <c r="T642" s="610"/>
      <c r="U642" s="610"/>
      <c r="V642" s="610"/>
      <c r="W642" s="610"/>
      <c r="X642" s="610"/>
      <c r="Y642" s="610"/>
      <c r="Z642" s="610"/>
      <c r="AA642" s="610"/>
      <c r="AB642" s="610"/>
      <c r="AC642" s="610"/>
      <c r="AD642" s="610"/>
      <c r="AE642" s="610"/>
      <c r="AF642" s="610"/>
      <c r="AG642" s="610"/>
      <c r="AH642" s="610"/>
      <c r="AI642" s="610"/>
      <c r="AJ642" s="610"/>
      <c r="AK642" s="610"/>
      <c r="AL642" s="610"/>
      <c r="AM642" s="610"/>
      <c r="AN642" s="610"/>
      <c r="AO642" s="610"/>
      <c r="AP642" s="610"/>
      <c r="AQ642" s="610"/>
    </row>
    <row r="643" spans="2:43" s="609" customFormat="1">
      <c r="B643" s="610"/>
      <c r="C643" s="610"/>
      <c r="D643" s="610"/>
      <c r="E643" s="610"/>
      <c r="F643" s="610"/>
      <c r="G643" s="610"/>
      <c r="H643" s="610"/>
      <c r="I643" s="610"/>
      <c r="J643" s="610"/>
      <c r="L643" s="610"/>
      <c r="M643" s="610"/>
      <c r="N643" s="610"/>
      <c r="O643" s="610"/>
      <c r="P643" s="610"/>
      <c r="Q643" s="610"/>
      <c r="R643" s="610"/>
      <c r="S643" s="610"/>
      <c r="T643" s="610"/>
      <c r="U643" s="610"/>
      <c r="V643" s="610"/>
      <c r="W643" s="610"/>
      <c r="X643" s="610"/>
      <c r="Y643" s="610"/>
      <c r="Z643" s="610"/>
      <c r="AA643" s="610"/>
      <c r="AB643" s="610"/>
      <c r="AC643" s="610"/>
      <c r="AD643" s="610"/>
      <c r="AE643" s="610"/>
      <c r="AF643" s="610"/>
      <c r="AG643" s="610"/>
      <c r="AH643" s="610"/>
      <c r="AI643" s="610"/>
      <c r="AJ643" s="610"/>
      <c r="AK643" s="610"/>
      <c r="AL643" s="610"/>
      <c r="AM643" s="610"/>
      <c r="AN643" s="610"/>
      <c r="AO643" s="610"/>
      <c r="AP643" s="610"/>
      <c r="AQ643" s="610"/>
    </row>
    <row r="644" spans="2:43" s="609" customFormat="1">
      <c r="B644" s="610"/>
      <c r="C644" s="610"/>
      <c r="D644" s="610"/>
      <c r="E644" s="610"/>
      <c r="F644" s="610"/>
      <c r="G644" s="610"/>
      <c r="H644" s="610"/>
      <c r="I644" s="610"/>
      <c r="J644" s="610"/>
      <c r="L644" s="610"/>
      <c r="M644" s="610"/>
      <c r="N644" s="610"/>
      <c r="O644" s="610"/>
      <c r="P644" s="610"/>
      <c r="Q644" s="610"/>
      <c r="R644" s="610"/>
      <c r="S644" s="610"/>
      <c r="T644" s="610"/>
      <c r="U644" s="610"/>
      <c r="V644" s="610"/>
      <c r="W644" s="610"/>
      <c r="X644" s="610"/>
      <c r="Y644" s="610"/>
      <c r="Z644" s="610"/>
      <c r="AA644" s="610"/>
      <c r="AB644" s="610"/>
      <c r="AC644" s="610"/>
      <c r="AD644" s="610"/>
      <c r="AE644" s="610"/>
      <c r="AF644" s="610"/>
      <c r="AG644" s="610"/>
      <c r="AH644" s="610"/>
      <c r="AI644" s="610"/>
      <c r="AJ644" s="610"/>
      <c r="AK644" s="610"/>
      <c r="AL644" s="610"/>
      <c r="AM644" s="610"/>
      <c r="AN644" s="610"/>
      <c r="AO644" s="610"/>
      <c r="AP644" s="610"/>
      <c r="AQ644" s="610"/>
    </row>
    <row r="645" spans="2:43" s="609" customFormat="1">
      <c r="B645" s="610"/>
      <c r="C645" s="610"/>
      <c r="D645" s="610"/>
      <c r="E645" s="610"/>
      <c r="F645" s="610"/>
      <c r="G645" s="610"/>
      <c r="H645" s="610"/>
      <c r="I645" s="610"/>
      <c r="J645" s="610"/>
      <c r="L645" s="610"/>
      <c r="M645" s="610"/>
      <c r="N645" s="610"/>
      <c r="O645" s="610"/>
      <c r="P645" s="610"/>
      <c r="Q645" s="610"/>
      <c r="R645" s="610"/>
      <c r="S645" s="610"/>
      <c r="T645" s="610"/>
      <c r="U645" s="610"/>
      <c r="V645" s="610"/>
      <c r="W645" s="610"/>
      <c r="X645" s="610"/>
      <c r="Y645" s="610"/>
      <c r="Z645" s="610"/>
      <c r="AA645" s="610"/>
      <c r="AB645" s="610"/>
      <c r="AC645" s="610"/>
      <c r="AD645" s="610"/>
      <c r="AE645" s="610"/>
      <c r="AF645" s="610"/>
      <c r="AG645" s="610"/>
      <c r="AH645" s="610"/>
      <c r="AI645" s="610"/>
      <c r="AJ645" s="610"/>
      <c r="AK645" s="610"/>
      <c r="AL645" s="610"/>
      <c r="AM645" s="610"/>
      <c r="AN645" s="610"/>
      <c r="AO645" s="610"/>
      <c r="AP645" s="610"/>
      <c r="AQ645" s="610"/>
    </row>
    <row r="646" spans="2:43" s="609" customFormat="1">
      <c r="B646" s="610"/>
      <c r="C646" s="610"/>
      <c r="D646" s="610"/>
      <c r="E646" s="610"/>
      <c r="F646" s="610"/>
      <c r="G646" s="610"/>
      <c r="H646" s="610"/>
      <c r="I646" s="610"/>
      <c r="J646" s="610"/>
      <c r="L646" s="610"/>
      <c r="M646" s="610"/>
      <c r="N646" s="610"/>
      <c r="O646" s="610"/>
      <c r="P646" s="610"/>
      <c r="Q646" s="610"/>
      <c r="R646" s="610"/>
      <c r="S646" s="610"/>
      <c r="T646" s="610"/>
      <c r="U646" s="610"/>
      <c r="V646" s="610"/>
      <c r="W646" s="610"/>
      <c r="X646" s="610"/>
      <c r="Y646" s="610"/>
      <c r="Z646" s="610"/>
      <c r="AA646" s="610"/>
      <c r="AB646" s="610"/>
      <c r="AC646" s="610"/>
      <c r="AD646" s="610"/>
      <c r="AE646" s="610"/>
      <c r="AF646" s="610"/>
      <c r="AG646" s="610"/>
      <c r="AH646" s="610"/>
      <c r="AI646" s="610"/>
      <c r="AJ646" s="610"/>
      <c r="AK646" s="610"/>
      <c r="AL646" s="610"/>
      <c r="AM646" s="610"/>
      <c r="AN646" s="610"/>
      <c r="AO646" s="610"/>
      <c r="AP646" s="610"/>
      <c r="AQ646" s="610"/>
    </row>
    <row r="647" spans="2:43" s="609" customFormat="1">
      <c r="B647" s="610"/>
      <c r="C647" s="610"/>
      <c r="D647" s="610"/>
      <c r="E647" s="610"/>
      <c r="F647" s="610"/>
      <c r="G647" s="610"/>
      <c r="H647" s="610"/>
      <c r="I647" s="610"/>
      <c r="J647" s="610"/>
      <c r="L647" s="610"/>
      <c r="M647" s="610"/>
      <c r="N647" s="610"/>
      <c r="O647" s="610"/>
      <c r="P647" s="610"/>
      <c r="Q647" s="610"/>
      <c r="R647" s="610"/>
      <c r="S647" s="610"/>
      <c r="T647" s="610"/>
      <c r="U647" s="610"/>
      <c r="V647" s="610"/>
      <c r="W647" s="610"/>
      <c r="X647" s="610"/>
      <c r="Y647" s="610"/>
      <c r="Z647" s="610"/>
      <c r="AA647" s="610"/>
      <c r="AB647" s="610"/>
      <c r="AC647" s="610"/>
      <c r="AD647" s="610"/>
      <c r="AE647" s="610"/>
      <c r="AF647" s="610"/>
      <c r="AG647" s="610"/>
      <c r="AH647" s="610"/>
      <c r="AI647" s="610"/>
      <c r="AJ647" s="610"/>
      <c r="AK647" s="610"/>
      <c r="AL647" s="610"/>
      <c r="AM647" s="610"/>
      <c r="AN647" s="610"/>
      <c r="AO647" s="610"/>
      <c r="AP647" s="610"/>
      <c r="AQ647" s="610"/>
    </row>
    <row r="648" spans="2:43" s="609" customFormat="1">
      <c r="B648" s="610"/>
      <c r="C648" s="610"/>
      <c r="D648" s="610"/>
      <c r="E648" s="610"/>
      <c r="F648" s="610"/>
      <c r="G648" s="610"/>
      <c r="H648" s="610"/>
      <c r="I648" s="610"/>
      <c r="J648" s="610"/>
      <c r="L648" s="610"/>
      <c r="M648" s="610"/>
      <c r="N648" s="610"/>
      <c r="O648" s="610"/>
      <c r="P648" s="610"/>
      <c r="Q648" s="610"/>
      <c r="R648" s="610"/>
      <c r="S648" s="610"/>
      <c r="T648" s="610"/>
      <c r="U648" s="610"/>
      <c r="V648" s="610"/>
      <c r="W648" s="610"/>
      <c r="X648" s="610"/>
      <c r="Y648" s="610"/>
      <c r="Z648" s="610"/>
      <c r="AA648" s="610"/>
      <c r="AB648" s="610"/>
      <c r="AC648" s="610"/>
      <c r="AD648" s="610"/>
      <c r="AE648" s="610"/>
      <c r="AF648" s="610"/>
      <c r="AG648" s="610"/>
      <c r="AH648" s="610"/>
      <c r="AI648" s="610"/>
      <c r="AJ648" s="610"/>
      <c r="AK648" s="610"/>
      <c r="AL648" s="610"/>
      <c r="AM648" s="610"/>
      <c r="AN648" s="610"/>
      <c r="AO648" s="610"/>
      <c r="AP648" s="610"/>
      <c r="AQ648" s="610"/>
    </row>
    <row r="649" spans="2:43" s="609" customFormat="1">
      <c r="B649" s="610"/>
      <c r="C649" s="610"/>
      <c r="D649" s="610"/>
      <c r="E649" s="610"/>
      <c r="F649" s="610"/>
      <c r="G649" s="610"/>
      <c r="H649" s="610"/>
      <c r="I649" s="610"/>
      <c r="J649" s="610"/>
      <c r="L649" s="610"/>
      <c r="M649" s="610"/>
      <c r="N649" s="610"/>
      <c r="O649" s="610"/>
      <c r="P649" s="610"/>
      <c r="Q649" s="610"/>
      <c r="R649" s="610"/>
      <c r="S649" s="610"/>
      <c r="T649" s="610"/>
      <c r="U649" s="610"/>
      <c r="V649" s="610"/>
      <c r="W649" s="610"/>
      <c r="X649" s="610"/>
      <c r="Y649" s="610"/>
      <c r="Z649" s="610"/>
      <c r="AA649" s="610"/>
      <c r="AB649" s="610"/>
      <c r="AC649" s="610"/>
      <c r="AD649" s="610"/>
      <c r="AE649" s="610"/>
      <c r="AF649" s="610"/>
      <c r="AG649" s="610"/>
      <c r="AH649" s="610"/>
      <c r="AI649" s="610"/>
      <c r="AJ649" s="610"/>
      <c r="AK649" s="610"/>
      <c r="AL649" s="610"/>
      <c r="AM649" s="610"/>
      <c r="AN649" s="610"/>
      <c r="AO649" s="610"/>
      <c r="AP649" s="610"/>
      <c r="AQ649" s="610"/>
    </row>
    <row r="650" spans="2:43" s="609" customFormat="1">
      <c r="B650" s="610"/>
      <c r="C650" s="610"/>
      <c r="D650" s="610"/>
      <c r="E650" s="610"/>
      <c r="F650" s="610"/>
      <c r="G650" s="610"/>
      <c r="H650" s="610"/>
      <c r="I650" s="610"/>
      <c r="J650" s="610"/>
      <c r="L650" s="610"/>
      <c r="M650" s="610"/>
      <c r="N650" s="610"/>
      <c r="O650" s="610"/>
      <c r="P650" s="610"/>
      <c r="Q650" s="610"/>
      <c r="R650" s="610"/>
      <c r="S650" s="610"/>
      <c r="T650" s="610"/>
      <c r="U650" s="610"/>
      <c r="V650" s="610"/>
      <c r="W650" s="610"/>
      <c r="X650" s="610"/>
      <c r="Y650" s="610"/>
      <c r="Z650" s="610"/>
      <c r="AA650" s="610"/>
      <c r="AB650" s="610"/>
      <c r="AC650" s="610"/>
      <c r="AD650" s="610"/>
      <c r="AE650" s="610"/>
      <c r="AF650" s="610"/>
      <c r="AG650" s="610"/>
      <c r="AH650" s="610"/>
      <c r="AI650" s="610"/>
      <c r="AJ650" s="610"/>
      <c r="AK650" s="610"/>
      <c r="AL650" s="610"/>
      <c r="AM650" s="610"/>
      <c r="AN650" s="610"/>
      <c r="AO650" s="610"/>
      <c r="AP650" s="610"/>
      <c r="AQ650" s="610"/>
    </row>
    <row r="651" spans="2:43" s="609" customFormat="1">
      <c r="B651" s="610"/>
      <c r="C651" s="610"/>
      <c r="D651" s="610"/>
      <c r="E651" s="610"/>
      <c r="F651" s="610"/>
      <c r="G651" s="610"/>
      <c r="H651" s="610"/>
      <c r="I651" s="610"/>
      <c r="J651" s="610"/>
      <c r="L651" s="610"/>
      <c r="M651" s="610"/>
      <c r="N651" s="610"/>
      <c r="O651" s="610"/>
      <c r="P651" s="610"/>
      <c r="Q651" s="610"/>
      <c r="R651" s="610"/>
      <c r="S651" s="610"/>
      <c r="T651" s="610"/>
      <c r="U651" s="610"/>
      <c r="V651" s="610"/>
      <c r="W651" s="610"/>
      <c r="X651" s="610"/>
      <c r="Y651" s="610"/>
      <c r="Z651" s="610"/>
      <c r="AA651" s="610"/>
      <c r="AB651" s="610"/>
      <c r="AC651" s="610"/>
      <c r="AD651" s="610"/>
      <c r="AE651" s="610"/>
      <c r="AF651" s="610"/>
      <c r="AG651" s="610"/>
      <c r="AH651" s="610"/>
      <c r="AI651" s="610"/>
      <c r="AJ651" s="610"/>
      <c r="AK651" s="610"/>
      <c r="AL651" s="610"/>
      <c r="AM651" s="610"/>
      <c r="AN651" s="610"/>
      <c r="AO651" s="610"/>
      <c r="AP651" s="610"/>
      <c r="AQ651" s="610"/>
    </row>
    <row r="652" spans="2:43" s="609" customFormat="1">
      <c r="B652" s="610"/>
      <c r="C652" s="610"/>
      <c r="D652" s="610"/>
      <c r="E652" s="610"/>
      <c r="F652" s="610"/>
      <c r="G652" s="610"/>
      <c r="H652" s="610"/>
      <c r="I652" s="610"/>
      <c r="J652" s="610"/>
      <c r="L652" s="610"/>
      <c r="M652" s="610"/>
      <c r="N652" s="610"/>
      <c r="O652" s="610"/>
      <c r="P652" s="610"/>
      <c r="Q652" s="610"/>
      <c r="R652" s="610"/>
      <c r="S652" s="610"/>
      <c r="T652" s="610"/>
      <c r="U652" s="610"/>
      <c r="V652" s="610"/>
      <c r="W652" s="610"/>
      <c r="X652" s="610"/>
      <c r="Y652" s="610"/>
      <c r="Z652" s="610"/>
      <c r="AA652" s="610"/>
      <c r="AB652" s="610"/>
      <c r="AC652" s="610"/>
      <c r="AD652" s="610"/>
      <c r="AE652" s="610"/>
      <c r="AF652" s="610"/>
      <c r="AG652" s="610"/>
      <c r="AH652" s="610"/>
      <c r="AI652" s="610"/>
      <c r="AJ652" s="610"/>
      <c r="AK652" s="610"/>
      <c r="AL652" s="610"/>
      <c r="AM652" s="610"/>
      <c r="AN652" s="610"/>
      <c r="AO652" s="610"/>
      <c r="AP652" s="610"/>
      <c r="AQ652" s="610"/>
    </row>
    <row r="653" spans="2:43" s="609" customFormat="1">
      <c r="B653" s="610"/>
      <c r="C653" s="610"/>
      <c r="D653" s="610"/>
      <c r="E653" s="610"/>
      <c r="F653" s="610"/>
      <c r="G653" s="610"/>
      <c r="H653" s="610"/>
      <c r="I653" s="610"/>
      <c r="J653" s="610"/>
      <c r="L653" s="610"/>
      <c r="M653" s="610"/>
      <c r="N653" s="610"/>
      <c r="O653" s="610"/>
      <c r="P653" s="610"/>
      <c r="Q653" s="610"/>
      <c r="R653" s="610"/>
      <c r="S653" s="610"/>
      <c r="T653" s="610"/>
      <c r="U653" s="610"/>
      <c r="V653" s="610"/>
      <c r="W653" s="610"/>
      <c r="X653" s="610"/>
      <c r="Y653" s="610"/>
      <c r="Z653" s="610"/>
      <c r="AA653" s="610"/>
      <c r="AB653" s="610"/>
      <c r="AC653" s="610"/>
      <c r="AD653" s="610"/>
      <c r="AE653" s="610"/>
      <c r="AF653" s="610"/>
      <c r="AG653" s="610"/>
      <c r="AH653" s="610"/>
      <c r="AI653" s="610"/>
      <c r="AJ653" s="610"/>
      <c r="AK653" s="610"/>
      <c r="AL653" s="610"/>
      <c r="AM653" s="610"/>
      <c r="AN653" s="610"/>
      <c r="AO653" s="610"/>
      <c r="AP653" s="610"/>
      <c r="AQ653" s="610"/>
    </row>
    <row r="654" spans="2:43" s="609" customFormat="1">
      <c r="B654" s="610"/>
      <c r="C654" s="610"/>
      <c r="D654" s="610"/>
      <c r="E654" s="610"/>
      <c r="F654" s="610"/>
      <c r="G654" s="610"/>
      <c r="H654" s="610"/>
      <c r="I654" s="610"/>
      <c r="J654" s="610"/>
      <c r="L654" s="610"/>
      <c r="M654" s="610"/>
      <c r="N654" s="610"/>
      <c r="O654" s="610"/>
      <c r="P654" s="610"/>
      <c r="Q654" s="610"/>
      <c r="R654" s="610"/>
      <c r="S654" s="610"/>
      <c r="T654" s="610"/>
      <c r="U654" s="610"/>
      <c r="V654" s="610"/>
      <c r="W654" s="610"/>
      <c r="X654" s="610"/>
      <c r="Y654" s="610"/>
      <c r="Z654" s="610"/>
      <c r="AA654" s="610"/>
      <c r="AB654" s="610"/>
      <c r="AC654" s="610"/>
      <c r="AD654" s="610"/>
      <c r="AE654" s="610"/>
      <c r="AF654" s="610"/>
      <c r="AG654" s="610"/>
      <c r="AH654" s="610"/>
      <c r="AI654" s="610"/>
      <c r="AJ654" s="610"/>
      <c r="AK654" s="610"/>
      <c r="AL654" s="610"/>
      <c r="AM654" s="610"/>
      <c r="AN654" s="610"/>
      <c r="AO654" s="610"/>
      <c r="AP654" s="610"/>
      <c r="AQ654" s="610"/>
    </row>
    <row r="655" spans="2:43" s="609" customFormat="1">
      <c r="B655" s="610"/>
      <c r="C655" s="610"/>
      <c r="D655" s="610"/>
      <c r="E655" s="610"/>
      <c r="F655" s="610"/>
      <c r="G655" s="610"/>
      <c r="H655" s="610"/>
      <c r="I655" s="610"/>
      <c r="J655" s="610"/>
      <c r="L655" s="610"/>
      <c r="M655" s="610"/>
      <c r="N655" s="610"/>
      <c r="O655" s="610"/>
      <c r="P655" s="610"/>
      <c r="Q655" s="610"/>
      <c r="R655" s="610"/>
      <c r="S655" s="610"/>
      <c r="T655" s="610"/>
      <c r="U655" s="610"/>
      <c r="V655" s="610"/>
      <c r="W655" s="610"/>
      <c r="X655" s="610"/>
      <c r="Y655" s="610"/>
      <c r="Z655" s="610"/>
      <c r="AA655" s="610"/>
      <c r="AB655" s="610"/>
      <c r="AC655" s="610"/>
      <c r="AD655" s="610"/>
      <c r="AE655" s="610"/>
      <c r="AF655" s="610"/>
      <c r="AG655" s="610"/>
      <c r="AH655" s="610"/>
      <c r="AI655" s="610"/>
      <c r="AJ655" s="610"/>
      <c r="AK655" s="610"/>
      <c r="AL655" s="610"/>
      <c r="AM655" s="610"/>
      <c r="AN655" s="610"/>
      <c r="AO655" s="610"/>
      <c r="AP655" s="610"/>
      <c r="AQ655" s="610"/>
    </row>
    <row r="656" spans="2:43" s="609" customFormat="1">
      <c r="B656" s="610"/>
      <c r="C656" s="610"/>
      <c r="D656" s="610"/>
      <c r="E656" s="610"/>
      <c r="F656" s="610"/>
      <c r="G656" s="610"/>
      <c r="H656" s="610"/>
      <c r="I656" s="610"/>
      <c r="J656" s="610"/>
      <c r="L656" s="610"/>
      <c r="M656" s="610"/>
      <c r="N656" s="610"/>
      <c r="O656" s="610"/>
      <c r="P656" s="610"/>
      <c r="Q656" s="610"/>
      <c r="R656" s="610"/>
      <c r="S656" s="610"/>
      <c r="T656" s="610"/>
      <c r="U656" s="610"/>
      <c r="V656" s="610"/>
      <c r="W656" s="610"/>
      <c r="X656" s="610"/>
      <c r="Y656" s="610"/>
      <c r="Z656" s="610"/>
      <c r="AA656" s="610"/>
      <c r="AB656" s="610"/>
      <c r="AC656" s="610"/>
      <c r="AD656" s="610"/>
      <c r="AE656" s="610"/>
      <c r="AF656" s="610"/>
      <c r="AG656" s="610"/>
      <c r="AH656" s="610"/>
      <c r="AI656" s="610"/>
      <c r="AJ656" s="610"/>
      <c r="AK656" s="610"/>
      <c r="AL656" s="610"/>
      <c r="AM656" s="610"/>
      <c r="AN656" s="610"/>
      <c r="AO656" s="610"/>
      <c r="AP656" s="610"/>
      <c r="AQ656" s="610"/>
    </row>
    <row r="657" spans="2:43" s="609" customFormat="1">
      <c r="B657" s="610"/>
      <c r="C657" s="610"/>
      <c r="D657" s="610"/>
      <c r="E657" s="610"/>
      <c r="F657" s="610"/>
      <c r="G657" s="610"/>
      <c r="H657" s="610"/>
      <c r="I657" s="610"/>
      <c r="J657" s="610"/>
      <c r="L657" s="610"/>
      <c r="M657" s="610"/>
      <c r="N657" s="610"/>
      <c r="O657" s="610"/>
      <c r="P657" s="610"/>
      <c r="Q657" s="610"/>
      <c r="R657" s="610"/>
      <c r="S657" s="610"/>
      <c r="T657" s="610"/>
      <c r="U657" s="610"/>
      <c r="V657" s="610"/>
      <c r="W657" s="610"/>
      <c r="X657" s="610"/>
      <c r="Y657" s="610"/>
      <c r="Z657" s="610"/>
      <c r="AA657" s="610"/>
      <c r="AB657" s="610"/>
      <c r="AC657" s="610"/>
      <c r="AD657" s="610"/>
      <c r="AE657" s="610"/>
      <c r="AF657" s="610"/>
      <c r="AG657" s="610"/>
      <c r="AH657" s="610"/>
      <c r="AI657" s="610"/>
      <c r="AJ657" s="610"/>
      <c r="AK657" s="610"/>
      <c r="AL657" s="610"/>
      <c r="AM657" s="610"/>
      <c r="AN657" s="610"/>
      <c r="AO657" s="610"/>
      <c r="AP657" s="610"/>
      <c r="AQ657" s="610"/>
    </row>
    <row r="658" spans="2:43" s="609" customFormat="1">
      <c r="B658" s="610"/>
      <c r="C658" s="610"/>
      <c r="D658" s="610"/>
      <c r="E658" s="610"/>
      <c r="F658" s="610"/>
      <c r="G658" s="610"/>
      <c r="H658" s="610"/>
      <c r="I658" s="610"/>
      <c r="J658" s="610"/>
      <c r="L658" s="610"/>
      <c r="M658" s="610"/>
      <c r="N658" s="610"/>
      <c r="O658" s="610"/>
      <c r="P658" s="610"/>
      <c r="Q658" s="610"/>
      <c r="R658" s="610"/>
      <c r="S658" s="610"/>
      <c r="T658" s="610"/>
      <c r="U658" s="610"/>
      <c r="V658" s="610"/>
      <c r="W658" s="610"/>
      <c r="X658" s="610"/>
      <c r="Y658" s="610"/>
      <c r="Z658" s="610"/>
      <c r="AA658" s="610"/>
      <c r="AB658" s="610"/>
      <c r="AC658" s="610"/>
      <c r="AD658" s="610"/>
      <c r="AE658" s="610"/>
      <c r="AF658" s="610"/>
      <c r="AG658" s="610"/>
      <c r="AH658" s="610"/>
      <c r="AI658" s="610"/>
      <c r="AJ658" s="610"/>
      <c r="AK658" s="610"/>
      <c r="AL658" s="610"/>
      <c r="AM658" s="610"/>
      <c r="AN658" s="610"/>
      <c r="AO658" s="610"/>
      <c r="AP658" s="610"/>
      <c r="AQ658" s="610"/>
    </row>
    <row r="659" spans="2:43" s="609" customFormat="1">
      <c r="B659" s="610"/>
      <c r="C659" s="610"/>
      <c r="D659" s="610"/>
      <c r="E659" s="610"/>
      <c r="F659" s="610"/>
      <c r="G659" s="610"/>
      <c r="H659" s="610"/>
      <c r="I659" s="610"/>
      <c r="J659" s="610"/>
      <c r="L659" s="610"/>
      <c r="M659" s="610"/>
      <c r="N659" s="610"/>
      <c r="O659" s="610"/>
      <c r="P659" s="610"/>
      <c r="Q659" s="610"/>
      <c r="R659" s="610"/>
      <c r="S659" s="610"/>
      <c r="T659" s="610"/>
      <c r="U659" s="610"/>
      <c r="V659" s="610"/>
      <c r="W659" s="610"/>
      <c r="X659" s="610"/>
      <c r="Y659" s="610"/>
      <c r="Z659" s="610"/>
      <c r="AA659" s="610"/>
      <c r="AB659" s="610"/>
      <c r="AC659" s="610"/>
      <c r="AD659" s="610"/>
      <c r="AE659" s="610"/>
      <c r="AF659" s="610"/>
      <c r="AG659" s="610"/>
      <c r="AH659" s="610"/>
      <c r="AI659" s="610"/>
      <c r="AJ659" s="610"/>
      <c r="AK659" s="610"/>
      <c r="AL659" s="610"/>
      <c r="AM659" s="610"/>
      <c r="AN659" s="610"/>
      <c r="AO659" s="610"/>
      <c r="AP659" s="610"/>
      <c r="AQ659" s="610"/>
    </row>
    <row r="660" spans="2:43" s="609" customFormat="1">
      <c r="B660" s="610"/>
      <c r="C660" s="610"/>
      <c r="D660" s="610"/>
      <c r="E660" s="610"/>
      <c r="F660" s="610"/>
      <c r="G660" s="610"/>
      <c r="H660" s="610"/>
      <c r="I660" s="610"/>
      <c r="J660" s="610"/>
      <c r="L660" s="610"/>
      <c r="M660" s="610"/>
      <c r="N660" s="610"/>
      <c r="O660" s="610"/>
      <c r="P660" s="610"/>
      <c r="Q660" s="610"/>
      <c r="R660" s="610"/>
      <c r="S660" s="610"/>
      <c r="T660" s="610"/>
      <c r="U660" s="610"/>
      <c r="V660" s="610"/>
      <c r="W660" s="610"/>
      <c r="X660" s="610"/>
      <c r="Y660" s="610"/>
      <c r="Z660" s="610"/>
      <c r="AA660" s="610"/>
      <c r="AB660" s="610"/>
      <c r="AC660" s="610"/>
      <c r="AD660" s="610"/>
      <c r="AE660" s="610"/>
      <c r="AF660" s="610"/>
      <c r="AG660" s="610"/>
      <c r="AH660" s="610"/>
      <c r="AI660" s="610"/>
      <c r="AJ660" s="610"/>
      <c r="AK660" s="610"/>
      <c r="AL660" s="610"/>
      <c r="AM660" s="610"/>
      <c r="AN660" s="610"/>
      <c r="AO660" s="610"/>
      <c r="AP660" s="610"/>
      <c r="AQ660" s="610"/>
    </row>
    <row r="661" spans="2:43" s="609" customFormat="1">
      <c r="B661" s="610"/>
      <c r="C661" s="610"/>
      <c r="D661" s="610"/>
      <c r="E661" s="610"/>
      <c r="F661" s="610"/>
      <c r="G661" s="610"/>
      <c r="H661" s="610"/>
      <c r="I661" s="610"/>
      <c r="J661" s="610"/>
      <c r="L661" s="610"/>
      <c r="M661" s="610"/>
      <c r="N661" s="610"/>
      <c r="O661" s="610"/>
      <c r="P661" s="610"/>
      <c r="Q661" s="610"/>
      <c r="R661" s="610"/>
      <c r="S661" s="610"/>
      <c r="T661" s="610"/>
      <c r="U661" s="610"/>
      <c r="V661" s="610"/>
      <c r="W661" s="610"/>
      <c r="X661" s="610"/>
      <c r="Y661" s="610"/>
      <c r="Z661" s="610"/>
      <c r="AA661" s="610"/>
      <c r="AB661" s="610"/>
      <c r="AC661" s="610"/>
      <c r="AD661" s="610"/>
      <c r="AE661" s="610"/>
      <c r="AF661" s="610"/>
      <c r="AG661" s="610"/>
      <c r="AH661" s="610"/>
      <c r="AI661" s="610"/>
      <c r="AJ661" s="610"/>
      <c r="AK661" s="610"/>
      <c r="AL661" s="610"/>
      <c r="AM661" s="610"/>
      <c r="AN661" s="610"/>
      <c r="AO661" s="610"/>
      <c r="AP661" s="610"/>
      <c r="AQ661" s="610"/>
    </row>
    <row r="662" spans="2:43" s="609" customFormat="1">
      <c r="B662" s="610"/>
      <c r="C662" s="610"/>
      <c r="D662" s="610"/>
      <c r="E662" s="610"/>
      <c r="F662" s="610"/>
      <c r="G662" s="610"/>
      <c r="H662" s="610"/>
      <c r="I662" s="610"/>
      <c r="J662" s="610"/>
      <c r="L662" s="610"/>
      <c r="M662" s="610"/>
      <c r="N662" s="610"/>
      <c r="O662" s="610"/>
      <c r="P662" s="610"/>
      <c r="Q662" s="610"/>
      <c r="R662" s="610"/>
      <c r="S662" s="610"/>
      <c r="T662" s="610"/>
      <c r="U662" s="610"/>
      <c r="V662" s="610"/>
      <c r="W662" s="610"/>
      <c r="X662" s="610"/>
      <c r="Y662" s="610"/>
      <c r="Z662" s="610"/>
      <c r="AA662" s="610"/>
      <c r="AB662" s="610"/>
      <c r="AC662" s="610"/>
      <c r="AD662" s="610"/>
      <c r="AE662" s="610"/>
      <c r="AF662" s="610"/>
      <c r="AG662" s="610"/>
      <c r="AH662" s="610"/>
      <c r="AI662" s="610"/>
      <c r="AJ662" s="610"/>
      <c r="AK662" s="610"/>
      <c r="AL662" s="610"/>
      <c r="AM662" s="610"/>
      <c r="AN662" s="610"/>
      <c r="AO662" s="610"/>
      <c r="AP662" s="610"/>
      <c r="AQ662" s="610"/>
    </row>
    <row r="663" spans="2:43" s="609" customFormat="1">
      <c r="B663" s="610"/>
      <c r="C663" s="610"/>
      <c r="D663" s="610"/>
      <c r="E663" s="610"/>
      <c r="F663" s="610"/>
      <c r="G663" s="610"/>
      <c r="H663" s="610"/>
      <c r="I663" s="610"/>
      <c r="J663" s="610"/>
      <c r="L663" s="610"/>
      <c r="M663" s="610"/>
      <c r="N663" s="610"/>
      <c r="O663" s="610"/>
      <c r="P663" s="610"/>
      <c r="Q663" s="610"/>
      <c r="R663" s="610"/>
      <c r="S663" s="610"/>
      <c r="T663" s="610"/>
      <c r="U663" s="610"/>
      <c r="V663" s="610"/>
      <c r="W663" s="610"/>
      <c r="X663" s="610"/>
      <c r="Y663" s="610"/>
      <c r="Z663" s="610"/>
      <c r="AA663" s="610"/>
      <c r="AB663" s="610"/>
      <c r="AC663" s="610"/>
      <c r="AD663" s="610"/>
      <c r="AE663" s="610"/>
      <c r="AF663" s="610"/>
      <c r="AG663" s="610"/>
      <c r="AH663" s="610"/>
      <c r="AI663" s="610"/>
      <c r="AJ663" s="610"/>
      <c r="AK663" s="610"/>
      <c r="AL663" s="610"/>
      <c r="AM663" s="610"/>
      <c r="AN663" s="610"/>
      <c r="AO663" s="610"/>
      <c r="AP663" s="610"/>
      <c r="AQ663" s="610"/>
    </row>
    <row r="664" spans="2:43" s="609" customFormat="1">
      <c r="B664" s="610"/>
      <c r="C664" s="610"/>
      <c r="D664" s="610"/>
      <c r="E664" s="610"/>
      <c r="F664" s="610"/>
      <c r="G664" s="610"/>
      <c r="H664" s="610"/>
      <c r="I664" s="610"/>
      <c r="J664" s="610"/>
      <c r="L664" s="610"/>
      <c r="M664" s="610"/>
      <c r="N664" s="610"/>
      <c r="O664" s="610"/>
      <c r="P664" s="610"/>
      <c r="Q664" s="610"/>
      <c r="R664" s="610"/>
      <c r="S664" s="610"/>
      <c r="T664" s="610"/>
      <c r="U664" s="610"/>
      <c r="V664" s="610"/>
      <c r="W664" s="610"/>
      <c r="X664" s="610"/>
      <c r="Y664" s="610"/>
      <c r="Z664" s="610"/>
      <c r="AA664" s="610"/>
      <c r="AB664" s="610"/>
      <c r="AC664" s="610"/>
      <c r="AD664" s="610"/>
      <c r="AE664" s="610"/>
      <c r="AF664" s="610"/>
      <c r="AG664" s="610"/>
      <c r="AH664" s="610"/>
      <c r="AI664" s="610"/>
      <c r="AJ664" s="610"/>
      <c r="AK664" s="610"/>
      <c r="AL664" s="610"/>
      <c r="AM664" s="610"/>
      <c r="AN664" s="610"/>
      <c r="AO664" s="610"/>
      <c r="AP664" s="610"/>
      <c r="AQ664" s="610"/>
    </row>
    <row r="665" spans="2:43" s="609" customFormat="1">
      <c r="B665" s="610"/>
      <c r="C665" s="610"/>
      <c r="D665" s="610"/>
      <c r="E665" s="610"/>
      <c r="F665" s="610"/>
      <c r="G665" s="610"/>
      <c r="H665" s="610"/>
      <c r="I665" s="610"/>
      <c r="J665" s="610"/>
      <c r="L665" s="610"/>
      <c r="M665" s="610"/>
      <c r="N665" s="610"/>
      <c r="O665" s="610"/>
      <c r="P665" s="610"/>
      <c r="Q665" s="610"/>
      <c r="R665" s="610"/>
      <c r="S665" s="610"/>
      <c r="T665" s="610"/>
      <c r="U665" s="610"/>
      <c r="V665" s="610"/>
      <c r="W665" s="610"/>
      <c r="X665" s="610"/>
      <c r="Y665" s="610"/>
      <c r="Z665" s="610"/>
      <c r="AA665" s="610"/>
      <c r="AB665" s="610"/>
      <c r="AC665" s="610"/>
      <c r="AD665" s="610"/>
      <c r="AE665" s="610"/>
      <c r="AF665" s="610"/>
      <c r="AG665" s="610"/>
      <c r="AH665" s="610"/>
      <c r="AI665" s="610"/>
      <c r="AJ665" s="610"/>
      <c r="AK665" s="610"/>
      <c r="AL665" s="610"/>
      <c r="AM665" s="610"/>
      <c r="AN665" s="610"/>
      <c r="AO665" s="610"/>
      <c r="AP665" s="610"/>
      <c r="AQ665" s="610"/>
    </row>
    <row r="666" spans="2:43" s="609" customFormat="1">
      <c r="B666" s="610"/>
      <c r="C666" s="610"/>
      <c r="D666" s="610"/>
      <c r="E666" s="610"/>
      <c r="F666" s="610"/>
      <c r="G666" s="610"/>
      <c r="H666" s="610"/>
      <c r="I666" s="610"/>
      <c r="J666" s="610"/>
      <c r="L666" s="610"/>
      <c r="M666" s="610"/>
      <c r="N666" s="610"/>
      <c r="O666" s="610"/>
      <c r="P666" s="610"/>
      <c r="Q666" s="610"/>
      <c r="R666" s="610"/>
      <c r="S666" s="610"/>
      <c r="T666" s="610"/>
      <c r="U666" s="610"/>
      <c r="V666" s="610"/>
      <c r="W666" s="610"/>
      <c r="X666" s="610"/>
      <c r="Y666" s="610"/>
      <c r="Z666" s="610"/>
      <c r="AA666" s="610"/>
      <c r="AB666" s="610"/>
      <c r="AC666" s="610"/>
      <c r="AD666" s="610"/>
      <c r="AE666" s="610"/>
      <c r="AF666" s="610"/>
      <c r="AG666" s="610"/>
      <c r="AH666" s="610"/>
      <c r="AI666" s="610"/>
      <c r="AJ666" s="610"/>
      <c r="AK666" s="610"/>
      <c r="AL666" s="610"/>
      <c r="AM666" s="610"/>
      <c r="AN666" s="610"/>
      <c r="AO666" s="610"/>
      <c r="AP666" s="610"/>
      <c r="AQ666" s="610"/>
    </row>
    <row r="667" spans="2:43" s="609" customFormat="1">
      <c r="B667" s="610"/>
      <c r="C667" s="610"/>
      <c r="D667" s="610"/>
      <c r="E667" s="610"/>
      <c r="F667" s="610"/>
      <c r="G667" s="610"/>
      <c r="H667" s="610"/>
      <c r="I667" s="610"/>
      <c r="J667" s="610"/>
      <c r="L667" s="610"/>
      <c r="M667" s="610"/>
      <c r="N667" s="610"/>
      <c r="O667" s="610"/>
      <c r="P667" s="610"/>
      <c r="Q667" s="610"/>
      <c r="R667" s="610"/>
      <c r="S667" s="610"/>
      <c r="T667" s="610"/>
      <c r="U667" s="610"/>
      <c r="V667" s="610"/>
      <c r="W667" s="610"/>
      <c r="X667" s="610"/>
      <c r="Y667" s="610"/>
      <c r="Z667" s="610"/>
      <c r="AA667" s="610"/>
      <c r="AB667" s="610"/>
      <c r="AC667" s="610"/>
      <c r="AD667" s="610"/>
      <c r="AE667" s="610"/>
      <c r="AF667" s="610"/>
      <c r="AG667" s="610"/>
      <c r="AH667" s="610"/>
      <c r="AI667" s="610"/>
      <c r="AJ667" s="610"/>
      <c r="AK667" s="610"/>
      <c r="AL667" s="610"/>
      <c r="AM667" s="610"/>
      <c r="AN667" s="610"/>
      <c r="AO667" s="610"/>
      <c r="AP667" s="610"/>
      <c r="AQ667" s="610"/>
    </row>
    <row r="668" spans="2:43" s="609" customFormat="1">
      <c r="B668" s="610"/>
      <c r="C668" s="610"/>
      <c r="D668" s="610"/>
      <c r="E668" s="610"/>
      <c r="F668" s="610"/>
      <c r="G668" s="610"/>
      <c r="H668" s="610"/>
      <c r="I668" s="610"/>
      <c r="J668" s="610"/>
      <c r="L668" s="610"/>
      <c r="M668" s="610"/>
      <c r="N668" s="610"/>
      <c r="O668" s="610"/>
      <c r="P668" s="610"/>
      <c r="Q668" s="610"/>
      <c r="R668" s="610"/>
      <c r="S668" s="610"/>
      <c r="T668" s="610"/>
      <c r="U668" s="610"/>
      <c r="V668" s="610"/>
      <c r="W668" s="610"/>
      <c r="X668" s="610"/>
      <c r="Y668" s="610"/>
      <c r="Z668" s="610"/>
      <c r="AA668" s="610"/>
      <c r="AB668" s="610"/>
      <c r="AC668" s="610"/>
      <c r="AD668" s="610"/>
      <c r="AE668" s="610"/>
      <c r="AF668" s="610"/>
      <c r="AG668" s="610"/>
      <c r="AH668" s="610"/>
      <c r="AI668" s="610"/>
      <c r="AJ668" s="610"/>
      <c r="AK668" s="610"/>
      <c r="AL668" s="610"/>
      <c r="AM668" s="610"/>
      <c r="AN668" s="610"/>
      <c r="AO668" s="610"/>
      <c r="AP668" s="610"/>
      <c r="AQ668" s="610"/>
    </row>
    <row r="669" spans="2:43" s="609" customFormat="1">
      <c r="B669" s="610"/>
      <c r="C669" s="610"/>
      <c r="D669" s="610"/>
      <c r="E669" s="610"/>
      <c r="F669" s="610"/>
      <c r="G669" s="610"/>
      <c r="H669" s="610"/>
      <c r="I669" s="610"/>
      <c r="J669" s="610"/>
      <c r="L669" s="610"/>
      <c r="M669" s="610"/>
      <c r="N669" s="610"/>
      <c r="O669" s="610"/>
      <c r="P669" s="610"/>
      <c r="Q669" s="610"/>
      <c r="R669" s="610"/>
      <c r="S669" s="610"/>
      <c r="T669" s="610"/>
      <c r="U669" s="610"/>
      <c r="V669" s="610"/>
      <c r="W669" s="610"/>
      <c r="X669" s="610"/>
      <c r="Y669" s="610"/>
      <c r="Z669" s="610"/>
      <c r="AA669" s="610"/>
      <c r="AB669" s="610"/>
      <c r="AC669" s="610"/>
      <c r="AD669" s="610"/>
      <c r="AE669" s="610"/>
      <c r="AF669" s="610"/>
      <c r="AG669" s="610"/>
      <c r="AH669" s="610"/>
      <c r="AI669" s="610"/>
      <c r="AJ669" s="610"/>
      <c r="AK669" s="610"/>
      <c r="AL669" s="610"/>
      <c r="AM669" s="610"/>
      <c r="AN669" s="610"/>
      <c r="AO669" s="610"/>
      <c r="AP669" s="610"/>
      <c r="AQ669" s="610"/>
    </row>
    <row r="670" spans="2:43" s="609" customFormat="1">
      <c r="B670" s="610"/>
      <c r="C670" s="610"/>
      <c r="D670" s="610"/>
      <c r="E670" s="610"/>
      <c r="F670" s="610"/>
      <c r="G670" s="610"/>
      <c r="H670" s="610"/>
      <c r="I670" s="610"/>
      <c r="J670" s="610"/>
      <c r="L670" s="610"/>
      <c r="M670" s="610"/>
      <c r="N670" s="610"/>
      <c r="O670" s="610"/>
      <c r="P670" s="610"/>
      <c r="Q670" s="610"/>
      <c r="R670" s="610"/>
      <c r="S670" s="610"/>
      <c r="T670" s="610"/>
      <c r="U670" s="610"/>
      <c r="V670" s="610"/>
      <c r="W670" s="610"/>
      <c r="X670" s="610"/>
      <c r="Y670" s="610"/>
      <c r="Z670" s="610"/>
      <c r="AA670" s="610"/>
      <c r="AB670" s="610"/>
      <c r="AC670" s="610"/>
      <c r="AD670" s="610"/>
      <c r="AE670" s="610"/>
      <c r="AF670" s="610"/>
      <c r="AG670" s="610"/>
      <c r="AH670" s="610"/>
      <c r="AI670" s="610"/>
      <c r="AJ670" s="610"/>
      <c r="AK670" s="610"/>
      <c r="AL670" s="610"/>
      <c r="AM670" s="610"/>
      <c r="AN670" s="610"/>
      <c r="AO670" s="610"/>
      <c r="AP670" s="610"/>
      <c r="AQ670" s="610"/>
    </row>
    <row r="671" spans="2:43" s="609" customFormat="1">
      <c r="B671" s="610"/>
      <c r="C671" s="610"/>
      <c r="D671" s="610"/>
      <c r="E671" s="610"/>
      <c r="F671" s="610"/>
      <c r="G671" s="610"/>
      <c r="H671" s="610"/>
      <c r="I671" s="610"/>
      <c r="J671" s="610"/>
      <c r="L671" s="610"/>
      <c r="M671" s="610"/>
      <c r="N671" s="610"/>
      <c r="O671" s="610"/>
      <c r="P671" s="610"/>
      <c r="Q671" s="610"/>
      <c r="R671" s="610"/>
      <c r="S671" s="610"/>
      <c r="T671" s="610"/>
      <c r="U671" s="610"/>
      <c r="V671" s="610"/>
      <c r="W671" s="610"/>
      <c r="X671" s="610"/>
      <c r="Y671" s="610"/>
      <c r="Z671" s="610"/>
      <c r="AA671" s="610"/>
      <c r="AB671" s="610"/>
      <c r="AC671" s="610"/>
      <c r="AD671" s="610"/>
      <c r="AE671" s="610"/>
      <c r="AF671" s="610"/>
      <c r="AG671" s="610"/>
      <c r="AH671" s="610"/>
      <c r="AI671" s="610"/>
      <c r="AJ671" s="610"/>
      <c r="AK671" s="610"/>
      <c r="AL671" s="610"/>
      <c r="AM671" s="610"/>
      <c r="AN671" s="610"/>
      <c r="AO671" s="610"/>
      <c r="AP671" s="610"/>
      <c r="AQ671" s="610"/>
    </row>
    <row r="672" spans="2:43" s="609" customFormat="1">
      <c r="B672" s="610"/>
      <c r="C672" s="610"/>
      <c r="D672" s="610"/>
      <c r="E672" s="610"/>
      <c r="F672" s="610"/>
      <c r="G672" s="610"/>
      <c r="H672" s="610"/>
      <c r="I672" s="610"/>
      <c r="J672" s="610"/>
      <c r="L672" s="610"/>
      <c r="M672" s="610"/>
      <c r="N672" s="610"/>
      <c r="O672" s="610"/>
      <c r="P672" s="610"/>
      <c r="Q672" s="610"/>
      <c r="R672" s="610"/>
      <c r="S672" s="610"/>
      <c r="T672" s="610"/>
      <c r="U672" s="610"/>
      <c r="V672" s="610"/>
      <c r="W672" s="610"/>
      <c r="X672" s="610"/>
      <c r="Y672" s="610"/>
      <c r="Z672" s="610"/>
      <c r="AA672" s="610"/>
      <c r="AB672" s="610"/>
      <c r="AC672" s="610"/>
      <c r="AD672" s="610"/>
      <c r="AE672" s="610"/>
      <c r="AF672" s="610"/>
      <c r="AG672" s="610"/>
      <c r="AH672" s="610"/>
      <c r="AI672" s="610"/>
      <c r="AJ672" s="610"/>
      <c r="AK672" s="610"/>
      <c r="AL672" s="610"/>
      <c r="AM672" s="610"/>
      <c r="AN672" s="610"/>
      <c r="AO672" s="610"/>
      <c r="AP672" s="610"/>
      <c r="AQ672" s="610"/>
    </row>
    <row r="673" spans="2:43" s="609" customFormat="1">
      <c r="B673" s="610"/>
      <c r="C673" s="610"/>
      <c r="D673" s="610"/>
      <c r="E673" s="610"/>
      <c r="F673" s="610"/>
      <c r="G673" s="610"/>
      <c r="H673" s="610"/>
      <c r="I673" s="610"/>
      <c r="J673" s="610"/>
      <c r="L673" s="610"/>
      <c r="M673" s="610"/>
      <c r="N673" s="610"/>
      <c r="O673" s="610"/>
      <c r="P673" s="610"/>
      <c r="Q673" s="610"/>
      <c r="R673" s="610"/>
      <c r="S673" s="610"/>
      <c r="T673" s="610"/>
      <c r="U673" s="610"/>
      <c r="V673" s="610"/>
      <c r="W673" s="610"/>
      <c r="X673" s="610"/>
      <c r="Y673" s="610"/>
      <c r="Z673" s="610"/>
      <c r="AA673" s="610"/>
      <c r="AB673" s="610"/>
      <c r="AC673" s="610"/>
      <c r="AD673" s="610"/>
      <c r="AE673" s="610"/>
      <c r="AF673" s="610"/>
      <c r="AG673" s="610"/>
      <c r="AH673" s="610"/>
      <c r="AI673" s="610"/>
      <c r="AJ673" s="610"/>
      <c r="AK673" s="610"/>
      <c r="AL673" s="610"/>
      <c r="AM673" s="610"/>
      <c r="AN673" s="610"/>
      <c r="AO673" s="610"/>
      <c r="AP673" s="610"/>
      <c r="AQ673" s="610"/>
    </row>
    <row r="674" spans="2:43" s="609" customFormat="1">
      <c r="B674" s="610"/>
      <c r="C674" s="610"/>
      <c r="D674" s="610"/>
      <c r="E674" s="610"/>
      <c r="F674" s="610"/>
      <c r="G674" s="610"/>
      <c r="H674" s="610"/>
      <c r="I674" s="610"/>
      <c r="J674" s="610"/>
      <c r="L674" s="610"/>
      <c r="M674" s="610"/>
      <c r="N674" s="610"/>
      <c r="O674" s="610"/>
      <c r="P674" s="610"/>
      <c r="Q674" s="610"/>
      <c r="R674" s="610"/>
      <c r="S674" s="610"/>
      <c r="T674" s="610"/>
      <c r="U674" s="610"/>
      <c r="V674" s="610"/>
      <c r="W674" s="610"/>
      <c r="X674" s="610"/>
      <c r="Y674" s="610"/>
      <c r="Z674" s="610"/>
      <c r="AA674" s="610"/>
      <c r="AB674" s="610"/>
      <c r="AC674" s="610"/>
      <c r="AD674" s="610"/>
      <c r="AE674" s="610"/>
      <c r="AF674" s="610"/>
      <c r="AG674" s="610"/>
      <c r="AH674" s="610"/>
      <c r="AI674" s="610"/>
      <c r="AJ674" s="610"/>
      <c r="AK674" s="610"/>
      <c r="AL674" s="610"/>
      <c r="AM674" s="610"/>
      <c r="AN674" s="610"/>
      <c r="AO674" s="610"/>
      <c r="AP674" s="610"/>
      <c r="AQ674" s="610"/>
    </row>
    <row r="675" spans="2:43" s="609" customFormat="1">
      <c r="B675" s="610"/>
      <c r="C675" s="610"/>
      <c r="D675" s="610"/>
      <c r="E675" s="610"/>
      <c r="F675" s="610"/>
      <c r="G675" s="610"/>
      <c r="H675" s="610"/>
      <c r="I675" s="610"/>
      <c r="J675" s="610"/>
      <c r="L675" s="610"/>
      <c r="M675" s="610"/>
      <c r="N675" s="610"/>
      <c r="O675" s="610"/>
      <c r="P675" s="610"/>
      <c r="Q675" s="610"/>
      <c r="R675" s="610"/>
      <c r="S675" s="610"/>
      <c r="T675" s="610"/>
      <c r="U675" s="610"/>
      <c r="V675" s="610"/>
      <c r="W675" s="610"/>
      <c r="X675" s="610"/>
      <c r="Y675" s="610"/>
      <c r="Z675" s="610"/>
      <c r="AA675" s="610"/>
      <c r="AB675" s="610"/>
      <c r="AC675" s="610"/>
      <c r="AD675" s="610"/>
      <c r="AE675" s="610"/>
      <c r="AF675" s="610"/>
      <c r="AG675" s="610"/>
      <c r="AH675" s="610"/>
      <c r="AI675" s="610"/>
      <c r="AJ675" s="610"/>
      <c r="AK675" s="610"/>
      <c r="AL675" s="610"/>
      <c r="AM675" s="610"/>
      <c r="AN675" s="610"/>
      <c r="AO675" s="610"/>
      <c r="AP675" s="610"/>
      <c r="AQ675" s="610"/>
    </row>
    <row r="676" spans="2:43" s="609" customFormat="1">
      <c r="B676" s="610"/>
      <c r="C676" s="610"/>
      <c r="D676" s="610"/>
      <c r="E676" s="610"/>
      <c r="F676" s="610"/>
      <c r="G676" s="610"/>
      <c r="H676" s="610"/>
      <c r="I676" s="610"/>
      <c r="J676" s="610"/>
      <c r="L676" s="610"/>
      <c r="M676" s="610"/>
      <c r="N676" s="610"/>
      <c r="O676" s="610"/>
      <c r="P676" s="610"/>
      <c r="Q676" s="610"/>
      <c r="R676" s="610"/>
      <c r="S676" s="610"/>
      <c r="T676" s="610"/>
      <c r="U676" s="610"/>
      <c r="V676" s="610"/>
      <c r="W676" s="610"/>
      <c r="X676" s="610"/>
      <c r="Y676" s="610"/>
      <c r="Z676" s="610"/>
      <c r="AA676" s="610"/>
      <c r="AB676" s="610"/>
      <c r="AC676" s="610"/>
      <c r="AD676" s="610"/>
      <c r="AE676" s="610"/>
      <c r="AF676" s="610"/>
      <c r="AG676" s="610"/>
      <c r="AH676" s="610"/>
      <c r="AI676" s="610"/>
      <c r="AJ676" s="610"/>
      <c r="AK676" s="610"/>
      <c r="AL676" s="610"/>
      <c r="AM676" s="610"/>
      <c r="AN676" s="610"/>
      <c r="AO676" s="610"/>
      <c r="AP676" s="610"/>
      <c r="AQ676" s="610"/>
    </row>
    <row r="677" spans="2:43" s="609" customFormat="1">
      <c r="B677" s="610"/>
      <c r="C677" s="610"/>
      <c r="D677" s="610"/>
      <c r="E677" s="610"/>
      <c r="F677" s="610"/>
      <c r="G677" s="610"/>
      <c r="H677" s="610"/>
      <c r="I677" s="610"/>
      <c r="J677" s="610"/>
      <c r="L677" s="610"/>
      <c r="M677" s="610"/>
      <c r="N677" s="610"/>
      <c r="O677" s="610"/>
      <c r="P677" s="610"/>
      <c r="Q677" s="610"/>
      <c r="R677" s="610"/>
      <c r="S677" s="610"/>
      <c r="T677" s="610"/>
      <c r="U677" s="610"/>
      <c r="V677" s="610"/>
      <c r="W677" s="610"/>
      <c r="X677" s="610"/>
      <c r="Y677" s="610"/>
      <c r="Z677" s="610"/>
      <c r="AA677" s="610"/>
      <c r="AB677" s="610"/>
      <c r="AC677" s="610"/>
      <c r="AD677" s="610"/>
      <c r="AE677" s="610"/>
      <c r="AF677" s="610"/>
      <c r="AG677" s="610"/>
      <c r="AH677" s="610"/>
      <c r="AI677" s="610"/>
      <c r="AJ677" s="610"/>
      <c r="AK677" s="610"/>
      <c r="AL677" s="610"/>
      <c r="AM677" s="610"/>
      <c r="AN677" s="610"/>
      <c r="AO677" s="610"/>
      <c r="AP677" s="610"/>
      <c r="AQ677" s="610"/>
    </row>
    <row r="678" spans="2:43" s="609" customFormat="1">
      <c r="B678" s="610"/>
      <c r="C678" s="610"/>
      <c r="D678" s="610"/>
      <c r="E678" s="610"/>
      <c r="F678" s="610"/>
      <c r="G678" s="610"/>
      <c r="H678" s="610"/>
      <c r="I678" s="610"/>
      <c r="J678" s="610"/>
      <c r="L678" s="610"/>
      <c r="M678" s="610"/>
      <c r="N678" s="610"/>
      <c r="O678" s="610"/>
      <c r="P678" s="610"/>
      <c r="Q678" s="610"/>
      <c r="R678" s="610"/>
      <c r="S678" s="610"/>
      <c r="T678" s="610"/>
      <c r="U678" s="610"/>
      <c r="V678" s="610"/>
      <c r="W678" s="610"/>
      <c r="X678" s="610"/>
      <c r="Y678" s="610"/>
      <c r="Z678" s="610"/>
      <c r="AA678" s="610"/>
      <c r="AB678" s="610"/>
      <c r="AC678" s="610"/>
      <c r="AD678" s="610"/>
      <c r="AE678" s="610"/>
      <c r="AF678" s="610"/>
      <c r="AG678" s="610"/>
      <c r="AH678" s="610"/>
      <c r="AI678" s="610"/>
      <c r="AJ678" s="610"/>
      <c r="AK678" s="610"/>
      <c r="AL678" s="610"/>
      <c r="AM678" s="610"/>
      <c r="AN678" s="610"/>
      <c r="AO678" s="610"/>
      <c r="AP678" s="610"/>
      <c r="AQ678" s="610"/>
    </row>
    <row r="679" spans="2:43" s="609" customFormat="1">
      <c r="B679" s="610"/>
      <c r="C679" s="610"/>
      <c r="D679" s="610"/>
      <c r="E679" s="610"/>
      <c r="F679" s="610"/>
      <c r="G679" s="610"/>
      <c r="H679" s="610"/>
      <c r="I679" s="610"/>
      <c r="J679" s="610"/>
      <c r="L679" s="610"/>
      <c r="M679" s="610"/>
      <c r="N679" s="610"/>
      <c r="O679" s="610"/>
      <c r="P679" s="610"/>
      <c r="Q679" s="610"/>
      <c r="R679" s="610"/>
      <c r="S679" s="610"/>
      <c r="T679" s="610"/>
      <c r="U679" s="610"/>
      <c r="V679" s="610"/>
      <c r="W679" s="610"/>
      <c r="X679" s="610"/>
      <c r="Y679" s="610"/>
      <c r="Z679" s="610"/>
      <c r="AA679" s="610"/>
      <c r="AB679" s="610"/>
      <c r="AC679" s="610"/>
      <c r="AD679" s="610"/>
      <c r="AE679" s="610"/>
      <c r="AF679" s="610"/>
      <c r="AG679" s="610"/>
      <c r="AH679" s="610"/>
      <c r="AI679" s="610"/>
      <c r="AJ679" s="610"/>
      <c r="AK679" s="610"/>
      <c r="AL679" s="610"/>
      <c r="AM679" s="610"/>
      <c r="AN679" s="610"/>
      <c r="AO679" s="610"/>
      <c r="AP679" s="610"/>
      <c r="AQ679" s="610"/>
    </row>
    <row r="680" spans="2:43" s="609" customFormat="1">
      <c r="B680" s="610"/>
      <c r="C680" s="610"/>
      <c r="D680" s="610"/>
      <c r="E680" s="610"/>
      <c r="F680" s="610"/>
      <c r="G680" s="610"/>
      <c r="H680" s="610"/>
      <c r="I680" s="610"/>
      <c r="J680" s="610"/>
      <c r="L680" s="610"/>
      <c r="M680" s="610"/>
      <c r="N680" s="610"/>
      <c r="O680" s="610"/>
      <c r="P680" s="610"/>
      <c r="Q680" s="610"/>
      <c r="R680" s="610"/>
      <c r="S680" s="610"/>
      <c r="T680" s="610"/>
      <c r="U680" s="610"/>
      <c r="V680" s="610"/>
      <c r="W680" s="610"/>
      <c r="X680" s="610"/>
      <c r="Y680" s="610"/>
      <c r="Z680" s="610"/>
      <c r="AA680" s="610"/>
      <c r="AB680" s="610"/>
      <c r="AC680" s="610"/>
      <c r="AD680" s="610"/>
      <c r="AE680" s="610"/>
      <c r="AF680" s="610"/>
      <c r="AG680" s="610"/>
      <c r="AH680" s="610"/>
      <c r="AI680" s="610"/>
      <c r="AJ680" s="610"/>
      <c r="AK680" s="610"/>
      <c r="AL680" s="610"/>
      <c r="AM680" s="610"/>
      <c r="AN680" s="610"/>
      <c r="AO680" s="610"/>
      <c r="AP680" s="610"/>
      <c r="AQ680" s="610"/>
    </row>
    <row r="681" spans="2:43" s="609" customFormat="1">
      <c r="B681" s="610"/>
      <c r="C681" s="610"/>
      <c r="D681" s="610"/>
      <c r="E681" s="610"/>
      <c r="F681" s="610"/>
      <c r="G681" s="610"/>
      <c r="H681" s="610"/>
      <c r="I681" s="610"/>
      <c r="J681" s="610"/>
      <c r="L681" s="610"/>
      <c r="M681" s="610"/>
      <c r="N681" s="610"/>
      <c r="O681" s="610"/>
      <c r="P681" s="610"/>
      <c r="Q681" s="610"/>
      <c r="R681" s="610"/>
      <c r="S681" s="610"/>
      <c r="T681" s="610"/>
      <c r="U681" s="610"/>
      <c r="V681" s="610"/>
      <c r="W681" s="610"/>
      <c r="X681" s="610"/>
      <c r="Y681" s="610"/>
      <c r="Z681" s="610"/>
      <c r="AA681" s="610"/>
      <c r="AB681" s="610"/>
      <c r="AC681" s="610"/>
      <c r="AD681" s="610"/>
      <c r="AE681" s="610"/>
      <c r="AF681" s="610"/>
      <c r="AG681" s="610"/>
      <c r="AH681" s="610"/>
      <c r="AI681" s="610"/>
      <c r="AJ681" s="610"/>
      <c r="AK681" s="610"/>
      <c r="AL681" s="610"/>
      <c r="AM681" s="610"/>
      <c r="AN681" s="610"/>
      <c r="AO681" s="610"/>
      <c r="AP681" s="610"/>
      <c r="AQ681" s="610"/>
    </row>
    <row r="682" spans="2:43" s="609" customFormat="1">
      <c r="B682" s="610"/>
      <c r="C682" s="610"/>
      <c r="D682" s="610"/>
      <c r="E682" s="610"/>
      <c r="F682" s="610"/>
      <c r="G682" s="610"/>
      <c r="H682" s="610"/>
      <c r="I682" s="610"/>
      <c r="J682" s="610"/>
      <c r="L682" s="610"/>
      <c r="M682" s="610"/>
      <c r="N682" s="610"/>
      <c r="O682" s="610"/>
      <c r="P682" s="610"/>
      <c r="Q682" s="610"/>
      <c r="R682" s="610"/>
      <c r="S682" s="610"/>
      <c r="T682" s="610"/>
      <c r="U682" s="610"/>
      <c r="V682" s="610"/>
      <c r="W682" s="610"/>
      <c r="X682" s="610"/>
      <c r="Y682" s="610"/>
      <c r="Z682" s="610"/>
      <c r="AA682" s="610"/>
      <c r="AB682" s="610"/>
      <c r="AC682" s="610"/>
      <c r="AD682" s="610"/>
      <c r="AE682" s="610"/>
      <c r="AF682" s="610"/>
      <c r="AG682" s="610"/>
      <c r="AH682" s="610"/>
      <c r="AI682" s="610"/>
      <c r="AJ682" s="610"/>
      <c r="AK682" s="610"/>
      <c r="AL682" s="610"/>
      <c r="AM682" s="610"/>
      <c r="AN682" s="610"/>
      <c r="AO682" s="610"/>
      <c r="AP682" s="610"/>
      <c r="AQ682" s="610"/>
    </row>
    <row r="683" spans="2:43" s="609" customFormat="1">
      <c r="B683" s="610"/>
      <c r="C683" s="610"/>
      <c r="D683" s="610"/>
      <c r="E683" s="610"/>
      <c r="F683" s="610"/>
      <c r="G683" s="610"/>
      <c r="H683" s="610"/>
      <c r="I683" s="610"/>
      <c r="J683" s="610"/>
      <c r="L683" s="610"/>
      <c r="M683" s="610"/>
      <c r="N683" s="610"/>
      <c r="O683" s="610"/>
      <c r="P683" s="610"/>
      <c r="Q683" s="610"/>
      <c r="R683" s="610"/>
      <c r="S683" s="610"/>
      <c r="T683" s="610"/>
      <c r="U683" s="610"/>
      <c r="V683" s="610"/>
      <c r="W683" s="610"/>
      <c r="X683" s="610"/>
      <c r="Y683" s="610"/>
      <c r="Z683" s="610"/>
      <c r="AA683" s="610"/>
      <c r="AB683" s="610"/>
      <c r="AC683" s="610"/>
      <c r="AD683" s="610"/>
      <c r="AE683" s="610"/>
      <c r="AF683" s="610"/>
      <c r="AG683" s="610"/>
      <c r="AH683" s="610"/>
      <c r="AI683" s="610"/>
      <c r="AJ683" s="610"/>
      <c r="AK683" s="610"/>
      <c r="AL683" s="610"/>
      <c r="AM683" s="610"/>
      <c r="AN683" s="610"/>
      <c r="AO683" s="610"/>
      <c r="AP683" s="610"/>
      <c r="AQ683" s="610"/>
    </row>
    <row r="684" spans="2:43" s="609" customFormat="1">
      <c r="B684" s="610"/>
      <c r="C684" s="610"/>
      <c r="D684" s="610"/>
      <c r="E684" s="610"/>
      <c r="F684" s="610"/>
      <c r="G684" s="610"/>
      <c r="H684" s="610"/>
      <c r="I684" s="610"/>
      <c r="J684" s="610"/>
      <c r="L684" s="610"/>
      <c r="M684" s="610"/>
      <c r="N684" s="610"/>
      <c r="O684" s="610"/>
      <c r="P684" s="610"/>
      <c r="Q684" s="610"/>
      <c r="R684" s="610"/>
      <c r="S684" s="610"/>
      <c r="T684" s="610"/>
      <c r="U684" s="610"/>
      <c r="V684" s="610"/>
      <c r="W684" s="610"/>
      <c r="X684" s="610"/>
      <c r="Y684" s="610"/>
      <c r="Z684" s="610"/>
      <c r="AA684" s="610"/>
      <c r="AB684" s="610"/>
      <c r="AC684" s="610"/>
      <c r="AD684" s="610"/>
      <c r="AE684" s="610"/>
      <c r="AF684" s="610"/>
      <c r="AG684" s="610"/>
      <c r="AH684" s="610"/>
      <c r="AI684" s="610"/>
      <c r="AJ684" s="610"/>
      <c r="AK684" s="610"/>
      <c r="AL684" s="610"/>
      <c r="AM684" s="610"/>
      <c r="AN684" s="610"/>
      <c r="AO684" s="610"/>
      <c r="AP684" s="610"/>
      <c r="AQ684" s="610"/>
    </row>
    <row r="685" spans="2:43" s="609" customFormat="1">
      <c r="B685" s="610"/>
      <c r="C685" s="610"/>
      <c r="D685" s="610"/>
      <c r="E685" s="610"/>
      <c r="F685" s="610"/>
      <c r="G685" s="610"/>
      <c r="H685" s="610"/>
      <c r="I685" s="610"/>
      <c r="J685" s="610"/>
      <c r="L685" s="610"/>
      <c r="M685" s="610"/>
      <c r="N685" s="610"/>
      <c r="O685" s="610"/>
      <c r="P685" s="610"/>
      <c r="Q685" s="610"/>
      <c r="R685" s="610"/>
      <c r="S685" s="610"/>
      <c r="T685" s="610"/>
      <c r="U685" s="610"/>
      <c r="V685" s="610"/>
      <c r="W685" s="610"/>
      <c r="X685" s="610"/>
      <c r="Y685" s="610"/>
      <c r="Z685" s="610"/>
      <c r="AA685" s="610"/>
      <c r="AB685" s="610"/>
      <c r="AC685" s="610"/>
      <c r="AD685" s="610"/>
      <c r="AE685" s="610"/>
      <c r="AF685" s="610"/>
      <c r="AG685" s="610"/>
      <c r="AH685" s="610"/>
      <c r="AI685" s="610"/>
      <c r="AJ685" s="610"/>
      <c r="AK685" s="610"/>
      <c r="AL685" s="610"/>
      <c r="AM685" s="610"/>
      <c r="AN685" s="610"/>
      <c r="AO685" s="610"/>
      <c r="AP685" s="610"/>
      <c r="AQ685" s="610"/>
    </row>
    <row r="686" spans="2:43" s="609" customFormat="1">
      <c r="B686" s="610"/>
      <c r="C686" s="610"/>
      <c r="D686" s="610"/>
      <c r="E686" s="610"/>
      <c r="F686" s="610"/>
      <c r="G686" s="610"/>
      <c r="H686" s="610"/>
      <c r="I686" s="610"/>
      <c r="J686" s="610"/>
      <c r="L686" s="610"/>
      <c r="M686" s="610"/>
      <c r="N686" s="610"/>
      <c r="O686" s="610"/>
      <c r="P686" s="610"/>
      <c r="Q686" s="610"/>
      <c r="R686" s="610"/>
      <c r="S686" s="610"/>
      <c r="T686" s="610"/>
      <c r="U686" s="610"/>
      <c r="V686" s="610"/>
      <c r="W686" s="610"/>
      <c r="X686" s="610"/>
      <c r="Y686" s="610"/>
      <c r="Z686" s="610"/>
      <c r="AA686" s="610"/>
      <c r="AB686" s="610"/>
      <c r="AC686" s="610"/>
      <c r="AD686" s="610"/>
      <c r="AE686" s="610"/>
      <c r="AF686" s="610"/>
      <c r="AG686" s="610"/>
      <c r="AH686" s="610"/>
      <c r="AI686" s="610"/>
      <c r="AJ686" s="610"/>
      <c r="AK686" s="610"/>
      <c r="AL686" s="610"/>
      <c r="AM686" s="610"/>
      <c r="AN686" s="610"/>
      <c r="AO686" s="610"/>
      <c r="AP686" s="610"/>
      <c r="AQ686" s="610"/>
    </row>
    <row r="687" spans="2:43" s="609" customFormat="1">
      <c r="B687" s="610"/>
      <c r="C687" s="610"/>
      <c r="D687" s="610"/>
      <c r="E687" s="610"/>
      <c r="F687" s="610"/>
      <c r="G687" s="610"/>
      <c r="H687" s="610"/>
      <c r="I687" s="610"/>
      <c r="J687" s="610"/>
      <c r="L687" s="610"/>
      <c r="M687" s="610"/>
      <c r="N687" s="610"/>
      <c r="O687" s="610"/>
      <c r="P687" s="610"/>
      <c r="Q687" s="610"/>
      <c r="R687" s="610"/>
      <c r="S687" s="610"/>
      <c r="T687" s="610"/>
      <c r="U687" s="610"/>
      <c r="V687" s="610"/>
      <c r="W687" s="610"/>
      <c r="X687" s="610"/>
      <c r="Y687" s="610"/>
      <c r="Z687" s="610"/>
      <c r="AA687" s="610"/>
      <c r="AB687" s="610"/>
      <c r="AC687" s="610"/>
      <c r="AD687" s="610"/>
      <c r="AE687" s="610"/>
      <c r="AF687" s="610"/>
      <c r="AG687" s="610"/>
      <c r="AH687" s="610"/>
      <c r="AI687" s="610"/>
      <c r="AJ687" s="610"/>
      <c r="AK687" s="610"/>
      <c r="AL687" s="610"/>
      <c r="AM687" s="610"/>
      <c r="AN687" s="610"/>
      <c r="AO687" s="610"/>
      <c r="AP687" s="610"/>
      <c r="AQ687" s="610"/>
    </row>
    <row r="688" spans="2:43" s="609" customFormat="1">
      <c r="B688" s="610"/>
      <c r="C688" s="610"/>
      <c r="D688" s="610"/>
      <c r="E688" s="610"/>
      <c r="F688" s="610"/>
      <c r="G688" s="610"/>
      <c r="H688" s="610"/>
      <c r="I688" s="610"/>
      <c r="J688" s="610"/>
      <c r="L688" s="610"/>
      <c r="M688" s="610"/>
      <c r="N688" s="610"/>
      <c r="O688" s="610"/>
      <c r="P688" s="610"/>
      <c r="Q688" s="610"/>
      <c r="R688" s="610"/>
      <c r="S688" s="610"/>
      <c r="T688" s="610"/>
      <c r="U688" s="610"/>
      <c r="V688" s="610"/>
      <c r="W688" s="610"/>
      <c r="X688" s="610"/>
      <c r="Y688" s="610"/>
      <c r="Z688" s="610"/>
      <c r="AA688" s="610"/>
      <c r="AB688" s="610"/>
      <c r="AC688" s="610"/>
      <c r="AD688" s="610"/>
      <c r="AE688" s="610"/>
      <c r="AF688" s="610"/>
      <c r="AG688" s="610"/>
      <c r="AH688" s="610"/>
      <c r="AI688" s="610"/>
      <c r="AJ688" s="610"/>
      <c r="AK688" s="610"/>
      <c r="AL688" s="610"/>
      <c r="AM688" s="610"/>
      <c r="AN688" s="610"/>
      <c r="AO688" s="610"/>
      <c r="AP688" s="610"/>
      <c r="AQ688" s="610"/>
    </row>
    <row r="689" spans="2:43" s="609" customFormat="1">
      <c r="B689" s="610"/>
      <c r="C689" s="610"/>
      <c r="D689" s="610"/>
      <c r="E689" s="610"/>
      <c r="F689" s="610"/>
      <c r="G689" s="610"/>
      <c r="H689" s="610"/>
      <c r="I689" s="610"/>
      <c r="J689" s="610"/>
      <c r="L689" s="610"/>
      <c r="M689" s="610"/>
      <c r="N689" s="610"/>
      <c r="O689" s="610"/>
      <c r="P689" s="610"/>
      <c r="Q689" s="610"/>
      <c r="R689" s="610"/>
      <c r="S689" s="610"/>
      <c r="T689" s="610"/>
      <c r="U689" s="610"/>
      <c r="V689" s="610"/>
      <c r="W689" s="610"/>
      <c r="X689" s="610"/>
      <c r="Y689" s="610"/>
      <c r="Z689" s="610"/>
      <c r="AA689" s="610"/>
      <c r="AB689" s="610"/>
      <c r="AC689" s="610"/>
      <c r="AD689" s="610"/>
      <c r="AE689" s="610"/>
      <c r="AF689" s="610"/>
      <c r="AG689" s="610"/>
      <c r="AH689" s="610"/>
      <c r="AI689" s="610"/>
      <c r="AJ689" s="610"/>
      <c r="AK689" s="610"/>
      <c r="AL689" s="610"/>
      <c r="AM689" s="610"/>
      <c r="AN689" s="610"/>
      <c r="AO689" s="610"/>
      <c r="AP689" s="610"/>
      <c r="AQ689" s="610"/>
    </row>
    <row r="690" spans="2:43" s="609" customFormat="1">
      <c r="B690" s="610"/>
      <c r="C690" s="610"/>
      <c r="D690" s="610"/>
      <c r="E690" s="610"/>
      <c r="F690" s="610"/>
      <c r="G690" s="610"/>
      <c r="H690" s="610"/>
      <c r="I690" s="610"/>
      <c r="J690" s="610"/>
      <c r="L690" s="610"/>
      <c r="M690" s="610"/>
      <c r="N690" s="610"/>
      <c r="O690" s="610"/>
      <c r="P690" s="610"/>
      <c r="Q690" s="610"/>
      <c r="R690" s="610"/>
      <c r="S690" s="610"/>
      <c r="T690" s="610"/>
      <c r="U690" s="610"/>
      <c r="V690" s="610"/>
      <c r="W690" s="610"/>
      <c r="X690" s="610"/>
      <c r="Y690" s="610"/>
      <c r="Z690" s="610"/>
      <c r="AA690" s="610"/>
      <c r="AB690" s="610"/>
      <c r="AC690" s="610"/>
      <c r="AD690" s="610"/>
      <c r="AE690" s="610"/>
      <c r="AF690" s="610"/>
      <c r="AG690" s="610"/>
      <c r="AH690" s="610"/>
      <c r="AI690" s="610"/>
      <c r="AJ690" s="610"/>
      <c r="AK690" s="610"/>
      <c r="AL690" s="610"/>
      <c r="AM690" s="610"/>
      <c r="AN690" s="610"/>
      <c r="AO690" s="610"/>
      <c r="AP690" s="610"/>
      <c r="AQ690" s="610"/>
    </row>
    <row r="691" spans="2:43" s="609" customFormat="1">
      <c r="B691" s="610"/>
      <c r="C691" s="610"/>
      <c r="D691" s="610"/>
      <c r="E691" s="610"/>
      <c r="F691" s="610"/>
      <c r="G691" s="610"/>
      <c r="H691" s="610"/>
      <c r="I691" s="610"/>
      <c r="J691" s="610"/>
      <c r="L691" s="610"/>
      <c r="M691" s="610"/>
      <c r="N691" s="610"/>
      <c r="O691" s="610"/>
      <c r="P691" s="610"/>
      <c r="Q691" s="610"/>
      <c r="R691" s="610"/>
      <c r="S691" s="610"/>
      <c r="T691" s="610"/>
      <c r="U691" s="610"/>
      <c r="V691" s="610"/>
      <c r="W691" s="610"/>
      <c r="X691" s="610"/>
      <c r="Y691" s="610"/>
      <c r="Z691" s="610"/>
      <c r="AA691" s="610"/>
      <c r="AB691" s="610"/>
      <c r="AC691" s="610"/>
      <c r="AD691" s="610"/>
      <c r="AE691" s="610"/>
      <c r="AF691" s="610"/>
      <c r="AG691" s="610"/>
      <c r="AH691" s="610"/>
      <c r="AI691" s="610"/>
      <c r="AJ691" s="610"/>
      <c r="AK691" s="610"/>
      <c r="AL691" s="610"/>
      <c r="AM691" s="610"/>
      <c r="AN691" s="610"/>
      <c r="AO691" s="610"/>
      <c r="AP691" s="610"/>
      <c r="AQ691" s="610"/>
    </row>
    <row r="692" spans="2:43" s="609" customFormat="1">
      <c r="B692" s="610"/>
      <c r="C692" s="610"/>
      <c r="D692" s="610"/>
      <c r="E692" s="610"/>
      <c r="F692" s="610"/>
      <c r="G692" s="610"/>
      <c r="H692" s="610"/>
      <c r="I692" s="610"/>
      <c r="J692" s="610"/>
      <c r="L692" s="610"/>
      <c r="M692" s="610"/>
      <c r="N692" s="610"/>
      <c r="O692" s="610"/>
      <c r="P692" s="610"/>
      <c r="Q692" s="610"/>
      <c r="R692" s="610"/>
      <c r="S692" s="610"/>
      <c r="T692" s="610"/>
      <c r="U692" s="610"/>
      <c r="V692" s="610"/>
      <c r="W692" s="610"/>
      <c r="X692" s="610"/>
      <c r="Y692" s="610"/>
      <c r="Z692" s="610"/>
      <c r="AA692" s="610"/>
      <c r="AB692" s="610"/>
      <c r="AC692" s="610"/>
      <c r="AD692" s="610"/>
      <c r="AE692" s="610"/>
      <c r="AF692" s="610"/>
      <c r="AG692" s="610"/>
      <c r="AH692" s="610"/>
      <c r="AI692" s="610"/>
      <c r="AJ692" s="610"/>
      <c r="AK692" s="610"/>
      <c r="AL692" s="610"/>
      <c r="AM692" s="610"/>
      <c r="AN692" s="610"/>
      <c r="AO692" s="610"/>
      <c r="AP692" s="610"/>
      <c r="AQ692" s="610"/>
    </row>
    <row r="693" spans="2:43" s="609" customFormat="1">
      <c r="B693" s="610"/>
      <c r="C693" s="610"/>
      <c r="D693" s="610"/>
      <c r="E693" s="610"/>
      <c r="F693" s="610"/>
      <c r="G693" s="610"/>
      <c r="H693" s="610"/>
      <c r="I693" s="610"/>
      <c r="J693" s="610"/>
      <c r="L693" s="610"/>
      <c r="M693" s="610"/>
      <c r="N693" s="610"/>
      <c r="O693" s="610"/>
      <c r="P693" s="610"/>
      <c r="Q693" s="610"/>
      <c r="R693" s="610"/>
      <c r="S693" s="610"/>
      <c r="T693" s="610"/>
      <c r="U693" s="610"/>
      <c r="V693" s="610"/>
      <c r="W693" s="610"/>
      <c r="X693" s="610"/>
      <c r="Y693" s="610"/>
      <c r="Z693" s="610"/>
      <c r="AA693" s="610"/>
      <c r="AB693" s="610"/>
      <c r="AC693" s="610"/>
      <c r="AD693" s="610"/>
      <c r="AE693" s="610"/>
      <c r="AF693" s="610"/>
      <c r="AG693" s="610"/>
      <c r="AH693" s="610"/>
      <c r="AI693" s="610"/>
      <c r="AJ693" s="610"/>
      <c r="AK693" s="610"/>
      <c r="AL693" s="610"/>
      <c r="AM693" s="610"/>
      <c r="AN693" s="610"/>
      <c r="AO693" s="610"/>
      <c r="AP693" s="610"/>
      <c r="AQ693" s="610"/>
    </row>
    <row r="694" spans="2:43" s="609" customFormat="1">
      <c r="B694" s="610"/>
      <c r="C694" s="610"/>
      <c r="D694" s="610"/>
      <c r="E694" s="610"/>
      <c r="F694" s="610"/>
      <c r="G694" s="610"/>
      <c r="H694" s="610"/>
      <c r="I694" s="610"/>
      <c r="J694" s="610"/>
      <c r="L694" s="610"/>
      <c r="M694" s="610"/>
      <c r="N694" s="610"/>
      <c r="O694" s="610"/>
      <c r="P694" s="610"/>
      <c r="Q694" s="610"/>
      <c r="R694" s="610"/>
      <c r="S694" s="610"/>
      <c r="T694" s="610"/>
      <c r="U694" s="610"/>
      <c r="V694" s="610"/>
      <c r="W694" s="610"/>
      <c r="X694" s="610"/>
      <c r="Y694" s="610"/>
      <c r="Z694" s="610"/>
      <c r="AA694" s="610"/>
      <c r="AB694" s="610"/>
      <c r="AC694" s="610"/>
      <c r="AD694" s="610"/>
      <c r="AE694" s="610"/>
      <c r="AF694" s="610"/>
      <c r="AG694" s="610"/>
      <c r="AH694" s="610"/>
      <c r="AI694" s="610"/>
      <c r="AJ694" s="610"/>
      <c r="AK694" s="610"/>
      <c r="AL694" s="610"/>
      <c r="AM694" s="610"/>
      <c r="AN694" s="610"/>
      <c r="AO694" s="610"/>
      <c r="AP694" s="610"/>
      <c r="AQ694" s="610"/>
    </row>
    <row r="695" spans="2:43" s="609" customFormat="1">
      <c r="B695" s="610"/>
      <c r="C695" s="610"/>
      <c r="D695" s="610"/>
      <c r="E695" s="610"/>
      <c r="F695" s="610"/>
      <c r="G695" s="610"/>
      <c r="H695" s="610"/>
      <c r="I695" s="610"/>
      <c r="J695" s="610"/>
      <c r="L695" s="610"/>
      <c r="M695" s="610"/>
      <c r="N695" s="610"/>
      <c r="O695" s="610"/>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c r="AN695" s="610"/>
      <c r="AO695" s="610"/>
      <c r="AP695" s="610"/>
      <c r="AQ695" s="610"/>
    </row>
    <row r="696" spans="2:43" s="609" customFormat="1">
      <c r="B696" s="610"/>
      <c r="C696" s="610"/>
      <c r="D696" s="610"/>
      <c r="E696" s="610"/>
      <c r="F696" s="610"/>
      <c r="G696" s="610"/>
      <c r="H696" s="610"/>
      <c r="I696" s="610"/>
      <c r="J696" s="610"/>
      <c r="L696" s="610"/>
      <c r="M696" s="610"/>
      <c r="N696" s="610"/>
      <c r="O696" s="610"/>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c r="AN696" s="610"/>
      <c r="AO696" s="610"/>
      <c r="AP696" s="610"/>
      <c r="AQ696" s="610"/>
    </row>
    <row r="697" spans="2:43" s="609" customFormat="1">
      <c r="B697" s="610"/>
      <c r="C697" s="610"/>
      <c r="D697" s="610"/>
      <c r="E697" s="610"/>
      <c r="F697" s="610"/>
      <c r="G697" s="610"/>
      <c r="H697" s="610"/>
      <c r="I697" s="610"/>
      <c r="J697" s="610"/>
      <c r="L697" s="610"/>
      <c r="M697" s="610"/>
      <c r="N697" s="610"/>
      <c r="O697" s="610"/>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c r="AN697" s="610"/>
      <c r="AO697" s="610"/>
      <c r="AP697" s="610"/>
      <c r="AQ697" s="610"/>
    </row>
    <row r="698" spans="2:43" s="609" customFormat="1">
      <c r="B698" s="610"/>
      <c r="C698" s="610"/>
      <c r="D698" s="610"/>
      <c r="E698" s="610"/>
      <c r="F698" s="610"/>
      <c r="G698" s="610"/>
      <c r="H698" s="610"/>
      <c r="I698" s="610"/>
      <c r="J698" s="610"/>
      <c r="L698" s="610"/>
      <c r="M698" s="610"/>
      <c r="N698" s="610"/>
      <c r="O698" s="610"/>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c r="AN698" s="610"/>
      <c r="AO698" s="610"/>
      <c r="AP698" s="610"/>
      <c r="AQ698" s="610"/>
    </row>
    <row r="699" spans="2:43" s="609" customFormat="1">
      <c r="B699" s="610"/>
      <c r="C699" s="610"/>
      <c r="D699" s="610"/>
      <c r="E699" s="610"/>
      <c r="F699" s="610"/>
      <c r="G699" s="610"/>
      <c r="H699" s="610"/>
      <c r="I699" s="610"/>
      <c r="J699" s="610"/>
      <c r="L699" s="610"/>
      <c r="M699" s="610"/>
      <c r="N699" s="610"/>
      <c r="O699" s="610"/>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c r="AN699" s="610"/>
      <c r="AO699" s="610"/>
      <c r="AP699" s="610"/>
      <c r="AQ699" s="610"/>
    </row>
    <row r="700" spans="2:43" s="609" customFormat="1">
      <c r="B700" s="610"/>
      <c r="C700" s="610"/>
      <c r="D700" s="610"/>
      <c r="E700" s="610"/>
      <c r="F700" s="610"/>
      <c r="G700" s="610"/>
      <c r="H700" s="610"/>
      <c r="I700" s="610"/>
      <c r="J700" s="610"/>
      <c r="L700" s="610"/>
      <c r="M700" s="610"/>
      <c r="N700" s="610"/>
      <c r="O700" s="610"/>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c r="AN700" s="610"/>
      <c r="AO700" s="610"/>
      <c r="AP700" s="610"/>
      <c r="AQ700" s="610"/>
    </row>
    <row r="701" spans="2:43" s="609" customFormat="1">
      <c r="B701" s="610"/>
      <c r="C701" s="610"/>
      <c r="D701" s="610"/>
      <c r="E701" s="610"/>
      <c r="F701" s="610"/>
      <c r="G701" s="610"/>
      <c r="H701" s="610"/>
      <c r="I701" s="610"/>
      <c r="J701" s="610"/>
      <c r="L701" s="610"/>
      <c r="M701" s="610"/>
      <c r="N701" s="610"/>
      <c r="O701" s="610"/>
      <c r="P701" s="610"/>
      <c r="Q701" s="610"/>
      <c r="R701" s="610"/>
      <c r="S701" s="610"/>
      <c r="T701" s="610"/>
      <c r="U701" s="610"/>
      <c r="V701" s="610"/>
      <c r="W701" s="610"/>
      <c r="X701" s="610"/>
      <c r="Y701" s="610"/>
      <c r="Z701" s="610"/>
      <c r="AA701" s="610"/>
      <c r="AB701" s="610"/>
      <c r="AC701" s="610"/>
      <c r="AD701" s="610"/>
      <c r="AE701" s="610"/>
      <c r="AF701" s="610"/>
      <c r="AG701" s="610"/>
      <c r="AH701" s="610"/>
      <c r="AI701" s="610"/>
      <c r="AJ701" s="610"/>
      <c r="AK701" s="610"/>
      <c r="AL701" s="610"/>
      <c r="AM701" s="610"/>
      <c r="AN701" s="610"/>
      <c r="AO701" s="610"/>
      <c r="AP701" s="610"/>
      <c r="AQ701" s="610"/>
    </row>
    <row r="702" spans="2:43" s="609" customFormat="1">
      <c r="B702" s="610"/>
      <c r="C702" s="610"/>
      <c r="D702" s="610"/>
      <c r="E702" s="610"/>
      <c r="F702" s="610"/>
      <c r="G702" s="610"/>
      <c r="H702" s="610"/>
      <c r="I702" s="610"/>
      <c r="J702" s="610"/>
      <c r="L702" s="610"/>
      <c r="M702" s="610"/>
      <c r="N702" s="610"/>
      <c r="O702" s="610"/>
      <c r="P702" s="610"/>
      <c r="Q702" s="610"/>
      <c r="R702" s="610"/>
      <c r="S702" s="610"/>
      <c r="T702" s="610"/>
      <c r="U702" s="610"/>
      <c r="V702" s="610"/>
      <c r="W702" s="610"/>
      <c r="X702" s="610"/>
      <c r="Y702" s="610"/>
      <c r="Z702" s="610"/>
      <c r="AA702" s="610"/>
      <c r="AB702" s="610"/>
      <c r="AC702" s="610"/>
      <c r="AD702" s="610"/>
      <c r="AE702" s="610"/>
      <c r="AF702" s="610"/>
      <c r="AG702" s="610"/>
      <c r="AH702" s="610"/>
      <c r="AI702" s="610"/>
      <c r="AJ702" s="610"/>
      <c r="AK702" s="610"/>
      <c r="AL702" s="610"/>
      <c r="AM702" s="610"/>
      <c r="AN702" s="610"/>
      <c r="AO702" s="610"/>
      <c r="AP702" s="610"/>
      <c r="AQ702" s="610"/>
    </row>
    <row r="703" spans="2:43" s="609" customFormat="1">
      <c r="B703" s="610"/>
      <c r="C703" s="610"/>
      <c r="D703" s="610"/>
      <c r="E703" s="610"/>
      <c r="F703" s="610"/>
      <c r="G703" s="610"/>
      <c r="H703" s="610"/>
      <c r="I703" s="610"/>
      <c r="J703" s="610"/>
      <c r="L703" s="610"/>
      <c r="M703" s="610"/>
      <c r="N703" s="610"/>
      <c r="O703" s="610"/>
      <c r="P703" s="610"/>
      <c r="Q703" s="610"/>
      <c r="R703" s="610"/>
      <c r="S703" s="610"/>
      <c r="T703" s="610"/>
      <c r="U703" s="610"/>
      <c r="V703" s="610"/>
      <c r="W703" s="610"/>
      <c r="X703" s="610"/>
      <c r="Y703" s="610"/>
      <c r="Z703" s="610"/>
      <c r="AA703" s="610"/>
      <c r="AB703" s="610"/>
      <c r="AC703" s="610"/>
      <c r="AD703" s="610"/>
      <c r="AE703" s="610"/>
      <c r="AF703" s="610"/>
      <c r="AG703" s="610"/>
      <c r="AH703" s="610"/>
      <c r="AI703" s="610"/>
      <c r="AJ703" s="610"/>
      <c r="AK703" s="610"/>
      <c r="AL703" s="610"/>
      <c r="AM703" s="610"/>
      <c r="AN703" s="610"/>
      <c r="AO703" s="610"/>
      <c r="AP703" s="610"/>
      <c r="AQ703" s="610"/>
    </row>
    <row r="704" spans="2:43" s="609" customFormat="1">
      <c r="B704" s="610"/>
      <c r="C704" s="610"/>
      <c r="D704" s="610"/>
      <c r="E704" s="610"/>
      <c r="F704" s="610"/>
      <c r="G704" s="610"/>
      <c r="H704" s="610"/>
      <c r="I704" s="610"/>
      <c r="J704" s="610"/>
      <c r="L704" s="610"/>
      <c r="M704" s="610"/>
      <c r="N704" s="610"/>
      <c r="O704" s="610"/>
      <c r="P704" s="610"/>
      <c r="Q704" s="610"/>
      <c r="R704" s="610"/>
      <c r="S704" s="610"/>
      <c r="T704" s="610"/>
      <c r="U704" s="610"/>
      <c r="V704" s="610"/>
      <c r="W704" s="610"/>
      <c r="X704" s="610"/>
      <c r="Y704" s="610"/>
      <c r="Z704" s="610"/>
      <c r="AA704" s="610"/>
      <c r="AB704" s="610"/>
      <c r="AC704" s="610"/>
      <c r="AD704" s="610"/>
      <c r="AE704" s="610"/>
      <c r="AF704" s="610"/>
      <c r="AG704" s="610"/>
      <c r="AH704" s="610"/>
      <c r="AI704" s="610"/>
      <c r="AJ704" s="610"/>
      <c r="AK704" s="610"/>
      <c r="AL704" s="610"/>
      <c r="AM704" s="610"/>
      <c r="AN704" s="610"/>
      <c r="AO704" s="610"/>
      <c r="AP704" s="610"/>
      <c r="AQ704" s="610"/>
    </row>
    <row r="705" spans="2:43" s="609" customFormat="1">
      <c r="B705" s="610"/>
      <c r="C705" s="610"/>
      <c r="D705" s="610"/>
      <c r="E705" s="610"/>
      <c r="F705" s="610"/>
      <c r="G705" s="610"/>
      <c r="H705" s="610"/>
      <c r="I705" s="610"/>
      <c r="J705" s="610"/>
      <c r="L705" s="610"/>
      <c r="M705" s="610"/>
      <c r="N705" s="610"/>
      <c r="O705" s="610"/>
      <c r="P705" s="610"/>
      <c r="Q705" s="610"/>
      <c r="R705" s="610"/>
      <c r="S705" s="610"/>
      <c r="T705" s="610"/>
      <c r="U705" s="610"/>
      <c r="V705" s="610"/>
      <c r="W705" s="610"/>
      <c r="X705" s="610"/>
      <c r="Y705" s="610"/>
      <c r="Z705" s="610"/>
      <c r="AA705" s="610"/>
      <c r="AB705" s="610"/>
      <c r="AC705" s="610"/>
      <c r="AD705" s="610"/>
      <c r="AE705" s="610"/>
      <c r="AF705" s="610"/>
      <c r="AG705" s="610"/>
      <c r="AH705" s="610"/>
      <c r="AI705" s="610"/>
      <c r="AJ705" s="610"/>
      <c r="AK705" s="610"/>
      <c r="AL705" s="610"/>
      <c r="AM705" s="610"/>
      <c r="AN705" s="610"/>
      <c r="AO705" s="610"/>
      <c r="AP705" s="610"/>
      <c r="AQ705" s="610"/>
    </row>
    <row r="706" spans="2:43" s="609" customFormat="1">
      <c r="B706" s="610"/>
      <c r="C706" s="610"/>
      <c r="D706" s="610"/>
      <c r="E706" s="610"/>
      <c r="F706" s="610"/>
      <c r="G706" s="610"/>
      <c r="H706" s="610"/>
      <c r="I706" s="610"/>
      <c r="J706" s="610"/>
      <c r="L706" s="610"/>
      <c r="M706" s="610"/>
      <c r="N706" s="610"/>
      <c r="O706" s="610"/>
      <c r="P706" s="610"/>
      <c r="Q706" s="610"/>
      <c r="R706" s="610"/>
      <c r="S706" s="610"/>
      <c r="T706" s="610"/>
      <c r="U706" s="610"/>
      <c r="V706" s="610"/>
      <c r="W706" s="610"/>
      <c r="X706" s="610"/>
      <c r="Y706" s="610"/>
      <c r="Z706" s="610"/>
      <c r="AA706" s="610"/>
      <c r="AB706" s="610"/>
      <c r="AC706" s="610"/>
      <c r="AD706" s="610"/>
      <c r="AE706" s="610"/>
      <c r="AF706" s="610"/>
      <c r="AG706" s="610"/>
      <c r="AH706" s="610"/>
      <c r="AI706" s="610"/>
      <c r="AJ706" s="610"/>
      <c r="AK706" s="610"/>
      <c r="AL706" s="610"/>
      <c r="AM706" s="610"/>
      <c r="AN706" s="610"/>
      <c r="AO706" s="610"/>
      <c r="AP706" s="610"/>
      <c r="AQ706" s="610"/>
    </row>
    <row r="707" spans="2:43" s="609" customFormat="1">
      <c r="B707" s="610"/>
      <c r="C707" s="610"/>
      <c r="D707" s="610"/>
      <c r="E707" s="610"/>
      <c r="F707" s="610"/>
      <c r="G707" s="610"/>
      <c r="H707" s="610"/>
      <c r="I707" s="610"/>
      <c r="J707" s="610"/>
      <c r="L707" s="610"/>
      <c r="M707" s="610"/>
      <c r="N707" s="610"/>
      <c r="O707" s="610"/>
      <c r="P707" s="610"/>
      <c r="Q707" s="610"/>
      <c r="R707" s="610"/>
      <c r="S707" s="610"/>
      <c r="T707" s="610"/>
      <c r="U707" s="610"/>
      <c r="V707" s="610"/>
      <c r="W707" s="610"/>
      <c r="X707" s="610"/>
      <c r="Y707" s="610"/>
      <c r="Z707" s="610"/>
      <c r="AA707" s="610"/>
      <c r="AB707" s="610"/>
      <c r="AC707" s="610"/>
      <c r="AD707" s="610"/>
      <c r="AE707" s="610"/>
      <c r="AF707" s="610"/>
      <c r="AG707" s="610"/>
      <c r="AH707" s="610"/>
      <c r="AI707" s="610"/>
      <c r="AJ707" s="610"/>
      <c r="AK707" s="610"/>
      <c r="AL707" s="610"/>
      <c r="AM707" s="610"/>
      <c r="AN707" s="610"/>
      <c r="AO707" s="610"/>
      <c r="AP707" s="610"/>
      <c r="AQ707" s="610"/>
    </row>
    <row r="708" spans="2:43" s="609" customFormat="1">
      <c r="B708" s="610"/>
      <c r="C708" s="610"/>
      <c r="D708" s="610"/>
      <c r="E708" s="610"/>
      <c r="F708" s="610"/>
      <c r="G708" s="610"/>
      <c r="H708" s="610"/>
      <c r="I708" s="610"/>
      <c r="J708" s="610"/>
      <c r="L708" s="610"/>
      <c r="M708" s="610"/>
      <c r="N708" s="610"/>
      <c r="O708" s="610"/>
      <c r="P708" s="610"/>
      <c r="Q708" s="610"/>
      <c r="R708" s="610"/>
      <c r="S708" s="610"/>
      <c r="T708" s="610"/>
      <c r="U708" s="610"/>
      <c r="V708" s="610"/>
      <c r="W708" s="610"/>
      <c r="X708" s="610"/>
      <c r="Y708" s="610"/>
      <c r="Z708" s="610"/>
      <c r="AA708" s="610"/>
      <c r="AB708" s="610"/>
      <c r="AC708" s="610"/>
      <c r="AD708" s="610"/>
      <c r="AE708" s="610"/>
      <c r="AF708" s="610"/>
      <c r="AG708" s="610"/>
      <c r="AH708" s="610"/>
      <c r="AI708" s="610"/>
      <c r="AJ708" s="610"/>
      <c r="AK708" s="610"/>
      <c r="AL708" s="610"/>
      <c r="AM708" s="610"/>
      <c r="AN708" s="610"/>
      <c r="AO708" s="610"/>
      <c r="AP708" s="610"/>
      <c r="AQ708" s="610"/>
    </row>
    <row r="709" spans="2:43" s="609" customFormat="1">
      <c r="B709" s="610"/>
      <c r="C709" s="610"/>
      <c r="D709" s="610"/>
      <c r="E709" s="610"/>
      <c r="F709" s="610"/>
      <c r="G709" s="610"/>
      <c r="H709" s="610"/>
      <c r="I709" s="610"/>
      <c r="J709" s="610"/>
      <c r="L709" s="610"/>
      <c r="M709" s="610"/>
      <c r="N709" s="610"/>
      <c r="O709" s="610"/>
      <c r="P709" s="610"/>
      <c r="Q709" s="610"/>
      <c r="R709" s="610"/>
      <c r="S709" s="610"/>
      <c r="T709" s="610"/>
      <c r="U709" s="610"/>
      <c r="V709" s="610"/>
      <c r="W709" s="610"/>
      <c r="X709" s="610"/>
      <c r="Y709" s="610"/>
      <c r="Z709" s="610"/>
      <c r="AA709" s="610"/>
      <c r="AB709" s="610"/>
      <c r="AC709" s="610"/>
      <c r="AD709" s="610"/>
      <c r="AE709" s="610"/>
      <c r="AF709" s="610"/>
      <c r="AG709" s="610"/>
      <c r="AH709" s="610"/>
      <c r="AI709" s="610"/>
      <c r="AJ709" s="610"/>
      <c r="AK709" s="610"/>
      <c r="AL709" s="610"/>
      <c r="AM709" s="610"/>
      <c r="AN709" s="610"/>
      <c r="AO709" s="610"/>
      <c r="AP709" s="610"/>
      <c r="AQ709" s="610"/>
    </row>
    <row r="710" spans="2:43" s="609" customFormat="1">
      <c r="B710" s="610"/>
      <c r="C710" s="610"/>
      <c r="D710" s="610"/>
      <c r="E710" s="610"/>
      <c r="F710" s="610"/>
      <c r="G710" s="610"/>
      <c r="H710" s="610"/>
      <c r="I710" s="610"/>
      <c r="J710" s="610"/>
      <c r="L710" s="610"/>
      <c r="M710" s="610"/>
      <c r="N710" s="610"/>
      <c r="O710" s="610"/>
      <c r="P710" s="610"/>
      <c r="Q710" s="610"/>
      <c r="R710" s="610"/>
      <c r="S710" s="610"/>
      <c r="T710" s="610"/>
      <c r="U710" s="610"/>
      <c r="V710" s="610"/>
      <c r="W710" s="610"/>
      <c r="X710" s="610"/>
      <c r="Y710" s="610"/>
      <c r="Z710" s="610"/>
      <c r="AA710" s="610"/>
      <c r="AB710" s="610"/>
      <c r="AC710" s="610"/>
      <c r="AD710" s="610"/>
      <c r="AE710" s="610"/>
      <c r="AF710" s="610"/>
      <c r="AG710" s="610"/>
      <c r="AH710" s="610"/>
      <c r="AI710" s="610"/>
      <c r="AJ710" s="610"/>
      <c r="AK710" s="610"/>
      <c r="AL710" s="610"/>
      <c r="AM710" s="610"/>
      <c r="AN710" s="610"/>
      <c r="AO710" s="610"/>
      <c r="AP710" s="610"/>
      <c r="AQ710" s="610"/>
    </row>
    <row r="711" spans="2:43" s="609" customFormat="1">
      <c r="B711" s="610"/>
      <c r="C711" s="610"/>
      <c r="D711" s="610"/>
      <c r="E711" s="610"/>
      <c r="F711" s="610"/>
      <c r="G711" s="610"/>
      <c r="H711" s="610"/>
      <c r="I711" s="610"/>
      <c r="J711" s="610"/>
      <c r="L711" s="610"/>
      <c r="M711" s="610"/>
      <c r="N711" s="610"/>
      <c r="O711" s="610"/>
      <c r="P711" s="610"/>
      <c r="Q711" s="610"/>
      <c r="R711" s="610"/>
      <c r="S711" s="610"/>
      <c r="T711" s="610"/>
      <c r="U711" s="610"/>
      <c r="V711" s="610"/>
      <c r="W711" s="610"/>
      <c r="X711" s="610"/>
      <c r="Y711" s="610"/>
      <c r="Z711" s="610"/>
      <c r="AA711" s="610"/>
      <c r="AB711" s="610"/>
      <c r="AC711" s="610"/>
      <c r="AD711" s="610"/>
      <c r="AE711" s="610"/>
      <c r="AF711" s="610"/>
      <c r="AG711" s="610"/>
      <c r="AH711" s="610"/>
      <c r="AI711" s="610"/>
      <c r="AJ711" s="610"/>
      <c r="AK711" s="610"/>
      <c r="AL711" s="610"/>
      <c r="AM711" s="610"/>
      <c r="AN711" s="610"/>
      <c r="AO711" s="610"/>
      <c r="AP711" s="610"/>
      <c r="AQ711" s="610"/>
    </row>
    <row r="712" spans="2:43" s="609" customFormat="1">
      <c r="B712" s="610"/>
      <c r="C712" s="610"/>
      <c r="D712" s="610"/>
      <c r="E712" s="610"/>
      <c r="F712" s="610"/>
      <c r="G712" s="610"/>
      <c r="H712" s="610"/>
      <c r="I712" s="610"/>
      <c r="J712" s="610"/>
      <c r="L712" s="610"/>
      <c r="M712" s="610"/>
      <c r="N712" s="610"/>
      <c r="O712" s="610"/>
      <c r="P712" s="610"/>
      <c r="Q712" s="610"/>
      <c r="R712" s="610"/>
      <c r="S712" s="610"/>
      <c r="T712" s="610"/>
      <c r="U712" s="610"/>
      <c r="V712" s="610"/>
      <c r="W712" s="610"/>
      <c r="X712" s="610"/>
      <c r="Y712" s="610"/>
      <c r="Z712" s="610"/>
      <c r="AA712" s="610"/>
      <c r="AB712" s="610"/>
      <c r="AC712" s="610"/>
      <c r="AD712" s="610"/>
      <c r="AE712" s="610"/>
      <c r="AF712" s="610"/>
      <c r="AG712" s="610"/>
      <c r="AH712" s="610"/>
      <c r="AI712" s="610"/>
      <c r="AJ712" s="610"/>
      <c r="AK712" s="610"/>
      <c r="AL712" s="610"/>
      <c r="AM712" s="610"/>
      <c r="AN712" s="610"/>
      <c r="AO712" s="610"/>
      <c r="AP712" s="610"/>
      <c r="AQ712" s="610"/>
    </row>
    <row r="713" spans="2:43" s="609" customFormat="1">
      <c r="B713" s="610"/>
      <c r="C713" s="610"/>
      <c r="D713" s="610"/>
      <c r="E713" s="610"/>
      <c r="F713" s="610"/>
      <c r="G713" s="610"/>
      <c r="H713" s="610"/>
      <c r="I713" s="610"/>
      <c r="J713" s="610"/>
      <c r="L713" s="610"/>
      <c r="M713" s="610"/>
      <c r="N713" s="610"/>
      <c r="O713" s="610"/>
      <c r="P713" s="610"/>
      <c r="Q713" s="610"/>
      <c r="R713" s="610"/>
      <c r="S713" s="610"/>
      <c r="T713" s="610"/>
      <c r="U713" s="610"/>
      <c r="V713" s="610"/>
      <c r="W713" s="610"/>
      <c r="X713" s="610"/>
      <c r="Y713" s="610"/>
      <c r="Z713" s="610"/>
      <c r="AA713" s="610"/>
      <c r="AB713" s="610"/>
      <c r="AC713" s="610"/>
      <c r="AD713" s="610"/>
      <c r="AE713" s="610"/>
      <c r="AF713" s="610"/>
      <c r="AG713" s="610"/>
      <c r="AH713" s="610"/>
      <c r="AI713" s="610"/>
      <c r="AJ713" s="610"/>
      <c r="AK713" s="610"/>
      <c r="AL713" s="610"/>
      <c r="AM713" s="610"/>
      <c r="AN713" s="610"/>
      <c r="AO713" s="610"/>
      <c r="AP713" s="610"/>
      <c r="AQ713" s="610"/>
    </row>
    <row r="714" spans="2:43" s="609" customFormat="1">
      <c r="B714" s="610"/>
      <c r="C714" s="610"/>
      <c r="D714" s="610"/>
      <c r="E714" s="610"/>
      <c r="F714" s="610"/>
      <c r="G714" s="610"/>
      <c r="H714" s="610"/>
      <c r="I714" s="610"/>
      <c r="J714" s="610"/>
      <c r="L714" s="610"/>
      <c r="M714" s="610"/>
      <c r="N714" s="610"/>
      <c r="O714" s="610"/>
      <c r="P714" s="610"/>
      <c r="Q714" s="610"/>
      <c r="R714" s="610"/>
      <c r="S714" s="610"/>
      <c r="T714" s="610"/>
      <c r="U714" s="610"/>
      <c r="V714" s="610"/>
      <c r="W714" s="610"/>
      <c r="X714" s="610"/>
      <c r="Y714" s="610"/>
      <c r="Z714" s="610"/>
      <c r="AA714" s="610"/>
      <c r="AB714" s="610"/>
      <c r="AC714" s="610"/>
      <c r="AD714" s="610"/>
      <c r="AE714" s="610"/>
      <c r="AF714" s="610"/>
      <c r="AG714" s="610"/>
      <c r="AH714" s="610"/>
      <c r="AI714" s="610"/>
      <c r="AJ714" s="610"/>
      <c r="AK714" s="610"/>
      <c r="AL714" s="610"/>
      <c r="AM714" s="610"/>
      <c r="AN714" s="610"/>
      <c r="AO714" s="610"/>
      <c r="AP714" s="610"/>
      <c r="AQ714" s="610"/>
    </row>
    <row r="715" spans="2:43" s="609" customFormat="1">
      <c r="B715" s="610"/>
      <c r="C715" s="610"/>
      <c r="D715" s="610"/>
      <c r="E715" s="610"/>
      <c r="F715" s="610"/>
      <c r="G715" s="610"/>
      <c r="H715" s="610"/>
      <c r="I715" s="610"/>
      <c r="J715" s="610"/>
      <c r="L715" s="610"/>
      <c r="M715" s="610"/>
      <c r="N715" s="610"/>
      <c r="O715" s="610"/>
      <c r="P715" s="610"/>
      <c r="Q715" s="610"/>
      <c r="R715" s="610"/>
      <c r="S715" s="610"/>
      <c r="T715" s="610"/>
      <c r="U715" s="610"/>
      <c r="V715" s="610"/>
      <c r="W715" s="610"/>
      <c r="X715" s="610"/>
      <c r="Y715" s="610"/>
      <c r="Z715" s="610"/>
      <c r="AA715" s="610"/>
      <c r="AB715" s="610"/>
      <c r="AC715" s="610"/>
      <c r="AD715" s="610"/>
      <c r="AE715" s="610"/>
      <c r="AF715" s="610"/>
      <c r="AG715" s="610"/>
      <c r="AH715" s="610"/>
      <c r="AI715" s="610"/>
      <c r="AJ715" s="610"/>
      <c r="AK715" s="610"/>
      <c r="AL715" s="610"/>
      <c r="AM715" s="610"/>
      <c r="AN715" s="610"/>
      <c r="AO715" s="610"/>
      <c r="AP715" s="610"/>
      <c r="AQ715" s="610"/>
    </row>
    <row r="716" spans="2:43" s="609" customFormat="1">
      <c r="B716" s="610"/>
      <c r="C716" s="610"/>
      <c r="D716" s="610"/>
      <c r="E716" s="610"/>
      <c r="F716" s="610"/>
      <c r="G716" s="610"/>
      <c r="H716" s="610"/>
      <c r="I716" s="610"/>
      <c r="J716" s="610"/>
      <c r="L716" s="610"/>
      <c r="M716" s="610"/>
      <c r="N716" s="610"/>
      <c r="O716" s="610"/>
      <c r="P716" s="610"/>
      <c r="Q716" s="610"/>
      <c r="R716" s="610"/>
      <c r="S716" s="610"/>
      <c r="T716" s="610"/>
      <c r="U716" s="610"/>
      <c r="V716" s="610"/>
      <c r="W716" s="610"/>
      <c r="X716" s="610"/>
      <c r="Y716" s="610"/>
      <c r="Z716" s="610"/>
      <c r="AA716" s="610"/>
      <c r="AB716" s="610"/>
      <c r="AC716" s="610"/>
      <c r="AD716" s="610"/>
      <c r="AE716" s="610"/>
      <c r="AF716" s="610"/>
      <c r="AG716" s="610"/>
      <c r="AH716" s="610"/>
      <c r="AI716" s="610"/>
      <c r="AJ716" s="610"/>
      <c r="AK716" s="610"/>
      <c r="AL716" s="610"/>
      <c r="AM716" s="610"/>
      <c r="AN716" s="610"/>
      <c r="AO716" s="610"/>
      <c r="AP716" s="610"/>
      <c r="AQ716" s="610"/>
    </row>
    <row r="717" spans="2:43" s="609" customFormat="1">
      <c r="B717" s="610"/>
      <c r="C717" s="610"/>
      <c r="D717" s="610"/>
      <c r="E717" s="610"/>
      <c r="F717" s="610"/>
      <c r="G717" s="610"/>
      <c r="H717" s="610"/>
      <c r="I717" s="610"/>
      <c r="J717" s="610"/>
      <c r="L717" s="610"/>
      <c r="M717" s="610"/>
      <c r="N717" s="610"/>
      <c r="O717" s="610"/>
      <c r="P717" s="610"/>
      <c r="Q717" s="610"/>
      <c r="R717" s="610"/>
      <c r="S717" s="610"/>
      <c r="T717" s="610"/>
      <c r="U717" s="610"/>
      <c r="V717" s="610"/>
      <c r="W717" s="610"/>
      <c r="X717" s="610"/>
      <c r="Y717" s="610"/>
      <c r="Z717" s="610"/>
      <c r="AA717" s="610"/>
      <c r="AB717" s="610"/>
      <c r="AC717" s="610"/>
      <c r="AD717" s="610"/>
      <c r="AE717" s="610"/>
      <c r="AF717" s="610"/>
      <c r="AG717" s="610"/>
      <c r="AH717" s="610"/>
      <c r="AI717" s="610"/>
      <c r="AJ717" s="610"/>
      <c r="AK717" s="610"/>
      <c r="AL717" s="610"/>
      <c r="AM717" s="610"/>
      <c r="AN717" s="610"/>
      <c r="AO717" s="610"/>
      <c r="AP717" s="610"/>
      <c r="AQ717" s="610"/>
    </row>
    <row r="718" spans="2:43" s="609" customFormat="1">
      <c r="B718" s="610"/>
      <c r="C718" s="610"/>
      <c r="D718" s="610"/>
      <c r="E718" s="610"/>
      <c r="F718" s="610"/>
      <c r="G718" s="610"/>
      <c r="H718" s="610"/>
      <c r="I718" s="610"/>
      <c r="J718" s="610"/>
      <c r="L718" s="610"/>
      <c r="M718" s="610"/>
      <c r="N718" s="610"/>
      <c r="O718" s="610"/>
      <c r="P718" s="610"/>
      <c r="Q718" s="610"/>
      <c r="R718" s="610"/>
      <c r="S718" s="610"/>
      <c r="T718" s="610"/>
      <c r="U718" s="610"/>
      <c r="V718" s="610"/>
      <c r="W718" s="610"/>
      <c r="X718" s="610"/>
      <c r="Y718" s="610"/>
      <c r="Z718" s="610"/>
      <c r="AA718" s="610"/>
      <c r="AB718" s="610"/>
      <c r="AC718" s="610"/>
      <c r="AD718" s="610"/>
      <c r="AE718" s="610"/>
      <c r="AF718" s="610"/>
      <c r="AG718" s="610"/>
      <c r="AH718" s="610"/>
      <c r="AI718" s="610"/>
      <c r="AJ718" s="610"/>
      <c r="AK718" s="610"/>
      <c r="AL718" s="610"/>
      <c r="AM718" s="610"/>
      <c r="AN718" s="610"/>
      <c r="AO718" s="610"/>
      <c r="AP718" s="610"/>
      <c r="AQ718" s="610"/>
    </row>
    <row r="719" spans="2:43" s="609" customFormat="1">
      <c r="B719" s="610"/>
      <c r="C719" s="610"/>
      <c r="D719" s="610"/>
      <c r="E719" s="610"/>
      <c r="F719" s="610"/>
      <c r="G719" s="610"/>
      <c r="H719" s="610"/>
      <c r="I719" s="610"/>
      <c r="J719" s="610"/>
      <c r="L719" s="610"/>
      <c r="M719" s="610"/>
      <c r="N719" s="610"/>
      <c r="O719" s="610"/>
      <c r="P719" s="610"/>
      <c r="Q719" s="610"/>
      <c r="R719" s="610"/>
      <c r="S719" s="610"/>
      <c r="T719" s="610"/>
      <c r="U719" s="610"/>
      <c r="V719" s="610"/>
      <c r="W719" s="610"/>
      <c r="X719" s="610"/>
      <c r="Y719" s="610"/>
      <c r="Z719" s="610"/>
      <c r="AA719" s="610"/>
      <c r="AB719" s="610"/>
      <c r="AC719" s="610"/>
      <c r="AD719" s="610"/>
      <c r="AE719" s="610"/>
      <c r="AF719" s="610"/>
      <c r="AG719" s="610"/>
      <c r="AH719" s="610"/>
      <c r="AI719" s="610"/>
      <c r="AJ719" s="610"/>
      <c r="AK719" s="610"/>
      <c r="AL719" s="610"/>
      <c r="AM719" s="610"/>
      <c r="AN719" s="610"/>
      <c r="AO719" s="610"/>
      <c r="AP719" s="610"/>
      <c r="AQ719" s="610"/>
    </row>
    <row r="720" spans="2:43" s="609" customFormat="1">
      <c r="B720" s="610"/>
      <c r="C720" s="610"/>
      <c r="D720" s="610"/>
      <c r="E720" s="610"/>
      <c r="F720" s="610"/>
      <c r="G720" s="610"/>
      <c r="H720" s="610"/>
      <c r="I720" s="610"/>
      <c r="J720" s="610"/>
      <c r="L720" s="610"/>
      <c r="M720" s="610"/>
      <c r="N720" s="610"/>
      <c r="O720" s="610"/>
      <c r="P720" s="610"/>
      <c r="Q720" s="610"/>
      <c r="R720" s="610"/>
      <c r="S720" s="610"/>
      <c r="T720" s="610"/>
      <c r="U720" s="610"/>
      <c r="V720" s="610"/>
      <c r="W720" s="610"/>
      <c r="X720" s="610"/>
      <c r="Y720" s="610"/>
      <c r="Z720" s="610"/>
      <c r="AA720" s="610"/>
      <c r="AB720" s="610"/>
      <c r="AC720" s="610"/>
      <c r="AD720" s="610"/>
      <c r="AE720" s="610"/>
      <c r="AF720" s="610"/>
      <c r="AG720" s="610"/>
      <c r="AH720" s="610"/>
      <c r="AI720" s="610"/>
      <c r="AJ720" s="610"/>
      <c r="AK720" s="610"/>
      <c r="AL720" s="610"/>
      <c r="AM720" s="610"/>
      <c r="AN720" s="610"/>
      <c r="AO720" s="610"/>
      <c r="AP720" s="610"/>
      <c r="AQ720" s="610"/>
    </row>
    <row r="721" spans="2:43" s="609" customFormat="1">
      <c r="B721" s="610"/>
      <c r="C721" s="610"/>
      <c r="D721" s="610"/>
      <c r="E721" s="610"/>
      <c r="F721" s="610"/>
      <c r="G721" s="610"/>
      <c r="H721" s="610"/>
      <c r="I721" s="610"/>
      <c r="J721" s="610"/>
      <c r="L721" s="610"/>
      <c r="M721" s="610"/>
      <c r="N721" s="610"/>
      <c r="O721" s="610"/>
      <c r="P721" s="610"/>
      <c r="Q721" s="610"/>
      <c r="R721" s="610"/>
      <c r="S721" s="610"/>
      <c r="T721" s="610"/>
      <c r="U721" s="610"/>
      <c r="V721" s="610"/>
      <c r="W721" s="610"/>
      <c r="X721" s="610"/>
      <c r="Y721" s="610"/>
      <c r="Z721" s="610"/>
      <c r="AA721" s="610"/>
      <c r="AB721" s="610"/>
      <c r="AC721" s="610"/>
      <c r="AD721" s="610"/>
      <c r="AE721" s="610"/>
      <c r="AF721" s="610"/>
      <c r="AG721" s="610"/>
      <c r="AH721" s="610"/>
      <c r="AI721" s="610"/>
      <c r="AJ721" s="610"/>
      <c r="AK721" s="610"/>
      <c r="AL721" s="610"/>
      <c r="AM721" s="610"/>
      <c r="AN721" s="610"/>
      <c r="AO721" s="610"/>
      <c r="AP721" s="610"/>
      <c r="AQ721" s="610"/>
    </row>
    <row r="722" spans="2:43" s="609" customFormat="1">
      <c r="B722" s="610"/>
      <c r="C722" s="610"/>
      <c r="D722" s="610"/>
      <c r="E722" s="610"/>
      <c r="F722" s="610"/>
      <c r="G722" s="610"/>
      <c r="H722" s="610"/>
      <c r="I722" s="610"/>
      <c r="J722" s="610"/>
      <c r="L722" s="610"/>
      <c r="M722" s="610"/>
      <c r="N722" s="610"/>
      <c r="O722" s="610"/>
      <c r="P722" s="610"/>
      <c r="Q722" s="610"/>
      <c r="R722" s="610"/>
      <c r="S722" s="610"/>
      <c r="T722" s="610"/>
      <c r="U722" s="610"/>
      <c r="V722" s="610"/>
      <c r="W722" s="610"/>
      <c r="X722" s="610"/>
      <c r="Y722" s="610"/>
      <c r="Z722" s="610"/>
      <c r="AA722" s="610"/>
      <c r="AB722" s="610"/>
      <c r="AC722" s="610"/>
      <c r="AD722" s="610"/>
      <c r="AE722" s="610"/>
      <c r="AF722" s="610"/>
      <c r="AG722" s="610"/>
      <c r="AH722" s="610"/>
      <c r="AI722" s="610"/>
      <c r="AJ722" s="610"/>
      <c r="AK722" s="610"/>
      <c r="AL722" s="610"/>
      <c r="AM722" s="610"/>
      <c r="AN722" s="610"/>
      <c r="AO722" s="610"/>
      <c r="AP722" s="610"/>
      <c r="AQ722" s="610"/>
    </row>
    <row r="723" spans="2:43" s="609" customFormat="1">
      <c r="B723" s="610"/>
      <c r="C723" s="610"/>
      <c r="D723" s="610"/>
      <c r="E723" s="610"/>
      <c r="F723" s="610"/>
      <c r="G723" s="610"/>
      <c r="H723" s="610"/>
      <c r="I723" s="610"/>
      <c r="J723" s="610"/>
      <c r="L723" s="610"/>
      <c r="M723" s="610"/>
      <c r="N723" s="610"/>
      <c r="O723" s="610"/>
      <c r="P723" s="610"/>
      <c r="Q723" s="610"/>
      <c r="R723" s="610"/>
      <c r="S723" s="610"/>
      <c r="T723" s="610"/>
      <c r="U723" s="610"/>
      <c r="V723" s="610"/>
      <c r="W723" s="610"/>
      <c r="X723" s="610"/>
      <c r="Y723" s="610"/>
      <c r="Z723" s="610"/>
      <c r="AA723" s="610"/>
      <c r="AB723" s="610"/>
      <c r="AC723" s="610"/>
      <c r="AD723" s="610"/>
      <c r="AE723" s="610"/>
      <c r="AF723" s="610"/>
      <c r="AG723" s="610"/>
      <c r="AH723" s="610"/>
      <c r="AI723" s="610"/>
      <c r="AJ723" s="610"/>
      <c r="AK723" s="610"/>
      <c r="AL723" s="610"/>
      <c r="AM723" s="610"/>
      <c r="AN723" s="610"/>
      <c r="AO723" s="610"/>
      <c r="AP723" s="610"/>
      <c r="AQ723" s="610"/>
    </row>
    <row r="724" spans="2:43" s="609" customFormat="1">
      <c r="B724" s="610"/>
      <c r="C724" s="610"/>
      <c r="D724" s="610"/>
      <c r="E724" s="610"/>
      <c r="F724" s="610"/>
      <c r="G724" s="610"/>
      <c r="H724" s="610"/>
      <c r="I724" s="610"/>
      <c r="J724" s="610"/>
      <c r="L724" s="610"/>
      <c r="M724" s="610"/>
      <c r="N724" s="610"/>
      <c r="O724" s="610"/>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c r="AN724" s="610"/>
      <c r="AO724" s="610"/>
      <c r="AP724" s="610"/>
      <c r="AQ724" s="610"/>
    </row>
    <row r="725" spans="2:43" s="609" customFormat="1">
      <c r="B725" s="610"/>
      <c r="C725" s="610"/>
      <c r="D725" s="610"/>
      <c r="E725" s="610"/>
      <c r="F725" s="610"/>
      <c r="G725" s="610"/>
      <c r="H725" s="610"/>
      <c r="I725" s="610"/>
      <c r="J725" s="610"/>
      <c r="L725" s="610"/>
      <c r="M725" s="610"/>
      <c r="N725" s="610"/>
      <c r="O725" s="610"/>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c r="AN725" s="610"/>
      <c r="AO725" s="610"/>
      <c r="AP725" s="610"/>
      <c r="AQ725" s="610"/>
    </row>
    <row r="726" spans="2:43" s="609" customFormat="1">
      <c r="B726" s="610"/>
      <c r="C726" s="610"/>
      <c r="D726" s="610"/>
      <c r="E726" s="610"/>
      <c r="F726" s="610"/>
      <c r="G726" s="610"/>
      <c r="H726" s="610"/>
      <c r="I726" s="610"/>
      <c r="J726" s="610"/>
      <c r="L726" s="610"/>
      <c r="M726" s="610"/>
      <c r="N726" s="610"/>
      <c r="O726" s="610"/>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c r="AN726" s="610"/>
      <c r="AO726" s="610"/>
      <c r="AP726" s="610"/>
      <c r="AQ726" s="610"/>
    </row>
    <row r="727" spans="2:43" s="609" customFormat="1">
      <c r="B727" s="610"/>
      <c r="C727" s="610"/>
      <c r="D727" s="610"/>
      <c r="E727" s="610"/>
      <c r="F727" s="610"/>
      <c r="G727" s="610"/>
      <c r="H727" s="610"/>
      <c r="I727" s="610"/>
      <c r="J727" s="610"/>
      <c r="L727" s="610"/>
      <c r="M727" s="610"/>
      <c r="N727" s="610"/>
      <c r="O727" s="610"/>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c r="AN727" s="610"/>
      <c r="AO727" s="610"/>
      <c r="AP727" s="610"/>
      <c r="AQ727" s="610"/>
    </row>
    <row r="728" spans="2:43" s="609" customFormat="1">
      <c r="B728" s="610"/>
      <c r="C728" s="610"/>
      <c r="D728" s="610"/>
      <c r="E728" s="610"/>
      <c r="F728" s="610"/>
      <c r="G728" s="610"/>
      <c r="H728" s="610"/>
      <c r="I728" s="610"/>
      <c r="J728" s="610"/>
      <c r="L728" s="610"/>
      <c r="M728" s="610"/>
      <c r="N728" s="610"/>
      <c r="O728" s="610"/>
      <c r="P728" s="610"/>
      <c r="Q728" s="610"/>
      <c r="R728" s="610"/>
      <c r="S728" s="610"/>
      <c r="T728" s="610"/>
      <c r="U728" s="610"/>
      <c r="V728" s="610"/>
      <c r="W728" s="610"/>
      <c r="X728" s="610"/>
      <c r="Y728" s="610"/>
      <c r="Z728" s="610"/>
      <c r="AA728" s="610"/>
      <c r="AB728" s="610"/>
      <c r="AC728" s="610"/>
      <c r="AD728" s="610"/>
      <c r="AE728" s="610"/>
      <c r="AF728" s="610"/>
      <c r="AG728" s="610"/>
      <c r="AH728" s="610"/>
      <c r="AI728" s="610"/>
      <c r="AJ728" s="610"/>
      <c r="AK728" s="610"/>
      <c r="AL728" s="610"/>
      <c r="AM728" s="610"/>
      <c r="AN728" s="610"/>
      <c r="AO728" s="610"/>
      <c r="AP728" s="610"/>
      <c r="AQ728" s="610"/>
    </row>
    <row r="729" spans="2:43" s="609" customFormat="1">
      <c r="B729" s="610"/>
      <c r="C729" s="610"/>
      <c r="D729" s="610"/>
      <c r="E729" s="610"/>
      <c r="F729" s="610"/>
      <c r="G729" s="610"/>
      <c r="H729" s="610"/>
      <c r="I729" s="610"/>
      <c r="J729" s="610"/>
      <c r="L729" s="610"/>
      <c r="M729" s="610"/>
      <c r="N729" s="610"/>
      <c r="O729" s="610"/>
      <c r="P729" s="610"/>
      <c r="Q729" s="610"/>
      <c r="R729" s="610"/>
      <c r="S729" s="610"/>
      <c r="T729" s="610"/>
      <c r="U729" s="610"/>
      <c r="V729" s="610"/>
      <c r="W729" s="610"/>
      <c r="X729" s="610"/>
      <c r="Y729" s="610"/>
      <c r="Z729" s="610"/>
      <c r="AA729" s="610"/>
      <c r="AB729" s="610"/>
      <c r="AC729" s="610"/>
      <c r="AD729" s="610"/>
      <c r="AE729" s="610"/>
      <c r="AF729" s="610"/>
      <c r="AG729" s="610"/>
      <c r="AH729" s="610"/>
      <c r="AI729" s="610"/>
      <c r="AJ729" s="610"/>
      <c r="AK729" s="610"/>
      <c r="AL729" s="610"/>
      <c r="AM729" s="610"/>
      <c r="AN729" s="610"/>
      <c r="AO729" s="610"/>
      <c r="AP729" s="610"/>
      <c r="AQ729" s="610"/>
    </row>
    <row r="730" spans="2:43" s="609" customFormat="1">
      <c r="B730" s="610"/>
      <c r="C730" s="610"/>
      <c r="D730" s="610"/>
      <c r="E730" s="610"/>
      <c r="F730" s="610"/>
      <c r="G730" s="610"/>
      <c r="H730" s="610"/>
      <c r="I730" s="610"/>
      <c r="J730" s="610"/>
      <c r="L730" s="610"/>
      <c r="M730" s="610"/>
      <c r="N730" s="610"/>
      <c r="O730" s="610"/>
      <c r="P730" s="610"/>
      <c r="Q730" s="610"/>
      <c r="R730" s="610"/>
      <c r="S730" s="610"/>
      <c r="T730" s="610"/>
      <c r="U730" s="610"/>
      <c r="V730" s="610"/>
      <c r="W730" s="610"/>
      <c r="X730" s="610"/>
      <c r="Y730" s="610"/>
      <c r="Z730" s="610"/>
      <c r="AA730" s="610"/>
      <c r="AB730" s="610"/>
      <c r="AC730" s="610"/>
      <c r="AD730" s="610"/>
      <c r="AE730" s="610"/>
      <c r="AF730" s="610"/>
      <c r="AG730" s="610"/>
      <c r="AH730" s="610"/>
      <c r="AI730" s="610"/>
      <c r="AJ730" s="610"/>
      <c r="AK730" s="610"/>
      <c r="AL730" s="610"/>
      <c r="AM730" s="610"/>
      <c r="AN730" s="610"/>
      <c r="AO730" s="610"/>
      <c r="AP730" s="610"/>
      <c r="AQ730" s="610"/>
    </row>
    <row r="731" spans="2:43" s="609" customFormat="1">
      <c r="B731" s="610"/>
      <c r="C731" s="610"/>
      <c r="D731" s="610"/>
      <c r="E731" s="610"/>
      <c r="F731" s="610"/>
      <c r="G731" s="610"/>
      <c r="H731" s="610"/>
      <c r="I731" s="610"/>
      <c r="J731" s="610"/>
      <c r="L731" s="610"/>
      <c r="M731" s="610"/>
      <c r="N731" s="610"/>
      <c r="O731" s="610"/>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c r="AN731" s="610"/>
      <c r="AO731" s="610"/>
      <c r="AP731" s="610"/>
      <c r="AQ731" s="610"/>
    </row>
    <row r="732" spans="2:43" s="609" customFormat="1">
      <c r="B732" s="610"/>
      <c r="C732" s="610"/>
      <c r="D732" s="610"/>
      <c r="E732" s="610"/>
      <c r="F732" s="610"/>
      <c r="G732" s="610"/>
      <c r="H732" s="610"/>
      <c r="I732" s="610"/>
      <c r="J732" s="610"/>
      <c r="L732" s="610"/>
      <c r="M732" s="610"/>
      <c r="N732" s="610"/>
      <c r="O732" s="610"/>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c r="AN732" s="610"/>
      <c r="AO732" s="610"/>
      <c r="AP732" s="610"/>
      <c r="AQ732" s="610"/>
    </row>
    <row r="733" spans="2:43" s="609" customFormat="1">
      <c r="B733" s="610"/>
      <c r="C733" s="610"/>
      <c r="D733" s="610"/>
      <c r="E733" s="610"/>
      <c r="F733" s="610"/>
      <c r="G733" s="610"/>
      <c r="H733" s="610"/>
      <c r="I733" s="610"/>
      <c r="J733" s="610"/>
      <c r="L733" s="610"/>
      <c r="M733" s="610"/>
      <c r="N733" s="610"/>
      <c r="O733" s="610"/>
      <c r="P733" s="610"/>
      <c r="Q733" s="610"/>
      <c r="R733" s="610"/>
      <c r="S733" s="610"/>
      <c r="T733" s="610"/>
      <c r="U733" s="610"/>
      <c r="V733" s="610"/>
      <c r="W733" s="610"/>
      <c r="X733" s="610"/>
      <c r="Y733" s="610"/>
      <c r="Z733" s="610"/>
      <c r="AA733" s="610"/>
      <c r="AB733" s="610"/>
      <c r="AC733" s="610"/>
      <c r="AD733" s="610"/>
      <c r="AE733" s="610"/>
      <c r="AF733" s="610"/>
      <c r="AG733" s="610"/>
      <c r="AH733" s="610"/>
      <c r="AI733" s="610"/>
      <c r="AJ733" s="610"/>
      <c r="AK733" s="610"/>
      <c r="AL733" s="610"/>
      <c r="AM733" s="610"/>
      <c r="AN733" s="610"/>
      <c r="AO733" s="610"/>
      <c r="AP733" s="610"/>
      <c r="AQ733" s="610"/>
    </row>
    <row r="734" spans="2:43" s="609" customFormat="1">
      <c r="B734" s="610"/>
      <c r="C734" s="610"/>
      <c r="D734" s="610"/>
      <c r="E734" s="610"/>
      <c r="F734" s="610"/>
      <c r="G734" s="610"/>
      <c r="H734" s="610"/>
      <c r="I734" s="610"/>
      <c r="J734" s="610"/>
      <c r="L734" s="610"/>
      <c r="M734" s="610"/>
      <c r="N734" s="610"/>
      <c r="O734" s="610"/>
      <c r="P734" s="610"/>
      <c r="Q734" s="610"/>
      <c r="R734" s="610"/>
      <c r="S734" s="610"/>
      <c r="T734" s="610"/>
      <c r="U734" s="610"/>
      <c r="V734" s="610"/>
      <c r="W734" s="610"/>
      <c r="X734" s="610"/>
      <c r="Y734" s="610"/>
      <c r="Z734" s="610"/>
      <c r="AA734" s="610"/>
      <c r="AB734" s="610"/>
      <c r="AC734" s="610"/>
      <c r="AD734" s="610"/>
      <c r="AE734" s="610"/>
      <c r="AF734" s="610"/>
      <c r="AG734" s="610"/>
      <c r="AH734" s="610"/>
      <c r="AI734" s="610"/>
      <c r="AJ734" s="610"/>
      <c r="AK734" s="610"/>
      <c r="AL734" s="610"/>
      <c r="AM734" s="610"/>
      <c r="AN734" s="610"/>
      <c r="AO734" s="610"/>
      <c r="AP734" s="610"/>
      <c r="AQ734" s="610"/>
    </row>
    <row r="735" spans="2:43" s="609" customFormat="1">
      <c r="B735" s="610"/>
      <c r="C735" s="610"/>
      <c r="D735" s="610"/>
      <c r="E735" s="610"/>
      <c r="F735" s="610"/>
      <c r="G735" s="610"/>
      <c r="H735" s="610"/>
      <c r="I735" s="610"/>
      <c r="J735" s="610"/>
      <c r="L735" s="610"/>
      <c r="M735" s="610"/>
      <c r="N735" s="610"/>
      <c r="O735" s="610"/>
      <c r="P735" s="610"/>
      <c r="Q735" s="610"/>
      <c r="R735" s="610"/>
      <c r="S735" s="610"/>
      <c r="T735" s="610"/>
      <c r="U735" s="610"/>
      <c r="V735" s="610"/>
      <c r="W735" s="610"/>
      <c r="X735" s="610"/>
      <c r="Y735" s="610"/>
      <c r="Z735" s="610"/>
      <c r="AA735" s="610"/>
      <c r="AB735" s="610"/>
      <c r="AC735" s="610"/>
      <c r="AD735" s="610"/>
      <c r="AE735" s="610"/>
      <c r="AF735" s="610"/>
      <c r="AG735" s="610"/>
      <c r="AH735" s="610"/>
      <c r="AI735" s="610"/>
      <c r="AJ735" s="610"/>
      <c r="AK735" s="610"/>
      <c r="AL735" s="610"/>
      <c r="AM735" s="610"/>
      <c r="AN735" s="610"/>
      <c r="AO735" s="610"/>
      <c r="AP735" s="610"/>
      <c r="AQ735" s="610"/>
    </row>
    <row r="736" spans="2:43" s="609" customFormat="1">
      <c r="B736" s="610"/>
      <c r="C736" s="610"/>
      <c r="D736" s="610"/>
      <c r="E736" s="610"/>
      <c r="F736" s="610"/>
      <c r="G736" s="610"/>
      <c r="H736" s="610"/>
      <c r="I736" s="610"/>
      <c r="J736" s="610"/>
      <c r="L736" s="610"/>
      <c r="M736" s="610"/>
      <c r="N736" s="610"/>
      <c r="O736" s="610"/>
      <c r="P736" s="610"/>
      <c r="Q736" s="610"/>
      <c r="R736" s="610"/>
      <c r="S736" s="610"/>
      <c r="T736" s="610"/>
      <c r="U736" s="610"/>
      <c r="V736" s="610"/>
      <c r="W736" s="610"/>
      <c r="X736" s="610"/>
      <c r="Y736" s="610"/>
      <c r="Z736" s="610"/>
      <c r="AA736" s="610"/>
      <c r="AB736" s="610"/>
      <c r="AC736" s="610"/>
      <c r="AD736" s="610"/>
      <c r="AE736" s="610"/>
      <c r="AF736" s="610"/>
      <c r="AG736" s="610"/>
      <c r="AH736" s="610"/>
      <c r="AI736" s="610"/>
      <c r="AJ736" s="610"/>
      <c r="AK736" s="610"/>
      <c r="AL736" s="610"/>
      <c r="AM736" s="610"/>
      <c r="AN736" s="610"/>
      <c r="AO736" s="610"/>
      <c r="AP736" s="610"/>
      <c r="AQ736" s="610"/>
    </row>
    <row r="737" spans="2:43" s="609" customFormat="1">
      <c r="B737" s="610"/>
      <c r="C737" s="610"/>
      <c r="D737" s="610"/>
      <c r="E737" s="610"/>
      <c r="F737" s="610"/>
      <c r="G737" s="610"/>
      <c r="H737" s="610"/>
      <c r="I737" s="610"/>
      <c r="J737" s="610"/>
      <c r="L737" s="610"/>
      <c r="M737" s="610"/>
      <c r="N737" s="610"/>
      <c r="O737" s="610"/>
      <c r="P737" s="610"/>
      <c r="Q737" s="610"/>
      <c r="R737" s="610"/>
      <c r="S737" s="610"/>
      <c r="T737" s="610"/>
      <c r="U737" s="610"/>
      <c r="V737" s="610"/>
      <c r="W737" s="610"/>
      <c r="X737" s="610"/>
      <c r="Y737" s="610"/>
      <c r="Z737" s="610"/>
      <c r="AA737" s="610"/>
      <c r="AB737" s="610"/>
      <c r="AC737" s="610"/>
      <c r="AD737" s="610"/>
      <c r="AE737" s="610"/>
      <c r="AF737" s="610"/>
      <c r="AG737" s="610"/>
      <c r="AH737" s="610"/>
      <c r="AI737" s="610"/>
      <c r="AJ737" s="610"/>
      <c r="AK737" s="610"/>
      <c r="AL737" s="610"/>
      <c r="AM737" s="610"/>
      <c r="AN737" s="610"/>
      <c r="AO737" s="610"/>
      <c r="AP737" s="610"/>
      <c r="AQ737" s="610"/>
    </row>
    <row r="738" spans="2:43" s="609" customFormat="1">
      <c r="B738" s="610"/>
      <c r="C738" s="610"/>
      <c r="D738" s="610"/>
      <c r="E738" s="610"/>
      <c r="F738" s="610"/>
      <c r="G738" s="610"/>
      <c r="H738" s="610"/>
      <c r="I738" s="610"/>
      <c r="J738" s="610"/>
      <c r="L738" s="610"/>
      <c r="M738" s="610"/>
      <c r="N738" s="610"/>
      <c r="O738" s="610"/>
      <c r="P738" s="610"/>
      <c r="Q738" s="610"/>
      <c r="R738" s="610"/>
      <c r="S738" s="610"/>
      <c r="T738" s="610"/>
      <c r="U738" s="610"/>
      <c r="V738" s="610"/>
      <c r="W738" s="610"/>
      <c r="X738" s="610"/>
      <c r="Y738" s="610"/>
      <c r="Z738" s="610"/>
      <c r="AA738" s="610"/>
      <c r="AB738" s="610"/>
      <c r="AC738" s="610"/>
      <c r="AD738" s="610"/>
      <c r="AE738" s="610"/>
      <c r="AF738" s="610"/>
      <c r="AG738" s="610"/>
      <c r="AH738" s="610"/>
      <c r="AI738" s="610"/>
      <c r="AJ738" s="610"/>
      <c r="AK738" s="610"/>
      <c r="AL738" s="610"/>
      <c r="AM738" s="610"/>
      <c r="AN738" s="610"/>
      <c r="AO738" s="610"/>
      <c r="AP738" s="610"/>
      <c r="AQ738" s="610"/>
    </row>
    <row r="739" spans="2:43" s="609" customFormat="1">
      <c r="B739" s="610"/>
      <c r="C739" s="610"/>
      <c r="D739" s="610"/>
      <c r="E739" s="610"/>
      <c r="F739" s="610"/>
      <c r="G739" s="610"/>
      <c r="H739" s="610"/>
      <c r="I739" s="610"/>
      <c r="J739" s="610"/>
      <c r="L739" s="610"/>
      <c r="M739" s="610"/>
      <c r="N739" s="610"/>
      <c r="O739" s="610"/>
      <c r="P739" s="610"/>
      <c r="Q739" s="610"/>
      <c r="R739" s="610"/>
      <c r="S739" s="610"/>
      <c r="T739" s="610"/>
      <c r="U739" s="610"/>
      <c r="V739" s="610"/>
      <c r="W739" s="610"/>
      <c r="X739" s="610"/>
      <c r="Y739" s="610"/>
      <c r="Z739" s="610"/>
      <c r="AA739" s="610"/>
      <c r="AB739" s="610"/>
      <c r="AC739" s="610"/>
      <c r="AD739" s="610"/>
      <c r="AE739" s="610"/>
      <c r="AF739" s="610"/>
      <c r="AG739" s="610"/>
      <c r="AH739" s="610"/>
      <c r="AI739" s="610"/>
      <c r="AJ739" s="610"/>
      <c r="AK739" s="610"/>
      <c r="AL739" s="610"/>
      <c r="AM739" s="610"/>
      <c r="AN739" s="610"/>
      <c r="AO739" s="610"/>
      <c r="AP739" s="610"/>
      <c r="AQ739" s="610"/>
    </row>
    <row r="740" spans="2:43" s="609" customFormat="1">
      <c r="B740" s="610"/>
      <c r="C740" s="610"/>
      <c r="D740" s="610"/>
      <c r="E740" s="610"/>
      <c r="F740" s="610"/>
      <c r="G740" s="610"/>
      <c r="H740" s="610"/>
      <c r="I740" s="610"/>
      <c r="J740" s="610"/>
      <c r="L740" s="610"/>
      <c r="M740" s="610"/>
      <c r="N740" s="610"/>
      <c r="O740" s="610"/>
      <c r="P740" s="610"/>
      <c r="Q740" s="610"/>
      <c r="R740" s="610"/>
      <c r="S740" s="610"/>
      <c r="T740" s="610"/>
      <c r="U740" s="610"/>
      <c r="V740" s="610"/>
      <c r="W740" s="610"/>
      <c r="X740" s="610"/>
      <c r="Y740" s="610"/>
      <c r="Z740" s="610"/>
      <c r="AA740" s="610"/>
      <c r="AB740" s="610"/>
      <c r="AC740" s="610"/>
      <c r="AD740" s="610"/>
      <c r="AE740" s="610"/>
      <c r="AF740" s="610"/>
      <c r="AG740" s="610"/>
      <c r="AH740" s="610"/>
      <c r="AI740" s="610"/>
      <c r="AJ740" s="610"/>
      <c r="AK740" s="610"/>
      <c r="AL740" s="610"/>
      <c r="AM740" s="610"/>
      <c r="AN740" s="610"/>
      <c r="AO740" s="610"/>
      <c r="AP740" s="610"/>
      <c r="AQ740" s="610"/>
    </row>
    <row r="741" spans="2:43" s="609" customFormat="1">
      <c r="B741" s="610"/>
      <c r="C741" s="610"/>
      <c r="D741" s="610"/>
      <c r="E741" s="610"/>
      <c r="F741" s="610"/>
      <c r="G741" s="610"/>
      <c r="H741" s="610"/>
      <c r="I741" s="610"/>
      <c r="J741" s="610"/>
      <c r="L741" s="610"/>
      <c r="M741" s="610"/>
      <c r="N741" s="610"/>
      <c r="O741" s="610"/>
      <c r="P741" s="610"/>
      <c r="Q741" s="610"/>
      <c r="R741" s="610"/>
      <c r="S741" s="610"/>
      <c r="T741" s="610"/>
      <c r="U741" s="610"/>
      <c r="V741" s="610"/>
      <c r="W741" s="610"/>
      <c r="X741" s="610"/>
      <c r="Y741" s="610"/>
      <c r="Z741" s="610"/>
      <c r="AA741" s="610"/>
      <c r="AB741" s="610"/>
      <c r="AC741" s="610"/>
      <c r="AD741" s="610"/>
      <c r="AE741" s="610"/>
      <c r="AF741" s="610"/>
      <c r="AG741" s="610"/>
      <c r="AH741" s="610"/>
      <c r="AI741" s="610"/>
      <c r="AJ741" s="610"/>
      <c r="AK741" s="610"/>
      <c r="AL741" s="610"/>
      <c r="AM741" s="610"/>
      <c r="AN741" s="610"/>
      <c r="AO741" s="610"/>
      <c r="AP741" s="610"/>
      <c r="AQ741" s="610"/>
    </row>
    <row r="742" spans="2:43" s="609" customFormat="1">
      <c r="B742" s="610"/>
      <c r="C742" s="610"/>
      <c r="D742" s="610"/>
      <c r="E742" s="610"/>
      <c r="F742" s="610"/>
      <c r="G742" s="610"/>
      <c r="H742" s="610"/>
      <c r="I742" s="610"/>
      <c r="J742" s="610"/>
      <c r="L742" s="610"/>
      <c r="M742" s="610"/>
      <c r="N742" s="610"/>
      <c r="O742" s="610"/>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c r="AN742" s="610"/>
      <c r="AO742" s="610"/>
      <c r="AP742" s="610"/>
      <c r="AQ742" s="610"/>
    </row>
    <row r="743" spans="2:43" s="609" customFormat="1">
      <c r="B743" s="610"/>
      <c r="C743" s="610"/>
      <c r="D743" s="610"/>
      <c r="E743" s="610"/>
      <c r="F743" s="610"/>
      <c r="G743" s="610"/>
      <c r="H743" s="610"/>
      <c r="I743" s="610"/>
      <c r="J743" s="610"/>
      <c r="L743" s="610"/>
      <c r="M743" s="610"/>
      <c r="N743" s="610"/>
      <c r="O743" s="610"/>
      <c r="P743" s="610"/>
      <c r="Q743" s="610"/>
      <c r="R743" s="610"/>
      <c r="S743" s="610"/>
      <c r="T743" s="610"/>
      <c r="U743" s="610"/>
      <c r="V743" s="610"/>
      <c r="W743" s="610"/>
      <c r="X743" s="610"/>
      <c r="Y743" s="610"/>
      <c r="Z743" s="610"/>
      <c r="AA743" s="610"/>
      <c r="AB743" s="610"/>
      <c r="AC743" s="610"/>
      <c r="AD743" s="610"/>
      <c r="AE743" s="610"/>
      <c r="AF743" s="610"/>
      <c r="AG743" s="610"/>
      <c r="AH743" s="610"/>
      <c r="AI743" s="610"/>
      <c r="AJ743" s="610"/>
      <c r="AK743" s="610"/>
      <c r="AL743" s="610"/>
      <c r="AM743" s="610"/>
      <c r="AN743" s="610"/>
      <c r="AO743" s="610"/>
      <c r="AP743" s="610"/>
      <c r="AQ743" s="610"/>
    </row>
    <row r="744" spans="2:43" s="609" customFormat="1">
      <c r="B744" s="610"/>
      <c r="C744" s="610"/>
      <c r="D744" s="610"/>
      <c r="E744" s="610"/>
      <c r="F744" s="610"/>
      <c r="G744" s="610"/>
      <c r="H744" s="610"/>
      <c r="I744" s="610"/>
      <c r="J744" s="610"/>
      <c r="L744" s="610"/>
      <c r="M744" s="610"/>
      <c r="N744" s="610"/>
      <c r="O744" s="610"/>
      <c r="P744" s="610"/>
      <c r="Q744" s="610"/>
      <c r="R744" s="610"/>
      <c r="S744" s="610"/>
      <c r="T744" s="610"/>
      <c r="U744" s="610"/>
      <c r="V744" s="610"/>
      <c r="W744" s="610"/>
      <c r="X744" s="610"/>
      <c r="Y744" s="610"/>
      <c r="Z744" s="610"/>
      <c r="AA744" s="610"/>
      <c r="AB744" s="610"/>
      <c r="AC744" s="610"/>
      <c r="AD744" s="610"/>
      <c r="AE744" s="610"/>
      <c r="AF744" s="610"/>
      <c r="AG744" s="610"/>
      <c r="AH744" s="610"/>
      <c r="AI744" s="610"/>
      <c r="AJ744" s="610"/>
      <c r="AK744" s="610"/>
      <c r="AL744" s="610"/>
      <c r="AM744" s="610"/>
      <c r="AN744" s="610"/>
      <c r="AO744" s="610"/>
      <c r="AP744" s="610"/>
      <c r="AQ744" s="610"/>
    </row>
    <row r="745" spans="2:43" s="609" customFormat="1">
      <c r="B745" s="610"/>
      <c r="C745" s="610"/>
      <c r="D745" s="610"/>
      <c r="E745" s="610"/>
      <c r="F745" s="610"/>
      <c r="G745" s="610"/>
      <c r="H745" s="610"/>
      <c r="I745" s="610"/>
      <c r="J745" s="610"/>
      <c r="L745" s="610"/>
      <c r="M745" s="610"/>
      <c r="N745" s="610"/>
      <c r="O745" s="610"/>
      <c r="P745" s="610"/>
      <c r="Q745" s="610"/>
      <c r="R745" s="610"/>
      <c r="S745" s="610"/>
      <c r="T745" s="610"/>
      <c r="U745" s="610"/>
      <c r="V745" s="610"/>
      <c r="W745" s="610"/>
      <c r="X745" s="610"/>
      <c r="Y745" s="610"/>
      <c r="Z745" s="610"/>
      <c r="AA745" s="610"/>
      <c r="AB745" s="610"/>
      <c r="AC745" s="610"/>
      <c r="AD745" s="610"/>
      <c r="AE745" s="610"/>
      <c r="AF745" s="610"/>
      <c r="AG745" s="610"/>
      <c r="AH745" s="610"/>
      <c r="AI745" s="610"/>
      <c r="AJ745" s="610"/>
      <c r="AK745" s="610"/>
      <c r="AL745" s="610"/>
      <c r="AM745" s="610"/>
      <c r="AN745" s="610"/>
      <c r="AO745" s="610"/>
      <c r="AP745" s="610"/>
      <c r="AQ745" s="610"/>
    </row>
    <row r="746" spans="2:43" s="609" customFormat="1">
      <c r="B746" s="610"/>
      <c r="C746" s="610"/>
      <c r="D746" s="610"/>
      <c r="E746" s="610"/>
      <c r="F746" s="610"/>
      <c r="G746" s="610"/>
      <c r="H746" s="610"/>
      <c r="I746" s="610"/>
      <c r="J746" s="610"/>
      <c r="L746" s="610"/>
      <c r="M746" s="610"/>
      <c r="N746" s="610"/>
      <c r="O746" s="610"/>
      <c r="P746" s="610"/>
      <c r="Q746" s="610"/>
      <c r="R746" s="610"/>
      <c r="S746" s="610"/>
      <c r="T746" s="610"/>
      <c r="U746" s="610"/>
      <c r="V746" s="610"/>
      <c r="W746" s="610"/>
      <c r="X746" s="610"/>
      <c r="Y746" s="610"/>
      <c r="Z746" s="610"/>
      <c r="AA746" s="610"/>
      <c r="AB746" s="610"/>
      <c r="AC746" s="610"/>
      <c r="AD746" s="610"/>
      <c r="AE746" s="610"/>
      <c r="AF746" s="610"/>
      <c r="AG746" s="610"/>
      <c r="AH746" s="610"/>
      <c r="AI746" s="610"/>
      <c r="AJ746" s="610"/>
      <c r="AK746" s="610"/>
      <c r="AL746" s="610"/>
      <c r="AM746" s="610"/>
      <c r="AN746" s="610"/>
      <c r="AO746" s="610"/>
      <c r="AP746" s="610"/>
      <c r="AQ746" s="610"/>
    </row>
    <row r="747" spans="2:43" s="609" customFormat="1">
      <c r="B747" s="610"/>
      <c r="C747" s="610"/>
      <c r="D747" s="610"/>
      <c r="E747" s="610"/>
      <c r="F747" s="610"/>
      <c r="G747" s="610"/>
      <c r="H747" s="610"/>
      <c r="I747" s="610"/>
      <c r="J747" s="610"/>
      <c r="L747" s="610"/>
      <c r="M747" s="610"/>
      <c r="N747" s="610"/>
      <c r="O747" s="610"/>
      <c r="P747" s="610"/>
      <c r="Q747" s="610"/>
      <c r="R747" s="610"/>
      <c r="S747" s="610"/>
      <c r="T747" s="610"/>
      <c r="U747" s="610"/>
      <c r="V747" s="610"/>
      <c r="W747" s="610"/>
      <c r="X747" s="610"/>
      <c r="Y747" s="610"/>
      <c r="Z747" s="610"/>
      <c r="AA747" s="610"/>
      <c r="AB747" s="610"/>
      <c r="AC747" s="610"/>
      <c r="AD747" s="610"/>
      <c r="AE747" s="610"/>
      <c r="AF747" s="610"/>
      <c r="AG747" s="610"/>
      <c r="AH747" s="610"/>
      <c r="AI747" s="610"/>
      <c r="AJ747" s="610"/>
      <c r="AK747" s="610"/>
      <c r="AL747" s="610"/>
      <c r="AM747" s="610"/>
      <c r="AN747" s="610"/>
      <c r="AO747" s="610"/>
      <c r="AP747" s="610"/>
      <c r="AQ747" s="610"/>
    </row>
    <row r="748" spans="2:43" s="609" customFormat="1">
      <c r="B748" s="610"/>
      <c r="C748" s="610"/>
      <c r="D748" s="610"/>
      <c r="E748" s="610"/>
      <c r="F748" s="610"/>
      <c r="G748" s="610"/>
      <c r="H748" s="610"/>
      <c r="I748" s="610"/>
      <c r="J748" s="610"/>
      <c r="L748" s="610"/>
      <c r="M748" s="610"/>
      <c r="N748" s="610"/>
      <c r="O748" s="610"/>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610"/>
      <c r="AL748" s="610"/>
      <c r="AM748" s="610"/>
      <c r="AN748" s="610"/>
      <c r="AO748" s="610"/>
      <c r="AP748" s="610"/>
      <c r="AQ748" s="610"/>
    </row>
    <row r="749" spans="2:43" s="609" customFormat="1">
      <c r="B749" s="610"/>
      <c r="C749" s="610"/>
      <c r="D749" s="610"/>
      <c r="E749" s="610"/>
      <c r="F749" s="610"/>
      <c r="G749" s="610"/>
      <c r="H749" s="610"/>
      <c r="I749" s="610"/>
      <c r="J749" s="610"/>
      <c r="L749" s="610"/>
      <c r="M749" s="610"/>
      <c r="N749" s="610"/>
      <c r="O749" s="610"/>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610"/>
      <c r="AL749" s="610"/>
      <c r="AM749" s="610"/>
      <c r="AN749" s="610"/>
      <c r="AO749" s="610"/>
      <c r="AP749" s="610"/>
      <c r="AQ749" s="610"/>
    </row>
    <row r="750" spans="2:43" s="609" customFormat="1">
      <c r="B750" s="610"/>
      <c r="C750" s="610"/>
      <c r="D750" s="610"/>
      <c r="E750" s="610"/>
      <c r="F750" s="610"/>
      <c r="G750" s="610"/>
      <c r="H750" s="610"/>
      <c r="I750" s="610"/>
      <c r="J750" s="610"/>
      <c r="L750" s="610"/>
      <c r="M750" s="610"/>
      <c r="N750" s="610"/>
      <c r="O750" s="610"/>
      <c r="P750" s="610"/>
      <c r="Q750" s="610"/>
      <c r="R750" s="610"/>
      <c r="S750" s="610"/>
      <c r="T750" s="610"/>
      <c r="U750" s="610"/>
      <c r="V750" s="610"/>
      <c r="W750" s="610"/>
      <c r="X750" s="610"/>
      <c r="Y750" s="610"/>
      <c r="Z750" s="610"/>
      <c r="AA750" s="610"/>
      <c r="AB750" s="610"/>
      <c r="AC750" s="610"/>
      <c r="AD750" s="610"/>
      <c r="AE750" s="610"/>
      <c r="AF750" s="610"/>
      <c r="AG750" s="610"/>
      <c r="AH750" s="610"/>
      <c r="AI750" s="610"/>
      <c r="AJ750" s="610"/>
      <c r="AK750" s="610"/>
      <c r="AL750" s="610"/>
      <c r="AM750" s="610"/>
      <c r="AN750" s="610"/>
      <c r="AO750" s="610"/>
      <c r="AP750" s="610"/>
      <c r="AQ750" s="610"/>
    </row>
    <row r="751" spans="2:43" s="609" customFormat="1">
      <c r="B751" s="610"/>
      <c r="C751" s="610"/>
      <c r="D751" s="610"/>
      <c r="E751" s="610"/>
      <c r="F751" s="610"/>
      <c r="G751" s="610"/>
      <c r="H751" s="610"/>
      <c r="I751" s="610"/>
      <c r="J751" s="610"/>
      <c r="L751" s="610"/>
      <c r="M751" s="610"/>
      <c r="N751" s="610"/>
      <c r="O751" s="610"/>
      <c r="P751" s="610"/>
      <c r="Q751" s="610"/>
      <c r="R751" s="610"/>
      <c r="S751" s="610"/>
      <c r="T751" s="610"/>
      <c r="U751" s="610"/>
      <c r="V751" s="610"/>
      <c r="W751" s="610"/>
      <c r="X751" s="610"/>
      <c r="Y751" s="610"/>
      <c r="Z751" s="610"/>
      <c r="AA751" s="610"/>
      <c r="AB751" s="610"/>
      <c r="AC751" s="610"/>
      <c r="AD751" s="610"/>
      <c r="AE751" s="610"/>
      <c r="AF751" s="610"/>
      <c r="AG751" s="610"/>
      <c r="AH751" s="610"/>
      <c r="AI751" s="610"/>
      <c r="AJ751" s="610"/>
      <c r="AK751" s="610"/>
      <c r="AL751" s="610"/>
      <c r="AM751" s="610"/>
      <c r="AN751" s="610"/>
      <c r="AO751" s="610"/>
      <c r="AP751" s="610"/>
      <c r="AQ751" s="610"/>
    </row>
    <row r="752" spans="2:43" s="609" customFormat="1">
      <c r="B752" s="610"/>
      <c r="C752" s="610"/>
      <c r="D752" s="610"/>
      <c r="E752" s="610"/>
      <c r="F752" s="610"/>
      <c r="G752" s="610"/>
      <c r="H752" s="610"/>
      <c r="I752" s="610"/>
      <c r="J752" s="610"/>
      <c r="L752" s="610"/>
      <c r="M752" s="610"/>
      <c r="N752" s="610"/>
      <c r="O752" s="610"/>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610"/>
      <c r="AL752" s="610"/>
      <c r="AM752" s="610"/>
      <c r="AN752" s="610"/>
      <c r="AO752" s="610"/>
      <c r="AP752" s="610"/>
      <c r="AQ752" s="610"/>
    </row>
    <row r="753" spans="2:43" s="609" customFormat="1">
      <c r="B753" s="610"/>
      <c r="C753" s="610"/>
      <c r="D753" s="610"/>
      <c r="E753" s="610"/>
      <c r="F753" s="610"/>
      <c r="G753" s="610"/>
      <c r="H753" s="610"/>
      <c r="I753" s="610"/>
      <c r="J753" s="610"/>
      <c r="L753" s="610"/>
      <c r="M753" s="610"/>
      <c r="N753" s="610"/>
      <c r="O753" s="610"/>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610"/>
      <c r="AL753" s="610"/>
      <c r="AM753" s="610"/>
      <c r="AN753" s="610"/>
      <c r="AO753" s="610"/>
      <c r="AP753" s="610"/>
      <c r="AQ753" s="610"/>
    </row>
    <row r="754" spans="2:43" s="609" customFormat="1">
      <c r="B754" s="610"/>
      <c r="C754" s="610"/>
      <c r="D754" s="610"/>
      <c r="E754" s="610"/>
      <c r="F754" s="610"/>
      <c r="G754" s="610"/>
      <c r="H754" s="610"/>
      <c r="I754" s="610"/>
      <c r="J754" s="610"/>
      <c r="L754" s="610"/>
      <c r="M754" s="610"/>
      <c r="N754" s="610"/>
      <c r="O754" s="610"/>
      <c r="P754" s="610"/>
      <c r="Q754" s="610"/>
      <c r="R754" s="610"/>
      <c r="S754" s="610"/>
      <c r="T754" s="610"/>
      <c r="U754" s="610"/>
      <c r="V754" s="610"/>
      <c r="W754" s="610"/>
      <c r="X754" s="610"/>
      <c r="Y754" s="610"/>
      <c r="Z754" s="610"/>
      <c r="AA754" s="610"/>
      <c r="AB754" s="610"/>
      <c r="AC754" s="610"/>
      <c r="AD754" s="610"/>
      <c r="AE754" s="610"/>
      <c r="AF754" s="610"/>
      <c r="AG754" s="610"/>
      <c r="AH754" s="610"/>
      <c r="AI754" s="610"/>
      <c r="AJ754" s="610"/>
      <c r="AK754" s="610"/>
      <c r="AL754" s="610"/>
      <c r="AM754" s="610"/>
      <c r="AN754" s="610"/>
      <c r="AO754" s="610"/>
      <c r="AP754" s="610"/>
      <c r="AQ754" s="610"/>
    </row>
    <row r="755" spans="2:43" s="609" customFormat="1">
      <c r="B755" s="610"/>
      <c r="C755" s="610"/>
      <c r="D755" s="610"/>
      <c r="E755" s="610"/>
      <c r="F755" s="610"/>
      <c r="G755" s="610"/>
      <c r="H755" s="610"/>
      <c r="I755" s="610"/>
      <c r="J755" s="610"/>
      <c r="L755" s="610"/>
      <c r="M755" s="610"/>
      <c r="N755" s="610"/>
      <c r="O755" s="610"/>
      <c r="P755" s="610"/>
      <c r="Q755" s="610"/>
      <c r="R755" s="610"/>
      <c r="S755" s="610"/>
      <c r="T755" s="610"/>
      <c r="U755" s="610"/>
      <c r="V755" s="610"/>
      <c r="W755" s="610"/>
      <c r="X755" s="610"/>
      <c r="Y755" s="610"/>
      <c r="Z755" s="610"/>
      <c r="AA755" s="610"/>
      <c r="AB755" s="610"/>
      <c r="AC755" s="610"/>
      <c r="AD755" s="610"/>
      <c r="AE755" s="610"/>
      <c r="AF755" s="610"/>
      <c r="AG755" s="610"/>
      <c r="AH755" s="610"/>
      <c r="AI755" s="610"/>
      <c r="AJ755" s="610"/>
      <c r="AK755" s="610"/>
      <c r="AL755" s="610"/>
      <c r="AM755" s="610"/>
      <c r="AN755" s="610"/>
      <c r="AO755" s="610"/>
      <c r="AP755" s="610"/>
      <c r="AQ755" s="610"/>
    </row>
    <row r="756" spans="2:43" s="609" customFormat="1">
      <c r="B756" s="610"/>
      <c r="C756" s="610"/>
      <c r="D756" s="610"/>
      <c r="E756" s="610"/>
      <c r="F756" s="610"/>
      <c r="G756" s="610"/>
      <c r="H756" s="610"/>
      <c r="I756" s="610"/>
      <c r="J756" s="610"/>
      <c r="L756" s="610"/>
      <c r="M756" s="610"/>
      <c r="N756" s="610"/>
      <c r="O756" s="610"/>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610"/>
      <c r="AL756" s="610"/>
      <c r="AM756" s="610"/>
      <c r="AN756" s="610"/>
      <c r="AO756" s="610"/>
      <c r="AP756" s="610"/>
      <c r="AQ756" s="610"/>
    </row>
    <row r="757" spans="2:43" s="609" customFormat="1">
      <c r="B757" s="610"/>
      <c r="C757" s="610"/>
      <c r="D757" s="610"/>
      <c r="E757" s="610"/>
      <c r="F757" s="610"/>
      <c r="G757" s="610"/>
      <c r="H757" s="610"/>
      <c r="I757" s="610"/>
      <c r="J757" s="610"/>
      <c r="L757" s="610"/>
      <c r="M757" s="610"/>
      <c r="N757" s="610"/>
      <c r="O757" s="610"/>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610"/>
      <c r="AL757" s="610"/>
      <c r="AM757" s="610"/>
      <c r="AN757" s="610"/>
      <c r="AO757" s="610"/>
      <c r="AP757" s="610"/>
      <c r="AQ757" s="610"/>
    </row>
    <row r="758" spans="2:43" s="609" customFormat="1">
      <c r="B758" s="610"/>
      <c r="C758" s="610"/>
      <c r="D758" s="610"/>
      <c r="E758" s="610"/>
      <c r="F758" s="610"/>
      <c r="G758" s="610"/>
      <c r="H758" s="610"/>
      <c r="I758" s="610"/>
      <c r="J758" s="610"/>
      <c r="L758" s="610"/>
      <c r="M758" s="610"/>
      <c r="N758" s="610"/>
      <c r="O758" s="610"/>
      <c r="P758" s="610"/>
      <c r="Q758" s="610"/>
      <c r="R758" s="610"/>
      <c r="S758" s="610"/>
      <c r="T758" s="610"/>
      <c r="U758" s="610"/>
      <c r="V758" s="610"/>
      <c r="W758" s="610"/>
      <c r="X758" s="610"/>
      <c r="Y758" s="610"/>
      <c r="Z758" s="610"/>
      <c r="AA758" s="610"/>
      <c r="AB758" s="610"/>
      <c r="AC758" s="610"/>
      <c r="AD758" s="610"/>
      <c r="AE758" s="610"/>
      <c r="AF758" s="610"/>
      <c r="AG758" s="610"/>
      <c r="AH758" s="610"/>
      <c r="AI758" s="610"/>
      <c r="AJ758" s="610"/>
      <c r="AK758" s="610"/>
      <c r="AL758" s="610"/>
      <c r="AM758" s="610"/>
      <c r="AN758" s="610"/>
      <c r="AO758" s="610"/>
      <c r="AP758" s="610"/>
      <c r="AQ758" s="610"/>
    </row>
    <row r="759" spans="2:43" s="609" customFormat="1">
      <c r="B759" s="610"/>
      <c r="C759" s="610"/>
      <c r="D759" s="610"/>
      <c r="E759" s="610"/>
      <c r="F759" s="610"/>
      <c r="G759" s="610"/>
      <c r="H759" s="610"/>
      <c r="I759" s="610"/>
      <c r="J759" s="610"/>
      <c r="L759" s="610"/>
      <c r="M759" s="610"/>
      <c r="N759" s="610"/>
      <c r="O759" s="610"/>
      <c r="P759" s="610"/>
      <c r="Q759" s="610"/>
      <c r="R759" s="610"/>
      <c r="S759" s="610"/>
      <c r="T759" s="610"/>
      <c r="U759" s="610"/>
      <c r="V759" s="610"/>
      <c r="W759" s="610"/>
      <c r="X759" s="610"/>
      <c r="Y759" s="610"/>
      <c r="Z759" s="610"/>
      <c r="AA759" s="610"/>
      <c r="AB759" s="610"/>
      <c r="AC759" s="610"/>
      <c r="AD759" s="610"/>
      <c r="AE759" s="610"/>
      <c r="AF759" s="610"/>
      <c r="AG759" s="610"/>
      <c r="AH759" s="610"/>
      <c r="AI759" s="610"/>
      <c r="AJ759" s="610"/>
      <c r="AK759" s="610"/>
      <c r="AL759" s="610"/>
      <c r="AM759" s="610"/>
      <c r="AN759" s="610"/>
      <c r="AO759" s="610"/>
      <c r="AP759" s="610"/>
      <c r="AQ759" s="610"/>
    </row>
    <row r="760" spans="2:43" s="609" customFormat="1">
      <c r="B760" s="610"/>
      <c r="C760" s="610"/>
      <c r="D760" s="610"/>
      <c r="E760" s="610"/>
      <c r="F760" s="610"/>
      <c r="G760" s="610"/>
      <c r="H760" s="610"/>
      <c r="I760" s="610"/>
      <c r="J760" s="610"/>
      <c r="L760" s="610"/>
      <c r="M760" s="610"/>
      <c r="N760" s="610"/>
      <c r="O760" s="610"/>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610"/>
      <c r="AL760" s="610"/>
      <c r="AM760" s="610"/>
      <c r="AN760" s="610"/>
      <c r="AO760" s="610"/>
      <c r="AP760" s="610"/>
      <c r="AQ760" s="610"/>
    </row>
    <row r="761" spans="2:43" s="609" customFormat="1">
      <c r="B761" s="610"/>
      <c r="C761" s="610"/>
      <c r="D761" s="610"/>
      <c r="E761" s="610"/>
      <c r="F761" s="610"/>
      <c r="G761" s="610"/>
      <c r="H761" s="610"/>
      <c r="I761" s="610"/>
      <c r="J761" s="610"/>
      <c r="L761" s="610"/>
      <c r="M761" s="610"/>
      <c r="N761" s="610"/>
      <c r="O761" s="610"/>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610"/>
      <c r="AL761" s="610"/>
      <c r="AM761" s="610"/>
      <c r="AN761" s="610"/>
      <c r="AO761" s="610"/>
      <c r="AP761" s="610"/>
      <c r="AQ761" s="610"/>
    </row>
    <row r="762" spans="2:43" s="609" customFormat="1">
      <c r="B762" s="610"/>
      <c r="C762" s="610"/>
      <c r="D762" s="610"/>
      <c r="E762" s="610"/>
      <c r="F762" s="610"/>
      <c r="G762" s="610"/>
      <c r="H762" s="610"/>
      <c r="I762" s="610"/>
      <c r="J762" s="610"/>
      <c r="L762" s="610"/>
      <c r="M762" s="610"/>
      <c r="N762" s="610"/>
      <c r="O762" s="610"/>
      <c r="P762" s="610"/>
      <c r="Q762" s="610"/>
      <c r="R762" s="610"/>
      <c r="S762" s="610"/>
      <c r="T762" s="610"/>
      <c r="U762" s="610"/>
      <c r="V762" s="610"/>
      <c r="W762" s="610"/>
      <c r="X762" s="610"/>
      <c r="Y762" s="610"/>
      <c r="Z762" s="610"/>
      <c r="AA762" s="610"/>
      <c r="AB762" s="610"/>
      <c r="AC762" s="610"/>
      <c r="AD762" s="610"/>
      <c r="AE762" s="610"/>
      <c r="AF762" s="610"/>
      <c r="AG762" s="610"/>
      <c r="AH762" s="610"/>
      <c r="AI762" s="610"/>
      <c r="AJ762" s="610"/>
      <c r="AK762" s="610"/>
      <c r="AL762" s="610"/>
      <c r="AM762" s="610"/>
      <c r="AN762" s="610"/>
      <c r="AO762" s="610"/>
      <c r="AP762" s="610"/>
      <c r="AQ762" s="610"/>
    </row>
    <row r="763" spans="2:43" s="609" customFormat="1">
      <c r="B763" s="610"/>
      <c r="C763" s="610"/>
      <c r="D763" s="610"/>
      <c r="E763" s="610"/>
      <c r="F763" s="610"/>
      <c r="G763" s="610"/>
      <c r="H763" s="610"/>
      <c r="I763" s="610"/>
      <c r="J763" s="610"/>
      <c r="L763" s="610"/>
      <c r="M763" s="610"/>
      <c r="N763" s="610"/>
      <c r="O763" s="610"/>
      <c r="P763" s="610"/>
      <c r="Q763" s="610"/>
      <c r="R763" s="610"/>
      <c r="S763" s="610"/>
      <c r="T763" s="610"/>
      <c r="U763" s="610"/>
      <c r="V763" s="610"/>
      <c r="W763" s="610"/>
      <c r="X763" s="610"/>
      <c r="Y763" s="610"/>
      <c r="Z763" s="610"/>
      <c r="AA763" s="610"/>
      <c r="AB763" s="610"/>
      <c r="AC763" s="610"/>
      <c r="AD763" s="610"/>
      <c r="AE763" s="610"/>
      <c r="AF763" s="610"/>
      <c r="AG763" s="610"/>
      <c r="AH763" s="610"/>
      <c r="AI763" s="610"/>
      <c r="AJ763" s="610"/>
      <c r="AK763" s="610"/>
      <c r="AL763" s="610"/>
      <c r="AM763" s="610"/>
      <c r="AN763" s="610"/>
      <c r="AO763" s="610"/>
      <c r="AP763" s="610"/>
      <c r="AQ763" s="610"/>
    </row>
    <row r="764" spans="2:43" s="609" customFormat="1">
      <c r="B764" s="610"/>
      <c r="C764" s="610"/>
      <c r="D764" s="610"/>
      <c r="E764" s="610"/>
      <c r="F764" s="610"/>
      <c r="G764" s="610"/>
      <c r="H764" s="610"/>
      <c r="I764" s="610"/>
      <c r="J764" s="610"/>
      <c r="L764" s="610"/>
      <c r="M764" s="610"/>
      <c r="N764" s="610"/>
      <c r="O764" s="610"/>
      <c r="P764" s="610"/>
      <c r="Q764" s="610"/>
      <c r="R764" s="610"/>
      <c r="S764" s="610"/>
      <c r="T764" s="610"/>
      <c r="U764" s="610"/>
      <c r="V764" s="610"/>
      <c r="W764" s="610"/>
      <c r="X764" s="610"/>
      <c r="Y764" s="610"/>
      <c r="Z764" s="610"/>
      <c r="AA764" s="610"/>
      <c r="AB764" s="610"/>
      <c r="AC764" s="610"/>
      <c r="AD764" s="610"/>
      <c r="AE764" s="610"/>
      <c r="AF764" s="610"/>
      <c r="AG764" s="610"/>
      <c r="AH764" s="610"/>
      <c r="AI764" s="610"/>
      <c r="AJ764" s="610"/>
      <c r="AK764" s="610"/>
      <c r="AL764" s="610"/>
      <c r="AM764" s="610"/>
      <c r="AN764" s="610"/>
      <c r="AO764" s="610"/>
      <c r="AP764" s="610"/>
      <c r="AQ764" s="610"/>
    </row>
    <row r="765" spans="2:43" s="609" customFormat="1">
      <c r="B765" s="610"/>
      <c r="C765" s="610"/>
      <c r="D765" s="610"/>
      <c r="E765" s="610"/>
      <c r="F765" s="610"/>
      <c r="G765" s="610"/>
      <c r="H765" s="610"/>
      <c r="I765" s="610"/>
      <c r="J765" s="610"/>
      <c r="L765" s="610"/>
      <c r="M765" s="610"/>
      <c r="N765" s="610"/>
      <c r="O765" s="610"/>
      <c r="P765" s="610"/>
      <c r="Q765" s="610"/>
      <c r="R765" s="610"/>
      <c r="S765" s="610"/>
      <c r="T765" s="610"/>
      <c r="U765" s="610"/>
      <c r="V765" s="610"/>
      <c r="W765" s="610"/>
      <c r="X765" s="610"/>
      <c r="Y765" s="610"/>
      <c r="Z765" s="610"/>
      <c r="AA765" s="610"/>
      <c r="AB765" s="610"/>
      <c r="AC765" s="610"/>
      <c r="AD765" s="610"/>
      <c r="AE765" s="610"/>
      <c r="AF765" s="610"/>
      <c r="AG765" s="610"/>
      <c r="AH765" s="610"/>
      <c r="AI765" s="610"/>
      <c r="AJ765" s="610"/>
      <c r="AK765" s="610"/>
      <c r="AL765" s="610"/>
      <c r="AM765" s="610"/>
      <c r="AN765" s="610"/>
      <c r="AO765" s="610"/>
      <c r="AP765" s="610"/>
      <c r="AQ765" s="610"/>
    </row>
    <row r="766" spans="2:43" s="609" customFormat="1">
      <c r="B766" s="610"/>
      <c r="C766" s="610"/>
      <c r="D766" s="610"/>
      <c r="E766" s="610"/>
      <c r="F766" s="610"/>
      <c r="G766" s="610"/>
      <c r="H766" s="610"/>
      <c r="I766" s="610"/>
      <c r="J766" s="610"/>
      <c r="L766" s="610"/>
      <c r="M766" s="610"/>
      <c r="N766" s="610"/>
      <c r="O766" s="610"/>
      <c r="P766" s="610"/>
      <c r="Q766" s="610"/>
      <c r="R766" s="610"/>
      <c r="S766" s="610"/>
      <c r="T766" s="610"/>
      <c r="U766" s="610"/>
      <c r="V766" s="610"/>
      <c r="W766" s="610"/>
      <c r="X766" s="610"/>
      <c r="Y766" s="610"/>
      <c r="Z766" s="610"/>
      <c r="AA766" s="610"/>
      <c r="AB766" s="610"/>
      <c r="AC766" s="610"/>
      <c r="AD766" s="610"/>
      <c r="AE766" s="610"/>
      <c r="AF766" s="610"/>
      <c r="AG766" s="610"/>
      <c r="AH766" s="610"/>
      <c r="AI766" s="610"/>
      <c r="AJ766" s="610"/>
      <c r="AK766" s="610"/>
      <c r="AL766" s="610"/>
      <c r="AM766" s="610"/>
      <c r="AN766" s="610"/>
      <c r="AO766" s="610"/>
      <c r="AP766" s="610"/>
      <c r="AQ766" s="610"/>
    </row>
    <row r="767" spans="2:43" s="609" customFormat="1">
      <c r="B767" s="610"/>
      <c r="C767" s="610"/>
      <c r="D767" s="610"/>
      <c r="E767" s="610"/>
      <c r="F767" s="610"/>
      <c r="G767" s="610"/>
      <c r="H767" s="610"/>
      <c r="I767" s="610"/>
      <c r="J767" s="610"/>
      <c r="L767" s="610"/>
      <c r="M767" s="610"/>
      <c r="N767" s="610"/>
      <c r="O767" s="610"/>
      <c r="P767" s="610"/>
      <c r="Q767" s="610"/>
      <c r="R767" s="610"/>
      <c r="S767" s="610"/>
      <c r="T767" s="610"/>
      <c r="U767" s="610"/>
      <c r="V767" s="610"/>
      <c r="W767" s="610"/>
      <c r="X767" s="610"/>
      <c r="Y767" s="610"/>
      <c r="Z767" s="610"/>
      <c r="AA767" s="610"/>
      <c r="AB767" s="610"/>
      <c r="AC767" s="610"/>
      <c r="AD767" s="610"/>
      <c r="AE767" s="610"/>
      <c r="AF767" s="610"/>
      <c r="AG767" s="610"/>
      <c r="AH767" s="610"/>
      <c r="AI767" s="610"/>
      <c r="AJ767" s="610"/>
      <c r="AK767" s="610"/>
      <c r="AL767" s="610"/>
      <c r="AM767" s="610"/>
      <c r="AN767" s="610"/>
      <c r="AO767" s="610"/>
      <c r="AP767" s="610"/>
      <c r="AQ767" s="610"/>
    </row>
    <row r="768" spans="2:43" s="609" customFormat="1">
      <c r="B768" s="610"/>
      <c r="C768" s="610"/>
      <c r="D768" s="610"/>
      <c r="E768" s="610"/>
      <c r="F768" s="610"/>
      <c r="G768" s="610"/>
      <c r="H768" s="610"/>
      <c r="I768" s="610"/>
      <c r="J768" s="610"/>
      <c r="L768" s="610"/>
      <c r="M768" s="610"/>
      <c r="N768" s="610"/>
      <c r="O768" s="610"/>
      <c r="P768" s="610"/>
      <c r="Q768" s="610"/>
      <c r="R768" s="610"/>
      <c r="S768" s="610"/>
      <c r="T768" s="610"/>
      <c r="U768" s="610"/>
      <c r="V768" s="610"/>
      <c r="W768" s="610"/>
      <c r="X768" s="610"/>
      <c r="Y768" s="610"/>
      <c r="Z768" s="610"/>
      <c r="AA768" s="610"/>
      <c r="AB768" s="610"/>
      <c r="AC768" s="610"/>
      <c r="AD768" s="610"/>
      <c r="AE768" s="610"/>
      <c r="AF768" s="610"/>
      <c r="AG768" s="610"/>
      <c r="AH768" s="610"/>
      <c r="AI768" s="610"/>
      <c r="AJ768" s="610"/>
      <c r="AK768" s="610"/>
      <c r="AL768" s="610"/>
      <c r="AM768" s="610"/>
      <c r="AN768" s="610"/>
      <c r="AO768" s="610"/>
      <c r="AP768" s="610"/>
      <c r="AQ768" s="610"/>
    </row>
    <row r="769" spans="2:43" s="609" customFormat="1">
      <c r="B769" s="610"/>
      <c r="C769" s="610"/>
      <c r="D769" s="610"/>
      <c r="E769" s="610"/>
      <c r="F769" s="610"/>
      <c r="G769" s="610"/>
      <c r="H769" s="610"/>
      <c r="I769" s="610"/>
      <c r="J769" s="610"/>
      <c r="L769" s="610"/>
      <c r="M769" s="610"/>
      <c r="N769" s="610"/>
      <c r="O769" s="610"/>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c r="AN769" s="610"/>
      <c r="AO769" s="610"/>
      <c r="AP769" s="610"/>
      <c r="AQ769" s="610"/>
    </row>
    <row r="770" spans="2:43" s="609" customFormat="1">
      <c r="B770" s="610"/>
      <c r="C770" s="610"/>
      <c r="D770" s="610"/>
      <c r="E770" s="610"/>
      <c r="F770" s="610"/>
      <c r="G770" s="610"/>
      <c r="H770" s="610"/>
      <c r="I770" s="610"/>
      <c r="J770" s="610"/>
      <c r="L770" s="610"/>
      <c r="M770" s="610"/>
      <c r="N770" s="610"/>
      <c r="O770" s="610"/>
      <c r="P770" s="610"/>
      <c r="Q770" s="610"/>
      <c r="R770" s="610"/>
      <c r="S770" s="610"/>
      <c r="T770" s="610"/>
      <c r="U770" s="610"/>
      <c r="V770" s="610"/>
      <c r="W770" s="610"/>
      <c r="X770" s="610"/>
      <c r="Y770" s="610"/>
      <c r="Z770" s="610"/>
      <c r="AA770" s="610"/>
      <c r="AB770" s="610"/>
      <c r="AC770" s="610"/>
      <c r="AD770" s="610"/>
      <c r="AE770" s="610"/>
      <c r="AF770" s="610"/>
      <c r="AG770" s="610"/>
      <c r="AH770" s="610"/>
      <c r="AI770" s="610"/>
      <c r="AJ770" s="610"/>
      <c r="AK770" s="610"/>
      <c r="AL770" s="610"/>
      <c r="AM770" s="610"/>
      <c r="AN770" s="610"/>
      <c r="AO770" s="610"/>
      <c r="AP770" s="610"/>
      <c r="AQ770" s="610"/>
    </row>
    <row r="771" spans="2:43" s="609" customFormat="1">
      <c r="B771" s="610"/>
      <c r="C771" s="610"/>
      <c r="D771" s="610"/>
      <c r="E771" s="610"/>
      <c r="F771" s="610"/>
      <c r="G771" s="610"/>
      <c r="H771" s="610"/>
      <c r="I771" s="610"/>
      <c r="J771" s="610"/>
      <c r="L771" s="610"/>
      <c r="M771" s="610"/>
      <c r="N771" s="610"/>
      <c r="O771" s="610"/>
      <c r="P771" s="610"/>
      <c r="Q771" s="610"/>
      <c r="R771" s="610"/>
      <c r="S771" s="610"/>
      <c r="T771" s="610"/>
      <c r="U771" s="610"/>
      <c r="V771" s="610"/>
      <c r="W771" s="610"/>
      <c r="X771" s="610"/>
      <c r="Y771" s="610"/>
      <c r="Z771" s="610"/>
      <c r="AA771" s="610"/>
      <c r="AB771" s="610"/>
      <c r="AC771" s="610"/>
      <c r="AD771" s="610"/>
      <c r="AE771" s="610"/>
      <c r="AF771" s="610"/>
      <c r="AG771" s="610"/>
      <c r="AH771" s="610"/>
      <c r="AI771" s="610"/>
      <c r="AJ771" s="610"/>
      <c r="AK771" s="610"/>
      <c r="AL771" s="610"/>
      <c r="AM771" s="610"/>
      <c r="AN771" s="610"/>
      <c r="AO771" s="610"/>
      <c r="AP771" s="610"/>
      <c r="AQ771" s="610"/>
    </row>
    <row r="772" spans="2:43" s="609" customFormat="1">
      <c r="B772" s="610"/>
      <c r="C772" s="610"/>
      <c r="D772" s="610"/>
      <c r="E772" s="610"/>
      <c r="F772" s="610"/>
      <c r="G772" s="610"/>
      <c r="H772" s="610"/>
      <c r="I772" s="610"/>
      <c r="J772" s="610"/>
      <c r="L772" s="610"/>
      <c r="M772" s="610"/>
      <c r="N772" s="610"/>
      <c r="O772" s="610"/>
      <c r="P772" s="610"/>
      <c r="Q772" s="610"/>
      <c r="R772" s="610"/>
      <c r="S772" s="610"/>
      <c r="T772" s="610"/>
      <c r="U772" s="610"/>
      <c r="V772" s="610"/>
      <c r="W772" s="610"/>
      <c r="X772" s="610"/>
      <c r="Y772" s="610"/>
      <c r="Z772" s="610"/>
      <c r="AA772" s="610"/>
      <c r="AB772" s="610"/>
      <c r="AC772" s="610"/>
      <c r="AD772" s="610"/>
      <c r="AE772" s="610"/>
      <c r="AF772" s="610"/>
      <c r="AG772" s="610"/>
      <c r="AH772" s="610"/>
      <c r="AI772" s="610"/>
      <c r="AJ772" s="610"/>
      <c r="AK772" s="610"/>
      <c r="AL772" s="610"/>
      <c r="AM772" s="610"/>
      <c r="AN772" s="610"/>
      <c r="AO772" s="610"/>
      <c r="AP772" s="610"/>
      <c r="AQ772" s="610"/>
    </row>
    <row r="773" spans="2:43" s="609" customFormat="1">
      <c r="B773" s="610"/>
      <c r="C773" s="610"/>
      <c r="D773" s="610"/>
      <c r="E773" s="610"/>
      <c r="F773" s="610"/>
      <c r="G773" s="610"/>
      <c r="H773" s="610"/>
      <c r="I773" s="610"/>
      <c r="J773" s="610"/>
      <c r="L773" s="610"/>
      <c r="M773" s="610"/>
      <c r="N773" s="610"/>
      <c r="O773" s="610"/>
      <c r="P773" s="610"/>
      <c r="Q773" s="610"/>
      <c r="R773" s="610"/>
      <c r="S773" s="610"/>
      <c r="T773" s="610"/>
      <c r="U773" s="610"/>
      <c r="V773" s="610"/>
      <c r="W773" s="610"/>
      <c r="X773" s="610"/>
      <c r="Y773" s="610"/>
      <c r="Z773" s="610"/>
      <c r="AA773" s="610"/>
      <c r="AB773" s="610"/>
      <c r="AC773" s="610"/>
      <c r="AD773" s="610"/>
      <c r="AE773" s="610"/>
      <c r="AF773" s="610"/>
      <c r="AG773" s="610"/>
      <c r="AH773" s="610"/>
      <c r="AI773" s="610"/>
      <c r="AJ773" s="610"/>
      <c r="AK773" s="610"/>
      <c r="AL773" s="610"/>
      <c r="AM773" s="610"/>
      <c r="AN773" s="610"/>
      <c r="AO773" s="610"/>
      <c r="AP773" s="610"/>
      <c r="AQ773" s="610"/>
    </row>
    <row r="774" spans="2:43" s="609" customFormat="1">
      <c r="B774" s="610"/>
      <c r="C774" s="610"/>
      <c r="D774" s="610"/>
      <c r="E774" s="610"/>
      <c r="F774" s="610"/>
      <c r="G774" s="610"/>
      <c r="H774" s="610"/>
      <c r="I774" s="610"/>
      <c r="J774" s="610"/>
      <c r="L774" s="610"/>
      <c r="M774" s="610"/>
      <c r="N774" s="610"/>
      <c r="O774" s="610"/>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c r="AN774" s="610"/>
      <c r="AO774" s="610"/>
      <c r="AP774" s="610"/>
      <c r="AQ774" s="610"/>
    </row>
    <row r="775" spans="2:43" s="609" customFormat="1">
      <c r="B775" s="610"/>
      <c r="C775" s="610"/>
      <c r="D775" s="610"/>
      <c r="E775" s="610"/>
      <c r="F775" s="610"/>
      <c r="G775" s="610"/>
      <c r="H775" s="610"/>
      <c r="I775" s="610"/>
      <c r="J775" s="610"/>
      <c r="L775" s="610"/>
      <c r="M775" s="610"/>
      <c r="N775" s="610"/>
      <c r="O775" s="610"/>
      <c r="P775" s="610"/>
      <c r="Q775" s="610"/>
      <c r="R775" s="610"/>
      <c r="S775" s="610"/>
      <c r="T775" s="610"/>
      <c r="U775" s="610"/>
      <c r="V775" s="610"/>
      <c r="W775" s="610"/>
      <c r="X775" s="610"/>
      <c r="Y775" s="610"/>
      <c r="Z775" s="610"/>
      <c r="AA775" s="610"/>
      <c r="AB775" s="610"/>
      <c r="AC775" s="610"/>
      <c r="AD775" s="610"/>
      <c r="AE775" s="610"/>
      <c r="AF775" s="610"/>
      <c r="AG775" s="610"/>
      <c r="AH775" s="610"/>
      <c r="AI775" s="610"/>
      <c r="AJ775" s="610"/>
      <c r="AK775" s="610"/>
      <c r="AL775" s="610"/>
      <c r="AM775" s="610"/>
      <c r="AN775" s="610"/>
      <c r="AO775" s="610"/>
      <c r="AP775" s="610"/>
      <c r="AQ775" s="610"/>
    </row>
    <row r="776" spans="2:43" s="609" customFormat="1">
      <c r="B776" s="610"/>
      <c r="C776" s="610"/>
      <c r="D776" s="610"/>
      <c r="E776" s="610"/>
      <c r="F776" s="610"/>
      <c r="G776" s="610"/>
      <c r="H776" s="610"/>
      <c r="I776" s="610"/>
      <c r="J776" s="610"/>
      <c r="L776" s="610"/>
      <c r="M776" s="610"/>
      <c r="N776" s="610"/>
      <c r="O776" s="610"/>
      <c r="P776" s="610"/>
      <c r="Q776" s="610"/>
      <c r="R776" s="610"/>
      <c r="S776" s="610"/>
      <c r="T776" s="610"/>
      <c r="U776" s="610"/>
      <c r="V776" s="610"/>
      <c r="W776" s="610"/>
      <c r="X776" s="610"/>
      <c r="Y776" s="610"/>
      <c r="Z776" s="610"/>
      <c r="AA776" s="610"/>
      <c r="AB776" s="610"/>
      <c r="AC776" s="610"/>
      <c r="AD776" s="610"/>
      <c r="AE776" s="610"/>
      <c r="AF776" s="610"/>
      <c r="AG776" s="610"/>
      <c r="AH776" s="610"/>
      <c r="AI776" s="610"/>
      <c r="AJ776" s="610"/>
      <c r="AK776" s="610"/>
      <c r="AL776" s="610"/>
      <c r="AM776" s="610"/>
      <c r="AN776" s="610"/>
      <c r="AO776" s="610"/>
      <c r="AP776" s="610"/>
      <c r="AQ776" s="610"/>
    </row>
    <row r="777" spans="2:43" s="609" customFormat="1">
      <c r="B777" s="610"/>
      <c r="C777" s="610"/>
      <c r="D777" s="610"/>
      <c r="E777" s="610"/>
      <c r="F777" s="610"/>
      <c r="G777" s="610"/>
      <c r="H777" s="610"/>
      <c r="I777" s="610"/>
      <c r="J777" s="610"/>
      <c r="L777" s="610"/>
      <c r="M777" s="610"/>
      <c r="N777" s="610"/>
      <c r="O777" s="610"/>
      <c r="P777" s="610"/>
      <c r="Q777" s="610"/>
      <c r="R777" s="610"/>
      <c r="S777" s="610"/>
      <c r="T777" s="610"/>
      <c r="U777" s="610"/>
      <c r="V777" s="610"/>
      <c r="W777" s="610"/>
      <c r="X777" s="610"/>
      <c r="Y777" s="610"/>
      <c r="Z777" s="610"/>
      <c r="AA777" s="610"/>
      <c r="AB777" s="610"/>
      <c r="AC777" s="610"/>
      <c r="AD777" s="610"/>
      <c r="AE777" s="610"/>
      <c r="AF777" s="610"/>
      <c r="AG777" s="610"/>
      <c r="AH777" s="610"/>
      <c r="AI777" s="610"/>
      <c r="AJ777" s="610"/>
      <c r="AK777" s="610"/>
      <c r="AL777" s="610"/>
      <c r="AM777" s="610"/>
      <c r="AN777" s="610"/>
      <c r="AO777" s="610"/>
      <c r="AP777" s="610"/>
      <c r="AQ777" s="610"/>
    </row>
    <row r="778" spans="2:43" s="609" customFormat="1">
      <c r="B778" s="610"/>
      <c r="C778" s="610"/>
      <c r="D778" s="610"/>
      <c r="E778" s="610"/>
      <c r="F778" s="610"/>
      <c r="G778" s="610"/>
      <c r="H778" s="610"/>
      <c r="I778" s="610"/>
      <c r="J778" s="610"/>
      <c r="L778" s="610"/>
      <c r="M778" s="610"/>
      <c r="N778" s="610"/>
      <c r="O778" s="610"/>
      <c r="P778" s="610"/>
      <c r="Q778" s="610"/>
      <c r="R778" s="610"/>
      <c r="S778" s="610"/>
      <c r="T778" s="610"/>
      <c r="U778" s="610"/>
      <c r="V778" s="610"/>
      <c r="W778" s="610"/>
      <c r="X778" s="610"/>
      <c r="Y778" s="610"/>
      <c r="Z778" s="610"/>
      <c r="AA778" s="610"/>
      <c r="AB778" s="610"/>
      <c r="AC778" s="610"/>
      <c r="AD778" s="610"/>
      <c r="AE778" s="610"/>
      <c r="AF778" s="610"/>
      <c r="AG778" s="610"/>
      <c r="AH778" s="610"/>
      <c r="AI778" s="610"/>
      <c r="AJ778" s="610"/>
      <c r="AK778" s="610"/>
      <c r="AL778" s="610"/>
      <c r="AM778" s="610"/>
      <c r="AN778" s="610"/>
      <c r="AO778" s="610"/>
      <c r="AP778" s="610"/>
      <c r="AQ778" s="610"/>
    </row>
    <row r="779" spans="2:43" s="609" customFormat="1">
      <c r="B779" s="610"/>
      <c r="C779" s="610"/>
      <c r="D779" s="610"/>
      <c r="E779" s="610"/>
      <c r="F779" s="610"/>
      <c r="G779" s="610"/>
      <c r="H779" s="610"/>
      <c r="I779" s="610"/>
      <c r="J779" s="610"/>
      <c r="L779" s="610"/>
      <c r="M779" s="610"/>
      <c r="N779" s="610"/>
      <c r="O779" s="610"/>
      <c r="P779" s="610"/>
      <c r="Q779" s="610"/>
      <c r="R779" s="610"/>
      <c r="S779" s="610"/>
      <c r="T779" s="610"/>
      <c r="U779" s="610"/>
      <c r="V779" s="610"/>
      <c r="W779" s="610"/>
      <c r="X779" s="610"/>
      <c r="Y779" s="610"/>
      <c r="Z779" s="610"/>
      <c r="AA779" s="610"/>
      <c r="AB779" s="610"/>
      <c r="AC779" s="610"/>
      <c r="AD779" s="610"/>
      <c r="AE779" s="610"/>
      <c r="AF779" s="610"/>
      <c r="AG779" s="610"/>
      <c r="AH779" s="610"/>
      <c r="AI779" s="610"/>
      <c r="AJ779" s="610"/>
      <c r="AK779" s="610"/>
      <c r="AL779" s="610"/>
      <c r="AM779" s="610"/>
      <c r="AN779" s="610"/>
      <c r="AO779" s="610"/>
      <c r="AP779" s="610"/>
      <c r="AQ779" s="610"/>
    </row>
    <row r="780" spans="2:43" s="609" customFormat="1">
      <c r="B780" s="610"/>
      <c r="C780" s="610"/>
      <c r="D780" s="610"/>
      <c r="E780" s="610"/>
      <c r="F780" s="610"/>
      <c r="G780" s="610"/>
      <c r="H780" s="610"/>
      <c r="I780" s="610"/>
      <c r="J780" s="610"/>
      <c r="L780" s="610"/>
      <c r="M780" s="610"/>
      <c r="N780" s="610"/>
      <c r="O780" s="610"/>
      <c r="P780" s="610"/>
      <c r="Q780" s="610"/>
      <c r="R780" s="610"/>
      <c r="S780" s="610"/>
      <c r="T780" s="610"/>
      <c r="U780" s="610"/>
      <c r="V780" s="610"/>
      <c r="W780" s="610"/>
      <c r="X780" s="610"/>
      <c r="Y780" s="610"/>
      <c r="Z780" s="610"/>
      <c r="AA780" s="610"/>
      <c r="AB780" s="610"/>
      <c r="AC780" s="610"/>
      <c r="AD780" s="610"/>
      <c r="AE780" s="610"/>
      <c r="AF780" s="610"/>
      <c r="AG780" s="610"/>
      <c r="AH780" s="610"/>
      <c r="AI780" s="610"/>
      <c r="AJ780" s="610"/>
      <c r="AK780" s="610"/>
      <c r="AL780" s="610"/>
      <c r="AM780" s="610"/>
      <c r="AN780" s="610"/>
      <c r="AO780" s="610"/>
      <c r="AP780" s="610"/>
      <c r="AQ780" s="610"/>
    </row>
    <row r="781" spans="2:43" s="609" customFormat="1">
      <c r="B781" s="610"/>
      <c r="C781" s="610"/>
      <c r="D781" s="610"/>
      <c r="E781" s="610"/>
      <c r="F781" s="610"/>
      <c r="G781" s="610"/>
      <c r="H781" s="610"/>
      <c r="I781" s="610"/>
      <c r="J781" s="610"/>
      <c r="L781" s="610"/>
      <c r="M781" s="610"/>
      <c r="N781" s="610"/>
      <c r="O781" s="610"/>
      <c r="P781" s="610"/>
      <c r="Q781" s="610"/>
      <c r="R781" s="610"/>
      <c r="S781" s="610"/>
      <c r="T781" s="610"/>
      <c r="U781" s="610"/>
      <c r="V781" s="610"/>
      <c r="W781" s="610"/>
      <c r="X781" s="610"/>
      <c r="Y781" s="610"/>
      <c r="Z781" s="610"/>
      <c r="AA781" s="610"/>
      <c r="AB781" s="610"/>
      <c r="AC781" s="610"/>
      <c r="AD781" s="610"/>
      <c r="AE781" s="610"/>
      <c r="AF781" s="610"/>
      <c r="AG781" s="610"/>
      <c r="AH781" s="610"/>
      <c r="AI781" s="610"/>
      <c r="AJ781" s="610"/>
      <c r="AK781" s="610"/>
      <c r="AL781" s="610"/>
      <c r="AM781" s="610"/>
      <c r="AN781" s="610"/>
      <c r="AO781" s="610"/>
      <c r="AP781" s="610"/>
      <c r="AQ781" s="610"/>
    </row>
    <row r="782" spans="2:43" s="609" customFormat="1">
      <c r="B782" s="610"/>
      <c r="C782" s="610"/>
      <c r="D782" s="610"/>
      <c r="E782" s="610"/>
      <c r="F782" s="610"/>
      <c r="G782" s="610"/>
      <c r="H782" s="610"/>
      <c r="I782" s="610"/>
      <c r="J782" s="610"/>
      <c r="L782" s="610"/>
      <c r="M782" s="610"/>
      <c r="N782" s="610"/>
      <c r="O782" s="610"/>
      <c r="P782" s="610"/>
      <c r="Q782" s="610"/>
      <c r="R782" s="610"/>
      <c r="S782" s="610"/>
      <c r="T782" s="610"/>
      <c r="U782" s="610"/>
      <c r="V782" s="610"/>
      <c r="W782" s="610"/>
      <c r="X782" s="610"/>
      <c r="Y782" s="610"/>
      <c r="Z782" s="610"/>
      <c r="AA782" s="610"/>
      <c r="AB782" s="610"/>
      <c r="AC782" s="610"/>
      <c r="AD782" s="610"/>
      <c r="AE782" s="610"/>
      <c r="AF782" s="610"/>
      <c r="AG782" s="610"/>
      <c r="AH782" s="610"/>
      <c r="AI782" s="610"/>
      <c r="AJ782" s="610"/>
      <c r="AK782" s="610"/>
      <c r="AL782" s="610"/>
      <c r="AM782" s="610"/>
      <c r="AN782" s="610"/>
      <c r="AO782" s="610"/>
      <c r="AP782" s="610"/>
      <c r="AQ782" s="610"/>
    </row>
    <row r="783" spans="2:43" s="609" customFormat="1">
      <c r="B783" s="610"/>
      <c r="C783" s="610"/>
      <c r="D783" s="610"/>
      <c r="E783" s="610"/>
      <c r="F783" s="610"/>
      <c r="G783" s="610"/>
      <c r="H783" s="610"/>
      <c r="I783" s="610"/>
      <c r="J783" s="610"/>
      <c r="L783" s="610"/>
      <c r="M783" s="610"/>
      <c r="N783" s="610"/>
      <c r="O783" s="610"/>
      <c r="P783" s="610"/>
      <c r="Q783" s="610"/>
      <c r="R783" s="610"/>
      <c r="S783" s="610"/>
      <c r="T783" s="610"/>
      <c r="U783" s="610"/>
      <c r="V783" s="610"/>
      <c r="W783" s="610"/>
      <c r="X783" s="610"/>
      <c r="Y783" s="610"/>
      <c r="Z783" s="610"/>
      <c r="AA783" s="610"/>
      <c r="AB783" s="610"/>
      <c r="AC783" s="610"/>
      <c r="AD783" s="610"/>
      <c r="AE783" s="610"/>
      <c r="AF783" s="610"/>
      <c r="AG783" s="610"/>
      <c r="AH783" s="610"/>
      <c r="AI783" s="610"/>
      <c r="AJ783" s="610"/>
      <c r="AK783" s="610"/>
      <c r="AL783" s="610"/>
      <c r="AM783" s="610"/>
      <c r="AN783" s="610"/>
      <c r="AO783" s="610"/>
      <c r="AP783" s="610"/>
      <c r="AQ783" s="610"/>
    </row>
    <row r="784" spans="2:43" s="609" customFormat="1">
      <c r="B784" s="610"/>
      <c r="C784" s="610"/>
      <c r="D784" s="610"/>
      <c r="E784" s="610"/>
      <c r="F784" s="610"/>
      <c r="G784" s="610"/>
      <c r="H784" s="610"/>
      <c r="I784" s="610"/>
      <c r="J784" s="610"/>
      <c r="L784" s="610"/>
      <c r="M784" s="610"/>
      <c r="N784" s="610"/>
      <c r="O784" s="610"/>
      <c r="P784" s="610"/>
      <c r="Q784" s="610"/>
      <c r="R784" s="610"/>
      <c r="S784" s="610"/>
      <c r="T784" s="610"/>
      <c r="U784" s="610"/>
      <c r="V784" s="610"/>
      <c r="W784" s="610"/>
      <c r="X784" s="610"/>
      <c r="Y784" s="610"/>
      <c r="Z784" s="610"/>
      <c r="AA784" s="610"/>
      <c r="AB784" s="610"/>
      <c r="AC784" s="610"/>
      <c r="AD784" s="610"/>
      <c r="AE784" s="610"/>
      <c r="AF784" s="610"/>
      <c r="AG784" s="610"/>
      <c r="AH784" s="610"/>
      <c r="AI784" s="610"/>
      <c r="AJ784" s="610"/>
      <c r="AK784" s="610"/>
      <c r="AL784" s="610"/>
      <c r="AM784" s="610"/>
      <c r="AN784" s="610"/>
      <c r="AO784" s="610"/>
      <c r="AP784" s="610"/>
      <c r="AQ784" s="610"/>
    </row>
    <row r="785" spans="2:43" s="609" customFormat="1">
      <c r="B785" s="610"/>
      <c r="C785" s="610"/>
      <c r="D785" s="610"/>
      <c r="E785" s="610"/>
      <c r="F785" s="610"/>
      <c r="G785" s="610"/>
      <c r="H785" s="610"/>
      <c r="I785" s="610"/>
      <c r="J785" s="610"/>
      <c r="L785" s="610"/>
      <c r="M785" s="610"/>
      <c r="N785" s="610"/>
      <c r="O785" s="610"/>
      <c r="P785" s="610"/>
      <c r="Q785" s="610"/>
      <c r="R785" s="610"/>
      <c r="S785" s="610"/>
      <c r="T785" s="610"/>
      <c r="U785" s="610"/>
      <c r="V785" s="610"/>
      <c r="W785" s="610"/>
      <c r="X785" s="610"/>
      <c r="Y785" s="610"/>
      <c r="Z785" s="610"/>
      <c r="AA785" s="610"/>
      <c r="AB785" s="610"/>
      <c r="AC785" s="610"/>
      <c r="AD785" s="610"/>
      <c r="AE785" s="610"/>
      <c r="AF785" s="610"/>
      <c r="AG785" s="610"/>
      <c r="AH785" s="610"/>
      <c r="AI785" s="610"/>
      <c r="AJ785" s="610"/>
      <c r="AK785" s="610"/>
      <c r="AL785" s="610"/>
      <c r="AM785" s="610"/>
      <c r="AN785" s="610"/>
      <c r="AO785" s="610"/>
      <c r="AP785" s="610"/>
      <c r="AQ785" s="610"/>
    </row>
    <row r="786" spans="2:43" s="609" customFormat="1">
      <c r="B786" s="610"/>
      <c r="C786" s="610"/>
      <c r="D786" s="610"/>
      <c r="E786" s="610"/>
      <c r="F786" s="610"/>
      <c r="G786" s="610"/>
      <c r="H786" s="610"/>
      <c r="I786" s="610"/>
      <c r="J786" s="610"/>
      <c r="L786" s="610"/>
      <c r="M786" s="610"/>
      <c r="N786" s="610"/>
      <c r="O786" s="610"/>
      <c r="P786" s="610"/>
      <c r="Q786" s="610"/>
      <c r="R786" s="610"/>
      <c r="S786" s="610"/>
      <c r="T786" s="610"/>
      <c r="U786" s="610"/>
      <c r="V786" s="610"/>
      <c r="W786" s="610"/>
      <c r="X786" s="610"/>
      <c r="Y786" s="610"/>
      <c r="Z786" s="610"/>
      <c r="AA786" s="610"/>
      <c r="AB786" s="610"/>
      <c r="AC786" s="610"/>
      <c r="AD786" s="610"/>
      <c r="AE786" s="610"/>
      <c r="AF786" s="610"/>
      <c r="AG786" s="610"/>
      <c r="AH786" s="610"/>
      <c r="AI786" s="610"/>
      <c r="AJ786" s="610"/>
      <c r="AK786" s="610"/>
      <c r="AL786" s="610"/>
      <c r="AM786" s="610"/>
      <c r="AN786" s="610"/>
      <c r="AO786" s="610"/>
      <c r="AP786" s="610"/>
      <c r="AQ786" s="610"/>
    </row>
    <row r="787" spans="2:43" s="609" customFormat="1">
      <c r="B787" s="610"/>
      <c r="C787" s="610"/>
      <c r="D787" s="610"/>
      <c r="E787" s="610"/>
      <c r="F787" s="610"/>
      <c r="G787" s="610"/>
      <c r="H787" s="610"/>
      <c r="I787" s="610"/>
      <c r="J787" s="610"/>
      <c r="L787" s="610"/>
      <c r="M787" s="610"/>
      <c r="N787" s="610"/>
      <c r="O787" s="610"/>
      <c r="P787" s="610"/>
      <c r="Q787" s="610"/>
      <c r="R787" s="610"/>
      <c r="S787" s="610"/>
      <c r="T787" s="610"/>
      <c r="U787" s="610"/>
      <c r="V787" s="610"/>
      <c r="W787" s="610"/>
      <c r="X787" s="610"/>
      <c r="Y787" s="610"/>
      <c r="Z787" s="610"/>
      <c r="AA787" s="610"/>
      <c r="AB787" s="610"/>
      <c r="AC787" s="610"/>
      <c r="AD787" s="610"/>
      <c r="AE787" s="610"/>
      <c r="AF787" s="610"/>
      <c r="AG787" s="610"/>
      <c r="AH787" s="610"/>
      <c r="AI787" s="610"/>
      <c r="AJ787" s="610"/>
      <c r="AK787" s="610"/>
      <c r="AL787" s="610"/>
      <c r="AM787" s="610"/>
      <c r="AN787" s="610"/>
      <c r="AO787" s="610"/>
      <c r="AP787" s="610"/>
      <c r="AQ787" s="610"/>
    </row>
    <row r="788" spans="2:43" s="609" customFormat="1">
      <c r="B788" s="610"/>
      <c r="C788" s="610"/>
      <c r="D788" s="610"/>
      <c r="E788" s="610"/>
      <c r="F788" s="610"/>
      <c r="G788" s="610"/>
      <c r="H788" s="610"/>
      <c r="I788" s="610"/>
      <c r="J788" s="610"/>
      <c r="L788" s="610"/>
      <c r="M788" s="610"/>
      <c r="N788" s="610"/>
      <c r="O788" s="610"/>
      <c r="P788" s="610"/>
      <c r="Q788" s="610"/>
      <c r="R788" s="610"/>
      <c r="S788" s="610"/>
      <c r="T788" s="610"/>
      <c r="U788" s="610"/>
      <c r="V788" s="610"/>
      <c r="W788" s="610"/>
      <c r="X788" s="610"/>
      <c r="Y788" s="610"/>
      <c r="Z788" s="610"/>
      <c r="AA788" s="610"/>
      <c r="AB788" s="610"/>
      <c r="AC788" s="610"/>
      <c r="AD788" s="610"/>
      <c r="AE788" s="610"/>
      <c r="AF788" s="610"/>
      <c r="AG788" s="610"/>
      <c r="AH788" s="610"/>
      <c r="AI788" s="610"/>
      <c r="AJ788" s="610"/>
      <c r="AK788" s="610"/>
      <c r="AL788" s="610"/>
      <c r="AM788" s="610"/>
      <c r="AN788" s="610"/>
      <c r="AO788" s="610"/>
      <c r="AP788" s="610"/>
      <c r="AQ788" s="610"/>
    </row>
    <row r="789" spans="2:43" s="609" customFormat="1">
      <c r="B789" s="610"/>
      <c r="C789" s="610"/>
      <c r="D789" s="610"/>
      <c r="E789" s="610"/>
      <c r="F789" s="610"/>
      <c r="G789" s="610"/>
      <c r="H789" s="610"/>
      <c r="I789" s="610"/>
      <c r="J789" s="610"/>
      <c r="L789" s="610"/>
      <c r="M789" s="610"/>
      <c r="N789" s="610"/>
      <c r="O789" s="610"/>
      <c r="P789" s="610"/>
      <c r="Q789" s="610"/>
      <c r="R789" s="610"/>
      <c r="S789" s="610"/>
      <c r="T789" s="610"/>
      <c r="U789" s="610"/>
      <c r="V789" s="610"/>
      <c r="W789" s="610"/>
      <c r="X789" s="610"/>
      <c r="Y789" s="610"/>
      <c r="Z789" s="610"/>
      <c r="AA789" s="610"/>
      <c r="AB789" s="610"/>
      <c r="AC789" s="610"/>
      <c r="AD789" s="610"/>
      <c r="AE789" s="610"/>
      <c r="AF789" s="610"/>
      <c r="AG789" s="610"/>
      <c r="AH789" s="610"/>
      <c r="AI789" s="610"/>
      <c r="AJ789" s="610"/>
      <c r="AK789" s="610"/>
      <c r="AL789" s="610"/>
      <c r="AM789" s="610"/>
      <c r="AN789" s="610"/>
      <c r="AO789" s="610"/>
      <c r="AP789" s="610"/>
      <c r="AQ789" s="610"/>
    </row>
    <row r="790" spans="2:43" s="609" customFormat="1">
      <c r="B790" s="610"/>
      <c r="C790" s="610"/>
      <c r="D790" s="610"/>
      <c r="E790" s="610"/>
      <c r="F790" s="610"/>
      <c r="G790" s="610"/>
      <c r="H790" s="610"/>
      <c r="I790" s="610"/>
      <c r="J790" s="610"/>
      <c r="L790" s="610"/>
      <c r="M790" s="610"/>
      <c r="N790" s="610"/>
      <c r="O790" s="610"/>
      <c r="P790" s="610"/>
      <c r="Q790" s="610"/>
      <c r="R790" s="610"/>
      <c r="S790" s="610"/>
      <c r="T790" s="610"/>
      <c r="U790" s="610"/>
      <c r="V790" s="610"/>
      <c r="W790" s="610"/>
      <c r="X790" s="610"/>
      <c r="Y790" s="610"/>
      <c r="Z790" s="610"/>
      <c r="AA790" s="610"/>
      <c r="AB790" s="610"/>
      <c r="AC790" s="610"/>
      <c r="AD790" s="610"/>
      <c r="AE790" s="610"/>
      <c r="AF790" s="610"/>
      <c r="AG790" s="610"/>
      <c r="AH790" s="610"/>
      <c r="AI790" s="610"/>
      <c r="AJ790" s="610"/>
      <c r="AK790" s="610"/>
      <c r="AL790" s="610"/>
      <c r="AM790" s="610"/>
      <c r="AN790" s="610"/>
      <c r="AO790" s="610"/>
      <c r="AP790" s="610"/>
      <c r="AQ790" s="610"/>
    </row>
    <row r="791" spans="2:43" s="609" customFormat="1">
      <c r="B791" s="610"/>
      <c r="C791" s="610"/>
      <c r="D791" s="610"/>
      <c r="E791" s="610"/>
      <c r="F791" s="610"/>
      <c r="G791" s="610"/>
      <c r="H791" s="610"/>
      <c r="I791" s="610"/>
      <c r="J791" s="610"/>
      <c r="L791" s="610"/>
      <c r="M791" s="610"/>
      <c r="N791" s="610"/>
      <c r="O791" s="610"/>
      <c r="P791" s="610"/>
      <c r="Q791" s="610"/>
      <c r="R791" s="610"/>
      <c r="S791" s="610"/>
      <c r="T791" s="610"/>
      <c r="U791" s="610"/>
      <c r="V791" s="610"/>
      <c r="W791" s="610"/>
      <c r="X791" s="610"/>
      <c r="Y791" s="610"/>
      <c r="Z791" s="610"/>
      <c r="AA791" s="610"/>
      <c r="AB791" s="610"/>
      <c r="AC791" s="610"/>
      <c r="AD791" s="610"/>
      <c r="AE791" s="610"/>
      <c r="AF791" s="610"/>
      <c r="AG791" s="610"/>
      <c r="AH791" s="610"/>
      <c r="AI791" s="610"/>
      <c r="AJ791" s="610"/>
      <c r="AK791" s="610"/>
      <c r="AL791" s="610"/>
      <c r="AM791" s="610"/>
      <c r="AN791" s="610"/>
      <c r="AO791" s="610"/>
      <c r="AP791" s="610"/>
      <c r="AQ791" s="610"/>
    </row>
    <row r="792" spans="2:43" s="609" customFormat="1">
      <c r="B792" s="610"/>
      <c r="C792" s="610"/>
      <c r="D792" s="610"/>
      <c r="E792" s="610"/>
      <c r="F792" s="610"/>
      <c r="G792" s="610"/>
      <c r="H792" s="610"/>
      <c r="I792" s="610"/>
      <c r="J792" s="610"/>
      <c r="L792" s="610"/>
      <c r="M792" s="610"/>
      <c r="N792" s="610"/>
      <c r="O792" s="610"/>
      <c r="P792" s="610"/>
      <c r="Q792" s="610"/>
      <c r="R792" s="610"/>
      <c r="S792" s="610"/>
      <c r="T792" s="610"/>
      <c r="U792" s="610"/>
      <c r="V792" s="610"/>
      <c r="W792" s="610"/>
      <c r="X792" s="610"/>
      <c r="Y792" s="610"/>
      <c r="Z792" s="610"/>
      <c r="AA792" s="610"/>
      <c r="AB792" s="610"/>
      <c r="AC792" s="610"/>
      <c r="AD792" s="610"/>
      <c r="AE792" s="610"/>
      <c r="AF792" s="610"/>
      <c r="AG792" s="610"/>
      <c r="AH792" s="610"/>
      <c r="AI792" s="610"/>
      <c r="AJ792" s="610"/>
      <c r="AK792" s="610"/>
      <c r="AL792" s="610"/>
      <c r="AM792" s="610"/>
      <c r="AN792" s="610"/>
      <c r="AO792" s="610"/>
      <c r="AP792" s="610"/>
      <c r="AQ792" s="610"/>
    </row>
    <row r="793" spans="2:43" s="609" customFormat="1">
      <c r="B793" s="610"/>
      <c r="C793" s="610"/>
      <c r="D793" s="610"/>
      <c r="E793" s="610"/>
      <c r="F793" s="610"/>
      <c r="G793" s="610"/>
      <c r="H793" s="610"/>
      <c r="I793" s="610"/>
      <c r="J793" s="610"/>
      <c r="L793" s="610"/>
      <c r="M793" s="610"/>
      <c r="N793" s="610"/>
      <c r="O793" s="610"/>
      <c r="P793" s="610"/>
      <c r="Q793" s="610"/>
      <c r="R793" s="610"/>
      <c r="S793" s="610"/>
      <c r="T793" s="610"/>
      <c r="U793" s="610"/>
      <c r="V793" s="610"/>
      <c r="W793" s="610"/>
      <c r="X793" s="610"/>
      <c r="Y793" s="610"/>
      <c r="Z793" s="610"/>
      <c r="AA793" s="610"/>
      <c r="AB793" s="610"/>
      <c r="AC793" s="610"/>
      <c r="AD793" s="610"/>
      <c r="AE793" s="610"/>
      <c r="AF793" s="610"/>
      <c r="AG793" s="610"/>
      <c r="AH793" s="610"/>
      <c r="AI793" s="610"/>
      <c r="AJ793" s="610"/>
      <c r="AK793" s="610"/>
      <c r="AL793" s="610"/>
      <c r="AM793" s="610"/>
      <c r="AN793" s="610"/>
      <c r="AO793" s="610"/>
      <c r="AP793" s="610"/>
      <c r="AQ793" s="610"/>
    </row>
    <row r="794" spans="2:43" s="609" customFormat="1">
      <c r="B794" s="610"/>
      <c r="C794" s="610"/>
      <c r="D794" s="610"/>
      <c r="E794" s="610"/>
      <c r="F794" s="610"/>
      <c r="G794" s="610"/>
      <c r="H794" s="610"/>
      <c r="I794" s="610"/>
      <c r="J794" s="610"/>
      <c r="L794" s="610"/>
      <c r="M794" s="610"/>
      <c r="N794" s="610"/>
      <c r="O794" s="610"/>
      <c r="P794" s="610"/>
      <c r="Q794" s="610"/>
      <c r="R794" s="610"/>
      <c r="S794" s="610"/>
      <c r="T794" s="610"/>
      <c r="U794" s="610"/>
      <c r="V794" s="610"/>
      <c r="W794" s="610"/>
      <c r="X794" s="610"/>
      <c r="Y794" s="610"/>
      <c r="Z794" s="610"/>
      <c r="AA794" s="610"/>
      <c r="AB794" s="610"/>
      <c r="AC794" s="610"/>
      <c r="AD794" s="610"/>
      <c r="AE794" s="610"/>
      <c r="AF794" s="610"/>
      <c r="AG794" s="610"/>
      <c r="AH794" s="610"/>
      <c r="AI794" s="610"/>
      <c r="AJ794" s="610"/>
      <c r="AK794" s="610"/>
      <c r="AL794" s="610"/>
      <c r="AM794" s="610"/>
      <c r="AN794" s="610"/>
      <c r="AO794" s="610"/>
      <c r="AP794" s="610"/>
      <c r="AQ794" s="610"/>
    </row>
    <row r="795" spans="2:43" s="609" customFormat="1">
      <c r="B795" s="610"/>
      <c r="C795" s="610"/>
      <c r="D795" s="610"/>
      <c r="E795" s="610"/>
      <c r="F795" s="610"/>
      <c r="G795" s="610"/>
      <c r="H795" s="610"/>
      <c r="I795" s="610"/>
      <c r="J795" s="610"/>
      <c r="L795" s="610"/>
      <c r="M795" s="610"/>
      <c r="N795" s="610"/>
      <c r="O795" s="610"/>
      <c r="P795" s="610"/>
      <c r="Q795" s="610"/>
      <c r="R795" s="610"/>
      <c r="S795" s="610"/>
      <c r="T795" s="610"/>
      <c r="U795" s="610"/>
      <c r="V795" s="610"/>
      <c r="W795" s="610"/>
      <c r="X795" s="610"/>
      <c r="Y795" s="610"/>
      <c r="Z795" s="610"/>
      <c r="AA795" s="610"/>
      <c r="AB795" s="610"/>
      <c r="AC795" s="610"/>
      <c r="AD795" s="610"/>
      <c r="AE795" s="610"/>
      <c r="AF795" s="610"/>
      <c r="AG795" s="610"/>
      <c r="AH795" s="610"/>
      <c r="AI795" s="610"/>
      <c r="AJ795" s="610"/>
      <c r="AK795" s="610"/>
      <c r="AL795" s="610"/>
      <c r="AM795" s="610"/>
      <c r="AN795" s="610"/>
      <c r="AO795" s="610"/>
      <c r="AP795" s="610"/>
      <c r="AQ795" s="610"/>
    </row>
    <row r="796" spans="2:43" s="609" customFormat="1">
      <c r="B796" s="610"/>
      <c r="C796" s="610"/>
      <c r="D796" s="610"/>
      <c r="E796" s="610"/>
      <c r="F796" s="610"/>
      <c r="G796" s="610"/>
      <c r="H796" s="610"/>
      <c r="I796" s="610"/>
      <c r="J796" s="610"/>
      <c r="L796" s="610"/>
      <c r="M796" s="610"/>
      <c r="N796" s="610"/>
      <c r="O796" s="610"/>
      <c r="P796" s="610"/>
      <c r="Q796" s="610"/>
      <c r="R796" s="610"/>
      <c r="S796" s="610"/>
      <c r="T796" s="610"/>
      <c r="U796" s="610"/>
      <c r="V796" s="610"/>
      <c r="W796" s="610"/>
      <c r="X796" s="610"/>
      <c r="Y796" s="610"/>
      <c r="Z796" s="610"/>
      <c r="AA796" s="610"/>
      <c r="AB796" s="610"/>
      <c r="AC796" s="610"/>
      <c r="AD796" s="610"/>
      <c r="AE796" s="610"/>
      <c r="AF796" s="610"/>
      <c r="AG796" s="610"/>
      <c r="AH796" s="610"/>
      <c r="AI796" s="610"/>
      <c r="AJ796" s="610"/>
      <c r="AK796" s="610"/>
      <c r="AL796" s="610"/>
      <c r="AM796" s="610"/>
      <c r="AN796" s="610"/>
      <c r="AO796" s="610"/>
      <c r="AP796" s="610"/>
      <c r="AQ796" s="610"/>
    </row>
    <row r="797" spans="2:43" s="609" customFormat="1">
      <c r="B797" s="610"/>
      <c r="C797" s="610"/>
      <c r="D797" s="610"/>
      <c r="E797" s="610"/>
      <c r="F797" s="610"/>
      <c r="G797" s="610"/>
      <c r="H797" s="610"/>
      <c r="I797" s="610"/>
      <c r="J797" s="610"/>
      <c r="L797" s="610"/>
      <c r="M797" s="610"/>
      <c r="N797" s="610"/>
      <c r="O797" s="610"/>
      <c r="P797" s="610"/>
      <c r="Q797" s="610"/>
      <c r="R797" s="610"/>
      <c r="S797" s="610"/>
      <c r="T797" s="610"/>
      <c r="U797" s="610"/>
      <c r="V797" s="610"/>
      <c r="W797" s="610"/>
      <c r="X797" s="610"/>
      <c r="Y797" s="610"/>
      <c r="Z797" s="610"/>
      <c r="AA797" s="610"/>
      <c r="AB797" s="610"/>
      <c r="AC797" s="610"/>
      <c r="AD797" s="610"/>
      <c r="AE797" s="610"/>
      <c r="AF797" s="610"/>
      <c r="AG797" s="610"/>
      <c r="AH797" s="610"/>
      <c r="AI797" s="610"/>
      <c r="AJ797" s="610"/>
      <c r="AK797" s="610"/>
      <c r="AL797" s="610"/>
      <c r="AM797" s="610"/>
      <c r="AN797" s="610"/>
      <c r="AO797" s="610"/>
      <c r="AP797" s="610"/>
      <c r="AQ797" s="610"/>
    </row>
    <row r="798" spans="2:43" s="609" customFormat="1">
      <c r="B798" s="610"/>
      <c r="C798" s="610"/>
      <c r="D798" s="610"/>
      <c r="E798" s="610"/>
      <c r="F798" s="610"/>
      <c r="G798" s="610"/>
      <c r="H798" s="610"/>
      <c r="I798" s="610"/>
      <c r="J798" s="610"/>
      <c r="L798" s="610"/>
      <c r="M798" s="610"/>
      <c r="N798" s="610"/>
      <c r="O798" s="610"/>
      <c r="P798" s="610"/>
      <c r="Q798" s="610"/>
      <c r="R798" s="610"/>
      <c r="S798" s="610"/>
      <c r="T798" s="610"/>
      <c r="U798" s="610"/>
      <c r="V798" s="610"/>
      <c r="W798" s="610"/>
      <c r="X798" s="610"/>
      <c r="Y798" s="610"/>
      <c r="Z798" s="610"/>
      <c r="AA798" s="610"/>
      <c r="AB798" s="610"/>
      <c r="AC798" s="610"/>
      <c r="AD798" s="610"/>
      <c r="AE798" s="610"/>
      <c r="AF798" s="610"/>
      <c r="AG798" s="610"/>
      <c r="AH798" s="610"/>
      <c r="AI798" s="610"/>
      <c r="AJ798" s="610"/>
      <c r="AK798" s="610"/>
      <c r="AL798" s="610"/>
      <c r="AM798" s="610"/>
      <c r="AN798" s="610"/>
      <c r="AO798" s="610"/>
      <c r="AP798" s="610"/>
      <c r="AQ798" s="610"/>
    </row>
    <row r="799" spans="2:43" s="609" customFormat="1">
      <c r="B799" s="610"/>
      <c r="C799" s="610"/>
      <c r="D799" s="610"/>
      <c r="E799" s="610"/>
      <c r="F799" s="610"/>
      <c r="G799" s="610"/>
      <c r="H799" s="610"/>
      <c r="I799" s="610"/>
      <c r="J799" s="610"/>
      <c r="L799" s="610"/>
      <c r="M799" s="610"/>
      <c r="N799" s="610"/>
      <c r="O799" s="610"/>
      <c r="P799" s="610"/>
      <c r="Q799" s="610"/>
      <c r="R799" s="610"/>
      <c r="S799" s="610"/>
      <c r="T799" s="610"/>
      <c r="U799" s="610"/>
      <c r="V799" s="610"/>
      <c r="W799" s="610"/>
      <c r="X799" s="610"/>
      <c r="Y799" s="610"/>
      <c r="Z799" s="610"/>
      <c r="AA799" s="610"/>
      <c r="AB799" s="610"/>
      <c r="AC799" s="610"/>
      <c r="AD799" s="610"/>
      <c r="AE799" s="610"/>
      <c r="AF799" s="610"/>
      <c r="AG799" s="610"/>
      <c r="AH799" s="610"/>
      <c r="AI799" s="610"/>
      <c r="AJ799" s="610"/>
      <c r="AK799" s="610"/>
      <c r="AL799" s="610"/>
      <c r="AM799" s="610"/>
      <c r="AN799" s="610"/>
      <c r="AO799" s="610"/>
      <c r="AP799" s="610"/>
      <c r="AQ799" s="610"/>
    </row>
    <row r="800" spans="2:43" s="609" customFormat="1">
      <c r="B800" s="610"/>
      <c r="C800" s="610"/>
      <c r="D800" s="610"/>
      <c r="E800" s="610"/>
      <c r="F800" s="610"/>
      <c r="G800" s="610"/>
      <c r="H800" s="610"/>
      <c r="I800" s="610"/>
      <c r="J800" s="610"/>
      <c r="L800" s="610"/>
      <c r="M800" s="610"/>
      <c r="N800" s="610"/>
      <c r="O800" s="610"/>
      <c r="P800" s="610"/>
      <c r="Q800" s="610"/>
      <c r="R800" s="610"/>
      <c r="S800" s="610"/>
      <c r="T800" s="610"/>
      <c r="U800" s="610"/>
      <c r="V800" s="610"/>
      <c r="W800" s="610"/>
      <c r="X800" s="610"/>
      <c r="Y800" s="610"/>
      <c r="Z800" s="610"/>
      <c r="AA800" s="610"/>
      <c r="AB800" s="610"/>
      <c r="AC800" s="610"/>
      <c r="AD800" s="610"/>
      <c r="AE800" s="610"/>
      <c r="AF800" s="610"/>
      <c r="AG800" s="610"/>
      <c r="AH800" s="610"/>
      <c r="AI800" s="610"/>
      <c r="AJ800" s="610"/>
      <c r="AK800" s="610"/>
      <c r="AL800" s="610"/>
      <c r="AM800" s="610"/>
      <c r="AN800" s="610"/>
      <c r="AO800" s="610"/>
      <c r="AP800" s="610"/>
      <c r="AQ800" s="610"/>
    </row>
    <row r="801" spans="2:43" s="609" customFormat="1">
      <c r="B801" s="610"/>
      <c r="C801" s="610"/>
      <c r="D801" s="610"/>
      <c r="E801" s="610"/>
      <c r="F801" s="610"/>
      <c r="G801" s="610"/>
      <c r="H801" s="610"/>
      <c r="I801" s="610"/>
      <c r="J801" s="610"/>
      <c r="L801" s="610"/>
      <c r="M801" s="610"/>
      <c r="N801" s="610"/>
      <c r="O801" s="610"/>
      <c r="P801" s="610"/>
      <c r="Q801" s="610"/>
      <c r="R801" s="610"/>
      <c r="S801" s="610"/>
      <c r="T801" s="610"/>
      <c r="U801" s="610"/>
      <c r="V801" s="610"/>
      <c r="W801" s="610"/>
      <c r="X801" s="610"/>
      <c r="Y801" s="610"/>
      <c r="Z801" s="610"/>
      <c r="AA801" s="610"/>
      <c r="AB801" s="610"/>
      <c r="AC801" s="610"/>
      <c r="AD801" s="610"/>
      <c r="AE801" s="610"/>
      <c r="AF801" s="610"/>
      <c r="AG801" s="610"/>
      <c r="AH801" s="610"/>
      <c r="AI801" s="610"/>
      <c r="AJ801" s="610"/>
      <c r="AK801" s="610"/>
      <c r="AL801" s="610"/>
      <c r="AM801" s="610"/>
      <c r="AN801" s="610"/>
      <c r="AO801" s="610"/>
      <c r="AP801" s="610"/>
      <c r="AQ801" s="610"/>
    </row>
    <row r="802" spans="2:43" s="609" customFormat="1">
      <c r="B802" s="610"/>
      <c r="C802" s="610"/>
      <c r="D802" s="610"/>
      <c r="E802" s="610"/>
      <c r="F802" s="610"/>
      <c r="G802" s="610"/>
      <c r="H802" s="610"/>
      <c r="I802" s="610"/>
      <c r="J802" s="610"/>
      <c r="L802" s="610"/>
      <c r="M802" s="610"/>
      <c r="N802" s="610"/>
      <c r="O802" s="610"/>
      <c r="P802" s="610"/>
      <c r="Q802" s="610"/>
      <c r="R802" s="610"/>
      <c r="S802" s="610"/>
      <c r="T802" s="610"/>
      <c r="U802" s="610"/>
      <c r="V802" s="610"/>
      <c r="W802" s="610"/>
      <c r="X802" s="610"/>
      <c r="Y802" s="610"/>
      <c r="Z802" s="610"/>
      <c r="AA802" s="610"/>
      <c r="AB802" s="610"/>
      <c r="AC802" s="610"/>
      <c r="AD802" s="610"/>
      <c r="AE802" s="610"/>
      <c r="AF802" s="610"/>
      <c r="AG802" s="610"/>
      <c r="AH802" s="610"/>
      <c r="AI802" s="610"/>
      <c r="AJ802" s="610"/>
      <c r="AK802" s="610"/>
      <c r="AL802" s="610"/>
      <c r="AM802" s="610"/>
      <c r="AN802" s="610"/>
      <c r="AO802" s="610"/>
      <c r="AP802" s="610"/>
      <c r="AQ802" s="610"/>
    </row>
    <row r="803" spans="2:43" s="609" customFormat="1">
      <c r="B803" s="610"/>
      <c r="C803" s="610"/>
      <c r="D803" s="610"/>
      <c r="E803" s="610"/>
      <c r="F803" s="610"/>
      <c r="G803" s="610"/>
      <c r="H803" s="610"/>
      <c r="I803" s="610"/>
      <c r="J803" s="610"/>
      <c r="L803" s="610"/>
      <c r="M803" s="610"/>
      <c r="N803" s="610"/>
      <c r="O803" s="610"/>
      <c r="P803" s="610"/>
      <c r="Q803" s="610"/>
      <c r="R803" s="610"/>
      <c r="S803" s="610"/>
      <c r="T803" s="610"/>
      <c r="U803" s="610"/>
      <c r="V803" s="610"/>
      <c r="W803" s="610"/>
      <c r="X803" s="610"/>
      <c r="Y803" s="610"/>
      <c r="Z803" s="610"/>
      <c r="AA803" s="610"/>
      <c r="AB803" s="610"/>
      <c r="AC803" s="610"/>
      <c r="AD803" s="610"/>
      <c r="AE803" s="610"/>
      <c r="AF803" s="610"/>
      <c r="AG803" s="610"/>
      <c r="AH803" s="610"/>
      <c r="AI803" s="610"/>
      <c r="AJ803" s="610"/>
      <c r="AK803" s="610"/>
      <c r="AL803" s="610"/>
      <c r="AM803" s="610"/>
      <c r="AN803" s="610"/>
      <c r="AO803" s="610"/>
      <c r="AP803" s="610"/>
      <c r="AQ803" s="610"/>
    </row>
    <row r="804" spans="2:43" s="609" customFormat="1">
      <c r="B804" s="610"/>
      <c r="C804" s="610"/>
      <c r="D804" s="610"/>
      <c r="E804" s="610"/>
      <c r="F804" s="610"/>
      <c r="G804" s="610"/>
      <c r="H804" s="610"/>
      <c r="I804" s="610"/>
      <c r="J804" s="610"/>
      <c r="L804" s="610"/>
      <c r="M804" s="610"/>
      <c r="N804" s="610"/>
      <c r="O804" s="610"/>
      <c r="P804" s="610"/>
      <c r="Q804" s="610"/>
      <c r="R804" s="610"/>
      <c r="S804" s="610"/>
      <c r="T804" s="610"/>
      <c r="U804" s="610"/>
      <c r="V804" s="610"/>
      <c r="W804" s="610"/>
      <c r="X804" s="610"/>
      <c r="Y804" s="610"/>
      <c r="Z804" s="610"/>
      <c r="AA804" s="610"/>
      <c r="AB804" s="610"/>
      <c r="AC804" s="610"/>
      <c r="AD804" s="610"/>
      <c r="AE804" s="610"/>
      <c r="AF804" s="610"/>
      <c r="AG804" s="610"/>
      <c r="AH804" s="610"/>
      <c r="AI804" s="610"/>
      <c r="AJ804" s="610"/>
      <c r="AK804" s="610"/>
      <c r="AL804" s="610"/>
      <c r="AM804" s="610"/>
      <c r="AN804" s="610"/>
      <c r="AO804" s="610"/>
      <c r="AP804" s="610"/>
      <c r="AQ804" s="610"/>
    </row>
    <row r="805" spans="2:43" s="609" customFormat="1">
      <c r="B805" s="610"/>
      <c r="C805" s="610"/>
      <c r="D805" s="610"/>
      <c r="E805" s="610"/>
      <c r="F805" s="610"/>
      <c r="G805" s="610"/>
      <c r="H805" s="610"/>
      <c r="I805" s="610"/>
      <c r="J805" s="610"/>
      <c r="L805" s="610"/>
      <c r="M805" s="610"/>
      <c r="N805" s="610"/>
      <c r="O805" s="610"/>
      <c r="P805" s="610"/>
      <c r="Q805" s="610"/>
      <c r="R805" s="610"/>
      <c r="S805" s="610"/>
      <c r="T805" s="610"/>
      <c r="U805" s="610"/>
      <c r="V805" s="610"/>
      <c r="W805" s="610"/>
      <c r="X805" s="610"/>
      <c r="Y805" s="610"/>
      <c r="Z805" s="610"/>
      <c r="AA805" s="610"/>
      <c r="AB805" s="610"/>
      <c r="AC805" s="610"/>
      <c r="AD805" s="610"/>
      <c r="AE805" s="610"/>
      <c r="AF805" s="610"/>
      <c r="AG805" s="610"/>
      <c r="AH805" s="610"/>
      <c r="AI805" s="610"/>
      <c r="AJ805" s="610"/>
      <c r="AK805" s="610"/>
      <c r="AL805" s="610"/>
      <c r="AM805" s="610"/>
      <c r="AN805" s="610"/>
      <c r="AO805" s="610"/>
      <c r="AP805" s="610"/>
      <c r="AQ805" s="610"/>
    </row>
    <row r="806" spans="2:43" s="609" customFormat="1">
      <c r="B806" s="610"/>
      <c r="C806" s="610"/>
      <c r="D806" s="610"/>
      <c r="E806" s="610"/>
      <c r="F806" s="610"/>
      <c r="G806" s="610"/>
      <c r="H806" s="610"/>
      <c r="I806" s="610"/>
      <c r="J806" s="610"/>
      <c r="L806" s="610"/>
      <c r="M806" s="610"/>
      <c r="N806" s="610"/>
      <c r="O806" s="610"/>
      <c r="P806" s="610"/>
      <c r="Q806" s="610"/>
      <c r="R806" s="610"/>
      <c r="S806" s="610"/>
      <c r="T806" s="610"/>
      <c r="U806" s="610"/>
      <c r="V806" s="610"/>
      <c r="W806" s="610"/>
      <c r="X806" s="610"/>
      <c r="Y806" s="610"/>
      <c r="Z806" s="610"/>
      <c r="AA806" s="610"/>
      <c r="AB806" s="610"/>
      <c r="AC806" s="610"/>
      <c r="AD806" s="610"/>
      <c r="AE806" s="610"/>
      <c r="AF806" s="610"/>
      <c r="AG806" s="610"/>
      <c r="AH806" s="610"/>
      <c r="AI806" s="610"/>
      <c r="AJ806" s="610"/>
      <c r="AK806" s="610"/>
      <c r="AL806" s="610"/>
      <c r="AM806" s="610"/>
      <c r="AN806" s="610"/>
      <c r="AO806" s="610"/>
      <c r="AP806" s="610"/>
      <c r="AQ806" s="610"/>
    </row>
    <row r="807" spans="2:43" s="609" customFormat="1">
      <c r="B807" s="610"/>
      <c r="C807" s="610"/>
      <c r="D807" s="610"/>
      <c r="E807" s="610"/>
      <c r="F807" s="610"/>
      <c r="G807" s="610"/>
      <c r="H807" s="610"/>
      <c r="I807" s="610"/>
      <c r="J807" s="610"/>
      <c r="L807" s="610"/>
      <c r="M807" s="610"/>
      <c r="N807" s="610"/>
      <c r="O807" s="610"/>
      <c r="P807" s="610"/>
      <c r="Q807" s="610"/>
      <c r="R807" s="610"/>
      <c r="S807" s="610"/>
      <c r="T807" s="610"/>
      <c r="U807" s="610"/>
      <c r="V807" s="610"/>
      <c r="W807" s="610"/>
      <c r="X807" s="610"/>
      <c r="Y807" s="610"/>
      <c r="Z807" s="610"/>
      <c r="AA807" s="610"/>
      <c r="AB807" s="610"/>
      <c r="AC807" s="610"/>
      <c r="AD807" s="610"/>
      <c r="AE807" s="610"/>
      <c r="AF807" s="610"/>
      <c r="AG807" s="610"/>
      <c r="AH807" s="610"/>
      <c r="AI807" s="610"/>
      <c r="AJ807" s="610"/>
      <c r="AK807" s="610"/>
      <c r="AL807" s="610"/>
      <c r="AM807" s="610"/>
      <c r="AN807" s="610"/>
      <c r="AO807" s="610"/>
      <c r="AP807" s="610"/>
      <c r="AQ807" s="610"/>
    </row>
    <row r="808" spans="2:43" s="609" customFormat="1">
      <c r="B808" s="610"/>
      <c r="C808" s="610"/>
      <c r="D808" s="610"/>
      <c r="E808" s="610"/>
      <c r="F808" s="610"/>
      <c r="G808" s="610"/>
      <c r="H808" s="610"/>
      <c r="I808" s="610"/>
      <c r="J808" s="610"/>
      <c r="L808" s="610"/>
      <c r="M808" s="610"/>
      <c r="N808" s="610"/>
      <c r="O808" s="610"/>
      <c r="P808" s="610"/>
      <c r="Q808" s="610"/>
      <c r="R808" s="610"/>
      <c r="S808" s="610"/>
      <c r="T808" s="610"/>
      <c r="U808" s="610"/>
      <c r="V808" s="610"/>
      <c r="W808" s="610"/>
      <c r="X808" s="610"/>
      <c r="Y808" s="610"/>
      <c r="Z808" s="610"/>
      <c r="AA808" s="610"/>
      <c r="AB808" s="610"/>
      <c r="AC808" s="610"/>
      <c r="AD808" s="610"/>
      <c r="AE808" s="610"/>
      <c r="AF808" s="610"/>
      <c r="AG808" s="610"/>
      <c r="AH808" s="610"/>
      <c r="AI808" s="610"/>
      <c r="AJ808" s="610"/>
      <c r="AK808" s="610"/>
      <c r="AL808" s="610"/>
      <c r="AM808" s="610"/>
      <c r="AN808" s="610"/>
      <c r="AO808" s="610"/>
      <c r="AP808" s="610"/>
      <c r="AQ808" s="610"/>
    </row>
    <row r="809" spans="2:43" s="609" customFormat="1">
      <c r="B809" s="610"/>
      <c r="C809" s="610"/>
      <c r="D809" s="610"/>
      <c r="E809" s="610"/>
      <c r="F809" s="610"/>
      <c r="G809" s="610"/>
      <c r="H809" s="610"/>
      <c r="I809" s="610"/>
      <c r="J809" s="610"/>
      <c r="L809" s="610"/>
      <c r="M809" s="610"/>
      <c r="N809" s="610"/>
      <c r="O809" s="610"/>
      <c r="P809" s="610"/>
      <c r="Q809" s="610"/>
      <c r="R809" s="610"/>
      <c r="S809" s="610"/>
      <c r="T809" s="610"/>
      <c r="U809" s="610"/>
      <c r="V809" s="610"/>
      <c r="W809" s="610"/>
      <c r="X809" s="610"/>
      <c r="Y809" s="610"/>
      <c r="Z809" s="610"/>
      <c r="AA809" s="610"/>
      <c r="AB809" s="610"/>
      <c r="AC809" s="610"/>
      <c r="AD809" s="610"/>
      <c r="AE809" s="610"/>
      <c r="AF809" s="610"/>
      <c r="AG809" s="610"/>
      <c r="AH809" s="610"/>
      <c r="AI809" s="610"/>
      <c r="AJ809" s="610"/>
      <c r="AK809" s="610"/>
      <c r="AL809" s="610"/>
      <c r="AM809" s="610"/>
      <c r="AN809" s="610"/>
      <c r="AO809" s="610"/>
      <c r="AP809" s="610"/>
      <c r="AQ809" s="610"/>
    </row>
    <row r="810" spans="2:43" s="609" customFormat="1">
      <c r="B810" s="610"/>
      <c r="C810" s="610"/>
      <c r="D810" s="610"/>
      <c r="E810" s="610"/>
      <c r="F810" s="610"/>
      <c r="G810" s="610"/>
      <c r="H810" s="610"/>
      <c r="I810" s="610"/>
      <c r="J810" s="610"/>
      <c r="L810" s="610"/>
      <c r="M810" s="610"/>
      <c r="N810" s="610"/>
      <c r="O810" s="610"/>
      <c r="P810" s="610"/>
      <c r="Q810" s="610"/>
      <c r="R810" s="610"/>
      <c r="S810" s="610"/>
      <c r="T810" s="610"/>
      <c r="U810" s="610"/>
      <c r="V810" s="610"/>
      <c r="W810" s="610"/>
      <c r="X810" s="610"/>
      <c r="Y810" s="610"/>
      <c r="Z810" s="610"/>
      <c r="AA810" s="610"/>
      <c r="AB810" s="610"/>
      <c r="AC810" s="610"/>
      <c r="AD810" s="610"/>
      <c r="AE810" s="610"/>
      <c r="AF810" s="610"/>
      <c r="AG810" s="610"/>
      <c r="AH810" s="610"/>
      <c r="AI810" s="610"/>
      <c r="AJ810" s="610"/>
      <c r="AK810" s="610"/>
      <c r="AL810" s="610"/>
      <c r="AM810" s="610"/>
      <c r="AN810" s="610"/>
      <c r="AO810" s="610"/>
      <c r="AP810" s="610"/>
      <c r="AQ810" s="610"/>
    </row>
    <row r="811" spans="2:43" s="609" customFormat="1">
      <c r="B811" s="610"/>
      <c r="C811" s="610"/>
      <c r="D811" s="610"/>
      <c r="E811" s="610"/>
      <c r="F811" s="610"/>
      <c r="G811" s="610"/>
      <c r="H811" s="610"/>
      <c r="I811" s="610"/>
      <c r="J811" s="610"/>
      <c r="L811" s="610"/>
      <c r="M811" s="610"/>
      <c r="N811" s="610"/>
      <c r="O811" s="610"/>
      <c r="P811" s="610"/>
      <c r="Q811" s="610"/>
      <c r="R811" s="610"/>
      <c r="S811" s="610"/>
      <c r="T811" s="610"/>
      <c r="U811" s="610"/>
      <c r="V811" s="610"/>
      <c r="W811" s="610"/>
      <c r="X811" s="610"/>
      <c r="Y811" s="610"/>
      <c r="Z811" s="610"/>
      <c r="AA811" s="610"/>
      <c r="AB811" s="610"/>
      <c r="AC811" s="610"/>
      <c r="AD811" s="610"/>
      <c r="AE811" s="610"/>
      <c r="AF811" s="610"/>
      <c r="AG811" s="610"/>
      <c r="AH811" s="610"/>
      <c r="AI811" s="610"/>
      <c r="AJ811" s="610"/>
      <c r="AK811" s="610"/>
      <c r="AL811" s="610"/>
      <c r="AM811" s="610"/>
      <c r="AN811" s="610"/>
      <c r="AO811" s="610"/>
      <c r="AP811" s="610"/>
      <c r="AQ811" s="610"/>
    </row>
    <row r="812" spans="2:43" s="609" customFormat="1">
      <c r="B812" s="610"/>
      <c r="C812" s="610"/>
      <c r="D812" s="610"/>
      <c r="E812" s="610"/>
      <c r="F812" s="610"/>
      <c r="G812" s="610"/>
      <c r="H812" s="610"/>
      <c r="I812" s="610"/>
      <c r="J812" s="610"/>
      <c r="L812" s="610"/>
      <c r="M812" s="610"/>
      <c r="N812" s="610"/>
      <c r="O812" s="610"/>
      <c r="P812" s="610"/>
      <c r="Q812" s="610"/>
      <c r="R812" s="610"/>
      <c r="S812" s="610"/>
      <c r="T812" s="610"/>
      <c r="U812" s="610"/>
      <c r="V812" s="610"/>
      <c r="W812" s="610"/>
      <c r="X812" s="610"/>
      <c r="Y812" s="610"/>
      <c r="Z812" s="610"/>
      <c r="AA812" s="610"/>
      <c r="AB812" s="610"/>
      <c r="AC812" s="610"/>
      <c r="AD812" s="610"/>
      <c r="AE812" s="610"/>
      <c r="AF812" s="610"/>
      <c r="AG812" s="610"/>
      <c r="AH812" s="610"/>
      <c r="AI812" s="610"/>
      <c r="AJ812" s="610"/>
      <c r="AK812" s="610"/>
      <c r="AL812" s="610"/>
      <c r="AM812" s="610"/>
      <c r="AN812" s="610"/>
      <c r="AO812" s="610"/>
      <c r="AP812" s="610"/>
      <c r="AQ812" s="610"/>
    </row>
    <row r="813" spans="2:43" s="609" customFormat="1">
      <c r="B813" s="610"/>
      <c r="C813" s="610"/>
      <c r="D813" s="610"/>
      <c r="E813" s="610"/>
      <c r="F813" s="610"/>
      <c r="G813" s="610"/>
      <c r="H813" s="610"/>
      <c r="I813" s="610"/>
      <c r="J813" s="610"/>
      <c r="L813" s="610"/>
      <c r="M813" s="610"/>
      <c r="N813" s="610"/>
      <c r="O813" s="610"/>
      <c r="P813" s="610"/>
      <c r="Q813" s="610"/>
      <c r="R813" s="610"/>
      <c r="S813" s="610"/>
      <c r="T813" s="610"/>
      <c r="U813" s="610"/>
      <c r="V813" s="610"/>
      <c r="W813" s="610"/>
      <c r="X813" s="610"/>
      <c r="Y813" s="610"/>
      <c r="Z813" s="610"/>
      <c r="AA813" s="610"/>
      <c r="AB813" s="610"/>
      <c r="AC813" s="610"/>
      <c r="AD813" s="610"/>
      <c r="AE813" s="610"/>
      <c r="AF813" s="610"/>
      <c r="AG813" s="610"/>
      <c r="AH813" s="610"/>
      <c r="AI813" s="610"/>
      <c r="AJ813" s="610"/>
      <c r="AK813" s="610"/>
      <c r="AL813" s="610"/>
      <c r="AM813" s="610"/>
      <c r="AN813" s="610"/>
      <c r="AO813" s="610"/>
      <c r="AP813" s="610"/>
      <c r="AQ813" s="610"/>
    </row>
    <row r="814" spans="2:43" s="609" customFormat="1">
      <c r="B814" s="610"/>
      <c r="C814" s="610"/>
      <c r="D814" s="610"/>
      <c r="E814" s="610"/>
      <c r="F814" s="610"/>
      <c r="G814" s="610"/>
      <c r="H814" s="610"/>
      <c r="I814" s="610"/>
      <c r="J814" s="610"/>
      <c r="L814" s="610"/>
      <c r="M814" s="610"/>
      <c r="N814" s="610"/>
      <c r="O814" s="610"/>
      <c r="P814" s="610"/>
      <c r="Q814" s="610"/>
      <c r="R814" s="610"/>
      <c r="S814" s="610"/>
      <c r="T814" s="610"/>
      <c r="U814" s="610"/>
      <c r="V814" s="610"/>
      <c r="W814" s="610"/>
      <c r="X814" s="610"/>
      <c r="Y814" s="610"/>
      <c r="Z814" s="610"/>
      <c r="AA814" s="610"/>
      <c r="AB814" s="610"/>
      <c r="AC814" s="610"/>
      <c r="AD814" s="610"/>
      <c r="AE814" s="610"/>
      <c r="AF814" s="610"/>
      <c r="AG814" s="610"/>
      <c r="AH814" s="610"/>
      <c r="AI814" s="610"/>
      <c r="AJ814" s="610"/>
      <c r="AK814" s="610"/>
      <c r="AL814" s="610"/>
      <c r="AM814" s="610"/>
      <c r="AN814" s="610"/>
      <c r="AO814" s="610"/>
      <c r="AP814" s="610"/>
      <c r="AQ814" s="610"/>
    </row>
    <row r="815" spans="2:43" s="609" customFormat="1">
      <c r="B815" s="610"/>
      <c r="C815" s="610"/>
      <c r="D815" s="610"/>
      <c r="E815" s="610"/>
      <c r="F815" s="610"/>
      <c r="G815" s="610"/>
      <c r="H815" s="610"/>
      <c r="I815" s="610"/>
      <c r="J815" s="610"/>
      <c r="L815" s="610"/>
      <c r="M815" s="610"/>
      <c r="N815" s="610"/>
      <c r="O815" s="610"/>
      <c r="P815" s="610"/>
      <c r="Q815" s="610"/>
      <c r="R815" s="610"/>
      <c r="S815" s="610"/>
      <c r="T815" s="610"/>
      <c r="U815" s="610"/>
      <c r="V815" s="610"/>
      <c r="W815" s="610"/>
      <c r="X815" s="610"/>
      <c r="Y815" s="610"/>
      <c r="Z815" s="610"/>
      <c r="AA815" s="610"/>
      <c r="AB815" s="610"/>
      <c r="AC815" s="610"/>
      <c r="AD815" s="610"/>
      <c r="AE815" s="610"/>
      <c r="AF815" s="610"/>
      <c r="AG815" s="610"/>
      <c r="AH815" s="610"/>
      <c r="AI815" s="610"/>
      <c r="AJ815" s="610"/>
      <c r="AK815" s="610"/>
      <c r="AL815" s="610"/>
      <c r="AM815" s="610"/>
      <c r="AN815" s="610"/>
      <c r="AO815" s="610"/>
      <c r="AP815" s="610"/>
      <c r="AQ815" s="610"/>
    </row>
    <row r="816" spans="2:43" s="609" customFormat="1">
      <c r="B816" s="610"/>
      <c r="C816" s="610"/>
      <c r="D816" s="610"/>
      <c r="E816" s="610"/>
      <c r="F816" s="610"/>
      <c r="G816" s="610"/>
      <c r="H816" s="610"/>
      <c r="I816" s="610"/>
      <c r="J816" s="610"/>
      <c r="L816" s="610"/>
      <c r="M816" s="610"/>
      <c r="N816" s="610"/>
      <c r="O816" s="610"/>
      <c r="P816" s="610"/>
      <c r="Q816" s="610"/>
      <c r="R816" s="610"/>
      <c r="S816" s="610"/>
      <c r="T816" s="610"/>
      <c r="U816" s="610"/>
      <c r="V816" s="610"/>
      <c r="W816" s="610"/>
      <c r="X816" s="610"/>
      <c r="Y816" s="610"/>
      <c r="Z816" s="610"/>
      <c r="AA816" s="610"/>
      <c r="AB816" s="610"/>
      <c r="AC816" s="610"/>
      <c r="AD816" s="610"/>
      <c r="AE816" s="610"/>
      <c r="AF816" s="610"/>
      <c r="AG816" s="610"/>
      <c r="AH816" s="610"/>
      <c r="AI816" s="610"/>
      <c r="AJ816" s="610"/>
      <c r="AK816" s="610"/>
      <c r="AL816" s="610"/>
      <c r="AM816" s="610"/>
      <c r="AN816" s="610"/>
      <c r="AO816" s="610"/>
      <c r="AP816" s="610"/>
      <c r="AQ816" s="610"/>
    </row>
    <row r="817" spans="2:43" s="609" customFormat="1">
      <c r="B817" s="610"/>
      <c r="C817" s="610"/>
      <c r="D817" s="610"/>
      <c r="E817" s="610"/>
      <c r="F817" s="610"/>
      <c r="G817" s="610"/>
      <c r="H817" s="610"/>
      <c r="I817" s="610"/>
      <c r="J817" s="610"/>
      <c r="L817" s="610"/>
      <c r="M817" s="610"/>
      <c r="N817" s="610"/>
      <c r="O817" s="610"/>
      <c r="P817" s="610"/>
      <c r="Q817" s="610"/>
      <c r="R817" s="610"/>
      <c r="S817" s="610"/>
      <c r="T817" s="610"/>
      <c r="U817" s="610"/>
      <c r="V817" s="610"/>
      <c r="W817" s="610"/>
      <c r="X817" s="610"/>
      <c r="Y817" s="610"/>
      <c r="Z817" s="610"/>
      <c r="AA817" s="610"/>
      <c r="AB817" s="610"/>
      <c r="AC817" s="610"/>
      <c r="AD817" s="610"/>
      <c r="AE817" s="610"/>
      <c r="AF817" s="610"/>
      <c r="AG817" s="610"/>
      <c r="AH817" s="610"/>
      <c r="AI817" s="610"/>
      <c r="AJ817" s="610"/>
      <c r="AK817" s="610"/>
      <c r="AL817" s="610"/>
      <c r="AM817" s="610"/>
      <c r="AN817" s="610"/>
      <c r="AO817" s="610"/>
      <c r="AP817" s="610"/>
      <c r="AQ817" s="610"/>
    </row>
    <row r="818" spans="2:43" s="609" customFormat="1">
      <c r="B818" s="610"/>
      <c r="C818" s="610"/>
      <c r="D818" s="610"/>
      <c r="E818" s="610"/>
      <c r="F818" s="610"/>
      <c r="G818" s="610"/>
      <c r="H818" s="610"/>
      <c r="I818" s="610"/>
      <c r="J818" s="610"/>
      <c r="L818" s="610"/>
      <c r="M818" s="610"/>
      <c r="N818" s="610"/>
      <c r="O818" s="610"/>
      <c r="P818" s="610"/>
      <c r="Q818" s="610"/>
      <c r="R818" s="610"/>
      <c r="S818" s="610"/>
      <c r="T818" s="610"/>
      <c r="U818" s="610"/>
      <c r="V818" s="610"/>
      <c r="W818" s="610"/>
      <c r="X818" s="610"/>
      <c r="Y818" s="610"/>
      <c r="Z818" s="610"/>
      <c r="AA818" s="610"/>
      <c r="AB818" s="610"/>
      <c r="AC818" s="610"/>
      <c r="AD818" s="610"/>
      <c r="AE818" s="610"/>
      <c r="AF818" s="610"/>
      <c r="AG818" s="610"/>
      <c r="AH818" s="610"/>
      <c r="AI818" s="610"/>
      <c r="AJ818" s="610"/>
      <c r="AK818" s="610"/>
      <c r="AL818" s="610"/>
      <c r="AM818" s="610"/>
      <c r="AN818" s="610"/>
      <c r="AO818" s="610"/>
      <c r="AP818" s="610"/>
      <c r="AQ818" s="610"/>
    </row>
    <row r="819" spans="2:43" s="609" customFormat="1">
      <c r="B819" s="610"/>
      <c r="C819" s="610"/>
      <c r="D819" s="610"/>
      <c r="E819" s="610"/>
      <c r="F819" s="610"/>
      <c r="G819" s="610"/>
      <c r="H819" s="610"/>
      <c r="I819" s="610"/>
      <c r="J819" s="610"/>
      <c r="L819" s="610"/>
      <c r="M819" s="610"/>
      <c r="N819" s="610"/>
      <c r="O819" s="610"/>
      <c r="P819" s="610"/>
      <c r="Q819" s="610"/>
      <c r="R819" s="610"/>
      <c r="S819" s="610"/>
      <c r="T819" s="610"/>
      <c r="U819" s="610"/>
      <c r="V819" s="610"/>
      <c r="W819" s="610"/>
      <c r="X819" s="610"/>
      <c r="Y819" s="610"/>
      <c r="Z819" s="610"/>
      <c r="AA819" s="610"/>
      <c r="AB819" s="610"/>
      <c r="AC819" s="610"/>
      <c r="AD819" s="610"/>
      <c r="AE819" s="610"/>
      <c r="AF819" s="610"/>
      <c r="AG819" s="610"/>
      <c r="AH819" s="610"/>
      <c r="AI819" s="610"/>
      <c r="AJ819" s="610"/>
      <c r="AK819" s="610"/>
      <c r="AL819" s="610"/>
      <c r="AM819" s="610"/>
      <c r="AN819" s="610"/>
      <c r="AO819" s="610"/>
      <c r="AP819" s="610"/>
      <c r="AQ819" s="610"/>
    </row>
    <row r="820" spans="2:43" s="609" customFormat="1">
      <c r="B820" s="610"/>
      <c r="C820" s="610"/>
      <c r="D820" s="610"/>
      <c r="E820" s="610"/>
      <c r="F820" s="610"/>
      <c r="G820" s="610"/>
      <c r="H820" s="610"/>
      <c r="I820" s="610"/>
      <c r="J820" s="610"/>
      <c r="L820" s="610"/>
      <c r="M820" s="610"/>
      <c r="N820" s="610"/>
      <c r="O820" s="610"/>
      <c r="P820" s="610"/>
      <c r="Q820" s="610"/>
      <c r="R820" s="610"/>
      <c r="S820" s="610"/>
      <c r="T820" s="610"/>
      <c r="U820" s="610"/>
      <c r="V820" s="610"/>
      <c r="W820" s="610"/>
      <c r="X820" s="610"/>
      <c r="Y820" s="610"/>
      <c r="Z820" s="610"/>
      <c r="AA820" s="610"/>
      <c r="AB820" s="610"/>
      <c r="AC820" s="610"/>
      <c r="AD820" s="610"/>
      <c r="AE820" s="610"/>
      <c r="AF820" s="610"/>
      <c r="AG820" s="610"/>
      <c r="AH820" s="610"/>
      <c r="AI820" s="610"/>
      <c r="AJ820" s="610"/>
      <c r="AK820" s="610"/>
      <c r="AL820" s="610"/>
      <c r="AM820" s="610"/>
      <c r="AN820" s="610"/>
      <c r="AO820" s="610"/>
      <c r="AP820" s="610"/>
      <c r="AQ820" s="610"/>
    </row>
    <row r="821" spans="2:43" s="609" customFormat="1">
      <c r="B821" s="610"/>
      <c r="C821" s="610"/>
      <c r="D821" s="610"/>
      <c r="E821" s="610"/>
      <c r="F821" s="610"/>
      <c r="G821" s="610"/>
      <c r="H821" s="610"/>
      <c r="I821" s="610"/>
      <c r="J821" s="610"/>
      <c r="L821" s="610"/>
      <c r="M821" s="610"/>
      <c r="N821" s="610"/>
      <c r="O821" s="610"/>
      <c r="P821" s="610"/>
      <c r="Q821" s="610"/>
      <c r="R821" s="610"/>
      <c r="S821" s="610"/>
      <c r="T821" s="610"/>
      <c r="U821" s="610"/>
      <c r="V821" s="610"/>
      <c r="W821" s="610"/>
      <c r="X821" s="610"/>
      <c r="Y821" s="610"/>
      <c r="Z821" s="610"/>
      <c r="AA821" s="610"/>
      <c r="AB821" s="610"/>
      <c r="AC821" s="610"/>
      <c r="AD821" s="610"/>
      <c r="AE821" s="610"/>
      <c r="AF821" s="610"/>
      <c r="AG821" s="610"/>
      <c r="AH821" s="610"/>
      <c r="AI821" s="610"/>
      <c r="AJ821" s="610"/>
      <c r="AK821" s="610"/>
      <c r="AL821" s="610"/>
      <c r="AM821" s="610"/>
      <c r="AN821" s="610"/>
      <c r="AO821" s="610"/>
      <c r="AP821" s="610"/>
      <c r="AQ821" s="610"/>
    </row>
    <row r="822" spans="2:43" s="609" customFormat="1">
      <c r="B822" s="610"/>
      <c r="C822" s="610"/>
      <c r="D822" s="610"/>
      <c r="E822" s="610"/>
      <c r="F822" s="610"/>
      <c r="G822" s="610"/>
      <c r="H822" s="610"/>
      <c r="I822" s="610"/>
      <c r="J822" s="610"/>
      <c r="L822" s="610"/>
      <c r="M822" s="610"/>
      <c r="N822" s="610"/>
      <c r="O822" s="610"/>
      <c r="P822" s="610"/>
      <c r="Q822" s="610"/>
      <c r="R822" s="610"/>
      <c r="S822" s="610"/>
      <c r="T822" s="610"/>
      <c r="U822" s="610"/>
      <c r="V822" s="610"/>
      <c r="W822" s="610"/>
      <c r="X822" s="610"/>
      <c r="Y822" s="610"/>
      <c r="Z822" s="610"/>
      <c r="AA822" s="610"/>
      <c r="AB822" s="610"/>
      <c r="AC822" s="610"/>
      <c r="AD822" s="610"/>
      <c r="AE822" s="610"/>
      <c r="AF822" s="610"/>
      <c r="AG822" s="610"/>
      <c r="AH822" s="610"/>
      <c r="AI822" s="610"/>
      <c r="AJ822" s="610"/>
      <c r="AK822" s="610"/>
      <c r="AL822" s="610"/>
      <c r="AM822" s="610"/>
      <c r="AN822" s="610"/>
      <c r="AO822" s="610"/>
      <c r="AP822" s="610"/>
      <c r="AQ822" s="610"/>
    </row>
    <row r="823" spans="2:43" s="609" customFormat="1">
      <c r="B823" s="610"/>
      <c r="C823" s="610"/>
      <c r="D823" s="610"/>
      <c r="E823" s="610"/>
      <c r="F823" s="610"/>
      <c r="G823" s="610"/>
      <c r="H823" s="610"/>
      <c r="I823" s="610"/>
      <c r="J823" s="610"/>
      <c r="L823" s="610"/>
      <c r="M823" s="610"/>
      <c r="N823" s="610"/>
      <c r="O823" s="610"/>
      <c r="P823" s="610"/>
      <c r="Q823" s="610"/>
      <c r="R823" s="610"/>
      <c r="S823" s="610"/>
      <c r="T823" s="610"/>
      <c r="U823" s="610"/>
      <c r="V823" s="610"/>
      <c r="W823" s="610"/>
      <c r="X823" s="610"/>
      <c r="Y823" s="610"/>
      <c r="Z823" s="610"/>
      <c r="AA823" s="610"/>
      <c r="AB823" s="610"/>
      <c r="AC823" s="610"/>
      <c r="AD823" s="610"/>
      <c r="AE823" s="610"/>
      <c r="AF823" s="610"/>
      <c r="AG823" s="610"/>
      <c r="AH823" s="610"/>
      <c r="AI823" s="610"/>
      <c r="AJ823" s="610"/>
      <c r="AK823" s="610"/>
      <c r="AL823" s="610"/>
      <c r="AM823" s="610"/>
      <c r="AN823" s="610"/>
      <c r="AO823" s="610"/>
      <c r="AP823" s="610"/>
      <c r="AQ823" s="610"/>
    </row>
    <row r="824" spans="2:43" s="609" customFormat="1">
      <c r="B824" s="610"/>
      <c r="C824" s="610"/>
      <c r="D824" s="610"/>
      <c r="E824" s="610"/>
      <c r="F824" s="610"/>
      <c r="G824" s="610"/>
      <c r="H824" s="610"/>
      <c r="I824" s="610"/>
      <c r="J824" s="610"/>
      <c r="L824" s="610"/>
      <c r="M824" s="610"/>
      <c r="N824" s="610"/>
      <c r="O824" s="610"/>
      <c r="P824" s="610"/>
      <c r="Q824" s="610"/>
      <c r="R824" s="610"/>
      <c r="S824" s="610"/>
      <c r="T824" s="610"/>
      <c r="U824" s="610"/>
      <c r="V824" s="610"/>
      <c r="W824" s="610"/>
      <c r="X824" s="610"/>
      <c r="Y824" s="610"/>
      <c r="Z824" s="610"/>
      <c r="AA824" s="610"/>
      <c r="AB824" s="610"/>
      <c r="AC824" s="610"/>
      <c r="AD824" s="610"/>
      <c r="AE824" s="610"/>
      <c r="AF824" s="610"/>
      <c r="AG824" s="610"/>
      <c r="AH824" s="610"/>
      <c r="AI824" s="610"/>
      <c r="AJ824" s="610"/>
      <c r="AK824" s="610"/>
      <c r="AL824" s="610"/>
      <c r="AM824" s="610"/>
      <c r="AN824" s="610"/>
      <c r="AO824" s="610"/>
      <c r="AP824" s="610"/>
      <c r="AQ824" s="610"/>
    </row>
    <row r="825" spans="2:43" s="609" customFormat="1">
      <c r="B825" s="610"/>
      <c r="C825" s="610"/>
      <c r="D825" s="610"/>
      <c r="E825" s="610"/>
      <c r="F825" s="610"/>
      <c r="G825" s="610"/>
      <c r="H825" s="610"/>
      <c r="I825" s="610"/>
      <c r="J825" s="610"/>
      <c r="L825" s="610"/>
      <c r="M825" s="610"/>
      <c r="N825" s="610"/>
      <c r="O825" s="610"/>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c r="AN825" s="610"/>
      <c r="AO825" s="610"/>
      <c r="AP825" s="610"/>
      <c r="AQ825" s="610"/>
    </row>
    <row r="826" spans="2:43" s="609" customFormat="1">
      <c r="B826" s="610"/>
      <c r="C826" s="610"/>
      <c r="D826" s="610"/>
      <c r="E826" s="610"/>
      <c r="F826" s="610"/>
      <c r="G826" s="610"/>
      <c r="H826" s="610"/>
      <c r="I826" s="610"/>
      <c r="J826" s="610"/>
      <c r="L826" s="610"/>
      <c r="M826" s="610"/>
      <c r="N826" s="610"/>
      <c r="O826" s="610"/>
      <c r="P826" s="610"/>
      <c r="Q826" s="610"/>
      <c r="R826" s="610"/>
      <c r="S826" s="610"/>
      <c r="T826" s="610"/>
      <c r="U826" s="610"/>
      <c r="V826" s="610"/>
      <c r="W826" s="610"/>
      <c r="X826" s="610"/>
      <c r="Y826" s="610"/>
      <c r="Z826" s="610"/>
      <c r="AA826" s="610"/>
      <c r="AB826" s="610"/>
      <c r="AC826" s="610"/>
      <c r="AD826" s="610"/>
      <c r="AE826" s="610"/>
      <c r="AF826" s="610"/>
      <c r="AG826" s="610"/>
      <c r="AH826" s="610"/>
      <c r="AI826" s="610"/>
      <c r="AJ826" s="610"/>
      <c r="AK826" s="610"/>
      <c r="AL826" s="610"/>
      <c r="AM826" s="610"/>
      <c r="AN826" s="610"/>
      <c r="AO826" s="610"/>
      <c r="AP826" s="610"/>
      <c r="AQ826" s="610"/>
    </row>
    <row r="827" spans="2:43" s="609" customFormat="1">
      <c r="B827" s="610"/>
      <c r="C827" s="610"/>
      <c r="D827" s="610"/>
      <c r="E827" s="610"/>
      <c r="F827" s="610"/>
      <c r="G827" s="610"/>
      <c r="H827" s="610"/>
      <c r="I827" s="610"/>
      <c r="J827" s="610"/>
      <c r="L827" s="610"/>
      <c r="M827" s="610"/>
      <c r="N827" s="610"/>
      <c r="O827" s="610"/>
      <c r="P827" s="610"/>
      <c r="Q827" s="610"/>
      <c r="R827" s="610"/>
      <c r="S827" s="610"/>
      <c r="T827" s="610"/>
      <c r="U827" s="610"/>
      <c r="V827" s="610"/>
      <c r="W827" s="610"/>
      <c r="X827" s="610"/>
      <c r="Y827" s="610"/>
      <c r="Z827" s="610"/>
      <c r="AA827" s="610"/>
      <c r="AB827" s="610"/>
      <c r="AC827" s="610"/>
      <c r="AD827" s="610"/>
      <c r="AE827" s="610"/>
      <c r="AF827" s="610"/>
      <c r="AG827" s="610"/>
      <c r="AH827" s="610"/>
      <c r="AI827" s="610"/>
      <c r="AJ827" s="610"/>
      <c r="AK827" s="610"/>
      <c r="AL827" s="610"/>
      <c r="AM827" s="610"/>
      <c r="AN827" s="610"/>
      <c r="AO827" s="610"/>
      <c r="AP827" s="610"/>
      <c r="AQ827" s="610"/>
    </row>
    <row r="828" spans="2:43" s="609" customFormat="1">
      <c r="B828" s="610"/>
      <c r="C828" s="610"/>
      <c r="D828" s="610"/>
      <c r="E828" s="610"/>
      <c r="F828" s="610"/>
      <c r="G828" s="610"/>
      <c r="H828" s="610"/>
      <c r="I828" s="610"/>
      <c r="J828" s="610"/>
      <c r="L828" s="610"/>
      <c r="M828" s="610"/>
      <c r="N828" s="610"/>
      <c r="O828" s="610"/>
      <c r="P828" s="610"/>
      <c r="Q828" s="610"/>
      <c r="R828" s="610"/>
      <c r="S828" s="610"/>
      <c r="T828" s="610"/>
      <c r="U828" s="610"/>
      <c r="V828" s="610"/>
      <c r="W828" s="610"/>
      <c r="X828" s="610"/>
      <c r="Y828" s="610"/>
      <c r="Z828" s="610"/>
      <c r="AA828" s="610"/>
      <c r="AB828" s="610"/>
      <c r="AC828" s="610"/>
      <c r="AD828" s="610"/>
      <c r="AE828" s="610"/>
      <c r="AF828" s="610"/>
      <c r="AG828" s="610"/>
      <c r="AH828" s="610"/>
      <c r="AI828" s="610"/>
      <c r="AJ828" s="610"/>
      <c r="AK828" s="610"/>
      <c r="AL828" s="610"/>
      <c r="AM828" s="610"/>
      <c r="AN828" s="610"/>
      <c r="AO828" s="610"/>
      <c r="AP828" s="610"/>
      <c r="AQ828" s="610"/>
    </row>
    <row r="829" spans="2:43" s="609" customFormat="1">
      <c r="B829" s="610"/>
      <c r="C829" s="610"/>
      <c r="D829" s="610"/>
      <c r="E829" s="610"/>
      <c r="F829" s="610"/>
      <c r="G829" s="610"/>
      <c r="H829" s="610"/>
      <c r="I829" s="610"/>
      <c r="J829" s="610"/>
      <c r="L829" s="610"/>
      <c r="M829" s="610"/>
      <c r="N829" s="610"/>
      <c r="O829" s="610"/>
      <c r="P829" s="610"/>
      <c r="Q829" s="610"/>
      <c r="R829" s="610"/>
      <c r="S829" s="610"/>
      <c r="T829" s="610"/>
      <c r="U829" s="610"/>
      <c r="V829" s="610"/>
      <c r="W829" s="610"/>
      <c r="X829" s="610"/>
      <c r="Y829" s="610"/>
      <c r="Z829" s="610"/>
      <c r="AA829" s="610"/>
      <c r="AB829" s="610"/>
      <c r="AC829" s="610"/>
      <c r="AD829" s="610"/>
      <c r="AE829" s="610"/>
      <c r="AF829" s="610"/>
      <c r="AG829" s="610"/>
      <c r="AH829" s="610"/>
      <c r="AI829" s="610"/>
      <c r="AJ829" s="610"/>
      <c r="AK829" s="610"/>
      <c r="AL829" s="610"/>
      <c r="AM829" s="610"/>
      <c r="AN829" s="610"/>
      <c r="AO829" s="610"/>
      <c r="AP829" s="610"/>
      <c r="AQ829" s="610"/>
    </row>
    <row r="830" spans="2:43" s="609" customFormat="1">
      <c r="B830" s="610"/>
      <c r="C830" s="610"/>
      <c r="D830" s="610"/>
      <c r="E830" s="610"/>
      <c r="F830" s="610"/>
      <c r="G830" s="610"/>
      <c r="H830" s="610"/>
      <c r="I830" s="610"/>
      <c r="J830" s="610"/>
      <c r="L830" s="610"/>
      <c r="M830" s="610"/>
      <c r="N830" s="610"/>
      <c r="O830" s="610"/>
      <c r="P830" s="610"/>
      <c r="Q830" s="610"/>
      <c r="R830" s="610"/>
      <c r="S830" s="610"/>
      <c r="T830" s="610"/>
      <c r="U830" s="610"/>
      <c r="V830" s="610"/>
      <c r="W830" s="610"/>
      <c r="X830" s="610"/>
      <c r="Y830" s="610"/>
      <c r="Z830" s="610"/>
      <c r="AA830" s="610"/>
      <c r="AB830" s="610"/>
      <c r="AC830" s="610"/>
      <c r="AD830" s="610"/>
      <c r="AE830" s="610"/>
      <c r="AF830" s="610"/>
      <c r="AG830" s="610"/>
      <c r="AH830" s="610"/>
      <c r="AI830" s="610"/>
      <c r="AJ830" s="610"/>
      <c r="AK830" s="610"/>
      <c r="AL830" s="610"/>
      <c r="AM830" s="610"/>
      <c r="AN830" s="610"/>
      <c r="AO830" s="610"/>
      <c r="AP830" s="610"/>
      <c r="AQ830" s="610"/>
    </row>
    <row r="831" spans="2:43" s="609" customFormat="1">
      <c r="B831" s="610"/>
      <c r="C831" s="610"/>
      <c r="D831" s="610"/>
      <c r="E831" s="610"/>
      <c r="F831" s="610"/>
      <c r="G831" s="610"/>
      <c r="H831" s="610"/>
      <c r="I831" s="610"/>
      <c r="J831" s="610"/>
      <c r="L831" s="610"/>
      <c r="M831" s="610"/>
      <c r="N831" s="610"/>
      <c r="O831" s="610"/>
      <c r="P831" s="610"/>
      <c r="Q831" s="610"/>
      <c r="R831" s="610"/>
      <c r="S831" s="610"/>
      <c r="T831" s="610"/>
      <c r="U831" s="610"/>
      <c r="V831" s="610"/>
      <c r="W831" s="610"/>
      <c r="X831" s="610"/>
      <c r="Y831" s="610"/>
      <c r="Z831" s="610"/>
      <c r="AA831" s="610"/>
      <c r="AB831" s="610"/>
      <c r="AC831" s="610"/>
      <c r="AD831" s="610"/>
      <c r="AE831" s="610"/>
      <c r="AF831" s="610"/>
      <c r="AG831" s="610"/>
      <c r="AH831" s="610"/>
      <c r="AI831" s="610"/>
      <c r="AJ831" s="610"/>
      <c r="AK831" s="610"/>
      <c r="AL831" s="610"/>
      <c r="AM831" s="610"/>
      <c r="AN831" s="610"/>
      <c r="AO831" s="610"/>
      <c r="AP831" s="610"/>
      <c r="AQ831" s="610"/>
    </row>
    <row r="832" spans="2:43" s="609" customFormat="1">
      <c r="B832" s="610"/>
      <c r="C832" s="610"/>
      <c r="D832" s="610"/>
      <c r="E832" s="610"/>
      <c r="F832" s="610"/>
      <c r="G832" s="610"/>
      <c r="H832" s="610"/>
      <c r="I832" s="610"/>
      <c r="J832" s="610"/>
      <c r="L832" s="610"/>
      <c r="M832" s="610"/>
      <c r="N832" s="610"/>
      <c r="O832" s="610"/>
      <c r="P832" s="610"/>
      <c r="Q832" s="610"/>
      <c r="R832" s="610"/>
      <c r="S832" s="610"/>
      <c r="T832" s="610"/>
      <c r="U832" s="610"/>
      <c r="V832" s="610"/>
      <c r="W832" s="610"/>
      <c r="X832" s="610"/>
      <c r="Y832" s="610"/>
      <c r="Z832" s="610"/>
      <c r="AA832" s="610"/>
      <c r="AB832" s="610"/>
      <c r="AC832" s="610"/>
      <c r="AD832" s="610"/>
      <c r="AE832" s="610"/>
      <c r="AF832" s="610"/>
      <c r="AG832" s="610"/>
      <c r="AH832" s="610"/>
      <c r="AI832" s="610"/>
      <c r="AJ832" s="610"/>
      <c r="AK832" s="610"/>
      <c r="AL832" s="610"/>
      <c r="AM832" s="610"/>
      <c r="AN832" s="610"/>
      <c r="AO832" s="610"/>
      <c r="AP832" s="610"/>
      <c r="AQ832" s="610"/>
    </row>
    <row r="833" spans="2:43" s="609" customFormat="1">
      <c r="B833" s="610"/>
      <c r="C833" s="610"/>
      <c r="D833" s="610"/>
      <c r="E833" s="610"/>
      <c r="F833" s="610"/>
      <c r="G833" s="610"/>
      <c r="H833" s="610"/>
      <c r="I833" s="610"/>
      <c r="J833" s="610"/>
      <c r="L833" s="610"/>
      <c r="M833" s="610"/>
      <c r="N833" s="610"/>
      <c r="O833" s="610"/>
      <c r="P833" s="610"/>
      <c r="Q833" s="610"/>
      <c r="R833" s="610"/>
      <c r="S833" s="610"/>
      <c r="T833" s="610"/>
      <c r="U833" s="610"/>
      <c r="V833" s="610"/>
      <c r="W833" s="610"/>
      <c r="X833" s="610"/>
      <c r="Y833" s="610"/>
      <c r="Z833" s="610"/>
      <c r="AA833" s="610"/>
      <c r="AB833" s="610"/>
      <c r="AC833" s="610"/>
      <c r="AD833" s="610"/>
      <c r="AE833" s="610"/>
      <c r="AF833" s="610"/>
      <c r="AG833" s="610"/>
      <c r="AH833" s="610"/>
      <c r="AI833" s="610"/>
      <c r="AJ833" s="610"/>
      <c r="AK833" s="610"/>
      <c r="AL833" s="610"/>
      <c r="AM833" s="610"/>
      <c r="AN833" s="610"/>
      <c r="AO833" s="610"/>
      <c r="AP833" s="610"/>
      <c r="AQ833" s="610"/>
    </row>
    <row r="834" spans="2:43" s="609" customFormat="1">
      <c r="B834" s="610"/>
      <c r="C834" s="610"/>
      <c r="D834" s="610"/>
      <c r="E834" s="610"/>
      <c r="F834" s="610"/>
      <c r="G834" s="610"/>
      <c r="H834" s="610"/>
      <c r="I834" s="610"/>
      <c r="J834" s="610"/>
      <c r="L834" s="610"/>
      <c r="M834" s="610"/>
      <c r="N834" s="610"/>
      <c r="O834" s="610"/>
      <c r="P834" s="610"/>
      <c r="Q834" s="610"/>
      <c r="R834" s="610"/>
      <c r="S834" s="610"/>
      <c r="T834" s="610"/>
      <c r="U834" s="610"/>
      <c r="V834" s="610"/>
      <c r="W834" s="610"/>
      <c r="X834" s="610"/>
      <c r="Y834" s="610"/>
      <c r="Z834" s="610"/>
      <c r="AA834" s="610"/>
      <c r="AB834" s="610"/>
      <c r="AC834" s="610"/>
      <c r="AD834" s="610"/>
      <c r="AE834" s="610"/>
      <c r="AF834" s="610"/>
      <c r="AG834" s="610"/>
      <c r="AH834" s="610"/>
      <c r="AI834" s="610"/>
      <c r="AJ834" s="610"/>
      <c r="AK834" s="610"/>
      <c r="AL834" s="610"/>
      <c r="AM834" s="610"/>
      <c r="AN834" s="610"/>
      <c r="AO834" s="610"/>
      <c r="AP834" s="610"/>
      <c r="AQ834" s="610"/>
    </row>
    <row r="835" spans="2:43" s="609" customFormat="1">
      <c r="B835" s="610"/>
      <c r="C835" s="610"/>
      <c r="D835" s="610"/>
      <c r="E835" s="610"/>
      <c r="F835" s="610"/>
      <c r="G835" s="610"/>
      <c r="H835" s="610"/>
      <c r="I835" s="610"/>
      <c r="J835" s="610"/>
      <c r="L835" s="610"/>
      <c r="M835" s="610"/>
      <c r="N835" s="610"/>
      <c r="O835" s="610"/>
      <c r="P835" s="610"/>
      <c r="Q835" s="610"/>
      <c r="R835" s="610"/>
      <c r="S835" s="610"/>
      <c r="T835" s="610"/>
      <c r="U835" s="610"/>
      <c r="V835" s="610"/>
      <c r="W835" s="610"/>
      <c r="X835" s="610"/>
      <c r="Y835" s="610"/>
      <c r="Z835" s="610"/>
      <c r="AA835" s="610"/>
      <c r="AB835" s="610"/>
      <c r="AC835" s="610"/>
      <c r="AD835" s="610"/>
      <c r="AE835" s="610"/>
      <c r="AF835" s="610"/>
      <c r="AG835" s="610"/>
      <c r="AH835" s="610"/>
      <c r="AI835" s="610"/>
      <c r="AJ835" s="610"/>
      <c r="AK835" s="610"/>
      <c r="AL835" s="610"/>
      <c r="AM835" s="610"/>
      <c r="AN835" s="610"/>
      <c r="AO835" s="610"/>
      <c r="AP835" s="610"/>
      <c r="AQ835" s="610"/>
    </row>
    <row r="836" spans="2:43" s="609" customFormat="1">
      <c r="B836" s="610"/>
      <c r="C836" s="610"/>
      <c r="D836" s="610"/>
      <c r="E836" s="610"/>
      <c r="F836" s="610"/>
      <c r="G836" s="610"/>
      <c r="H836" s="610"/>
      <c r="I836" s="610"/>
      <c r="J836" s="610"/>
      <c r="L836" s="610"/>
      <c r="M836" s="610"/>
      <c r="N836" s="610"/>
      <c r="O836" s="610"/>
      <c r="P836" s="610"/>
      <c r="Q836" s="610"/>
      <c r="R836" s="610"/>
      <c r="S836" s="610"/>
      <c r="T836" s="610"/>
      <c r="U836" s="610"/>
      <c r="V836" s="610"/>
      <c r="W836" s="610"/>
      <c r="X836" s="610"/>
      <c r="Y836" s="610"/>
      <c r="Z836" s="610"/>
      <c r="AA836" s="610"/>
      <c r="AB836" s="610"/>
      <c r="AC836" s="610"/>
      <c r="AD836" s="610"/>
      <c r="AE836" s="610"/>
      <c r="AF836" s="610"/>
      <c r="AG836" s="610"/>
      <c r="AH836" s="610"/>
      <c r="AI836" s="610"/>
      <c r="AJ836" s="610"/>
      <c r="AK836" s="610"/>
      <c r="AL836" s="610"/>
      <c r="AM836" s="610"/>
      <c r="AN836" s="610"/>
      <c r="AO836" s="610"/>
      <c r="AP836" s="610"/>
      <c r="AQ836" s="610"/>
    </row>
    <row r="837" spans="2:43" s="609" customFormat="1">
      <c r="B837" s="610"/>
      <c r="C837" s="610"/>
      <c r="D837" s="610"/>
      <c r="E837" s="610"/>
      <c r="F837" s="610"/>
      <c r="G837" s="610"/>
      <c r="H837" s="610"/>
      <c r="I837" s="610"/>
      <c r="J837" s="610"/>
      <c r="L837" s="610"/>
      <c r="M837" s="610"/>
      <c r="N837" s="610"/>
      <c r="O837" s="610"/>
      <c r="P837" s="610"/>
      <c r="Q837" s="610"/>
      <c r="R837" s="610"/>
      <c r="S837" s="610"/>
      <c r="T837" s="610"/>
      <c r="U837" s="610"/>
      <c r="V837" s="610"/>
      <c r="W837" s="610"/>
      <c r="X837" s="610"/>
      <c r="Y837" s="610"/>
      <c r="Z837" s="610"/>
      <c r="AA837" s="610"/>
      <c r="AB837" s="610"/>
      <c r="AC837" s="610"/>
      <c r="AD837" s="610"/>
      <c r="AE837" s="610"/>
      <c r="AF837" s="610"/>
      <c r="AG837" s="610"/>
      <c r="AH837" s="610"/>
      <c r="AI837" s="610"/>
      <c r="AJ837" s="610"/>
      <c r="AK837" s="610"/>
      <c r="AL837" s="610"/>
      <c r="AM837" s="610"/>
      <c r="AN837" s="610"/>
      <c r="AO837" s="610"/>
      <c r="AP837" s="610"/>
      <c r="AQ837" s="610"/>
    </row>
    <row r="838" spans="2:43" s="609" customFormat="1">
      <c r="B838" s="610"/>
      <c r="C838" s="610"/>
      <c r="D838" s="610"/>
      <c r="E838" s="610"/>
      <c r="F838" s="610"/>
      <c r="G838" s="610"/>
      <c r="H838" s="610"/>
      <c r="I838" s="610"/>
      <c r="J838" s="610"/>
      <c r="L838" s="610"/>
      <c r="M838" s="610"/>
      <c r="N838" s="610"/>
      <c r="O838" s="610"/>
      <c r="P838" s="610"/>
      <c r="Q838" s="610"/>
      <c r="R838" s="610"/>
      <c r="S838" s="610"/>
      <c r="T838" s="610"/>
      <c r="U838" s="610"/>
      <c r="V838" s="610"/>
      <c r="W838" s="610"/>
      <c r="X838" s="610"/>
      <c r="Y838" s="610"/>
      <c r="Z838" s="610"/>
      <c r="AA838" s="610"/>
      <c r="AB838" s="610"/>
      <c r="AC838" s="610"/>
      <c r="AD838" s="610"/>
      <c r="AE838" s="610"/>
      <c r="AF838" s="610"/>
      <c r="AG838" s="610"/>
      <c r="AH838" s="610"/>
      <c r="AI838" s="610"/>
      <c r="AJ838" s="610"/>
      <c r="AK838" s="610"/>
      <c r="AL838" s="610"/>
      <c r="AM838" s="610"/>
      <c r="AN838" s="610"/>
      <c r="AO838" s="610"/>
      <c r="AP838" s="610"/>
      <c r="AQ838" s="610"/>
    </row>
    <row r="839" spans="2:43" s="609" customFormat="1">
      <c r="B839" s="610"/>
      <c r="C839" s="610"/>
      <c r="D839" s="610"/>
      <c r="E839" s="610"/>
      <c r="F839" s="610"/>
      <c r="G839" s="610"/>
      <c r="H839" s="610"/>
      <c r="I839" s="610"/>
      <c r="J839" s="610"/>
      <c r="L839" s="610"/>
      <c r="M839" s="610"/>
      <c r="N839" s="610"/>
      <c r="O839" s="610"/>
      <c r="P839" s="610"/>
      <c r="Q839" s="610"/>
      <c r="R839" s="610"/>
      <c r="S839" s="610"/>
      <c r="T839" s="610"/>
      <c r="U839" s="610"/>
      <c r="V839" s="610"/>
      <c r="W839" s="610"/>
      <c r="X839" s="610"/>
      <c r="Y839" s="610"/>
      <c r="Z839" s="610"/>
      <c r="AA839" s="610"/>
      <c r="AB839" s="610"/>
      <c r="AC839" s="610"/>
      <c r="AD839" s="610"/>
      <c r="AE839" s="610"/>
      <c r="AF839" s="610"/>
      <c r="AG839" s="610"/>
      <c r="AH839" s="610"/>
      <c r="AI839" s="610"/>
      <c r="AJ839" s="610"/>
      <c r="AK839" s="610"/>
      <c r="AL839" s="610"/>
      <c r="AM839" s="610"/>
      <c r="AN839" s="610"/>
      <c r="AO839" s="610"/>
      <c r="AP839" s="610"/>
      <c r="AQ839" s="610"/>
    </row>
    <row r="840" spans="2:43" s="609" customFormat="1">
      <c r="B840" s="610"/>
      <c r="C840" s="610"/>
      <c r="D840" s="610"/>
      <c r="E840" s="610"/>
      <c r="F840" s="610"/>
      <c r="G840" s="610"/>
      <c r="H840" s="610"/>
      <c r="I840" s="610"/>
      <c r="J840" s="610"/>
      <c r="L840" s="610"/>
      <c r="M840" s="610"/>
      <c r="N840" s="610"/>
      <c r="O840" s="610"/>
      <c r="P840" s="610"/>
      <c r="Q840" s="610"/>
      <c r="R840" s="610"/>
      <c r="S840" s="610"/>
      <c r="T840" s="610"/>
      <c r="U840" s="610"/>
      <c r="V840" s="610"/>
      <c r="W840" s="610"/>
      <c r="X840" s="610"/>
      <c r="Y840" s="610"/>
      <c r="Z840" s="610"/>
      <c r="AA840" s="610"/>
      <c r="AB840" s="610"/>
      <c r="AC840" s="610"/>
      <c r="AD840" s="610"/>
      <c r="AE840" s="610"/>
      <c r="AF840" s="610"/>
      <c r="AG840" s="610"/>
      <c r="AH840" s="610"/>
      <c r="AI840" s="610"/>
      <c r="AJ840" s="610"/>
      <c r="AK840" s="610"/>
      <c r="AL840" s="610"/>
      <c r="AM840" s="610"/>
      <c r="AN840" s="610"/>
      <c r="AO840" s="610"/>
      <c r="AP840" s="610"/>
      <c r="AQ840" s="610"/>
    </row>
    <row r="841" spans="2:43" s="609" customFormat="1">
      <c r="B841" s="610"/>
      <c r="C841" s="610"/>
      <c r="D841" s="610"/>
      <c r="E841" s="610"/>
      <c r="F841" s="610"/>
      <c r="G841" s="610"/>
      <c r="H841" s="610"/>
      <c r="I841" s="610"/>
      <c r="J841" s="610"/>
      <c r="L841" s="610"/>
      <c r="M841" s="610"/>
      <c r="N841" s="610"/>
      <c r="O841" s="610"/>
      <c r="P841" s="610"/>
      <c r="Q841" s="610"/>
      <c r="R841" s="610"/>
      <c r="S841" s="610"/>
      <c r="T841" s="610"/>
      <c r="U841" s="610"/>
      <c r="V841" s="610"/>
      <c r="W841" s="610"/>
      <c r="X841" s="610"/>
      <c r="Y841" s="610"/>
      <c r="Z841" s="610"/>
      <c r="AA841" s="610"/>
      <c r="AB841" s="610"/>
      <c r="AC841" s="610"/>
      <c r="AD841" s="610"/>
      <c r="AE841" s="610"/>
      <c r="AF841" s="610"/>
      <c r="AG841" s="610"/>
      <c r="AH841" s="610"/>
      <c r="AI841" s="610"/>
      <c r="AJ841" s="610"/>
      <c r="AK841" s="610"/>
      <c r="AL841" s="610"/>
      <c r="AM841" s="610"/>
      <c r="AN841" s="610"/>
      <c r="AO841" s="610"/>
      <c r="AP841" s="610"/>
      <c r="AQ841" s="610"/>
    </row>
    <row r="842" spans="2:43" s="609" customFormat="1">
      <c r="B842" s="610"/>
      <c r="C842" s="610"/>
      <c r="D842" s="610"/>
      <c r="E842" s="610"/>
      <c r="F842" s="610"/>
      <c r="G842" s="610"/>
      <c r="H842" s="610"/>
      <c r="I842" s="610"/>
      <c r="J842" s="610"/>
      <c r="L842" s="610"/>
      <c r="M842" s="610"/>
      <c r="N842" s="610"/>
      <c r="O842" s="610"/>
      <c r="P842" s="610"/>
      <c r="Q842" s="610"/>
      <c r="R842" s="610"/>
      <c r="S842" s="610"/>
      <c r="T842" s="610"/>
      <c r="U842" s="610"/>
      <c r="V842" s="610"/>
      <c r="W842" s="610"/>
      <c r="X842" s="610"/>
      <c r="Y842" s="610"/>
      <c r="Z842" s="610"/>
      <c r="AA842" s="610"/>
      <c r="AB842" s="610"/>
      <c r="AC842" s="610"/>
      <c r="AD842" s="610"/>
      <c r="AE842" s="610"/>
      <c r="AF842" s="610"/>
      <c r="AG842" s="610"/>
      <c r="AH842" s="610"/>
      <c r="AI842" s="610"/>
      <c r="AJ842" s="610"/>
      <c r="AK842" s="610"/>
      <c r="AL842" s="610"/>
      <c r="AM842" s="610"/>
      <c r="AN842" s="610"/>
      <c r="AO842" s="610"/>
      <c r="AP842" s="610"/>
      <c r="AQ842" s="610"/>
    </row>
    <row r="843" spans="2:43" s="609" customFormat="1">
      <c r="B843" s="610"/>
      <c r="C843" s="610"/>
      <c r="D843" s="610"/>
      <c r="E843" s="610"/>
      <c r="F843" s="610"/>
      <c r="G843" s="610"/>
      <c r="H843" s="610"/>
      <c r="I843" s="610"/>
      <c r="J843" s="610"/>
      <c r="L843" s="610"/>
      <c r="M843" s="610"/>
      <c r="N843" s="610"/>
      <c r="O843" s="610"/>
      <c r="P843" s="610"/>
      <c r="Q843" s="610"/>
      <c r="R843" s="610"/>
      <c r="S843" s="610"/>
      <c r="T843" s="610"/>
      <c r="U843" s="610"/>
      <c r="V843" s="610"/>
      <c r="W843" s="610"/>
      <c r="X843" s="610"/>
      <c r="Y843" s="610"/>
      <c r="Z843" s="610"/>
      <c r="AA843" s="610"/>
      <c r="AB843" s="610"/>
      <c r="AC843" s="610"/>
      <c r="AD843" s="610"/>
      <c r="AE843" s="610"/>
      <c r="AF843" s="610"/>
      <c r="AG843" s="610"/>
      <c r="AH843" s="610"/>
      <c r="AI843" s="610"/>
      <c r="AJ843" s="610"/>
      <c r="AK843" s="610"/>
      <c r="AL843" s="610"/>
      <c r="AM843" s="610"/>
      <c r="AN843" s="610"/>
      <c r="AO843" s="610"/>
      <c r="AP843" s="610"/>
      <c r="AQ843" s="610"/>
    </row>
    <row r="844" spans="2:43" s="609" customFormat="1">
      <c r="B844" s="610"/>
      <c r="C844" s="610"/>
      <c r="D844" s="610"/>
      <c r="E844" s="610"/>
      <c r="F844" s="610"/>
      <c r="G844" s="610"/>
      <c r="H844" s="610"/>
      <c r="I844" s="610"/>
      <c r="J844" s="610"/>
      <c r="L844" s="610"/>
      <c r="M844" s="610"/>
      <c r="N844" s="610"/>
      <c r="O844" s="610"/>
      <c r="P844" s="610"/>
      <c r="Q844" s="610"/>
      <c r="R844" s="610"/>
      <c r="S844" s="610"/>
      <c r="T844" s="610"/>
      <c r="U844" s="610"/>
      <c r="V844" s="610"/>
      <c r="W844" s="610"/>
      <c r="X844" s="610"/>
      <c r="Y844" s="610"/>
      <c r="Z844" s="610"/>
      <c r="AA844" s="610"/>
      <c r="AB844" s="610"/>
      <c r="AC844" s="610"/>
      <c r="AD844" s="610"/>
      <c r="AE844" s="610"/>
      <c r="AF844" s="610"/>
      <c r="AG844" s="610"/>
      <c r="AH844" s="610"/>
      <c r="AI844" s="610"/>
      <c r="AJ844" s="610"/>
      <c r="AK844" s="610"/>
      <c r="AL844" s="610"/>
      <c r="AM844" s="610"/>
      <c r="AN844" s="610"/>
      <c r="AO844" s="610"/>
      <c r="AP844" s="610"/>
      <c r="AQ844" s="610"/>
    </row>
    <row r="845" spans="2:43" s="609" customFormat="1">
      <c r="B845" s="610"/>
      <c r="C845" s="610"/>
      <c r="D845" s="610"/>
      <c r="E845" s="610"/>
      <c r="F845" s="610"/>
      <c r="G845" s="610"/>
      <c r="H845" s="610"/>
      <c r="I845" s="610"/>
      <c r="J845" s="610"/>
      <c r="L845" s="610"/>
      <c r="M845" s="610"/>
      <c r="N845" s="610"/>
      <c r="O845" s="610"/>
      <c r="P845" s="610"/>
      <c r="Q845" s="610"/>
      <c r="R845" s="610"/>
      <c r="S845" s="610"/>
      <c r="T845" s="610"/>
      <c r="U845" s="610"/>
      <c r="V845" s="610"/>
      <c r="W845" s="610"/>
      <c r="X845" s="610"/>
      <c r="Y845" s="610"/>
      <c r="Z845" s="610"/>
      <c r="AA845" s="610"/>
      <c r="AB845" s="610"/>
      <c r="AC845" s="610"/>
      <c r="AD845" s="610"/>
      <c r="AE845" s="610"/>
      <c r="AF845" s="610"/>
      <c r="AG845" s="610"/>
      <c r="AH845" s="610"/>
      <c r="AI845" s="610"/>
      <c r="AJ845" s="610"/>
      <c r="AK845" s="610"/>
      <c r="AL845" s="610"/>
      <c r="AM845" s="610"/>
      <c r="AN845" s="610"/>
      <c r="AO845" s="610"/>
      <c r="AP845" s="610"/>
      <c r="AQ845" s="610"/>
    </row>
    <row r="846" spans="2:43" s="609" customFormat="1">
      <c r="B846" s="610"/>
      <c r="C846" s="610"/>
      <c r="D846" s="610"/>
      <c r="E846" s="610"/>
      <c r="F846" s="610"/>
      <c r="G846" s="610"/>
      <c r="H846" s="610"/>
      <c r="I846" s="610"/>
      <c r="J846" s="610"/>
      <c r="L846" s="610"/>
      <c r="M846" s="610"/>
      <c r="N846" s="610"/>
      <c r="O846" s="610"/>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c r="AN846" s="610"/>
      <c r="AO846" s="610"/>
      <c r="AP846" s="610"/>
      <c r="AQ846" s="610"/>
    </row>
    <row r="847" spans="2:43" s="609" customFormat="1">
      <c r="B847" s="610"/>
      <c r="C847" s="610"/>
      <c r="D847" s="610"/>
      <c r="E847" s="610"/>
      <c r="F847" s="610"/>
      <c r="G847" s="610"/>
      <c r="H847" s="610"/>
      <c r="I847" s="610"/>
      <c r="J847" s="610"/>
      <c r="L847" s="610"/>
      <c r="M847" s="610"/>
      <c r="N847" s="610"/>
      <c r="O847" s="610"/>
      <c r="P847" s="610"/>
      <c r="Q847" s="610"/>
      <c r="R847" s="610"/>
      <c r="S847" s="610"/>
      <c r="T847" s="610"/>
      <c r="U847" s="610"/>
      <c r="V847" s="610"/>
      <c r="W847" s="610"/>
      <c r="X847" s="610"/>
      <c r="Y847" s="610"/>
      <c r="Z847" s="610"/>
      <c r="AA847" s="610"/>
      <c r="AB847" s="610"/>
      <c r="AC847" s="610"/>
      <c r="AD847" s="610"/>
      <c r="AE847" s="610"/>
      <c r="AF847" s="610"/>
      <c r="AG847" s="610"/>
      <c r="AH847" s="610"/>
      <c r="AI847" s="610"/>
      <c r="AJ847" s="610"/>
      <c r="AK847" s="610"/>
      <c r="AL847" s="610"/>
      <c r="AM847" s="610"/>
      <c r="AN847" s="610"/>
      <c r="AO847" s="610"/>
      <c r="AP847" s="610"/>
      <c r="AQ847" s="610"/>
    </row>
    <row r="848" spans="2:43" s="609" customFormat="1">
      <c r="B848" s="610"/>
      <c r="C848" s="610"/>
      <c r="D848" s="610"/>
      <c r="E848" s="610"/>
      <c r="F848" s="610"/>
      <c r="G848" s="610"/>
      <c r="H848" s="610"/>
      <c r="I848" s="610"/>
      <c r="J848" s="610"/>
      <c r="L848" s="610"/>
      <c r="M848" s="610"/>
      <c r="N848" s="610"/>
      <c r="O848" s="610"/>
      <c r="P848" s="610"/>
      <c r="Q848" s="610"/>
      <c r="R848" s="610"/>
      <c r="S848" s="610"/>
      <c r="T848" s="610"/>
      <c r="U848" s="610"/>
      <c r="V848" s="610"/>
      <c r="W848" s="610"/>
      <c r="X848" s="610"/>
      <c r="Y848" s="610"/>
      <c r="Z848" s="610"/>
      <c r="AA848" s="610"/>
      <c r="AB848" s="610"/>
      <c r="AC848" s="610"/>
      <c r="AD848" s="610"/>
      <c r="AE848" s="610"/>
      <c r="AF848" s="610"/>
      <c r="AG848" s="610"/>
      <c r="AH848" s="610"/>
      <c r="AI848" s="610"/>
      <c r="AJ848" s="610"/>
      <c r="AK848" s="610"/>
      <c r="AL848" s="610"/>
      <c r="AM848" s="610"/>
      <c r="AN848" s="610"/>
      <c r="AO848" s="610"/>
      <c r="AP848" s="610"/>
      <c r="AQ848" s="610"/>
    </row>
    <row r="849" spans="2:43" s="609" customFormat="1">
      <c r="B849" s="610"/>
      <c r="C849" s="610"/>
      <c r="D849" s="610"/>
      <c r="E849" s="610"/>
      <c r="F849" s="610"/>
      <c r="G849" s="610"/>
      <c r="H849" s="610"/>
      <c r="I849" s="610"/>
      <c r="J849" s="610"/>
      <c r="L849" s="610"/>
      <c r="M849" s="610"/>
      <c r="N849" s="610"/>
      <c r="O849" s="610"/>
      <c r="P849" s="610"/>
      <c r="Q849" s="610"/>
      <c r="R849" s="610"/>
      <c r="S849" s="610"/>
      <c r="T849" s="610"/>
      <c r="U849" s="610"/>
      <c r="V849" s="610"/>
      <c r="W849" s="610"/>
      <c r="X849" s="610"/>
      <c r="Y849" s="610"/>
      <c r="Z849" s="610"/>
      <c r="AA849" s="610"/>
      <c r="AB849" s="610"/>
      <c r="AC849" s="610"/>
      <c r="AD849" s="610"/>
      <c r="AE849" s="610"/>
      <c r="AF849" s="610"/>
      <c r="AG849" s="610"/>
      <c r="AH849" s="610"/>
      <c r="AI849" s="610"/>
      <c r="AJ849" s="610"/>
      <c r="AK849" s="610"/>
      <c r="AL849" s="610"/>
      <c r="AM849" s="610"/>
      <c r="AN849" s="610"/>
      <c r="AO849" s="610"/>
      <c r="AP849" s="610"/>
      <c r="AQ849" s="610"/>
    </row>
    <row r="850" spans="2:43" s="609" customFormat="1">
      <c r="B850" s="610"/>
      <c r="C850" s="610"/>
      <c r="D850" s="610"/>
      <c r="E850" s="610"/>
      <c r="F850" s="610"/>
      <c r="G850" s="610"/>
      <c r="H850" s="610"/>
      <c r="I850" s="610"/>
      <c r="J850" s="610"/>
      <c r="L850" s="610"/>
      <c r="M850" s="610"/>
      <c r="N850" s="610"/>
      <c r="O850" s="610"/>
      <c r="P850" s="610"/>
      <c r="Q850" s="610"/>
      <c r="R850" s="610"/>
      <c r="S850" s="610"/>
      <c r="T850" s="610"/>
      <c r="U850" s="610"/>
      <c r="V850" s="610"/>
      <c r="W850" s="610"/>
      <c r="X850" s="610"/>
      <c r="Y850" s="610"/>
      <c r="Z850" s="610"/>
      <c r="AA850" s="610"/>
      <c r="AB850" s="610"/>
      <c r="AC850" s="610"/>
      <c r="AD850" s="610"/>
      <c r="AE850" s="610"/>
      <c r="AF850" s="610"/>
      <c r="AG850" s="610"/>
      <c r="AH850" s="610"/>
      <c r="AI850" s="610"/>
      <c r="AJ850" s="610"/>
      <c r="AK850" s="610"/>
      <c r="AL850" s="610"/>
      <c r="AM850" s="610"/>
      <c r="AN850" s="610"/>
      <c r="AO850" s="610"/>
      <c r="AP850" s="610"/>
      <c r="AQ850" s="610"/>
    </row>
    <row r="851" spans="2:43" s="609" customFormat="1">
      <c r="B851" s="610"/>
      <c r="C851" s="610"/>
      <c r="D851" s="610"/>
      <c r="E851" s="610"/>
      <c r="F851" s="610"/>
      <c r="G851" s="610"/>
      <c r="H851" s="610"/>
      <c r="I851" s="610"/>
      <c r="J851" s="610"/>
      <c r="L851" s="610"/>
      <c r="M851" s="610"/>
      <c r="N851" s="610"/>
      <c r="O851" s="610"/>
      <c r="P851" s="610"/>
      <c r="Q851" s="610"/>
      <c r="R851" s="610"/>
      <c r="S851" s="610"/>
      <c r="T851" s="610"/>
      <c r="U851" s="610"/>
      <c r="V851" s="610"/>
      <c r="W851" s="610"/>
      <c r="X851" s="610"/>
      <c r="Y851" s="610"/>
      <c r="Z851" s="610"/>
      <c r="AA851" s="610"/>
      <c r="AB851" s="610"/>
      <c r="AC851" s="610"/>
      <c r="AD851" s="610"/>
      <c r="AE851" s="610"/>
      <c r="AF851" s="610"/>
      <c r="AG851" s="610"/>
      <c r="AH851" s="610"/>
      <c r="AI851" s="610"/>
      <c r="AJ851" s="610"/>
      <c r="AK851" s="610"/>
      <c r="AL851" s="610"/>
      <c r="AM851" s="610"/>
      <c r="AN851" s="610"/>
      <c r="AO851" s="610"/>
      <c r="AP851" s="610"/>
      <c r="AQ851" s="610"/>
    </row>
    <row r="852" spans="2:43" s="609" customFormat="1">
      <c r="B852" s="610"/>
      <c r="C852" s="610"/>
      <c r="D852" s="610"/>
      <c r="E852" s="610"/>
      <c r="F852" s="610"/>
      <c r="G852" s="610"/>
      <c r="H852" s="610"/>
      <c r="I852" s="610"/>
      <c r="J852" s="610"/>
      <c r="L852" s="610"/>
      <c r="M852" s="610"/>
      <c r="N852" s="610"/>
      <c r="O852" s="610"/>
      <c r="P852" s="610"/>
      <c r="Q852" s="610"/>
      <c r="R852" s="610"/>
      <c r="S852" s="610"/>
      <c r="T852" s="610"/>
      <c r="U852" s="610"/>
      <c r="V852" s="610"/>
      <c r="W852" s="610"/>
      <c r="X852" s="610"/>
      <c r="Y852" s="610"/>
      <c r="Z852" s="610"/>
      <c r="AA852" s="610"/>
      <c r="AB852" s="610"/>
      <c r="AC852" s="610"/>
      <c r="AD852" s="610"/>
      <c r="AE852" s="610"/>
      <c r="AF852" s="610"/>
      <c r="AG852" s="610"/>
      <c r="AH852" s="610"/>
      <c r="AI852" s="610"/>
      <c r="AJ852" s="610"/>
      <c r="AK852" s="610"/>
      <c r="AL852" s="610"/>
      <c r="AM852" s="610"/>
      <c r="AN852" s="610"/>
      <c r="AO852" s="610"/>
      <c r="AP852" s="610"/>
      <c r="AQ852" s="610"/>
    </row>
    <row r="853" spans="2:43" s="609" customFormat="1">
      <c r="B853" s="610"/>
      <c r="C853" s="610"/>
      <c r="D853" s="610"/>
      <c r="E853" s="610"/>
      <c r="F853" s="610"/>
      <c r="G853" s="610"/>
      <c r="H853" s="610"/>
      <c r="I853" s="610"/>
      <c r="J853" s="610"/>
      <c r="L853" s="610"/>
      <c r="M853" s="610"/>
      <c r="N853" s="610"/>
      <c r="O853" s="610"/>
      <c r="P853" s="610"/>
      <c r="Q853" s="610"/>
      <c r="R853" s="610"/>
      <c r="S853" s="610"/>
      <c r="T853" s="610"/>
      <c r="U853" s="610"/>
      <c r="V853" s="610"/>
      <c r="W853" s="610"/>
      <c r="X853" s="610"/>
      <c r="Y853" s="610"/>
      <c r="Z853" s="610"/>
      <c r="AA853" s="610"/>
      <c r="AB853" s="610"/>
      <c r="AC853" s="610"/>
      <c r="AD853" s="610"/>
      <c r="AE853" s="610"/>
      <c r="AF853" s="610"/>
      <c r="AG853" s="610"/>
      <c r="AH853" s="610"/>
      <c r="AI853" s="610"/>
      <c r="AJ853" s="610"/>
      <c r="AK853" s="610"/>
      <c r="AL853" s="610"/>
      <c r="AM853" s="610"/>
      <c r="AN853" s="610"/>
      <c r="AO853" s="610"/>
      <c r="AP853" s="610"/>
      <c r="AQ853" s="610"/>
    </row>
    <row r="854" spans="2:43" s="609" customFormat="1">
      <c r="B854" s="610"/>
      <c r="C854" s="610"/>
      <c r="D854" s="610"/>
      <c r="E854" s="610"/>
      <c r="F854" s="610"/>
      <c r="G854" s="610"/>
      <c r="H854" s="610"/>
      <c r="I854" s="610"/>
      <c r="J854" s="610"/>
      <c r="L854" s="610"/>
      <c r="M854" s="610"/>
      <c r="N854" s="610"/>
      <c r="O854" s="610"/>
      <c r="P854" s="610"/>
      <c r="Q854" s="610"/>
      <c r="R854" s="610"/>
      <c r="S854" s="610"/>
      <c r="T854" s="610"/>
      <c r="U854" s="610"/>
      <c r="V854" s="610"/>
      <c r="W854" s="610"/>
      <c r="X854" s="610"/>
      <c r="Y854" s="610"/>
      <c r="Z854" s="610"/>
      <c r="AA854" s="610"/>
      <c r="AB854" s="610"/>
      <c r="AC854" s="610"/>
      <c r="AD854" s="610"/>
      <c r="AE854" s="610"/>
      <c r="AF854" s="610"/>
      <c r="AG854" s="610"/>
      <c r="AH854" s="610"/>
      <c r="AI854" s="610"/>
      <c r="AJ854" s="610"/>
      <c r="AK854" s="610"/>
      <c r="AL854" s="610"/>
      <c r="AM854" s="610"/>
      <c r="AN854" s="610"/>
      <c r="AO854" s="610"/>
      <c r="AP854" s="610"/>
      <c r="AQ854" s="610"/>
    </row>
    <row r="855" spans="2:43" s="609" customFormat="1">
      <c r="B855" s="610"/>
      <c r="C855" s="610"/>
      <c r="D855" s="610"/>
      <c r="E855" s="610"/>
      <c r="F855" s="610"/>
      <c r="G855" s="610"/>
      <c r="H855" s="610"/>
      <c r="I855" s="610"/>
      <c r="J855" s="610"/>
      <c r="L855" s="610"/>
      <c r="M855" s="610"/>
      <c r="N855" s="610"/>
      <c r="O855" s="610"/>
      <c r="P855" s="610"/>
      <c r="Q855" s="610"/>
      <c r="R855" s="610"/>
      <c r="S855" s="610"/>
      <c r="T855" s="610"/>
      <c r="U855" s="610"/>
      <c r="V855" s="610"/>
      <c r="W855" s="610"/>
      <c r="X855" s="610"/>
      <c r="Y855" s="610"/>
      <c r="Z855" s="610"/>
      <c r="AA855" s="610"/>
      <c r="AB855" s="610"/>
      <c r="AC855" s="610"/>
      <c r="AD855" s="610"/>
      <c r="AE855" s="610"/>
      <c r="AF855" s="610"/>
      <c r="AG855" s="610"/>
      <c r="AH855" s="610"/>
      <c r="AI855" s="610"/>
      <c r="AJ855" s="610"/>
      <c r="AK855" s="610"/>
      <c r="AL855" s="610"/>
      <c r="AM855" s="610"/>
      <c r="AN855" s="610"/>
      <c r="AO855" s="610"/>
      <c r="AP855" s="610"/>
      <c r="AQ855" s="610"/>
    </row>
    <row r="856" spans="2:43" s="609" customFormat="1">
      <c r="B856" s="610"/>
      <c r="C856" s="610"/>
      <c r="D856" s="610"/>
      <c r="E856" s="610"/>
      <c r="F856" s="610"/>
      <c r="G856" s="610"/>
      <c r="H856" s="610"/>
      <c r="I856" s="610"/>
      <c r="J856" s="610"/>
      <c r="L856" s="610"/>
      <c r="M856" s="610"/>
      <c r="N856" s="610"/>
      <c r="O856" s="610"/>
      <c r="P856" s="610"/>
      <c r="Q856" s="610"/>
      <c r="R856" s="610"/>
      <c r="S856" s="610"/>
      <c r="T856" s="610"/>
      <c r="U856" s="610"/>
      <c r="V856" s="610"/>
      <c r="W856" s="610"/>
      <c r="X856" s="610"/>
      <c r="Y856" s="610"/>
      <c r="Z856" s="610"/>
      <c r="AA856" s="610"/>
      <c r="AB856" s="610"/>
      <c r="AC856" s="610"/>
      <c r="AD856" s="610"/>
      <c r="AE856" s="610"/>
      <c r="AF856" s="610"/>
      <c r="AG856" s="610"/>
      <c r="AH856" s="610"/>
      <c r="AI856" s="610"/>
      <c r="AJ856" s="610"/>
      <c r="AK856" s="610"/>
      <c r="AL856" s="610"/>
      <c r="AM856" s="610"/>
      <c r="AN856" s="610"/>
      <c r="AO856" s="610"/>
      <c r="AP856" s="610"/>
      <c r="AQ856" s="610"/>
    </row>
    <row r="857" spans="2:43" s="609" customFormat="1">
      <c r="B857" s="610"/>
      <c r="C857" s="610"/>
      <c r="D857" s="610"/>
      <c r="E857" s="610"/>
      <c r="F857" s="610"/>
      <c r="G857" s="610"/>
      <c r="H857" s="610"/>
      <c r="I857" s="610"/>
      <c r="J857" s="610"/>
      <c r="L857" s="610"/>
      <c r="M857" s="610"/>
      <c r="N857" s="610"/>
      <c r="O857" s="610"/>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c r="AN857" s="610"/>
      <c r="AO857" s="610"/>
      <c r="AP857" s="610"/>
      <c r="AQ857" s="610"/>
    </row>
    <row r="858" spans="2:43" s="609" customFormat="1">
      <c r="B858" s="610"/>
      <c r="C858" s="610"/>
      <c r="D858" s="610"/>
      <c r="E858" s="610"/>
      <c r="F858" s="610"/>
      <c r="G858" s="610"/>
      <c r="H858" s="610"/>
      <c r="I858" s="610"/>
      <c r="J858" s="610"/>
      <c r="L858" s="610"/>
      <c r="M858" s="610"/>
      <c r="N858" s="610"/>
      <c r="O858" s="610"/>
      <c r="P858" s="610"/>
      <c r="Q858" s="610"/>
      <c r="R858" s="610"/>
      <c r="S858" s="610"/>
      <c r="T858" s="610"/>
      <c r="U858" s="610"/>
      <c r="V858" s="610"/>
      <c r="W858" s="610"/>
      <c r="X858" s="610"/>
      <c r="Y858" s="610"/>
      <c r="Z858" s="610"/>
      <c r="AA858" s="610"/>
      <c r="AB858" s="610"/>
      <c r="AC858" s="610"/>
      <c r="AD858" s="610"/>
      <c r="AE858" s="610"/>
      <c r="AF858" s="610"/>
      <c r="AG858" s="610"/>
      <c r="AH858" s="610"/>
      <c r="AI858" s="610"/>
      <c r="AJ858" s="610"/>
      <c r="AK858" s="610"/>
      <c r="AL858" s="610"/>
      <c r="AM858" s="610"/>
      <c r="AN858" s="610"/>
      <c r="AO858" s="610"/>
      <c r="AP858" s="610"/>
      <c r="AQ858" s="610"/>
    </row>
    <row r="859" spans="2:43" s="609" customFormat="1">
      <c r="B859" s="610"/>
      <c r="C859" s="610"/>
      <c r="D859" s="610"/>
      <c r="E859" s="610"/>
      <c r="F859" s="610"/>
      <c r="G859" s="610"/>
      <c r="H859" s="610"/>
      <c r="I859" s="610"/>
      <c r="J859" s="610"/>
      <c r="L859" s="610"/>
      <c r="M859" s="610"/>
      <c r="N859" s="610"/>
      <c r="O859" s="610"/>
      <c r="P859" s="610"/>
      <c r="Q859" s="610"/>
      <c r="R859" s="610"/>
      <c r="S859" s="610"/>
      <c r="T859" s="610"/>
      <c r="U859" s="610"/>
      <c r="V859" s="610"/>
      <c r="W859" s="610"/>
      <c r="X859" s="610"/>
      <c r="Y859" s="610"/>
      <c r="Z859" s="610"/>
      <c r="AA859" s="610"/>
      <c r="AB859" s="610"/>
      <c r="AC859" s="610"/>
      <c r="AD859" s="610"/>
      <c r="AE859" s="610"/>
      <c r="AF859" s="610"/>
      <c r="AG859" s="610"/>
      <c r="AH859" s="610"/>
      <c r="AI859" s="610"/>
      <c r="AJ859" s="610"/>
      <c r="AK859" s="610"/>
      <c r="AL859" s="610"/>
      <c r="AM859" s="610"/>
      <c r="AN859" s="610"/>
      <c r="AO859" s="610"/>
      <c r="AP859" s="610"/>
      <c r="AQ859" s="610"/>
    </row>
    <row r="860" spans="2:43" s="609" customFormat="1">
      <c r="B860" s="610"/>
      <c r="C860" s="610"/>
      <c r="D860" s="610"/>
      <c r="E860" s="610"/>
      <c r="F860" s="610"/>
      <c r="G860" s="610"/>
      <c r="H860" s="610"/>
      <c r="I860" s="610"/>
      <c r="J860" s="610"/>
      <c r="L860" s="610"/>
      <c r="M860" s="610"/>
      <c r="N860" s="610"/>
      <c r="O860" s="610"/>
      <c r="P860" s="610"/>
      <c r="Q860" s="610"/>
      <c r="R860" s="610"/>
      <c r="S860" s="610"/>
      <c r="T860" s="610"/>
      <c r="U860" s="610"/>
      <c r="V860" s="610"/>
      <c r="W860" s="610"/>
      <c r="X860" s="610"/>
      <c r="Y860" s="610"/>
      <c r="Z860" s="610"/>
      <c r="AA860" s="610"/>
      <c r="AB860" s="610"/>
      <c r="AC860" s="610"/>
      <c r="AD860" s="610"/>
      <c r="AE860" s="610"/>
      <c r="AF860" s="610"/>
      <c r="AG860" s="610"/>
      <c r="AH860" s="610"/>
      <c r="AI860" s="610"/>
      <c r="AJ860" s="610"/>
      <c r="AK860" s="610"/>
      <c r="AL860" s="610"/>
      <c r="AM860" s="610"/>
      <c r="AN860" s="610"/>
      <c r="AO860" s="610"/>
      <c r="AP860" s="610"/>
      <c r="AQ860" s="610"/>
    </row>
    <row r="861" spans="2:43" s="609" customFormat="1">
      <c r="B861" s="610"/>
      <c r="C861" s="610"/>
      <c r="D861" s="610"/>
      <c r="E861" s="610"/>
      <c r="F861" s="610"/>
      <c r="G861" s="610"/>
      <c r="H861" s="610"/>
      <c r="I861" s="610"/>
      <c r="J861" s="610"/>
      <c r="L861" s="610"/>
      <c r="M861" s="610"/>
      <c r="N861" s="610"/>
      <c r="O861" s="610"/>
      <c r="P861" s="610"/>
      <c r="Q861" s="610"/>
      <c r="R861" s="610"/>
      <c r="S861" s="610"/>
      <c r="T861" s="610"/>
      <c r="U861" s="610"/>
      <c r="V861" s="610"/>
      <c r="W861" s="610"/>
      <c r="X861" s="610"/>
      <c r="Y861" s="610"/>
      <c r="Z861" s="610"/>
      <c r="AA861" s="610"/>
      <c r="AB861" s="610"/>
      <c r="AC861" s="610"/>
      <c r="AD861" s="610"/>
      <c r="AE861" s="610"/>
      <c r="AF861" s="610"/>
      <c r="AG861" s="610"/>
      <c r="AH861" s="610"/>
      <c r="AI861" s="610"/>
      <c r="AJ861" s="610"/>
      <c r="AK861" s="610"/>
      <c r="AL861" s="610"/>
      <c r="AM861" s="610"/>
      <c r="AN861" s="610"/>
      <c r="AO861" s="610"/>
      <c r="AP861" s="610"/>
      <c r="AQ861" s="610"/>
    </row>
    <row r="862" spans="2:43" s="609" customFormat="1">
      <c r="B862" s="610"/>
      <c r="C862" s="610"/>
      <c r="D862" s="610"/>
      <c r="E862" s="610"/>
      <c r="F862" s="610"/>
      <c r="G862" s="610"/>
      <c r="H862" s="610"/>
      <c r="I862" s="610"/>
      <c r="J862" s="610"/>
      <c r="L862" s="610"/>
      <c r="M862" s="610"/>
      <c r="N862" s="610"/>
      <c r="O862" s="610"/>
      <c r="P862" s="610"/>
      <c r="Q862" s="610"/>
      <c r="R862" s="610"/>
      <c r="S862" s="610"/>
      <c r="T862" s="610"/>
      <c r="U862" s="610"/>
      <c r="V862" s="610"/>
      <c r="W862" s="610"/>
      <c r="X862" s="610"/>
      <c r="Y862" s="610"/>
      <c r="Z862" s="610"/>
      <c r="AA862" s="610"/>
      <c r="AB862" s="610"/>
      <c r="AC862" s="610"/>
      <c r="AD862" s="610"/>
      <c r="AE862" s="610"/>
      <c r="AF862" s="610"/>
      <c r="AG862" s="610"/>
      <c r="AH862" s="610"/>
      <c r="AI862" s="610"/>
      <c r="AJ862" s="610"/>
      <c r="AK862" s="610"/>
      <c r="AL862" s="610"/>
      <c r="AM862" s="610"/>
      <c r="AN862" s="610"/>
      <c r="AO862" s="610"/>
      <c r="AP862" s="610"/>
      <c r="AQ862" s="610"/>
    </row>
    <row r="863" spans="2:43" s="609" customFormat="1">
      <c r="B863" s="610"/>
      <c r="C863" s="610"/>
      <c r="D863" s="610"/>
      <c r="E863" s="610"/>
      <c r="F863" s="610"/>
      <c r="G863" s="610"/>
      <c r="H863" s="610"/>
      <c r="I863" s="610"/>
      <c r="J863" s="610"/>
      <c r="L863" s="610"/>
      <c r="M863" s="610"/>
      <c r="N863" s="610"/>
      <c r="O863" s="610"/>
      <c r="P863" s="610"/>
      <c r="Q863" s="610"/>
      <c r="R863" s="610"/>
      <c r="S863" s="610"/>
      <c r="T863" s="610"/>
      <c r="U863" s="610"/>
      <c r="V863" s="610"/>
      <c r="W863" s="610"/>
      <c r="X863" s="610"/>
      <c r="Y863" s="610"/>
      <c r="Z863" s="610"/>
      <c r="AA863" s="610"/>
      <c r="AB863" s="610"/>
      <c r="AC863" s="610"/>
      <c r="AD863" s="610"/>
      <c r="AE863" s="610"/>
      <c r="AF863" s="610"/>
      <c r="AG863" s="610"/>
      <c r="AH863" s="610"/>
      <c r="AI863" s="610"/>
      <c r="AJ863" s="610"/>
      <c r="AK863" s="610"/>
      <c r="AL863" s="610"/>
      <c r="AM863" s="610"/>
      <c r="AN863" s="610"/>
      <c r="AO863" s="610"/>
      <c r="AP863" s="610"/>
      <c r="AQ863" s="610"/>
    </row>
    <row r="864" spans="2:43" s="609" customFormat="1">
      <c r="B864" s="610"/>
      <c r="C864" s="610"/>
      <c r="D864" s="610"/>
      <c r="E864" s="610"/>
      <c r="F864" s="610"/>
      <c r="G864" s="610"/>
      <c r="H864" s="610"/>
      <c r="I864" s="610"/>
      <c r="J864" s="610"/>
      <c r="L864" s="610"/>
      <c r="M864" s="610"/>
      <c r="N864" s="610"/>
      <c r="O864" s="610"/>
      <c r="P864" s="610"/>
      <c r="Q864" s="610"/>
      <c r="R864" s="610"/>
      <c r="S864" s="610"/>
      <c r="T864" s="610"/>
      <c r="U864" s="610"/>
      <c r="V864" s="610"/>
      <c r="W864" s="610"/>
      <c r="X864" s="610"/>
      <c r="Y864" s="610"/>
      <c r="Z864" s="610"/>
      <c r="AA864" s="610"/>
      <c r="AB864" s="610"/>
      <c r="AC864" s="610"/>
      <c r="AD864" s="610"/>
      <c r="AE864" s="610"/>
      <c r="AF864" s="610"/>
      <c r="AG864" s="610"/>
      <c r="AH864" s="610"/>
      <c r="AI864" s="610"/>
      <c r="AJ864" s="610"/>
      <c r="AK864" s="610"/>
      <c r="AL864" s="610"/>
      <c r="AM864" s="610"/>
      <c r="AN864" s="610"/>
      <c r="AO864" s="610"/>
      <c r="AP864" s="610"/>
      <c r="AQ864" s="610"/>
    </row>
    <row r="865" spans="2:43" s="609" customFormat="1">
      <c r="B865" s="610"/>
      <c r="C865" s="610"/>
      <c r="D865" s="610"/>
      <c r="E865" s="610"/>
      <c r="F865" s="610"/>
      <c r="G865" s="610"/>
      <c r="H865" s="610"/>
      <c r="I865" s="610"/>
      <c r="J865" s="610"/>
      <c r="L865" s="610"/>
      <c r="M865" s="610"/>
      <c r="N865" s="610"/>
      <c r="O865" s="610"/>
      <c r="P865" s="610"/>
      <c r="Q865" s="610"/>
      <c r="R865" s="610"/>
      <c r="S865" s="610"/>
      <c r="T865" s="610"/>
      <c r="U865" s="610"/>
      <c r="V865" s="610"/>
      <c r="W865" s="610"/>
      <c r="X865" s="610"/>
      <c r="Y865" s="610"/>
      <c r="Z865" s="610"/>
      <c r="AA865" s="610"/>
      <c r="AB865" s="610"/>
      <c r="AC865" s="610"/>
      <c r="AD865" s="610"/>
      <c r="AE865" s="610"/>
      <c r="AF865" s="610"/>
      <c r="AG865" s="610"/>
      <c r="AH865" s="610"/>
      <c r="AI865" s="610"/>
      <c r="AJ865" s="610"/>
      <c r="AK865" s="610"/>
      <c r="AL865" s="610"/>
      <c r="AM865" s="610"/>
      <c r="AN865" s="610"/>
      <c r="AO865" s="610"/>
      <c r="AP865" s="610"/>
      <c r="AQ865" s="610"/>
    </row>
    <row r="866" spans="2:43" s="609" customFormat="1">
      <c r="B866" s="610"/>
      <c r="C866" s="610"/>
      <c r="D866" s="610"/>
      <c r="E866" s="610"/>
      <c r="F866" s="610"/>
      <c r="G866" s="610"/>
      <c r="H866" s="610"/>
      <c r="I866" s="610"/>
      <c r="J866" s="610"/>
      <c r="L866" s="610"/>
      <c r="M866" s="610"/>
      <c r="N866" s="610"/>
      <c r="O866" s="610"/>
      <c r="P866" s="610"/>
      <c r="Q866" s="610"/>
      <c r="R866" s="610"/>
      <c r="S866" s="610"/>
      <c r="T866" s="610"/>
      <c r="U866" s="610"/>
      <c r="V866" s="610"/>
      <c r="W866" s="610"/>
      <c r="X866" s="610"/>
      <c r="Y866" s="610"/>
      <c r="Z866" s="610"/>
      <c r="AA866" s="610"/>
      <c r="AB866" s="610"/>
      <c r="AC866" s="610"/>
      <c r="AD866" s="610"/>
      <c r="AE866" s="610"/>
      <c r="AF866" s="610"/>
      <c r="AG866" s="610"/>
      <c r="AH866" s="610"/>
      <c r="AI866" s="610"/>
      <c r="AJ866" s="610"/>
      <c r="AK866" s="610"/>
      <c r="AL866" s="610"/>
      <c r="AM866" s="610"/>
      <c r="AN866" s="610"/>
      <c r="AO866" s="610"/>
      <c r="AP866" s="610"/>
      <c r="AQ866" s="610"/>
    </row>
    <row r="867" spans="2:43" s="609" customFormat="1">
      <c r="B867" s="610"/>
      <c r="C867" s="610"/>
      <c r="D867" s="610"/>
      <c r="E867" s="610"/>
      <c r="F867" s="610"/>
      <c r="G867" s="610"/>
      <c r="H867" s="610"/>
      <c r="I867" s="610"/>
      <c r="J867" s="610"/>
      <c r="L867" s="610"/>
      <c r="M867" s="610"/>
      <c r="N867" s="610"/>
      <c r="O867" s="610"/>
      <c r="P867" s="610"/>
      <c r="Q867" s="610"/>
      <c r="R867" s="610"/>
      <c r="S867" s="610"/>
      <c r="T867" s="610"/>
      <c r="U867" s="610"/>
      <c r="V867" s="610"/>
      <c r="W867" s="610"/>
      <c r="X867" s="610"/>
      <c r="Y867" s="610"/>
      <c r="Z867" s="610"/>
      <c r="AA867" s="610"/>
      <c r="AB867" s="610"/>
      <c r="AC867" s="610"/>
      <c r="AD867" s="610"/>
      <c r="AE867" s="610"/>
      <c r="AF867" s="610"/>
      <c r="AG867" s="610"/>
      <c r="AH867" s="610"/>
      <c r="AI867" s="610"/>
      <c r="AJ867" s="610"/>
      <c r="AK867" s="610"/>
      <c r="AL867" s="610"/>
      <c r="AM867" s="610"/>
      <c r="AN867" s="610"/>
      <c r="AO867" s="610"/>
      <c r="AP867" s="610"/>
      <c r="AQ867" s="610"/>
    </row>
    <row r="868" spans="2:43" s="609" customFormat="1">
      <c r="B868" s="610"/>
      <c r="C868" s="610"/>
      <c r="D868" s="610"/>
      <c r="E868" s="610"/>
      <c r="F868" s="610"/>
      <c r="G868" s="610"/>
      <c r="H868" s="610"/>
      <c r="I868" s="610"/>
      <c r="J868" s="610"/>
      <c r="L868" s="610"/>
      <c r="M868" s="610"/>
      <c r="N868" s="610"/>
      <c r="O868" s="610"/>
      <c r="P868" s="610"/>
      <c r="Q868" s="610"/>
      <c r="R868" s="610"/>
      <c r="S868" s="610"/>
      <c r="T868" s="610"/>
      <c r="U868" s="610"/>
      <c r="V868" s="610"/>
      <c r="W868" s="610"/>
      <c r="X868" s="610"/>
      <c r="Y868" s="610"/>
      <c r="Z868" s="610"/>
      <c r="AA868" s="610"/>
      <c r="AB868" s="610"/>
      <c r="AC868" s="610"/>
      <c r="AD868" s="610"/>
      <c r="AE868" s="610"/>
      <c r="AF868" s="610"/>
      <c r="AG868" s="610"/>
      <c r="AH868" s="610"/>
      <c r="AI868" s="610"/>
      <c r="AJ868" s="610"/>
      <c r="AK868" s="610"/>
      <c r="AL868" s="610"/>
      <c r="AM868" s="610"/>
      <c r="AN868" s="610"/>
      <c r="AO868" s="610"/>
      <c r="AP868" s="610"/>
      <c r="AQ868" s="610"/>
    </row>
    <row r="869" spans="2:43" s="609" customFormat="1">
      <c r="B869" s="610"/>
      <c r="C869" s="610"/>
      <c r="D869" s="610"/>
      <c r="E869" s="610"/>
      <c r="F869" s="610"/>
      <c r="G869" s="610"/>
      <c r="H869" s="610"/>
      <c r="I869" s="610"/>
      <c r="J869" s="610"/>
      <c r="L869" s="610"/>
      <c r="M869" s="610"/>
      <c r="N869" s="610"/>
      <c r="O869" s="610"/>
      <c r="P869" s="610"/>
      <c r="Q869" s="610"/>
      <c r="R869" s="610"/>
      <c r="S869" s="610"/>
      <c r="T869" s="610"/>
      <c r="U869" s="610"/>
      <c r="V869" s="610"/>
      <c r="W869" s="610"/>
      <c r="X869" s="610"/>
      <c r="Y869" s="610"/>
      <c r="Z869" s="610"/>
      <c r="AA869" s="610"/>
      <c r="AB869" s="610"/>
      <c r="AC869" s="610"/>
      <c r="AD869" s="610"/>
      <c r="AE869" s="610"/>
      <c r="AF869" s="610"/>
      <c r="AG869" s="610"/>
      <c r="AH869" s="610"/>
      <c r="AI869" s="610"/>
      <c r="AJ869" s="610"/>
      <c r="AK869" s="610"/>
      <c r="AL869" s="610"/>
      <c r="AM869" s="610"/>
      <c r="AN869" s="610"/>
      <c r="AO869" s="610"/>
      <c r="AP869" s="610"/>
      <c r="AQ869" s="610"/>
    </row>
    <row r="870" spans="2:43" s="609" customFormat="1">
      <c r="B870" s="610"/>
      <c r="C870" s="610"/>
      <c r="D870" s="610"/>
      <c r="E870" s="610"/>
      <c r="F870" s="610"/>
      <c r="G870" s="610"/>
      <c r="H870" s="610"/>
      <c r="I870" s="610"/>
      <c r="J870" s="610"/>
      <c r="L870" s="610"/>
      <c r="M870" s="610"/>
      <c r="N870" s="610"/>
      <c r="O870" s="610"/>
      <c r="P870" s="610"/>
      <c r="Q870" s="610"/>
      <c r="R870" s="610"/>
      <c r="S870" s="610"/>
      <c r="T870" s="610"/>
      <c r="U870" s="610"/>
      <c r="V870" s="610"/>
      <c r="W870" s="610"/>
      <c r="X870" s="610"/>
      <c r="Y870" s="610"/>
      <c r="Z870" s="610"/>
      <c r="AA870" s="610"/>
      <c r="AB870" s="610"/>
      <c r="AC870" s="610"/>
      <c r="AD870" s="610"/>
      <c r="AE870" s="610"/>
      <c r="AF870" s="610"/>
      <c r="AG870" s="610"/>
      <c r="AH870" s="610"/>
      <c r="AI870" s="610"/>
      <c r="AJ870" s="610"/>
      <c r="AK870" s="610"/>
      <c r="AL870" s="610"/>
      <c r="AM870" s="610"/>
      <c r="AN870" s="610"/>
      <c r="AO870" s="610"/>
      <c r="AP870" s="610"/>
      <c r="AQ870" s="610"/>
    </row>
    <row r="871" spans="2:43" s="609" customFormat="1">
      <c r="B871" s="610"/>
      <c r="C871" s="610"/>
      <c r="D871" s="610"/>
      <c r="E871" s="610"/>
      <c r="F871" s="610"/>
      <c r="G871" s="610"/>
      <c r="H871" s="610"/>
      <c r="I871" s="610"/>
      <c r="J871" s="610"/>
      <c r="L871" s="610"/>
      <c r="M871" s="610"/>
      <c r="N871" s="610"/>
      <c r="O871" s="610"/>
      <c r="P871" s="610"/>
      <c r="Q871" s="610"/>
      <c r="R871" s="610"/>
      <c r="S871" s="610"/>
      <c r="T871" s="610"/>
      <c r="U871" s="610"/>
      <c r="V871" s="610"/>
      <c r="W871" s="610"/>
      <c r="X871" s="610"/>
      <c r="Y871" s="610"/>
      <c r="Z871" s="610"/>
      <c r="AA871" s="610"/>
      <c r="AB871" s="610"/>
      <c r="AC871" s="610"/>
      <c r="AD871" s="610"/>
      <c r="AE871" s="610"/>
      <c r="AF871" s="610"/>
      <c r="AG871" s="610"/>
      <c r="AH871" s="610"/>
      <c r="AI871" s="610"/>
      <c r="AJ871" s="610"/>
      <c r="AK871" s="610"/>
      <c r="AL871" s="610"/>
      <c r="AM871" s="610"/>
      <c r="AN871" s="610"/>
      <c r="AO871" s="610"/>
      <c r="AP871" s="610"/>
      <c r="AQ871" s="610"/>
    </row>
    <row r="872" spans="2:43" s="609" customFormat="1">
      <c r="B872" s="610"/>
      <c r="C872" s="610"/>
      <c r="D872" s="610"/>
      <c r="E872" s="610"/>
      <c r="F872" s="610"/>
      <c r="G872" s="610"/>
      <c r="H872" s="610"/>
      <c r="I872" s="610"/>
      <c r="J872" s="610"/>
      <c r="L872" s="610"/>
      <c r="M872" s="610"/>
      <c r="N872" s="610"/>
      <c r="O872" s="610"/>
      <c r="P872" s="610"/>
      <c r="Q872" s="610"/>
      <c r="R872" s="610"/>
      <c r="S872" s="610"/>
      <c r="T872" s="610"/>
      <c r="U872" s="610"/>
      <c r="V872" s="610"/>
      <c r="W872" s="610"/>
      <c r="X872" s="610"/>
      <c r="Y872" s="610"/>
      <c r="Z872" s="610"/>
      <c r="AA872" s="610"/>
      <c r="AB872" s="610"/>
      <c r="AC872" s="610"/>
      <c r="AD872" s="610"/>
      <c r="AE872" s="610"/>
      <c r="AF872" s="610"/>
      <c r="AG872" s="610"/>
      <c r="AH872" s="610"/>
      <c r="AI872" s="610"/>
      <c r="AJ872" s="610"/>
      <c r="AK872" s="610"/>
      <c r="AL872" s="610"/>
      <c r="AM872" s="610"/>
      <c r="AN872" s="610"/>
      <c r="AO872" s="610"/>
      <c r="AP872" s="610"/>
      <c r="AQ872" s="610"/>
    </row>
    <row r="873" spans="2:43" s="609" customFormat="1">
      <c r="B873" s="610"/>
      <c r="C873" s="610"/>
      <c r="D873" s="610"/>
      <c r="E873" s="610"/>
      <c r="F873" s="610"/>
      <c r="G873" s="610"/>
      <c r="H873" s="610"/>
      <c r="I873" s="610"/>
      <c r="J873" s="610"/>
      <c r="L873" s="610"/>
      <c r="M873" s="610"/>
      <c r="N873" s="610"/>
      <c r="O873" s="610"/>
      <c r="P873" s="610"/>
      <c r="Q873" s="610"/>
      <c r="R873" s="610"/>
      <c r="S873" s="610"/>
      <c r="T873" s="610"/>
      <c r="U873" s="610"/>
      <c r="V873" s="610"/>
      <c r="W873" s="610"/>
      <c r="X873" s="610"/>
      <c r="Y873" s="610"/>
      <c r="Z873" s="610"/>
      <c r="AA873" s="610"/>
      <c r="AB873" s="610"/>
      <c r="AC873" s="610"/>
      <c r="AD873" s="610"/>
      <c r="AE873" s="610"/>
      <c r="AF873" s="610"/>
      <c r="AG873" s="610"/>
      <c r="AH873" s="610"/>
      <c r="AI873" s="610"/>
      <c r="AJ873" s="610"/>
      <c r="AK873" s="610"/>
      <c r="AL873" s="610"/>
      <c r="AM873" s="610"/>
      <c r="AN873" s="610"/>
      <c r="AO873" s="610"/>
      <c r="AP873" s="610"/>
      <c r="AQ873" s="610"/>
    </row>
    <row r="874" spans="2:43" s="609" customFormat="1">
      <c r="B874" s="610"/>
      <c r="C874" s="610"/>
      <c r="D874" s="610"/>
      <c r="E874" s="610"/>
      <c r="F874" s="610"/>
      <c r="G874" s="610"/>
      <c r="H874" s="610"/>
      <c r="I874" s="610"/>
      <c r="J874" s="610"/>
      <c r="L874" s="610"/>
      <c r="M874" s="610"/>
      <c r="N874" s="610"/>
      <c r="O874" s="610"/>
      <c r="P874" s="610"/>
      <c r="Q874" s="610"/>
      <c r="R874" s="610"/>
      <c r="S874" s="610"/>
      <c r="T874" s="610"/>
      <c r="U874" s="610"/>
      <c r="V874" s="610"/>
      <c r="W874" s="610"/>
      <c r="X874" s="610"/>
      <c r="Y874" s="610"/>
      <c r="Z874" s="610"/>
      <c r="AA874" s="610"/>
      <c r="AB874" s="610"/>
      <c r="AC874" s="610"/>
      <c r="AD874" s="610"/>
      <c r="AE874" s="610"/>
      <c r="AF874" s="610"/>
      <c r="AG874" s="610"/>
      <c r="AH874" s="610"/>
      <c r="AI874" s="610"/>
      <c r="AJ874" s="610"/>
      <c r="AK874" s="610"/>
      <c r="AL874" s="610"/>
      <c r="AM874" s="610"/>
      <c r="AN874" s="610"/>
      <c r="AO874" s="610"/>
      <c r="AP874" s="610"/>
      <c r="AQ874" s="610"/>
    </row>
    <row r="875" spans="2:43" s="609" customFormat="1">
      <c r="B875" s="610"/>
      <c r="C875" s="610"/>
      <c r="D875" s="610"/>
      <c r="E875" s="610"/>
      <c r="F875" s="610"/>
      <c r="G875" s="610"/>
      <c r="H875" s="610"/>
      <c r="I875" s="610"/>
      <c r="J875" s="610"/>
      <c r="L875" s="610"/>
      <c r="M875" s="610"/>
      <c r="N875" s="610"/>
      <c r="O875" s="610"/>
      <c r="P875" s="610"/>
      <c r="Q875" s="610"/>
      <c r="R875" s="610"/>
      <c r="S875" s="610"/>
      <c r="T875" s="610"/>
      <c r="U875" s="610"/>
      <c r="V875" s="610"/>
      <c r="W875" s="610"/>
      <c r="X875" s="610"/>
      <c r="Y875" s="610"/>
      <c r="Z875" s="610"/>
      <c r="AA875" s="610"/>
      <c r="AB875" s="610"/>
      <c r="AC875" s="610"/>
      <c r="AD875" s="610"/>
      <c r="AE875" s="610"/>
      <c r="AF875" s="610"/>
      <c r="AG875" s="610"/>
      <c r="AH875" s="610"/>
      <c r="AI875" s="610"/>
      <c r="AJ875" s="610"/>
      <c r="AK875" s="610"/>
      <c r="AL875" s="610"/>
      <c r="AM875" s="610"/>
      <c r="AN875" s="610"/>
      <c r="AO875" s="610"/>
      <c r="AP875" s="610"/>
      <c r="AQ875" s="610"/>
    </row>
    <row r="876" spans="2:43" s="609" customFormat="1">
      <c r="B876" s="610"/>
      <c r="C876" s="610"/>
      <c r="D876" s="610"/>
      <c r="E876" s="610"/>
      <c r="F876" s="610"/>
      <c r="G876" s="610"/>
      <c r="H876" s="610"/>
      <c r="I876" s="610"/>
      <c r="J876" s="610"/>
      <c r="L876" s="610"/>
      <c r="M876" s="610"/>
      <c r="N876" s="610"/>
      <c r="O876" s="610"/>
      <c r="P876" s="610"/>
      <c r="Q876" s="610"/>
      <c r="R876" s="610"/>
      <c r="S876" s="610"/>
      <c r="T876" s="610"/>
      <c r="U876" s="610"/>
      <c r="V876" s="610"/>
      <c r="W876" s="610"/>
      <c r="X876" s="610"/>
      <c r="Y876" s="610"/>
      <c r="Z876" s="610"/>
      <c r="AA876" s="610"/>
      <c r="AB876" s="610"/>
      <c r="AC876" s="610"/>
      <c r="AD876" s="610"/>
      <c r="AE876" s="610"/>
      <c r="AF876" s="610"/>
      <c r="AG876" s="610"/>
      <c r="AH876" s="610"/>
      <c r="AI876" s="610"/>
      <c r="AJ876" s="610"/>
      <c r="AK876" s="610"/>
      <c r="AL876" s="610"/>
      <c r="AM876" s="610"/>
      <c r="AN876" s="610"/>
      <c r="AO876" s="610"/>
      <c r="AP876" s="610"/>
      <c r="AQ876" s="610"/>
    </row>
    <row r="877" spans="2:43" s="609" customFormat="1">
      <c r="B877" s="610"/>
      <c r="C877" s="610"/>
      <c r="D877" s="610"/>
      <c r="E877" s="610"/>
      <c r="F877" s="610"/>
      <c r="G877" s="610"/>
      <c r="H877" s="610"/>
      <c r="I877" s="610"/>
      <c r="J877" s="610"/>
      <c r="L877" s="610"/>
      <c r="M877" s="610"/>
      <c r="N877" s="610"/>
      <c r="O877" s="610"/>
      <c r="P877" s="610"/>
      <c r="Q877" s="610"/>
      <c r="R877" s="610"/>
      <c r="S877" s="610"/>
      <c r="T877" s="610"/>
      <c r="U877" s="610"/>
      <c r="V877" s="610"/>
      <c r="W877" s="610"/>
      <c r="X877" s="610"/>
      <c r="Y877" s="610"/>
      <c r="Z877" s="610"/>
      <c r="AA877" s="610"/>
      <c r="AB877" s="610"/>
      <c r="AC877" s="610"/>
      <c r="AD877" s="610"/>
      <c r="AE877" s="610"/>
      <c r="AF877" s="610"/>
      <c r="AG877" s="610"/>
      <c r="AH877" s="610"/>
      <c r="AI877" s="610"/>
      <c r="AJ877" s="610"/>
      <c r="AK877" s="610"/>
      <c r="AL877" s="610"/>
      <c r="AM877" s="610"/>
      <c r="AN877" s="610"/>
      <c r="AO877" s="610"/>
      <c r="AP877" s="610"/>
      <c r="AQ877" s="610"/>
    </row>
    <row r="878" spans="2:43" s="609" customFormat="1">
      <c r="B878" s="610"/>
      <c r="C878" s="610"/>
      <c r="D878" s="610"/>
      <c r="E878" s="610"/>
      <c r="F878" s="610"/>
      <c r="G878" s="610"/>
      <c r="H878" s="610"/>
      <c r="I878" s="610"/>
      <c r="J878" s="610"/>
      <c r="L878" s="610"/>
      <c r="M878" s="610"/>
      <c r="N878" s="610"/>
      <c r="O878" s="610"/>
      <c r="P878" s="610"/>
      <c r="Q878" s="610"/>
      <c r="R878" s="610"/>
      <c r="S878" s="610"/>
      <c r="T878" s="610"/>
      <c r="U878" s="610"/>
      <c r="V878" s="610"/>
      <c r="W878" s="610"/>
      <c r="X878" s="610"/>
      <c r="Y878" s="610"/>
      <c r="Z878" s="610"/>
      <c r="AA878" s="610"/>
      <c r="AB878" s="610"/>
      <c r="AC878" s="610"/>
      <c r="AD878" s="610"/>
      <c r="AE878" s="610"/>
      <c r="AF878" s="610"/>
      <c r="AG878" s="610"/>
      <c r="AH878" s="610"/>
      <c r="AI878" s="610"/>
      <c r="AJ878" s="610"/>
      <c r="AK878" s="610"/>
      <c r="AL878" s="610"/>
      <c r="AM878" s="610"/>
      <c r="AN878" s="610"/>
      <c r="AO878" s="610"/>
      <c r="AP878" s="610"/>
      <c r="AQ878" s="610"/>
    </row>
    <row r="879" spans="2:43" s="609" customFormat="1">
      <c r="B879" s="610"/>
      <c r="C879" s="610"/>
      <c r="D879" s="610"/>
      <c r="E879" s="610"/>
      <c r="F879" s="610"/>
      <c r="G879" s="610"/>
      <c r="H879" s="610"/>
      <c r="I879" s="610"/>
      <c r="J879" s="610"/>
      <c r="L879" s="610"/>
      <c r="M879" s="610"/>
      <c r="N879" s="610"/>
      <c r="O879" s="610"/>
      <c r="P879" s="610"/>
      <c r="Q879" s="610"/>
      <c r="R879" s="610"/>
      <c r="S879" s="610"/>
      <c r="T879" s="610"/>
      <c r="U879" s="610"/>
      <c r="V879" s="610"/>
      <c r="W879" s="610"/>
      <c r="X879" s="610"/>
      <c r="Y879" s="610"/>
      <c r="Z879" s="610"/>
      <c r="AA879" s="610"/>
      <c r="AB879" s="610"/>
      <c r="AC879" s="610"/>
      <c r="AD879" s="610"/>
      <c r="AE879" s="610"/>
      <c r="AF879" s="610"/>
      <c r="AG879" s="610"/>
      <c r="AH879" s="610"/>
      <c r="AI879" s="610"/>
      <c r="AJ879" s="610"/>
      <c r="AK879" s="610"/>
      <c r="AL879" s="610"/>
      <c r="AM879" s="610"/>
      <c r="AN879" s="610"/>
      <c r="AO879" s="610"/>
      <c r="AP879" s="610"/>
      <c r="AQ879" s="610"/>
    </row>
    <row r="880" spans="2:43" s="609" customFormat="1">
      <c r="B880" s="610"/>
      <c r="C880" s="610"/>
      <c r="D880" s="610"/>
      <c r="E880" s="610"/>
      <c r="F880" s="610"/>
      <c r="G880" s="610"/>
      <c r="H880" s="610"/>
      <c r="I880" s="610"/>
      <c r="J880" s="610"/>
      <c r="L880" s="610"/>
      <c r="M880" s="610"/>
      <c r="N880" s="610"/>
      <c r="O880" s="610"/>
      <c r="P880" s="610"/>
      <c r="Q880" s="610"/>
      <c r="R880" s="610"/>
      <c r="S880" s="610"/>
      <c r="T880" s="610"/>
      <c r="U880" s="610"/>
      <c r="V880" s="610"/>
      <c r="W880" s="610"/>
      <c r="X880" s="610"/>
      <c r="Y880" s="610"/>
      <c r="Z880" s="610"/>
      <c r="AA880" s="610"/>
      <c r="AB880" s="610"/>
      <c r="AC880" s="610"/>
      <c r="AD880" s="610"/>
      <c r="AE880" s="610"/>
      <c r="AF880" s="610"/>
      <c r="AG880" s="610"/>
      <c r="AH880" s="610"/>
      <c r="AI880" s="610"/>
      <c r="AJ880" s="610"/>
      <c r="AK880" s="610"/>
      <c r="AL880" s="610"/>
      <c r="AM880" s="610"/>
      <c r="AN880" s="610"/>
      <c r="AO880" s="610"/>
      <c r="AP880" s="610"/>
      <c r="AQ880" s="610"/>
    </row>
    <row r="881" spans="2:43" s="609" customFormat="1">
      <c r="B881" s="610"/>
      <c r="C881" s="610"/>
      <c r="D881" s="610"/>
      <c r="E881" s="610"/>
      <c r="F881" s="610"/>
      <c r="G881" s="610"/>
      <c r="H881" s="610"/>
      <c r="I881" s="610"/>
      <c r="J881" s="610"/>
      <c r="L881" s="610"/>
      <c r="M881" s="610"/>
      <c r="N881" s="610"/>
      <c r="O881" s="610"/>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c r="AN881" s="610"/>
      <c r="AO881" s="610"/>
      <c r="AP881" s="610"/>
      <c r="AQ881" s="610"/>
    </row>
    <row r="882" spans="2:43" s="609" customFormat="1">
      <c r="B882" s="610"/>
      <c r="C882" s="610"/>
      <c r="D882" s="610"/>
      <c r="E882" s="610"/>
      <c r="F882" s="610"/>
      <c r="G882" s="610"/>
      <c r="H882" s="610"/>
      <c r="I882" s="610"/>
      <c r="J882" s="610"/>
      <c r="L882" s="610"/>
      <c r="M882" s="610"/>
      <c r="N882" s="610"/>
      <c r="O882" s="610"/>
      <c r="P882" s="610"/>
      <c r="Q882" s="610"/>
      <c r="R882" s="610"/>
      <c r="S882" s="610"/>
      <c r="T882" s="610"/>
      <c r="U882" s="610"/>
      <c r="V882" s="610"/>
      <c r="W882" s="610"/>
      <c r="X882" s="610"/>
      <c r="Y882" s="610"/>
      <c r="Z882" s="610"/>
      <c r="AA882" s="610"/>
      <c r="AB882" s="610"/>
      <c r="AC882" s="610"/>
      <c r="AD882" s="610"/>
      <c r="AE882" s="610"/>
      <c r="AF882" s="610"/>
      <c r="AG882" s="610"/>
      <c r="AH882" s="610"/>
      <c r="AI882" s="610"/>
      <c r="AJ882" s="610"/>
      <c r="AK882" s="610"/>
      <c r="AL882" s="610"/>
      <c r="AM882" s="610"/>
      <c r="AN882" s="610"/>
      <c r="AO882" s="610"/>
      <c r="AP882" s="610"/>
      <c r="AQ882" s="610"/>
    </row>
    <row r="883" spans="2:43" s="609" customFormat="1">
      <c r="B883" s="610"/>
      <c r="C883" s="610"/>
      <c r="D883" s="610"/>
      <c r="E883" s="610"/>
      <c r="F883" s="610"/>
      <c r="G883" s="610"/>
      <c r="H883" s="610"/>
      <c r="I883" s="610"/>
      <c r="J883" s="610"/>
      <c r="L883" s="610"/>
      <c r="M883" s="610"/>
      <c r="N883" s="610"/>
      <c r="O883" s="610"/>
      <c r="P883" s="610"/>
      <c r="Q883" s="610"/>
      <c r="R883" s="610"/>
      <c r="S883" s="610"/>
      <c r="T883" s="610"/>
      <c r="U883" s="610"/>
      <c r="V883" s="610"/>
      <c r="W883" s="610"/>
      <c r="X883" s="610"/>
      <c r="Y883" s="610"/>
      <c r="Z883" s="610"/>
      <c r="AA883" s="610"/>
      <c r="AB883" s="610"/>
      <c r="AC883" s="610"/>
      <c r="AD883" s="610"/>
      <c r="AE883" s="610"/>
      <c r="AF883" s="610"/>
      <c r="AG883" s="610"/>
      <c r="AH883" s="610"/>
      <c r="AI883" s="610"/>
      <c r="AJ883" s="610"/>
      <c r="AK883" s="610"/>
      <c r="AL883" s="610"/>
      <c r="AM883" s="610"/>
      <c r="AN883" s="610"/>
      <c r="AO883" s="610"/>
      <c r="AP883" s="610"/>
      <c r="AQ883" s="610"/>
    </row>
    <row r="884" spans="2:43" s="609" customFormat="1">
      <c r="B884" s="610"/>
      <c r="C884" s="610"/>
      <c r="D884" s="610"/>
      <c r="E884" s="610"/>
      <c r="F884" s="610"/>
      <c r="G884" s="610"/>
      <c r="H884" s="610"/>
      <c r="I884" s="610"/>
      <c r="J884" s="610"/>
      <c r="L884" s="610"/>
      <c r="M884" s="610"/>
      <c r="N884" s="610"/>
      <c r="O884" s="610"/>
      <c r="P884" s="610"/>
      <c r="Q884" s="610"/>
      <c r="R884" s="610"/>
      <c r="S884" s="610"/>
      <c r="T884" s="610"/>
      <c r="U884" s="610"/>
      <c r="V884" s="610"/>
      <c r="W884" s="610"/>
      <c r="X884" s="610"/>
      <c r="Y884" s="610"/>
      <c r="Z884" s="610"/>
      <c r="AA884" s="610"/>
      <c r="AB884" s="610"/>
      <c r="AC884" s="610"/>
      <c r="AD884" s="610"/>
      <c r="AE884" s="610"/>
      <c r="AF884" s="610"/>
      <c r="AG884" s="610"/>
      <c r="AH884" s="610"/>
      <c r="AI884" s="610"/>
      <c r="AJ884" s="610"/>
      <c r="AK884" s="610"/>
      <c r="AL884" s="610"/>
      <c r="AM884" s="610"/>
      <c r="AN884" s="610"/>
      <c r="AO884" s="610"/>
      <c r="AP884" s="610"/>
      <c r="AQ884" s="610"/>
    </row>
    <row r="885" spans="2:43" s="609" customFormat="1">
      <c r="B885" s="610"/>
      <c r="C885" s="610"/>
      <c r="D885" s="610"/>
      <c r="E885" s="610"/>
      <c r="F885" s="610"/>
      <c r="G885" s="610"/>
      <c r="H885" s="610"/>
      <c r="I885" s="610"/>
      <c r="J885" s="610"/>
      <c r="L885" s="610"/>
      <c r="M885" s="610"/>
      <c r="N885" s="610"/>
      <c r="O885" s="610"/>
      <c r="P885" s="610"/>
      <c r="Q885" s="610"/>
      <c r="R885" s="610"/>
      <c r="S885" s="610"/>
      <c r="T885" s="610"/>
      <c r="U885" s="610"/>
      <c r="V885" s="610"/>
      <c r="W885" s="610"/>
      <c r="X885" s="610"/>
      <c r="Y885" s="610"/>
      <c r="Z885" s="610"/>
      <c r="AA885" s="610"/>
      <c r="AB885" s="610"/>
      <c r="AC885" s="610"/>
      <c r="AD885" s="610"/>
      <c r="AE885" s="610"/>
      <c r="AF885" s="610"/>
      <c r="AG885" s="610"/>
      <c r="AH885" s="610"/>
      <c r="AI885" s="610"/>
      <c r="AJ885" s="610"/>
      <c r="AK885" s="610"/>
      <c r="AL885" s="610"/>
      <c r="AM885" s="610"/>
      <c r="AN885" s="610"/>
      <c r="AO885" s="610"/>
      <c r="AP885" s="610"/>
      <c r="AQ885" s="610"/>
    </row>
    <row r="886" spans="2:43" s="609" customFormat="1">
      <c r="B886" s="610"/>
      <c r="C886" s="610"/>
      <c r="D886" s="610"/>
      <c r="E886" s="610"/>
      <c r="F886" s="610"/>
      <c r="G886" s="610"/>
      <c r="H886" s="610"/>
      <c r="I886" s="610"/>
      <c r="J886" s="610"/>
      <c r="L886" s="610"/>
      <c r="M886" s="610"/>
      <c r="N886" s="610"/>
      <c r="O886" s="610"/>
      <c r="P886" s="610"/>
      <c r="Q886" s="610"/>
      <c r="R886" s="610"/>
      <c r="S886" s="610"/>
      <c r="T886" s="610"/>
      <c r="U886" s="610"/>
      <c r="V886" s="610"/>
      <c r="W886" s="610"/>
      <c r="X886" s="610"/>
      <c r="Y886" s="610"/>
      <c r="Z886" s="610"/>
      <c r="AA886" s="610"/>
      <c r="AB886" s="610"/>
      <c r="AC886" s="610"/>
      <c r="AD886" s="610"/>
      <c r="AE886" s="610"/>
      <c r="AF886" s="610"/>
      <c r="AG886" s="610"/>
      <c r="AH886" s="610"/>
      <c r="AI886" s="610"/>
      <c r="AJ886" s="610"/>
      <c r="AK886" s="610"/>
      <c r="AL886" s="610"/>
      <c r="AM886" s="610"/>
      <c r="AN886" s="610"/>
      <c r="AO886" s="610"/>
      <c r="AP886" s="610"/>
      <c r="AQ886" s="610"/>
    </row>
    <row r="887" spans="2:43" s="609" customFormat="1">
      <c r="B887" s="610"/>
      <c r="C887" s="610"/>
      <c r="D887" s="610"/>
      <c r="E887" s="610"/>
      <c r="F887" s="610"/>
      <c r="G887" s="610"/>
      <c r="H887" s="610"/>
      <c r="I887" s="610"/>
      <c r="J887" s="610"/>
      <c r="L887" s="610"/>
      <c r="M887" s="610"/>
      <c r="N887" s="610"/>
      <c r="O887" s="610"/>
      <c r="P887" s="610"/>
      <c r="Q887" s="610"/>
      <c r="R887" s="610"/>
      <c r="S887" s="610"/>
      <c r="T887" s="610"/>
      <c r="U887" s="610"/>
      <c r="V887" s="610"/>
      <c r="W887" s="610"/>
      <c r="X887" s="610"/>
      <c r="Y887" s="610"/>
      <c r="Z887" s="610"/>
      <c r="AA887" s="610"/>
      <c r="AB887" s="610"/>
      <c r="AC887" s="610"/>
      <c r="AD887" s="610"/>
      <c r="AE887" s="610"/>
      <c r="AF887" s="610"/>
      <c r="AG887" s="610"/>
      <c r="AH887" s="610"/>
      <c r="AI887" s="610"/>
      <c r="AJ887" s="610"/>
      <c r="AK887" s="610"/>
      <c r="AL887" s="610"/>
      <c r="AM887" s="610"/>
      <c r="AN887" s="610"/>
      <c r="AO887" s="610"/>
      <c r="AP887" s="610"/>
      <c r="AQ887" s="610"/>
    </row>
    <row r="888" spans="2:43" s="609" customFormat="1">
      <c r="B888" s="610"/>
      <c r="C888" s="610"/>
      <c r="D888" s="610"/>
      <c r="E888" s="610"/>
      <c r="F888" s="610"/>
      <c r="G888" s="610"/>
      <c r="H888" s="610"/>
      <c r="I888" s="610"/>
      <c r="J888" s="610"/>
      <c r="L888" s="610"/>
      <c r="M888" s="610"/>
      <c r="N888" s="610"/>
      <c r="O888" s="610"/>
      <c r="P888" s="610"/>
      <c r="Q888" s="610"/>
      <c r="R888" s="610"/>
      <c r="S888" s="610"/>
      <c r="T888" s="610"/>
      <c r="U888" s="610"/>
      <c r="V888" s="610"/>
      <c r="W888" s="610"/>
      <c r="X888" s="610"/>
      <c r="Y888" s="610"/>
      <c r="Z888" s="610"/>
      <c r="AA888" s="610"/>
      <c r="AB888" s="610"/>
      <c r="AC888" s="610"/>
      <c r="AD888" s="610"/>
      <c r="AE888" s="610"/>
      <c r="AF888" s="610"/>
      <c r="AG888" s="610"/>
      <c r="AH888" s="610"/>
      <c r="AI888" s="610"/>
      <c r="AJ888" s="610"/>
      <c r="AK888" s="610"/>
      <c r="AL888" s="610"/>
      <c r="AM888" s="610"/>
      <c r="AN888" s="610"/>
      <c r="AO888" s="610"/>
      <c r="AP888" s="610"/>
      <c r="AQ888" s="610"/>
    </row>
    <row r="889" spans="2:43" s="609" customFormat="1">
      <c r="B889" s="610"/>
      <c r="C889" s="610"/>
      <c r="D889" s="610"/>
      <c r="E889" s="610"/>
      <c r="F889" s="610"/>
      <c r="G889" s="610"/>
      <c r="H889" s="610"/>
      <c r="I889" s="610"/>
      <c r="J889" s="610"/>
      <c r="L889" s="610"/>
      <c r="M889" s="610"/>
      <c r="N889" s="610"/>
      <c r="O889" s="610"/>
      <c r="P889" s="610"/>
      <c r="Q889" s="610"/>
      <c r="R889" s="610"/>
      <c r="S889" s="610"/>
      <c r="T889" s="610"/>
      <c r="U889" s="610"/>
      <c r="V889" s="610"/>
      <c r="W889" s="610"/>
      <c r="X889" s="610"/>
      <c r="Y889" s="610"/>
      <c r="Z889" s="610"/>
      <c r="AA889" s="610"/>
      <c r="AB889" s="610"/>
      <c r="AC889" s="610"/>
      <c r="AD889" s="610"/>
      <c r="AE889" s="610"/>
      <c r="AF889" s="610"/>
      <c r="AG889" s="610"/>
      <c r="AH889" s="610"/>
      <c r="AI889" s="610"/>
      <c r="AJ889" s="610"/>
      <c r="AK889" s="610"/>
      <c r="AL889" s="610"/>
      <c r="AM889" s="610"/>
      <c r="AN889" s="610"/>
      <c r="AO889" s="610"/>
      <c r="AP889" s="610"/>
      <c r="AQ889" s="610"/>
    </row>
    <row r="890" spans="2:43" s="609" customFormat="1">
      <c r="B890" s="610"/>
      <c r="C890" s="610"/>
      <c r="D890" s="610"/>
      <c r="E890" s="610"/>
      <c r="F890" s="610"/>
      <c r="G890" s="610"/>
      <c r="H890" s="610"/>
      <c r="I890" s="610"/>
      <c r="J890" s="610"/>
      <c r="L890" s="610"/>
      <c r="M890" s="610"/>
      <c r="N890" s="610"/>
      <c r="O890" s="610"/>
      <c r="P890" s="610"/>
      <c r="Q890" s="610"/>
      <c r="R890" s="610"/>
      <c r="S890" s="610"/>
      <c r="T890" s="610"/>
      <c r="U890" s="610"/>
      <c r="V890" s="610"/>
      <c r="W890" s="610"/>
      <c r="X890" s="610"/>
      <c r="Y890" s="610"/>
      <c r="Z890" s="610"/>
      <c r="AA890" s="610"/>
      <c r="AB890" s="610"/>
      <c r="AC890" s="610"/>
      <c r="AD890" s="610"/>
      <c r="AE890" s="610"/>
      <c r="AF890" s="610"/>
      <c r="AG890" s="610"/>
      <c r="AH890" s="610"/>
      <c r="AI890" s="610"/>
      <c r="AJ890" s="610"/>
      <c r="AK890" s="610"/>
      <c r="AL890" s="610"/>
      <c r="AM890" s="610"/>
      <c r="AN890" s="610"/>
      <c r="AO890" s="610"/>
      <c r="AP890" s="610"/>
      <c r="AQ890" s="610"/>
    </row>
    <row r="891" spans="2:43" s="609" customFormat="1">
      <c r="B891" s="610"/>
      <c r="C891" s="610"/>
      <c r="D891" s="610"/>
      <c r="E891" s="610"/>
      <c r="F891" s="610"/>
      <c r="G891" s="610"/>
      <c r="H891" s="610"/>
      <c r="I891" s="610"/>
      <c r="J891" s="610"/>
      <c r="L891" s="610"/>
      <c r="M891" s="610"/>
      <c r="N891" s="610"/>
      <c r="O891" s="610"/>
      <c r="P891" s="610"/>
      <c r="Q891" s="610"/>
      <c r="R891" s="610"/>
      <c r="S891" s="610"/>
      <c r="T891" s="610"/>
      <c r="U891" s="610"/>
      <c r="V891" s="610"/>
      <c r="W891" s="610"/>
      <c r="X891" s="610"/>
      <c r="Y891" s="610"/>
      <c r="Z891" s="610"/>
      <c r="AA891" s="610"/>
      <c r="AB891" s="610"/>
      <c r="AC891" s="610"/>
      <c r="AD891" s="610"/>
      <c r="AE891" s="610"/>
      <c r="AF891" s="610"/>
      <c r="AG891" s="610"/>
      <c r="AH891" s="610"/>
      <c r="AI891" s="610"/>
      <c r="AJ891" s="610"/>
      <c r="AK891" s="610"/>
      <c r="AL891" s="610"/>
      <c r="AM891" s="610"/>
      <c r="AN891" s="610"/>
      <c r="AO891" s="610"/>
      <c r="AP891" s="610"/>
      <c r="AQ891" s="610"/>
    </row>
    <row r="892" spans="2:43" s="609" customFormat="1">
      <c r="B892" s="610"/>
      <c r="C892" s="610"/>
      <c r="D892" s="610"/>
      <c r="E892" s="610"/>
      <c r="F892" s="610"/>
      <c r="G892" s="610"/>
      <c r="H892" s="610"/>
      <c r="I892" s="610"/>
      <c r="J892" s="610"/>
      <c r="L892" s="610"/>
      <c r="M892" s="610"/>
      <c r="N892" s="610"/>
      <c r="O892" s="610"/>
      <c r="P892" s="610"/>
      <c r="Q892" s="610"/>
      <c r="R892" s="610"/>
      <c r="S892" s="610"/>
      <c r="T892" s="610"/>
      <c r="U892" s="610"/>
      <c r="V892" s="610"/>
      <c r="W892" s="610"/>
      <c r="X892" s="610"/>
      <c r="Y892" s="610"/>
      <c r="Z892" s="610"/>
      <c r="AA892" s="610"/>
      <c r="AB892" s="610"/>
      <c r="AC892" s="610"/>
      <c r="AD892" s="610"/>
      <c r="AE892" s="610"/>
      <c r="AF892" s="610"/>
      <c r="AG892" s="610"/>
      <c r="AH892" s="610"/>
      <c r="AI892" s="610"/>
      <c r="AJ892" s="610"/>
      <c r="AK892" s="610"/>
      <c r="AL892" s="610"/>
      <c r="AM892" s="610"/>
      <c r="AN892" s="610"/>
      <c r="AO892" s="610"/>
      <c r="AP892" s="610"/>
      <c r="AQ892" s="610"/>
    </row>
    <row r="893" spans="2:43" s="609" customFormat="1">
      <c r="B893" s="610"/>
      <c r="C893" s="610"/>
      <c r="D893" s="610"/>
      <c r="E893" s="610"/>
      <c r="F893" s="610"/>
      <c r="G893" s="610"/>
      <c r="H893" s="610"/>
      <c r="I893" s="610"/>
      <c r="J893" s="610"/>
      <c r="L893" s="610"/>
      <c r="M893" s="610"/>
      <c r="N893" s="610"/>
      <c r="O893" s="610"/>
      <c r="P893" s="610"/>
      <c r="Q893" s="610"/>
      <c r="R893" s="610"/>
      <c r="S893" s="610"/>
      <c r="T893" s="610"/>
      <c r="U893" s="610"/>
      <c r="V893" s="610"/>
      <c r="W893" s="610"/>
      <c r="X893" s="610"/>
      <c r="Y893" s="610"/>
      <c r="Z893" s="610"/>
      <c r="AA893" s="610"/>
      <c r="AB893" s="610"/>
      <c r="AC893" s="610"/>
      <c r="AD893" s="610"/>
      <c r="AE893" s="610"/>
      <c r="AF893" s="610"/>
      <c r="AG893" s="610"/>
      <c r="AH893" s="610"/>
      <c r="AI893" s="610"/>
      <c r="AJ893" s="610"/>
      <c r="AK893" s="610"/>
      <c r="AL893" s="610"/>
      <c r="AM893" s="610"/>
      <c r="AN893" s="610"/>
      <c r="AO893" s="610"/>
      <c r="AP893" s="610"/>
      <c r="AQ893" s="610"/>
    </row>
    <row r="894" spans="2:43" s="609" customFormat="1">
      <c r="B894" s="610"/>
      <c r="C894" s="610"/>
      <c r="D894" s="610"/>
      <c r="E894" s="610"/>
      <c r="F894" s="610"/>
      <c r="G894" s="610"/>
      <c r="H894" s="610"/>
      <c r="I894" s="610"/>
      <c r="J894" s="610"/>
      <c r="L894" s="610"/>
      <c r="M894" s="610"/>
      <c r="N894" s="610"/>
      <c r="O894" s="610"/>
      <c r="P894" s="610"/>
      <c r="Q894" s="610"/>
      <c r="R894" s="610"/>
      <c r="S894" s="610"/>
      <c r="T894" s="610"/>
      <c r="U894" s="610"/>
      <c r="V894" s="610"/>
      <c r="W894" s="610"/>
      <c r="X894" s="610"/>
      <c r="Y894" s="610"/>
      <c r="Z894" s="610"/>
      <c r="AA894" s="610"/>
      <c r="AB894" s="610"/>
      <c r="AC894" s="610"/>
      <c r="AD894" s="610"/>
      <c r="AE894" s="610"/>
      <c r="AF894" s="610"/>
      <c r="AG894" s="610"/>
      <c r="AH894" s="610"/>
      <c r="AI894" s="610"/>
      <c r="AJ894" s="610"/>
      <c r="AK894" s="610"/>
      <c r="AL894" s="610"/>
      <c r="AM894" s="610"/>
      <c r="AN894" s="610"/>
      <c r="AO894" s="610"/>
      <c r="AP894" s="610"/>
      <c r="AQ894" s="610"/>
    </row>
    <row r="895" spans="2:43" s="609" customFormat="1">
      <c r="B895" s="610"/>
      <c r="C895" s="610"/>
      <c r="D895" s="610"/>
      <c r="E895" s="610"/>
      <c r="F895" s="610"/>
      <c r="G895" s="610"/>
      <c r="H895" s="610"/>
      <c r="I895" s="610"/>
      <c r="J895" s="610"/>
      <c r="L895" s="610"/>
      <c r="M895" s="610"/>
      <c r="N895" s="610"/>
      <c r="O895" s="610"/>
      <c r="P895" s="610"/>
      <c r="Q895" s="610"/>
      <c r="R895" s="610"/>
      <c r="S895" s="610"/>
      <c r="T895" s="610"/>
      <c r="U895" s="610"/>
      <c r="V895" s="610"/>
      <c r="W895" s="610"/>
      <c r="X895" s="610"/>
      <c r="Y895" s="610"/>
      <c r="Z895" s="610"/>
      <c r="AA895" s="610"/>
      <c r="AB895" s="610"/>
      <c r="AC895" s="610"/>
      <c r="AD895" s="610"/>
      <c r="AE895" s="610"/>
      <c r="AF895" s="610"/>
      <c r="AG895" s="610"/>
      <c r="AH895" s="610"/>
      <c r="AI895" s="610"/>
      <c r="AJ895" s="610"/>
      <c r="AK895" s="610"/>
      <c r="AL895" s="610"/>
      <c r="AM895" s="610"/>
      <c r="AN895" s="610"/>
      <c r="AO895" s="610"/>
      <c r="AP895" s="610"/>
      <c r="AQ895" s="610"/>
    </row>
    <row r="896" spans="2:43" s="609" customFormat="1">
      <c r="B896" s="610"/>
      <c r="C896" s="610"/>
      <c r="D896" s="610"/>
      <c r="E896" s="610"/>
      <c r="F896" s="610"/>
      <c r="G896" s="610"/>
      <c r="H896" s="610"/>
      <c r="I896" s="610"/>
      <c r="J896" s="610"/>
      <c r="L896" s="610"/>
      <c r="M896" s="610"/>
      <c r="N896" s="610"/>
      <c r="O896" s="610"/>
      <c r="P896" s="610"/>
      <c r="Q896" s="610"/>
      <c r="R896" s="610"/>
      <c r="S896" s="610"/>
      <c r="T896" s="610"/>
      <c r="U896" s="610"/>
      <c r="V896" s="610"/>
      <c r="W896" s="610"/>
      <c r="X896" s="610"/>
      <c r="Y896" s="610"/>
      <c r="Z896" s="610"/>
      <c r="AA896" s="610"/>
      <c r="AB896" s="610"/>
      <c r="AC896" s="610"/>
      <c r="AD896" s="610"/>
      <c r="AE896" s="610"/>
      <c r="AF896" s="610"/>
      <c r="AG896" s="610"/>
      <c r="AH896" s="610"/>
      <c r="AI896" s="610"/>
      <c r="AJ896" s="610"/>
      <c r="AK896" s="610"/>
      <c r="AL896" s="610"/>
      <c r="AM896" s="610"/>
      <c r="AN896" s="610"/>
      <c r="AO896" s="610"/>
      <c r="AP896" s="610"/>
      <c r="AQ896" s="610"/>
    </row>
    <row r="897" spans="2:43" s="609" customFormat="1">
      <c r="B897" s="610"/>
      <c r="C897" s="610"/>
      <c r="D897" s="610"/>
      <c r="E897" s="610"/>
      <c r="F897" s="610"/>
      <c r="G897" s="610"/>
      <c r="H897" s="610"/>
      <c r="I897" s="610"/>
      <c r="J897" s="610"/>
      <c r="L897" s="610"/>
      <c r="M897" s="610"/>
      <c r="N897" s="610"/>
      <c r="O897" s="610"/>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c r="AN897" s="610"/>
      <c r="AO897" s="610"/>
      <c r="AP897" s="610"/>
      <c r="AQ897" s="610"/>
    </row>
    <row r="898" spans="2:43" s="609" customFormat="1">
      <c r="B898" s="610"/>
      <c r="C898" s="610"/>
      <c r="D898" s="610"/>
      <c r="E898" s="610"/>
      <c r="F898" s="610"/>
      <c r="G898" s="610"/>
      <c r="H898" s="610"/>
      <c r="I898" s="610"/>
      <c r="J898" s="610"/>
      <c r="L898" s="610"/>
      <c r="M898" s="610"/>
      <c r="N898" s="610"/>
      <c r="O898" s="610"/>
      <c r="P898" s="610"/>
      <c r="Q898" s="610"/>
      <c r="R898" s="610"/>
      <c r="S898" s="610"/>
      <c r="T898" s="610"/>
      <c r="U898" s="610"/>
      <c r="V898" s="610"/>
      <c r="W898" s="610"/>
      <c r="X898" s="610"/>
      <c r="Y898" s="610"/>
      <c r="Z898" s="610"/>
      <c r="AA898" s="610"/>
      <c r="AB898" s="610"/>
      <c r="AC898" s="610"/>
      <c r="AD898" s="610"/>
      <c r="AE898" s="610"/>
      <c r="AF898" s="610"/>
      <c r="AG898" s="610"/>
      <c r="AH898" s="610"/>
      <c r="AI898" s="610"/>
      <c r="AJ898" s="610"/>
      <c r="AK898" s="610"/>
      <c r="AL898" s="610"/>
      <c r="AM898" s="610"/>
      <c r="AN898" s="610"/>
      <c r="AO898" s="610"/>
      <c r="AP898" s="610"/>
      <c r="AQ898" s="610"/>
    </row>
    <row r="899" spans="2:43" s="609" customFormat="1">
      <c r="B899" s="610"/>
      <c r="C899" s="610"/>
      <c r="D899" s="610"/>
      <c r="E899" s="610"/>
      <c r="F899" s="610"/>
      <c r="G899" s="610"/>
      <c r="H899" s="610"/>
      <c r="I899" s="610"/>
      <c r="J899" s="610"/>
      <c r="L899" s="610"/>
      <c r="M899" s="610"/>
      <c r="N899" s="610"/>
      <c r="O899" s="610"/>
      <c r="P899" s="610"/>
      <c r="Q899" s="610"/>
      <c r="R899" s="610"/>
      <c r="S899" s="610"/>
      <c r="T899" s="610"/>
      <c r="U899" s="610"/>
      <c r="V899" s="610"/>
      <c r="W899" s="610"/>
      <c r="X899" s="610"/>
      <c r="Y899" s="610"/>
      <c r="Z899" s="610"/>
      <c r="AA899" s="610"/>
      <c r="AB899" s="610"/>
      <c r="AC899" s="610"/>
      <c r="AD899" s="610"/>
      <c r="AE899" s="610"/>
      <c r="AF899" s="610"/>
      <c r="AG899" s="610"/>
      <c r="AH899" s="610"/>
      <c r="AI899" s="610"/>
      <c r="AJ899" s="610"/>
      <c r="AK899" s="610"/>
      <c r="AL899" s="610"/>
      <c r="AM899" s="610"/>
      <c r="AN899" s="610"/>
      <c r="AO899" s="610"/>
      <c r="AP899" s="610"/>
      <c r="AQ899" s="610"/>
    </row>
    <row r="900" spans="2:43" s="609" customFormat="1">
      <c r="B900" s="610"/>
      <c r="C900" s="610"/>
      <c r="D900" s="610"/>
      <c r="E900" s="610"/>
      <c r="F900" s="610"/>
      <c r="G900" s="610"/>
      <c r="H900" s="610"/>
      <c r="I900" s="610"/>
      <c r="J900" s="610"/>
      <c r="L900" s="610"/>
      <c r="M900" s="610"/>
      <c r="N900" s="610"/>
      <c r="O900" s="610"/>
      <c r="P900" s="610"/>
      <c r="Q900" s="610"/>
      <c r="R900" s="610"/>
      <c r="S900" s="610"/>
      <c r="T900" s="610"/>
      <c r="U900" s="610"/>
      <c r="V900" s="610"/>
      <c r="W900" s="610"/>
      <c r="X900" s="610"/>
      <c r="Y900" s="610"/>
      <c r="Z900" s="610"/>
      <c r="AA900" s="610"/>
      <c r="AB900" s="610"/>
      <c r="AC900" s="610"/>
      <c r="AD900" s="610"/>
      <c r="AE900" s="610"/>
      <c r="AF900" s="610"/>
      <c r="AG900" s="610"/>
      <c r="AH900" s="610"/>
      <c r="AI900" s="610"/>
      <c r="AJ900" s="610"/>
      <c r="AK900" s="610"/>
      <c r="AL900" s="610"/>
      <c r="AM900" s="610"/>
      <c r="AN900" s="610"/>
      <c r="AO900" s="610"/>
      <c r="AP900" s="610"/>
      <c r="AQ900" s="610"/>
    </row>
    <row r="901" spans="2:43" s="609" customFormat="1">
      <c r="B901" s="610"/>
      <c r="C901" s="610"/>
      <c r="D901" s="610"/>
      <c r="E901" s="610"/>
      <c r="F901" s="610"/>
      <c r="G901" s="610"/>
      <c r="H901" s="610"/>
      <c r="I901" s="610"/>
      <c r="J901" s="610"/>
      <c r="L901" s="610"/>
      <c r="M901" s="610"/>
      <c r="N901" s="610"/>
      <c r="O901" s="610"/>
      <c r="P901" s="610"/>
      <c r="Q901" s="610"/>
      <c r="R901" s="610"/>
      <c r="S901" s="610"/>
      <c r="T901" s="610"/>
      <c r="U901" s="610"/>
      <c r="V901" s="610"/>
      <c r="W901" s="610"/>
      <c r="X901" s="610"/>
      <c r="Y901" s="610"/>
      <c r="Z901" s="610"/>
      <c r="AA901" s="610"/>
      <c r="AB901" s="610"/>
      <c r="AC901" s="610"/>
      <c r="AD901" s="610"/>
      <c r="AE901" s="610"/>
      <c r="AF901" s="610"/>
      <c r="AG901" s="610"/>
      <c r="AH901" s="610"/>
      <c r="AI901" s="610"/>
      <c r="AJ901" s="610"/>
      <c r="AK901" s="610"/>
      <c r="AL901" s="610"/>
      <c r="AM901" s="610"/>
      <c r="AN901" s="610"/>
      <c r="AO901" s="610"/>
      <c r="AP901" s="610"/>
      <c r="AQ901" s="610"/>
    </row>
    <row r="902" spans="2:43" s="609" customFormat="1">
      <c r="B902" s="610"/>
      <c r="C902" s="610"/>
      <c r="D902" s="610"/>
      <c r="E902" s="610"/>
      <c r="F902" s="610"/>
      <c r="G902" s="610"/>
      <c r="H902" s="610"/>
      <c r="I902" s="610"/>
      <c r="J902" s="610"/>
      <c r="L902" s="610"/>
      <c r="M902" s="610"/>
      <c r="N902" s="610"/>
      <c r="O902" s="610"/>
      <c r="P902" s="610"/>
      <c r="Q902" s="610"/>
      <c r="R902" s="610"/>
      <c r="S902" s="610"/>
      <c r="T902" s="610"/>
      <c r="U902" s="610"/>
      <c r="V902" s="610"/>
      <c r="W902" s="610"/>
      <c r="X902" s="610"/>
      <c r="Y902" s="610"/>
      <c r="Z902" s="610"/>
      <c r="AA902" s="610"/>
      <c r="AB902" s="610"/>
      <c r="AC902" s="610"/>
      <c r="AD902" s="610"/>
      <c r="AE902" s="610"/>
      <c r="AF902" s="610"/>
      <c r="AG902" s="610"/>
      <c r="AH902" s="610"/>
      <c r="AI902" s="610"/>
      <c r="AJ902" s="610"/>
      <c r="AK902" s="610"/>
      <c r="AL902" s="610"/>
      <c r="AM902" s="610"/>
      <c r="AN902" s="610"/>
      <c r="AO902" s="610"/>
      <c r="AP902" s="610"/>
      <c r="AQ902" s="610"/>
    </row>
    <row r="903" spans="2:43" s="609" customFormat="1">
      <c r="B903" s="610"/>
      <c r="C903" s="610"/>
      <c r="D903" s="610"/>
      <c r="E903" s="610"/>
      <c r="F903" s="610"/>
      <c r="G903" s="610"/>
      <c r="H903" s="610"/>
      <c r="I903" s="610"/>
      <c r="J903" s="610"/>
      <c r="L903" s="610"/>
      <c r="M903" s="610"/>
      <c r="N903" s="610"/>
      <c r="O903" s="610"/>
      <c r="P903" s="610"/>
      <c r="Q903" s="610"/>
      <c r="R903" s="610"/>
      <c r="S903" s="610"/>
      <c r="T903" s="610"/>
      <c r="U903" s="610"/>
      <c r="V903" s="610"/>
      <c r="W903" s="610"/>
      <c r="X903" s="610"/>
      <c r="Y903" s="610"/>
      <c r="Z903" s="610"/>
      <c r="AA903" s="610"/>
      <c r="AB903" s="610"/>
      <c r="AC903" s="610"/>
      <c r="AD903" s="610"/>
      <c r="AE903" s="610"/>
      <c r="AF903" s="610"/>
      <c r="AG903" s="610"/>
      <c r="AH903" s="610"/>
      <c r="AI903" s="610"/>
      <c r="AJ903" s="610"/>
      <c r="AK903" s="610"/>
      <c r="AL903" s="610"/>
      <c r="AM903" s="610"/>
      <c r="AN903" s="610"/>
      <c r="AO903" s="610"/>
      <c r="AP903" s="610"/>
      <c r="AQ903" s="610"/>
    </row>
    <row r="904" spans="2:43" s="609" customFormat="1">
      <c r="B904" s="610"/>
      <c r="C904" s="610"/>
      <c r="D904" s="610"/>
      <c r="E904" s="610"/>
      <c r="F904" s="610"/>
      <c r="G904" s="610"/>
      <c r="H904" s="610"/>
      <c r="I904" s="610"/>
      <c r="J904" s="610"/>
      <c r="L904" s="610"/>
      <c r="M904" s="610"/>
      <c r="N904" s="610"/>
      <c r="O904" s="610"/>
      <c r="P904" s="610"/>
      <c r="Q904" s="610"/>
      <c r="R904" s="610"/>
      <c r="S904" s="610"/>
      <c r="T904" s="610"/>
      <c r="U904" s="610"/>
      <c r="V904" s="610"/>
      <c r="W904" s="610"/>
      <c r="X904" s="610"/>
      <c r="Y904" s="610"/>
      <c r="Z904" s="610"/>
      <c r="AA904" s="610"/>
      <c r="AB904" s="610"/>
      <c r="AC904" s="610"/>
      <c r="AD904" s="610"/>
      <c r="AE904" s="610"/>
      <c r="AF904" s="610"/>
      <c r="AG904" s="610"/>
      <c r="AH904" s="610"/>
      <c r="AI904" s="610"/>
      <c r="AJ904" s="610"/>
      <c r="AK904" s="610"/>
      <c r="AL904" s="610"/>
      <c r="AM904" s="610"/>
      <c r="AN904" s="610"/>
      <c r="AO904" s="610"/>
      <c r="AP904" s="610"/>
      <c r="AQ904" s="610"/>
    </row>
    <row r="905" spans="2:43" s="609" customFormat="1">
      <c r="B905" s="610"/>
      <c r="C905" s="610"/>
      <c r="D905" s="610"/>
      <c r="E905" s="610"/>
      <c r="F905" s="610"/>
      <c r="G905" s="610"/>
      <c r="H905" s="610"/>
      <c r="I905" s="610"/>
      <c r="J905" s="610"/>
      <c r="L905" s="610"/>
      <c r="M905" s="610"/>
      <c r="N905" s="610"/>
      <c r="O905" s="610"/>
      <c r="P905" s="610"/>
      <c r="Q905" s="610"/>
      <c r="R905" s="610"/>
      <c r="S905" s="610"/>
      <c r="T905" s="610"/>
      <c r="U905" s="610"/>
      <c r="V905" s="610"/>
      <c r="W905" s="610"/>
      <c r="X905" s="610"/>
      <c r="Y905" s="610"/>
      <c r="Z905" s="610"/>
      <c r="AA905" s="610"/>
      <c r="AB905" s="610"/>
      <c r="AC905" s="610"/>
      <c r="AD905" s="610"/>
      <c r="AE905" s="610"/>
      <c r="AF905" s="610"/>
      <c r="AG905" s="610"/>
      <c r="AH905" s="610"/>
      <c r="AI905" s="610"/>
      <c r="AJ905" s="610"/>
      <c r="AK905" s="610"/>
      <c r="AL905" s="610"/>
      <c r="AM905" s="610"/>
      <c r="AN905" s="610"/>
      <c r="AO905" s="610"/>
      <c r="AP905" s="610"/>
      <c r="AQ905" s="610"/>
    </row>
    <row r="906" spans="2:43" s="609" customFormat="1">
      <c r="B906" s="610"/>
      <c r="C906" s="610"/>
      <c r="D906" s="610"/>
      <c r="E906" s="610"/>
      <c r="F906" s="610"/>
      <c r="G906" s="610"/>
      <c r="H906" s="610"/>
      <c r="I906" s="610"/>
      <c r="J906" s="610"/>
      <c r="L906" s="610"/>
      <c r="M906" s="610"/>
      <c r="N906" s="610"/>
      <c r="O906" s="610"/>
      <c r="P906" s="610"/>
      <c r="Q906" s="610"/>
      <c r="R906" s="610"/>
      <c r="S906" s="610"/>
      <c r="T906" s="610"/>
      <c r="U906" s="610"/>
      <c r="V906" s="610"/>
      <c r="W906" s="610"/>
      <c r="X906" s="610"/>
      <c r="Y906" s="610"/>
      <c r="Z906" s="610"/>
      <c r="AA906" s="610"/>
      <c r="AB906" s="610"/>
      <c r="AC906" s="610"/>
      <c r="AD906" s="610"/>
      <c r="AE906" s="610"/>
      <c r="AF906" s="610"/>
      <c r="AG906" s="610"/>
      <c r="AH906" s="610"/>
      <c r="AI906" s="610"/>
      <c r="AJ906" s="610"/>
      <c r="AK906" s="610"/>
      <c r="AL906" s="610"/>
      <c r="AM906" s="610"/>
      <c r="AN906" s="610"/>
      <c r="AO906" s="610"/>
      <c r="AP906" s="610"/>
      <c r="AQ906" s="610"/>
    </row>
    <row r="907" spans="2:43" s="609" customFormat="1">
      <c r="B907" s="610"/>
      <c r="C907" s="610"/>
      <c r="D907" s="610"/>
      <c r="E907" s="610"/>
      <c r="F907" s="610"/>
      <c r="G907" s="610"/>
      <c r="H907" s="610"/>
      <c r="I907" s="610"/>
      <c r="J907" s="610"/>
      <c r="L907" s="610"/>
      <c r="M907" s="610"/>
      <c r="N907" s="610"/>
      <c r="O907" s="610"/>
      <c r="P907" s="610"/>
      <c r="Q907" s="610"/>
      <c r="R907" s="610"/>
      <c r="S907" s="610"/>
      <c r="T907" s="610"/>
      <c r="U907" s="610"/>
      <c r="V907" s="610"/>
      <c r="W907" s="610"/>
      <c r="X907" s="610"/>
      <c r="Y907" s="610"/>
      <c r="Z907" s="610"/>
      <c r="AA907" s="610"/>
      <c r="AB907" s="610"/>
      <c r="AC907" s="610"/>
      <c r="AD907" s="610"/>
      <c r="AE907" s="610"/>
      <c r="AF907" s="610"/>
      <c r="AG907" s="610"/>
      <c r="AH907" s="610"/>
      <c r="AI907" s="610"/>
      <c r="AJ907" s="610"/>
      <c r="AK907" s="610"/>
      <c r="AL907" s="610"/>
      <c r="AM907" s="610"/>
      <c r="AN907" s="610"/>
      <c r="AO907" s="610"/>
      <c r="AP907" s="610"/>
      <c r="AQ907" s="610"/>
    </row>
    <row r="908" spans="2:43" s="609" customFormat="1">
      <c r="B908" s="610"/>
      <c r="C908" s="610"/>
      <c r="D908" s="610"/>
      <c r="E908" s="610"/>
      <c r="F908" s="610"/>
      <c r="G908" s="610"/>
      <c r="H908" s="610"/>
      <c r="I908" s="610"/>
      <c r="J908" s="610"/>
      <c r="L908" s="610"/>
      <c r="M908" s="610"/>
      <c r="N908" s="610"/>
      <c r="O908" s="610"/>
      <c r="P908" s="610"/>
      <c r="Q908" s="610"/>
      <c r="R908" s="610"/>
      <c r="S908" s="610"/>
      <c r="T908" s="610"/>
      <c r="U908" s="610"/>
      <c r="V908" s="610"/>
      <c r="W908" s="610"/>
      <c r="X908" s="610"/>
      <c r="Y908" s="610"/>
      <c r="Z908" s="610"/>
      <c r="AA908" s="610"/>
      <c r="AB908" s="610"/>
      <c r="AC908" s="610"/>
      <c r="AD908" s="610"/>
      <c r="AE908" s="610"/>
      <c r="AF908" s="610"/>
      <c r="AG908" s="610"/>
      <c r="AH908" s="610"/>
      <c r="AI908" s="610"/>
      <c r="AJ908" s="610"/>
      <c r="AK908" s="610"/>
      <c r="AL908" s="610"/>
      <c r="AM908" s="610"/>
      <c r="AN908" s="610"/>
      <c r="AO908" s="610"/>
      <c r="AP908" s="610"/>
      <c r="AQ908" s="610"/>
    </row>
    <row r="909" spans="2:43" s="609" customFormat="1">
      <c r="B909" s="610"/>
      <c r="C909" s="610"/>
      <c r="D909" s="610"/>
      <c r="E909" s="610"/>
      <c r="F909" s="610"/>
      <c r="G909" s="610"/>
      <c r="H909" s="610"/>
      <c r="I909" s="610"/>
      <c r="J909" s="610"/>
      <c r="L909" s="610"/>
      <c r="M909" s="610"/>
      <c r="N909" s="610"/>
      <c r="O909" s="610"/>
      <c r="P909" s="610"/>
      <c r="Q909" s="610"/>
      <c r="R909" s="610"/>
      <c r="S909" s="610"/>
      <c r="T909" s="610"/>
      <c r="U909" s="610"/>
      <c r="V909" s="610"/>
      <c r="W909" s="610"/>
      <c r="X909" s="610"/>
      <c r="Y909" s="610"/>
      <c r="Z909" s="610"/>
      <c r="AA909" s="610"/>
      <c r="AB909" s="610"/>
      <c r="AC909" s="610"/>
      <c r="AD909" s="610"/>
      <c r="AE909" s="610"/>
      <c r="AF909" s="610"/>
      <c r="AG909" s="610"/>
      <c r="AH909" s="610"/>
      <c r="AI909" s="610"/>
      <c r="AJ909" s="610"/>
      <c r="AK909" s="610"/>
      <c r="AL909" s="610"/>
      <c r="AM909" s="610"/>
      <c r="AN909" s="610"/>
      <c r="AO909" s="610"/>
      <c r="AP909" s="610"/>
      <c r="AQ909" s="610"/>
    </row>
    <row r="910" spans="2:43" s="609" customFormat="1">
      <c r="B910" s="610"/>
      <c r="C910" s="610"/>
      <c r="D910" s="610"/>
      <c r="E910" s="610"/>
      <c r="F910" s="610"/>
      <c r="G910" s="610"/>
      <c r="H910" s="610"/>
      <c r="I910" s="610"/>
      <c r="J910" s="610"/>
      <c r="L910" s="610"/>
      <c r="M910" s="610"/>
      <c r="N910" s="610"/>
      <c r="O910" s="610"/>
      <c r="P910" s="610"/>
      <c r="Q910" s="610"/>
      <c r="R910" s="610"/>
      <c r="S910" s="610"/>
      <c r="T910" s="610"/>
      <c r="U910" s="610"/>
      <c r="V910" s="610"/>
      <c r="W910" s="610"/>
      <c r="X910" s="610"/>
      <c r="Y910" s="610"/>
      <c r="Z910" s="610"/>
      <c r="AA910" s="610"/>
      <c r="AB910" s="610"/>
      <c r="AC910" s="610"/>
      <c r="AD910" s="610"/>
      <c r="AE910" s="610"/>
      <c r="AF910" s="610"/>
      <c r="AG910" s="610"/>
      <c r="AH910" s="610"/>
      <c r="AI910" s="610"/>
      <c r="AJ910" s="610"/>
      <c r="AK910" s="610"/>
      <c r="AL910" s="610"/>
      <c r="AM910" s="610"/>
      <c r="AN910" s="610"/>
      <c r="AO910" s="610"/>
      <c r="AP910" s="610"/>
      <c r="AQ910" s="610"/>
    </row>
    <row r="911" spans="2:43" s="609" customFormat="1">
      <c r="B911" s="610"/>
      <c r="C911" s="610"/>
      <c r="D911" s="610"/>
      <c r="E911" s="610"/>
      <c r="F911" s="610"/>
      <c r="G911" s="610"/>
      <c r="H911" s="610"/>
      <c r="I911" s="610"/>
      <c r="J911" s="610"/>
      <c r="L911" s="610"/>
      <c r="M911" s="610"/>
      <c r="N911" s="610"/>
      <c r="O911" s="610"/>
      <c r="P911" s="610"/>
      <c r="Q911" s="610"/>
      <c r="R911" s="610"/>
      <c r="S911" s="610"/>
      <c r="T911" s="610"/>
      <c r="U911" s="610"/>
      <c r="V911" s="610"/>
      <c r="W911" s="610"/>
      <c r="X911" s="610"/>
      <c r="Y911" s="610"/>
      <c r="Z911" s="610"/>
      <c r="AA911" s="610"/>
      <c r="AB911" s="610"/>
      <c r="AC911" s="610"/>
      <c r="AD911" s="610"/>
      <c r="AE911" s="610"/>
      <c r="AF911" s="610"/>
      <c r="AG911" s="610"/>
      <c r="AH911" s="610"/>
      <c r="AI911" s="610"/>
      <c r="AJ911" s="610"/>
      <c r="AK911" s="610"/>
      <c r="AL911" s="610"/>
      <c r="AM911" s="610"/>
      <c r="AN911" s="610"/>
      <c r="AO911" s="610"/>
      <c r="AP911" s="610"/>
      <c r="AQ911" s="610"/>
    </row>
    <row r="912" spans="2:43" s="609" customFormat="1">
      <c r="B912" s="610"/>
      <c r="C912" s="610"/>
      <c r="D912" s="610"/>
      <c r="E912" s="610"/>
      <c r="F912" s="610"/>
      <c r="G912" s="610"/>
      <c r="H912" s="610"/>
      <c r="I912" s="610"/>
      <c r="J912" s="610"/>
      <c r="L912" s="610"/>
      <c r="M912" s="610"/>
      <c r="N912" s="610"/>
      <c r="O912" s="610"/>
      <c r="P912" s="610"/>
      <c r="Q912" s="610"/>
      <c r="R912" s="610"/>
      <c r="S912" s="610"/>
      <c r="T912" s="610"/>
      <c r="U912" s="610"/>
      <c r="V912" s="610"/>
      <c r="W912" s="610"/>
      <c r="X912" s="610"/>
      <c r="Y912" s="610"/>
      <c r="Z912" s="610"/>
      <c r="AA912" s="610"/>
      <c r="AB912" s="610"/>
      <c r="AC912" s="610"/>
      <c r="AD912" s="610"/>
      <c r="AE912" s="610"/>
      <c r="AF912" s="610"/>
      <c r="AG912" s="610"/>
      <c r="AH912" s="610"/>
      <c r="AI912" s="610"/>
      <c r="AJ912" s="610"/>
      <c r="AK912" s="610"/>
      <c r="AL912" s="610"/>
      <c r="AM912" s="610"/>
      <c r="AN912" s="610"/>
      <c r="AO912" s="610"/>
      <c r="AP912" s="610"/>
      <c r="AQ912" s="610"/>
    </row>
    <row r="913" spans="2:43" s="609" customFormat="1">
      <c r="B913" s="610"/>
      <c r="C913" s="610"/>
      <c r="D913" s="610"/>
      <c r="E913" s="610"/>
      <c r="F913" s="610"/>
      <c r="G913" s="610"/>
      <c r="H913" s="610"/>
      <c r="I913" s="610"/>
      <c r="J913" s="610"/>
      <c r="L913" s="610"/>
      <c r="M913" s="610"/>
      <c r="N913" s="610"/>
      <c r="O913" s="610"/>
      <c r="P913" s="610"/>
      <c r="Q913" s="610"/>
      <c r="R913" s="610"/>
      <c r="S913" s="610"/>
      <c r="T913" s="610"/>
      <c r="U913" s="610"/>
      <c r="V913" s="610"/>
      <c r="W913" s="610"/>
      <c r="X913" s="610"/>
      <c r="Y913" s="610"/>
      <c r="Z913" s="610"/>
      <c r="AA913" s="610"/>
      <c r="AB913" s="610"/>
      <c r="AC913" s="610"/>
      <c r="AD913" s="610"/>
      <c r="AE913" s="610"/>
      <c r="AF913" s="610"/>
      <c r="AG913" s="610"/>
      <c r="AH913" s="610"/>
      <c r="AI913" s="610"/>
      <c r="AJ913" s="610"/>
      <c r="AK913" s="610"/>
      <c r="AL913" s="610"/>
      <c r="AM913" s="610"/>
      <c r="AN913" s="610"/>
      <c r="AO913" s="610"/>
      <c r="AP913" s="610"/>
      <c r="AQ913" s="610"/>
    </row>
    <row r="914" spans="2:43" s="609" customFormat="1">
      <c r="B914" s="610"/>
      <c r="C914" s="610"/>
      <c r="D914" s="610"/>
      <c r="E914" s="610"/>
      <c r="F914" s="610"/>
      <c r="G914" s="610"/>
      <c r="H914" s="610"/>
      <c r="I914" s="610"/>
      <c r="J914" s="610"/>
      <c r="L914" s="610"/>
      <c r="M914" s="610"/>
      <c r="N914" s="610"/>
      <c r="O914" s="610"/>
      <c r="P914" s="610"/>
      <c r="Q914" s="610"/>
      <c r="R914" s="610"/>
      <c r="S914" s="610"/>
      <c r="T914" s="610"/>
      <c r="U914" s="610"/>
      <c r="V914" s="610"/>
      <c r="W914" s="610"/>
      <c r="X914" s="610"/>
      <c r="Y914" s="610"/>
      <c r="Z914" s="610"/>
      <c r="AA914" s="610"/>
      <c r="AB914" s="610"/>
      <c r="AC914" s="610"/>
      <c r="AD914" s="610"/>
      <c r="AE914" s="610"/>
      <c r="AF914" s="610"/>
      <c r="AG914" s="610"/>
      <c r="AH914" s="610"/>
      <c r="AI914" s="610"/>
      <c r="AJ914" s="610"/>
      <c r="AK914" s="610"/>
      <c r="AL914" s="610"/>
      <c r="AM914" s="610"/>
      <c r="AN914" s="610"/>
      <c r="AO914" s="610"/>
      <c r="AP914" s="610"/>
      <c r="AQ914" s="610"/>
    </row>
    <row r="915" spans="2:43" s="609" customFormat="1">
      <c r="B915" s="610"/>
      <c r="C915" s="610"/>
      <c r="D915" s="610"/>
      <c r="E915" s="610"/>
      <c r="F915" s="610"/>
      <c r="G915" s="610"/>
      <c r="H915" s="610"/>
      <c r="I915" s="610"/>
      <c r="J915" s="610"/>
      <c r="L915" s="610"/>
      <c r="M915" s="610"/>
      <c r="N915" s="610"/>
      <c r="O915" s="610"/>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c r="AN915" s="610"/>
      <c r="AO915" s="610"/>
      <c r="AP915" s="610"/>
      <c r="AQ915" s="610"/>
    </row>
    <row r="916" spans="2:43" s="609" customFormat="1">
      <c r="B916" s="610"/>
      <c r="C916" s="610"/>
      <c r="D916" s="610"/>
      <c r="E916" s="610"/>
      <c r="F916" s="610"/>
      <c r="G916" s="610"/>
      <c r="H916" s="610"/>
      <c r="I916" s="610"/>
      <c r="J916" s="610"/>
      <c r="L916" s="610"/>
      <c r="M916" s="610"/>
      <c r="N916" s="610"/>
      <c r="O916" s="610"/>
      <c r="P916" s="610"/>
      <c r="Q916" s="610"/>
      <c r="R916" s="610"/>
      <c r="S916" s="610"/>
      <c r="T916" s="610"/>
      <c r="U916" s="610"/>
      <c r="V916" s="610"/>
      <c r="W916" s="610"/>
      <c r="X916" s="610"/>
      <c r="Y916" s="610"/>
      <c r="Z916" s="610"/>
      <c r="AA916" s="610"/>
      <c r="AB916" s="610"/>
      <c r="AC916" s="610"/>
      <c r="AD916" s="610"/>
      <c r="AE916" s="610"/>
      <c r="AF916" s="610"/>
      <c r="AG916" s="610"/>
      <c r="AH916" s="610"/>
      <c r="AI916" s="610"/>
      <c r="AJ916" s="610"/>
      <c r="AK916" s="610"/>
      <c r="AL916" s="610"/>
      <c r="AM916" s="610"/>
      <c r="AN916" s="610"/>
      <c r="AO916" s="610"/>
      <c r="AP916" s="610"/>
      <c r="AQ916" s="610"/>
    </row>
    <row r="917" spans="2:43" s="609" customFormat="1">
      <c r="B917" s="610"/>
      <c r="C917" s="610"/>
      <c r="D917" s="610"/>
      <c r="E917" s="610"/>
      <c r="F917" s="610"/>
      <c r="G917" s="610"/>
      <c r="H917" s="610"/>
      <c r="I917" s="610"/>
      <c r="J917" s="610"/>
      <c r="L917" s="610"/>
      <c r="M917" s="610"/>
      <c r="N917" s="610"/>
      <c r="O917" s="610"/>
      <c r="P917" s="610"/>
      <c r="Q917" s="610"/>
      <c r="R917" s="610"/>
      <c r="S917" s="610"/>
      <c r="T917" s="610"/>
      <c r="U917" s="610"/>
      <c r="V917" s="610"/>
      <c r="W917" s="610"/>
      <c r="X917" s="610"/>
      <c r="Y917" s="610"/>
      <c r="Z917" s="610"/>
      <c r="AA917" s="610"/>
      <c r="AB917" s="610"/>
      <c r="AC917" s="610"/>
      <c r="AD917" s="610"/>
      <c r="AE917" s="610"/>
      <c r="AF917" s="610"/>
      <c r="AG917" s="610"/>
      <c r="AH917" s="610"/>
      <c r="AI917" s="610"/>
      <c r="AJ917" s="610"/>
      <c r="AK917" s="610"/>
      <c r="AL917" s="610"/>
      <c r="AM917" s="610"/>
      <c r="AN917" s="610"/>
      <c r="AO917" s="610"/>
      <c r="AP917" s="610"/>
      <c r="AQ917" s="610"/>
    </row>
    <row r="918" spans="2:43" s="609" customFormat="1">
      <c r="B918" s="610"/>
      <c r="C918" s="610"/>
      <c r="D918" s="610"/>
      <c r="E918" s="610"/>
      <c r="F918" s="610"/>
      <c r="G918" s="610"/>
      <c r="H918" s="610"/>
      <c r="I918" s="610"/>
      <c r="J918" s="610"/>
      <c r="L918" s="610"/>
      <c r="M918" s="610"/>
      <c r="N918" s="610"/>
      <c r="O918" s="610"/>
      <c r="P918" s="610"/>
      <c r="Q918" s="610"/>
      <c r="R918" s="610"/>
      <c r="S918" s="610"/>
      <c r="T918" s="610"/>
      <c r="U918" s="610"/>
      <c r="V918" s="610"/>
      <c r="W918" s="610"/>
      <c r="X918" s="610"/>
      <c r="Y918" s="610"/>
      <c r="Z918" s="610"/>
      <c r="AA918" s="610"/>
      <c r="AB918" s="610"/>
      <c r="AC918" s="610"/>
      <c r="AD918" s="610"/>
      <c r="AE918" s="610"/>
      <c r="AF918" s="610"/>
      <c r="AG918" s="610"/>
      <c r="AH918" s="610"/>
      <c r="AI918" s="610"/>
      <c r="AJ918" s="610"/>
      <c r="AK918" s="610"/>
      <c r="AL918" s="610"/>
      <c r="AM918" s="610"/>
      <c r="AN918" s="610"/>
      <c r="AO918" s="610"/>
      <c r="AP918" s="610"/>
      <c r="AQ918" s="610"/>
    </row>
    <row r="919" spans="2:43" s="609" customFormat="1">
      <c r="B919" s="610"/>
      <c r="C919" s="610"/>
      <c r="D919" s="610"/>
      <c r="E919" s="610"/>
      <c r="F919" s="610"/>
      <c r="G919" s="610"/>
      <c r="H919" s="610"/>
      <c r="I919" s="610"/>
      <c r="J919" s="610"/>
      <c r="L919" s="610"/>
      <c r="M919" s="610"/>
      <c r="N919" s="610"/>
      <c r="O919" s="610"/>
      <c r="P919" s="610"/>
      <c r="Q919" s="610"/>
      <c r="R919" s="610"/>
      <c r="S919" s="610"/>
      <c r="T919" s="610"/>
      <c r="U919" s="610"/>
      <c r="V919" s="610"/>
      <c r="W919" s="610"/>
      <c r="X919" s="610"/>
      <c r="Y919" s="610"/>
      <c r="Z919" s="610"/>
      <c r="AA919" s="610"/>
      <c r="AB919" s="610"/>
      <c r="AC919" s="610"/>
      <c r="AD919" s="610"/>
      <c r="AE919" s="610"/>
      <c r="AF919" s="610"/>
      <c r="AG919" s="610"/>
      <c r="AH919" s="610"/>
      <c r="AI919" s="610"/>
      <c r="AJ919" s="610"/>
      <c r="AK919" s="610"/>
      <c r="AL919" s="610"/>
      <c r="AM919" s="610"/>
      <c r="AN919" s="610"/>
      <c r="AO919" s="610"/>
      <c r="AP919" s="610"/>
      <c r="AQ919" s="610"/>
    </row>
    <row r="920" spans="2:43" s="609" customFormat="1">
      <c r="B920" s="610"/>
      <c r="C920" s="610"/>
      <c r="D920" s="610"/>
      <c r="E920" s="610"/>
      <c r="F920" s="610"/>
      <c r="G920" s="610"/>
      <c r="H920" s="610"/>
      <c r="I920" s="610"/>
      <c r="J920" s="610"/>
      <c r="L920" s="610"/>
      <c r="M920" s="610"/>
      <c r="N920" s="610"/>
      <c r="O920" s="610"/>
      <c r="P920" s="610"/>
      <c r="Q920" s="610"/>
      <c r="R920" s="610"/>
      <c r="S920" s="610"/>
      <c r="T920" s="610"/>
      <c r="U920" s="610"/>
      <c r="V920" s="610"/>
      <c r="W920" s="610"/>
      <c r="X920" s="610"/>
      <c r="Y920" s="610"/>
      <c r="Z920" s="610"/>
      <c r="AA920" s="610"/>
      <c r="AB920" s="610"/>
      <c r="AC920" s="610"/>
      <c r="AD920" s="610"/>
      <c r="AE920" s="610"/>
      <c r="AF920" s="610"/>
      <c r="AG920" s="610"/>
      <c r="AH920" s="610"/>
      <c r="AI920" s="610"/>
      <c r="AJ920" s="610"/>
      <c r="AK920" s="610"/>
      <c r="AL920" s="610"/>
      <c r="AM920" s="610"/>
      <c r="AN920" s="610"/>
      <c r="AO920" s="610"/>
      <c r="AP920" s="610"/>
      <c r="AQ920" s="610"/>
    </row>
    <row r="921" spans="2:43" s="609" customFormat="1">
      <c r="B921" s="610"/>
      <c r="C921" s="610"/>
      <c r="D921" s="610"/>
      <c r="E921" s="610"/>
      <c r="F921" s="610"/>
      <c r="G921" s="610"/>
      <c r="H921" s="610"/>
      <c r="I921" s="610"/>
      <c r="J921" s="610"/>
      <c r="L921" s="610"/>
      <c r="M921" s="610"/>
      <c r="N921" s="610"/>
      <c r="O921" s="610"/>
      <c r="P921" s="610"/>
      <c r="Q921" s="610"/>
      <c r="R921" s="610"/>
      <c r="S921" s="610"/>
      <c r="T921" s="610"/>
      <c r="U921" s="610"/>
      <c r="V921" s="610"/>
      <c r="W921" s="610"/>
      <c r="X921" s="610"/>
      <c r="Y921" s="610"/>
      <c r="Z921" s="610"/>
      <c r="AA921" s="610"/>
      <c r="AB921" s="610"/>
      <c r="AC921" s="610"/>
      <c r="AD921" s="610"/>
      <c r="AE921" s="610"/>
      <c r="AF921" s="610"/>
      <c r="AG921" s="610"/>
      <c r="AH921" s="610"/>
      <c r="AI921" s="610"/>
      <c r="AJ921" s="610"/>
      <c r="AK921" s="610"/>
      <c r="AL921" s="610"/>
      <c r="AM921" s="610"/>
      <c r="AN921" s="610"/>
      <c r="AO921" s="610"/>
      <c r="AP921" s="610"/>
      <c r="AQ921" s="610"/>
    </row>
    <row r="922" spans="2:43" s="609" customFormat="1">
      <c r="B922" s="610"/>
      <c r="C922" s="610"/>
      <c r="D922" s="610"/>
      <c r="E922" s="610"/>
      <c r="F922" s="610"/>
      <c r="G922" s="610"/>
      <c r="H922" s="610"/>
      <c r="I922" s="610"/>
      <c r="J922" s="610"/>
      <c r="L922" s="610"/>
      <c r="M922" s="610"/>
      <c r="N922" s="610"/>
      <c r="O922" s="610"/>
      <c r="P922" s="610"/>
      <c r="Q922" s="610"/>
      <c r="R922" s="610"/>
      <c r="S922" s="610"/>
      <c r="T922" s="610"/>
      <c r="U922" s="610"/>
      <c r="V922" s="610"/>
      <c r="W922" s="610"/>
      <c r="X922" s="610"/>
      <c r="Y922" s="610"/>
      <c r="Z922" s="610"/>
      <c r="AA922" s="610"/>
      <c r="AB922" s="610"/>
      <c r="AC922" s="610"/>
      <c r="AD922" s="610"/>
      <c r="AE922" s="610"/>
      <c r="AF922" s="610"/>
      <c r="AG922" s="610"/>
      <c r="AH922" s="610"/>
      <c r="AI922" s="610"/>
      <c r="AJ922" s="610"/>
      <c r="AK922" s="610"/>
      <c r="AL922" s="610"/>
      <c r="AM922" s="610"/>
      <c r="AN922" s="610"/>
      <c r="AO922" s="610"/>
      <c r="AP922" s="610"/>
      <c r="AQ922" s="610"/>
    </row>
    <row r="923" spans="2:43" s="609" customFormat="1">
      <c r="B923" s="610"/>
      <c r="C923" s="610"/>
      <c r="D923" s="610"/>
      <c r="E923" s="610"/>
      <c r="F923" s="610"/>
      <c r="G923" s="610"/>
      <c r="H923" s="610"/>
      <c r="I923" s="610"/>
      <c r="J923" s="610"/>
      <c r="L923" s="610"/>
      <c r="M923" s="610"/>
      <c r="N923" s="610"/>
      <c r="O923" s="610"/>
      <c r="P923" s="610"/>
      <c r="Q923" s="610"/>
      <c r="R923" s="610"/>
      <c r="S923" s="610"/>
      <c r="T923" s="610"/>
      <c r="U923" s="610"/>
      <c r="V923" s="610"/>
      <c r="W923" s="610"/>
      <c r="X923" s="610"/>
      <c r="Y923" s="610"/>
      <c r="Z923" s="610"/>
      <c r="AA923" s="610"/>
      <c r="AB923" s="610"/>
      <c r="AC923" s="610"/>
      <c r="AD923" s="610"/>
      <c r="AE923" s="610"/>
      <c r="AF923" s="610"/>
      <c r="AG923" s="610"/>
      <c r="AH923" s="610"/>
      <c r="AI923" s="610"/>
      <c r="AJ923" s="610"/>
      <c r="AK923" s="610"/>
      <c r="AL923" s="610"/>
      <c r="AM923" s="610"/>
      <c r="AN923" s="610"/>
      <c r="AO923" s="610"/>
      <c r="AP923" s="610"/>
      <c r="AQ923" s="610"/>
    </row>
    <row r="924" spans="2:43" s="609" customFormat="1">
      <c r="B924" s="610"/>
      <c r="C924" s="610"/>
      <c r="D924" s="610"/>
      <c r="E924" s="610"/>
      <c r="F924" s="610"/>
      <c r="G924" s="610"/>
      <c r="H924" s="610"/>
      <c r="I924" s="610"/>
      <c r="J924" s="610"/>
      <c r="L924" s="610"/>
      <c r="M924" s="610"/>
      <c r="N924" s="610"/>
      <c r="O924" s="610"/>
      <c r="P924" s="610"/>
      <c r="Q924" s="610"/>
      <c r="R924" s="610"/>
      <c r="S924" s="610"/>
      <c r="T924" s="610"/>
      <c r="U924" s="610"/>
      <c r="V924" s="610"/>
      <c r="W924" s="610"/>
      <c r="X924" s="610"/>
      <c r="Y924" s="610"/>
      <c r="Z924" s="610"/>
      <c r="AA924" s="610"/>
      <c r="AB924" s="610"/>
      <c r="AC924" s="610"/>
      <c r="AD924" s="610"/>
      <c r="AE924" s="610"/>
      <c r="AF924" s="610"/>
      <c r="AG924" s="610"/>
      <c r="AH924" s="610"/>
      <c r="AI924" s="610"/>
      <c r="AJ924" s="610"/>
      <c r="AK924" s="610"/>
      <c r="AL924" s="610"/>
      <c r="AM924" s="610"/>
      <c r="AN924" s="610"/>
      <c r="AO924" s="610"/>
      <c r="AP924" s="610"/>
      <c r="AQ924" s="610"/>
    </row>
    <row r="925" spans="2:43" s="609" customFormat="1">
      <c r="B925" s="610"/>
      <c r="C925" s="610"/>
      <c r="D925" s="610"/>
      <c r="E925" s="610"/>
      <c r="F925" s="610"/>
      <c r="G925" s="610"/>
      <c r="H925" s="610"/>
      <c r="I925" s="610"/>
      <c r="J925" s="610"/>
      <c r="L925" s="610"/>
      <c r="M925" s="610"/>
      <c r="N925" s="610"/>
      <c r="O925" s="610"/>
      <c r="P925" s="610"/>
      <c r="Q925" s="610"/>
      <c r="R925" s="610"/>
      <c r="S925" s="610"/>
      <c r="T925" s="610"/>
      <c r="U925" s="610"/>
      <c r="V925" s="610"/>
      <c r="W925" s="610"/>
      <c r="X925" s="610"/>
      <c r="Y925" s="610"/>
      <c r="Z925" s="610"/>
      <c r="AA925" s="610"/>
      <c r="AB925" s="610"/>
      <c r="AC925" s="610"/>
      <c r="AD925" s="610"/>
      <c r="AE925" s="610"/>
      <c r="AF925" s="610"/>
      <c r="AG925" s="610"/>
      <c r="AH925" s="610"/>
      <c r="AI925" s="610"/>
      <c r="AJ925" s="610"/>
      <c r="AK925" s="610"/>
      <c r="AL925" s="610"/>
      <c r="AM925" s="610"/>
      <c r="AN925" s="610"/>
      <c r="AO925" s="610"/>
      <c r="AP925" s="610"/>
      <c r="AQ925" s="610"/>
    </row>
    <row r="926" spans="2:43" s="609" customFormat="1">
      <c r="B926" s="610"/>
      <c r="C926" s="610"/>
      <c r="D926" s="610"/>
      <c r="E926" s="610"/>
      <c r="F926" s="610"/>
      <c r="G926" s="610"/>
      <c r="H926" s="610"/>
      <c r="I926" s="610"/>
      <c r="J926" s="610"/>
      <c r="L926" s="610"/>
      <c r="M926" s="610"/>
      <c r="N926" s="610"/>
      <c r="O926" s="610"/>
      <c r="P926" s="610"/>
      <c r="Q926" s="610"/>
      <c r="R926" s="610"/>
      <c r="S926" s="610"/>
      <c r="T926" s="610"/>
      <c r="U926" s="610"/>
      <c r="V926" s="610"/>
      <c r="W926" s="610"/>
      <c r="X926" s="610"/>
      <c r="Y926" s="610"/>
      <c r="Z926" s="610"/>
      <c r="AA926" s="610"/>
      <c r="AB926" s="610"/>
      <c r="AC926" s="610"/>
      <c r="AD926" s="610"/>
      <c r="AE926" s="610"/>
      <c r="AF926" s="610"/>
      <c r="AG926" s="610"/>
      <c r="AH926" s="610"/>
      <c r="AI926" s="610"/>
      <c r="AJ926" s="610"/>
      <c r="AK926" s="610"/>
      <c r="AL926" s="610"/>
      <c r="AM926" s="610"/>
      <c r="AN926" s="610"/>
      <c r="AO926" s="610"/>
      <c r="AP926" s="610"/>
      <c r="AQ926" s="610"/>
    </row>
    <row r="927" spans="2:43" s="609" customFormat="1">
      <c r="B927" s="610"/>
      <c r="C927" s="610"/>
      <c r="D927" s="610"/>
      <c r="E927" s="610"/>
      <c r="F927" s="610"/>
      <c r="G927" s="610"/>
      <c r="H927" s="610"/>
      <c r="I927" s="610"/>
      <c r="J927" s="610"/>
      <c r="L927" s="610"/>
      <c r="M927" s="610"/>
      <c r="N927" s="610"/>
      <c r="O927" s="610"/>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c r="AN927" s="610"/>
      <c r="AO927" s="610"/>
      <c r="AP927" s="610"/>
      <c r="AQ927" s="610"/>
    </row>
    <row r="928" spans="2:43" s="609" customFormat="1">
      <c r="B928" s="610"/>
      <c r="C928" s="610"/>
      <c r="D928" s="610"/>
      <c r="E928" s="610"/>
      <c r="F928" s="610"/>
      <c r="G928" s="610"/>
      <c r="H928" s="610"/>
      <c r="I928" s="610"/>
      <c r="J928" s="610"/>
      <c r="L928" s="610"/>
      <c r="M928" s="610"/>
      <c r="N928" s="610"/>
      <c r="O928" s="610"/>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c r="AN928" s="610"/>
      <c r="AO928" s="610"/>
      <c r="AP928" s="610"/>
      <c r="AQ928" s="610"/>
    </row>
    <row r="929" spans="2:43" s="609" customFormat="1">
      <c r="B929" s="610"/>
      <c r="C929" s="610"/>
      <c r="D929" s="610"/>
      <c r="E929" s="610"/>
      <c r="F929" s="610"/>
      <c r="G929" s="610"/>
      <c r="H929" s="610"/>
      <c r="I929" s="610"/>
      <c r="J929" s="610"/>
      <c r="L929" s="610"/>
      <c r="M929" s="610"/>
      <c r="N929" s="610"/>
      <c r="O929" s="610"/>
      <c r="P929" s="610"/>
      <c r="Q929" s="610"/>
      <c r="R929" s="610"/>
      <c r="S929" s="610"/>
      <c r="T929" s="610"/>
      <c r="U929" s="610"/>
      <c r="V929" s="610"/>
      <c r="W929" s="610"/>
      <c r="X929" s="610"/>
      <c r="Y929" s="610"/>
      <c r="Z929" s="610"/>
      <c r="AA929" s="610"/>
      <c r="AB929" s="610"/>
      <c r="AC929" s="610"/>
      <c r="AD929" s="610"/>
      <c r="AE929" s="610"/>
      <c r="AF929" s="610"/>
      <c r="AG929" s="610"/>
      <c r="AH929" s="610"/>
      <c r="AI929" s="610"/>
      <c r="AJ929" s="610"/>
      <c r="AK929" s="610"/>
      <c r="AL929" s="610"/>
      <c r="AM929" s="610"/>
      <c r="AN929" s="610"/>
      <c r="AO929" s="610"/>
      <c r="AP929" s="610"/>
      <c r="AQ929" s="610"/>
    </row>
    <row r="930" spans="2:43" s="609" customFormat="1">
      <c r="B930" s="610"/>
      <c r="C930" s="610"/>
      <c r="D930" s="610"/>
      <c r="E930" s="610"/>
      <c r="F930" s="610"/>
      <c r="G930" s="610"/>
      <c r="H930" s="610"/>
      <c r="I930" s="610"/>
      <c r="J930" s="610"/>
      <c r="L930" s="610"/>
      <c r="M930" s="610"/>
      <c r="N930" s="610"/>
      <c r="O930" s="610"/>
      <c r="P930" s="610"/>
      <c r="Q930" s="610"/>
      <c r="R930" s="610"/>
      <c r="S930" s="610"/>
      <c r="T930" s="610"/>
      <c r="U930" s="610"/>
      <c r="V930" s="610"/>
      <c r="W930" s="610"/>
      <c r="X930" s="610"/>
      <c r="Y930" s="610"/>
      <c r="Z930" s="610"/>
      <c r="AA930" s="610"/>
      <c r="AB930" s="610"/>
      <c r="AC930" s="610"/>
      <c r="AD930" s="610"/>
      <c r="AE930" s="610"/>
      <c r="AF930" s="610"/>
      <c r="AG930" s="610"/>
      <c r="AH930" s="610"/>
      <c r="AI930" s="610"/>
      <c r="AJ930" s="610"/>
      <c r="AK930" s="610"/>
      <c r="AL930" s="610"/>
      <c r="AM930" s="610"/>
      <c r="AN930" s="610"/>
      <c r="AO930" s="610"/>
      <c r="AP930" s="610"/>
      <c r="AQ930" s="610"/>
    </row>
    <row r="931" spans="2:43" s="609" customFormat="1">
      <c r="B931" s="610"/>
      <c r="C931" s="610"/>
      <c r="D931" s="610"/>
      <c r="E931" s="610"/>
      <c r="F931" s="610"/>
      <c r="G931" s="610"/>
      <c r="H931" s="610"/>
      <c r="I931" s="610"/>
      <c r="J931" s="610"/>
      <c r="L931" s="610"/>
      <c r="M931" s="610"/>
      <c r="N931" s="610"/>
      <c r="O931" s="610"/>
      <c r="P931" s="610"/>
      <c r="Q931" s="610"/>
      <c r="R931" s="610"/>
      <c r="S931" s="610"/>
      <c r="T931" s="610"/>
      <c r="U931" s="610"/>
      <c r="V931" s="610"/>
      <c r="W931" s="610"/>
      <c r="X931" s="610"/>
      <c r="Y931" s="610"/>
      <c r="Z931" s="610"/>
      <c r="AA931" s="610"/>
      <c r="AB931" s="610"/>
      <c r="AC931" s="610"/>
      <c r="AD931" s="610"/>
      <c r="AE931" s="610"/>
      <c r="AF931" s="610"/>
      <c r="AG931" s="610"/>
      <c r="AH931" s="610"/>
      <c r="AI931" s="610"/>
      <c r="AJ931" s="610"/>
      <c r="AK931" s="610"/>
      <c r="AL931" s="610"/>
      <c r="AM931" s="610"/>
      <c r="AN931" s="610"/>
      <c r="AO931" s="610"/>
      <c r="AP931" s="610"/>
      <c r="AQ931" s="610"/>
    </row>
    <row r="932" spans="2:43" s="609" customFormat="1">
      <c r="B932" s="610"/>
      <c r="C932" s="610"/>
      <c r="D932" s="610"/>
      <c r="E932" s="610"/>
      <c r="F932" s="610"/>
      <c r="G932" s="610"/>
      <c r="H932" s="610"/>
      <c r="I932" s="610"/>
      <c r="J932" s="610"/>
      <c r="L932" s="610"/>
      <c r="M932" s="610"/>
      <c r="N932" s="610"/>
      <c r="O932" s="610"/>
      <c r="P932" s="610"/>
      <c r="Q932" s="610"/>
      <c r="R932" s="610"/>
      <c r="S932" s="610"/>
      <c r="T932" s="610"/>
      <c r="U932" s="610"/>
      <c r="V932" s="610"/>
      <c r="W932" s="610"/>
      <c r="X932" s="610"/>
      <c r="Y932" s="610"/>
      <c r="Z932" s="610"/>
      <c r="AA932" s="610"/>
      <c r="AB932" s="610"/>
      <c r="AC932" s="610"/>
      <c r="AD932" s="610"/>
      <c r="AE932" s="610"/>
      <c r="AF932" s="610"/>
      <c r="AG932" s="610"/>
      <c r="AH932" s="610"/>
      <c r="AI932" s="610"/>
      <c r="AJ932" s="610"/>
      <c r="AK932" s="610"/>
      <c r="AL932" s="610"/>
      <c r="AM932" s="610"/>
      <c r="AN932" s="610"/>
      <c r="AO932" s="610"/>
      <c r="AP932" s="610"/>
      <c r="AQ932" s="610"/>
    </row>
    <row r="933" spans="2:43" s="609" customFormat="1">
      <c r="B933" s="610"/>
      <c r="C933" s="610"/>
      <c r="D933" s="610"/>
      <c r="E933" s="610"/>
      <c r="F933" s="610"/>
      <c r="G933" s="610"/>
      <c r="H933" s="610"/>
      <c r="I933" s="610"/>
      <c r="J933" s="610"/>
      <c r="L933" s="610"/>
      <c r="M933" s="610"/>
      <c r="N933" s="610"/>
      <c r="O933" s="610"/>
      <c r="P933" s="610"/>
      <c r="Q933" s="610"/>
      <c r="R933" s="610"/>
      <c r="S933" s="610"/>
      <c r="T933" s="610"/>
      <c r="U933" s="610"/>
      <c r="V933" s="610"/>
      <c r="W933" s="610"/>
      <c r="X933" s="610"/>
      <c r="Y933" s="610"/>
      <c r="Z933" s="610"/>
      <c r="AA933" s="610"/>
      <c r="AB933" s="610"/>
      <c r="AC933" s="610"/>
      <c r="AD933" s="610"/>
      <c r="AE933" s="610"/>
      <c r="AF933" s="610"/>
      <c r="AG933" s="610"/>
      <c r="AH933" s="610"/>
      <c r="AI933" s="610"/>
      <c r="AJ933" s="610"/>
      <c r="AK933" s="610"/>
      <c r="AL933" s="610"/>
      <c r="AM933" s="610"/>
      <c r="AN933" s="610"/>
      <c r="AO933" s="610"/>
      <c r="AP933" s="610"/>
      <c r="AQ933" s="610"/>
    </row>
    <row r="934" spans="2:43" s="609" customFormat="1">
      <c r="B934" s="610"/>
      <c r="C934" s="610"/>
      <c r="D934" s="610"/>
      <c r="E934" s="610"/>
      <c r="F934" s="610"/>
      <c r="G934" s="610"/>
      <c r="H934" s="610"/>
      <c r="I934" s="610"/>
      <c r="J934" s="610"/>
      <c r="L934" s="610"/>
      <c r="M934" s="610"/>
      <c r="N934" s="610"/>
      <c r="O934" s="610"/>
      <c r="P934" s="610"/>
      <c r="Q934" s="610"/>
      <c r="R934" s="610"/>
      <c r="S934" s="610"/>
      <c r="T934" s="610"/>
      <c r="U934" s="610"/>
      <c r="V934" s="610"/>
      <c r="W934" s="610"/>
      <c r="X934" s="610"/>
      <c r="Y934" s="610"/>
      <c r="Z934" s="610"/>
      <c r="AA934" s="610"/>
      <c r="AB934" s="610"/>
      <c r="AC934" s="610"/>
      <c r="AD934" s="610"/>
      <c r="AE934" s="610"/>
      <c r="AF934" s="610"/>
      <c r="AG934" s="610"/>
      <c r="AH934" s="610"/>
      <c r="AI934" s="610"/>
      <c r="AJ934" s="610"/>
      <c r="AK934" s="610"/>
      <c r="AL934" s="610"/>
      <c r="AM934" s="610"/>
      <c r="AN934" s="610"/>
      <c r="AO934" s="610"/>
      <c r="AP934" s="610"/>
      <c r="AQ934" s="610"/>
    </row>
    <row r="935" spans="2:43" s="609" customFormat="1">
      <c r="B935" s="610"/>
      <c r="C935" s="610"/>
      <c r="D935" s="610"/>
      <c r="E935" s="610"/>
      <c r="F935" s="610"/>
      <c r="G935" s="610"/>
      <c r="H935" s="610"/>
      <c r="I935" s="610"/>
      <c r="J935" s="610"/>
      <c r="L935" s="610"/>
      <c r="M935" s="610"/>
      <c r="N935" s="610"/>
      <c r="O935" s="610"/>
      <c r="P935" s="610"/>
      <c r="Q935" s="610"/>
      <c r="R935" s="610"/>
      <c r="S935" s="610"/>
      <c r="T935" s="610"/>
      <c r="U935" s="610"/>
      <c r="V935" s="610"/>
      <c r="W935" s="610"/>
      <c r="X935" s="610"/>
      <c r="Y935" s="610"/>
      <c r="Z935" s="610"/>
      <c r="AA935" s="610"/>
      <c r="AB935" s="610"/>
      <c r="AC935" s="610"/>
      <c r="AD935" s="610"/>
      <c r="AE935" s="610"/>
      <c r="AF935" s="610"/>
      <c r="AG935" s="610"/>
      <c r="AH935" s="610"/>
      <c r="AI935" s="610"/>
      <c r="AJ935" s="610"/>
      <c r="AK935" s="610"/>
      <c r="AL935" s="610"/>
      <c r="AM935" s="610"/>
      <c r="AN935" s="610"/>
      <c r="AO935" s="610"/>
      <c r="AP935" s="610"/>
      <c r="AQ935" s="610"/>
    </row>
    <row r="936" spans="2:43" s="609" customFormat="1">
      <c r="B936" s="610"/>
      <c r="C936" s="610"/>
      <c r="D936" s="610"/>
      <c r="E936" s="610"/>
      <c r="F936" s="610"/>
      <c r="G936" s="610"/>
      <c r="H936" s="610"/>
      <c r="I936" s="610"/>
      <c r="J936" s="610"/>
      <c r="L936" s="610"/>
      <c r="M936" s="610"/>
      <c r="N936" s="610"/>
      <c r="O936" s="610"/>
      <c r="P936" s="610"/>
      <c r="Q936" s="610"/>
      <c r="R936" s="610"/>
      <c r="S936" s="610"/>
      <c r="T936" s="610"/>
      <c r="U936" s="610"/>
      <c r="V936" s="610"/>
      <c r="W936" s="610"/>
      <c r="X936" s="610"/>
      <c r="Y936" s="610"/>
      <c r="Z936" s="610"/>
      <c r="AA936" s="610"/>
      <c r="AB936" s="610"/>
      <c r="AC936" s="610"/>
      <c r="AD936" s="610"/>
      <c r="AE936" s="610"/>
      <c r="AF936" s="610"/>
      <c r="AG936" s="610"/>
      <c r="AH936" s="610"/>
      <c r="AI936" s="610"/>
      <c r="AJ936" s="610"/>
      <c r="AK936" s="610"/>
      <c r="AL936" s="610"/>
      <c r="AM936" s="610"/>
      <c r="AN936" s="610"/>
      <c r="AO936" s="610"/>
      <c r="AP936" s="610"/>
      <c r="AQ936" s="610"/>
    </row>
    <row r="937" spans="2:43" s="609" customFormat="1">
      <c r="B937" s="610"/>
      <c r="C937" s="610"/>
      <c r="D937" s="610"/>
      <c r="E937" s="610"/>
      <c r="F937" s="610"/>
      <c r="G937" s="610"/>
      <c r="H937" s="610"/>
      <c r="I937" s="610"/>
      <c r="J937" s="610"/>
      <c r="L937" s="610"/>
      <c r="M937" s="610"/>
      <c r="N937" s="610"/>
      <c r="O937" s="610"/>
      <c r="P937" s="610"/>
      <c r="Q937" s="610"/>
      <c r="R937" s="610"/>
      <c r="S937" s="610"/>
      <c r="T937" s="610"/>
      <c r="U937" s="610"/>
      <c r="V937" s="610"/>
      <c r="W937" s="610"/>
      <c r="X937" s="610"/>
      <c r="Y937" s="610"/>
      <c r="Z937" s="610"/>
      <c r="AA937" s="610"/>
      <c r="AB937" s="610"/>
      <c r="AC937" s="610"/>
      <c r="AD937" s="610"/>
      <c r="AE937" s="610"/>
      <c r="AF937" s="610"/>
      <c r="AG937" s="610"/>
      <c r="AH937" s="610"/>
      <c r="AI937" s="610"/>
      <c r="AJ937" s="610"/>
      <c r="AK937" s="610"/>
      <c r="AL937" s="610"/>
      <c r="AM937" s="610"/>
      <c r="AN937" s="610"/>
      <c r="AO937" s="610"/>
      <c r="AP937" s="610"/>
      <c r="AQ937" s="610"/>
    </row>
    <row r="938" spans="2:43" s="609" customFormat="1">
      <c r="B938" s="610"/>
      <c r="C938" s="610"/>
      <c r="D938" s="610"/>
      <c r="E938" s="610"/>
      <c r="F938" s="610"/>
      <c r="G938" s="610"/>
      <c r="H938" s="610"/>
      <c r="I938" s="610"/>
      <c r="J938" s="610"/>
      <c r="L938" s="610"/>
      <c r="M938" s="610"/>
      <c r="N938" s="610"/>
      <c r="O938" s="610"/>
      <c r="P938" s="610"/>
      <c r="Q938" s="610"/>
      <c r="R938" s="610"/>
      <c r="S938" s="610"/>
      <c r="T938" s="610"/>
      <c r="U938" s="610"/>
      <c r="V938" s="610"/>
      <c r="W938" s="610"/>
      <c r="X938" s="610"/>
      <c r="Y938" s="610"/>
      <c r="Z938" s="610"/>
      <c r="AA938" s="610"/>
      <c r="AB938" s="610"/>
      <c r="AC938" s="610"/>
      <c r="AD938" s="610"/>
      <c r="AE938" s="610"/>
      <c r="AF938" s="610"/>
      <c r="AG938" s="610"/>
      <c r="AH938" s="610"/>
      <c r="AI938" s="610"/>
      <c r="AJ938" s="610"/>
      <c r="AK938" s="610"/>
      <c r="AL938" s="610"/>
      <c r="AM938" s="610"/>
      <c r="AN938" s="610"/>
      <c r="AO938" s="610"/>
      <c r="AP938" s="610"/>
      <c r="AQ938" s="610"/>
    </row>
    <row r="939" spans="2:43" s="609" customFormat="1">
      <c r="B939" s="610"/>
      <c r="C939" s="610"/>
      <c r="D939" s="610"/>
      <c r="E939" s="610"/>
      <c r="F939" s="610"/>
      <c r="G939" s="610"/>
      <c r="H939" s="610"/>
      <c r="I939" s="610"/>
      <c r="J939" s="610"/>
      <c r="L939" s="610"/>
      <c r="M939" s="610"/>
      <c r="N939" s="610"/>
      <c r="O939" s="610"/>
      <c r="P939" s="610"/>
      <c r="Q939" s="610"/>
      <c r="R939" s="610"/>
      <c r="S939" s="610"/>
      <c r="T939" s="610"/>
      <c r="U939" s="610"/>
      <c r="V939" s="610"/>
      <c r="W939" s="610"/>
      <c r="X939" s="610"/>
      <c r="Y939" s="610"/>
      <c r="Z939" s="610"/>
      <c r="AA939" s="610"/>
      <c r="AB939" s="610"/>
      <c r="AC939" s="610"/>
      <c r="AD939" s="610"/>
      <c r="AE939" s="610"/>
      <c r="AF939" s="610"/>
      <c r="AG939" s="610"/>
      <c r="AH939" s="610"/>
      <c r="AI939" s="610"/>
      <c r="AJ939" s="610"/>
      <c r="AK939" s="610"/>
      <c r="AL939" s="610"/>
      <c r="AM939" s="610"/>
      <c r="AN939" s="610"/>
      <c r="AO939" s="610"/>
      <c r="AP939" s="610"/>
      <c r="AQ939" s="610"/>
    </row>
    <row r="940" spans="2:43" s="609" customFormat="1">
      <c r="B940" s="610"/>
      <c r="C940" s="610"/>
      <c r="D940" s="610"/>
      <c r="E940" s="610"/>
      <c r="F940" s="610"/>
      <c r="G940" s="610"/>
      <c r="H940" s="610"/>
      <c r="I940" s="610"/>
      <c r="J940" s="610"/>
      <c r="L940" s="610"/>
      <c r="M940" s="610"/>
      <c r="N940" s="610"/>
      <c r="O940" s="610"/>
      <c r="P940" s="610"/>
      <c r="Q940" s="610"/>
      <c r="R940" s="610"/>
      <c r="S940" s="610"/>
      <c r="T940" s="610"/>
      <c r="U940" s="610"/>
      <c r="V940" s="610"/>
      <c r="W940" s="610"/>
      <c r="X940" s="610"/>
      <c r="Y940" s="610"/>
      <c r="Z940" s="610"/>
      <c r="AA940" s="610"/>
      <c r="AB940" s="610"/>
      <c r="AC940" s="610"/>
      <c r="AD940" s="610"/>
      <c r="AE940" s="610"/>
      <c r="AF940" s="610"/>
      <c r="AG940" s="610"/>
      <c r="AH940" s="610"/>
      <c r="AI940" s="610"/>
      <c r="AJ940" s="610"/>
      <c r="AK940" s="610"/>
      <c r="AL940" s="610"/>
      <c r="AM940" s="610"/>
      <c r="AN940" s="610"/>
      <c r="AO940" s="610"/>
      <c r="AP940" s="610"/>
      <c r="AQ940" s="610"/>
    </row>
    <row r="941" spans="2:43" s="609" customFormat="1">
      <c r="B941" s="610"/>
      <c r="C941" s="610"/>
      <c r="D941" s="610"/>
      <c r="E941" s="610"/>
      <c r="F941" s="610"/>
      <c r="G941" s="610"/>
      <c r="H941" s="610"/>
      <c r="I941" s="610"/>
      <c r="J941" s="610"/>
      <c r="L941" s="610"/>
      <c r="M941" s="610"/>
      <c r="N941" s="610"/>
      <c r="O941" s="610"/>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c r="AN941" s="610"/>
      <c r="AO941" s="610"/>
      <c r="AP941" s="610"/>
      <c r="AQ941" s="610"/>
    </row>
    <row r="942" spans="2:43" s="609" customFormat="1">
      <c r="B942" s="610"/>
      <c r="C942" s="610"/>
      <c r="D942" s="610"/>
      <c r="E942" s="610"/>
      <c r="F942" s="610"/>
      <c r="G942" s="610"/>
      <c r="H942" s="610"/>
      <c r="I942" s="610"/>
      <c r="J942" s="610"/>
      <c r="L942" s="610"/>
      <c r="M942" s="610"/>
      <c r="N942" s="610"/>
      <c r="O942" s="610"/>
      <c r="P942" s="610"/>
      <c r="Q942" s="610"/>
      <c r="R942" s="610"/>
      <c r="S942" s="610"/>
      <c r="T942" s="610"/>
      <c r="U942" s="610"/>
      <c r="V942" s="610"/>
      <c r="W942" s="610"/>
      <c r="X942" s="610"/>
      <c r="Y942" s="610"/>
      <c r="Z942" s="610"/>
      <c r="AA942" s="610"/>
      <c r="AB942" s="610"/>
      <c r="AC942" s="610"/>
      <c r="AD942" s="610"/>
      <c r="AE942" s="610"/>
      <c r="AF942" s="610"/>
      <c r="AG942" s="610"/>
      <c r="AH942" s="610"/>
      <c r="AI942" s="610"/>
      <c r="AJ942" s="610"/>
      <c r="AK942" s="610"/>
      <c r="AL942" s="610"/>
      <c r="AM942" s="610"/>
      <c r="AN942" s="610"/>
      <c r="AO942" s="610"/>
      <c r="AP942" s="610"/>
      <c r="AQ942" s="610"/>
    </row>
    <row r="943" spans="2:43" s="609" customFormat="1">
      <c r="B943" s="610"/>
      <c r="C943" s="610"/>
      <c r="D943" s="610"/>
      <c r="E943" s="610"/>
      <c r="F943" s="610"/>
      <c r="G943" s="610"/>
      <c r="H943" s="610"/>
      <c r="I943" s="610"/>
      <c r="J943" s="610"/>
      <c r="L943" s="610"/>
      <c r="M943" s="610"/>
      <c r="N943" s="610"/>
      <c r="O943" s="610"/>
      <c r="P943" s="610"/>
      <c r="Q943" s="610"/>
      <c r="R943" s="610"/>
      <c r="S943" s="610"/>
      <c r="T943" s="610"/>
      <c r="U943" s="610"/>
      <c r="V943" s="610"/>
      <c r="W943" s="610"/>
      <c r="X943" s="610"/>
      <c r="Y943" s="610"/>
      <c r="Z943" s="610"/>
      <c r="AA943" s="610"/>
      <c r="AB943" s="610"/>
      <c r="AC943" s="610"/>
      <c r="AD943" s="610"/>
      <c r="AE943" s="610"/>
      <c r="AF943" s="610"/>
      <c r="AG943" s="610"/>
      <c r="AH943" s="610"/>
      <c r="AI943" s="610"/>
      <c r="AJ943" s="610"/>
      <c r="AK943" s="610"/>
      <c r="AL943" s="610"/>
      <c r="AM943" s="610"/>
      <c r="AN943" s="610"/>
      <c r="AO943" s="610"/>
      <c r="AP943" s="610"/>
      <c r="AQ943" s="610"/>
    </row>
    <row r="944" spans="2:43" s="609" customFormat="1">
      <c r="B944" s="610"/>
      <c r="C944" s="610"/>
      <c r="D944" s="610"/>
      <c r="E944" s="610"/>
      <c r="F944" s="610"/>
      <c r="G944" s="610"/>
      <c r="H944" s="610"/>
      <c r="I944" s="610"/>
      <c r="J944" s="610"/>
      <c r="L944" s="610"/>
      <c r="M944" s="610"/>
      <c r="N944" s="610"/>
      <c r="O944" s="610"/>
      <c r="P944" s="610"/>
      <c r="Q944" s="610"/>
      <c r="R944" s="610"/>
      <c r="S944" s="610"/>
      <c r="T944" s="610"/>
      <c r="U944" s="610"/>
      <c r="V944" s="610"/>
      <c r="W944" s="610"/>
      <c r="X944" s="610"/>
      <c r="Y944" s="610"/>
      <c r="Z944" s="610"/>
      <c r="AA944" s="610"/>
      <c r="AB944" s="610"/>
      <c r="AC944" s="610"/>
      <c r="AD944" s="610"/>
      <c r="AE944" s="610"/>
      <c r="AF944" s="610"/>
      <c r="AG944" s="610"/>
      <c r="AH944" s="610"/>
      <c r="AI944" s="610"/>
      <c r="AJ944" s="610"/>
      <c r="AK944" s="610"/>
      <c r="AL944" s="610"/>
      <c r="AM944" s="610"/>
      <c r="AN944" s="610"/>
      <c r="AO944" s="610"/>
      <c r="AP944" s="610"/>
      <c r="AQ944" s="610"/>
    </row>
    <row r="945" spans="2:43" s="609" customFormat="1">
      <c r="B945" s="610"/>
      <c r="C945" s="610"/>
      <c r="D945" s="610"/>
      <c r="E945" s="610"/>
      <c r="F945" s="610"/>
      <c r="G945" s="610"/>
      <c r="H945" s="610"/>
      <c r="I945" s="610"/>
      <c r="J945" s="610"/>
      <c r="L945" s="610"/>
      <c r="M945" s="610"/>
      <c r="N945" s="610"/>
      <c r="O945" s="610"/>
      <c r="P945" s="610"/>
      <c r="Q945" s="610"/>
      <c r="R945" s="610"/>
      <c r="S945" s="610"/>
      <c r="T945" s="610"/>
      <c r="U945" s="610"/>
      <c r="V945" s="610"/>
      <c r="W945" s="610"/>
      <c r="X945" s="610"/>
      <c r="Y945" s="610"/>
      <c r="Z945" s="610"/>
      <c r="AA945" s="610"/>
      <c r="AB945" s="610"/>
      <c r="AC945" s="610"/>
      <c r="AD945" s="610"/>
      <c r="AE945" s="610"/>
      <c r="AF945" s="610"/>
      <c r="AG945" s="610"/>
      <c r="AH945" s="610"/>
      <c r="AI945" s="610"/>
      <c r="AJ945" s="610"/>
      <c r="AK945" s="610"/>
      <c r="AL945" s="610"/>
      <c r="AM945" s="610"/>
      <c r="AN945" s="610"/>
      <c r="AO945" s="610"/>
      <c r="AP945" s="610"/>
      <c r="AQ945" s="610"/>
    </row>
    <row r="946" spans="2:43" s="609" customFormat="1">
      <c r="B946" s="610"/>
      <c r="C946" s="610"/>
      <c r="D946" s="610"/>
      <c r="E946" s="610"/>
      <c r="F946" s="610"/>
      <c r="G946" s="610"/>
      <c r="H946" s="610"/>
      <c r="I946" s="610"/>
      <c r="J946" s="610"/>
      <c r="L946" s="610"/>
      <c r="M946" s="610"/>
      <c r="N946" s="610"/>
      <c r="O946" s="610"/>
      <c r="P946" s="610"/>
      <c r="Q946" s="610"/>
      <c r="R946" s="610"/>
      <c r="S946" s="610"/>
      <c r="T946" s="610"/>
      <c r="U946" s="610"/>
      <c r="V946" s="610"/>
      <c r="W946" s="610"/>
      <c r="X946" s="610"/>
      <c r="Y946" s="610"/>
      <c r="Z946" s="610"/>
      <c r="AA946" s="610"/>
      <c r="AB946" s="610"/>
      <c r="AC946" s="610"/>
      <c r="AD946" s="610"/>
      <c r="AE946" s="610"/>
      <c r="AF946" s="610"/>
      <c r="AG946" s="610"/>
      <c r="AH946" s="610"/>
      <c r="AI946" s="610"/>
      <c r="AJ946" s="610"/>
      <c r="AK946" s="610"/>
      <c r="AL946" s="610"/>
      <c r="AM946" s="610"/>
      <c r="AN946" s="610"/>
      <c r="AO946" s="610"/>
      <c r="AP946" s="610"/>
      <c r="AQ946" s="610"/>
    </row>
    <row r="947" spans="2:43" s="609" customFormat="1">
      <c r="B947" s="610"/>
      <c r="C947" s="610"/>
      <c r="D947" s="610"/>
      <c r="E947" s="610"/>
      <c r="F947" s="610"/>
      <c r="G947" s="610"/>
      <c r="H947" s="610"/>
      <c r="I947" s="610"/>
      <c r="J947" s="610"/>
      <c r="L947" s="610"/>
      <c r="M947" s="610"/>
      <c r="N947" s="610"/>
      <c r="O947" s="610"/>
      <c r="P947" s="610"/>
      <c r="Q947" s="610"/>
      <c r="R947" s="610"/>
      <c r="S947" s="610"/>
      <c r="T947" s="610"/>
      <c r="U947" s="610"/>
      <c r="V947" s="610"/>
      <c r="W947" s="610"/>
      <c r="X947" s="610"/>
      <c r="Y947" s="610"/>
      <c r="Z947" s="610"/>
      <c r="AA947" s="610"/>
      <c r="AB947" s="610"/>
      <c r="AC947" s="610"/>
      <c r="AD947" s="610"/>
      <c r="AE947" s="610"/>
      <c r="AF947" s="610"/>
      <c r="AG947" s="610"/>
      <c r="AH947" s="610"/>
      <c r="AI947" s="610"/>
      <c r="AJ947" s="610"/>
      <c r="AK947" s="610"/>
      <c r="AL947" s="610"/>
      <c r="AM947" s="610"/>
      <c r="AN947" s="610"/>
      <c r="AO947" s="610"/>
      <c r="AP947" s="610"/>
      <c r="AQ947" s="610"/>
    </row>
    <row r="948" spans="2:43" s="609" customFormat="1">
      <c r="B948" s="610"/>
      <c r="C948" s="610"/>
      <c r="D948" s="610"/>
      <c r="E948" s="610"/>
      <c r="F948" s="610"/>
      <c r="G948" s="610"/>
      <c r="H948" s="610"/>
      <c r="I948" s="610"/>
      <c r="J948" s="610"/>
      <c r="L948" s="610"/>
      <c r="M948" s="610"/>
      <c r="N948" s="610"/>
      <c r="O948" s="610"/>
      <c r="P948" s="610"/>
      <c r="Q948" s="610"/>
      <c r="R948" s="610"/>
      <c r="S948" s="610"/>
      <c r="T948" s="610"/>
      <c r="U948" s="610"/>
      <c r="V948" s="610"/>
      <c r="W948" s="610"/>
      <c r="X948" s="610"/>
      <c r="Y948" s="610"/>
      <c r="Z948" s="610"/>
      <c r="AA948" s="610"/>
      <c r="AB948" s="610"/>
      <c r="AC948" s="610"/>
      <c r="AD948" s="610"/>
      <c r="AE948" s="610"/>
      <c r="AF948" s="610"/>
      <c r="AG948" s="610"/>
      <c r="AH948" s="610"/>
      <c r="AI948" s="610"/>
      <c r="AJ948" s="610"/>
      <c r="AK948" s="610"/>
      <c r="AL948" s="610"/>
      <c r="AM948" s="610"/>
      <c r="AN948" s="610"/>
      <c r="AO948" s="610"/>
      <c r="AP948" s="610"/>
      <c r="AQ948" s="610"/>
    </row>
    <row r="949" spans="2:43" s="609" customFormat="1">
      <c r="B949" s="610"/>
      <c r="C949" s="610"/>
      <c r="D949" s="610"/>
      <c r="E949" s="610"/>
      <c r="F949" s="610"/>
      <c r="G949" s="610"/>
      <c r="H949" s="610"/>
      <c r="I949" s="610"/>
      <c r="J949" s="610"/>
      <c r="L949" s="610"/>
      <c r="M949" s="610"/>
      <c r="N949" s="610"/>
      <c r="O949" s="610"/>
      <c r="P949" s="610"/>
      <c r="Q949" s="610"/>
      <c r="R949" s="610"/>
      <c r="S949" s="610"/>
      <c r="T949" s="610"/>
      <c r="U949" s="610"/>
      <c r="V949" s="610"/>
      <c r="W949" s="610"/>
      <c r="X949" s="610"/>
      <c r="Y949" s="610"/>
      <c r="Z949" s="610"/>
      <c r="AA949" s="610"/>
      <c r="AB949" s="610"/>
      <c r="AC949" s="610"/>
      <c r="AD949" s="610"/>
      <c r="AE949" s="610"/>
      <c r="AF949" s="610"/>
      <c r="AG949" s="610"/>
      <c r="AH949" s="610"/>
      <c r="AI949" s="610"/>
      <c r="AJ949" s="610"/>
      <c r="AK949" s="610"/>
      <c r="AL949" s="610"/>
      <c r="AM949" s="610"/>
      <c r="AN949" s="610"/>
      <c r="AO949" s="610"/>
      <c r="AP949" s="610"/>
      <c r="AQ949" s="610"/>
    </row>
    <row r="950" spans="2:43" s="609" customFormat="1">
      <c r="B950" s="610"/>
      <c r="C950" s="610"/>
      <c r="D950" s="610"/>
      <c r="E950" s="610"/>
      <c r="F950" s="610"/>
      <c r="G950" s="610"/>
      <c r="H950" s="610"/>
      <c r="I950" s="610"/>
      <c r="J950" s="610"/>
      <c r="L950" s="610"/>
      <c r="M950" s="610"/>
      <c r="N950" s="610"/>
      <c r="O950" s="610"/>
      <c r="P950" s="610"/>
      <c r="Q950" s="610"/>
      <c r="R950" s="610"/>
      <c r="S950" s="610"/>
      <c r="T950" s="610"/>
      <c r="U950" s="610"/>
      <c r="V950" s="610"/>
      <c r="W950" s="610"/>
      <c r="X950" s="610"/>
      <c r="Y950" s="610"/>
      <c r="Z950" s="610"/>
      <c r="AA950" s="610"/>
      <c r="AB950" s="610"/>
      <c r="AC950" s="610"/>
      <c r="AD950" s="610"/>
      <c r="AE950" s="610"/>
      <c r="AF950" s="610"/>
      <c r="AG950" s="610"/>
      <c r="AH950" s="610"/>
      <c r="AI950" s="610"/>
      <c r="AJ950" s="610"/>
      <c r="AK950" s="610"/>
      <c r="AL950" s="610"/>
      <c r="AM950" s="610"/>
      <c r="AN950" s="610"/>
      <c r="AO950" s="610"/>
      <c r="AP950" s="610"/>
      <c r="AQ950" s="610"/>
    </row>
    <row r="951" spans="2:43" s="609" customFormat="1">
      <c r="B951" s="610"/>
      <c r="C951" s="610"/>
      <c r="D951" s="610"/>
      <c r="E951" s="610"/>
      <c r="F951" s="610"/>
      <c r="G951" s="610"/>
      <c r="H951" s="610"/>
      <c r="I951" s="610"/>
      <c r="J951" s="610"/>
      <c r="L951" s="610"/>
      <c r="M951" s="610"/>
      <c r="N951" s="610"/>
      <c r="O951" s="610"/>
      <c r="P951" s="610"/>
      <c r="Q951" s="610"/>
      <c r="R951" s="610"/>
      <c r="S951" s="610"/>
      <c r="T951" s="610"/>
      <c r="U951" s="610"/>
      <c r="V951" s="610"/>
      <c r="W951" s="610"/>
      <c r="X951" s="610"/>
      <c r="Y951" s="610"/>
      <c r="Z951" s="610"/>
      <c r="AA951" s="610"/>
      <c r="AB951" s="610"/>
      <c r="AC951" s="610"/>
      <c r="AD951" s="610"/>
      <c r="AE951" s="610"/>
      <c r="AF951" s="610"/>
      <c r="AG951" s="610"/>
      <c r="AH951" s="610"/>
      <c r="AI951" s="610"/>
      <c r="AJ951" s="610"/>
      <c r="AK951" s="610"/>
      <c r="AL951" s="610"/>
      <c r="AM951" s="610"/>
      <c r="AN951" s="610"/>
      <c r="AO951" s="610"/>
      <c r="AP951" s="610"/>
      <c r="AQ951" s="610"/>
    </row>
    <row r="952" spans="2:43" s="609" customFormat="1">
      <c r="B952" s="610"/>
      <c r="C952" s="610"/>
      <c r="D952" s="610"/>
      <c r="E952" s="610"/>
      <c r="F952" s="610"/>
      <c r="G952" s="610"/>
      <c r="H952" s="610"/>
      <c r="I952" s="610"/>
      <c r="J952" s="610"/>
      <c r="L952" s="610"/>
      <c r="M952" s="610"/>
      <c r="N952" s="610"/>
      <c r="O952" s="610"/>
      <c r="P952" s="610"/>
      <c r="Q952" s="610"/>
      <c r="R952" s="610"/>
      <c r="S952" s="610"/>
      <c r="T952" s="610"/>
      <c r="U952" s="610"/>
      <c r="V952" s="610"/>
      <c r="W952" s="610"/>
      <c r="X952" s="610"/>
      <c r="Y952" s="610"/>
      <c r="Z952" s="610"/>
      <c r="AA952" s="610"/>
      <c r="AB952" s="610"/>
      <c r="AC952" s="610"/>
      <c r="AD952" s="610"/>
      <c r="AE952" s="610"/>
      <c r="AF952" s="610"/>
      <c r="AG952" s="610"/>
      <c r="AH952" s="610"/>
      <c r="AI952" s="610"/>
      <c r="AJ952" s="610"/>
      <c r="AK952" s="610"/>
      <c r="AL952" s="610"/>
      <c r="AM952" s="610"/>
      <c r="AN952" s="610"/>
      <c r="AO952" s="610"/>
      <c r="AP952" s="610"/>
      <c r="AQ952" s="610"/>
    </row>
    <row r="953" spans="2:43" s="609" customFormat="1">
      <c r="B953" s="610"/>
      <c r="C953" s="610"/>
      <c r="D953" s="610"/>
      <c r="E953" s="610"/>
      <c r="F953" s="610"/>
      <c r="G953" s="610"/>
      <c r="H953" s="610"/>
      <c r="I953" s="610"/>
      <c r="J953" s="610"/>
      <c r="L953" s="610"/>
      <c r="M953" s="610"/>
      <c r="N953" s="610"/>
      <c r="O953" s="610"/>
      <c r="P953" s="610"/>
      <c r="Q953" s="610"/>
      <c r="R953" s="610"/>
      <c r="S953" s="610"/>
      <c r="T953" s="610"/>
      <c r="U953" s="610"/>
      <c r="V953" s="610"/>
      <c r="W953" s="610"/>
      <c r="X953" s="610"/>
      <c r="Y953" s="610"/>
      <c r="Z953" s="610"/>
      <c r="AA953" s="610"/>
      <c r="AB953" s="610"/>
      <c r="AC953" s="610"/>
      <c r="AD953" s="610"/>
      <c r="AE953" s="610"/>
      <c r="AF953" s="610"/>
      <c r="AG953" s="610"/>
      <c r="AH953" s="610"/>
      <c r="AI953" s="610"/>
      <c r="AJ953" s="610"/>
      <c r="AK953" s="610"/>
      <c r="AL953" s="610"/>
      <c r="AM953" s="610"/>
      <c r="AN953" s="610"/>
      <c r="AO953" s="610"/>
      <c r="AP953" s="610"/>
      <c r="AQ953" s="610"/>
    </row>
    <row r="954" spans="2:43" s="609" customFormat="1">
      <c r="B954" s="610"/>
      <c r="C954" s="610"/>
      <c r="D954" s="610"/>
      <c r="E954" s="610"/>
      <c r="F954" s="610"/>
      <c r="G954" s="610"/>
      <c r="H954" s="610"/>
      <c r="I954" s="610"/>
      <c r="J954" s="610"/>
      <c r="L954" s="610"/>
      <c r="M954" s="610"/>
      <c r="N954" s="610"/>
      <c r="O954" s="610"/>
      <c r="P954" s="610"/>
      <c r="Q954" s="610"/>
      <c r="R954" s="610"/>
      <c r="S954" s="610"/>
      <c r="T954" s="610"/>
      <c r="U954" s="610"/>
      <c r="V954" s="610"/>
      <c r="W954" s="610"/>
      <c r="X954" s="610"/>
      <c r="Y954" s="610"/>
      <c r="Z954" s="610"/>
      <c r="AA954" s="610"/>
      <c r="AB954" s="610"/>
      <c r="AC954" s="610"/>
      <c r="AD954" s="610"/>
      <c r="AE954" s="610"/>
      <c r="AF954" s="610"/>
      <c r="AG954" s="610"/>
      <c r="AH954" s="610"/>
      <c r="AI954" s="610"/>
      <c r="AJ954" s="610"/>
      <c r="AK954" s="610"/>
      <c r="AL954" s="610"/>
      <c r="AM954" s="610"/>
      <c r="AN954" s="610"/>
      <c r="AO954" s="610"/>
      <c r="AP954" s="610"/>
      <c r="AQ954" s="610"/>
    </row>
    <row r="955" spans="2:43" s="609" customFormat="1">
      <c r="B955" s="610"/>
      <c r="C955" s="610"/>
      <c r="D955" s="610"/>
      <c r="E955" s="610"/>
      <c r="F955" s="610"/>
      <c r="G955" s="610"/>
      <c r="H955" s="610"/>
      <c r="I955" s="610"/>
      <c r="J955" s="610"/>
      <c r="L955" s="610"/>
      <c r="M955" s="610"/>
      <c r="N955" s="610"/>
      <c r="O955" s="610"/>
      <c r="P955" s="610"/>
      <c r="Q955" s="610"/>
      <c r="R955" s="610"/>
      <c r="S955" s="610"/>
      <c r="T955" s="610"/>
      <c r="U955" s="610"/>
      <c r="V955" s="610"/>
      <c r="W955" s="610"/>
      <c r="X955" s="610"/>
      <c r="Y955" s="610"/>
      <c r="Z955" s="610"/>
      <c r="AA955" s="610"/>
      <c r="AB955" s="610"/>
      <c r="AC955" s="610"/>
      <c r="AD955" s="610"/>
      <c r="AE955" s="610"/>
      <c r="AF955" s="610"/>
      <c r="AG955" s="610"/>
      <c r="AH955" s="610"/>
      <c r="AI955" s="610"/>
      <c r="AJ955" s="610"/>
      <c r="AK955" s="610"/>
      <c r="AL955" s="610"/>
      <c r="AM955" s="610"/>
      <c r="AN955" s="610"/>
      <c r="AO955" s="610"/>
      <c r="AP955" s="610"/>
      <c r="AQ955" s="610"/>
    </row>
    <row r="956" spans="2:43" s="609" customFormat="1">
      <c r="B956" s="610"/>
      <c r="C956" s="610"/>
      <c r="D956" s="610"/>
      <c r="E956" s="610"/>
      <c r="F956" s="610"/>
      <c r="G956" s="610"/>
      <c r="H956" s="610"/>
      <c r="I956" s="610"/>
      <c r="J956" s="610"/>
      <c r="L956" s="610"/>
      <c r="M956" s="610"/>
      <c r="N956" s="610"/>
      <c r="O956" s="610"/>
      <c r="P956" s="610"/>
      <c r="Q956" s="610"/>
      <c r="R956" s="610"/>
      <c r="S956" s="610"/>
      <c r="T956" s="610"/>
      <c r="U956" s="610"/>
      <c r="V956" s="610"/>
      <c r="W956" s="610"/>
      <c r="X956" s="610"/>
      <c r="Y956" s="610"/>
      <c r="Z956" s="610"/>
      <c r="AA956" s="610"/>
      <c r="AB956" s="610"/>
      <c r="AC956" s="610"/>
      <c r="AD956" s="610"/>
      <c r="AE956" s="610"/>
      <c r="AF956" s="610"/>
      <c r="AG956" s="610"/>
      <c r="AH956" s="610"/>
      <c r="AI956" s="610"/>
      <c r="AJ956" s="610"/>
      <c r="AK956" s="610"/>
      <c r="AL956" s="610"/>
      <c r="AM956" s="610"/>
      <c r="AN956" s="610"/>
      <c r="AO956" s="610"/>
      <c r="AP956" s="610"/>
      <c r="AQ956" s="610"/>
    </row>
    <row r="957" spans="2:43" s="609" customFormat="1">
      <c r="B957" s="610"/>
      <c r="C957" s="610"/>
      <c r="D957" s="610"/>
      <c r="E957" s="610"/>
      <c r="F957" s="610"/>
      <c r="G957" s="610"/>
      <c r="H957" s="610"/>
      <c r="I957" s="610"/>
      <c r="J957" s="610"/>
      <c r="L957" s="610"/>
      <c r="M957" s="610"/>
      <c r="N957" s="610"/>
      <c r="O957" s="610"/>
      <c r="P957" s="610"/>
      <c r="Q957" s="610"/>
      <c r="R957" s="610"/>
      <c r="S957" s="610"/>
      <c r="T957" s="610"/>
      <c r="U957" s="610"/>
      <c r="V957" s="610"/>
      <c r="W957" s="610"/>
      <c r="X957" s="610"/>
      <c r="Y957" s="610"/>
      <c r="Z957" s="610"/>
      <c r="AA957" s="610"/>
      <c r="AB957" s="610"/>
      <c r="AC957" s="610"/>
      <c r="AD957" s="610"/>
      <c r="AE957" s="610"/>
      <c r="AF957" s="610"/>
      <c r="AG957" s="610"/>
      <c r="AH957" s="610"/>
      <c r="AI957" s="610"/>
      <c r="AJ957" s="610"/>
      <c r="AK957" s="610"/>
      <c r="AL957" s="610"/>
      <c r="AM957" s="610"/>
      <c r="AN957" s="610"/>
      <c r="AO957" s="610"/>
      <c r="AP957" s="610"/>
      <c r="AQ957" s="610"/>
    </row>
    <row r="958" spans="2:43" s="609" customFormat="1">
      <c r="B958" s="610"/>
      <c r="C958" s="610"/>
      <c r="D958" s="610"/>
      <c r="E958" s="610"/>
      <c r="F958" s="610"/>
      <c r="G958" s="610"/>
      <c r="H958" s="610"/>
      <c r="I958" s="610"/>
      <c r="J958" s="610"/>
      <c r="L958" s="610"/>
      <c r="M958" s="610"/>
      <c r="N958" s="610"/>
      <c r="O958" s="610"/>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c r="AN958" s="610"/>
      <c r="AO958" s="610"/>
      <c r="AP958" s="610"/>
      <c r="AQ958" s="610"/>
    </row>
    <row r="959" spans="2:43" s="609" customFormat="1">
      <c r="B959" s="610"/>
      <c r="C959" s="610"/>
      <c r="D959" s="610"/>
      <c r="E959" s="610"/>
      <c r="F959" s="610"/>
      <c r="G959" s="610"/>
      <c r="H959" s="610"/>
      <c r="I959" s="610"/>
      <c r="J959" s="610"/>
      <c r="L959" s="610"/>
      <c r="M959" s="610"/>
      <c r="N959" s="610"/>
      <c r="O959" s="610"/>
      <c r="P959" s="610"/>
      <c r="Q959" s="610"/>
      <c r="R959" s="610"/>
      <c r="S959" s="610"/>
      <c r="T959" s="610"/>
      <c r="U959" s="610"/>
      <c r="V959" s="610"/>
      <c r="W959" s="610"/>
      <c r="X959" s="610"/>
      <c r="Y959" s="610"/>
      <c r="Z959" s="610"/>
      <c r="AA959" s="610"/>
      <c r="AB959" s="610"/>
      <c r="AC959" s="610"/>
      <c r="AD959" s="610"/>
      <c r="AE959" s="610"/>
      <c r="AF959" s="610"/>
      <c r="AG959" s="610"/>
      <c r="AH959" s="610"/>
      <c r="AI959" s="610"/>
      <c r="AJ959" s="610"/>
      <c r="AK959" s="610"/>
      <c r="AL959" s="610"/>
      <c r="AM959" s="610"/>
      <c r="AN959" s="610"/>
      <c r="AO959" s="610"/>
      <c r="AP959" s="610"/>
      <c r="AQ959" s="610"/>
    </row>
    <row r="960" spans="2:43" s="609" customFormat="1">
      <c r="B960" s="610"/>
      <c r="C960" s="610"/>
      <c r="D960" s="610"/>
      <c r="E960" s="610"/>
      <c r="F960" s="610"/>
      <c r="G960" s="610"/>
      <c r="H960" s="610"/>
      <c r="I960" s="610"/>
      <c r="J960" s="610"/>
      <c r="L960" s="610"/>
      <c r="M960" s="610"/>
      <c r="N960" s="610"/>
      <c r="O960" s="610"/>
      <c r="P960" s="610"/>
      <c r="Q960" s="610"/>
      <c r="R960" s="610"/>
      <c r="S960" s="610"/>
      <c r="T960" s="610"/>
      <c r="U960" s="610"/>
      <c r="V960" s="610"/>
      <c r="W960" s="610"/>
      <c r="X960" s="610"/>
      <c r="Y960" s="610"/>
      <c r="Z960" s="610"/>
      <c r="AA960" s="610"/>
      <c r="AB960" s="610"/>
      <c r="AC960" s="610"/>
      <c r="AD960" s="610"/>
      <c r="AE960" s="610"/>
      <c r="AF960" s="610"/>
      <c r="AG960" s="610"/>
      <c r="AH960" s="610"/>
      <c r="AI960" s="610"/>
      <c r="AJ960" s="610"/>
      <c r="AK960" s="610"/>
      <c r="AL960" s="610"/>
      <c r="AM960" s="610"/>
      <c r="AN960" s="610"/>
      <c r="AO960" s="610"/>
      <c r="AP960" s="610"/>
      <c r="AQ960" s="610"/>
    </row>
    <row r="961" spans="2:43" s="609" customFormat="1">
      <c r="B961" s="610"/>
      <c r="C961" s="610"/>
      <c r="D961" s="610"/>
      <c r="E961" s="610"/>
      <c r="F961" s="610"/>
      <c r="G961" s="610"/>
      <c r="H961" s="610"/>
      <c r="I961" s="610"/>
      <c r="J961" s="610"/>
      <c r="L961" s="610"/>
      <c r="M961" s="610"/>
      <c r="N961" s="610"/>
      <c r="O961" s="610"/>
      <c r="P961" s="610"/>
      <c r="Q961" s="610"/>
      <c r="R961" s="610"/>
      <c r="S961" s="610"/>
      <c r="T961" s="610"/>
      <c r="U961" s="610"/>
      <c r="V961" s="610"/>
      <c r="W961" s="610"/>
      <c r="X961" s="610"/>
      <c r="Y961" s="610"/>
      <c r="Z961" s="610"/>
      <c r="AA961" s="610"/>
      <c r="AB961" s="610"/>
      <c r="AC961" s="610"/>
      <c r="AD961" s="610"/>
      <c r="AE961" s="610"/>
      <c r="AF961" s="610"/>
      <c r="AG961" s="610"/>
      <c r="AH961" s="610"/>
      <c r="AI961" s="610"/>
      <c r="AJ961" s="610"/>
      <c r="AK961" s="610"/>
      <c r="AL961" s="610"/>
      <c r="AM961" s="610"/>
      <c r="AN961" s="610"/>
      <c r="AO961" s="610"/>
      <c r="AP961" s="610"/>
      <c r="AQ961" s="610"/>
    </row>
    <row r="962" spans="2:43" s="609" customFormat="1">
      <c r="B962" s="610"/>
      <c r="C962" s="610"/>
      <c r="D962" s="610"/>
      <c r="E962" s="610"/>
      <c r="F962" s="610"/>
      <c r="G962" s="610"/>
      <c r="H962" s="610"/>
      <c r="I962" s="610"/>
      <c r="J962" s="610"/>
      <c r="L962" s="610"/>
      <c r="M962" s="610"/>
      <c r="N962" s="610"/>
      <c r="O962" s="610"/>
      <c r="P962" s="610"/>
      <c r="Q962" s="610"/>
      <c r="R962" s="610"/>
      <c r="S962" s="610"/>
      <c r="T962" s="610"/>
      <c r="U962" s="610"/>
      <c r="V962" s="610"/>
      <c r="W962" s="610"/>
      <c r="X962" s="610"/>
      <c r="Y962" s="610"/>
      <c r="Z962" s="610"/>
      <c r="AA962" s="610"/>
      <c r="AB962" s="610"/>
      <c r="AC962" s="610"/>
      <c r="AD962" s="610"/>
      <c r="AE962" s="610"/>
      <c r="AF962" s="610"/>
      <c r="AG962" s="610"/>
      <c r="AH962" s="610"/>
      <c r="AI962" s="610"/>
      <c r="AJ962" s="610"/>
      <c r="AK962" s="610"/>
      <c r="AL962" s="610"/>
      <c r="AM962" s="610"/>
      <c r="AN962" s="610"/>
      <c r="AO962" s="610"/>
      <c r="AP962" s="610"/>
      <c r="AQ962" s="610"/>
    </row>
    <row r="963" spans="2:43" s="609" customFormat="1">
      <c r="B963" s="610"/>
      <c r="C963" s="610"/>
      <c r="D963" s="610"/>
      <c r="E963" s="610"/>
      <c r="F963" s="610"/>
      <c r="G963" s="610"/>
      <c r="H963" s="610"/>
      <c r="I963" s="610"/>
      <c r="J963" s="610"/>
      <c r="L963" s="610"/>
      <c r="M963" s="610"/>
      <c r="N963" s="610"/>
      <c r="O963" s="610"/>
      <c r="P963" s="610"/>
      <c r="Q963" s="610"/>
      <c r="R963" s="610"/>
      <c r="S963" s="610"/>
      <c r="T963" s="610"/>
      <c r="U963" s="610"/>
      <c r="V963" s="610"/>
      <c r="W963" s="610"/>
      <c r="X963" s="610"/>
      <c r="Y963" s="610"/>
      <c r="Z963" s="610"/>
      <c r="AA963" s="610"/>
      <c r="AB963" s="610"/>
      <c r="AC963" s="610"/>
      <c r="AD963" s="610"/>
      <c r="AE963" s="610"/>
      <c r="AF963" s="610"/>
      <c r="AG963" s="610"/>
      <c r="AH963" s="610"/>
      <c r="AI963" s="610"/>
      <c r="AJ963" s="610"/>
      <c r="AK963" s="610"/>
      <c r="AL963" s="610"/>
      <c r="AM963" s="610"/>
      <c r="AN963" s="610"/>
      <c r="AO963" s="610"/>
      <c r="AP963" s="610"/>
      <c r="AQ963" s="610"/>
    </row>
    <row r="964" spans="2:43" s="609" customFormat="1">
      <c r="B964" s="610"/>
      <c r="C964" s="610"/>
      <c r="D964" s="610"/>
      <c r="E964" s="610"/>
      <c r="F964" s="610"/>
      <c r="G964" s="610"/>
      <c r="H964" s="610"/>
      <c r="I964" s="610"/>
      <c r="J964" s="610"/>
      <c r="L964" s="610"/>
      <c r="M964" s="610"/>
      <c r="N964" s="610"/>
      <c r="O964" s="610"/>
      <c r="P964" s="610"/>
      <c r="Q964" s="610"/>
      <c r="R964" s="610"/>
      <c r="S964" s="610"/>
      <c r="T964" s="610"/>
      <c r="U964" s="610"/>
      <c r="V964" s="610"/>
      <c r="W964" s="610"/>
      <c r="X964" s="610"/>
      <c r="Y964" s="610"/>
      <c r="Z964" s="610"/>
      <c r="AA964" s="610"/>
      <c r="AB964" s="610"/>
      <c r="AC964" s="610"/>
      <c r="AD964" s="610"/>
      <c r="AE964" s="610"/>
      <c r="AF964" s="610"/>
      <c r="AG964" s="610"/>
      <c r="AH964" s="610"/>
      <c r="AI964" s="610"/>
      <c r="AJ964" s="610"/>
      <c r="AK964" s="610"/>
      <c r="AL964" s="610"/>
      <c r="AM964" s="610"/>
      <c r="AN964" s="610"/>
      <c r="AO964" s="610"/>
      <c r="AP964" s="610"/>
      <c r="AQ964" s="610"/>
    </row>
    <row r="965" spans="2:43" s="609" customFormat="1">
      <c r="B965" s="610"/>
      <c r="C965" s="610"/>
      <c r="D965" s="610"/>
      <c r="E965" s="610"/>
      <c r="F965" s="610"/>
      <c r="G965" s="610"/>
      <c r="H965" s="610"/>
      <c r="I965" s="610"/>
      <c r="J965" s="610"/>
      <c r="L965" s="610"/>
      <c r="M965" s="610"/>
      <c r="N965" s="610"/>
      <c r="O965" s="610"/>
      <c r="P965" s="610"/>
      <c r="Q965" s="610"/>
      <c r="R965" s="610"/>
      <c r="S965" s="610"/>
      <c r="T965" s="610"/>
      <c r="U965" s="610"/>
      <c r="V965" s="610"/>
      <c r="W965" s="610"/>
      <c r="X965" s="610"/>
      <c r="Y965" s="610"/>
      <c r="Z965" s="610"/>
      <c r="AA965" s="610"/>
      <c r="AB965" s="610"/>
      <c r="AC965" s="610"/>
      <c r="AD965" s="610"/>
      <c r="AE965" s="610"/>
      <c r="AF965" s="610"/>
      <c r="AG965" s="610"/>
      <c r="AH965" s="610"/>
      <c r="AI965" s="610"/>
      <c r="AJ965" s="610"/>
      <c r="AK965" s="610"/>
      <c r="AL965" s="610"/>
      <c r="AM965" s="610"/>
      <c r="AN965" s="610"/>
      <c r="AO965" s="610"/>
      <c r="AP965" s="610"/>
      <c r="AQ965" s="610"/>
    </row>
    <row r="966" spans="2:43" s="609" customFormat="1">
      <c r="B966" s="610"/>
      <c r="C966" s="610"/>
      <c r="D966" s="610"/>
      <c r="E966" s="610"/>
      <c r="F966" s="610"/>
      <c r="G966" s="610"/>
      <c r="H966" s="610"/>
      <c r="I966" s="610"/>
      <c r="J966" s="610"/>
      <c r="L966" s="610"/>
      <c r="M966" s="610"/>
      <c r="N966" s="610"/>
      <c r="O966" s="610"/>
      <c r="P966" s="610"/>
      <c r="Q966" s="610"/>
      <c r="R966" s="610"/>
      <c r="S966" s="610"/>
      <c r="T966" s="610"/>
      <c r="U966" s="610"/>
      <c r="V966" s="610"/>
      <c r="W966" s="610"/>
      <c r="X966" s="610"/>
      <c r="Y966" s="610"/>
      <c r="Z966" s="610"/>
      <c r="AA966" s="610"/>
      <c r="AB966" s="610"/>
      <c r="AC966" s="610"/>
      <c r="AD966" s="610"/>
      <c r="AE966" s="610"/>
      <c r="AF966" s="610"/>
      <c r="AG966" s="610"/>
      <c r="AH966" s="610"/>
      <c r="AI966" s="610"/>
      <c r="AJ966" s="610"/>
      <c r="AK966" s="610"/>
      <c r="AL966" s="610"/>
      <c r="AM966" s="610"/>
      <c r="AN966" s="610"/>
      <c r="AO966" s="610"/>
      <c r="AP966" s="610"/>
      <c r="AQ966" s="610"/>
    </row>
    <row r="967" spans="2:43" s="609" customFormat="1">
      <c r="B967" s="610"/>
      <c r="C967" s="610"/>
      <c r="D967" s="610"/>
      <c r="E967" s="610"/>
      <c r="F967" s="610"/>
      <c r="G967" s="610"/>
      <c r="H967" s="610"/>
      <c r="I967" s="610"/>
      <c r="J967" s="610"/>
      <c r="L967" s="610"/>
      <c r="M967" s="610"/>
      <c r="N967" s="610"/>
      <c r="O967" s="610"/>
      <c r="P967" s="610"/>
      <c r="Q967" s="610"/>
      <c r="R967" s="610"/>
      <c r="S967" s="610"/>
      <c r="T967" s="610"/>
      <c r="U967" s="610"/>
      <c r="V967" s="610"/>
      <c r="W967" s="610"/>
      <c r="X967" s="610"/>
      <c r="Y967" s="610"/>
      <c r="Z967" s="610"/>
      <c r="AA967" s="610"/>
      <c r="AB967" s="610"/>
      <c r="AC967" s="610"/>
      <c r="AD967" s="610"/>
      <c r="AE967" s="610"/>
      <c r="AF967" s="610"/>
      <c r="AG967" s="610"/>
      <c r="AH967" s="610"/>
      <c r="AI967" s="610"/>
      <c r="AJ967" s="610"/>
      <c r="AK967" s="610"/>
      <c r="AL967" s="610"/>
      <c r="AM967" s="610"/>
      <c r="AN967" s="610"/>
      <c r="AO967" s="610"/>
      <c r="AP967" s="610"/>
      <c r="AQ967" s="610"/>
    </row>
    <row r="968" spans="2:43" s="609" customFormat="1">
      <c r="B968" s="610"/>
      <c r="C968" s="610"/>
      <c r="D968" s="610"/>
      <c r="E968" s="610"/>
      <c r="F968" s="610"/>
      <c r="G968" s="610"/>
      <c r="H968" s="610"/>
      <c r="I968" s="610"/>
      <c r="J968" s="610"/>
      <c r="L968" s="610"/>
      <c r="M968" s="610"/>
      <c r="N968" s="610"/>
      <c r="O968" s="610"/>
      <c r="P968" s="610"/>
      <c r="Q968" s="610"/>
      <c r="R968" s="610"/>
      <c r="S968" s="610"/>
      <c r="T968" s="610"/>
      <c r="U968" s="610"/>
      <c r="V968" s="610"/>
      <c r="W968" s="610"/>
      <c r="X968" s="610"/>
      <c r="Y968" s="610"/>
      <c r="Z968" s="610"/>
      <c r="AA968" s="610"/>
      <c r="AB968" s="610"/>
      <c r="AC968" s="610"/>
      <c r="AD968" s="610"/>
      <c r="AE968" s="610"/>
      <c r="AF968" s="610"/>
      <c r="AG968" s="610"/>
      <c r="AH968" s="610"/>
      <c r="AI968" s="610"/>
      <c r="AJ968" s="610"/>
      <c r="AK968" s="610"/>
      <c r="AL968" s="610"/>
      <c r="AM968" s="610"/>
      <c r="AN968" s="610"/>
      <c r="AO968" s="610"/>
      <c r="AP968" s="610"/>
      <c r="AQ968" s="610"/>
    </row>
    <row r="969" spans="2:43" s="609" customFormat="1">
      <c r="B969" s="610"/>
      <c r="C969" s="610"/>
      <c r="D969" s="610"/>
      <c r="E969" s="610"/>
      <c r="F969" s="610"/>
      <c r="G969" s="610"/>
      <c r="H969" s="610"/>
      <c r="I969" s="610"/>
      <c r="J969" s="610"/>
      <c r="L969" s="610"/>
      <c r="M969" s="610"/>
      <c r="N969" s="610"/>
      <c r="O969" s="610"/>
      <c r="P969" s="610"/>
      <c r="Q969" s="610"/>
      <c r="R969" s="610"/>
      <c r="S969" s="610"/>
      <c r="T969" s="610"/>
      <c r="U969" s="610"/>
      <c r="V969" s="610"/>
      <c r="W969" s="610"/>
      <c r="X969" s="610"/>
      <c r="Y969" s="610"/>
      <c r="Z969" s="610"/>
      <c r="AA969" s="610"/>
      <c r="AB969" s="610"/>
      <c r="AC969" s="610"/>
      <c r="AD969" s="610"/>
      <c r="AE969" s="610"/>
      <c r="AF969" s="610"/>
      <c r="AG969" s="610"/>
      <c r="AH969" s="610"/>
      <c r="AI969" s="610"/>
      <c r="AJ969" s="610"/>
      <c r="AK969" s="610"/>
      <c r="AL969" s="610"/>
      <c r="AM969" s="610"/>
      <c r="AN969" s="610"/>
      <c r="AO969" s="610"/>
      <c r="AP969" s="610"/>
      <c r="AQ969" s="610"/>
    </row>
    <row r="970" spans="2:43" s="609" customFormat="1">
      <c r="B970" s="610"/>
      <c r="C970" s="610"/>
      <c r="D970" s="610"/>
      <c r="E970" s="610"/>
      <c r="F970" s="610"/>
      <c r="G970" s="610"/>
      <c r="H970" s="610"/>
      <c r="I970" s="610"/>
      <c r="J970" s="610"/>
      <c r="L970" s="610"/>
      <c r="M970" s="610"/>
      <c r="N970" s="610"/>
      <c r="O970" s="610"/>
      <c r="P970" s="610"/>
      <c r="Q970" s="610"/>
      <c r="R970" s="610"/>
      <c r="S970" s="610"/>
      <c r="T970" s="610"/>
      <c r="U970" s="610"/>
      <c r="V970" s="610"/>
      <c r="W970" s="610"/>
      <c r="X970" s="610"/>
      <c r="Y970" s="610"/>
      <c r="Z970" s="610"/>
      <c r="AA970" s="610"/>
      <c r="AB970" s="610"/>
      <c r="AC970" s="610"/>
      <c r="AD970" s="610"/>
      <c r="AE970" s="610"/>
      <c r="AF970" s="610"/>
      <c r="AG970" s="610"/>
      <c r="AH970" s="610"/>
      <c r="AI970" s="610"/>
      <c r="AJ970" s="610"/>
      <c r="AK970" s="610"/>
      <c r="AL970" s="610"/>
      <c r="AM970" s="610"/>
      <c r="AN970" s="610"/>
      <c r="AO970" s="610"/>
      <c r="AP970" s="610"/>
      <c r="AQ970" s="610"/>
    </row>
    <row r="971" spans="2:43" s="609" customFormat="1">
      <c r="B971" s="610"/>
      <c r="C971" s="610"/>
      <c r="D971" s="610"/>
      <c r="E971" s="610"/>
      <c r="F971" s="610"/>
      <c r="G971" s="610"/>
      <c r="H971" s="610"/>
      <c r="I971" s="610"/>
      <c r="J971" s="610"/>
      <c r="L971" s="610"/>
      <c r="M971" s="610"/>
      <c r="N971" s="610"/>
      <c r="O971" s="610"/>
      <c r="P971" s="610"/>
      <c r="Q971" s="610"/>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c r="AN971" s="610"/>
      <c r="AO971" s="610"/>
      <c r="AP971" s="610"/>
      <c r="AQ971" s="610"/>
    </row>
    <row r="972" spans="2:43" s="609" customFormat="1">
      <c r="B972" s="610"/>
      <c r="C972" s="610"/>
      <c r="D972" s="610"/>
      <c r="E972" s="610"/>
      <c r="F972" s="610"/>
      <c r="G972" s="610"/>
      <c r="H972" s="610"/>
      <c r="I972" s="610"/>
      <c r="J972" s="610"/>
      <c r="L972" s="610"/>
      <c r="M972" s="610"/>
      <c r="N972" s="610"/>
      <c r="O972" s="610"/>
      <c r="P972" s="610"/>
      <c r="Q972" s="610"/>
      <c r="R972" s="610"/>
      <c r="S972" s="610"/>
      <c r="T972" s="610"/>
      <c r="U972" s="610"/>
      <c r="V972" s="610"/>
      <c r="W972" s="610"/>
      <c r="X972" s="610"/>
      <c r="Y972" s="610"/>
      <c r="Z972" s="610"/>
      <c r="AA972" s="610"/>
      <c r="AB972" s="610"/>
      <c r="AC972" s="610"/>
      <c r="AD972" s="610"/>
      <c r="AE972" s="610"/>
      <c r="AF972" s="610"/>
      <c r="AG972" s="610"/>
      <c r="AH972" s="610"/>
      <c r="AI972" s="610"/>
      <c r="AJ972" s="610"/>
      <c r="AK972" s="610"/>
      <c r="AL972" s="610"/>
      <c r="AM972" s="610"/>
      <c r="AN972" s="610"/>
      <c r="AO972" s="610"/>
      <c r="AP972" s="610"/>
      <c r="AQ972" s="610"/>
    </row>
    <row r="973" spans="2:43" s="609" customFormat="1">
      <c r="B973" s="610"/>
      <c r="C973" s="610"/>
      <c r="D973" s="610"/>
      <c r="E973" s="610"/>
      <c r="F973" s="610"/>
      <c r="G973" s="610"/>
      <c r="H973" s="610"/>
      <c r="I973" s="610"/>
      <c r="J973" s="610"/>
      <c r="L973" s="610"/>
      <c r="M973" s="610"/>
      <c r="N973" s="610"/>
      <c r="O973" s="610"/>
      <c r="P973" s="610"/>
      <c r="Q973" s="610"/>
      <c r="R973" s="610"/>
      <c r="S973" s="610"/>
      <c r="T973" s="610"/>
      <c r="U973" s="610"/>
      <c r="V973" s="610"/>
      <c r="W973" s="610"/>
      <c r="X973" s="610"/>
      <c r="Y973" s="610"/>
      <c r="Z973" s="610"/>
      <c r="AA973" s="610"/>
      <c r="AB973" s="610"/>
      <c r="AC973" s="610"/>
      <c r="AD973" s="610"/>
      <c r="AE973" s="610"/>
      <c r="AF973" s="610"/>
      <c r="AG973" s="610"/>
      <c r="AH973" s="610"/>
      <c r="AI973" s="610"/>
      <c r="AJ973" s="610"/>
      <c r="AK973" s="610"/>
      <c r="AL973" s="610"/>
      <c r="AM973" s="610"/>
      <c r="AN973" s="610"/>
      <c r="AO973" s="610"/>
      <c r="AP973" s="610"/>
      <c r="AQ973" s="610"/>
    </row>
    <row r="974" spans="2:43" s="609" customFormat="1">
      <c r="B974" s="610"/>
      <c r="C974" s="610"/>
      <c r="D974" s="610"/>
      <c r="E974" s="610"/>
      <c r="F974" s="610"/>
      <c r="G974" s="610"/>
      <c r="H974" s="610"/>
      <c r="I974" s="610"/>
      <c r="J974" s="610"/>
      <c r="L974" s="610"/>
      <c r="M974" s="610"/>
      <c r="N974" s="610"/>
      <c r="O974" s="610"/>
      <c r="P974" s="610"/>
      <c r="Q974" s="610"/>
      <c r="R974" s="610"/>
      <c r="S974" s="610"/>
      <c r="T974" s="610"/>
      <c r="U974" s="610"/>
      <c r="V974" s="610"/>
      <c r="W974" s="610"/>
      <c r="X974" s="610"/>
      <c r="Y974" s="610"/>
      <c r="Z974" s="610"/>
      <c r="AA974" s="610"/>
      <c r="AB974" s="610"/>
      <c r="AC974" s="610"/>
      <c r="AD974" s="610"/>
      <c r="AE974" s="610"/>
      <c r="AF974" s="610"/>
      <c r="AG974" s="610"/>
      <c r="AH974" s="610"/>
      <c r="AI974" s="610"/>
      <c r="AJ974" s="610"/>
      <c r="AK974" s="610"/>
      <c r="AL974" s="610"/>
      <c r="AM974" s="610"/>
      <c r="AN974" s="610"/>
      <c r="AO974" s="610"/>
      <c r="AP974" s="610"/>
      <c r="AQ974" s="610"/>
    </row>
    <row r="975" spans="2:43" s="609" customFormat="1">
      <c r="B975" s="610"/>
      <c r="C975" s="610"/>
      <c r="D975" s="610"/>
      <c r="E975" s="610"/>
      <c r="F975" s="610"/>
      <c r="G975" s="610"/>
      <c r="H975" s="610"/>
      <c r="I975" s="610"/>
      <c r="J975" s="610"/>
      <c r="L975" s="610"/>
      <c r="M975" s="610"/>
      <c r="N975" s="610"/>
      <c r="O975" s="610"/>
      <c r="P975" s="610"/>
      <c r="Q975" s="610"/>
      <c r="R975" s="610"/>
      <c r="S975" s="610"/>
      <c r="T975" s="610"/>
      <c r="U975" s="610"/>
      <c r="V975" s="610"/>
      <c r="W975" s="610"/>
      <c r="X975" s="610"/>
      <c r="Y975" s="610"/>
      <c r="Z975" s="610"/>
      <c r="AA975" s="610"/>
      <c r="AB975" s="610"/>
      <c r="AC975" s="610"/>
      <c r="AD975" s="610"/>
      <c r="AE975" s="610"/>
      <c r="AF975" s="610"/>
      <c r="AG975" s="610"/>
      <c r="AH975" s="610"/>
      <c r="AI975" s="610"/>
      <c r="AJ975" s="610"/>
      <c r="AK975" s="610"/>
      <c r="AL975" s="610"/>
      <c r="AM975" s="610"/>
      <c r="AN975" s="610"/>
      <c r="AO975" s="610"/>
      <c r="AP975" s="610"/>
      <c r="AQ975" s="610"/>
    </row>
    <row r="976" spans="2:43" s="609" customFormat="1">
      <c r="B976" s="610"/>
      <c r="C976" s="610"/>
      <c r="D976" s="610"/>
      <c r="E976" s="610"/>
      <c r="F976" s="610"/>
      <c r="G976" s="610"/>
      <c r="H976" s="610"/>
      <c r="I976" s="610"/>
      <c r="J976" s="610"/>
      <c r="L976" s="610"/>
      <c r="M976" s="610"/>
      <c r="N976" s="610"/>
      <c r="O976" s="610"/>
      <c r="P976" s="610"/>
      <c r="Q976" s="610"/>
      <c r="R976" s="610"/>
      <c r="S976" s="610"/>
      <c r="T976" s="610"/>
      <c r="U976" s="610"/>
      <c r="V976" s="610"/>
      <c r="W976" s="610"/>
      <c r="X976" s="610"/>
      <c r="Y976" s="610"/>
      <c r="Z976" s="610"/>
      <c r="AA976" s="610"/>
      <c r="AB976" s="610"/>
      <c r="AC976" s="610"/>
      <c r="AD976" s="610"/>
      <c r="AE976" s="610"/>
      <c r="AF976" s="610"/>
      <c r="AG976" s="610"/>
      <c r="AH976" s="610"/>
      <c r="AI976" s="610"/>
      <c r="AJ976" s="610"/>
      <c r="AK976" s="610"/>
      <c r="AL976" s="610"/>
      <c r="AM976" s="610"/>
      <c r="AN976" s="610"/>
      <c r="AO976" s="610"/>
      <c r="AP976" s="610"/>
      <c r="AQ976" s="610"/>
    </row>
    <row r="977" spans="2:43" s="609" customFormat="1">
      <c r="B977" s="610"/>
      <c r="C977" s="610"/>
      <c r="D977" s="610"/>
      <c r="E977" s="610"/>
      <c r="F977" s="610"/>
      <c r="G977" s="610"/>
      <c r="H977" s="610"/>
      <c r="I977" s="610"/>
      <c r="J977" s="610"/>
      <c r="L977" s="610"/>
      <c r="M977" s="610"/>
      <c r="N977" s="610"/>
      <c r="O977" s="610"/>
      <c r="P977" s="610"/>
      <c r="Q977" s="610"/>
      <c r="R977" s="610"/>
      <c r="S977" s="610"/>
      <c r="T977" s="610"/>
      <c r="U977" s="610"/>
      <c r="V977" s="610"/>
      <c r="W977" s="610"/>
      <c r="X977" s="610"/>
      <c r="Y977" s="610"/>
      <c r="Z977" s="610"/>
      <c r="AA977" s="610"/>
      <c r="AB977" s="610"/>
      <c r="AC977" s="610"/>
      <c r="AD977" s="610"/>
      <c r="AE977" s="610"/>
      <c r="AF977" s="610"/>
      <c r="AG977" s="610"/>
      <c r="AH977" s="610"/>
      <c r="AI977" s="610"/>
      <c r="AJ977" s="610"/>
      <c r="AK977" s="610"/>
      <c r="AL977" s="610"/>
      <c r="AM977" s="610"/>
      <c r="AN977" s="610"/>
      <c r="AO977" s="610"/>
      <c r="AP977" s="610"/>
      <c r="AQ977" s="610"/>
    </row>
    <row r="978" spans="2:43" s="609" customFormat="1">
      <c r="B978" s="610"/>
      <c r="C978" s="610"/>
      <c r="D978" s="610"/>
      <c r="E978" s="610"/>
      <c r="F978" s="610"/>
      <c r="G978" s="610"/>
      <c r="H978" s="610"/>
      <c r="I978" s="610"/>
      <c r="J978" s="610"/>
      <c r="L978" s="610"/>
      <c r="M978" s="610"/>
      <c r="N978" s="610"/>
      <c r="O978" s="610"/>
      <c r="P978" s="610"/>
      <c r="Q978" s="610"/>
      <c r="R978" s="610"/>
      <c r="S978" s="610"/>
      <c r="T978" s="610"/>
      <c r="U978" s="610"/>
      <c r="V978" s="610"/>
      <c r="W978" s="610"/>
      <c r="X978" s="610"/>
      <c r="Y978" s="610"/>
      <c r="Z978" s="610"/>
      <c r="AA978" s="610"/>
      <c r="AB978" s="610"/>
      <c r="AC978" s="610"/>
      <c r="AD978" s="610"/>
      <c r="AE978" s="610"/>
      <c r="AF978" s="610"/>
      <c r="AG978" s="610"/>
      <c r="AH978" s="610"/>
      <c r="AI978" s="610"/>
      <c r="AJ978" s="610"/>
      <c r="AK978" s="610"/>
      <c r="AL978" s="610"/>
      <c r="AM978" s="610"/>
      <c r="AN978" s="610"/>
      <c r="AO978" s="610"/>
      <c r="AP978" s="610"/>
      <c r="AQ978" s="610"/>
    </row>
    <row r="979" spans="2:43" s="609" customFormat="1">
      <c r="B979" s="610"/>
      <c r="C979" s="610"/>
      <c r="D979" s="610"/>
      <c r="E979" s="610"/>
      <c r="F979" s="610"/>
      <c r="G979" s="610"/>
      <c r="H979" s="610"/>
      <c r="I979" s="610"/>
      <c r="J979" s="610"/>
      <c r="L979" s="610"/>
      <c r="M979" s="610"/>
      <c r="N979" s="610"/>
      <c r="O979" s="610"/>
      <c r="P979" s="610"/>
      <c r="Q979" s="610"/>
      <c r="R979" s="610"/>
      <c r="S979" s="610"/>
      <c r="T979" s="610"/>
      <c r="U979" s="610"/>
      <c r="V979" s="610"/>
      <c r="W979" s="610"/>
      <c r="X979" s="610"/>
      <c r="Y979" s="610"/>
      <c r="Z979" s="610"/>
      <c r="AA979" s="610"/>
      <c r="AB979" s="610"/>
      <c r="AC979" s="610"/>
      <c r="AD979" s="610"/>
      <c r="AE979" s="610"/>
      <c r="AF979" s="610"/>
      <c r="AG979" s="610"/>
      <c r="AH979" s="610"/>
      <c r="AI979" s="610"/>
      <c r="AJ979" s="610"/>
      <c r="AK979" s="610"/>
      <c r="AL979" s="610"/>
      <c r="AM979" s="610"/>
      <c r="AN979" s="610"/>
      <c r="AO979" s="610"/>
      <c r="AP979" s="610"/>
      <c r="AQ979" s="610"/>
    </row>
    <row r="980" spans="2:43" s="609" customFormat="1">
      <c r="B980" s="610"/>
      <c r="C980" s="610"/>
      <c r="D980" s="610"/>
      <c r="E980" s="610"/>
      <c r="F980" s="610"/>
      <c r="G980" s="610"/>
      <c r="H980" s="610"/>
      <c r="I980" s="610"/>
      <c r="J980" s="610"/>
      <c r="L980" s="610"/>
      <c r="M980" s="610"/>
      <c r="N980" s="610"/>
      <c r="O980" s="610"/>
      <c r="P980" s="610"/>
      <c r="Q980" s="610"/>
      <c r="R980" s="610"/>
      <c r="S980" s="610"/>
      <c r="T980" s="610"/>
      <c r="U980" s="610"/>
      <c r="V980" s="610"/>
      <c r="W980" s="610"/>
      <c r="X980" s="610"/>
      <c r="Y980" s="610"/>
      <c r="Z980" s="610"/>
      <c r="AA980" s="610"/>
      <c r="AB980" s="610"/>
      <c r="AC980" s="610"/>
      <c r="AD980" s="610"/>
      <c r="AE980" s="610"/>
      <c r="AF980" s="610"/>
      <c r="AG980" s="610"/>
      <c r="AH980" s="610"/>
      <c r="AI980" s="610"/>
      <c r="AJ980" s="610"/>
      <c r="AK980" s="610"/>
      <c r="AL980" s="610"/>
      <c r="AM980" s="610"/>
      <c r="AN980" s="610"/>
      <c r="AO980" s="610"/>
      <c r="AP980" s="610"/>
      <c r="AQ980" s="610"/>
    </row>
    <row r="981" spans="2:43" s="609" customFormat="1">
      <c r="B981" s="610"/>
      <c r="C981" s="610"/>
      <c r="D981" s="610"/>
      <c r="E981" s="610"/>
      <c r="F981" s="610"/>
      <c r="G981" s="610"/>
      <c r="H981" s="610"/>
      <c r="I981" s="610"/>
      <c r="J981" s="610"/>
      <c r="L981" s="610"/>
      <c r="M981" s="610"/>
      <c r="N981" s="610"/>
      <c r="O981" s="610"/>
      <c r="P981" s="610"/>
      <c r="Q981" s="610"/>
      <c r="R981" s="610"/>
      <c r="S981" s="610"/>
      <c r="T981" s="610"/>
      <c r="U981" s="610"/>
      <c r="V981" s="610"/>
      <c r="W981" s="610"/>
      <c r="X981" s="610"/>
      <c r="Y981" s="610"/>
      <c r="Z981" s="610"/>
      <c r="AA981" s="610"/>
      <c r="AB981" s="610"/>
      <c r="AC981" s="610"/>
      <c r="AD981" s="610"/>
      <c r="AE981" s="610"/>
      <c r="AF981" s="610"/>
      <c r="AG981" s="610"/>
      <c r="AH981" s="610"/>
      <c r="AI981" s="610"/>
      <c r="AJ981" s="610"/>
      <c r="AK981" s="610"/>
      <c r="AL981" s="610"/>
      <c r="AM981" s="610"/>
      <c r="AN981" s="610"/>
      <c r="AO981" s="610"/>
      <c r="AP981" s="610"/>
      <c r="AQ981" s="610"/>
    </row>
    <row r="982" spans="2:43" s="609" customFormat="1">
      <c r="B982" s="610"/>
      <c r="C982" s="610"/>
      <c r="D982" s="610"/>
      <c r="E982" s="610"/>
      <c r="F982" s="610"/>
      <c r="G982" s="610"/>
      <c r="H982" s="610"/>
      <c r="I982" s="610"/>
      <c r="J982" s="610"/>
      <c r="L982" s="610"/>
      <c r="M982" s="610"/>
      <c r="N982" s="610"/>
      <c r="O982" s="610"/>
      <c r="P982" s="610"/>
      <c r="Q982" s="610"/>
      <c r="R982" s="610"/>
      <c r="S982" s="610"/>
      <c r="T982" s="610"/>
      <c r="U982" s="610"/>
      <c r="V982" s="610"/>
      <c r="W982" s="610"/>
      <c r="X982" s="610"/>
      <c r="Y982" s="610"/>
      <c r="Z982" s="610"/>
      <c r="AA982" s="610"/>
      <c r="AB982" s="610"/>
      <c r="AC982" s="610"/>
      <c r="AD982" s="610"/>
      <c r="AE982" s="610"/>
      <c r="AF982" s="610"/>
      <c r="AG982" s="610"/>
      <c r="AH982" s="610"/>
      <c r="AI982" s="610"/>
      <c r="AJ982" s="610"/>
      <c r="AK982" s="610"/>
      <c r="AL982" s="610"/>
      <c r="AM982" s="610"/>
      <c r="AN982" s="610"/>
      <c r="AO982" s="610"/>
      <c r="AP982" s="610"/>
      <c r="AQ982" s="610"/>
    </row>
    <row r="983" spans="2:43" s="609" customFormat="1">
      <c r="B983" s="610"/>
      <c r="C983" s="610"/>
      <c r="D983" s="610"/>
      <c r="E983" s="610"/>
      <c r="F983" s="610"/>
      <c r="G983" s="610"/>
      <c r="H983" s="610"/>
      <c r="I983" s="610"/>
      <c r="J983" s="610"/>
      <c r="L983" s="610"/>
      <c r="M983" s="610"/>
      <c r="N983" s="610"/>
      <c r="O983" s="610"/>
      <c r="P983" s="610"/>
      <c r="Q983" s="610"/>
      <c r="R983" s="610"/>
      <c r="S983" s="610"/>
      <c r="T983" s="610"/>
      <c r="U983" s="610"/>
      <c r="V983" s="610"/>
      <c r="W983" s="610"/>
      <c r="X983" s="610"/>
      <c r="Y983" s="610"/>
      <c r="Z983" s="610"/>
      <c r="AA983" s="610"/>
      <c r="AB983" s="610"/>
      <c r="AC983" s="610"/>
      <c r="AD983" s="610"/>
      <c r="AE983" s="610"/>
      <c r="AF983" s="610"/>
      <c r="AG983" s="610"/>
      <c r="AH983" s="610"/>
      <c r="AI983" s="610"/>
      <c r="AJ983" s="610"/>
      <c r="AK983" s="610"/>
      <c r="AL983" s="610"/>
      <c r="AM983" s="610"/>
      <c r="AN983" s="610"/>
      <c r="AO983" s="610"/>
      <c r="AP983" s="610"/>
      <c r="AQ983" s="610"/>
    </row>
    <row r="984" spans="2:43" s="609" customFormat="1">
      <c r="B984" s="610"/>
      <c r="C984" s="610"/>
      <c r="D984" s="610"/>
      <c r="E984" s="610"/>
      <c r="F984" s="610"/>
      <c r="G984" s="610"/>
      <c r="H984" s="610"/>
      <c r="I984" s="610"/>
      <c r="J984" s="610"/>
      <c r="L984" s="610"/>
      <c r="M984" s="610"/>
      <c r="N984" s="610"/>
      <c r="O984" s="610"/>
      <c r="P984" s="610"/>
      <c r="Q984" s="610"/>
      <c r="R984" s="610"/>
      <c r="S984" s="610"/>
      <c r="T984" s="610"/>
      <c r="U984" s="610"/>
      <c r="V984" s="610"/>
      <c r="W984" s="610"/>
      <c r="X984" s="610"/>
      <c r="Y984" s="610"/>
      <c r="Z984" s="610"/>
      <c r="AA984" s="610"/>
      <c r="AB984" s="610"/>
      <c r="AC984" s="610"/>
      <c r="AD984" s="610"/>
      <c r="AE984" s="610"/>
      <c r="AF984" s="610"/>
      <c r="AG984" s="610"/>
      <c r="AH984" s="610"/>
      <c r="AI984" s="610"/>
      <c r="AJ984" s="610"/>
      <c r="AK984" s="610"/>
      <c r="AL984" s="610"/>
      <c r="AM984" s="610"/>
      <c r="AN984" s="610"/>
      <c r="AO984" s="610"/>
      <c r="AP984" s="610"/>
      <c r="AQ984" s="610"/>
    </row>
    <row r="985" spans="2:43" s="609" customFormat="1">
      <c r="B985" s="610"/>
      <c r="C985" s="610"/>
      <c r="D985" s="610"/>
      <c r="E985" s="610"/>
      <c r="F985" s="610"/>
      <c r="G985" s="610"/>
      <c r="H985" s="610"/>
      <c r="I985" s="610"/>
      <c r="J985" s="610"/>
      <c r="L985" s="610"/>
      <c r="M985" s="610"/>
      <c r="N985" s="610"/>
      <c r="O985" s="610"/>
      <c r="P985" s="610"/>
      <c r="Q985" s="610"/>
      <c r="R985" s="610"/>
      <c r="S985" s="610"/>
      <c r="T985" s="610"/>
      <c r="U985" s="610"/>
      <c r="V985" s="610"/>
      <c r="W985" s="610"/>
      <c r="X985" s="610"/>
      <c r="Y985" s="610"/>
      <c r="Z985" s="610"/>
      <c r="AA985" s="610"/>
      <c r="AB985" s="610"/>
      <c r="AC985" s="610"/>
      <c r="AD985" s="610"/>
      <c r="AE985" s="610"/>
      <c r="AF985" s="610"/>
      <c r="AG985" s="610"/>
      <c r="AH985" s="610"/>
      <c r="AI985" s="610"/>
      <c r="AJ985" s="610"/>
      <c r="AK985" s="610"/>
      <c r="AL985" s="610"/>
      <c r="AM985" s="610"/>
      <c r="AN985" s="610"/>
      <c r="AO985" s="610"/>
      <c r="AP985" s="610"/>
      <c r="AQ985" s="610"/>
    </row>
    <row r="986" spans="2:43" s="609" customFormat="1">
      <c r="B986" s="610"/>
      <c r="C986" s="610"/>
      <c r="D986" s="610"/>
      <c r="E986" s="610"/>
      <c r="F986" s="610"/>
      <c r="G986" s="610"/>
      <c r="H986" s="610"/>
      <c r="I986" s="610"/>
      <c r="J986" s="610"/>
      <c r="L986" s="610"/>
      <c r="M986" s="610"/>
      <c r="N986" s="610"/>
      <c r="O986" s="610"/>
      <c r="P986" s="610"/>
      <c r="Q986" s="610"/>
      <c r="R986" s="610"/>
      <c r="S986" s="610"/>
      <c r="T986" s="610"/>
      <c r="U986" s="610"/>
      <c r="V986" s="610"/>
      <c r="W986" s="610"/>
      <c r="X986" s="610"/>
      <c r="Y986" s="610"/>
      <c r="Z986" s="610"/>
      <c r="AA986" s="610"/>
      <c r="AB986" s="610"/>
      <c r="AC986" s="610"/>
      <c r="AD986" s="610"/>
      <c r="AE986" s="610"/>
      <c r="AF986" s="610"/>
      <c r="AG986" s="610"/>
      <c r="AH986" s="610"/>
      <c r="AI986" s="610"/>
      <c r="AJ986" s="610"/>
      <c r="AK986" s="610"/>
      <c r="AL986" s="610"/>
      <c r="AM986" s="610"/>
      <c r="AN986" s="610"/>
      <c r="AO986" s="610"/>
      <c r="AP986" s="610"/>
      <c r="AQ986" s="610"/>
    </row>
    <row r="987" spans="2:43" s="609" customFormat="1">
      <c r="B987" s="610"/>
      <c r="C987" s="610"/>
      <c r="D987" s="610"/>
      <c r="E987" s="610"/>
      <c r="F987" s="610"/>
      <c r="G987" s="610"/>
      <c r="H987" s="610"/>
      <c r="I987" s="610"/>
      <c r="J987" s="610"/>
      <c r="L987" s="610"/>
      <c r="M987" s="610"/>
      <c r="N987" s="610"/>
      <c r="O987" s="610"/>
      <c r="P987" s="610"/>
      <c r="Q987" s="610"/>
      <c r="R987" s="610"/>
      <c r="S987" s="610"/>
      <c r="T987" s="610"/>
      <c r="U987" s="610"/>
      <c r="V987" s="610"/>
      <c r="W987" s="610"/>
      <c r="X987" s="610"/>
      <c r="Y987" s="610"/>
      <c r="Z987" s="610"/>
      <c r="AA987" s="610"/>
      <c r="AB987" s="610"/>
      <c r="AC987" s="610"/>
      <c r="AD987" s="610"/>
      <c r="AE987" s="610"/>
      <c r="AF987" s="610"/>
      <c r="AG987" s="610"/>
      <c r="AH987" s="610"/>
      <c r="AI987" s="610"/>
      <c r="AJ987" s="610"/>
      <c r="AK987" s="610"/>
      <c r="AL987" s="610"/>
      <c r="AM987" s="610"/>
      <c r="AN987" s="610"/>
      <c r="AO987" s="610"/>
      <c r="AP987" s="610"/>
      <c r="AQ987" s="610"/>
    </row>
    <row r="988" spans="2:43" s="609" customFormat="1">
      <c r="B988" s="610"/>
      <c r="C988" s="610"/>
      <c r="D988" s="610"/>
      <c r="E988" s="610"/>
      <c r="F988" s="610"/>
      <c r="G988" s="610"/>
      <c r="H988" s="610"/>
      <c r="I988" s="610"/>
      <c r="J988" s="610"/>
      <c r="L988" s="610"/>
      <c r="M988" s="610"/>
      <c r="N988" s="610"/>
      <c r="O988" s="610"/>
      <c r="P988" s="610"/>
      <c r="Q988" s="610"/>
      <c r="R988" s="610"/>
      <c r="S988" s="610"/>
      <c r="T988" s="610"/>
      <c r="U988" s="610"/>
      <c r="V988" s="610"/>
      <c r="W988" s="610"/>
      <c r="X988" s="610"/>
      <c r="Y988" s="610"/>
      <c r="Z988" s="610"/>
      <c r="AA988" s="610"/>
      <c r="AB988" s="610"/>
      <c r="AC988" s="610"/>
      <c r="AD988" s="610"/>
      <c r="AE988" s="610"/>
      <c r="AF988" s="610"/>
      <c r="AG988" s="610"/>
      <c r="AH988" s="610"/>
      <c r="AI988" s="610"/>
      <c r="AJ988" s="610"/>
      <c r="AK988" s="610"/>
      <c r="AL988" s="610"/>
      <c r="AM988" s="610"/>
      <c r="AN988" s="610"/>
      <c r="AO988" s="610"/>
      <c r="AP988" s="610"/>
      <c r="AQ988" s="610"/>
    </row>
    <row r="989" spans="2:43" s="609" customFormat="1">
      <c r="B989" s="610"/>
      <c r="C989" s="610"/>
      <c r="D989" s="610"/>
      <c r="E989" s="610"/>
      <c r="F989" s="610"/>
      <c r="G989" s="610"/>
      <c r="H989" s="610"/>
      <c r="I989" s="610"/>
      <c r="J989" s="610"/>
      <c r="L989" s="610"/>
      <c r="M989" s="610"/>
      <c r="N989" s="610"/>
      <c r="O989" s="610"/>
      <c r="P989" s="610"/>
      <c r="Q989" s="610"/>
      <c r="R989" s="610"/>
      <c r="S989" s="610"/>
      <c r="T989" s="610"/>
      <c r="U989" s="610"/>
      <c r="V989" s="610"/>
      <c r="W989" s="610"/>
      <c r="X989" s="610"/>
      <c r="Y989" s="610"/>
      <c r="Z989" s="610"/>
      <c r="AA989" s="610"/>
      <c r="AB989" s="610"/>
      <c r="AC989" s="610"/>
      <c r="AD989" s="610"/>
      <c r="AE989" s="610"/>
      <c r="AF989" s="610"/>
      <c r="AG989" s="610"/>
      <c r="AH989" s="610"/>
      <c r="AI989" s="610"/>
      <c r="AJ989" s="610"/>
      <c r="AK989" s="610"/>
      <c r="AL989" s="610"/>
      <c r="AM989" s="610"/>
      <c r="AN989" s="610"/>
      <c r="AO989" s="610"/>
      <c r="AP989" s="610"/>
      <c r="AQ989" s="610"/>
    </row>
    <row r="990" spans="2:43" s="609" customFormat="1">
      <c r="B990" s="610"/>
      <c r="C990" s="610"/>
      <c r="D990" s="610"/>
      <c r="E990" s="610"/>
      <c r="F990" s="610"/>
      <c r="G990" s="610"/>
      <c r="H990" s="610"/>
      <c r="I990" s="610"/>
      <c r="J990" s="610"/>
      <c r="L990" s="610"/>
      <c r="M990" s="610"/>
      <c r="N990" s="610"/>
      <c r="O990" s="610"/>
      <c r="P990" s="610"/>
      <c r="Q990" s="610"/>
      <c r="R990" s="610"/>
      <c r="S990" s="610"/>
      <c r="T990" s="610"/>
      <c r="U990" s="610"/>
      <c r="V990" s="610"/>
      <c r="W990" s="610"/>
      <c r="X990" s="610"/>
      <c r="Y990" s="610"/>
      <c r="Z990" s="610"/>
      <c r="AA990" s="610"/>
      <c r="AB990" s="610"/>
      <c r="AC990" s="610"/>
      <c r="AD990" s="610"/>
      <c r="AE990" s="610"/>
      <c r="AF990" s="610"/>
      <c r="AG990" s="610"/>
      <c r="AH990" s="610"/>
      <c r="AI990" s="610"/>
      <c r="AJ990" s="610"/>
      <c r="AK990" s="610"/>
      <c r="AL990" s="610"/>
      <c r="AM990" s="610"/>
      <c r="AN990" s="610"/>
      <c r="AO990" s="610"/>
      <c r="AP990" s="610"/>
      <c r="AQ990" s="610"/>
    </row>
    <row r="991" spans="2:43" s="609" customFormat="1">
      <c r="B991" s="610"/>
      <c r="C991" s="610"/>
      <c r="D991" s="610"/>
      <c r="E991" s="610"/>
      <c r="F991" s="610"/>
      <c r="G991" s="610"/>
      <c r="H991" s="610"/>
      <c r="I991" s="610"/>
      <c r="J991" s="610"/>
      <c r="L991" s="610"/>
      <c r="M991" s="610"/>
      <c r="N991" s="610"/>
      <c r="O991" s="610"/>
      <c r="P991" s="610"/>
      <c r="Q991" s="610"/>
      <c r="R991" s="610"/>
      <c r="S991" s="610"/>
      <c r="T991" s="610"/>
      <c r="U991" s="610"/>
      <c r="V991" s="610"/>
      <c r="W991" s="610"/>
      <c r="X991" s="610"/>
      <c r="Y991" s="610"/>
      <c r="Z991" s="610"/>
      <c r="AA991" s="610"/>
      <c r="AB991" s="610"/>
      <c r="AC991" s="610"/>
      <c r="AD991" s="610"/>
      <c r="AE991" s="610"/>
      <c r="AF991" s="610"/>
      <c r="AG991" s="610"/>
      <c r="AH991" s="610"/>
      <c r="AI991" s="610"/>
      <c r="AJ991" s="610"/>
      <c r="AK991" s="610"/>
      <c r="AL991" s="610"/>
      <c r="AM991" s="610"/>
      <c r="AN991" s="610"/>
      <c r="AO991" s="610"/>
      <c r="AP991" s="610"/>
      <c r="AQ991" s="610"/>
    </row>
    <row r="992" spans="2:43" s="609" customFormat="1">
      <c r="B992" s="610"/>
      <c r="C992" s="610"/>
      <c r="D992" s="610"/>
      <c r="E992" s="610"/>
      <c r="F992" s="610"/>
      <c r="G992" s="610"/>
      <c r="H992" s="610"/>
      <c r="I992" s="610"/>
      <c r="J992" s="610"/>
      <c r="L992" s="610"/>
      <c r="M992" s="610"/>
      <c r="N992" s="610"/>
      <c r="O992" s="610"/>
      <c r="P992" s="610"/>
      <c r="Q992" s="610"/>
      <c r="R992" s="610"/>
      <c r="S992" s="610"/>
      <c r="T992" s="610"/>
      <c r="U992" s="610"/>
      <c r="V992" s="610"/>
      <c r="W992" s="610"/>
      <c r="X992" s="610"/>
      <c r="Y992" s="610"/>
      <c r="Z992" s="610"/>
      <c r="AA992" s="610"/>
      <c r="AB992" s="610"/>
      <c r="AC992" s="610"/>
      <c r="AD992" s="610"/>
      <c r="AE992" s="610"/>
      <c r="AF992" s="610"/>
      <c r="AG992" s="610"/>
      <c r="AH992" s="610"/>
      <c r="AI992" s="610"/>
      <c r="AJ992" s="610"/>
      <c r="AK992" s="610"/>
      <c r="AL992" s="610"/>
      <c r="AM992" s="610"/>
      <c r="AN992" s="610"/>
      <c r="AO992" s="610"/>
      <c r="AP992" s="610"/>
      <c r="AQ992" s="610"/>
    </row>
    <row r="993" spans="2:43" s="609" customFormat="1">
      <c r="B993" s="610"/>
      <c r="C993" s="610"/>
      <c r="D993" s="610"/>
      <c r="E993" s="610"/>
      <c r="F993" s="610"/>
      <c r="G993" s="610"/>
      <c r="H993" s="610"/>
      <c r="I993" s="610"/>
      <c r="J993" s="610"/>
      <c r="L993" s="610"/>
      <c r="M993" s="610"/>
      <c r="N993" s="610"/>
      <c r="O993" s="610"/>
      <c r="P993" s="610"/>
      <c r="Q993" s="610"/>
      <c r="R993" s="610"/>
      <c r="S993" s="610"/>
      <c r="T993" s="610"/>
      <c r="U993" s="610"/>
      <c r="V993" s="610"/>
      <c r="W993" s="610"/>
      <c r="X993" s="610"/>
      <c r="Y993" s="610"/>
      <c r="Z993" s="610"/>
      <c r="AA993" s="610"/>
      <c r="AB993" s="610"/>
      <c r="AC993" s="610"/>
      <c r="AD993" s="610"/>
      <c r="AE993" s="610"/>
      <c r="AF993" s="610"/>
      <c r="AG993" s="610"/>
      <c r="AH993" s="610"/>
      <c r="AI993" s="610"/>
      <c r="AJ993" s="610"/>
      <c r="AK993" s="610"/>
      <c r="AL993" s="610"/>
      <c r="AM993" s="610"/>
      <c r="AN993" s="610"/>
      <c r="AO993" s="610"/>
      <c r="AP993" s="610"/>
      <c r="AQ993" s="610"/>
    </row>
    <row r="994" spans="2:43" s="609" customFormat="1">
      <c r="B994" s="610"/>
      <c r="C994" s="610"/>
      <c r="D994" s="610"/>
      <c r="E994" s="610"/>
      <c r="F994" s="610"/>
      <c r="G994" s="610"/>
      <c r="H994" s="610"/>
      <c r="I994" s="610"/>
      <c r="J994" s="610"/>
      <c r="L994" s="610"/>
      <c r="M994" s="610"/>
      <c r="N994" s="610"/>
      <c r="O994" s="610"/>
      <c r="P994" s="610"/>
      <c r="Q994" s="610"/>
      <c r="R994" s="610"/>
      <c r="S994" s="610"/>
      <c r="T994" s="610"/>
      <c r="U994" s="610"/>
      <c r="V994" s="610"/>
      <c r="W994" s="610"/>
      <c r="X994" s="610"/>
      <c r="Y994" s="610"/>
      <c r="Z994" s="610"/>
      <c r="AA994" s="610"/>
      <c r="AB994" s="610"/>
      <c r="AC994" s="610"/>
      <c r="AD994" s="610"/>
      <c r="AE994" s="610"/>
      <c r="AF994" s="610"/>
      <c r="AG994" s="610"/>
      <c r="AH994" s="610"/>
      <c r="AI994" s="610"/>
      <c r="AJ994" s="610"/>
      <c r="AK994" s="610"/>
      <c r="AL994" s="610"/>
      <c r="AM994" s="610"/>
      <c r="AN994" s="610"/>
      <c r="AO994" s="610"/>
      <c r="AP994" s="610"/>
      <c r="AQ994" s="610"/>
    </row>
    <row r="995" spans="2:43" s="609" customFormat="1">
      <c r="B995" s="610"/>
      <c r="C995" s="610"/>
      <c r="D995" s="610"/>
      <c r="E995" s="610"/>
      <c r="F995" s="610"/>
      <c r="G995" s="610"/>
      <c r="H995" s="610"/>
      <c r="I995" s="610"/>
      <c r="J995" s="610"/>
      <c r="L995" s="610"/>
      <c r="M995" s="610"/>
      <c r="N995" s="610"/>
      <c r="O995" s="610"/>
      <c r="P995" s="610"/>
      <c r="Q995" s="610"/>
      <c r="R995" s="610"/>
      <c r="S995" s="610"/>
      <c r="T995" s="610"/>
      <c r="U995" s="610"/>
      <c r="V995" s="610"/>
      <c r="W995" s="610"/>
      <c r="X995" s="610"/>
      <c r="Y995" s="610"/>
      <c r="Z995" s="610"/>
      <c r="AA995" s="610"/>
      <c r="AB995" s="610"/>
      <c r="AC995" s="610"/>
      <c r="AD995" s="610"/>
      <c r="AE995" s="610"/>
      <c r="AF995" s="610"/>
      <c r="AG995" s="610"/>
      <c r="AH995" s="610"/>
      <c r="AI995" s="610"/>
      <c r="AJ995" s="610"/>
      <c r="AK995" s="610"/>
      <c r="AL995" s="610"/>
      <c r="AM995" s="610"/>
      <c r="AN995" s="610"/>
      <c r="AO995" s="610"/>
      <c r="AP995" s="610"/>
      <c r="AQ995" s="610"/>
    </row>
    <row r="996" spans="2:43" s="609" customFormat="1">
      <c r="B996" s="610"/>
      <c r="C996" s="610"/>
      <c r="D996" s="610"/>
      <c r="E996" s="610"/>
      <c r="F996" s="610"/>
      <c r="G996" s="610"/>
      <c r="H996" s="610"/>
      <c r="I996" s="610"/>
      <c r="J996" s="610"/>
      <c r="L996" s="610"/>
      <c r="M996" s="610"/>
      <c r="N996" s="610"/>
      <c r="O996" s="610"/>
      <c r="P996" s="610"/>
      <c r="Q996" s="610"/>
      <c r="R996" s="610"/>
      <c r="S996" s="610"/>
      <c r="T996" s="610"/>
      <c r="U996" s="610"/>
      <c r="V996" s="610"/>
      <c r="W996" s="610"/>
      <c r="X996" s="610"/>
      <c r="Y996" s="610"/>
      <c r="Z996" s="610"/>
      <c r="AA996" s="610"/>
      <c r="AB996" s="610"/>
      <c r="AC996" s="610"/>
      <c r="AD996" s="610"/>
      <c r="AE996" s="610"/>
      <c r="AF996" s="610"/>
      <c r="AG996" s="610"/>
      <c r="AH996" s="610"/>
      <c r="AI996" s="610"/>
      <c r="AJ996" s="610"/>
      <c r="AK996" s="610"/>
      <c r="AL996" s="610"/>
      <c r="AM996" s="610"/>
      <c r="AN996" s="610"/>
      <c r="AO996" s="610"/>
      <c r="AP996" s="610"/>
      <c r="AQ996" s="610"/>
    </row>
    <row r="997" spans="2:43" s="609" customFormat="1">
      <c r="B997" s="610"/>
      <c r="C997" s="610"/>
      <c r="D997" s="610"/>
      <c r="E997" s="610"/>
      <c r="F997" s="610"/>
      <c r="G997" s="610"/>
      <c r="H997" s="610"/>
      <c r="I997" s="610"/>
      <c r="J997" s="610"/>
      <c r="L997" s="610"/>
      <c r="M997" s="610"/>
      <c r="N997" s="610"/>
      <c r="O997" s="610"/>
      <c r="P997" s="610"/>
      <c r="Q997" s="610"/>
      <c r="R997" s="610"/>
      <c r="S997" s="610"/>
      <c r="T997" s="610"/>
      <c r="U997" s="610"/>
      <c r="V997" s="610"/>
      <c r="W997" s="610"/>
      <c r="X997" s="610"/>
      <c r="Y997" s="610"/>
      <c r="Z997" s="610"/>
      <c r="AA997" s="610"/>
      <c r="AB997" s="610"/>
      <c r="AC997" s="610"/>
      <c r="AD997" s="610"/>
      <c r="AE997" s="610"/>
      <c r="AF997" s="610"/>
      <c r="AG997" s="610"/>
      <c r="AH997" s="610"/>
      <c r="AI997" s="610"/>
      <c r="AJ997" s="610"/>
      <c r="AK997" s="610"/>
      <c r="AL997" s="610"/>
      <c r="AM997" s="610"/>
      <c r="AN997" s="610"/>
      <c r="AO997" s="610"/>
      <c r="AP997" s="610"/>
      <c r="AQ997" s="610"/>
    </row>
    <row r="998" spans="2:43" s="609" customFormat="1">
      <c r="B998" s="610"/>
      <c r="C998" s="610"/>
      <c r="D998" s="610"/>
      <c r="E998" s="610"/>
      <c r="F998" s="610"/>
      <c r="G998" s="610"/>
      <c r="H998" s="610"/>
      <c r="I998" s="610"/>
      <c r="J998" s="610"/>
      <c r="L998" s="610"/>
      <c r="M998" s="610"/>
      <c r="N998" s="610"/>
      <c r="O998" s="610"/>
      <c r="P998" s="610"/>
      <c r="Q998" s="610"/>
      <c r="R998" s="610"/>
      <c r="S998" s="610"/>
      <c r="T998" s="610"/>
      <c r="U998" s="610"/>
      <c r="V998" s="610"/>
      <c r="W998" s="610"/>
      <c r="X998" s="610"/>
      <c r="Y998" s="610"/>
      <c r="Z998" s="610"/>
      <c r="AA998" s="610"/>
      <c r="AB998" s="610"/>
      <c r="AC998" s="610"/>
      <c r="AD998" s="610"/>
      <c r="AE998" s="610"/>
      <c r="AF998" s="610"/>
      <c r="AG998" s="610"/>
      <c r="AH998" s="610"/>
      <c r="AI998" s="610"/>
      <c r="AJ998" s="610"/>
      <c r="AK998" s="610"/>
      <c r="AL998" s="610"/>
      <c r="AM998" s="610"/>
      <c r="AN998" s="610"/>
      <c r="AO998" s="610"/>
      <c r="AP998" s="610"/>
      <c r="AQ998" s="610"/>
    </row>
    <row r="999" spans="2:43" s="609" customFormat="1">
      <c r="B999" s="610"/>
      <c r="C999" s="610"/>
      <c r="D999" s="610"/>
      <c r="E999" s="610"/>
      <c r="F999" s="610"/>
      <c r="G999" s="610"/>
      <c r="H999" s="610"/>
      <c r="I999" s="610"/>
      <c r="J999" s="610"/>
      <c r="L999" s="610"/>
      <c r="M999" s="610"/>
      <c r="N999" s="610"/>
      <c r="O999" s="610"/>
      <c r="P999" s="610"/>
      <c r="Q999" s="610"/>
      <c r="R999" s="610"/>
      <c r="S999" s="610"/>
      <c r="T999" s="610"/>
      <c r="U999" s="610"/>
      <c r="V999" s="610"/>
      <c r="W999" s="610"/>
      <c r="X999" s="610"/>
      <c r="Y999" s="610"/>
      <c r="Z999" s="610"/>
      <c r="AA999" s="610"/>
      <c r="AB999" s="610"/>
      <c r="AC999" s="610"/>
      <c r="AD999" s="610"/>
      <c r="AE999" s="610"/>
      <c r="AF999" s="610"/>
      <c r="AG999" s="610"/>
      <c r="AH999" s="610"/>
      <c r="AI999" s="610"/>
      <c r="AJ999" s="610"/>
      <c r="AK999" s="610"/>
      <c r="AL999" s="610"/>
      <c r="AM999" s="610"/>
      <c r="AN999" s="610"/>
      <c r="AO999" s="610"/>
      <c r="AP999" s="610"/>
      <c r="AQ999" s="610"/>
    </row>
    <row r="1000" spans="2:43" s="609" customFormat="1">
      <c r="B1000" s="610"/>
      <c r="C1000" s="610"/>
      <c r="D1000" s="610"/>
      <c r="E1000" s="610"/>
      <c r="F1000" s="610"/>
      <c r="G1000" s="610"/>
      <c r="H1000" s="610"/>
      <c r="I1000" s="610"/>
      <c r="J1000" s="610"/>
      <c r="L1000" s="610"/>
      <c r="M1000" s="610"/>
      <c r="N1000" s="610"/>
      <c r="O1000" s="610"/>
      <c r="P1000" s="610"/>
      <c r="Q1000" s="610"/>
      <c r="R1000" s="610"/>
      <c r="S1000" s="610"/>
      <c r="T1000" s="610"/>
      <c r="U1000" s="610"/>
      <c r="V1000" s="610"/>
      <c r="W1000" s="610"/>
      <c r="X1000" s="610"/>
      <c r="Y1000" s="610"/>
      <c r="Z1000" s="610"/>
      <c r="AA1000" s="610"/>
      <c r="AB1000" s="610"/>
      <c r="AC1000" s="610"/>
      <c r="AD1000" s="610"/>
      <c r="AE1000" s="610"/>
      <c r="AF1000" s="610"/>
      <c r="AG1000" s="610"/>
      <c r="AH1000" s="610"/>
      <c r="AI1000" s="610"/>
      <c r="AJ1000" s="610"/>
      <c r="AK1000" s="610"/>
      <c r="AL1000" s="610"/>
      <c r="AM1000" s="610"/>
      <c r="AN1000" s="610"/>
      <c r="AO1000" s="610"/>
      <c r="AP1000" s="610"/>
      <c r="AQ1000" s="610"/>
    </row>
    <row r="1001" spans="2:43" s="609" customFormat="1">
      <c r="B1001" s="610"/>
      <c r="C1001" s="610"/>
      <c r="D1001" s="610"/>
      <c r="E1001" s="610"/>
      <c r="F1001" s="610"/>
      <c r="G1001" s="610"/>
      <c r="H1001" s="610"/>
      <c r="I1001" s="610"/>
      <c r="J1001" s="610"/>
      <c r="L1001" s="610"/>
      <c r="M1001" s="610"/>
      <c r="N1001" s="610"/>
      <c r="O1001" s="610"/>
      <c r="P1001" s="610"/>
      <c r="Q1001" s="610"/>
      <c r="R1001" s="610"/>
      <c r="S1001" s="610"/>
      <c r="T1001" s="610"/>
      <c r="U1001" s="610"/>
      <c r="V1001" s="610"/>
      <c r="W1001" s="610"/>
      <c r="X1001" s="610"/>
      <c r="Y1001" s="610"/>
      <c r="Z1001" s="610"/>
      <c r="AA1001" s="610"/>
      <c r="AB1001" s="610"/>
      <c r="AC1001" s="610"/>
      <c r="AD1001" s="610"/>
      <c r="AE1001" s="610"/>
      <c r="AF1001" s="610"/>
      <c r="AG1001" s="610"/>
      <c r="AH1001" s="610"/>
      <c r="AI1001" s="610"/>
      <c r="AJ1001" s="610"/>
      <c r="AK1001" s="610"/>
      <c r="AL1001" s="610"/>
      <c r="AM1001" s="610"/>
      <c r="AN1001" s="610"/>
      <c r="AO1001" s="610"/>
      <c r="AP1001" s="610"/>
      <c r="AQ1001" s="610"/>
    </row>
    <row r="1002" spans="2:43" s="609" customFormat="1">
      <c r="B1002" s="610"/>
      <c r="C1002" s="610"/>
      <c r="D1002" s="610"/>
      <c r="E1002" s="610"/>
      <c r="F1002" s="610"/>
      <c r="G1002" s="610"/>
      <c r="H1002" s="610"/>
      <c r="I1002" s="610"/>
      <c r="J1002" s="610"/>
      <c r="L1002" s="610"/>
      <c r="M1002" s="610"/>
      <c r="N1002" s="610"/>
      <c r="O1002" s="610"/>
      <c r="P1002" s="610"/>
      <c r="Q1002" s="610"/>
      <c r="R1002" s="610"/>
      <c r="S1002" s="610"/>
      <c r="T1002" s="610"/>
      <c r="U1002" s="610"/>
      <c r="V1002" s="610"/>
      <c r="W1002" s="610"/>
      <c r="X1002" s="610"/>
      <c r="Y1002" s="610"/>
      <c r="Z1002" s="610"/>
      <c r="AA1002" s="610"/>
      <c r="AB1002" s="610"/>
      <c r="AC1002" s="610"/>
      <c r="AD1002" s="610"/>
      <c r="AE1002" s="610"/>
      <c r="AF1002" s="610"/>
      <c r="AG1002" s="610"/>
      <c r="AH1002" s="610"/>
      <c r="AI1002" s="610"/>
      <c r="AJ1002" s="610"/>
      <c r="AK1002" s="610"/>
      <c r="AL1002" s="610"/>
      <c r="AM1002" s="610"/>
      <c r="AN1002" s="610"/>
      <c r="AO1002" s="610"/>
      <c r="AP1002" s="610"/>
      <c r="AQ1002" s="610"/>
    </row>
    <row r="1003" spans="2:43" s="609" customFormat="1">
      <c r="B1003" s="610"/>
      <c r="C1003" s="610"/>
      <c r="D1003" s="610"/>
      <c r="E1003" s="610"/>
      <c r="F1003" s="610"/>
      <c r="G1003" s="610"/>
      <c r="H1003" s="610"/>
      <c r="I1003" s="610"/>
      <c r="J1003" s="610"/>
      <c r="L1003" s="610"/>
      <c r="M1003" s="610"/>
      <c r="N1003" s="610"/>
      <c r="O1003" s="610"/>
      <c r="P1003" s="610"/>
      <c r="Q1003" s="610"/>
      <c r="R1003" s="610"/>
      <c r="S1003" s="610"/>
      <c r="T1003" s="610"/>
      <c r="U1003" s="610"/>
      <c r="V1003" s="610"/>
      <c r="W1003" s="610"/>
      <c r="X1003" s="610"/>
      <c r="Y1003" s="610"/>
      <c r="Z1003" s="610"/>
      <c r="AA1003" s="610"/>
      <c r="AB1003" s="610"/>
      <c r="AC1003" s="610"/>
      <c r="AD1003" s="610"/>
      <c r="AE1003" s="610"/>
      <c r="AF1003" s="610"/>
      <c r="AG1003" s="610"/>
      <c r="AH1003" s="610"/>
      <c r="AI1003" s="610"/>
      <c r="AJ1003" s="610"/>
      <c r="AK1003" s="610"/>
      <c r="AL1003" s="610"/>
      <c r="AM1003" s="610"/>
      <c r="AN1003" s="610"/>
      <c r="AO1003" s="610"/>
      <c r="AP1003" s="610"/>
      <c r="AQ1003" s="610"/>
    </row>
    <row r="1004" spans="2:43" s="609" customFormat="1">
      <c r="B1004" s="610"/>
      <c r="C1004" s="610"/>
      <c r="D1004" s="610"/>
      <c r="E1004" s="610"/>
      <c r="F1004" s="610"/>
      <c r="G1004" s="610"/>
      <c r="H1004" s="610"/>
      <c r="I1004" s="610"/>
      <c r="J1004" s="610"/>
      <c r="L1004" s="610"/>
      <c r="M1004" s="610"/>
      <c r="N1004" s="610"/>
      <c r="O1004" s="610"/>
      <c r="P1004" s="610"/>
      <c r="Q1004" s="610"/>
      <c r="R1004" s="610"/>
      <c r="S1004" s="610"/>
      <c r="T1004" s="610"/>
      <c r="U1004" s="610"/>
      <c r="V1004" s="610"/>
      <c r="W1004" s="610"/>
      <c r="X1004" s="610"/>
      <c r="Y1004" s="610"/>
      <c r="Z1004" s="610"/>
      <c r="AA1004" s="610"/>
      <c r="AB1004" s="610"/>
      <c r="AC1004" s="610"/>
      <c r="AD1004" s="610"/>
      <c r="AE1004" s="610"/>
      <c r="AF1004" s="610"/>
      <c r="AG1004" s="610"/>
      <c r="AH1004" s="610"/>
      <c r="AI1004" s="610"/>
      <c r="AJ1004" s="610"/>
      <c r="AK1004" s="610"/>
      <c r="AL1004" s="610"/>
      <c r="AM1004" s="610"/>
      <c r="AN1004" s="610"/>
      <c r="AO1004" s="610"/>
      <c r="AP1004" s="610"/>
      <c r="AQ1004" s="610"/>
    </row>
    <row r="1005" spans="2:43" s="609" customFormat="1">
      <c r="B1005" s="610"/>
      <c r="C1005" s="610"/>
      <c r="D1005" s="610"/>
      <c r="E1005" s="610"/>
      <c r="F1005" s="610"/>
      <c r="G1005" s="610"/>
      <c r="H1005" s="610"/>
      <c r="I1005" s="610"/>
      <c r="J1005" s="610"/>
      <c r="L1005" s="610"/>
      <c r="M1005" s="610"/>
      <c r="N1005" s="610"/>
      <c r="O1005" s="610"/>
      <c r="P1005" s="610"/>
      <c r="Q1005" s="610"/>
      <c r="R1005" s="610"/>
      <c r="S1005" s="610"/>
      <c r="T1005" s="610"/>
      <c r="U1005" s="610"/>
      <c r="V1005" s="610"/>
      <c r="W1005" s="610"/>
      <c r="X1005" s="610"/>
      <c r="Y1005" s="610"/>
      <c r="Z1005" s="610"/>
      <c r="AA1005" s="610"/>
      <c r="AB1005" s="610"/>
      <c r="AC1005" s="610"/>
      <c r="AD1005" s="610"/>
      <c r="AE1005" s="610"/>
      <c r="AF1005" s="610"/>
      <c r="AG1005" s="610"/>
      <c r="AH1005" s="610"/>
      <c r="AI1005" s="610"/>
      <c r="AJ1005" s="610"/>
      <c r="AK1005" s="610"/>
      <c r="AL1005" s="610"/>
      <c r="AM1005" s="610"/>
      <c r="AN1005" s="610"/>
      <c r="AO1005" s="610"/>
      <c r="AP1005" s="610"/>
      <c r="AQ1005" s="610"/>
    </row>
    <row r="1006" spans="2:43" s="609" customFormat="1">
      <c r="B1006" s="610"/>
      <c r="C1006" s="610"/>
      <c r="D1006" s="610"/>
      <c r="E1006" s="610"/>
      <c r="F1006" s="610"/>
      <c r="G1006" s="610"/>
      <c r="H1006" s="610"/>
      <c r="I1006" s="610"/>
      <c r="J1006" s="610"/>
      <c r="L1006" s="610"/>
      <c r="M1006" s="610"/>
      <c r="N1006" s="610"/>
      <c r="O1006" s="610"/>
      <c r="P1006" s="610"/>
      <c r="Q1006" s="610"/>
      <c r="R1006" s="610"/>
      <c r="S1006" s="610"/>
      <c r="T1006" s="610"/>
      <c r="U1006" s="610"/>
      <c r="V1006" s="610"/>
      <c r="W1006" s="610"/>
      <c r="X1006" s="610"/>
      <c r="Y1006" s="610"/>
      <c r="Z1006" s="610"/>
      <c r="AA1006" s="610"/>
      <c r="AB1006" s="610"/>
      <c r="AC1006" s="610"/>
      <c r="AD1006" s="610"/>
      <c r="AE1006" s="610"/>
      <c r="AF1006" s="610"/>
      <c r="AG1006" s="610"/>
      <c r="AH1006" s="610"/>
      <c r="AI1006" s="610"/>
      <c r="AJ1006" s="610"/>
      <c r="AK1006" s="610"/>
      <c r="AL1006" s="610"/>
      <c r="AM1006" s="610"/>
      <c r="AN1006" s="610"/>
      <c r="AO1006" s="610"/>
      <c r="AP1006" s="610"/>
      <c r="AQ1006" s="610"/>
    </row>
    <row r="1007" spans="2:43" s="609" customFormat="1">
      <c r="B1007" s="610"/>
      <c r="C1007" s="610"/>
      <c r="D1007" s="610"/>
      <c r="E1007" s="610"/>
      <c r="F1007" s="610"/>
      <c r="G1007" s="610"/>
      <c r="H1007" s="610"/>
      <c r="I1007" s="610"/>
      <c r="J1007" s="610"/>
      <c r="L1007" s="610"/>
      <c r="M1007" s="610"/>
      <c r="N1007" s="610"/>
      <c r="O1007" s="610"/>
      <c r="P1007" s="610"/>
      <c r="Q1007" s="610"/>
      <c r="R1007" s="610"/>
      <c r="S1007" s="610"/>
      <c r="T1007" s="610"/>
      <c r="U1007" s="610"/>
      <c r="V1007" s="610"/>
      <c r="W1007" s="610"/>
      <c r="X1007" s="610"/>
      <c r="Y1007" s="610"/>
      <c r="Z1007" s="610"/>
      <c r="AA1007" s="610"/>
      <c r="AB1007" s="610"/>
      <c r="AC1007" s="610"/>
      <c r="AD1007" s="610"/>
      <c r="AE1007" s="610"/>
      <c r="AF1007" s="610"/>
      <c r="AG1007" s="610"/>
      <c r="AH1007" s="610"/>
      <c r="AI1007" s="610"/>
      <c r="AJ1007" s="610"/>
      <c r="AK1007" s="610"/>
      <c r="AL1007" s="610"/>
      <c r="AM1007" s="610"/>
      <c r="AN1007" s="610"/>
      <c r="AO1007" s="610"/>
      <c r="AP1007" s="610"/>
      <c r="AQ1007" s="610"/>
    </row>
    <row r="1008" spans="2:43" s="609" customFormat="1">
      <c r="B1008" s="610"/>
      <c r="C1008" s="610"/>
      <c r="D1008" s="610"/>
      <c r="E1008" s="610"/>
      <c r="F1008" s="610"/>
      <c r="G1008" s="610"/>
      <c r="H1008" s="610"/>
      <c r="I1008" s="610"/>
      <c r="J1008" s="610"/>
      <c r="L1008" s="610"/>
      <c r="M1008" s="610"/>
      <c r="N1008" s="610"/>
      <c r="O1008" s="610"/>
      <c r="P1008" s="610"/>
      <c r="Q1008" s="610"/>
      <c r="R1008" s="610"/>
      <c r="S1008" s="610"/>
      <c r="T1008" s="610"/>
      <c r="U1008" s="610"/>
      <c r="V1008" s="610"/>
      <c r="W1008" s="610"/>
      <c r="X1008" s="610"/>
      <c r="Y1008" s="610"/>
      <c r="Z1008" s="610"/>
      <c r="AA1008" s="610"/>
      <c r="AB1008" s="610"/>
      <c r="AC1008" s="610"/>
      <c r="AD1008" s="610"/>
      <c r="AE1008" s="610"/>
      <c r="AF1008" s="610"/>
      <c r="AG1008" s="610"/>
      <c r="AH1008" s="610"/>
      <c r="AI1008" s="610"/>
      <c r="AJ1008" s="610"/>
      <c r="AK1008" s="610"/>
      <c r="AL1008" s="610"/>
      <c r="AM1008" s="610"/>
      <c r="AN1008" s="610"/>
      <c r="AO1008" s="610"/>
      <c r="AP1008" s="610"/>
      <c r="AQ1008" s="610"/>
    </row>
    <row r="1009" spans="2:43" s="609" customFormat="1">
      <c r="B1009" s="610"/>
      <c r="C1009" s="610"/>
      <c r="D1009" s="610"/>
      <c r="E1009" s="610"/>
      <c r="F1009" s="610"/>
      <c r="G1009" s="610"/>
      <c r="H1009" s="610"/>
      <c r="I1009" s="610"/>
      <c r="J1009" s="610"/>
      <c r="L1009" s="610"/>
      <c r="M1009" s="610"/>
      <c r="N1009" s="610"/>
      <c r="O1009" s="610"/>
      <c r="P1009" s="610"/>
      <c r="Q1009" s="610"/>
      <c r="R1009" s="610"/>
      <c r="S1009" s="610"/>
      <c r="T1009" s="610"/>
      <c r="U1009" s="610"/>
      <c r="V1009" s="610"/>
      <c r="W1009" s="610"/>
      <c r="X1009" s="610"/>
      <c r="Y1009" s="610"/>
      <c r="Z1009" s="610"/>
      <c r="AA1009" s="610"/>
      <c r="AB1009" s="610"/>
      <c r="AC1009" s="610"/>
      <c r="AD1009" s="610"/>
      <c r="AE1009" s="610"/>
      <c r="AF1009" s="610"/>
      <c r="AG1009" s="610"/>
      <c r="AH1009" s="610"/>
      <c r="AI1009" s="610"/>
      <c r="AJ1009" s="610"/>
      <c r="AK1009" s="610"/>
      <c r="AL1009" s="610"/>
      <c r="AM1009" s="610"/>
      <c r="AN1009" s="610"/>
      <c r="AO1009" s="610"/>
      <c r="AP1009" s="610"/>
      <c r="AQ1009" s="610"/>
    </row>
    <row r="1010" spans="2:43" s="609" customFormat="1">
      <c r="B1010" s="610"/>
      <c r="C1010" s="610"/>
      <c r="D1010" s="610"/>
      <c r="E1010" s="610"/>
      <c r="F1010" s="610"/>
      <c r="G1010" s="610"/>
      <c r="H1010" s="610"/>
      <c r="I1010" s="610"/>
      <c r="J1010" s="610"/>
      <c r="L1010" s="610"/>
      <c r="M1010" s="610"/>
      <c r="N1010" s="610"/>
      <c r="O1010" s="610"/>
      <c r="P1010" s="610"/>
      <c r="Q1010" s="610"/>
      <c r="R1010" s="610"/>
      <c r="S1010" s="610"/>
      <c r="T1010" s="610"/>
      <c r="U1010" s="610"/>
      <c r="V1010" s="610"/>
      <c r="W1010" s="610"/>
      <c r="X1010" s="610"/>
      <c r="Y1010" s="610"/>
      <c r="Z1010" s="610"/>
      <c r="AA1010" s="610"/>
      <c r="AB1010" s="610"/>
      <c r="AC1010" s="610"/>
      <c r="AD1010" s="610"/>
      <c r="AE1010" s="610"/>
      <c r="AF1010" s="610"/>
      <c r="AG1010" s="610"/>
      <c r="AH1010" s="610"/>
      <c r="AI1010" s="610"/>
      <c r="AJ1010" s="610"/>
      <c r="AK1010" s="610"/>
      <c r="AL1010" s="610"/>
      <c r="AM1010" s="610"/>
      <c r="AN1010" s="610"/>
      <c r="AO1010" s="610"/>
      <c r="AP1010" s="610"/>
      <c r="AQ1010" s="610"/>
    </row>
    <row r="1011" spans="2:43" s="609" customFormat="1">
      <c r="B1011" s="610"/>
      <c r="C1011" s="610"/>
      <c r="D1011" s="610"/>
      <c r="E1011" s="610"/>
      <c r="F1011" s="610"/>
      <c r="G1011" s="610"/>
      <c r="H1011" s="610"/>
      <c r="I1011" s="610"/>
      <c r="J1011" s="610"/>
      <c r="L1011" s="610"/>
      <c r="M1011" s="610"/>
      <c r="N1011" s="610"/>
      <c r="O1011" s="610"/>
      <c r="P1011" s="610"/>
      <c r="Q1011" s="610"/>
      <c r="R1011" s="610"/>
      <c r="S1011" s="610"/>
      <c r="T1011" s="610"/>
      <c r="U1011" s="610"/>
      <c r="V1011" s="610"/>
      <c r="W1011" s="610"/>
      <c r="X1011" s="610"/>
      <c r="Y1011" s="610"/>
      <c r="Z1011" s="610"/>
      <c r="AA1011" s="610"/>
      <c r="AB1011" s="610"/>
      <c r="AC1011" s="610"/>
      <c r="AD1011" s="610"/>
      <c r="AE1011" s="610"/>
      <c r="AF1011" s="610"/>
      <c r="AG1011" s="610"/>
      <c r="AH1011" s="610"/>
      <c r="AI1011" s="610"/>
      <c r="AJ1011" s="610"/>
      <c r="AK1011" s="610"/>
      <c r="AL1011" s="610"/>
      <c r="AM1011" s="610"/>
      <c r="AN1011" s="610"/>
      <c r="AO1011" s="610"/>
      <c r="AP1011" s="610"/>
      <c r="AQ1011" s="610"/>
    </row>
    <row r="1012" spans="2:43" s="609" customFormat="1">
      <c r="B1012" s="610"/>
      <c r="C1012" s="610"/>
      <c r="D1012" s="610"/>
      <c r="E1012" s="610"/>
      <c r="F1012" s="610"/>
      <c r="G1012" s="610"/>
      <c r="H1012" s="610"/>
      <c r="I1012" s="610"/>
      <c r="J1012" s="610"/>
      <c r="L1012" s="610"/>
      <c r="M1012" s="610"/>
      <c r="N1012" s="610"/>
      <c r="O1012" s="610"/>
      <c r="P1012" s="610"/>
      <c r="Q1012" s="610"/>
      <c r="R1012" s="610"/>
      <c r="S1012" s="610"/>
      <c r="T1012" s="610"/>
      <c r="U1012" s="610"/>
      <c r="V1012" s="610"/>
      <c r="W1012" s="610"/>
      <c r="X1012" s="610"/>
      <c r="Y1012" s="610"/>
      <c r="Z1012" s="610"/>
      <c r="AA1012" s="610"/>
      <c r="AB1012" s="610"/>
      <c r="AC1012" s="610"/>
      <c r="AD1012" s="610"/>
      <c r="AE1012" s="610"/>
      <c r="AF1012" s="610"/>
      <c r="AG1012" s="610"/>
      <c r="AH1012" s="610"/>
      <c r="AI1012" s="610"/>
      <c r="AJ1012" s="610"/>
      <c r="AK1012" s="610"/>
      <c r="AL1012" s="610"/>
      <c r="AM1012" s="610"/>
      <c r="AN1012" s="610"/>
      <c r="AO1012" s="610"/>
      <c r="AP1012" s="610"/>
      <c r="AQ1012" s="610"/>
    </row>
    <row r="1013" spans="2:43" s="609" customFormat="1">
      <c r="B1013" s="610"/>
      <c r="C1013" s="610"/>
      <c r="D1013" s="610"/>
      <c r="E1013" s="610"/>
      <c r="F1013" s="610"/>
      <c r="G1013" s="610"/>
      <c r="H1013" s="610"/>
      <c r="I1013" s="610"/>
      <c r="J1013" s="610"/>
      <c r="L1013" s="610"/>
      <c r="M1013" s="610"/>
      <c r="N1013" s="610"/>
      <c r="O1013" s="610"/>
      <c r="P1013" s="610"/>
      <c r="Q1013" s="610"/>
      <c r="R1013" s="610"/>
      <c r="S1013" s="610"/>
      <c r="T1013" s="610"/>
      <c r="U1013" s="610"/>
      <c r="V1013" s="610"/>
      <c r="W1013" s="610"/>
      <c r="X1013" s="610"/>
      <c r="Y1013" s="610"/>
      <c r="Z1013" s="610"/>
      <c r="AA1013" s="610"/>
      <c r="AB1013" s="610"/>
      <c r="AC1013" s="610"/>
      <c r="AD1013" s="610"/>
      <c r="AE1013" s="610"/>
      <c r="AF1013" s="610"/>
      <c r="AG1013" s="610"/>
      <c r="AH1013" s="610"/>
      <c r="AI1013" s="610"/>
      <c r="AJ1013" s="610"/>
      <c r="AK1013" s="610"/>
      <c r="AL1013" s="610"/>
      <c r="AM1013" s="610"/>
      <c r="AN1013" s="610"/>
      <c r="AO1013" s="610"/>
      <c r="AP1013" s="610"/>
      <c r="AQ1013" s="610"/>
    </row>
    <row r="1014" spans="2:43" s="609" customFormat="1">
      <c r="B1014" s="610"/>
      <c r="C1014" s="610"/>
      <c r="D1014" s="610"/>
      <c r="E1014" s="610"/>
      <c r="F1014" s="610"/>
      <c r="G1014" s="610"/>
      <c r="H1014" s="610"/>
      <c r="I1014" s="610"/>
      <c r="J1014" s="610"/>
      <c r="L1014" s="610"/>
      <c r="M1014" s="610"/>
      <c r="N1014" s="610"/>
      <c r="O1014" s="610"/>
      <c r="P1014" s="610"/>
      <c r="Q1014" s="610"/>
      <c r="R1014" s="610"/>
      <c r="S1014" s="610"/>
      <c r="T1014" s="610"/>
      <c r="U1014" s="610"/>
      <c r="V1014" s="610"/>
      <c r="W1014" s="610"/>
      <c r="X1014" s="610"/>
      <c r="Y1014" s="610"/>
      <c r="Z1014" s="610"/>
      <c r="AA1014" s="610"/>
      <c r="AB1014" s="610"/>
      <c r="AC1014" s="610"/>
      <c r="AD1014" s="610"/>
      <c r="AE1014" s="610"/>
      <c r="AF1014" s="610"/>
      <c r="AG1014" s="610"/>
      <c r="AH1014" s="610"/>
      <c r="AI1014" s="610"/>
      <c r="AJ1014" s="610"/>
      <c r="AK1014" s="610"/>
      <c r="AL1014" s="610"/>
      <c r="AM1014" s="610"/>
      <c r="AN1014" s="610"/>
      <c r="AO1014" s="610"/>
      <c r="AP1014" s="610"/>
      <c r="AQ1014" s="610"/>
    </row>
    <row r="1015" spans="2:43" s="609" customFormat="1">
      <c r="B1015" s="610"/>
      <c r="C1015" s="610"/>
      <c r="D1015" s="610"/>
      <c r="E1015" s="610"/>
      <c r="F1015" s="610"/>
      <c r="G1015" s="610"/>
      <c r="H1015" s="610"/>
      <c r="I1015" s="610"/>
      <c r="J1015" s="610"/>
      <c r="L1015" s="610"/>
      <c r="M1015" s="610"/>
      <c r="N1015" s="610"/>
      <c r="O1015" s="610"/>
      <c r="P1015" s="610"/>
      <c r="Q1015" s="610"/>
      <c r="R1015" s="610"/>
      <c r="S1015" s="610"/>
      <c r="T1015" s="610"/>
      <c r="U1015" s="610"/>
      <c r="V1015" s="610"/>
      <c r="W1015" s="610"/>
      <c r="X1015" s="610"/>
      <c r="Y1015" s="610"/>
      <c r="Z1015" s="610"/>
      <c r="AA1015" s="610"/>
      <c r="AB1015" s="610"/>
      <c r="AC1015" s="610"/>
      <c r="AD1015" s="610"/>
      <c r="AE1015" s="610"/>
      <c r="AF1015" s="610"/>
      <c r="AG1015" s="610"/>
      <c r="AH1015" s="610"/>
      <c r="AI1015" s="610"/>
      <c r="AJ1015" s="610"/>
      <c r="AK1015" s="610"/>
      <c r="AL1015" s="610"/>
      <c r="AM1015" s="610"/>
      <c r="AN1015" s="610"/>
      <c r="AO1015" s="610"/>
      <c r="AP1015" s="610"/>
      <c r="AQ1015" s="610"/>
    </row>
    <row r="1016" spans="2:43" s="609" customFormat="1">
      <c r="B1016" s="610"/>
      <c r="C1016" s="610"/>
      <c r="D1016" s="610"/>
      <c r="E1016" s="610"/>
      <c r="F1016" s="610"/>
      <c r="G1016" s="610"/>
      <c r="H1016" s="610"/>
      <c r="I1016" s="610"/>
      <c r="J1016" s="610"/>
      <c r="L1016" s="610"/>
      <c r="M1016" s="610"/>
      <c r="N1016" s="610"/>
      <c r="O1016" s="610"/>
      <c r="P1016" s="610"/>
      <c r="Q1016" s="610"/>
      <c r="R1016" s="610"/>
      <c r="S1016" s="610"/>
      <c r="T1016" s="610"/>
      <c r="U1016" s="610"/>
      <c r="V1016" s="610"/>
      <c r="W1016" s="610"/>
      <c r="X1016" s="610"/>
      <c r="Y1016" s="610"/>
      <c r="Z1016" s="610"/>
      <c r="AA1016" s="610"/>
      <c r="AB1016" s="610"/>
      <c r="AC1016" s="610"/>
      <c r="AD1016" s="610"/>
      <c r="AE1016" s="610"/>
      <c r="AF1016" s="610"/>
      <c r="AG1016" s="610"/>
      <c r="AH1016" s="610"/>
      <c r="AI1016" s="610"/>
      <c r="AJ1016" s="610"/>
      <c r="AK1016" s="610"/>
      <c r="AL1016" s="610"/>
      <c r="AM1016" s="610"/>
      <c r="AN1016" s="610"/>
      <c r="AO1016" s="610"/>
      <c r="AP1016" s="610"/>
      <c r="AQ1016" s="610"/>
    </row>
    <row r="1017" spans="2:43" s="609" customFormat="1">
      <c r="B1017" s="610"/>
      <c r="C1017" s="610"/>
      <c r="D1017" s="610"/>
      <c r="E1017" s="610"/>
      <c r="F1017" s="610"/>
      <c r="G1017" s="610"/>
      <c r="H1017" s="610"/>
      <c r="I1017" s="610"/>
      <c r="J1017" s="610"/>
      <c r="L1017" s="610"/>
      <c r="M1017" s="610"/>
      <c r="N1017" s="610"/>
      <c r="O1017" s="610"/>
      <c r="P1017" s="610"/>
      <c r="Q1017" s="610"/>
      <c r="R1017" s="610"/>
      <c r="S1017" s="610"/>
      <c r="T1017" s="610"/>
      <c r="U1017" s="610"/>
      <c r="V1017" s="610"/>
      <c r="W1017" s="610"/>
      <c r="X1017" s="610"/>
      <c r="Y1017" s="610"/>
      <c r="Z1017" s="610"/>
      <c r="AA1017" s="610"/>
      <c r="AB1017" s="610"/>
      <c r="AC1017" s="610"/>
      <c r="AD1017" s="610"/>
      <c r="AE1017" s="610"/>
      <c r="AF1017" s="610"/>
      <c r="AG1017" s="610"/>
      <c r="AH1017" s="610"/>
      <c r="AI1017" s="610"/>
      <c r="AJ1017" s="610"/>
      <c r="AK1017" s="610"/>
      <c r="AL1017" s="610"/>
      <c r="AM1017" s="610"/>
      <c r="AN1017" s="610"/>
      <c r="AO1017" s="610"/>
      <c r="AP1017" s="610"/>
      <c r="AQ1017" s="610"/>
    </row>
    <row r="1018" spans="2:43" s="609" customFormat="1">
      <c r="B1018" s="610"/>
      <c r="C1018" s="610"/>
      <c r="D1018" s="610"/>
      <c r="E1018" s="610"/>
      <c r="F1018" s="610"/>
      <c r="G1018" s="610"/>
      <c r="H1018" s="610"/>
      <c r="I1018" s="610"/>
      <c r="J1018" s="610"/>
      <c r="L1018" s="610"/>
      <c r="M1018" s="610"/>
      <c r="N1018" s="610"/>
      <c r="O1018" s="610"/>
      <c r="P1018" s="610"/>
      <c r="Q1018" s="610"/>
      <c r="R1018" s="610"/>
      <c r="S1018" s="610"/>
      <c r="T1018" s="610"/>
      <c r="U1018" s="610"/>
      <c r="V1018" s="610"/>
      <c r="W1018" s="610"/>
      <c r="X1018" s="610"/>
      <c r="Y1018" s="610"/>
      <c r="Z1018" s="610"/>
      <c r="AA1018" s="610"/>
      <c r="AB1018" s="610"/>
      <c r="AC1018" s="610"/>
      <c r="AD1018" s="610"/>
      <c r="AE1018" s="610"/>
      <c r="AF1018" s="610"/>
      <c r="AG1018" s="610"/>
      <c r="AH1018" s="610"/>
      <c r="AI1018" s="610"/>
      <c r="AJ1018" s="610"/>
      <c r="AK1018" s="610"/>
      <c r="AL1018" s="610"/>
      <c r="AM1018" s="610"/>
      <c r="AN1018" s="610"/>
      <c r="AO1018" s="610"/>
      <c r="AP1018" s="610"/>
      <c r="AQ1018" s="610"/>
    </row>
    <row r="1019" spans="2:43" s="609" customFormat="1">
      <c r="B1019" s="610"/>
      <c r="C1019" s="610"/>
      <c r="D1019" s="610"/>
      <c r="E1019" s="610"/>
      <c r="F1019" s="610"/>
      <c r="G1019" s="610"/>
      <c r="H1019" s="610"/>
      <c r="I1019" s="610"/>
      <c r="J1019" s="610"/>
      <c r="L1019" s="610"/>
      <c r="M1019" s="610"/>
      <c r="N1019" s="610"/>
      <c r="O1019" s="610"/>
      <c r="P1019" s="610"/>
      <c r="Q1019" s="610"/>
      <c r="R1019" s="610"/>
      <c r="S1019" s="610"/>
      <c r="T1019" s="610"/>
      <c r="U1019" s="610"/>
      <c r="V1019" s="610"/>
      <c r="W1019" s="610"/>
      <c r="X1019" s="610"/>
      <c r="Y1019" s="610"/>
      <c r="Z1019" s="610"/>
      <c r="AA1019" s="610"/>
      <c r="AB1019" s="610"/>
      <c r="AC1019" s="610"/>
      <c r="AD1019" s="610"/>
      <c r="AE1019" s="610"/>
      <c r="AF1019" s="610"/>
      <c r="AG1019" s="610"/>
      <c r="AH1019" s="610"/>
      <c r="AI1019" s="610"/>
      <c r="AJ1019" s="610"/>
      <c r="AK1019" s="610"/>
      <c r="AL1019" s="610"/>
      <c r="AM1019" s="610"/>
      <c r="AN1019" s="610"/>
      <c r="AO1019" s="610"/>
      <c r="AP1019" s="610"/>
      <c r="AQ1019" s="610"/>
    </row>
    <row r="1020" spans="2:43" s="609" customFormat="1">
      <c r="B1020" s="610"/>
      <c r="C1020" s="610"/>
      <c r="D1020" s="610"/>
      <c r="E1020" s="610"/>
      <c r="F1020" s="610"/>
      <c r="G1020" s="610"/>
      <c r="H1020" s="610"/>
      <c r="I1020" s="610"/>
      <c r="J1020" s="610"/>
      <c r="L1020" s="610"/>
      <c r="M1020" s="610"/>
      <c r="N1020" s="610"/>
      <c r="O1020" s="610"/>
      <c r="P1020" s="610"/>
      <c r="Q1020" s="610"/>
      <c r="R1020" s="610"/>
      <c r="S1020" s="610"/>
      <c r="T1020" s="610"/>
      <c r="U1020" s="610"/>
      <c r="V1020" s="610"/>
      <c r="W1020" s="610"/>
      <c r="X1020" s="610"/>
      <c r="Y1020" s="610"/>
      <c r="Z1020" s="610"/>
      <c r="AA1020" s="610"/>
      <c r="AB1020" s="610"/>
      <c r="AC1020" s="610"/>
      <c r="AD1020" s="610"/>
      <c r="AE1020" s="610"/>
      <c r="AF1020" s="610"/>
      <c r="AG1020" s="610"/>
      <c r="AH1020" s="610"/>
      <c r="AI1020" s="610"/>
      <c r="AJ1020" s="610"/>
      <c r="AK1020" s="610"/>
      <c r="AL1020" s="610"/>
      <c r="AM1020" s="610"/>
      <c r="AN1020" s="610"/>
      <c r="AO1020" s="610"/>
      <c r="AP1020" s="610"/>
      <c r="AQ1020" s="610"/>
    </row>
    <row r="1021" spans="2:43" s="609" customFormat="1">
      <c r="B1021" s="610"/>
      <c r="C1021" s="610"/>
      <c r="D1021" s="610"/>
      <c r="E1021" s="610"/>
      <c r="F1021" s="610"/>
      <c r="G1021" s="610"/>
      <c r="H1021" s="610"/>
      <c r="I1021" s="610"/>
      <c r="J1021" s="610"/>
      <c r="L1021" s="610"/>
      <c r="M1021" s="610"/>
      <c r="N1021" s="610"/>
      <c r="O1021" s="610"/>
      <c r="P1021" s="610"/>
      <c r="Q1021" s="610"/>
      <c r="R1021" s="610"/>
      <c r="S1021" s="610"/>
      <c r="T1021" s="610"/>
      <c r="U1021" s="610"/>
      <c r="V1021" s="610"/>
      <c r="W1021" s="610"/>
      <c r="X1021" s="610"/>
      <c r="Y1021" s="610"/>
      <c r="Z1021" s="610"/>
      <c r="AA1021" s="610"/>
      <c r="AB1021" s="610"/>
      <c r="AC1021" s="610"/>
      <c r="AD1021" s="610"/>
      <c r="AE1021" s="610"/>
      <c r="AF1021" s="610"/>
      <c r="AG1021" s="610"/>
      <c r="AH1021" s="610"/>
      <c r="AI1021" s="610"/>
      <c r="AJ1021" s="610"/>
      <c r="AK1021" s="610"/>
      <c r="AL1021" s="610"/>
      <c r="AM1021" s="610"/>
      <c r="AN1021" s="610"/>
      <c r="AO1021" s="610"/>
      <c r="AP1021" s="610"/>
      <c r="AQ1021" s="610"/>
    </row>
    <row r="1022" spans="2:43" s="609" customFormat="1">
      <c r="B1022" s="610"/>
      <c r="C1022" s="610"/>
      <c r="D1022" s="610"/>
      <c r="E1022" s="610"/>
      <c r="F1022" s="610"/>
      <c r="G1022" s="610"/>
      <c r="H1022" s="610"/>
      <c r="I1022" s="610"/>
      <c r="J1022" s="610"/>
      <c r="L1022" s="610"/>
      <c r="M1022" s="610"/>
      <c r="N1022" s="610"/>
      <c r="O1022" s="610"/>
      <c r="P1022" s="610"/>
      <c r="Q1022" s="610"/>
      <c r="R1022" s="610"/>
      <c r="S1022" s="610"/>
      <c r="T1022" s="610"/>
      <c r="U1022" s="610"/>
      <c r="V1022" s="610"/>
      <c r="W1022" s="610"/>
      <c r="X1022" s="610"/>
      <c r="Y1022" s="610"/>
      <c r="Z1022" s="610"/>
      <c r="AA1022" s="610"/>
      <c r="AB1022" s="610"/>
      <c r="AC1022" s="610"/>
      <c r="AD1022" s="610"/>
      <c r="AE1022" s="610"/>
      <c r="AF1022" s="610"/>
      <c r="AG1022" s="610"/>
      <c r="AH1022" s="610"/>
      <c r="AI1022" s="610"/>
      <c r="AJ1022" s="610"/>
      <c r="AK1022" s="610"/>
      <c r="AL1022" s="610"/>
      <c r="AM1022" s="610"/>
      <c r="AN1022" s="610"/>
      <c r="AO1022" s="610"/>
      <c r="AP1022" s="610"/>
      <c r="AQ1022" s="610"/>
    </row>
    <row r="1023" spans="2:43" s="609" customFormat="1">
      <c r="B1023" s="610"/>
      <c r="C1023" s="610"/>
      <c r="D1023" s="610"/>
      <c r="E1023" s="610"/>
      <c r="F1023" s="610"/>
      <c r="G1023" s="610"/>
      <c r="H1023" s="610"/>
      <c r="I1023" s="610"/>
      <c r="J1023" s="610"/>
      <c r="L1023" s="610"/>
      <c r="M1023" s="610"/>
      <c r="N1023" s="610"/>
      <c r="O1023" s="610"/>
      <c r="P1023" s="610"/>
      <c r="Q1023" s="610"/>
      <c r="R1023" s="610"/>
      <c r="S1023" s="610"/>
      <c r="T1023" s="610"/>
      <c r="U1023" s="610"/>
      <c r="V1023" s="610"/>
      <c r="W1023" s="610"/>
      <c r="X1023" s="610"/>
      <c r="Y1023" s="610"/>
      <c r="Z1023" s="610"/>
      <c r="AA1023" s="610"/>
      <c r="AB1023" s="610"/>
      <c r="AC1023" s="610"/>
      <c r="AD1023" s="610"/>
      <c r="AE1023" s="610"/>
      <c r="AF1023" s="610"/>
      <c r="AG1023" s="610"/>
      <c r="AH1023" s="610"/>
      <c r="AI1023" s="610"/>
      <c r="AJ1023" s="610"/>
      <c r="AK1023" s="610"/>
      <c r="AL1023" s="610"/>
      <c r="AM1023" s="610"/>
      <c r="AN1023" s="610"/>
      <c r="AO1023" s="610"/>
      <c r="AP1023" s="610"/>
      <c r="AQ1023" s="610"/>
    </row>
    <row r="1024" spans="2:43" s="609" customFormat="1">
      <c r="B1024" s="610"/>
      <c r="C1024" s="610"/>
      <c r="D1024" s="610"/>
      <c r="E1024" s="610"/>
      <c r="F1024" s="610"/>
      <c r="G1024" s="610"/>
      <c r="H1024" s="610"/>
      <c r="I1024" s="610"/>
      <c r="J1024" s="610"/>
      <c r="L1024" s="610"/>
      <c r="M1024" s="610"/>
      <c r="N1024" s="610"/>
      <c r="O1024" s="610"/>
      <c r="P1024" s="610"/>
      <c r="Q1024" s="610"/>
      <c r="R1024" s="610"/>
      <c r="S1024" s="610"/>
      <c r="T1024" s="610"/>
      <c r="U1024" s="610"/>
      <c r="V1024" s="610"/>
      <c r="W1024" s="610"/>
      <c r="X1024" s="610"/>
      <c r="Y1024" s="610"/>
      <c r="Z1024" s="610"/>
      <c r="AA1024" s="610"/>
      <c r="AB1024" s="610"/>
      <c r="AC1024" s="610"/>
      <c r="AD1024" s="610"/>
      <c r="AE1024" s="610"/>
      <c r="AF1024" s="610"/>
      <c r="AG1024" s="610"/>
      <c r="AH1024" s="610"/>
      <c r="AI1024" s="610"/>
      <c r="AJ1024" s="610"/>
      <c r="AK1024" s="610"/>
      <c r="AL1024" s="610"/>
      <c r="AM1024" s="610"/>
      <c r="AN1024" s="610"/>
      <c r="AO1024" s="610"/>
      <c r="AP1024" s="610"/>
      <c r="AQ1024" s="610"/>
    </row>
    <row r="1025" spans="2:43" s="609" customFormat="1">
      <c r="B1025" s="610"/>
      <c r="C1025" s="610"/>
      <c r="D1025" s="610"/>
      <c r="E1025" s="610"/>
      <c r="F1025" s="610"/>
      <c r="G1025" s="610"/>
      <c r="H1025" s="610"/>
      <c r="I1025" s="610"/>
      <c r="J1025" s="610"/>
      <c r="L1025" s="610"/>
      <c r="M1025" s="610"/>
      <c r="N1025" s="610"/>
      <c r="O1025" s="610"/>
      <c r="P1025" s="610"/>
      <c r="Q1025" s="610"/>
      <c r="R1025" s="610"/>
      <c r="S1025" s="610"/>
      <c r="T1025" s="610"/>
      <c r="U1025" s="610"/>
      <c r="V1025" s="610"/>
      <c r="W1025" s="610"/>
      <c r="X1025" s="610"/>
      <c r="Y1025" s="610"/>
      <c r="Z1025" s="610"/>
      <c r="AA1025" s="610"/>
      <c r="AB1025" s="610"/>
      <c r="AC1025" s="610"/>
      <c r="AD1025" s="610"/>
      <c r="AE1025" s="610"/>
      <c r="AF1025" s="610"/>
      <c r="AG1025" s="610"/>
      <c r="AH1025" s="610"/>
      <c r="AI1025" s="610"/>
      <c r="AJ1025" s="610"/>
      <c r="AK1025" s="610"/>
      <c r="AL1025" s="610"/>
      <c r="AM1025" s="610"/>
      <c r="AN1025" s="610"/>
      <c r="AO1025" s="610"/>
      <c r="AP1025" s="610"/>
      <c r="AQ1025" s="610"/>
    </row>
    <row r="1026" spans="2:43" s="609" customFormat="1">
      <c r="B1026" s="610"/>
      <c r="C1026" s="610"/>
      <c r="D1026" s="610"/>
      <c r="E1026" s="610"/>
      <c r="F1026" s="610"/>
      <c r="G1026" s="610"/>
      <c r="H1026" s="610"/>
      <c r="I1026" s="610"/>
      <c r="J1026" s="610"/>
      <c r="L1026" s="610"/>
      <c r="M1026" s="610"/>
      <c r="N1026" s="610"/>
      <c r="O1026" s="610"/>
      <c r="P1026" s="610"/>
      <c r="Q1026" s="610"/>
      <c r="R1026" s="610"/>
      <c r="S1026" s="610"/>
      <c r="T1026" s="610"/>
      <c r="U1026" s="610"/>
      <c r="V1026" s="610"/>
      <c r="W1026" s="610"/>
      <c r="X1026" s="610"/>
      <c r="Y1026" s="610"/>
      <c r="Z1026" s="610"/>
      <c r="AA1026" s="610"/>
      <c r="AB1026" s="610"/>
      <c r="AC1026" s="610"/>
      <c r="AD1026" s="610"/>
      <c r="AE1026" s="610"/>
      <c r="AF1026" s="610"/>
      <c r="AG1026" s="610"/>
      <c r="AH1026" s="610"/>
      <c r="AI1026" s="610"/>
      <c r="AJ1026" s="610"/>
      <c r="AK1026" s="610"/>
      <c r="AL1026" s="610"/>
      <c r="AM1026" s="610"/>
      <c r="AN1026" s="610"/>
      <c r="AO1026" s="610"/>
      <c r="AP1026" s="610"/>
      <c r="AQ1026" s="610"/>
    </row>
    <row r="1027" spans="2:43" s="609" customFormat="1">
      <c r="B1027" s="610"/>
      <c r="C1027" s="610"/>
      <c r="D1027" s="610"/>
      <c r="E1027" s="610"/>
      <c r="F1027" s="610"/>
      <c r="G1027" s="610"/>
      <c r="H1027" s="610"/>
      <c r="I1027" s="610"/>
      <c r="J1027" s="610"/>
      <c r="L1027" s="610"/>
      <c r="M1027" s="610"/>
      <c r="N1027" s="610"/>
      <c r="O1027" s="610"/>
      <c r="P1027" s="610"/>
      <c r="Q1027" s="610"/>
      <c r="R1027" s="610"/>
      <c r="S1027" s="610"/>
      <c r="T1027" s="610"/>
      <c r="U1027" s="610"/>
      <c r="V1027" s="610"/>
      <c r="W1027" s="610"/>
      <c r="X1027" s="610"/>
      <c r="Y1027" s="610"/>
      <c r="Z1027" s="610"/>
      <c r="AA1027" s="610"/>
      <c r="AB1027" s="610"/>
      <c r="AC1027" s="610"/>
      <c r="AD1027" s="610"/>
      <c r="AE1027" s="610"/>
      <c r="AF1027" s="610"/>
      <c r="AG1027" s="610"/>
      <c r="AH1027" s="610"/>
      <c r="AI1027" s="610"/>
      <c r="AJ1027" s="610"/>
      <c r="AK1027" s="610"/>
      <c r="AL1027" s="610"/>
      <c r="AM1027" s="610"/>
      <c r="AN1027" s="610"/>
      <c r="AO1027" s="610"/>
      <c r="AP1027" s="610"/>
      <c r="AQ1027" s="610"/>
    </row>
    <row r="1028" spans="2:43" s="609" customFormat="1">
      <c r="B1028" s="610"/>
      <c r="C1028" s="610"/>
      <c r="D1028" s="610"/>
      <c r="E1028" s="610"/>
      <c r="F1028" s="610"/>
      <c r="G1028" s="610"/>
      <c r="H1028" s="610"/>
      <c r="I1028" s="610"/>
      <c r="J1028" s="610"/>
      <c r="L1028" s="610"/>
      <c r="M1028" s="610"/>
      <c r="N1028" s="610"/>
      <c r="O1028" s="610"/>
      <c r="P1028" s="610"/>
      <c r="Q1028" s="610"/>
      <c r="R1028" s="610"/>
      <c r="S1028" s="610"/>
      <c r="T1028" s="610"/>
      <c r="U1028" s="610"/>
      <c r="V1028" s="610"/>
      <c r="W1028" s="610"/>
      <c r="X1028" s="610"/>
      <c r="Y1028" s="610"/>
      <c r="Z1028" s="610"/>
      <c r="AA1028" s="610"/>
      <c r="AB1028" s="610"/>
      <c r="AC1028" s="610"/>
      <c r="AD1028" s="610"/>
      <c r="AE1028" s="610"/>
      <c r="AF1028" s="610"/>
      <c r="AG1028" s="610"/>
      <c r="AH1028" s="610"/>
      <c r="AI1028" s="610"/>
      <c r="AJ1028" s="610"/>
      <c r="AK1028" s="610"/>
      <c r="AL1028" s="610"/>
      <c r="AM1028" s="610"/>
      <c r="AN1028" s="610"/>
      <c r="AO1028" s="610"/>
      <c r="AP1028" s="610"/>
      <c r="AQ1028" s="610"/>
    </row>
    <row r="1029" spans="2:43" s="609" customFormat="1">
      <c r="B1029" s="610"/>
      <c r="C1029" s="610"/>
      <c r="D1029" s="610"/>
      <c r="E1029" s="610"/>
      <c r="F1029" s="610"/>
      <c r="G1029" s="610"/>
      <c r="H1029" s="610"/>
      <c r="I1029" s="610"/>
      <c r="J1029" s="610"/>
      <c r="L1029" s="610"/>
      <c r="M1029" s="610"/>
      <c r="N1029" s="610"/>
      <c r="O1029" s="610"/>
      <c r="P1029" s="610"/>
      <c r="Q1029" s="610"/>
      <c r="R1029" s="610"/>
      <c r="S1029" s="610"/>
      <c r="T1029" s="610"/>
      <c r="U1029" s="610"/>
      <c r="V1029" s="610"/>
      <c r="W1029" s="610"/>
      <c r="X1029" s="610"/>
      <c r="Y1029" s="610"/>
      <c r="Z1029" s="610"/>
      <c r="AA1029" s="610"/>
      <c r="AB1029" s="610"/>
      <c r="AC1029" s="610"/>
      <c r="AD1029" s="610"/>
      <c r="AE1029" s="610"/>
      <c r="AF1029" s="610"/>
      <c r="AG1029" s="610"/>
      <c r="AH1029" s="610"/>
      <c r="AI1029" s="610"/>
      <c r="AJ1029" s="610"/>
      <c r="AK1029" s="610"/>
      <c r="AL1029" s="610"/>
      <c r="AM1029" s="610"/>
      <c r="AN1029" s="610"/>
      <c r="AO1029" s="610"/>
      <c r="AP1029" s="610"/>
      <c r="AQ1029" s="610"/>
    </row>
    <row r="1030" spans="2:43" s="609" customFormat="1">
      <c r="B1030" s="610"/>
      <c r="C1030" s="610"/>
      <c r="D1030" s="610"/>
      <c r="E1030" s="610"/>
      <c r="F1030" s="610"/>
      <c r="G1030" s="610"/>
      <c r="H1030" s="610"/>
      <c r="I1030" s="610"/>
      <c r="J1030" s="610"/>
      <c r="L1030" s="610"/>
      <c r="M1030" s="610"/>
      <c r="N1030" s="610"/>
      <c r="O1030" s="610"/>
      <c r="P1030" s="610"/>
      <c r="Q1030" s="610"/>
      <c r="R1030" s="610"/>
      <c r="S1030" s="610"/>
      <c r="T1030" s="610"/>
      <c r="U1030" s="610"/>
      <c r="V1030" s="610"/>
      <c r="W1030" s="610"/>
      <c r="X1030" s="610"/>
      <c r="Y1030" s="610"/>
      <c r="Z1030" s="610"/>
      <c r="AA1030" s="610"/>
      <c r="AB1030" s="610"/>
      <c r="AC1030" s="610"/>
      <c r="AD1030" s="610"/>
      <c r="AE1030" s="610"/>
      <c r="AF1030" s="610"/>
      <c r="AG1030" s="610"/>
      <c r="AH1030" s="610"/>
      <c r="AI1030" s="610"/>
      <c r="AJ1030" s="610"/>
      <c r="AK1030" s="610"/>
      <c r="AL1030" s="610"/>
      <c r="AM1030" s="610"/>
      <c r="AN1030" s="610"/>
      <c r="AO1030" s="610"/>
      <c r="AP1030" s="610"/>
      <c r="AQ1030" s="610"/>
    </row>
    <row r="1031" spans="2:43" s="609" customFormat="1">
      <c r="B1031" s="610"/>
      <c r="C1031" s="610"/>
      <c r="D1031" s="610"/>
      <c r="E1031" s="610"/>
      <c r="F1031" s="610"/>
      <c r="G1031" s="610"/>
      <c r="H1031" s="610"/>
      <c r="I1031" s="610"/>
      <c r="J1031" s="610"/>
      <c r="L1031" s="610"/>
      <c r="M1031" s="610"/>
      <c r="N1031" s="610"/>
      <c r="O1031" s="610"/>
      <c r="P1031" s="610"/>
      <c r="Q1031" s="610"/>
      <c r="R1031" s="610"/>
      <c r="S1031" s="610"/>
      <c r="T1031" s="610"/>
      <c r="U1031" s="610"/>
      <c r="V1031" s="610"/>
      <c r="W1031" s="610"/>
      <c r="X1031" s="610"/>
      <c r="Y1031" s="610"/>
      <c r="Z1031" s="610"/>
      <c r="AA1031" s="610"/>
      <c r="AB1031" s="610"/>
      <c r="AC1031" s="610"/>
      <c r="AD1031" s="610"/>
      <c r="AE1031" s="610"/>
      <c r="AF1031" s="610"/>
      <c r="AG1031" s="610"/>
      <c r="AH1031" s="610"/>
      <c r="AI1031" s="610"/>
      <c r="AJ1031" s="610"/>
      <c r="AK1031" s="610"/>
      <c r="AL1031" s="610"/>
      <c r="AM1031" s="610"/>
      <c r="AN1031" s="610"/>
      <c r="AO1031" s="610"/>
      <c r="AP1031" s="610"/>
      <c r="AQ1031" s="610"/>
    </row>
    <row r="1032" spans="2:43" s="609" customFormat="1">
      <c r="B1032" s="610"/>
      <c r="C1032" s="610"/>
      <c r="D1032" s="610"/>
      <c r="E1032" s="610"/>
      <c r="F1032" s="610"/>
      <c r="G1032" s="610"/>
      <c r="H1032" s="610"/>
      <c r="I1032" s="610"/>
      <c r="J1032" s="610"/>
      <c r="L1032" s="610"/>
      <c r="M1032" s="610"/>
      <c r="N1032" s="610"/>
      <c r="O1032" s="610"/>
      <c r="P1032" s="610"/>
      <c r="Q1032" s="610"/>
      <c r="R1032" s="610"/>
      <c r="S1032" s="610"/>
      <c r="T1032" s="610"/>
      <c r="U1032" s="610"/>
      <c r="V1032" s="610"/>
      <c r="W1032" s="610"/>
      <c r="X1032" s="610"/>
      <c r="Y1032" s="610"/>
      <c r="Z1032" s="610"/>
      <c r="AA1032" s="610"/>
      <c r="AB1032" s="610"/>
      <c r="AC1032" s="610"/>
      <c r="AD1032" s="610"/>
      <c r="AE1032" s="610"/>
      <c r="AF1032" s="610"/>
      <c r="AG1032" s="610"/>
      <c r="AH1032" s="610"/>
      <c r="AI1032" s="610"/>
      <c r="AJ1032" s="610"/>
      <c r="AK1032" s="610"/>
      <c r="AL1032" s="610"/>
      <c r="AM1032" s="610"/>
      <c r="AN1032" s="610"/>
      <c r="AO1032" s="610"/>
      <c r="AP1032" s="610"/>
      <c r="AQ1032" s="610"/>
    </row>
    <row r="1033" spans="2:43" s="609" customFormat="1">
      <c r="B1033" s="610"/>
      <c r="C1033" s="610"/>
      <c r="D1033" s="610"/>
      <c r="E1033" s="610"/>
      <c r="F1033" s="610"/>
      <c r="G1033" s="610"/>
      <c r="H1033" s="610"/>
      <c r="I1033" s="610"/>
      <c r="J1033" s="610"/>
      <c r="L1033" s="610"/>
      <c r="M1033" s="610"/>
      <c r="N1033" s="610"/>
      <c r="O1033" s="610"/>
      <c r="P1033" s="610"/>
      <c r="Q1033" s="610"/>
      <c r="R1033" s="610"/>
      <c r="S1033" s="610"/>
      <c r="T1033" s="610"/>
      <c r="U1033" s="610"/>
      <c r="V1033" s="610"/>
      <c r="W1033" s="610"/>
      <c r="X1033" s="610"/>
      <c r="Y1033" s="610"/>
      <c r="Z1033" s="610"/>
      <c r="AA1033" s="610"/>
      <c r="AB1033" s="610"/>
      <c r="AC1033" s="610"/>
      <c r="AD1033" s="610"/>
      <c r="AE1033" s="610"/>
      <c r="AF1033" s="610"/>
      <c r="AG1033" s="610"/>
      <c r="AH1033" s="610"/>
      <c r="AI1033" s="610"/>
      <c r="AJ1033" s="610"/>
      <c r="AK1033" s="610"/>
      <c r="AL1033" s="610"/>
      <c r="AM1033" s="610"/>
      <c r="AN1033" s="610"/>
      <c r="AO1033" s="610"/>
      <c r="AP1033" s="610"/>
      <c r="AQ1033" s="610"/>
    </row>
    <row r="1034" spans="2:43" s="609" customFormat="1">
      <c r="B1034" s="610"/>
      <c r="C1034" s="610"/>
      <c r="D1034" s="610"/>
      <c r="E1034" s="610"/>
      <c r="F1034" s="610"/>
      <c r="G1034" s="610"/>
      <c r="H1034" s="610"/>
      <c r="I1034" s="610"/>
      <c r="J1034" s="610"/>
      <c r="L1034" s="610"/>
      <c r="M1034" s="610"/>
      <c r="N1034" s="610"/>
      <c r="O1034" s="610"/>
      <c r="P1034" s="610"/>
      <c r="Q1034" s="610"/>
      <c r="R1034" s="610"/>
      <c r="S1034" s="610"/>
      <c r="T1034" s="610"/>
      <c r="U1034" s="610"/>
      <c r="V1034" s="610"/>
      <c r="W1034" s="610"/>
      <c r="X1034" s="610"/>
      <c r="Y1034" s="610"/>
      <c r="Z1034" s="610"/>
      <c r="AA1034" s="610"/>
      <c r="AB1034" s="610"/>
      <c r="AC1034" s="610"/>
      <c r="AD1034" s="610"/>
      <c r="AE1034" s="610"/>
      <c r="AF1034" s="610"/>
      <c r="AG1034" s="610"/>
      <c r="AH1034" s="610"/>
      <c r="AI1034" s="610"/>
      <c r="AJ1034" s="610"/>
      <c r="AK1034" s="610"/>
      <c r="AL1034" s="610"/>
      <c r="AM1034" s="610"/>
      <c r="AN1034" s="610"/>
      <c r="AO1034" s="610"/>
      <c r="AP1034" s="610"/>
      <c r="AQ1034" s="610"/>
    </row>
    <row r="1035" spans="2:43" s="609" customFormat="1">
      <c r="B1035" s="610"/>
      <c r="C1035" s="610"/>
      <c r="D1035" s="610"/>
      <c r="E1035" s="610"/>
      <c r="F1035" s="610"/>
      <c r="G1035" s="610"/>
      <c r="H1035" s="610"/>
      <c r="I1035" s="610"/>
      <c r="J1035" s="610"/>
      <c r="L1035" s="610"/>
      <c r="M1035" s="610"/>
      <c r="N1035" s="610"/>
      <c r="O1035" s="610"/>
      <c r="P1035" s="610"/>
      <c r="Q1035" s="610"/>
      <c r="R1035" s="610"/>
      <c r="S1035" s="610"/>
      <c r="T1035" s="610"/>
      <c r="U1035" s="610"/>
      <c r="V1035" s="610"/>
      <c r="W1035" s="610"/>
      <c r="X1035" s="610"/>
      <c r="Y1035" s="610"/>
      <c r="Z1035" s="610"/>
      <c r="AA1035" s="610"/>
      <c r="AB1035" s="610"/>
      <c r="AC1035" s="610"/>
      <c r="AD1035" s="610"/>
      <c r="AE1035" s="610"/>
      <c r="AF1035" s="610"/>
      <c r="AG1035" s="610"/>
      <c r="AH1035" s="610"/>
      <c r="AI1035" s="610"/>
      <c r="AJ1035" s="610"/>
      <c r="AK1035" s="610"/>
      <c r="AL1035" s="610"/>
      <c r="AM1035" s="610"/>
      <c r="AN1035" s="610"/>
      <c r="AO1035" s="610"/>
      <c r="AP1035" s="610"/>
      <c r="AQ1035" s="610"/>
    </row>
    <row r="1036" spans="2:43" s="609" customFormat="1">
      <c r="B1036" s="610"/>
      <c r="C1036" s="610"/>
      <c r="D1036" s="610"/>
      <c r="E1036" s="610"/>
      <c r="F1036" s="610"/>
      <c r="G1036" s="610"/>
      <c r="H1036" s="610"/>
      <c r="I1036" s="610"/>
      <c r="J1036" s="610"/>
      <c r="L1036" s="610"/>
      <c r="M1036" s="610"/>
      <c r="N1036" s="610"/>
      <c r="O1036" s="610"/>
      <c r="P1036" s="610"/>
      <c r="Q1036" s="610"/>
      <c r="R1036" s="610"/>
      <c r="S1036" s="610"/>
      <c r="T1036" s="610"/>
      <c r="U1036" s="610"/>
      <c r="V1036" s="610"/>
      <c r="W1036" s="610"/>
      <c r="X1036" s="610"/>
      <c r="Y1036" s="610"/>
      <c r="Z1036" s="610"/>
      <c r="AA1036" s="610"/>
      <c r="AB1036" s="610"/>
      <c r="AC1036" s="610"/>
      <c r="AD1036" s="610"/>
      <c r="AE1036" s="610"/>
      <c r="AF1036" s="610"/>
      <c r="AG1036" s="610"/>
      <c r="AH1036" s="610"/>
      <c r="AI1036" s="610"/>
      <c r="AJ1036" s="610"/>
      <c r="AK1036" s="610"/>
      <c r="AL1036" s="610"/>
      <c r="AM1036" s="610"/>
      <c r="AN1036" s="610"/>
      <c r="AO1036" s="610"/>
      <c r="AP1036" s="610"/>
      <c r="AQ1036" s="610"/>
    </row>
    <row r="1037" spans="2:43" s="609" customFormat="1">
      <c r="B1037" s="610"/>
      <c r="C1037" s="610"/>
      <c r="D1037" s="610"/>
      <c r="E1037" s="610"/>
      <c r="F1037" s="610"/>
      <c r="G1037" s="610"/>
      <c r="H1037" s="610"/>
      <c r="I1037" s="610"/>
      <c r="J1037" s="610"/>
      <c r="L1037" s="610"/>
      <c r="M1037" s="610"/>
      <c r="N1037" s="610"/>
      <c r="O1037" s="610"/>
      <c r="P1037" s="610"/>
      <c r="Q1037" s="610"/>
      <c r="R1037" s="610"/>
      <c r="S1037" s="610"/>
      <c r="T1037" s="610"/>
      <c r="U1037" s="610"/>
      <c r="V1037" s="610"/>
      <c r="W1037" s="610"/>
      <c r="X1037" s="610"/>
      <c r="Y1037" s="610"/>
      <c r="Z1037" s="610"/>
      <c r="AA1037" s="610"/>
      <c r="AB1037" s="610"/>
      <c r="AC1037" s="610"/>
      <c r="AD1037" s="610"/>
      <c r="AE1037" s="610"/>
      <c r="AF1037" s="610"/>
      <c r="AG1037" s="610"/>
      <c r="AH1037" s="610"/>
      <c r="AI1037" s="610"/>
      <c r="AJ1037" s="610"/>
      <c r="AK1037" s="610"/>
      <c r="AL1037" s="610"/>
      <c r="AM1037" s="610"/>
      <c r="AN1037" s="610"/>
      <c r="AO1037" s="610"/>
      <c r="AP1037" s="610"/>
      <c r="AQ1037" s="610"/>
    </row>
    <row r="1038" spans="2:43" s="609" customFormat="1">
      <c r="B1038" s="610"/>
      <c r="C1038" s="610"/>
      <c r="D1038" s="610"/>
      <c r="E1038" s="610"/>
      <c r="F1038" s="610"/>
      <c r="G1038" s="610"/>
      <c r="H1038" s="610"/>
      <c r="I1038" s="610"/>
      <c r="J1038" s="610"/>
      <c r="L1038" s="610"/>
      <c r="M1038" s="610"/>
      <c r="N1038" s="610"/>
      <c r="O1038" s="610"/>
      <c r="P1038" s="610"/>
      <c r="Q1038" s="610"/>
      <c r="R1038" s="610"/>
      <c r="S1038" s="610"/>
      <c r="T1038" s="610"/>
      <c r="U1038" s="610"/>
      <c r="V1038" s="610"/>
      <c r="W1038" s="610"/>
      <c r="X1038" s="610"/>
      <c r="Y1038" s="610"/>
      <c r="Z1038" s="610"/>
      <c r="AA1038" s="610"/>
      <c r="AB1038" s="610"/>
      <c r="AC1038" s="610"/>
      <c r="AD1038" s="610"/>
      <c r="AE1038" s="610"/>
      <c r="AF1038" s="610"/>
      <c r="AG1038" s="610"/>
      <c r="AH1038" s="610"/>
      <c r="AI1038" s="610"/>
      <c r="AJ1038" s="610"/>
      <c r="AK1038" s="610"/>
      <c r="AL1038" s="610"/>
      <c r="AM1038" s="610"/>
      <c r="AN1038" s="610"/>
      <c r="AO1038" s="610"/>
      <c r="AP1038" s="610"/>
      <c r="AQ1038" s="610"/>
    </row>
    <row r="1039" spans="2:43" s="609" customFormat="1">
      <c r="B1039" s="610"/>
      <c r="C1039" s="610"/>
      <c r="D1039" s="610"/>
      <c r="E1039" s="610"/>
      <c r="F1039" s="610"/>
      <c r="G1039" s="610"/>
      <c r="H1039" s="610"/>
      <c r="I1039" s="610"/>
      <c r="J1039" s="610"/>
      <c r="L1039" s="610"/>
      <c r="M1039" s="610"/>
      <c r="N1039" s="610"/>
      <c r="O1039" s="610"/>
      <c r="P1039" s="610"/>
      <c r="Q1039" s="610"/>
      <c r="R1039" s="610"/>
      <c r="S1039" s="610"/>
      <c r="T1039" s="610"/>
      <c r="U1039" s="610"/>
      <c r="V1039" s="610"/>
      <c r="W1039" s="610"/>
      <c r="X1039" s="610"/>
      <c r="Y1039" s="610"/>
      <c r="Z1039" s="610"/>
      <c r="AA1039" s="610"/>
      <c r="AB1039" s="610"/>
      <c r="AC1039" s="610"/>
      <c r="AD1039" s="610"/>
      <c r="AE1039" s="610"/>
      <c r="AF1039" s="610"/>
      <c r="AG1039" s="610"/>
      <c r="AH1039" s="610"/>
      <c r="AI1039" s="610"/>
      <c r="AJ1039" s="610"/>
      <c r="AK1039" s="610"/>
      <c r="AL1039" s="610"/>
      <c r="AM1039" s="610"/>
      <c r="AN1039" s="610"/>
      <c r="AO1039" s="610"/>
      <c r="AP1039" s="610"/>
      <c r="AQ1039" s="610"/>
    </row>
  </sheetData>
  <mergeCells count="30">
    <mergeCell ref="CB40:CC40"/>
    <mergeCell ref="BZ40:CA40"/>
    <mergeCell ref="BX40:BY40"/>
    <mergeCell ref="BR40:BS40"/>
    <mergeCell ref="BT40:BU40"/>
    <mergeCell ref="BV40:BW40"/>
    <mergeCell ref="BI35:BJ35"/>
    <mergeCell ref="BK35:BL35"/>
    <mergeCell ref="BN40:BO40"/>
    <mergeCell ref="BP40:BQ40"/>
    <mergeCell ref="BF40:BG40"/>
    <mergeCell ref="BH40:BI40"/>
    <mergeCell ref="BJ40:BK40"/>
    <mergeCell ref="BL40:BM40"/>
    <mergeCell ref="BG30:BH30"/>
    <mergeCell ref="BE35:BF35"/>
    <mergeCell ref="AE4:AH5"/>
    <mergeCell ref="A1:AR1"/>
    <mergeCell ref="A2:AR2"/>
    <mergeCell ref="A4:A7"/>
    <mergeCell ref="C4:F5"/>
    <mergeCell ref="G4:J5"/>
    <mergeCell ref="L4:O5"/>
    <mergeCell ref="Q4:T5"/>
    <mergeCell ref="V4:Y5"/>
    <mergeCell ref="AA4:AD5"/>
    <mergeCell ref="AQ4:AR5"/>
    <mergeCell ref="AI4:AL5"/>
    <mergeCell ref="BG35:BH35"/>
    <mergeCell ref="AM4:AP5"/>
  </mergeCells>
  <pageMargins left="0.7" right="0.7" top="0.75" bottom="0.75" header="0.3" footer="0.3"/>
  <pageSetup orientation="portrait" horizontalDpi="4294967295" verticalDpi="4294967295" r:id="rId1"/>
  <ignoredErrors>
    <ignoredError sqref="AQ8:AR31" unlocked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M1960"/>
  <sheetViews>
    <sheetView workbookViewId="0">
      <selection activeCell="P4" sqref="P4"/>
    </sheetView>
  </sheetViews>
  <sheetFormatPr defaultRowHeight="21.75" customHeight="1"/>
  <cols>
    <col min="1" max="1" width="23" style="628" customWidth="1"/>
    <col min="2" max="2" width="11.85546875" style="629" bestFit="1" customWidth="1"/>
    <col min="3" max="4" width="8.42578125" style="629" customWidth="1"/>
    <col min="5" max="5" width="9.28515625" style="630" bestFit="1" customWidth="1"/>
    <col min="6" max="11" width="9.28515625" style="631" bestFit="1" customWidth="1"/>
    <col min="12" max="12" width="10.7109375" style="631" customWidth="1"/>
    <col min="13" max="13" width="26.28515625" style="631" customWidth="1"/>
    <col min="14" max="14" width="9.140625" style="631"/>
    <col min="15" max="15" width="8.5703125" style="631" customWidth="1"/>
    <col min="16" max="17" width="9.140625" style="631"/>
    <col min="18" max="26" width="7.28515625" style="631" customWidth="1"/>
    <col min="27" max="256" width="9.140625" style="631"/>
    <col min="257" max="257" width="23" style="631" customWidth="1"/>
    <col min="258" max="258" width="11.85546875" style="631" bestFit="1" customWidth="1"/>
    <col min="259" max="260" width="8.42578125" style="631" customWidth="1"/>
    <col min="261" max="267" width="9.28515625" style="631" bestFit="1" customWidth="1"/>
    <col min="268" max="268" width="10.7109375" style="631" customWidth="1"/>
    <col min="269" max="269" width="26.28515625" style="631" customWidth="1"/>
    <col min="270" max="270" width="9.140625" style="631"/>
    <col min="271" max="271" width="8.5703125" style="631" customWidth="1"/>
    <col min="272" max="273" width="9.140625" style="631"/>
    <col min="274" max="282" width="7.28515625" style="631" customWidth="1"/>
    <col min="283" max="512" width="9.140625" style="631"/>
    <col min="513" max="513" width="23" style="631" customWidth="1"/>
    <col min="514" max="514" width="11.85546875" style="631" bestFit="1" customWidth="1"/>
    <col min="515" max="516" width="8.42578125" style="631" customWidth="1"/>
    <col min="517" max="523" width="9.28515625" style="631" bestFit="1" customWidth="1"/>
    <col min="524" max="524" width="10.7109375" style="631" customWidth="1"/>
    <col min="525" max="525" width="26.28515625" style="631" customWidth="1"/>
    <col min="526" max="526" width="9.140625" style="631"/>
    <col min="527" max="527" width="8.5703125" style="631" customWidth="1"/>
    <col min="528" max="529" width="9.140625" style="631"/>
    <col min="530" max="538" width="7.28515625" style="631" customWidth="1"/>
    <col min="539" max="768" width="9.140625" style="631"/>
    <col min="769" max="769" width="23" style="631" customWidth="1"/>
    <col min="770" max="770" width="11.85546875" style="631" bestFit="1" customWidth="1"/>
    <col min="771" max="772" width="8.42578125" style="631" customWidth="1"/>
    <col min="773" max="779" width="9.28515625" style="631" bestFit="1" customWidth="1"/>
    <col min="780" max="780" width="10.7109375" style="631" customWidth="1"/>
    <col min="781" max="781" width="26.28515625" style="631" customWidth="1"/>
    <col min="782" max="782" width="9.140625" style="631"/>
    <col min="783" max="783" width="8.5703125" style="631" customWidth="1"/>
    <col min="784" max="785" width="9.140625" style="631"/>
    <col min="786" max="794" width="7.28515625" style="631" customWidth="1"/>
    <col min="795" max="1024" width="9.140625" style="631"/>
    <col min="1025" max="1025" width="23" style="631" customWidth="1"/>
    <col min="1026" max="1026" width="11.85546875" style="631" bestFit="1" customWidth="1"/>
    <col min="1027" max="1028" width="8.42578125" style="631" customWidth="1"/>
    <col min="1029" max="1035" width="9.28515625" style="631" bestFit="1" customWidth="1"/>
    <col min="1036" max="1036" width="10.7109375" style="631" customWidth="1"/>
    <col min="1037" max="1037" width="26.28515625" style="631" customWidth="1"/>
    <col min="1038" max="1038" width="9.140625" style="631"/>
    <col min="1039" max="1039" width="8.5703125" style="631" customWidth="1"/>
    <col min="1040" max="1041" width="9.140625" style="631"/>
    <col min="1042" max="1050" width="7.28515625" style="631" customWidth="1"/>
    <col min="1051" max="1280" width="9.140625" style="631"/>
    <col min="1281" max="1281" width="23" style="631" customWidth="1"/>
    <col min="1282" max="1282" width="11.85546875" style="631" bestFit="1" customWidth="1"/>
    <col min="1283" max="1284" width="8.42578125" style="631" customWidth="1"/>
    <col min="1285" max="1291" width="9.28515625" style="631" bestFit="1" customWidth="1"/>
    <col min="1292" max="1292" width="10.7109375" style="631" customWidth="1"/>
    <col min="1293" max="1293" width="26.28515625" style="631" customWidth="1"/>
    <col min="1294" max="1294" width="9.140625" style="631"/>
    <col min="1295" max="1295" width="8.5703125" style="631" customWidth="1"/>
    <col min="1296" max="1297" width="9.140625" style="631"/>
    <col min="1298" max="1306" width="7.28515625" style="631" customWidth="1"/>
    <col min="1307" max="1536" width="9.140625" style="631"/>
    <col min="1537" max="1537" width="23" style="631" customWidth="1"/>
    <col min="1538" max="1538" width="11.85546875" style="631" bestFit="1" customWidth="1"/>
    <col min="1539" max="1540" width="8.42578125" style="631" customWidth="1"/>
    <col min="1541" max="1547" width="9.28515625" style="631" bestFit="1" customWidth="1"/>
    <col min="1548" max="1548" width="10.7109375" style="631" customWidth="1"/>
    <col min="1549" max="1549" width="26.28515625" style="631" customWidth="1"/>
    <col min="1550" max="1550" width="9.140625" style="631"/>
    <col min="1551" max="1551" width="8.5703125" style="631" customWidth="1"/>
    <col min="1552" max="1553" width="9.140625" style="631"/>
    <col min="1554" max="1562" width="7.28515625" style="631" customWidth="1"/>
    <col min="1563" max="1792" width="9.140625" style="631"/>
    <col min="1793" max="1793" width="23" style="631" customWidth="1"/>
    <col min="1794" max="1794" width="11.85546875" style="631" bestFit="1" customWidth="1"/>
    <col min="1795" max="1796" width="8.42578125" style="631" customWidth="1"/>
    <col min="1797" max="1803" width="9.28515625" style="631" bestFit="1" customWidth="1"/>
    <col min="1804" max="1804" width="10.7109375" style="631" customWidth="1"/>
    <col min="1805" max="1805" width="26.28515625" style="631" customWidth="1"/>
    <col min="1806" max="1806" width="9.140625" style="631"/>
    <col min="1807" max="1807" width="8.5703125" style="631" customWidth="1"/>
    <col min="1808" max="1809" width="9.140625" style="631"/>
    <col min="1810" max="1818" width="7.28515625" style="631" customWidth="1"/>
    <col min="1819" max="2048" width="9.140625" style="631"/>
    <col min="2049" max="2049" width="23" style="631" customWidth="1"/>
    <col min="2050" max="2050" width="11.85546875" style="631" bestFit="1" customWidth="1"/>
    <col min="2051" max="2052" width="8.42578125" style="631" customWidth="1"/>
    <col min="2053" max="2059" width="9.28515625" style="631" bestFit="1" customWidth="1"/>
    <col min="2060" max="2060" width="10.7109375" style="631" customWidth="1"/>
    <col min="2061" max="2061" width="26.28515625" style="631" customWidth="1"/>
    <col min="2062" max="2062" width="9.140625" style="631"/>
    <col min="2063" max="2063" width="8.5703125" style="631" customWidth="1"/>
    <col min="2064" max="2065" width="9.140625" style="631"/>
    <col min="2066" max="2074" width="7.28515625" style="631" customWidth="1"/>
    <col min="2075" max="2304" width="9.140625" style="631"/>
    <col min="2305" max="2305" width="23" style="631" customWidth="1"/>
    <col min="2306" max="2306" width="11.85546875" style="631" bestFit="1" customWidth="1"/>
    <col min="2307" max="2308" width="8.42578125" style="631" customWidth="1"/>
    <col min="2309" max="2315" width="9.28515625" style="631" bestFit="1" customWidth="1"/>
    <col min="2316" max="2316" width="10.7109375" style="631" customWidth="1"/>
    <col min="2317" max="2317" width="26.28515625" style="631" customWidth="1"/>
    <col min="2318" max="2318" width="9.140625" style="631"/>
    <col min="2319" max="2319" width="8.5703125" style="631" customWidth="1"/>
    <col min="2320" max="2321" width="9.140625" style="631"/>
    <col min="2322" max="2330" width="7.28515625" style="631" customWidth="1"/>
    <col min="2331" max="2560" width="9.140625" style="631"/>
    <col min="2561" max="2561" width="23" style="631" customWidth="1"/>
    <col min="2562" max="2562" width="11.85546875" style="631" bestFit="1" customWidth="1"/>
    <col min="2563" max="2564" width="8.42578125" style="631" customWidth="1"/>
    <col min="2565" max="2571" width="9.28515625" style="631" bestFit="1" customWidth="1"/>
    <col min="2572" max="2572" width="10.7109375" style="631" customWidth="1"/>
    <col min="2573" max="2573" width="26.28515625" style="631" customWidth="1"/>
    <col min="2574" max="2574" width="9.140625" style="631"/>
    <col min="2575" max="2575" width="8.5703125" style="631" customWidth="1"/>
    <col min="2576" max="2577" width="9.140625" style="631"/>
    <col min="2578" max="2586" width="7.28515625" style="631" customWidth="1"/>
    <col min="2587" max="2816" width="9.140625" style="631"/>
    <col min="2817" max="2817" width="23" style="631" customWidth="1"/>
    <col min="2818" max="2818" width="11.85546875" style="631" bestFit="1" customWidth="1"/>
    <col min="2819" max="2820" width="8.42578125" style="631" customWidth="1"/>
    <col min="2821" max="2827" width="9.28515625" style="631" bestFit="1" customWidth="1"/>
    <col min="2828" max="2828" width="10.7109375" style="631" customWidth="1"/>
    <col min="2829" max="2829" width="26.28515625" style="631" customWidth="1"/>
    <col min="2830" max="2830" width="9.140625" style="631"/>
    <col min="2831" max="2831" width="8.5703125" style="631" customWidth="1"/>
    <col min="2832" max="2833" width="9.140625" style="631"/>
    <col min="2834" max="2842" width="7.28515625" style="631" customWidth="1"/>
    <col min="2843" max="3072" width="9.140625" style="631"/>
    <col min="3073" max="3073" width="23" style="631" customWidth="1"/>
    <col min="3074" max="3074" width="11.85546875" style="631" bestFit="1" customWidth="1"/>
    <col min="3075" max="3076" width="8.42578125" style="631" customWidth="1"/>
    <col min="3077" max="3083" width="9.28515625" style="631" bestFit="1" customWidth="1"/>
    <col min="3084" max="3084" width="10.7109375" style="631" customWidth="1"/>
    <col min="3085" max="3085" width="26.28515625" style="631" customWidth="1"/>
    <col min="3086" max="3086" width="9.140625" style="631"/>
    <col min="3087" max="3087" width="8.5703125" style="631" customWidth="1"/>
    <col min="3088" max="3089" width="9.140625" style="631"/>
    <col min="3090" max="3098" width="7.28515625" style="631" customWidth="1"/>
    <col min="3099" max="3328" width="9.140625" style="631"/>
    <col min="3329" max="3329" width="23" style="631" customWidth="1"/>
    <col min="3330" max="3330" width="11.85546875" style="631" bestFit="1" customWidth="1"/>
    <col min="3331" max="3332" width="8.42578125" style="631" customWidth="1"/>
    <col min="3333" max="3339" width="9.28515625" style="631" bestFit="1" customWidth="1"/>
    <col min="3340" max="3340" width="10.7109375" style="631" customWidth="1"/>
    <col min="3341" max="3341" width="26.28515625" style="631" customWidth="1"/>
    <col min="3342" max="3342" width="9.140625" style="631"/>
    <col min="3343" max="3343" width="8.5703125" style="631" customWidth="1"/>
    <col min="3344" max="3345" width="9.140625" style="631"/>
    <col min="3346" max="3354" width="7.28515625" style="631" customWidth="1"/>
    <col min="3355" max="3584" width="9.140625" style="631"/>
    <col min="3585" max="3585" width="23" style="631" customWidth="1"/>
    <col min="3586" max="3586" width="11.85546875" style="631" bestFit="1" customWidth="1"/>
    <col min="3587" max="3588" width="8.42578125" style="631" customWidth="1"/>
    <col min="3589" max="3595" width="9.28515625" style="631" bestFit="1" customWidth="1"/>
    <col min="3596" max="3596" width="10.7109375" style="631" customWidth="1"/>
    <col min="3597" max="3597" width="26.28515625" style="631" customWidth="1"/>
    <col min="3598" max="3598" width="9.140625" style="631"/>
    <col min="3599" max="3599" width="8.5703125" style="631" customWidth="1"/>
    <col min="3600" max="3601" width="9.140625" style="631"/>
    <col min="3602" max="3610" width="7.28515625" style="631" customWidth="1"/>
    <col min="3611" max="3840" width="9.140625" style="631"/>
    <col min="3841" max="3841" width="23" style="631" customWidth="1"/>
    <col min="3842" max="3842" width="11.85546875" style="631" bestFit="1" customWidth="1"/>
    <col min="3843" max="3844" width="8.42578125" style="631" customWidth="1"/>
    <col min="3845" max="3851" width="9.28515625" style="631" bestFit="1" customWidth="1"/>
    <col min="3852" max="3852" width="10.7109375" style="631" customWidth="1"/>
    <col min="3853" max="3853" width="26.28515625" style="631" customWidth="1"/>
    <col min="3854" max="3854" width="9.140625" style="631"/>
    <col min="3855" max="3855" width="8.5703125" style="631" customWidth="1"/>
    <col min="3856" max="3857" width="9.140625" style="631"/>
    <col min="3858" max="3866" width="7.28515625" style="631" customWidth="1"/>
    <col min="3867" max="4096" width="9.140625" style="631"/>
    <col min="4097" max="4097" width="23" style="631" customWidth="1"/>
    <col min="4098" max="4098" width="11.85546875" style="631" bestFit="1" customWidth="1"/>
    <col min="4099" max="4100" width="8.42578125" style="631" customWidth="1"/>
    <col min="4101" max="4107" width="9.28515625" style="631" bestFit="1" customWidth="1"/>
    <col min="4108" max="4108" width="10.7109375" style="631" customWidth="1"/>
    <col min="4109" max="4109" width="26.28515625" style="631" customWidth="1"/>
    <col min="4110" max="4110" width="9.140625" style="631"/>
    <col min="4111" max="4111" width="8.5703125" style="631" customWidth="1"/>
    <col min="4112" max="4113" width="9.140625" style="631"/>
    <col min="4114" max="4122" width="7.28515625" style="631" customWidth="1"/>
    <col min="4123" max="4352" width="9.140625" style="631"/>
    <col min="4353" max="4353" width="23" style="631" customWidth="1"/>
    <col min="4354" max="4354" width="11.85546875" style="631" bestFit="1" customWidth="1"/>
    <col min="4355" max="4356" width="8.42578125" style="631" customWidth="1"/>
    <col min="4357" max="4363" width="9.28515625" style="631" bestFit="1" customWidth="1"/>
    <col min="4364" max="4364" width="10.7109375" style="631" customWidth="1"/>
    <col min="4365" max="4365" width="26.28515625" style="631" customWidth="1"/>
    <col min="4366" max="4366" width="9.140625" style="631"/>
    <col min="4367" max="4367" width="8.5703125" style="631" customWidth="1"/>
    <col min="4368" max="4369" width="9.140625" style="631"/>
    <col min="4370" max="4378" width="7.28515625" style="631" customWidth="1"/>
    <col min="4379" max="4608" width="9.140625" style="631"/>
    <col min="4609" max="4609" width="23" style="631" customWidth="1"/>
    <col min="4610" max="4610" width="11.85546875" style="631" bestFit="1" customWidth="1"/>
    <col min="4611" max="4612" width="8.42578125" style="631" customWidth="1"/>
    <col min="4613" max="4619" width="9.28515625" style="631" bestFit="1" customWidth="1"/>
    <col min="4620" max="4620" width="10.7109375" style="631" customWidth="1"/>
    <col min="4621" max="4621" width="26.28515625" style="631" customWidth="1"/>
    <col min="4622" max="4622" width="9.140625" style="631"/>
    <col min="4623" max="4623" width="8.5703125" style="631" customWidth="1"/>
    <col min="4624" max="4625" width="9.140625" style="631"/>
    <col min="4626" max="4634" width="7.28515625" style="631" customWidth="1"/>
    <col min="4635" max="4864" width="9.140625" style="631"/>
    <col min="4865" max="4865" width="23" style="631" customWidth="1"/>
    <col min="4866" max="4866" width="11.85546875" style="631" bestFit="1" customWidth="1"/>
    <col min="4867" max="4868" width="8.42578125" style="631" customWidth="1"/>
    <col min="4869" max="4875" width="9.28515625" style="631" bestFit="1" customWidth="1"/>
    <col min="4876" max="4876" width="10.7109375" style="631" customWidth="1"/>
    <col min="4877" max="4877" width="26.28515625" style="631" customWidth="1"/>
    <col min="4878" max="4878" width="9.140625" style="631"/>
    <col min="4879" max="4879" width="8.5703125" style="631" customWidth="1"/>
    <col min="4880" max="4881" width="9.140625" style="631"/>
    <col min="4882" max="4890" width="7.28515625" style="631" customWidth="1"/>
    <col min="4891" max="5120" width="9.140625" style="631"/>
    <col min="5121" max="5121" width="23" style="631" customWidth="1"/>
    <col min="5122" max="5122" width="11.85546875" style="631" bestFit="1" customWidth="1"/>
    <col min="5123" max="5124" width="8.42578125" style="631" customWidth="1"/>
    <col min="5125" max="5131" width="9.28515625" style="631" bestFit="1" customWidth="1"/>
    <col min="5132" max="5132" width="10.7109375" style="631" customWidth="1"/>
    <col min="5133" max="5133" width="26.28515625" style="631" customWidth="1"/>
    <col min="5134" max="5134" width="9.140625" style="631"/>
    <col min="5135" max="5135" width="8.5703125" style="631" customWidth="1"/>
    <col min="5136" max="5137" width="9.140625" style="631"/>
    <col min="5138" max="5146" width="7.28515625" style="631" customWidth="1"/>
    <col min="5147" max="5376" width="9.140625" style="631"/>
    <col min="5377" max="5377" width="23" style="631" customWidth="1"/>
    <col min="5378" max="5378" width="11.85546875" style="631" bestFit="1" customWidth="1"/>
    <col min="5379" max="5380" width="8.42578125" style="631" customWidth="1"/>
    <col min="5381" max="5387" width="9.28515625" style="631" bestFit="1" customWidth="1"/>
    <col min="5388" max="5388" width="10.7109375" style="631" customWidth="1"/>
    <col min="5389" max="5389" width="26.28515625" style="631" customWidth="1"/>
    <col min="5390" max="5390" width="9.140625" style="631"/>
    <col min="5391" max="5391" width="8.5703125" style="631" customWidth="1"/>
    <col min="5392" max="5393" width="9.140625" style="631"/>
    <col min="5394" max="5402" width="7.28515625" style="631" customWidth="1"/>
    <col min="5403" max="5632" width="9.140625" style="631"/>
    <col min="5633" max="5633" width="23" style="631" customWidth="1"/>
    <col min="5634" max="5634" width="11.85546875" style="631" bestFit="1" customWidth="1"/>
    <col min="5635" max="5636" width="8.42578125" style="631" customWidth="1"/>
    <col min="5637" max="5643" width="9.28515625" style="631" bestFit="1" customWidth="1"/>
    <col min="5644" max="5644" width="10.7109375" style="631" customWidth="1"/>
    <col min="5645" max="5645" width="26.28515625" style="631" customWidth="1"/>
    <col min="5646" max="5646" width="9.140625" style="631"/>
    <col min="5647" max="5647" width="8.5703125" style="631" customWidth="1"/>
    <col min="5648" max="5649" width="9.140625" style="631"/>
    <col min="5650" max="5658" width="7.28515625" style="631" customWidth="1"/>
    <col min="5659" max="5888" width="9.140625" style="631"/>
    <col min="5889" max="5889" width="23" style="631" customWidth="1"/>
    <col min="5890" max="5890" width="11.85546875" style="631" bestFit="1" customWidth="1"/>
    <col min="5891" max="5892" width="8.42578125" style="631" customWidth="1"/>
    <col min="5893" max="5899" width="9.28515625" style="631" bestFit="1" customWidth="1"/>
    <col min="5900" max="5900" width="10.7109375" style="631" customWidth="1"/>
    <col min="5901" max="5901" width="26.28515625" style="631" customWidth="1"/>
    <col min="5902" max="5902" width="9.140625" style="631"/>
    <col min="5903" max="5903" width="8.5703125" style="631" customWidth="1"/>
    <col min="5904" max="5905" width="9.140625" style="631"/>
    <col min="5906" max="5914" width="7.28515625" style="631" customWidth="1"/>
    <col min="5915" max="6144" width="9.140625" style="631"/>
    <col min="6145" max="6145" width="23" style="631" customWidth="1"/>
    <col min="6146" max="6146" width="11.85546875" style="631" bestFit="1" customWidth="1"/>
    <col min="6147" max="6148" width="8.42578125" style="631" customWidth="1"/>
    <col min="6149" max="6155" width="9.28515625" style="631" bestFit="1" customWidth="1"/>
    <col min="6156" max="6156" width="10.7109375" style="631" customWidth="1"/>
    <col min="6157" max="6157" width="26.28515625" style="631" customWidth="1"/>
    <col min="6158" max="6158" width="9.140625" style="631"/>
    <col min="6159" max="6159" width="8.5703125" style="631" customWidth="1"/>
    <col min="6160" max="6161" width="9.140625" style="631"/>
    <col min="6162" max="6170" width="7.28515625" style="631" customWidth="1"/>
    <col min="6171" max="6400" width="9.140625" style="631"/>
    <col min="6401" max="6401" width="23" style="631" customWidth="1"/>
    <col min="6402" max="6402" width="11.85546875" style="631" bestFit="1" customWidth="1"/>
    <col min="6403" max="6404" width="8.42578125" style="631" customWidth="1"/>
    <col min="6405" max="6411" width="9.28515625" style="631" bestFit="1" customWidth="1"/>
    <col min="6412" max="6412" width="10.7109375" style="631" customWidth="1"/>
    <col min="6413" max="6413" width="26.28515625" style="631" customWidth="1"/>
    <col min="6414" max="6414" width="9.140625" style="631"/>
    <col min="6415" max="6415" width="8.5703125" style="631" customWidth="1"/>
    <col min="6416" max="6417" width="9.140625" style="631"/>
    <col min="6418" max="6426" width="7.28515625" style="631" customWidth="1"/>
    <col min="6427" max="6656" width="9.140625" style="631"/>
    <col min="6657" max="6657" width="23" style="631" customWidth="1"/>
    <col min="6658" max="6658" width="11.85546875" style="631" bestFit="1" customWidth="1"/>
    <col min="6659" max="6660" width="8.42578125" style="631" customWidth="1"/>
    <col min="6661" max="6667" width="9.28515625" style="631" bestFit="1" customWidth="1"/>
    <col min="6668" max="6668" width="10.7109375" style="631" customWidth="1"/>
    <col min="6669" max="6669" width="26.28515625" style="631" customWidth="1"/>
    <col min="6670" max="6670" width="9.140625" style="631"/>
    <col min="6671" max="6671" width="8.5703125" style="631" customWidth="1"/>
    <col min="6672" max="6673" width="9.140625" style="631"/>
    <col min="6674" max="6682" width="7.28515625" style="631" customWidth="1"/>
    <col min="6683" max="6912" width="9.140625" style="631"/>
    <col min="6913" max="6913" width="23" style="631" customWidth="1"/>
    <col min="6914" max="6914" width="11.85546875" style="631" bestFit="1" customWidth="1"/>
    <col min="6915" max="6916" width="8.42578125" style="631" customWidth="1"/>
    <col min="6917" max="6923" width="9.28515625" style="631" bestFit="1" customWidth="1"/>
    <col min="6924" max="6924" width="10.7109375" style="631" customWidth="1"/>
    <col min="6925" max="6925" width="26.28515625" style="631" customWidth="1"/>
    <col min="6926" max="6926" width="9.140625" style="631"/>
    <col min="6927" max="6927" width="8.5703125" style="631" customWidth="1"/>
    <col min="6928" max="6929" width="9.140625" style="631"/>
    <col min="6930" max="6938" width="7.28515625" style="631" customWidth="1"/>
    <col min="6939" max="7168" width="9.140625" style="631"/>
    <col min="7169" max="7169" width="23" style="631" customWidth="1"/>
    <col min="7170" max="7170" width="11.85546875" style="631" bestFit="1" customWidth="1"/>
    <col min="7171" max="7172" width="8.42578125" style="631" customWidth="1"/>
    <col min="7173" max="7179" width="9.28515625" style="631" bestFit="1" customWidth="1"/>
    <col min="7180" max="7180" width="10.7109375" style="631" customWidth="1"/>
    <col min="7181" max="7181" width="26.28515625" style="631" customWidth="1"/>
    <col min="7182" max="7182" width="9.140625" style="631"/>
    <col min="7183" max="7183" width="8.5703125" style="631" customWidth="1"/>
    <col min="7184" max="7185" width="9.140625" style="631"/>
    <col min="7186" max="7194" width="7.28515625" style="631" customWidth="1"/>
    <col min="7195" max="7424" width="9.140625" style="631"/>
    <col min="7425" max="7425" width="23" style="631" customWidth="1"/>
    <col min="7426" max="7426" width="11.85546875" style="631" bestFit="1" customWidth="1"/>
    <col min="7427" max="7428" width="8.42578125" style="631" customWidth="1"/>
    <col min="7429" max="7435" width="9.28515625" style="631" bestFit="1" customWidth="1"/>
    <col min="7436" max="7436" width="10.7109375" style="631" customWidth="1"/>
    <col min="7437" max="7437" width="26.28515625" style="631" customWidth="1"/>
    <col min="7438" max="7438" width="9.140625" style="631"/>
    <col min="7439" max="7439" width="8.5703125" style="631" customWidth="1"/>
    <col min="7440" max="7441" width="9.140625" style="631"/>
    <col min="7442" max="7450" width="7.28515625" style="631" customWidth="1"/>
    <col min="7451" max="7680" width="9.140625" style="631"/>
    <col min="7681" max="7681" width="23" style="631" customWidth="1"/>
    <col min="7682" max="7682" width="11.85546875" style="631" bestFit="1" customWidth="1"/>
    <col min="7683" max="7684" width="8.42578125" style="631" customWidth="1"/>
    <col min="7685" max="7691" width="9.28515625" style="631" bestFit="1" customWidth="1"/>
    <col min="7692" max="7692" width="10.7109375" style="631" customWidth="1"/>
    <col min="7693" max="7693" width="26.28515625" style="631" customWidth="1"/>
    <col min="7694" max="7694" width="9.140625" style="631"/>
    <col min="7695" max="7695" width="8.5703125" style="631" customWidth="1"/>
    <col min="7696" max="7697" width="9.140625" style="631"/>
    <col min="7698" max="7706" width="7.28515625" style="631" customWidth="1"/>
    <col min="7707" max="7936" width="9.140625" style="631"/>
    <col min="7937" max="7937" width="23" style="631" customWidth="1"/>
    <col min="7938" max="7938" width="11.85546875" style="631" bestFit="1" customWidth="1"/>
    <col min="7939" max="7940" width="8.42578125" style="631" customWidth="1"/>
    <col min="7941" max="7947" width="9.28515625" style="631" bestFit="1" customWidth="1"/>
    <col min="7948" max="7948" width="10.7109375" style="631" customWidth="1"/>
    <col min="7949" max="7949" width="26.28515625" style="631" customWidth="1"/>
    <col min="7950" max="7950" width="9.140625" style="631"/>
    <col min="7951" max="7951" width="8.5703125" style="631" customWidth="1"/>
    <col min="7952" max="7953" width="9.140625" style="631"/>
    <col min="7954" max="7962" width="7.28515625" style="631" customWidth="1"/>
    <col min="7963" max="8192" width="9.140625" style="631"/>
    <col min="8193" max="8193" width="23" style="631" customWidth="1"/>
    <col min="8194" max="8194" width="11.85546875" style="631" bestFit="1" customWidth="1"/>
    <col min="8195" max="8196" width="8.42578125" style="631" customWidth="1"/>
    <col min="8197" max="8203" width="9.28515625" style="631" bestFit="1" customWidth="1"/>
    <col min="8204" max="8204" width="10.7109375" style="631" customWidth="1"/>
    <col min="8205" max="8205" width="26.28515625" style="631" customWidth="1"/>
    <col min="8206" max="8206" width="9.140625" style="631"/>
    <col min="8207" max="8207" width="8.5703125" style="631" customWidth="1"/>
    <col min="8208" max="8209" width="9.140625" style="631"/>
    <col min="8210" max="8218" width="7.28515625" style="631" customWidth="1"/>
    <col min="8219" max="8448" width="9.140625" style="631"/>
    <col min="8449" max="8449" width="23" style="631" customWidth="1"/>
    <col min="8450" max="8450" width="11.85546875" style="631" bestFit="1" customWidth="1"/>
    <col min="8451" max="8452" width="8.42578125" style="631" customWidth="1"/>
    <col min="8453" max="8459" width="9.28515625" style="631" bestFit="1" customWidth="1"/>
    <col min="8460" max="8460" width="10.7109375" style="631" customWidth="1"/>
    <col min="8461" max="8461" width="26.28515625" style="631" customWidth="1"/>
    <col min="8462" max="8462" width="9.140625" style="631"/>
    <col min="8463" max="8463" width="8.5703125" style="631" customWidth="1"/>
    <col min="8464" max="8465" width="9.140625" style="631"/>
    <col min="8466" max="8474" width="7.28515625" style="631" customWidth="1"/>
    <col min="8475" max="8704" width="9.140625" style="631"/>
    <col min="8705" max="8705" width="23" style="631" customWidth="1"/>
    <col min="8706" max="8706" width="11.85546875" style="631" bestFit="1" customWidth="1"/>
    <col min="8707" max="8708" width="8.42578125" style="631" customWidth="1"/>
    <col min="8709" max="8715" width="9.28515625" style="631" bestFit="1" customWidth="1"/>
    <col min="8716" max="8716" width="10.7109375" style="631" customWidth="1"/>
    <col min="8717" max="8717" width="26.28515625" style="631" customWidth="1"/>
    <col min="8718" max="8718" width="9.140625" style="631"/>
    <col min="8719" max="8719" width="8.5703125" style="631" customWidth="1"/>
    <col min="8720" max="8721" width="9.140625" style="631"/>
    <col min="8722" max="8730" width="7.28515625" style="631" customWidth="1"/>
    <col min="8731" max="8960" width="9.140625" style="631"/>
    <col min="8961" max="8961" width="23" style="631" customWidth="1"/>
    <col min="8962" max="8962" width="11.85546875" style="631" bestFit="1" customWidth="1"/>
    <col min="8963" max="8964" width="8.42578125" style="631" customWidth="1"/>
    <col min="8965" max="8971" width="9.28515625" style="631" bestFit="1" customWidth="1"/>
    <col min="8972" max="8972" width="10.7109375" style="631" customWidth="1"/>
    <col min="8973" max="8973" width="26.28515625" style="631" customWidth="1"/>
    <col min="8974" max="8974" width="9.140625" style="631"/>
    <col min="8975" max="8975" width="8.5703125" style="631" customWidth="1"/>
    <col min="8976" max="8977" width="9.140625" style="631"/>
    <col min="8978" max="8986" width="7.28515625" style="631" customWidth="1"/>
    <col min="8987" max="9216" width="9.140625" style="631"/>
    <col min="9217" max="9217" width="23" style="631" customWidth="1"/>
    <col min="9218" max="9218" width="11.85546875" style="631" bestFit="1" customWidth="1"/>
    <col min="9219" max="9220" width="8.42578125" style="631" customWidth="1"/>
    <col min="9221" max="9227" width="9.28515625" style="631" bestFit="1" customWidth="1"/>
    <col min="9228" max="9228" width="10.7109375" style="631" customWidth="1"/>
    <col min="9229" max="9229" width="26.28515625" style="631" customWidth="1"/>
    <col min="9230" max="9230" width="9.140625" style="631"/>
    <col min="9231" max="9231" width="8.5703125" style="631" customWidth="1"/>
    <col min="9232" max="9233" width="9.140625" style="631"/>
    <col min="9234" max="9242" width="7.28515625" style="631" customWidth="1"/>
    <col min="9243" max="9472" width="9.140625" style="631"/>
    <col min="9473" max="9473" width="23" style="631" customWidth="1"/>
    <col min="9474" max="9474" width="11.85546875" style="631" bestFit="1" customWidth="1"/>
    <col min="9475" max="9476" width="8.42578125" style="631" customWidth="1"/>
    <col min="9477" max="9483" width="9.28515625" style="631" bestFit="1" customWidth="1"/>
    <col min="9484" max="9484" width="10.7109375" style="631" customWidth="1"/>
    <col min="9485" max="9485" width="26.28515625" style="631" customWidth="1"/>
    <col min="9486" max="9486" width="9.140625" style="631"/>
    <col min="9487" max="9487" width="8.5703125" style="631" customWidth="1"/>
    <col min="9488" max="9489" width="9.140625" style="631"/>
    <col min="9490" max="9498" width="7.28515625" style="631" customWidth="1"/>
    <col min="9499" max="9728" width="9.140625" style="631"/>
    <col min="9729" max="9729" width="23" style="631" customWidth="1"/>
    <col min="9730" max="9730" width="11.85546875" style="631" bestFit="1" customWidth="1"/>
    <col min="9731" max="9732" width="8.42578125" style="631" customWidth="1"/>
    <col min="9733" max="9739" width="9.28515625" style="631" bestFit="1" customWidth="1"/>
    <col min="9740" max="9740" width="10.7109375" style="631" customWidth="1"/>
    <col min="9741" max="9741" width="26.28515625" style="631" customWidth="1"/>
    <col min="9742" max="9742" width="9.140625" style="631"/>
    <col min="9743" max="9743" width="8.5703125" style="631" customWidth="1"/>
    <col min="9744" max="9745" width="9.140625" style="631"/>
    <col min="9746" max="9754" width="7.28515625" style="631" customWidth="1"/>
    <col min="9755" max="9984" width="9.140625" style="631"/>
    <col min="9985" max="9985" width="23" style="631" customWidth="1"/>
    <col min="9986" max="9986" width="11.85546875" style="631" bestFit="1" customWidth="1"/>
    <col min="9987" max="9988" width="8.42578125" style="631" customWidth="1"/>
    <col min="9989" max="9995" width="9.28515625" style="631" bestFit="1" customWidth="1"/>
    <col min="9996" max="9996" width="10.7109375" style="631" customWidth="1"/>
    <col min="9997" max="9997" width="26.28515625" style="631" customWidth="1"/>
    <col min="9998" max="9998" width="9.140625" style="631"/>
    <col min="9999" max="9999" width="8.5703125" style="631" customWidth="1"/>
    <col min="10000" max="10001" width="9.140625" style="631"/>
    <col min="10002" max="10010" width="7.28515625" style="631" customWidth="1"/>
    <col min="10011" max="10240" width="9.140625" style="631"/>
    <col min="10241" max="10241" width="23" style="631" customWidth="1"/>
    <col min="10242" max="10242" width="11.85546875" style="631" bestFit="1" customWidth="1"/>
    <col min="10243" max="10244" width="8.42578125" style="631" customWidth="1"/>
    <col min="10245" max="10251" width="9.28515625" style="631" bestFit="1" customWidth="1"/>
    <col min="10252" max="10252" width="10.7109375" style="631" customWidth="1"/>
    <col min="10253" max="10253" width="26.28515625" style="631" customWidth="1"/>
    <col min="10254" max="10254" width="9.140625" style="631"/>
    <col min="10255" max="10255" width="8.5703125" style="631" customWidth="1"/>
    <col min="10256" max="10257" width="9.140625" style="631"/>
    <col min="10258" max="10266" width="7.28515625" style="631" customWidth="1"/>
    <col min="10267" max="10496" width="9.140625" style="631"/>
    <col min="10497" max="10497" width="23" style="631" customWidth="1"/>
    <col min="10498" max="10498" width="11.85546875" style="631" bestFit="1" customWidth="1"/>
    <col min="10499" max="10500" width="8.42578125" style="631" customWidth="1"/>
    <col min="10501" max="10507" width="9.28515625" style="631" bestFit="1" customWidth="1"/>
    <col min="10508" max="10508" width="10.7109375" style="631" customWidth="1"/>
    <col min="10509" max="10509" width="26.28515625" style="631" customWidth="1"/>
    <col min="10510" max="10510" width="9.140625" style="631"/>
    <col min="10511" max="10511" width="8.5703125" style="631" customWidth="1"/>
    <col min="10512" max="10513" width="9.140625" style="631"/>
    <col min="10514" max="10522" width="7.28515625" style="631" customWidth="1"/>
    <col min="10523" max="10752" width="9.140625" style="631"/>
    <col min="10753" max="10753" width="23" style="631" customWidth="1"/>
    <col min="10754" max="10754" width="11.85546875" style="631" bestFit="1" customWidth="1"/>
    <col min="10755" max="10756" width="8.42578125" style="631" customWidth="1"/>
    <col min="10757" max="10763" width="9.28515625" style="631" bestFit="1" customWidth="1"/>
    <col min="10764" max="10764" width="10.7109375" style="631" customWidth="1"/>
    <col min="10765" max="10765" width="26.28515625" style="631" customWidth="1"/>
    <col min="10766" max="10766" width="9.140625" style="631"/>
    <col min="10767" max="10767" width="8.5703125" style="631" customWidth="1"/>
    <col min="10768" max="10769" width="9.140625" style="631"/>
    <col min="10770" max="10778" width="7.28515625" style="631" customWidth="1"/>
    <col min="10779" max="11008" width="9.140625" style="631"/>
    <col min="11009" max="11009" width="23" style="631" customWidth="1"/>
    <col min="11010" max="11010" width="11.85546875" style="631" bestFit="1" customWidth="1"/>
    <col min="11011" max="11012" width="8.42578125" style="631" customWidth="1"/>
    <col min="11013" max="11019" width="9.28515625" style="631" bestFit="1" customWidth="1"/>
    <col min="11020" max="11020" width="10.7109375" style="631" customWidth="1"/>
    <col min="11021" max="11021" width="26.28515625" style="631" customWidth="1"/>
    <col min="11022" max="11022" width="9.140625" style="631"/>
    <col min="11023" max="11023" width="8.5703125" style="631" customWidth="1"/>
    <col min="11024" max="11025" width="9.140625" style="631"/>
    <col min="11026" max="11034" width="7.28515625" style="631" customWidth="1"/>
    <col min="11035" max="11264" width="9.140625" style="631"/>
    <col min="11265" max="11265" width="23" style="631" customWidth="1"/>
    <col min="11266" max="11266" width="11.85546875" style="631" bestFit="1" customWidth="1"/>
    <col min="11267" max="11268" width="8.42578125" style="631" customWidth="1"/>
    <col min="11269" max="11275" width="9.28515625" style="631" bestFit="1" customWidth="1"/>
    <col min="11276" max="11276" width="10.7109375" style="631" customWidth="1"/>
    <col min="11277" max="11277" width="26.28515625" style="631" customWidth="1"/>
    <col min="11278" max="11278" width="9.140625" style="631"/>
    <col min="11279" max="11279" width="8.5703125" style="631" customWidth="1"/>
    <col min="11280" max="11281" width="9.140625" style="631"/>
    <col min="11282" max="11290" width="7.28515625" style="631" customWidth="1"/>
    <col min="11291" max="11520" width="9.140625" style="631"/>
    <col min="11521" max="11521" width="23" style="631" customWidth="1"/>
    <col min="11522" max="11522" width="11.85546875" style="631" bestFit="1" customWidth="1"/>
    <col min="11523" max="11524" width="8.42578125" style="631" customWidth="1"/>
    <col min="11525" max="11531" width="9.28515625" style="631" bestFit="1" customWidth="1"/>
    <col min="11532" max="11532" width="10.7109375" style="631" customWidth="1"/>
    <col min="11533" max="11533" width="26.28515625" style="631" customWidth="1"/>
    <col min="11534" max="11534" width="9.140625" style="631"/>
    <col min="11535" max="11535" width="8.5703125" style="631" customWidth="1"/>
    <col min="11536" max="11537" width="9.140625" style="631"/>
    <col min="11538" max="11546" width="7.28515625" style="631" customWidth="1"/>
    <col min="11547" max="11776" width="9.140625" style="631"/>
    <col min="11777" max="11777" width="23" style="631" customWidth="1"/>
    <col min="11778" max="11778" width="11.85546875" style="631" bestFit="1" customWidth="1"/>
    <col min="11779" max="11780" width="8.42578125" style="631" customWidth="1"/>
    <col min="11781" max="11787" width="9.28515625" style="631" bestFit="1" customWidth="1"/>
    <col min="11788" max="11788" width="10.7109375" style="631" customWidth="1"/>
    <col min="11789" max="11789" width="26.28515625" style="631" customWidth="1"/>
    <col min="11790" max="11790" width="9.140625" style="631"/>
    <col min="11791" max="11791" width="8.5703125" style="631" customWidth="1"/>
    <col min="11792" max="11793" width="9.140625" style="631"/>
    <col min="11794" max="11802" width="7.28515625" style="631" customWidth="1"/>
    <col min="11803" max="12032" width="9.140625" style="631"/>
    <col min="12033" max="12033" width="23" style="631" customWidth="1"/>
    <col min="12034" max="12034" width="11.85546875" style="631" bestFit="1" customWidth="1"/>
    <col min="12035" max="12036" width="8.42578125" style="631" customWidth="1"/>
    <col min="12037" max="12043" width="9.28515625" style="631" bestFit="1" customWidth="1"/>
    <col min="12044" max="12044" width="10.7109375" style="631" customWidth="1"/>
    <col min="12045" max="12045" width="26.28515625" style="631" customWidth="1"/>
    <col min="12046" max="12046" width="9.140625" style="631"/>
    <col min="12047" max="12047" width="8.5703125" style="631" customWidth="1"/>
    <col min="12048" max="12049" width="9.140625" style="631"/>
    <col min="12050" max="12058" width="7.28515625" style="631" customWidth="1"/>
    <col min="12059" max="12288" width="9.140625" style="631"/>
    <col min="12289" max="12289" width="23" style="631" customWidth="1"/>
    <col min="12290" max="12290" width="11.85546875" style="631" bestFit="1" customWidth="1"/>
    <col min="12291" max="12292" width="8.42578125" style="631" customWidth="1"/>
    <col min="12293" max="12299" width="9.28515625" style="631" bestFit="1" customWidth="1"/>
    <col min="12300" max="12300" width="10.7109375" style="631" customWidth="1"/>
    <col min="12301" max="12301" width="26.28515625" style="631" customWidth="1"/>
    <col min="12302" max="12302" width="9.140625" style="631"/>
    <col min="12303" max="12303" width="8.5703125" style="631" customWidth="1"/>
    <col min="12304" max="12305" width="9.140625" style="631"/>
    <col min="12306" max="12314" width="7.28515625" style="631" customWidth="1"/>
    <col min="12315" max="12544" width="9.140625" style="631"/>
    <col min="12545" max="12545" width="23" style="631" customWidth="1"/>
    <col min="12546" max="12546" width="11.85546875" style="631" bestFit="1" customWidth="1"/>
    <col min="12547" max="12548" width="8.42578125" style="631" customWidth="1"/>
    <col min="12549" max="12555" width="9.28515625" style="631" bestFit="1" customWidth="1"/>
    <col min="12556" max="12556" width="10.7109375" style="631" customWidth="1"/>
    <col min="12557" max="12557" width="26.28515625" style="631" customWidth="1"/>
    <col min="12558" max="12558" width="9.140625" style="631"/>
    <col min="12559" max="12559" width="8.5703125" style="631" customWidth="1"/>
    <col min="12560" max="12561" width="9.140625" style="631"/>
    <col min="12562" max="12570" width="7.28515625" style="631" customWidth="1"/>
    <col min="12571" max="12800" width="9.140625" style="631"/>
    <col min="12801" max="12801" width="23" style="631" customWidth="1"/>
    <col min="12802" max="12802" width="11.85546875" style="631" bestFit="1" customWidth="1"/>
    <col min="12803" max="12804" width="8.42578125" style="631" customWidth="1"/>
    <col min="12805" max="12811" width="9.28515625" style="631" bestFit="1" customWidth="1"/>
    <col min="12812" max="12812" width="10.7109375" style="631" customWidth="1"/>
    <col min="12813" max="12813" width="26.28515625" style="631" customWidth="1"/>
    <col min="12814" max="12814" width="9.140625" style="631"/>
    <col min="12815" max="12815" width="8.5703125" style="631" customWidth="1"/>
    <col min="12816" max="12817" width="9.140625" style="631"/>
    <col min="12818" max="12826" width="7.28515625" style="631" customWidth="1"/>
    <col min="12827" max="13056" width="9.140625" style="631"/>
    <col min="13057" max="13057" width="23" style="631" customWidth="1"/>
    <col min="13058" max="13058" width="11.85546875" style="631" bestFit="1" customWidth="1"/>
    <col min="13059" max="13060" width="8.42578125" style="631" customWidth="1"/>
    <col min="13061" max="13067" width="9.28515625" style="631" bestFit="1" customWidth="1"/>
    <col min="13068" max="13068" width="10.7109375" style="631" customWidth="1"/>
    <col min="13069" max="13069" width="26.28515625" style="631" customWidth="1"/>
    <col min="13070" max="13070" width="9.140625" style="631"/>
    <col min="13071" max="13071" width="8.5703125" style="631" customWidth="1"/>
    <col min="13072" max="13073" width="9.140625" style="631"/>
    <col min="13074" max="13082" width="7.28515625" style="631" customWidth="1"/>
    <col min="13083" max="13312" width="9.140625" style="631"/>
    <col min="13313" max="13313" width="23" style="631" customWidth="1"/>
    <col min="13314" max="13314" width="11.85546875" style="631" bestFit="1" customWidth="1"/>
    <col min="13315" max="13316" width="8.42578125" style="631" customWidth="1"/>
    <col min="13317" max="13323" width="9.28515625" style="631" bestFit="1" customWidth="1"/>
    <col min="13324" max="13324" width="10.7109375" style="631" customWidth="1"/>
    <col min="13325" max="13325" width="26.28515625" style="631" customWidth="1"/>
    <col min="13326" max="13326" width="9.140625" style="631"/>
    <col min="13327" max="13327" width="8.5703125" style="631" customWidth="1"/>
    <col min="13328" max="13329" width="9.140625" style="631"/>
    <col min="13330" max="13338" width="7.28515625" style="631" customWidth="1"/>
    <col min="13339" max="13568" width="9.140625" style="631"/>
    <col min="13569" max="13569" width="23" style="631" customWidth="1"/>
    <col min="13570" max="13570" width="11.85546875" style="631" bestFit="1" customWidth="1"/>
    <col min="13571" max="13572" width="8.42578125" style="631" customWidth="1"/>
    <col min="13573" max="13579" width="9.28515625" style="631" bestFit="1" customWidth="1"/>
    <col min="13580" max="13580" width="10.7109375" style="631" customWidth="1"/>
    <col min="13581" max="13581" width="26.28515625" style="631" customWidth="1"/>
    <col min="13582" max="13582" width="9.140625" style="631"/>
    <col min="13583" max="13583" width="8.5703125" style="631" customWidth="1"/>
    <col min="13584" max="13585" width="9.140625" style="631"/>
    <col min="13586" max="13594" width="7.28515625" style="631" customWidth="1"/>
    <col min="13595" max="13824" width="9.140625" style="631"/>
    <col min="13825" max="13825" width="23" style="631" customWidth="1"/>
    <col min="13826" max="13826" width="11.85546875" style="631" bestFit="1" customWidth="1"/>
    <col min="13827" max="13828" width="8.42578125" style="631" customWidth="1"/>
    <col min="13829" max="13835" width="9.28515625" style="631" bestFit="1" customWidth="1"/>
    <col min="13836" max="13836" width="10.7109375" style="631" customWidth="1"/>
    <col min="13837" max="13837" width="26.28515625" style="631" customWidth="1"/>
    <col min="13838" max="13838" width="9.140625" style="631"/>
    <col min="13839" max="13839" width="8.5703125" style="631" customWidth="1"/>
    <col min="13840" max="13841" width="9.140625" style="631"/>
    <col min="13842" max="13850" width="7.28515625" style="631" customWidth="1"/>
    <col min="13851" max="14080" width="9.140625" style="631"/>
    <col min="14081" max="14081" width="23" style="631" customWidth="1"/>
    <col min="14082" max="14082" width="11.85546875" style="631" bestFit="1" customWidth="1"/>
    <col min="14083" max="14084" width="8.42578125" style="631" customWidth="1"/>
    <col min="14085" max="14091" width="9.28515625" style="631" bestFit="1" customWidth="1"/>
    <col min="14092" max="14092" width="10.7109375" style="631" customWidth="1"/>
    <col min="14093" max="14093" width="26.28515625" style="631" customWidth="1"/>
    <col min="14094" max="14094" width="9.140625" style="631"/>
    <col min="14095" max="14095" width="8.5703125" style="631" customWidth="1"/>
    <col min="14096" max="14097" width="9.140625" style="631"/>
    <col min="14098" max="14106" width="7.28515625" style="631" customWidth="1"/>
    <col min="14107" max="14336" width="9.140625" style="631"/>
    <col min="14337" max="14337" width="23" style="631" customWidth="1"/>
    <col min="14338" max="14338" width="11.85546875" style="631" bestFit="1" customWidth="1"/>
    <col min="14339" max="14340" width="8.42578125" style="631" customWidth="1"/>
    <col min="14341" max="14347" width="9.28515625" style="631" bestFit="1" customWidth="1"/>
    <col min="14348" max="14348" width="10.7109375" style="631" customWidth="1"/>
    <col min="14349" max="14349" width="26.28515625" style="631" customWidth="1"/>
    <col min="14350" max="14350" width="9.140625" style="631"/>
    <col min="14351" max="14351" width="8.5703125" style="631" customWidth="1"/>
    <col min="14352" max="14353" width="9.140625" style="631"/>
    <col min="14354" max="14362" width="7.28515625" style="631" customWidth="1"/>
    <col min="14363" max="14592" width="9.140625" style="631"/>
    <col min="14593" max="14593" width="23" style="631" customWidth="1"/>
    <col min="14594" max="14594" width="11.85546875" style="631" bestFit="1" customWidth="1"/>
    <col min="14595" max="14596" width="8.42578125" style="631" customWidth="1"/>
    <col min="14597" max="14603" width="9.28515625" style="631" bestFit="1" customWidth="1"/>
    <col min="14604" max="14604" width="10.7109375" style="631" customWidth="1"/>
    <col min="14605" max="14605" width="26.28515625" style="631" customWidth="1"/>
    <col min="14606" max="14606" width="9.140625" style="631"/>
    <col min="14607" max="14607" width="8.5703125" style="631" customWidth="1"/>
    <col min="14608" max="14609" width="9.140625" style="631"/>
    <col min="14610" max="14618" width="7.28515625" style="631" customWidth="1"/>
    <col min="14619" max="14848" width="9.140625" style="631"/>
    <col min="14849" max="14849" width="23" style="631" customWidth="1"/>
    <col min="14850" max="14850" width="11.85546875" style="631" bestFit="1" customWidth="1"/>
    <col min="14851" max="14852" width="8.42578125" style="631" customWidth="1"/>
    <col min="14853" max="14859" width="9.28515625" style="631" bestFit="1" customWidth="1"/>
    <col min="14860" max="14860" width="10.7109375" style="631" customWidth="1"/>
    <col min="14861" max="14861" width="26.28515625" style="631" customWidth="1"/>
    <col min="14862" max="14862" width="9.140625" style="631"/>
    <col min="14863" max="14863" width="8.5703125" style="631" customWidth="1"/>
    <col min="14864" max="14865" width="9.140625" style="631"/>
    <col min="14866" max="14874" width="7.28515625" style="631" customWidth="1"/>
    <col min="14875" max="15104" width="9.140625" style="631"/>
    <col min="15105" max="15105" width="23" style="631" customWidth="1"/>
    <col min="15106" max="15106" width="11.85546875" style="631" bestFit="1" customWidth="1"/>
    <col min="15107" max="15108" width="8.42578125" style="631" customWidth="1"/>
    <col min="15109" max="15115" width="9.28515625" style="631" bestFit="1" customWidth="1"/>
    <col min="15116" max="15116" width="10.7109375" style="631" customWidth="1"/>
    <col min="15117" max="15117" width="26.28515625" style="631" customWidth="1"/>
    <col min="15118" max="15118" width="9.140625" style="631"/>
    <col min="15119" max="15119" width="8.5703125" style="631" customWidth="1"/>
    <col min="15120" max="15121" width="9.140625" style="631"/>
    <col min="15122" max="15130" width="7.28515625" style="631" customWidth="1"/>
    <col min="15131" max="15360" width="9.140625" style="631"/>
    <col min="15361" max="15361" width="23" style="631" customWidth="1"/>
    <col min="15362" max="15362" width="11.85546875" style="631" bestFit="1" customWidth="1"/>
    <col min="15363" max="15364" width="8.42578125" style="631" customWidth="1"/>
    <col min="15365" max="15371" width="9.28515625" style="631" bestFit="1" customWidth="1"/>
    <col min="15372" max="15372" width="10.7109375" style="631" customWidth="1"/>
    <col min="15373" max="15373" width="26.28515625" style="631" customWidth="1"/>
    <col min="15374" max="15374" width="9.140625" style="631"/>
    <col min="15375" max="15375" width="8.5703125" style="631" customWidth="1"/>
    <col min="15376" max="15377" width="9.140625" style="631"/>
    <col min="15378" max="15386" width="7.28515625" style="631" customWidth="1"/>
    <col min="15387" max="15616" width="9.140625" style="631"/>
    <col min="15617" max="15617" width="23" style="631" customWidth="1"/>
    <col min="15618" max="15618" width="11.85546875" style="631" bestFit="1" customWidth="1"/>
    <col min="15619" max="15620" width="8.42578125" style="631" customWidth="1"/>
    <col min="15621" max="15627" width="9.28515625" style="631" bestFit="1" customWidth="1"/>
    <col min="15628" max="15628" width="10.7109375" style="631" customWidth="1"/>
    <col min="15629" max="15629" width="26.28515625" style="631" customWidth="1"/>
    <col min="15630" max="15630" width="9.140625" style="631"/>
    <col min="15631" max="15631" width="8.5703125" style="631" customWidth="1"/>
    <col min="15632" max="15633" width="9.140625" style="631"/>
    <col min="15634" max="15642" width="7.28515625" style="631" customWidth="1"/>
    <col min="15643" max="15872" width="9.140625" style="631"/>
    <col min="15873" max="15873" width="23" style="631" customWidth="1"/>
    <col min="15874" max="15874" width="11.85546875" style="631" bestFit="1" customWidth="1"/>
    <col min="15875" max="15876" width="8.42578125" style="631" customWidth="1"/>
    <col min="15877" max="15883" width="9.28515625" style="631" bestFit="1" customWidth="1"/>
    <col min="15884" max="15884" width="10.7109375" style="631" customWidth="1"/>
    <col min="15885" max="15885" width="26.28515625" style="631" customWidth="1"/>
    <col min="15886" max="15886" width="9.140625" style="631"/>
    <col min="15887" max="15887" width="8.5703125" style="631" customWidth="1"/>
    <col min="15888" max="15889" width="9.140625" style="631"/>
    <col min="15890" max="15898" width="7.28515625" style="631" customWidth="1"/>
    <col min="15899" max="16128" width="9.140625" style="631"/>
    <col min="16129" max="16129" width="23" style="631" customWidth="1"/>
    <col min="16130" max="16130" width="11.85546875" style="631" bestFit="1" customWidth="1"/>
    <col min="16131" max="16132" width="8.42578125" style="631" customWidth="1"/>
    <col min="16133" max="16139" width="9.28515625" style="631" bestFit="1" customWidth="1"/>
    <col min="16140" max="16140" width="10.7109375" style="631" customWidth="1"/>
    <col min="16141" max="16141" width="26.28515625" style="631" customWidth="1"/>
    <col min="16142" max="16142" width="9.140625" style="631"/>
    <col min="16143" max="16143" width="8.5703125" style="631" customWidth="1"/>
    <col min="16144" max="16145" width="9.140625" style="631"/>
    <col min="16146" max="16154" width="7.28515625" style="631" customWidth="1"/>
    <col min="16155" max="16383" width="9.140625" style="631"/>
    <col min="16384" max="16384" width="9.140625" style="631" customWidth="1"/>
  </cols>
  <sheetData>
    <row r="1" spans="1:13" s="618" customFormat="1" ht="21.75" customHeight="1">
      <c r="E1" s="627"/>
    </row>
    <row r="2" spans="1:13" s="618" customFormat="1" ht="21.75" customHeight="1">
      <c r="A2" s="1449" t="s">
        <v>1168</v>
      </c>
      <c r="B2" s="1449"/>
      <c r="C2" s="1449"/>
      <c r="D2" s="1449"/>
      <c r="E2" s="1449"/>
      <c r="F2" s="1449"/>
      <c r="G2" s="1449"/>
      <c r="H2" s="1449"/>
      <c r="I2" s="1449"/>
      <c r="J2" s="1449"/>
      <c r="K2" s="1449"/>
      <c r="L2" s="1449"/>
      <c r="M2" s="1449"/>
    </row>
    <row r="3" spans="1:13" s="618" customFormat="1" ht="21.75" customHeight="1">
      <c r="A3" s="1459" t="s">
        <v>1167</v>
      </c>
      <c r="B3" s="1459"/>
      <c r="C3" s="1459"/>
      <c r="D3" s="1459"/>
      <c r="E3" s="1459"/>
      <c r="F3" s="1459"/>
      <c r="G3" s="1459"/>
      <c r="H3" s="1459"/>
      <c r="I3" s="1459"/>
      <c r="J3" s="1459"/>
      <c r="K3" s="1459"/>
      <c r="L3" s="1459"/>
      <c r="M3" s="1459"/>
    </row>
    <row r="4" spans="1:13" s="618" customFormat="1" ht="38.450000000000003" customHeight="1">
      <c r="A4" s="1103" t="s">
        <v>883</v>
      </c>
      <c r="B4" s="1104" t="s">
        <v>1140</v>
      </c>
      <c r="C4" s="1105" t="s">
        <v>1138</v>
      </c>
      <c r="D4" s="1105" t="s">
        <v>1139</v>
      </c>
      <c r="E4" s="1105" t="s">
        <v>1085</v>
      </c>
      <c r="F4" s="1106" t="s">
        <v>141</v>
      </c>
      <c r="G4" s="1106" t="s">
        <v>143</v>
      </c>
      <c r="H4" s="1106" t="s">
        <v>144</v>
      </c>
      <c r="I4" s="1106" t="s">
        <v>145</v>
      </c>
      <c r="J4" s="1106" t="s">
        <v>146</v>
      </c>
      <c r="K4" s="1106" t="s">
        <v>147</v>
      </c>
      <c r="L4" s="1106" t="s">
        <v>884</v>
      </c>
      <c r="M4" s="1107" t="s">
        <v>885</v>
      </c>
    </row>
    <row r="5" spans="1:13" s="618" customFormat="1" ht="21.75" customHeight="1">
      <c r="A5" s="1097">
        <v>2016</v>
      </c>
      <c r="B5" s="1097"/>
      <c r="C5" s="1098"/>
      <c r="D5" s="1098"/>
      <c r="E5" s="1098"/>
      <c r="F5" s="1099"/>
      <c r="G5" s="1099"/>
      <c r="H5" s="1099"/>
      <c r="I5" s="1100"/>
      <c r="J5" s="1099"/>
      <c r="K5" s="1099"/>
      <c r="L5" s="1099"/>
      <c r="M5" s="574">
        <v>2016</v>
      </c>
    </row>
    <row r="6" spans="1:13" s="618" customFormat="1" ht="21.75" customHeight="1">
      <c r="A6" s="1101" t="s">
        <v>886</v>
      </c>
      <c r="B6" s="1110">
        <v>2234</v>
      </c>
      <c r="C6" s="1111">
        <v>4468</v>
      </c>
      <c r="D6" s="1112">
        <v>4</v>
      </c>
      <c r="E6" s="1112">
        <v>82</v>
      </c>
      <c r="F6" s="1112">
        <v>1253</v>
      </c>
      <c r="G6" s="1112">
        <v>1404</v>
      </c>
      <c r="H6" s="1112">
        <v>778</v>
      </c>
      <c r="I6" s="1112">
        <v>353</v>
      </c>
      <c r="J6" s="1112">
        <v>237</v>
      </c>
      <c r="K6" s="1112">
        <v>154</v>
      </c>
      <c r="L6" s="1112">
        <v>203</v>
      </c>
      <c r="M6" s="1102" t="s">
        <v>887</v>
      </c>
    </row>
    <row r="7" spans="1:13" s="618" customFormat="1" ht="21.75" customHeight="1">
      <c r="A7" s="1101" t="s">
        <v>888</v>
      </c>
      <c r="B7" s="1110">
        <v>1303</v>
      </c>
      <c r="C7" s="1111">
        <v>2606</v>
      </c>
      <c r="D7" s="1112">
        <v>0</v>
      </c>
      <c r="E7" s="1112">
        <v>20</v>
      </c>
      <c r="F7" s="1112">
        <v>318</v>
      </c>
      <c r="G7" s="1112">
        <v>643</v>
      </c>
      <c r="H7" s="1112">
        <v>614</v>
      </c>
      <c r="I7" s="1112">
        <v>345</v>
      </c>
      <c r="J7" s="1112">
        <v>237</v>
      </c>
      <c r="K7" s="1112">
        <v>188</v>
      </c>
      <c r="L7" s="1112">
        <v>241</v>
      </c>
      <c r="M7" s="1102" t="s">
        <v>889</v>
      </c>
    </row>
    <row r="8" spans="1:13" s="618" customFormat="1" ht="21.75" customHeight="1">
      <c r="A8" s="1097">
        <v>2017</v>
      </c>
      <c r="B8" s="1110"/>
      <c r="C8" s="1111"/>
      <c r="D8" s="1111"/>
      <c r="E8" s="1111"/>
      <c r="F8" s="1113"/>
      <c r="G8" s="1113"/>
      <c r="H8" s="1113"/>
      <c r="I8" s="1113"/>
      <c r="J8" s="1113"/>
      <c r="K8" s="1113"/>
      <c r="L8" s="1113"/>
      <c r="M8" s="574">
        <v>2017</v>
      </c>
    </row>
    <row r="9" spans="1:13" s="618" customFormat="1" ht="21.75" customHeight="1">
      <c r="A9" s="1101" t="s">
        <v>886</v>
      </c>
      <c r="B9" s="1111">
        <v>2174</v>
      </c>
      <c r="C9" s="1111">
        <v>4348</v>
      </c>
      <c r="D9" s="1112">
        <v>0</v>
      </c>
      <c r="E9" s="1112">
        <v>86</v>
      </c>
      <c r="F9" s="1112">
        <v>1197</v>
      </c>
      <c r="G9" s="1112">
        <v>1311</v>
      </c>
      <c r="H9" s="1112">
        <v>712</v>
      </c>
      <c r="I9" s="1112">
        <v>400</v>
      </c>
      <c r="J9" s="1112">
        <v>238</v>
      </c>
      <c r="K9" s="1112">
        <v>175</v>
      </c>
      <c r="L9" s="1112">
        <v>229</v>
      </c>
      <c r="M9" s="1102" t="s">
        <v>887</v>
      </c>
    </row>
    <row r="10" spans="1:13" s="618" customFormat="1" ht="21.75" customHeight="1">
      <c r="A10" s="1101" t="s">
        <v>888</v>
      </c>
      <c r="B10" s="1111">
        <v>1249</v>
      </c>
      <c r="C10" s="1111">
        <v>2498</v>
      </c>
      <c r="D10" s="1112">
        <v>0</v>
      </c>
      <c r="E10" s="1112">
        <v>19</v>
      </c>
      <c r="F10" s="1112">
        <v>291</v>
      </c>
      <c r="G10" s="1112">
        <v>569</v>
      </c>
      <c r="H10" s="1112">
        <v>582</v>
      </c>
      <c r="I10" s="1112">
        <v>322</v>
      </c>
      <c r="J10" s="1112">
        <v>273</v>
      </c>
      <c r="K10" s="1112">
        <v>189</v>
      </c>
      <c r="L10" s="1112">
        <v>253</v>
      </c>
      <c r="M10" s="1102" t="s">
        <v>889</v>
      </c>
    </row>
    <row r="11" spans="1:13" s="618" customFormat="1" ht="21.75" customHeight="1">
      <c r="A11" s="1097">
        <v>2018</v>
      </c>
      <c r="B11" s="1111"/>
      <c r="C11" s="1111"/>
      <c r="D11" s="1111"/>
      <c r="E11" s="1111"/>
      <c r="F11" s="1113"/>
      <c r="G11" s="1113"/>
      <c r="H11" s="1113"/>
      <c r="I11" s="1113"/>
      <c r="J11" s="1113"/>
      <c r="K11" s="1113"/>
      <c r="L11" s="1113"/>
      <c r="M11" s="574">
        <v>2018</v>
      </c>
    </row>
    <row r="12" spans="1:13" s="618" customFormat="1" ht="21.75" customHeight="1">
      <c r="A12" s="1101" t="s">
        <v>886</v>
      </c>
      <c r="B12" s="1111">
        <v>2189</v>
      </c>
      <c r="C12" s="1111">
        <v>4378</v>
      </c>
      <c r="D12" s="1112">
        <v>0</v>
      </c>
      <c r="E12" s="1112">
        <v>79</v>
      </c>
      <c r="F12" s="1112">
        <v>1205</v>
      </c>
      <c r="G12" s="1112">
        <v>1364</v>
      </c>
      <c r="H12" s="1112">
        <v>725</v>
      </c>
      <c r="I12" s="1112">
        <v>427</v>
      </c>
      <c r="J12" s="1112">
        <v>243</v>
      </c>
      <c r="K12" s="1112">
        <v>130</v>
      </c>
      <c r="L12" s="1112">
        <v>205</v>
      </c>
      <c r="M12" s="1102" t="s">
        <v>887</v>
      </c>
    </row>
    <row r="13" spans="1:13" s="618" customFormat="1" ht="21.75" customHeight="1">
      <c r="A13" s="1101" t="s">
        <v>888</v>
      </c>
      <c r="B13" s="1111">
        <v>1156</v>
      </c>
      <c r="C13" s="1111">
        <v>2312</v>
      </c>
      <c r="D13" s="1112">
        <v>0</v>
      </c>
      <c r="E13" s="1112">
        <v>13</v>
      </c>
      <c r="F13" s="1112">
        <v>229</v>
      </c>
      <c r="G13" s="1112">
        <v>546</v>
      </c>
      <c r="H13" s="1112">
        <v>592</v>
      </c>
      <c r="I13" s="1112">
        <v>344</v>
      </c>
      <c r="J13" s="1112">
        <v>211</v>
      </c>
      <c r="K13" s="1112">
        <v>183</v>
      </c>
      <c r="L13" s="1112">
        <v>194</v>
      </c>
      <c r="M13" s="1102" t="s">
        <v>889</v>
      </c>
    </row>
    <row r="14" spans="1:13" s="618" customFormat="1" ht="21.75" customHeight="1">
      <c r="A14" s="1097">
        <v>2019</v>
      </c>
      <c r="B14" s="1111"/>
      <c r="C14" s="1111"/>
      <c r="D14" s="1111"/>
      <c r="E14" s="1111"/>
      <c r="F14" s="1113"/>
      <c r="G14" s="1113"/>
      <c r="H14" s="1113"/>
      <c r="I14" s="1113"/>
      <c r="J14" s="1113"/>
      <c r="K14" s="1113"/>
      <c r="L14" s="1113"/>
      <c r="M14" s="574">
        <v>2019</v>
      </c>
    </row>
    <row r="15" spans="1:13" s="618" customFormat="1" ht="21.75" customHeight="1">
      <c r="A15" s="1101" t="s">
        <v>886</v>
      </c>
      <c r="B15" s="1111">
        <v>2251</v>
      </c>
      <c r="C15" s="1111">
        <v>4502</v>
      </c>
      <c r="D15" s="1112">
        <v>0</v>
      </c>
      <c r="E15" s="1112">
        <v>97</v>
      </c>
      <c r="F15" s="1112">
        <v>1218</v>
      </c>
      <c r="G15" s="1112">
        <v>1425</v>
      </c>
      <c r="H15" s="1112">
        <v>710</v>
      </c>
      <c r="I15" s="1112">
        <v>432</v>
      </c>
      <c r="J15" s="1112">
        <v>244</v>
      </c>
      <c r="K15" s="1112">
        <v>176</v>
      </c>
      <c r="L15" s="1112">
        <v>200</v>
      </c>
      <c r="M15" s="1102" t="s">
        <v>887</v>
      </c>
    </row>
    <row r="16" spans="1:13" s="618" customFormat="1" ht="21.75" customHeight="1">
      <c r="A16" s="1101" t="s">
        <v>888</v>
      </c>
      <c r="B16" s="1111">
        <v>1195</v>
      </c>
      <c r="C16" s="1111">
        <v>2390</v>
      </c>
      <c r="D16" s="1112">
        <v>0</v>
      </c>
      <c r="E16" s="1112">
        <v>16</v>
      </c>
      <c r="F16" s="1112">
        <v>242</v>
      </c>
      <c r="G16" s="1112">
        <v>522</v>
      </c>
      <c r="H16" s="1112">
        <v>531</v>
      </c>
      <c r="I16" s="1112">
        <v>395</v>
      </c>
      <c r="J16" s="1112">
        <v>249</v>
      </c>
      <c r="K16" s="1112">
        <v>177</v>
      </c>
      <c r="L16" s="1112">
        <v>258</v>
      </c>
      <c r="M16" s="1102" t="s">
        <v>889</v>
      </c>
    </row>
    <row r="17" spans="1:13" s="618" customFormat="1" ht="21.75" customHeight="1">
      <c r="A17" s="1101">
        <v>2020</v>
      </c>
      <c r="B17" s="1111"/>
      <c r="C17" s="1111"/>
      <c r="D17" s="1112"/>
      <c r="E17" s="1112"/>
      <c r="F17" s="1112"/>
      <c r="G17" s="1112"/>
      <c r="H17" s="1112"/>
      <c r="I17" s="1112"/>
      <c r="J17" s="1112"/>
      <c r="K17" s="1112"/>
      <c r="L17" s="1112"/>
      <c r="M17" s="1102">
        <v>2020</v>
      </c>
    </row>
    <row r="18" spans="1:13" s="618" customFormat="1" ht="21.75" customHeight="1">
      <c r="A18" s="1101" t="s">
        <v>886</v>
      </c>
      <c r="B18" s="1111">
        <v>1995</v>
      </c>
      <c r="C18" s="1111">
        <v>3990</v>
      </c>
      <c r="D18" s="1112">
        <v>0</v>
      </c>
      <c r="E18" s="1112">
        <v>87</v>
      </c>
      <c r="F18" s="1112">
        <v>1023</v>
      </c>
      <c r="G18" s="1112">
        <v>1344</v>
      </c>
      <c r="H18" s="1112">
        <v>634</v>
      </c>
      <c r="I18" s="1112">
        <v>396</v>
      </c>
      <c r="J18" s="1112">
        <v>186</v>
      </c>
      <c r="K18" s="1112">
        <v>127</v>
      </c>
      <c r="L18" s="1112">
        <v>193</v>
      </c>
      <c r="M18" s="1102" t="s">
        <v>887</v>
      </c>
    </row>
    <row r="19" spans="1:13" s="618" customFormat="1" ht="21.75" customHeight="1">
      <c r="A19" s="1101" t="s">
        <v>888</v>
      </c>
      <c r="B19" s="1111">
        <v>928</v>
      </c>
      <c r="C19" s="1111">
        <v>1856</v>
      </c>
      <c r="D19" s="1112">
        <v>0</v>
      </c>
      <c r="E19" s="1112">
        <v>7</v>
      </c>
      <c r="F19" s="1112">
        <v>134</v>
      </c>
      <c r="G19" s="1112">
        <v>361</v>
      </c>
      <c r="H19" s="1112">
        <v>417</v>
      </c>
      <c r="I19" s="1112">
        <v>349</v>
      </c>
      <c r="J19" s="1112">
        <v>219</v>
      </c>
      <c r="K19" s="1112">
        <v>145</v>
      </c>
      <c r="L19" s="1112">
        <v>224</v>
      </c>
      <c r="M19" s="1102" t="s">
        <v>889</v>
      </c>
    </row>
    <row r="20" spans="1:13" s="618" customFormat="1" ht="21.75" customHeight="1">
      <c r="A20" s="1097">
        <v>2021</v>
      </c>
      <c r="B20" s="1111"/>
      <c r="C20" s="1111"/>
      <c r="D20" s="1111"/>
      <c r="E20" s="1111"/>
      <c r="F20" s="1113"/>
      <c r="G20" s="1113"/>
      <c r="H20" s="1113"/>
      <c r="I20" s="1113"/>
      <c r="J20" s="1113"/>
      <c r="K20" s="1113"/>
      <c r="L20" s="1113"/>
      <c r="M20" s="574">
        <v>2021</v>
      </c>
    </row>
    <row r="21" spans="1:13" s="618" customFormat="1" ht="21.75" customHeight="1">
      <c r="A21" s="1101" t="s">
        <v>886</v>
      </c>
      <c r="B21" s="1111">
        <v>2403</v>
      </c>
      <c r="C21" s="1111">
        <v>4806</v>
      </c>
      <c r="D21" s="1112">
        <v>0</v>
      </c>
      <c r="E21" s="1112">
        <v>101</v>
      </c>
      <c r="F21" s="1112">
        <v>1152</v>
      </c>
      <c r="G21" s="1112">
        <v>1489</v>
      </c>
      <c r="H21" s="1112">
        <v>832</v>
      </c>
      <c r="I21" s="1112">
        <v>530</v>
      </c>
      <c r="J21" s="1112">
        <v>287</v>
      </c>
      <c r="K21" s="1112">
        <v>193</v>
      </c>
      <c r="L21" s="1112">
        <v>222</v>
      </c>
      <c r="M21" s="1102" t="s">
        <v>887</v>
      </c>
    </row>
    <row r="22" spans="1:13" s="618" customFormat="1" ht="21.75" customHeight="1">
      <c r="A22" s="1108" t="s">
        <v>888</v>
      </c>
      <c r="B22" s="1553">
        <v>1193</v>
      </c>
      <c r="C22" s="1553">
        <v>2386</v>
      </c>
      <c r="D22" s="1554">
        <v>0</v>
      </c>
      <c r="E22" s="1554">
        <v>16</v>
      </c>
      <c r="F22" s="1554">
        <v>205</v>
      </c>
      <c r="G22" s="1554">
        <v>411</v>
      </c>
      <c r="H22" s="1554">
        <v>541</v>
      </c>
      <c r="I22" s="1554">
        <v>470</v>
      </c>
      <c r="J22" s="1554">
        <v>259</v>
      </c>
      <c r="K22" s="1554">
        <v>207</v>
      </c>
      <c r="L22" s="1554">
        <v>277</v>
      </c>
      <c r="M22" s="1109" t="s">
        <v>889</v>
      </c>
    </row>
    <row r="23" spans="1:13" s="618" customFormat="1" ht="21.75" customHeight="1">
      <c r="A23" s="625"/>
      <c r="B23" s="626"/>
      <c r="C23" s="626"/>
      <c r="D23" s="626"/>
      <c r="E23" s="623"/>
      <c r="F23" s="624"/>
      <c r="G23" s="624"/>
      <c r="H23" s="624"/>
      <c r="I23" s="624"/>
      <c r="J23" s="624"/>
      <c r="K23" s="624"/>
      <c r="L23" s="624"/>
      <c r="M23" s="620" t="s">
        <v>890</v>
      </c>
    </row>
    <row r="24" spans="1:13" s="618" customFormat="1" ht="21.75" customHeight="1">
      <c r="A24" s="625"/>
      <c r="B24" s="626"/>
      <c r="C24" s="626"/>
      <c r="D24" s="626"/>
      <c r="E24" s="623"/>
      <c r="F24" s="624"/>
      <c r="G24" s="624"/>
      <c r="H24" s="624"/>
      <c r="I24" s="624"/>
      <c r="J24" s="624"/>
      <c r="K24" s="624"/>
      <c r="L24" s="624"/>
      <c r="M24" s="621" t="s">
        <v>891</v>
      </c>
    </row>
    <row r="25" spans="1:13" s="618" customFormat="1" ht="21.75" customHeight="1">
      <c r="A25" s="625"/>
      <c r="B25" s="626"/>
      <c r="C25" s="626"/>
      <c r="D25" s="626"/>
      <c r="E25" s="623"/>
      <c r="F25" s="624"/>
      <c r="G25" s="624"/>
      <c r="H25" s="624"/>
      <c r="I25" s="624"/>
      <c r="J25" s="624"/>
      <c r="K25" s="624"/>
      <c r="L25" s="624"/>
    </row>
    <row r="26" spans="1:13" s="618" customFormat="1" ht="21.75" customHeight="1">
      <c r="A26" s="625"/>
      <c r="B26" s="626"/>
      <c r="C26" s="626"/>
      <c r="D26" s="626"/>
      <c r="E26" s="623"/>
      <c r="F26" s="624"/>
      <c r="G26" s="624"/>
      <c r="H26" s="624"/>
      <c r="I26" s="624"/>
      <c r="J26" s="624"/>
      <c r="K26" s="624"/>
      <c r="L26" s="624"/>
    </row>
    <row r="27" spans="1:13" s="618" customFormat="1" ht="21.75" customHeight="1">
      <c r="A27" s="625"/>
      <c r="B27" s="626"/>
      <c r="C27" s="626"/>
      <c r="D27" s="626"/>
      <c r="E27" s="623"/>
      <c r="F27" s="624"/>
      <c r="G27" s="624"/>
      <c r="H27" s="624"/>
      <c r="I27" s="624"/>
      <c r="J27" s="624"/>
      <c r="K27" s="624"/>
      <c r="L27" s="624"/>
    </row>
    <row r="28" spans="1:13" s="618" customFormat="1" ht="21.75" customHeight="1">
      <c r="A28" s="625"/>
      <c r="B28" s="626"/>
      <c r="C28" s="626"/>
      <c r="D28" s="626"/>
      <c r="E28" s="623"/>
      <c r="F28" s="624"/>
      <c r="G28" s="624"/>
      <c r="H28" s="624"/>
      <c r="I28" s="624"/>
      <c r="J28" s="624"/>
      <c r="K28" s="624"/>
      <c r="L28" s="624"/>
    </row>
    <row r="29" spans="1:13" s="618" customFormat="1" ht="21.75" customHeight="1">
      <c r="A29" s="625"/>
      <c r="B29" s="626"/>
      <c r="C29" s="626"/>
      <c r="D29" s="626"/>
      <c r="E29" s="623"/>
      <c r="F29" s="624"/>
      <c r="G29" s="624"/>
      <c r="H29" s="624"/>
      <c r="I29" s="624"/>
      <c r="J29" s="624"/>
      <c r="K29" s="624"/>
      <c r="L29" s="624"/>
    </row>
    <row r="30" spans="1:13" s="618" customFormat="1" ht="21.75" customHeight="1">
      <c r="A30" s="625"/>
      <c r="B30" s="626"/>
      <c r="C30" s="626"/>
      <c r="D30" s="626"/>
      <c r="E30" s="623"/>
      <c r="F30" s="624"/>
      <c r="G30" s="624"/>
      <c r="H30" s="624"/>
      <c r="I30" s="624"/>
      <c r="J30" s="624"/>
      <c r="K30" s="624"/>
      <c r="L30" s="624"/>
    </row>
    <row r="31" spans="1:13" s="618" customFormat="1" ht="21.75" customHeight="1">
      <c r="A31" s="625"/>
      <c r="B31" s="626"/>
      <c r="C31" s="626"/>
      <c r="D31" s="626"/>
      <c r="E31" s="623"/>
      <c r="F31" s="624"/>
      <c r="G31" s="624"/>
      <c r="H31" s="624"/>
      <c r="I31" s="624"/>
      <c r="J31" s="624"/>
      <c r="K31" s="624"/>
      <c r="L31" s="624"/>
    </row>
    <row r="32" spans="1:13" s="618" customFormat="1" ht="21.75" customHeight="1">
      <c r="A32" s="625"/>
      <c r="B32" s="626"/>
      <c r="C32" s="626"/>
      <c r="D32" s="626"/>
      <c r="E32" s="623"/>
      <c r="F32" s="624"/>
      <c r="G32" s="624"/>
      <c r="H32" s="624"/>
      <c r="I32" s="624"/>
      <c r="J32" s="624"/>
      <c r="K32" s="624"/>
      <c r="L32" s="624"/>
    </row>
    <row r="33" spans="1:12" s="618" customFormat="1" ht="21.75" customHeight="1">
      <c r="A33" s="625"/>
      <c r="B33" s="626"/>
      <c r="C33" s="626"/>
      <c r="D33" s="626"/>
      <c r="E33" s="623"/>
      <c r="F33" s="624"/>
      <c r="G33" s="624"/>
      <c r="H33" s="624"/>
      <c r="I33" s="624"/>
      <c r="J33" s="624"/>
      <c r="K33" s="624"/>
      <c r="L33" s="624"/>
    </row>
    <row r="34" spans="1:12" s="618" customFormat="1" ht="21.75" customHeight="1">
      <c r="A34" s="625"/>
      <c r="B34" s="626"/>
      <c r="C34" s="626"/>
      <c r="D34" s="626"/>
      <c r="E34" s="623"/>
      <c r="F34" s="624"/>
      <c r="G34" s="624"/>
      <c r="H34" s="624"/>
      <c r="I34" s="624"/>
      <c r="J34" s="624"/>
      <c r="K34" s="624"/>
      <c r="L34" s="624"/>
    </row>
    <row r="35" spans="1:12" s="618" customFormat="1" ht="21.75" customHeight="1">
      <c r="A35" s="625"/>
      <c r="B35" s="626"/>
      <c r="C35" s="626"/>
      <c r="D35" s="626"/>
      <c r="E35" s="623"/>
      <c r="F35" s="624"/>
      <c r="G35" s="624"/>
      <c r="H35" s="624"/>
      <c r="I35" s="624"/>
      <c r="J35" s="624"/>
      <c r="K35" s="624"/>
      <c r="L35" s="624"/>
    </row>
    <row r="36" spans="1:12" s="618" customFormat="1" ht="21.75" customHeight="1">
      <c r="A36" s="625"/>
      <c r="B36" s="626"/>
      <c r="C36" s="626"/>
      <c r="D36" s="626"/>
      <c r="E36" s="623"/>
      <c r="F36" s="624"/>
      <c r="G36" s="624"/>
      <c r="H36" s="624"/>
      <c r="I36" s="624"/>
      <c r="J36" s="624"/>
      <c r="K36" s="624"/>
      <c r="L36" s="624"/>
    </row>
    <row r="37" spans="1:12" s="618" customFormat="1" ht="21.75" customHeight="1">
      <c r="A37" s="625"/>
      <c r="B37" s="626"/>
      <c r="C37" s="626"/>
      <c r="D37" s="626"/>
      <c r="E37" s="623"/>
      <c r="F37" s="624"/>
      <c r="G37" s="624"/>
      <c r="H37" s="624"/>
      <c r="I37" s="624"/>
      <c r="J37" s="624"/>
      <c r="K37" s="624"/>
      <c r="L37" s="624"/>
    </row>
    <row r="38" spans="1:12" s="618" customFormat="1" ht="21.75" customHeight="1">
      <c r="A38" s="625"/>
      <c r="B38" s="626"/>
      <c r="C38" s="626"/>
      <c r="D38" s="626"/>
      <c r="E38" s="623"/>
      <c r="F38" s="624"/>
      <c r="G38" s="624"/>
      <c r="H38" s="624"/>
      <c r="I38" s="624"/>
      <c r="J38" s="624"/>
      <c r="K38" s="624"/>
      <c r="L38" s="624"/>
    </row>
    <row r="39" spans="1:12" s="618" customFormat="1" ht="21.75" customHeight="1">
      <c r="A39" s="625"/>
      <c r="B39" s="626"/>
      <c r="C39" s="626"/>
      <c r="D39" s="626"/>
      <c r="E39" s="623"/>
      <c r="F39" s="624"/>
      <c r="G39" s="624"/>
      <c r="H39" s="624"/>
      <c r="I39" s="624"/>
      <c r="J39" s="624"/>
      <c r="K39" s="624"/>
      <c r="L39" s="624"/>
    </row>
    <row r="40" spans="1:12" s="618" customFormat="1" ht="21.75" customHeight="1">
      <c r="A40" s="619"/>
      <c r="B40" s="622"/>
      <c r="C40" s="622"/>
      <c r="D40" s="622"/>
      <c r="E40" s="627"/>
    </row>
    <row r="41" spans="1:12" s="618" customFormat="1" ht="21.75" customHeight="1">
      <c r="A41" s="619"/>
      <c r="B41" s="622"/>
      <c r="C41" s="622"/>
      <c r="D41" s="622"/>
      <c r="E41" s="627"/>
    </row>
    <row r="42" spans="1:12" s="618" customFormat="1" ht="21.75" customHeight="1">
      <c r="A42" s="619"/>
      <c r="B42" s="622"/>
      <c r="C42" s="622"/>
      <c r="D42" s="622"/>
      <c r="E42" s="627"/>
    </row>
    <row r="43" spans="1:12" s="618" customFormat="1" ht="21.75" customHeight="1">
      <c r="A43" s="619"/>
      <c r="B43" s="622"/>
      <c r="C43" s="622"/>
      <c r="D43" s="622"/>
      <c r="E43" s="627"/>
    </row>
    <row r="44" spans="1:12" s="618" customFormat="1" ht="21.75" customHeight="1">
      <c r="A44" s="619"/>
      <c r="B44" s="622"/>
      <c r="C44" s="622"/>
      <c r="D44" s="622"/>
      <c r="E44" s="627"/>
    </row>
    <row r="45" spans="1:12" s="618" customFormat="1" ht="21.75" customHeight="1">
      <c r="A45" s="619"/>
      <c r="B45" s="622"/>
      <c r="C45" s="622"/>
      <c r="D45" s="622"/>
      <c r="E45" s="627"/>
    </row>
    <row r="46" spans="1:12" s="618" customFormat="1" ht="21.75" customHeight="1">
      <c r="A46" s="619"/>
      <c r="B46" s="622"/>
      <c r="C46" s="622"/>
      <c r="D46" s="622"/>
      <c r="E46" s="627"/>
    </row>
    <row r="47" spans="1:12" s="618" customFormat="1" ht="21.75" customHeight="1">
      <c r="A47" s="619"/>
      <c r="B47" s="622"/>
      <c r="C47" s="622"/>
      <c r="D47" s="622"/>
      <c r="E47" s="627"/>
    </row>
    <row r="48" spans="1:12" s="618" customFormat="1" ht="21.75" customHeight="1">
      <c r="A48" s="619"/>
      <c r="B48" s="622"/>
      <c r="C48" s="622"/>
      <c r="D48" s="622"/>
      <c r="E48" s="627"/>
    </row>
    <row r="49" spans="1:5" s="618" customFormat="1" ht="21.75" customHeight="1">
      <c r="A49" s="619"/>
      <c r="B49" s="622"/>
      <c r="C49" s="622"/>
      <c r="D49" s="622"/>
      <c r="E49" s="627"/>
    </row>
    <row r="50" spans="1:5" s="618" customFormat="1" ht="21.75" customHeight="1">
      <c r="A50" s="619"/>
      <c r="B50" s="622"/>
      <c r="C50" s="622"/>
      <c r="D50" s="622"/>
      <c r="E50" s="627"/>
    </row>
    <row r="51" spans="1:5" s="618" customFormat="1" ht="21.75" customHeight="1">
      <c r="A51" s="619"/>
      <c r="B51" s="622"/>
      <c r="C51" s="622"/>
      <c r="D51" s="622"/>
      <c r="E51" s="627"/>
    </row>
    <row r="52" spans="1:5" s="618" customFormat="1" ht="21.75" customHeight="1">
      <c r="A52" s="619"/>
      <c r="B52" s="622"/>
      <c r="C52" s="622"/>
      <c r="D52" s="622"/>
      <c r="E52" s="627"/>
    </row>
    <row r="53" spans="1:5" s="618" customFormat="1" ht="21.75" customHeight="1">
      <c r="A53" s="619"/>
      <c r="B53" s="622"/>
      <c r="C53" s="622"/>
      <c r="D53" s="622"/>
      <c r="E53" s="627"/>
    </row>
    <row r="54" spans="1:5" s="618" customFormat="1" ht="21.75" customHeight="1">
      <c r="A54" s="619"/>
      <c r="B54" s="622"/>
      <c r="C54" s="622"/>
      <c r="D54" s="622"/>
      <c r="E54" s="627"/>
    </row>
    <row r="55" spans="1:5" s="618" customFormat="1" ht="21.75" customHeight="1">
      <c r="A55" s="619"/>
      <c r="B55" s="622"/>
      <c r="C55" s="622"/>
      <c r="D55" s="622"/>
      <c r="E55" s="627"/>
    </row>
    <row r="56" spans="1:5" s="618" customFormat="1" ht="21.75" customHeight="1">
      <c r="A56" s="619"/>
      <c r="B56" s="622"/>
      <c r="C56" s="622"/>
      <c r="D56" s="622"/>
      <c r="E56" s="627"/>
    </row>
    <row r="57" spans="1:5" s="618" customFormat="1" ht="21.75" customHeight="1">
      <c r="A57" s="619"/>
      <c r="B57" s="622"/>
      <c r="C57" s="622"/>
      <c r="D57" s="622"/>
      <c r="E57" s="627"/>
    </row>
    <row r="58" spans="1:5" s="618" customFormat="1" ht="21.75" customHeight="1">
      <c r="A58" s="619"/>
      <c r="B58" s="622"/>
      <c r="C58" s="622"/>
      <c r="D58" s="622"/>
      <c r="E58" s="627"/>
    </row>
    <row r="59" spans="1:5" s="618" customFormat="1" ht="21.75" customHeight="1">
      <c r="A59" s="619"/>
      <c r="B59" s="622"/>
      <c r="C59" s="622"/>
      <c r="D59" s="622"/>
      <c r="E59" s="627"/>
    </row>
    <row r="60" spans="1:5" s="618" customFormat="1" ht="21.75" customHeight="1">
      <c r="A60" s="619"/>
      <c r="B60" s="622"/>
      <c r="C60" s="622"/>
      <c r="D60" s="622"/>
      <c r="E60" s="627"/>
    </row>
    <row r="61" spans="1:5" s="618" customFormat="1" ht="21.75" customHeight="1">
      <c r="A61" s="619"/>
      <c r="B61" s="622"/>
      <c r="C61" s="622"/>
      <c r="D61" s="622"/>
      <c r="E61" s="627"/>
    </row>
    <row r="62" spans="1:5" s="618" customFormat="1" ht="21.75" customHeight="1">
      <c r="A62" s="619"/>
      <c r="B62" s="622"/>
      <c r="C62" s="622"/>
      <c r="D62" s="622"/>
      <c r="E62" s="627"/>
    </row>
    <row r="63" spans="1:5" s="618" customFormat="1" ht="21.75" customHeight="1">
      <c r="A63" s="619"/>
      <c r="B63" s="622"/>
      <c r="C63" s="622"/>
      <c r="D63" s="622"/>
      <c r="E63" s="627"/>
    </row>
    <row r="64" spans="1:5" s="618" customFormat="1" ht="21.75" customHeight="1">
      <c r="A64" s="619"/>
      <c r="B64" s="622"/>
      <c r="C64" s="622"/>
      <c r="D64" s="622"/>
      <c r="E64" s="627"/>
    </row>
    <row r="65" spans="1:5" s="618" customFormat="1" ht="21.75" customHeight="1">
      <c r="A65" s="619"/>
      <c r="B65" s="622"/>
      <c r="C65" s="622"/>
      <c r="D65" s="622"/>
      <c r="E65" s="627"/>
    </row>
    <row r="66" spans="1:5" s="618" customFormat="1" ht="21.75" customHeight="1">
      <c r="A66" s="619"/>
      <c r="B66" s="622"/>
      <c r="C66" s="622"/>
      <c r="D66" s="622"/>
      <c r="E66" s="627"/>
    </row>
    <row r="67" spans="1:5" s="618" customFormat="1" ht="21.75" customHeight="1">
      <c r="A67" s="619"/>
      <c r="B67" s="622"/>
      <c r="C67" s="622"/>
      <c r="D67" s="622"/>
      <c r="E67" s="627"/>
    </row>
    <row r="68" spans="1:5" s="618" customFormat="1" ht="21.75" customHeight="1">
      <c r="A68" s="619"/>
      <c r="B68" s="622"/>
      <c r="C68" s="622"/>
      <c r="D68" s="622"/>
      <c r="E68" s="627"/>
    </row>
    <row r="69" spans="1:5" s="618" customFormat="1" ht="21.75" customHeight="1">
      <c r="A69" s="619"/>
      <c r="B69" s="622"/>
      <c r="C69" s="622"/>
      <c r="D69" s="622"/>
      <c r="E69" s="627"/>
    </row>
    <row r="70" spans="1:5" s="618" customFormat="1" ht="21.75" customHeight="1">
      <c r="A70" s="619"/>
      <c r="B70" s="622"/>
      <c r="C70" s="622"/>
      <c r="D70" s="622"/>
      <c r="E70" s="627"/>
    </row>
    <row r="71" spans="1:5" s="618" customFormat="1" ht="21.75" customHeight="1">
      <c r="A71" s="619"/>
      <c r="B71" s="622"/>
      <c r="C71" s="622"/>
      <c r="D71" s="622"/>
      <c r="E71" s="627"/>
    </row>
    <row r="72" spans="1:5" s="618" customFormat="1" ht="21.75" customHeight="1">
      <c r="A72" s="619"/>
      <c r="B72" s="622"/>
      <c r="C72" s="622"/>
      <c r="D72" s="622"/>
      <c r="E72" s="627"/>
    </row>
    <row r="73" spans="1:5" s="618" customFormat="1" ht="21.75" customHeight="1">
      <c r="A73" s="619"/>
      <c r="B73" s="622"/>
      <c r="C73" s="622"/>
      <c r="D73" s="622"/>
      <c r="E73" s="627"/>
    </row>
    <row r="74" spans="1:5" s="618" customFormat="1" ht="21.75" customHeight="1">
      <c r="A74" s="619"/>
      <c r="B74" s="622"/>
      <c r="C74" s="622"/>
      <c r="D74" s="622"/>
      <c r="E74" s="627"/>
    </row>
    <row r="75" spans="1:5" s="618" customFormat="1" ht="21.75" customHeight="1">
      <c r="A75" s="619"/>
      <c r="B75" s="622"/>
      <c r="C75" s="622"/>
      <c r="D75" s="622"/>
      <c r="E75" s="627"/>
    </row>
    <row r="76" spans="1:5" s="618" customFormat="1" ht="21.75" customHeight="1">
      <c r="A76" s="619"/>
      <c r="B76" s="622"/>
      <c r="C76" s="622"/>
      <c r="D76" s="622"/>
      <c r="E76" s="627"/>
    </row>
    <row r="77" spans="1:5" s="618" customFormat="1" ht="21.75" customHeight="1">
      <c r="A77" s="619"/>
      <c r="B77" s="622"/>
      <c r="C77" s="622"/>
      <c r="D77" s="622"/>
      <c r="E77" s="627"/>
    </row>
    <row r="78" spans="1:5" s="618" customFormat="1" ht="21.75" customHeight="1">
      <c r="A78" s="619"/>
      <c r="B78" s="622"/>
      <c r="C78" s="622"/>
      <c r="D78" s="622"/>
      <c r="E78" s="627"/>
    </row>
    <row r="79" spans="1:5" s="618" customFormat="1" ht="21.75" customHeight="1">
      <c r="A79" s="619"/>
      <c r="B79" s="622"/>
      <c r="C79" s="622"/>
      <c r="D79" s="622"/>
      <c r="E79" s="627"/>
    </row>
    <row r="80" spans="1:5" s="618" customFormat="1" ht="21.75" customHeight="1">
      <c r="A80" s="619"/>
      <c r="B80" s="622"/>
      <c r="C80" s="622"/>
      <c r="D80" s="622"/>
      <c r="E80" s="627"/>
    </row>
    <row r="81" spans="1:5" s="618" customFormat="1" ht="21.75" customHeight="1">
      <c r="A81" s="619"/>
      <c r="B81" s="622"/>
      <c r="C81" s="622"/>
      <c r="D81" s="622"/>
      <c r="E81" s="627"/>
    </row>
    <row r="82" spans="1:5" s="618" customFormat="1" ht="21.75" customHeight="1">
      <c r="A82" s="619"/>
      <c r="B82" s="622"/>
      <c r="C82" s="622"/>
      <c r="D82" s="622"/>
      <c r="E82" s="627"/>
    </row>
    <row r="83" spans="1:5" s="618" customFormat="1" ht="21.75" customHeight="1">
      <c r="A83" s="619"/>
      <c r="B83" s="622"/>
      <c r="C83" s="622"/>
      <c r="D83" s="622"/>
      <c r="E83" s="627"/>
    </row>
    <row r="84" spans="1:5" s="618" customFormat="1" ht="21.75" customHeight="1">
      <c r="A84" s="619"/>
      <c r="B84" s="622"/>
      <c r="C84" s="622"/>
      <c r="D84" s="622"/>
      <c r="E84" s="627"/>
    </row>
    <row r="85" spans="1:5" s="618" customFormat="1" ht="21.75" customHeight="1">
      <c r="A85" s="619"/>
      <c r="B85" s="622"/>
      <c r="C85" s="622"/>
      <c r="D85" s="622"/>
      <c r="E85" s="627"/>
    </row>
    <row r="86" spans="1:5" s="618" customFormat="1" ht="21.75" customHeight="1">
      <c r="A86" s="619"/>
      <c r="B86" s="622"/>
      <c r="C86" s="622"/>
      <c r="D86" s="622"/>
      <c r="E86" s="627"/>
    </row>
    <row r="87" spans="1:5" s="618" customFormat="1" ht="21.75" customHeight="1">
      <c r="A87" s="619"/>
      <c r="B87" s="622"/>
      <c r="C87" s="622"/>
      <c r="D87" s="622"/>
      <c r="E87" s="627"/>
    </row>
    <row r="88" spans="1:5" s="618" customFormat="1" ht="21.75" customHeight="1">
      <c r="A88" s="619"/>
      <c r="B88" s="622"/>
      <c r="C88" s="622"/>
      <c r="D88" s="622"/>
      <c r="E88" s="627"/>
    </row>
    <row r="89" spans="1:5" s="618" customFormat="1" ht="21.75" customHeight="1">
      <c r="A89" s="619"/>
      <c r="B89" s="622"/>
      <c r="C89" s="622"/>
      <c r="D89" s="622"/>
      <c r="E89" s="627"/>
    </row>
    <row r="90" spans="1:5" s="618" customFormat="1" ht="21.75" customHeight="1">
      <c r="A90" s="619"/>
      <c r="B90" s="622"/>
      <c r="C90" s="622"/>
      <c r="D90" s="622"/>
      <c r="E90" s="627"/>
    </row>
    <row r="91" spans="1:5" s="618" customFormat="1" ht="21.75" customHeight="1">
      <c r="A91" s="619"/>
      <c r="B91" s="622"/>
      <c r="C91" s="622"/>
      <c r="D91" s="622"/>
      <c r="E91" s="627"/>
    </row>
    <row r="92" spans="1:5" s="618" customFormat="1" ht="21.75" customHeight="1">
      <c r="A92" s="619"/>
      <c r="B92" s="622"/>
      <c r="C92" s="622"/>
      <c r="D92" s="622"/>
      <c r="E92" s="627"/>
    </row>
    <row r="93" spans="1:5" s="618" customFormat="1" ht="21.75" customHeight="1">
      <c r="A93" s="619"/>
      <c r="B93" s="622"/>
      <c r="C93" s="622"/>
      <c r="D93" s="622"/>
      <c r="E93" s="627"/>
    </row>
    <row r="94" spans="1:5" s="618" customFormat="1" ht="21.75" customHeight="1">
      <c r="A94" s="619"/>
      <c r="B94" s="622"/>
      <c r="C94" s="622"/>
      <c r="D94" s="622"/>
      <c r="E94" s="627"/>
    </row>
    <row r="95" spans="1:5" s="618" customFormat="1" ht="21.75" customHeight="1">
      <c r="A95" s="619"/>
      <c r="B95" s="622"/>
      <c r="C95" s="622"/>
      <c r="D95" s="622"/>
      <c r="E95" s="627"/>
    </row>
    <row r="96" spans="1:5" s="618" customFormat="1" ht="21.75" customHeight="1">
      <c r="A96" s="619"/>
      <c r="B96" s="622"/>
      <c r="C96" s="622"/>
      <c r="D96" s="622"/>
      <c r="E96" s="627"/>
    </row>
    <row r="97" spans="1:5" s="618" customFormat="1" ht="21.75" customHeight="1">
      <c r="A97" s="619"/>
      <c r="B97" s="622"/>
      <c r="C97" s="622"/>
      <c r="D97" s="622"/>
      <c r="E97" s="627"/>
    </row>
    <row r="98" spans="1:5" s="618" customFormat="1" ht="21.75" customHeight="1">
      <c r="A98" s="619"/>
      <c r="B98" s="622"/>
      <c r="C98" s="622"/>
      <c r="D98" s="622"/>
      <c r="E98" s="627"/>
    </row>
    <row r="99" spans="1:5" s="618" customFormat="1" ht="21.75" customHeight="1">
      <c r="A99" s="619"/>
      <c r="B99" s="622"/>
      <c r="C99" s="622"/>
      <c r="D99" s="622"/>
      <c r="E99" s="627"/>
    </row>
    <row r="100" spans="1:5" s="618" customFormat="1" ht="21.75" customHeight="1">
      <c r="A100" s="619"/>
      <c r="B100" s="622"/>
      <c r="C100" s="622"/>
      <c r="D100" s="622"/>
      <c r="E100" s="627"/>
    </row>
    <row r="101" spans="1:5" s="618" customFormat="1" ht="21.75" customHeight="1">
      <c r="A101" s="619"/>
      <c r="B101" s="622"/>
      <c r="C101" s="622"/>
      <c r="D101" s="622"/>
      <c r="E101" s="627"/>
    </row>
    <row r="102" spans="1:5" s="618" customFormat="1" ht="21.75" customHeight="1">
      <c r="A102" s="619"/>
      <c r="B102" s="622"/>
      <c r="C102" s="622"/>
      <c r="D102" s="622"/>
      <c r="E102" s="627"/>
    </row>
    <row r="103" spans="1:5" s="618" customFormat="1" ht="21.75" customHeight="1">
      <c r="A103" s="619"/>
      <c r="B103" s="622"/>
      <c r="C103" s="622"/>
      <c r="D103" s="622"/>
      <c r="E103" s="627"/>
    </row>
    <row r="104" spans="1:5" s="618" customFormat="1" ht="21.75" customHeight="1">
      <c r="A104" s="619"/>
      <c r="B104" s="622"/>
      <c r="C104" s="622"/>
      <c r="D104" s="622"/>
      <c r="E104" s="627"/>
    </row>
    <row r="105" spans="1:5" s="618" customFormat="1" ht="21.75" customHeight="1">
      <c r="A105" s="619"/>
      <c r="B105" s="622"/>
      <c r="C105" s="622"/>
      <c r="D105" s="622"/>
      <c r="E105" s="627"/>
    </row>
    <row r="106" spans="1:5" s="618" customFormat="1" ht="21.75" customHeight="1">
      <c r="A106" s="619"/>
      <c r="B106" s="622"/>
      <c r="C106" s="622"/>
      <c r="D106" s="622"/>
      <c r="E106" s="627"/>
    </row>
    <row r="107" spans="1:5" s="618" customFormat="1" ht="21.75" customHeight="1">
      <c r="A107" s="619"/>
      <c r="B107" s="622"/>
      <c r="C107" s="622"/>
      <c r="D107" s="622"/>
      <c r="E107" s="627"/>
    </row>
    <row r="108" spans="1:5" s="618" customFormat="1" ht="21.75" customHeight="1">
      <c r="A108" s="619"/>
      <c r="B108" s="622"/>
      <c r="C108" s="622"/>
      <c r="D108" s="622"/>
      <c r="E108" s="627"/>
    </row>
    <row r="109" spans="1:5" s="618" customFormat="1" ht="21.75" customHeight="1">
      <c r="A109" s="619"/>
      <c r="B109" s="622"/>
      <c r="C109" s="622"/>
      <c r="D109" s="622"/>
      <c r="E109" s="627"/>
    </row>
    <row r="110" spans="1:5" s="618" customFormat="1" ht="21.75" customHeight="1">
      <c r="A110" s="619"/>
      <c r="B110" s="622"/>
      <c r="C110" s="622"/>
      <c r="D110" s="622"/>
      <c r="E110" s="627"/>
    </row>
    <row r="111" spans="1:5" s="618" customFormat="1" ht="21.75" customHeight="1">
      <c r="A111" s="619"/>
      <c r="B111" s="622"/>
      <c r="C111" s="622"/>
      <c r="D111" s="622"/>
      <c r="E111" s="627"/>
    </row>
    <row r="112" spans="1:5" s="618" customFormat="1" ht="21.75" customHeight="1">
      <c r="A112" s="619"/>
      <c r="B112" s="622"/>
      <c r="C112" s="622"/>
      <c r="D112" s="622"/>
      <c r="E112" s="627"/>
    </row>
    <row r="113" spans="1:5" s="618" customFormat="1" ht="21.75" customHeight="1">
      <c r="A113" s="619"/>
      <c r="B113" s="622"/>
      <c r="C113" s="622"/>
      <c r="D113" s="622"/>
      <c r="E113" s="627"/>
    </row>
    <row r="114" spans="1:5" s="618" customFormat="1" ht="21.75" customHeight="1">
      <c r="A114" s="619"/>
      <c r="B114" s="622"/>
      <c r="C114" s="622"/>
      <c r="D114" s="622"/>
      <c r="E114" s="627"/>
    </row>
    <row r="115" spans="1:5" s="618" customFormat="1" ht="21.75" customHeight="1">
      <c r="A115" s="619"/>
      <c r="B115" s="622"/>
      <c r="C115" s="622"/>
      <c r="D115" s="622"/>
      <c r="E115" s="627"/>
    </row>
    <row r="116" spans="1:5" s="618" customFormat="1" ht="21.75" customHeight="1">
      <c r="A116" s="619"/>
      <c r="B116" s="622"/>
      <c r="C116" s="622"/>
      <c r="D116" s="622"/>
      <c r="E116" s="627"/>
    </row>
    <row r="117" spans="1:5" s="618" customFormat="1" ht="21.75" customHeight="1">
      <c r="A117" s="619"/>
      <c r="B117" s="622"/>
      <c r="C117" s="622"/>
      <c r="D117" s="622"/>
      <c r="E117" s="627"/>
    </row>
    <row r="118" spans="1:5" s="618" customFormat="1" ht="21.75" customHeight="1">
      <c r="A118" s="619"/>
      <c r="B118" s="622"/>
      <c r="C118" s="622"/>
      <c r="D118" s="622"/>
      <c r="E118" s="627"/>
    </row>
    <row r="119" spans="1:5" s="618" customFormat="1" ht="21.75" customHeight="1">
      <c r="A119" s="619"/>
      <c r="B119" s="622"/>
      <c r="C119" s="622"/>
      <c r="D119" s="622"/>
      <c r="E119" s="627"/>
    </row>
    <row r="120" spans="1:5" s="618" customFormat="1" ht="21.75" customHeight="1">
      <c r="A120" s="619"/>
      <c r="B120" s="622"/>
      <c r="C120" s="622"/>
      <c r="D120" s="622"/>
      <c r="E120" s="627"/>
    </row>
    <row r="121" spans="1:5" s="618" customFormat="1" ht="21.75" customHeight="1">
      <c r="A121" s="619"/>
      <c r="B121" s="622"/>
      <c r="C121" s="622"/>
      <c r="D121" s="622"/>
      <c r="E121" s="627"/>
    </row>
    <row r="122" spans="1:5" s="618" customFormat="1" ht="21.75" customHeight="1">
      <c r="A122" s="619"/>
      <c r="B122" s="622"/>
      <c r="C122" s="622"/>
      <c r="D122" s="622"/>
      <c r="E122" s="627"/>
    </row>
    <row r="123" spans="1:5" s="618" customFormat="1" ht="21.75" customHeight="1">
      <c r="A123" s="619"/>
      <c r="B123" s="622"/>
      <c r="C123" s="622"/>
      <c r="D123" s="622"/>
      <c r="E123" s="627"/>
    </row>
    <row r="124" spans="1:5" s="618" customFormat="1" ht="21.75" customHeight="1">
      <c r="A124" s="619"/>
      <c r="B124" s="622"/>
      <c r="C124" s="622"/>
      <c r="D124" s="622"/>
      <c r="E124" s="627"/>
    </row>
    <row r="125" spans="1:5" s="618" customFormat="1" ht="21.75" customHeight="1">
      <c r="A125" s="619"/>
      <c r="B125" s="622"/>
      <c r="C125" s="622"/>
      <c r="D125" s="622"/>
      <c r="E125" s="627"/>
    </row>
    <row r="126" spans="1:5" s="618" customFormat="1" ht="21.75" customHeight="1">
      <c r="A126" s="619"/>
      <c r="B126" s="622"/>
      <c r="C126" s="622"/>
      <c r="D126" s="622"/>
      <c r="E126" s="627"/>
    </row>
    <row r="127" spans="1:5" s="618" customFormat="1" ht="21.75" customHeight="1">
      <c r="A127" s="619"/>
      <c r="B127" s="622"/>
      <c r="C127" s="622"/>
      <c r="D127" s="622"/>
      <c r="E127" s="627"/>
    </row>
    <row r="128" spans="1:5" s="618" customFormat="1" ht="21.75" customHeight="1">
      <c r="A128" s="619"/>
      <c r="B128" s="622"/>
      <c r="C128" s="622"/>
      <c r="D128" s="622"/>
      <c r="E128" s="627"/>
    </row>
    <row r="129" spans="1:5" s="618" customFormat="1" ht="21.75" customHeight="1">
      <c r="A129" s="619"/>
      <c r="B129" s="622"/>
      <c r="C129" s="622"/>
      <c r="D129" s="622"/>
      <c r="E129" s="627"/>
    </row>
    <row r="130" spans="1:5" s="618" customFormat="1" ht="21.75" customHeight="1">
      <c r="A130" s="619"/>
      <c r="B130" s="622"/>
      <c r="C130" s="622"/>
      <c r="D130" s="622"/>
      <c r="E130" s="627"/>
    </row>
    <row r="131" spans="1:5" s="618" customFormat="1" ht="21.75" customHeight="1">
      <c r="A131" s="619"/>
      <c r="B131" s="622"/>
      <c r="C131" s="622"/>
      <c r="D131" s="622"/>
      <c r="E131" s="627"/>
    </row>
    <row r="132" spans="1:5" s="618" customFormat="1" ht="21.75" customHeight="1">
      <c r="A132" s="619"/>
      <c r="B132" s="622"/>
      <c r="C132" s="622"/>
      <c r="D132" s="622"/>
      <c r="E132" s="627"/>
    </row>
    <row r="133" spans="1:5" s="618" customFormat="1" ht="21.75" customHeight="1">
      <c r="A133" s="619"/>
      <c r="B133" s="622"/>
      <c r="C133" s="622"/>
      <c r="D133" s="622"/>
      <c r="E133" s="627"/>
    </row>
    <row r="134" spans="1:5" s="618" customFormat="1" ht="21.75" customHeight="1">
      <c r="A134" s="619"/>
      <c r="B134" s="622"/>
      <c r="C134" s="622"/>
      <c r="D134" s="622"/>
      <c r="E134" s="627"/>
    </row>
    <row r="135" spans="1:5" s="618" customFormat="1" ht="21.75" customHeight="1">
      <c r="A135" s="619"/>
      <c r="B135" s="622"/>
      <c r="C135" s="622"/>
      <c r="D135" s="622"/>
      <c r="E135" s="627"/>
    </row>
    <row r="136" spans="1:5" s="618" customFormat="1" ht="21.75" customHeight="1">
      <c r="A136" s="619"/>
      <c r="B136" s="622"/>
      <c r="C136" s="622"/>
      <c r="D136" s="622"/>
      <c r="E136" s="627"/>
    </row>
    <row r="137" spans="1:5" s="618" customFormat="1" ht="21.75" customHeight="1">
      <c r="A137" s="619"/>
      <c r="B137" s="622"/>
      <c r="C137" s="622"/>
      <c r="D137" s="622"/>
      <c r="E137" s="627"/>
    </row>
    <row r="138" spans="1:5" s="618" customFormat="1" ht="21.75" customHeight="1">
      <c r="A138" s="619"/>
      <c r="B138" s="622"/>
      <c r="C138" s="622"/>
      <c r="D138" s="622"/>
      <c r="E138" s="627"/>
    </row>
    <row r="139" spans="1:5" s="618" customFormat="1" ht="21.75" customHeight="1">
      <c r="A139" s="619"/>
      <c r="B139" s="622"/>
      <c r="C139" s="622"/>
      <c r="D139" s="622"/>
      <c r="E139" s="627"/>
    </row>
    <row r="140" spans="1:5" s="618" customFormat="1" ht="21.75" customHeight="1">
      <c r="A140" s="619"/>
      <c r="B140" s="622"/>
      <c r="C140" s="622"/>
      <c r="D140" s="622"/>
      <c r="E140" s="627"/>
    </row>
    <row r="141" spans="1:5" s="618" customFormat="1" ht="21.75" customHeight="1">
      <c r="A141" s="619"/>
      <c r="B141" s="622"/>
      <c r="C141" s="622"/>
      <c r="D141" s="622"/>
      <c r="E141" s="627"/>
    </row>
    <row r="142" spans="1:5" s="618" customFormat="1" ht="21.75" customHeight="1">
      <c r="A142" s="619"/>
      <c r="B142" s="622"/>
      <c r="C142" s="622"/>
      <c r="D142" s="622"/>
      <c r="E142" s="627"/>
    </row>
    <row r="143" spans="1:5" s="618" customFormat="1" ht="21.75" customHeight="1">
      <c r="A143" s="619"/>
      <c r="B143" s="622"/>
      <c r="C143" s="622"/>
      <c r="D143" s="622"/>
      <c r="E143" s="627"/>
    </row>
    <row r="144" spans="1:5" s="618" customFormat="1" ht="21.75" customHeight="1">
      <c r="A144" s="619"/>
      <c r="B144" s="622"/>
      <c r="C144" s="622"/>
      <c r="D144" s="622"/>
      <c r="E144" s="627"/>
    </row>
    <row r="145" spans="1:5" s="618" customFormat="1" ht="21.75" customHeight="1">
      <c r="A145" s="619"/>
      <c r="B145" s="622"/>
      <c r="C145" s="622"/>
      <c r="D145" s="622"/>
      <c r="E145" s="627"/>
    </row>
    <row r="146" spans="1:5" s="618" customFormat="1" ht="21.75" customHeight="1">
      <c r="A146" s="619"/>
      <c r="B146" s="622"/>
      <c r="C146" s="622"/>
      <c r="D146" s="622"/>
      <c r="E146" s="627"/>
    </row>
    <row r="147" spans="1:5" s="618" customFormat="1" ht="21.75" customHeight="1">
      <c r="A147" s="619"/>
      <c r="B147" s="622"/>
      <c r="C147" s="622"/>
      <c r="D147" s="622"/>
      <c r="E147" s="627"/>
    </row>
    <row r="148" spans="1:5" s="618" customFormat="1" ht="21.75" customHeight="1">
      <c r="A148" s="619"/>
      <c r="B148" s="622"/>
      <c r="C148" s="622"/>
      <c r="D148" s="622"/>
      <c r="E148" s="627"/>
    </row>
    <row r="149" spans="1:5" s="618" customFormat="1" ht="21.75" customHeight="1">
      <c r="A149" s="619"/>
      <c r="B149" s="622"/>
      <c r="C149" s="622"/>
      <c r="D149" s="622"/>
      <c r="E149" s="627"/>
    </row>
    <row r="150" spans="1:5" s="618" customFormat="1" ht="21.75" customHeight="1">
      <c r="A150" s="619"/>
      <c r="B150" s="622"/>
      <c r="C150" s="622"/>
      <c r="D150" s="622"/>
      <c r="E150" s="627"/>
    </row>
    <row r="151" spans="1:5" s="618" customFormat="1" ht="21.75" customHeight="1">
      <c r="A151" s="619"/>
      <c r="B151" s="622"/>
      <c r="C151" s="622"/>
      <c r="D151" s="622"/>
      <c r="E151" s="627"/>
    </row>
    <row r="152" spans="1:5" s="618" customFormat="1" ht="21.75" customHeight="1">
      <c r="A152" s="619"/>
      <c r="B152" s="622"/>
      <c r="C152" s="622"/>
      <c r="D152" s="622"/>
      <c r="E152" s="627"/>
    </row>
    <row r="153" spans="1:5" s="618" customFormat="1" ht="21.75" customHeight="1">
      <c r="A153" s="619"/>
      <c r="B153" s="622"/>
      <c r="C153" s="622"/>
      <c r="D153" s="622"/>
      <c r="E153" s="627"/>
    </row>
    <row r="154" spans="1:5" s="618" customFormat="1" ht="21.75" customHeight="1">
      <c r="A154" s="619"/>
      <c r="B154" s="622"/>
      <c r="C154" s="622"/>
      <c r="D154" s="622"/>
      <c r="E154" s="627"/>
    </row>
    <row r="155" spans="1:5" s="618" customFormat="1" ht="21.75" customHeight="1">
      <c r="A155" s="619"/>
      <c r="B155" s="622"/>
      <c r="C155" s="622"/>
      <c r="D155" s="622"/>
      <c r="E155" s="627"/>
    </row>
    <row r="156" spans="1:5" s="618" customFormat="1" ht="21.75" customHeight="1">
      <c r="A156" s="619"/>
      <c r="B156" s="622"/>
      <c r="C156" s="622"/>
      <c r="D156" s="622"/>
      <c r="E156" s="627"/>
    </row>
    <row r="157" spans="1:5" s="618" customFormat="1" ht="21.75" customHeight="1">
      <c r="A157" s="619"/>
      <c r="B157" s="622"/>
      <c r="C157" s="622"/>
      <c r="D157" s="622"/>
      <c r="E157" s="627"/>
    </row>
    <row r="158" spans="1:5" s="618" customFormat="1" ht="21.75" customHeight="1">
      <c r="A158" s="619"/>
      <c r="B158" s="622"/>
      <c r="C158" s="622"/>
      <c r="D158" s="622"/>
      <c r="E158" s="627"/>
    </row>
    <row r="159" spans="1:5" s="618" customFormat="1" ht="21.75" customHeight="1">
      <c r="A159" s="619"/>
      <c r="B159" s="622"/>
      <c r="C159" s="622"/>
      <c r="D159" s="622"/>
      <c r="E159" s="627"/>
    </row>
    <row r="160" spans="1:5" s="618" customFormat="1" ht="21.75" customHeight="1">
      <c r="A160" s="619"/>
      <c r="B160" s="622"/>
      <c r="C160" s="622"/>
      <c r="D160" s="622"/>
      <c r="E160" s="627"/>
    </row>
    <row r="161" spans="1:5" s="618" customFormat="1" ht="21.75" customHeight="1">
      <c r="A161" s="619"/>
      <c r="B161" s="622"/>
      <c r="C161" s="622"/>
      <c r="D161" s="622"/>
      <c r="E161" s="627"/>
    </row>
    <row r="162" spans="1:5" s="618" customFormat="1" ht="21.75" customHeight="1">
      <c r="A162" s="619"/>
      <c r="B162" s="622"/>
      <c r="C162" s="622"/>
      <c r="D162" s="622"/>
      <c r="E162" s="627"/>
    </row>
    <row r="163" spans="1:5" s="618" customFormat="1" ht="21.75" customHeight="1">
      <c r="A163" s="619"/>
      <c r="B163" s="622"/>
      <c r="C163" s="622"/>
      <c r="D163" s="622"/>
      <c r="E163" s="627"/>
    </row>
    <row r="164" spans="1:5" s="618" customFormat="1" ht="21.75" customHeight="1">
      <c r="A164" s="619"/>
      <c r="B164" s="622"/>
      <c r="C164" s="622"/>
      <c r="D164" s="622"/>
      <c r="E164" s="627"/>
    </row>
    <row r="165" spans="1:5" s="618" customFormat="1" ht="21.75" customHeight="1">
      <c r="A165" s="619"/>
      <c r="B165" s="622"/>
      <c r="C165" s="622"/>
      <c r="D165" s="622"/>
      <c r="E165" s="627"/>
    </row>
    <row r="166" spans="1:5" s="618" customFormat="1" ht="21.75" customHeight="1">
      <c r="A166" s="619"/>
      <c r="B166" s="622"/>
      <c r="C166" s="622"/>
      <c r="D166" s="622"/>
      <c r="E166" s="627"/>
    </row>
    <row r="167" spans="1:5" s="618" customFormat="1" ht="21.75" customHeight="1">
      <c r="A167" s="619"/>
      <c r="B167" s="622"/>
      <c r="C167" s="622"/>
      <c r="D167" s="622"/>
      <c r="E167" s="627"/>
    </row>
    <row r="168" spans="1:5" s="618" customFormat="1" ht="21.75" customHeight="1">
      <c r="A168" s="619"/>
      <c r="B168" s="622"/>
      <c r="C168" s="622"/>
      <c r="D168" s="622"/>
      <c r="E168" s="627"/>
    </row>
    <row r="169" spans="1:5" s="618" customFormat="1" ht="21.75" customHeight="1">
      <c r="A169" s="619"/>
      <c r="B169" s="622"/>
      <c r="C169" s="622"/>
      <c r="D169" s="622"/>
      <c r="E169" s="627"/>
    </row>
    <row r="170" spans="1:5" s="618" customFormat="1" ht="21.75" customHeight="1">
      <c r="A170" s="619"/>
      <c r="B170" s="622"/>
      <c r="C170" s="622"/>
      <c r="D170" s="622"/>
      <c r="E170" s="627"/>
    </row>
    <row r="171" spans="1:5" s="618" customFormat="1" ht="21.75" customHeight="1">
      <c r="A171" s="619"/>
      <c r="B171" s="622"/>
      <c r="C171" s="622"/>
      <c r="D171" s="622"/>
      <c r="E171" s="627"/>
    </row>
    <row r="172" spans="1:5" s="618" customFormat="1" ht="21.75" customHeight="1">
      <c r="A172" s="619"/>
      <c r="B172" s="622"/>
      <c r="C172" s="622"/>
      <c r="D172" s="622"/>
      <c r="E172" s="627"/>
    </row>
    <row r="173" spans="1:5" s="618" customFormat="1" ht="21.75" customHeight="1">
      <c r="A173" s="619"/>
      <c r="B173" s="622"/>
      <c r="C173" s="622"/>
      <c r="D173" s="622"/>
      <c r="E173" s="627"/>
    </row>
    <row r="174" spans="1:5" s="618" customFormat="1" ht="21.75" customHeight="1">
      <c r="A174" s="619"/>
      <c r="B174" s="622"/>
      <c r="C174" s="622"/>
      <c r="D174" s="622"/>
      <c r="E174" s="627"/>
    </row>
    <row r="175" spans="1:5" s="618" customFormat="1" ht="21.75" customHeight="1">
      <c r="A175" s="619"/>
      <c r="B175" s="622"/>
      <c r="C175" s="622"/>
      <c r="D175" s="622"/>
      <c r="E175" s="627"/>
    </row>
    <row r="176" spans="1:5" s="618" customFormat="1" ht="21.75" customHeight="1">
      <c r="A176" s="619"/>
      <c r="B176" s="622"/>
      <c r="C176" s="622"/>
      <c r="D176" s="622"/>
      <c r="E176" s="627"/>
    </row>
    <row r="177" spans="1:5" s="618" customFormat="1" ht="21.75" customHeight="1">
      <c r="A177" s="619"/>
      <c r="B177" s="622"/>
      <c r="C177" s="622"/>
      <c r="D177" s="622"/>
      <c r="E177" s="627"/>
    </row>
    <row r="178" spans="1:5" s="618" customFormat="1" ht="21.75" customHeight="1">
      <c r="A178" s="619"/>
      <c r="B178" s="622"/>
      <c r="C178" s="622"/>
      <c r="D178" s="622"/>
      <c r="E178" s="627"/>
    </row>
    <row r="179" spans="1:5" s="618" customFormat="1" ht="21.75" customHeight="1">
      <c r="A179" s="619"/>
      <c r="B179" s="622"/>
      <c r="C179" s="622"/>
      <c r="D179" s="622"/>
      <c r="E179" s="627"/>
    </row>
    <row r="180" spans="1:5" s="618" customFormat="1" ht="21.75" customHeight="1">
      <c r="A180" s="619"/>
      <c r="B180" s="622"/>
      <c r="C180" s="622"/>
      <c r="D180" s="622"/>
      <c r="E180" s="627"/>
    </row>
    <row r="181" spans="1:5" s="618" customFormat="1" ht="21.75" customHeight="1">
      <c r="A181" s="619"/>
      <c r="B181" s="622"/>
      <c r="C181" s="622"/>
      <c r="D181" s="622"/>
      <c r="E181" s="627"/>
    </row>
    <row r="182" spans="1:5" s="618" customFormat="1" ht="21.75" customHeight="1">
      <c r="A182" s="619"/>
      <c r="B182" s="622"/>
      <c r="C182" s="622"/>
      <c r="D182" s="622"/>
      <c r="E182" s="627"/>
    </row>
    <row r="183" spans="1:5" s="618" customFormat="1" ht="21.75" customHeight="1">
      <c r="A183" s="619"/>
      <c r="B183" s="622"/>
      <c r="C183" s="622"/>
      <c r="D183" s="622"/>
      <c r="E183" s="627"/>
    </row>
    <row r="184" spans="1:5" s="618" customFormat="1" ht="21.75" customHeight="1">
      <c r="A184" s="619"/>
      <c r="B184" s="622"/>
      <c r="C184" s="622"/>
      <c r="D184" s="622"/>
      <c r="E184" s="627"/>
    </row>
    <row r="185" spans="1:5" s="618" customFormat="1" ht="21.75" customHeight="1">
      <c r="A185" s="619"/>
      <c r="B185" s="622"/>
      <c r="C185" s="622"/>
      <c r="D185" s="622"/>
      <c r="E185" s="627"/>
    </row>
    <row r="186" spans="1:5" s="618" customFormat="1" ht="21.75" customHeight="1">
      <c r="A186" s="619"/>
      <c r="B186" s="622"/>
      <c r="C186" s="622"/>
      <c r="D186" s="622"/>
      <c r="E186" s="627"/>
    </row>
    <row r="187" spans="1:5" s="618" customFormat="1" ht="21.75" customHeight="1">
      <c r="A187" s="619"/>
      <c r="B187" s="622"/>
      <c r="C187" s="622"/>
      <c r="D187" s="622"/>
      <c r="E187" s="627"/>
    </row>
    <row r="188" spans="1:5" s="618" customFormat="1" ht="21.75" customHeight="1">
      <c r="A188" s="619"/>
      <c r="B188" s="622"/>
      <c r="C188" s="622"/>
      <c r="D188" s="622"/>
      <c r="E188" s="627"/>
    </row>
    <row r="189" spans="1:5" s="618" customFormat="1" ht="21.75" customHeight="1">
      <c r="A189" s="619"/>
      <c r="B189" s="622"/>
      <c r="C189" s="622"/>
      <c r="D189" s="622"/>
      <c r="E189" s="627"/>
    </row>
    <row r="190" spans="1:5" s="618" customFormat="1" ht="21.75" customHeight="1">
      <c r="A190" s="619"/>
      <c r="B190" s="622"/>
      <c r="C190" s="622"/>
      <c r="D190" s="622"/>
      <c r="E190" s="627"/>
    </row>
    <row r="191" spans="1:5" s="618" customFormat="1" ht="21.75" customHeight="1">
      <c r="A191" s="619"/>
      <c r="B191" s="622"/>
      <c r="C191" s="622"/>
      <c r="D191" s="622"/>
      <c r="E191" s="627"/>
    </row>
    <row r="192" spans="1:5" s="618" customFormat="1" ht="21.75" customHeight="1">
      <c r="A192" s="619"/>
      <c r="B192" s="622"/>
      <c r="C192" s="622"/>
      <c r="D192" s="622"/>
      <c r="E192" s="627"/>
    </row>
    <row r="193" spans="1:5" s="618" customFormat="1" ht="21.75" customHeight="1">
      <c r="A193" s="619"/>
      <c r="B193" s="622"/>
      <c r="C193" s="622"/>
      <c r="D193" s="622"/>
      <c r="E193" s="627"/>
    </row>
    <row r="194" spans="1:5" s="618" customFormat="1" ht="21.75" customHeight="1">
      <c r="A194" s="619"/>
      <c r="B194" s="622"/>
      <c r="C194" s="622"/>
      <c r="D194" s="622"/>
      <c r="E194" s="627"/>
    </row>
    <row r="195" spans="1:5" s="618" customFormat="1" ht="21.75" customHeight="1">
      <c r="A195" s="619"/>
      <c r="B195" s="622"/>
      <c r="C195" s="622"/>
      <c r="D195" s="622"/>
      <c r="E195" s="627"/>
    </row>
    <row r="196" spans="1:5" s="618" customFormat="1" ht="21.75" customHeight="1">
      <c r="A196" s="619"/>
      <c r="B196" s="622"/>
      <c r="C196" s="622"/>
      <c r="D196" s="622"/>
      <c r="E196" s="627"/>
    </row>
    <row r="197" spans="1:5" s="618" customFormat="1" ht="21.75" customHeight="1">
      <c r="A197" s="619"/>
      <c r="B197" s="622"/>
      <c r="C197" s="622"/>
      <c r="D197" s="622"/>
      <c r="E197" s="627"/>
    </row>
    <row r="198" spans="1:5" s="618" customFormat="1" ht="21.75" customHeight="1">
      <c r="A198" s="619"/>
      <c r="B198" s="622"/>
      <c r="C198" s="622"/>
      <c r="D198" s="622"/>
      <c r="E198" s="627"/>
    </row>
    <row r="199" spans="1:5" s="618" customFormat="1" ht="21.75" customHeight="1">
      <c r="A199" s="619"/>
      <c r="B199" s="622"/>
      <c r="C199" s="622"/>
      <c r="D199" s="622"/>
      <c r="E199" s="627"/>
    </row>
    <row r="200" spans="1:5" s="618" customFormat="1" ht="21.75" customHeight="1">
      <c r="A200" s="619"/>
      <c r="B200" s="622"/>
      <c r="C200" s="622"/>
      <c r="D200" s="622"/>
      <c r="E200" s="627"/>
    </row>
    <row r="201" spans="1:5" s="618" customFormat="1" ht="21.75" customHeight="1">
      <c r="A201" s="619"/>
      <c r="B201" s="622"/>
      <c r="C201" s="622"/>
      <c r="D201" s="622"/>
      <c r="E201" s="627"/>
    </row>
    <row r="202" spans="1:5" s="618" customFormat="1" ht="21.75" customHeight="1">
      <c r="A202" s="619"/>
      <c r="B202" s="622"/>
      <c r="C202" s="622"/>
      <c r="D202" s="622"/>
      <c r="E202" s="627"/>
    </row>
    <row r="203" spans="1:5" s="618" customFormat="1" ht="21.75" customHeight="1">
      <c r="A203" s="619"/>
      <c r="B203" s="622"/>
      <c r="C203" s="622"/>
      <c r="D203" s="622"/>
      <c r="E203" s="627"/>
    </row>
    <row r="204" spans="1:5" s="618" customFormat="1" ht="21.75" customHeight="1">
      <c r="A204" s="619"/>
      <c r="B204" s="622"/>
      <c r="C204" s="622"/>
      <c r="D204" s="622"/>
      <c r="E204" s="627"/>
    </row>
    <row r="205" spans="1:5" s="618" customFormat="1" ht="21.75" customHeight="1">
      <c r="A205" s="619"/>
      <c r="B205" s="622"/>
      <c r="C205" s="622"/>
      <c r="D205" s="622"/>
      <c r="E205" s="627"/>
    </row>
    <row r="206" spans="1:5" s="618" customFormat="1" ht="21.75" customHeight="1">
      <c r="A206" s="619"/>
      <c r="B206" s="622"/>
      <c r="C206" s="622"/>
      <c r="D206" s="622"/>
      <c r="E206" s="627"/>
    </row>
    <row r="207" spans="1:5" s="618" customFormat="1" ht="21.75" customHeight="1">
      <c r="A207" s="619"/>
      <c r="B207" s="622"/>
      <c r="C207" s="622"/>
      <c r="D207" s="622"/>
      <c r="E207" s="627"/>
    </row>
    <row r="208" spans="1:5" s="618" customFormat="1" ht="21.75" customHeight="1">
      <c r="A208" s="619"/>
      <c r="B208" s="622"/>
      <c r="C208" s="622"/>
      <c r="D208" s="622"/>
      <c r="E208" s="627"/>
    </row>
    <row r="209" spans="1:5" s="618" customFormat="1" ht="21.75" customHeight="1">
      <c r="A209" s="619"/>
      <c r="B209" s="622"/>
      <c r="C209" s="622"/>
      <c r="D209" s="622"/>
      <c r="E209" s="627"/>
    </row>
    <row r="210" spans="1:5" s="618" customFormat="1" ht="21.75" customHeight="1">
      <c r="A210" s="619"/>
      <c r="B210" s="622"/>
      <c r="C210" s="622"/>
      <c r="D210" s="622"/>
      <c r="E210" s="627"/>
    </row>
    <row r="211" spans="1:5" s="618" customFormat="1" ht="21.75" customHeight="1">
      <c r="A211" s="619"/>
      <c r="B211" s="622"/>
      <c r="C211" s="622"/>
      <c r="D211" s="622"/>
      <c r="E211" s="627"/>
    </row>
    <row r="212" spans="1:5" s="618" customFormat="1" ht="21.75" customHeight="1">
      <c r="A212" s="619"/>
      <c r="B212" s="622"/>
      <c r="C212" s="622"/>
      <c r="D212" s="622"/>
      <c r="E212" s="627"/>
    </row>
    <row r="213" spans="1:5" s="618" customFormat="1" ht="21.75" customHeight="1">
      <c r="A213" s="619"/>
      <c r="B213" s="622"/>
      <c r="C213" s="622"/>
      <c r="D213" s="622"/>
      <c r="E213" s="627"/>
    </row>
    <row r="214" spans="1:5" s="618" customFormat="1" ht="21.75" customHeight="1">
      <c r="A214" s="619"/>
      <c r="B214" s="622"/>
      <c r="C214" s="622"/>
      <c r="D214" s="622"/>
      <c r="E214" s="627"/>
    </row>
    <row r="215" spans="1:5" s="618" customFormat="1" ht="21.75" customHeight="1">
      <c r="A215" s="619"/>
      <c r="B215" s="622"/>
      <c r="C215" s="622"/>
      <c r="D215" s="622"/>
      <c r="E215" s="627"/>
    </row>
    <row r="216" spans="1:5" s="618" customFormat="1" ht="21.75" customHeight="1">
      <c r="A216" s="619"/>
      <c r="B216" s="622"/>
      <c r="C216" s="622"/>
      <c r="D216" s="622"/>
      <c r="E216" s="627"/>
    </row>
    <row r="217" spans="1:5" s="618" customFormat="1" ht="21.75" customHeight="1">
      <c r="A217" s="619"/>
      <c r="B217" s="622"/>
      <c r="C217" s="622"/>
      <c r="D217" s="622"/>
      <c r="E217" s="627"/>
    </row>
    <row r="218" spans="1:5" s="618" customFormat="1" ht="21.75" customHeight="1">
      <c r="A218" s="619"/>
      <c r="B218" s="622"/>
      <c r="C218" s="622"/>
      <c r="D218" s="622"/>
      <c r="E218" s="627"/>
    </row>
    <row r="219" spans="1:5" s="618" customFormat="1" ht="21.75" customHeight="1">
      <c r="A219" s="619"/>
      <c r="B219" s="622"/>
      <c r="C219" s="622"/>
      <c r="D219" s="622"/>
      <c r="E219" s="627"/>
    </row>
    <row r="220" spans="1:5" s="618" customFormat="1" ht="21.75" customHeight="1">
      <c r="A220" s="619"/>
      <c r="B220" s="622"/>
      <c r="C220" s="622"/>
      <c r="D220" s="622"/>
      <c r="E220" s="627"/>
    </row>
    <row r="221" spans="1:5" s="618" customFormat="1" ht="21.75" customHeight="1">
      <c r="A221" s="619"/>
      <c r="B221" s="622"/>
      <c r="C221" s="622"/>
      <c r="D221" s="622"/>
      <c r="E221" s="627"/>
    </row>
    <row r="222" spans="1:5" s="618" customFormat="1" ht="21.75" customHeight="1">
      <c r="A222" s="619"/>
      <c r="B222" s="622"/>
      <c r="C222" s="622"/>
      <c r="D222" s="622"/>
      <c r="E222" s="627"/>
    </row>
    <row r="223" spans="1:5" s="618" customFormat="1" ht="21.75" customHeight="1">
      <c r="A223" s="619"/>
      <c r="B223" s="622"/>
      <c r="C223" s="622"/>
      <c r="D223" s="622"/>
      <c r="E223" s="627"/>
    </row>
    <row r="224" spans="1:5" s="618" customFormat="1" ht="21.75" customHeight="1">
      <c r="A224" s="619"/>
      <c r="B224" s="622"/>
      <c r="C224" s="622"/>
      <c r="D224" s="622"/>
      <c r="E224" s="627"/>
    </row>
    <row r="225" spans="1:5" s="618" customFormat="1" ht="21.75" customHeight="1">
      <c r="A225" s="619"/>
      <c r="B225" s="622"/>
      <c r="C225" s="622"/>
      <c r="D225" s="622"/>
      <c r="E225" s="627"/>
    </row>
    <row r="226" spans="1:5" s="618" customFormat="1" ht="21.75" customHeight="1">
      <c r="A226" s="619"/>
      <c r="B226" s="622"/>
      <c r="C226" s="622"/>
      <c r="D226" s="622"/>
      <c r="E226" s="627"/>
    </row>
    <row r="227" spans="1:5" s="618" customFormat="1" ht="21.75" customHeight="1">
      <c r="A227" s="619"/>
      <c r="B227" s="622"/>
      <c r="C227" s="622"/>
      <c r="D227" s="622"/>
      <c r="E227" s="627"/>
    </row>
    <row r="228" spans="1:5" s="618" customFormat="1" ht="21.75" customHeight="1">
      <c r="A228" s="619"/>
      <c r="B228" s="622"/>
      <c r="C228" s="622"/>
      <c r="D228" s="622"/>
      <c r="E228" s="627"/>
    </row>
    <row r="229" spans="1:5" s="618" customFormat="1" ht="21.75" customHeight="1">
      <c r="A229" s="619"/>
      <c r="B229" s="622"/>
      <c r="C229" s="622"/>
      <c r="D229" s="622"/>
      <c r="E229" s="627"/>
    </row>
    <row r="230" spans="1:5" s="618" customFormat="1" ht="21.75" customHeight="1">
      <c r="A230" s="619"/>
      <c r="B230" s="622"/>
      <c r="C230" s="622"/>
      <c r="D230" s="622"/>
      <c r="E230" s="627"/>
    </row>
    <row r="231" spans="1:5" s="618" customFormat="1" ht="21.75" customHeight="1">
      <c r="A231" s="619"/>
      <c r="B231" s="622"/>
      <c r="C231" s="622"/>
      <c r="D231" s="622"/>
      <c r="E231" s="627"/>
    </row>
    <row r="232" spans="1:5" s="618" customFormat="1" ht="21.75" customHeight="1">
      <c r="A232" s="619"/>
      <c r="B232" s="622"/>
      <c r="C232" s="622"/>
      <c r="D232" s="622"/>
      <c r="E232" s="627"/>
    </row>
    <row r="233" spans="1:5" s="618" customFormat="1" ht="21.75" customHeight="1">
      <c r="A233" s="619"/>
      <c r="B233" s="622"/>
      <c r="C233" s="622"/>
      <c r="D233" s="622"/>
      <c r="E233" s="627"/>
    </row>
    <row r="234" spans="1:5" s="618" customFormat="1" ht="21.75" customHeight="1">
      <c r="A234" s="619"/>
      <c r="B234" s="622"/>
      <c r="C234" s="622"/>
      <c r="D234" s="622"/>
      <c r="E234" s="627"/>
    </row>
    <row r="235" spans="1:5" s="618" customFormat="1" ht="21.75" customHeight="1">
      <c r="A235" s="619"/>
      <c r="B235" s="622"/>
      <c r="C235" s="622"/>
      <c r="D235" s="622"/>
      <c r="E235" s="627"/>
    </row>
    <row r="236" spans="1:5" s="618" customFormat="1" ht="21.75" customHeight="1">
      <c r="A236" s="619"/>
      <c r="B236" s="622"/>
      <c r="C236" s="622"/>
      <c r="D236" s="622"/>
      <c r="E236" s="627"/>
    </row>
    <row r="237" spans="1:5" s="618" customFormat="1" ht="21.75" customHeight="1">
      <c r="A237" s="619"/>
      <c r="B237" s="622"/>
      <c r="C237" s="622"/>
      <c r="D237" s="622"/>
      <c r="E237" s="627"/>
    </row>
    <row r="238" spans="1:5" s="618" customFormat="1" ht="21.75" customHeight="1">
      <c r="A238" s="619"/>
      <c r="B238" s="622"/>
      <c r="C238" s="622"/>
      <c r="D238" s="622"/>
      <c r="E238" s="627"/>
    </row>
    <row r="239" spans="1:5" s="618" customFormat="1" ht="21.75" customHeight="1">
      <c r="A239" s="619"/>
      <c r="B239" s="622"/>
      <c r="C239" s="622"/>
      <c r="D239" s="622"/>
      <c r="E239" s="627"/>
    </row>
    <row r="240" spans="1:5" s="618" customFormat="1" ht="21.75" customHeight="1">
      <c r="A240" s="619"/>
      <c r="B240" s="622"/>
      <c r="C240" s="622"/>
      <c r="D240" s="622"/>
      <c r="E240" s="627"/>
    </row>
    <row r="241" spans="1:5" s="618" customFormat="1" ht="21.75" customHeight="1">
      <c r="A241" s="619"/>
      <c r="B241" s="622"/>
      <c r="C241" s="622"/>
      <c r="D241" s="622"/>
      <c r="E241" s="627"/>
    </row>
    <row r="242" spans="1:5" s="618" customFormat="1" ht="21.75" customHeight="1">
      <c r="A242" s="619"/>
      <c r="B242" s="622"/>
      <c r="C242" s="622"/>
      <c r="D242" s="622"/>
      <c r="E242" s="627"/>
    </row>
    <row r="243" spans="1:5" s="618" customFormat="1" ht="21.75" customHeight="1">
      <c r="A243" s="619"/>
      <c r="B243" s="622"/>
      <c r="C243" s="622"/>
      <c r="D243" s="622"/>
      <c r="E243" s="627"/>
    </row>
    <row r="244" spans="1:5" s="618" customFormat="1" ht="21.75" customHeight="1">
      <c r="A244" s="619"/>
      <c r="B244" s="622"/>
      <c r="C244" s="622"/>
      <c r="D244" s="622"/>
      <c r="E244" s="627"/>
    </row>
    <row r="245" spans="1:5" s="618" customFormat="1" ht="21.75" customHeight="1">
      <c r="A245" s="619"/>
      <c r="B245" s="622"/>
      <c r="C245" s="622"/>
      <c r="D245" s="622"/>
      <c r="E245" s="627"/>
    </row>
    <row r="246" spans="1:5" s="618" customFormat="1" ht="21.75" customHeight="1">
      <c r="A246" s="619"/>
      <c r="B246" s="622"/>
      <c r="C246" s="622"/>
      <c r="D246" s="622"/>
      <c r="E246" s="627"/>
    </row>
    <row r="247" spans="1:5" s="618" customFormat="1" ht="21.75" customHeight="1">
      <c r="A247" s="619"/>
      <c r="B247" s="622"/>
      <c r="C247" s="622"/>
      <c r="D247" s="622"/>
      <c r="E247" s="627"/>
    </row>
    <row r="248" spans="1:5" s="618" customFormat="1" ht="21.75" customHeight="1">
      <c r="A248" s="619"/>
      <c r="B248" s="622"/>
      <c r="C248" s="622"/>
      <c r="D248" s="622"/>
      <c r="E248" s="627"/>
    </row>
    <row r="249" spans="1:5" s="618" customFormat="1" ht="21.75" customHeight="1">
      <c r="A249" s="619"/>
      <c r="B249" s="622"/>
      <c r="C249" s="622"/>
      <c r="D249" s="622"/>
      <c r="E249" s="627"/>
    </row>
    <row r="250" spans="1:5" s="618" customFormat="1" ht="21.75" customHeight="1">
      <c r="A250" s="619"/>
      <c r="B250" s="622"/>
      <c r="C250" s="622"/>
      <c r="D250" s="622"/>
      <c r="E250" s="627"/>
    </row>
    <row r="251" spans="1:5" s="618" customFormat="1" ht="21.75" customHeight="1">
      <c r="A251" s="619"/>
      <c r="B251" s="622"/>
      <c r="C251" s="622"/>
      <c r="D251" s="622"/>
      <c r="E251" s="627"/>
    </row>
    <row r="252" spans="1:5" s="618" customFormat="1" ht="21.75" customHeight="1">
      <c r="A252" s="619"/>
      <c r="B252" s="622"/>
      <c r="C252" s="622"/>
      <c r="D252" s="622"/>
      <c r="E252" s="627"/>
    </row>
    <row r="253" spans="1:5" s="618" customFormat="1" ht="21.75" customHeight="1">
      <c r="A253" s="619"/>
      <c r="B253" s="622"/>
      <c r="C253" s="622"/>
      <c r="D253" s="622"/>
      <c r="E253" s="627"/>
    </row>
    <row r="254" spans="1:5" s="618" customFormat="1" ht="21.75" customHeight="1">
      <c r="A254" s="619"/>
      <c r="B254" s="622"/>
      <c r="C254" s="622"/>
      <c r="D254" s="622"/>
      <c r="E254" s="627"/>
    </row>
    <row r="255" spans="1:5" s="618" customFormat="1" ht="21.75" customHeight="1">
      <c r="A255" s="619"/>
      <c r="B255" s="622"/>
      <c r="C255" s="622"/>
      <c r="D255" s="622"/>
      <c r="E255" s="627"/>
    </row>
    <row r="256" spans="1:5" s="618" customFormat="1" ht="21.75" customHeight="1">
      <c r="A256" s="619"/>
      <c r="B256" s="622"/>
      <c r="C256" s="622"/>
      <c r="D256" s="622"/>
      <c r="E256" s="627"/>
    </row>
    <row r="257" spans="1:5" s="618" customFormat="1" ht="21.75" customHeight="1">
      <c r="A257" s="619"/>
      <c r="B257" s="622"/>
      <c r="C257" s="622"/>
      <c r="D257" s="622"/>
      <c r="E257" s="627"/>
    </row>
    <row r="258" spans="1:5" s="618" customFormat="1" ht="21.75" customHeight="1">
      <c r="A258" s="619"/>
      <c r="B258" s="622"/>
      <c r="C258" s="622"/>
      <c r="D258" s="622"/>
      <c r="E258" s="627"/>
    </row>
    <row r="259" spans="1:5" s="618" customFormat="1" ht="21.75" customHeight="1">
      <c r="A259" s="619"/>
      <c r="B259" s="622"/>
      <c r="C259" s="622"/>
      <c r="D259" s="622"/>
      <c r="E259" s="627"/>
    </row>
    <row r="260" spans="1:5" s="618" customFormat="1" ht="21.75" customHeight="1">
      <c r="A260" s="619"/>
      <c r="B260" s="622"/>
      <c r="C260" s="622"/>
      <c r="D260" s="622"/>
      <c r="E260" s="627"/>
    </row>
    <row r="261" spans="1:5" s="618" customFormat="1" ht="21.75" customHeight="1">
      <c r="A261" s="619"/>
      <c r="B261" s="622"/>
      <c r="C261" s="622"/>
      <c r="D261" s="622"/>
      <c r="E261" s="627"/>
    </row>
    <row r="262" spans="1:5" s="618" customFormat="1" ht="21.75" customHeight="1">
      <c r="A262" s="619"/>
      <c r="B262" s="622"/>
      <c r="C262" s="622"/>
      <c r="D262" s="622"/>
      <c r="E262" s="627"/>
    </row>
    <row r="263" spans="1:5" s="618" customFormat="1" ht="21.75" customHeight="1">
      <c r="A263" s="619"/>
      <c r="B263" s="622"/>
      <c r="C263" s="622"/>
      <c r="D263" s="622"/>
      <c r="E263" s="627"/>
    </row>
    <row r="264" spans="1:5" s="618" customFormat="1" ht="21.75" customHeight="1">
      <c r="A264" s="619"/>
      <c r="B264" s="622"/>
      <c r="C264" s="622"/>
      <c r="D264" s="622"/>
      <c r="E264" s="627"/>
    </row>
    <row r="265" spans="1:5" s="618" customFormat="1" ht="21.75" customHeight="1">
      <c r="A265" s="619"/>
      <c r="B265" s="622"/>
      <c r="C265" s="622"/>
      <c r="D265" s="622"/>
      <c r="E265" s="627"/>
    </row>
    <row r="266" spans="1:5" s="618" customFormat="1" ht="21.75" customHeight="1">
      <c r="A266" s="619"/>
      <c r="B266" s="622"/>
      <c r="C266" s="622"/>
      <c r="D266" s="622"/>
      <c r="E266" s="627"/>
    </row>
    <row r="267" spans="1:5" s="618" customFormat="1" ht="21.75" customHeight="1">
      <c r="A267" s="619"/>
      <c r="B267" s="622"/>
      <c r="C267" s="622"/>
      <c r="D267" s="622"/>
      <c r="E267" s="627"/>
    </row>
    <row r="268" spans="1:5" s="618" customFormat="1" ht="21.75" customHeight="1">
      <c r="A268" s="619"/>
      <c r="B268" s="622"/>
      <c r="C268" s="622"/>
      <c r="D268" s="622"/>
      <c r="E268" s="627"/>
    </row>
    <row r="269" spans="1:5" s="618" customFormat="1" ht="21.75" customHeight="1">
      <c r="A269" s="619"/>
      <c r="B269" s="622"/>
      <c r="C269" s="622"/>
      <c r="D269" s="622"/>
      <c r="E269" s="627"/>
    </row>
    <row r="270" spans="1:5" s="618" customFormat="1" ht="21.75" customHeight="1">
      <c r="A270" s="619"/>
      <c r="B270" s="622"/>
      <c r="C270" s="622"/>
      <c r="D270" s="622"/>
      <c r="E270" s="627"/>
    </row>
    <row r="271" spans="1:5" s="618" customFormat="1" ht="21.75" customHeight="1">
      <c r="A271" s="619"/>
      <c r="B271" s="622"/>
      <c r="C271" s="622"/>
      <c r="D271" s="622"/>
      <c r="E271" s="627"/>
    </row>
    <row r="272" spans="1:5" s="618" customFormat="1" ht="21.75" customHeight="1">
      <c r="A272" s="619"/>
      <c r="B272" s="622"/>
      <c r="C272" s="622"/>
      <c r="D272" s="622"/>
      <c r="E272" s="627"/>
    </row>
    <row r="273" spans="1:5" s="618" customFormat="1" ht="21.75" customHeight="1">
      <c r="A273" s="619"/>
      <c r="B273" s="622"/>
      <c r="C273" s="622"/>
      <c r="D273" s="622"/>
      <c r="E273" s="627"/>
    </row>
    <row r="274" spans="1:5" s="618" customFormat="1" ht="21.75" customHeight="1">
      <c r="A274" s="619"/>
      <c r="B274" s="622"/>
      <c r="C274" s="622"/>
      <c r="D274" s="622"/>
      <c r="E274" s="627"/>
    </row>
    <row r="275" spans="1:5" s="618" customFormat="1" ht="21.75" customHeight="1">
      <c r="A275" s="619"/>
      <c r="B275" s="622"/>
      <c r="C275" s="622"/>
      <c r="D275" s="622"/>
      <c r="E275" s="627"/>
    </row>
    <row r="276" spans="1:5" s="618" customFormat="1" ht="21.75" customHeight="1">
      <c r="A276" s="619"/>
      <c r="B276" s="622"/>
      <c r="C276" s="622"/>
      <c r="D276" s="622"/>
      <c r="E276" s="627"/>
    </row>
    <row r="277" spans="1:5" s="618" customFormat="1" ht="21.75" customHeight="1">
      <c r="A277" s="619"/>
      <c r="B277" s="622"/>
      <c r="C277" s="622"/>
      <c r="D277" s="622"/>
      <c r="E277" s="627"/>
    </row>
    <row r="278" spans="1:5" s="618" customFormat="1" ht="21.75" customHeight="1">
      <c r="A278" s="619"/>
      <c r="B278" s="622"/>
      <c r="C278" s="622"/>
      <c r="D278" s="622"/>
      <c r="E278" s="627"/>
    </row>
    <row r="279" spans="1:5" s="618" customFormat="1" ht="21.75" customHeight="1">
      <c r="A279" s="619"/>
      <c r="B279" s="622"/>
      <c r="C279" s="622"/>
      <c r="D279" s="622"/>
      <c r="E279" s="627"/>
    </row>
    <row r="280" spans="1:5" s="618" customFormat="1" ht="21.75" customHeight="1">
      <c r="A280" s="619"/>
      <c r="B280" s="622"/>
      <c r="C280" s="622"/>
      <c r="D280" s="622"/>
      <c r="E280" s="627"/>
    </row>
    <row r="281" spans="1:5" s="618" customFormat="1" ht="21.75" customHeight="1">
      <c r="A281" s="619"/>
      <c r="B281" s="622"/>
      <c r="C281" s="622"/>
      <c r="D281" s="622"/>
      <c r="E281" s="627"/>
    </row>
    <row r="282" spans="1:5" s="618" customFormat="1" ht="21.75" customHeight="1">
      <c r="A282" s="619"/>
      <c r="B282" s="622"/>
      <c r="C282" s="622"/>
      <c r="D282" s="622"/>
      <c r="E282" s="627"/>
    </row>
    <row r="283" spans="1:5" s="618" customFormat="1" ht="21.75" customHeight="1">
      <c r="A283" s="619"/>
      <c r="B283" s="622"/>
      <c r="C283" s="622"/>
      <c r="D283" s="622"/>
      <c r="E283" s="627"/>
    </row>
    <row r="284" spans="1:5" s="618" customFormat="1" ht="21.75" customHeight="1">
      <c r="A284" s="619"/>
      <c r="B284" s="622"/>
      <c r="C284" s="622"/>
      <c r="D284" s="622"/>
      <c r="E284" s="627"/>
    </row>
    <row r="285" spans="1:5" s="618" customFormat="1" ht="21.75" customHeight="1">
      <c r="A285" s="619"/>
      <c r="B285" s="622"/>
      <c r="C285" s="622"/>
      <c r="D285" s="622"/>
      <c r="E285" s="627"/>
    </row>
    <row r="286" spans="1:5" s="618" customFormat="1" ht="21.75" customHeight="1">
      <c r="A286" s="619"/>
      <c r="B286" s="622"/>
      <c r="C286" s="622"/>
      <c r="D286" s="622"/>
      <c r="E286" s="627"/>
    </row>
    <row r="287" spans="1:5" s="618" customFormat="1" ht="21.75" customHeight="1">
      <c r="A287" s="619"/>
      <c r="B287" s="622"/>
      <c r="C287" s="622"/>
      <c r="D287" s="622"/>
      <c r="E287" s="627"/>
    </row>
    <row r="288" spans="1:5" s="618" customFormat="1" ht="21.75" customHeight="1">
      <c r="A288" s="619"/>
      <c r="B288" s="622"/>
      <c r="C288" s="622"/>
      <c r="D288" s="622"/>
      <c r="E288" s="627"/>
    </row>
    <row r="289" spans="1:5" s="618" customFormat="1" ht="21.75" customHeight="1">
      <c r="A289" s="619"/>
      <c r="B289" s="622"/>
      <c r="C289" s="622"/>
      <c r="D289" s="622"/>
      <c r="E289" s="627"/>
    </row>
    <row r="290" spans="1:5" s="618" customFormat="1" ht="21.75" customHeight="1">
      <c r="A290" s="619"/>
      <c r="B290" s="622"/>
      <c r="C290" s="622"/>
      <c r="D290" s="622"/>
      <c r="E290" s="627"/>
    </row>
    <row r="291" spans="1:5" s="618" customFormat="1" ht="21.75" customHeight="1">
      <c r="A291" s="619"/>
      <c r="B291" s="622"/>
      <c r="C291" s="622"/>
      <c r="D291" s="622"/>
      <c r="E291" s="627"/>
    </row>
    <row r="292" spans="1:5" s="618" customFormat="1" ht="21.75" customHeight="1">
      <c r="A292" s="619"/>
      <c r="B292" s="622"/>
      <c r="C292" s="622"/>
      <c r="D292" s="622"/>
      <c r="E292" s="627"/>
    </row>
    <row r="293" spans="1:5" s="618" customFormat="1" ht="21.75" customHeight="1">
      <c r="A293" s="619"/>
      <c r="B293" s="622"/>
      <c r="C293" s="622"/>
      <c r="D293" s="622"/>
      <c r="E293" s="627"/>
    </row>
    <row r="294" spans="1:5" s="618" customFormat="1" ht="21.75" customHeight="1">
      <c r="A294" s="619"/>
      <c r="B294" s="622"/>
      <c r="C294" s="622"/>
      <c r="D294" s="622"/>
      <c r="E294" s="627"/>
    </row>
    <row r="295" spans="1:5" s="618" customFormat="1" ht="21.75" customHeight="1">
      <c r="A295" s="619"/>
      <c r="B295" s="622"/>
      <c r="C295" s="622"/>
      <c r="D295" s="622"/>
      <c r="E295" s="627"/>
    </row>
    <row r="296" spans="1:5" s="618" customFormat="1" ht="21.75" customHeight="1">
      <c r="A296" s="619"/>
      <c r="B296" s="622"/>
      <c r="C296" s="622"/>
      <c r="D296" s="622"/>
      <c r="E296" s="627"/>
    </row>
    <row r="297" spans="1:5" s="618" customFormat="1" ht="21.75" customHeight="1">
      <c r="A297" s="619"/>
      <c r="B297" s="622"/>
      <c r="C297" s="622"/>
      <c r="D297" s="622"/>
      <c r="E297" s="627"/>
    </row>
    <row r="298" spans="1:5" s="618" customFormat="1" ht="21.75" customHeight="1">
      <c r="A298" s="619"/>
      <c r="B298" s="622"/>
      <c r="C298" s="622"/>
      <c r="D298" s="622"/>
      <c r="E298" s="627"/>
    </row>
    <row r="299" spans="1:5" s="618" customFormat="1" ht="21.75" customHeight="1">
      <c r="A299" s="619"/>
      <c r="B299" s="622"/>
      <c r="C299" s="622"/>
      <c r="D299" s="622"/>
      <c r="E299" s="627"/>
    </row>
    <row r="300" spans="1:5" s="618" customFormat="1" ht="21.75" customHeight="1">
      <c r="A300" s="619"/>
      <c r="B300" s="622"/>
      <c r="C300" s="622"/>
      <c r="D300" s="622"/>
      <c r="E300" s="627"/>
    </row>
    <row r="301" spans="1:5" s="618" customFormat="1" ht="21.75" customHeight="1">
      <c r="A301" s="619"/>
      <c r="B301" s="622"/>
      <c r="C301" s="622"/>
      <c r="D301" s="622"/>
      <c r="E301" s="627"/>
    </row>
    <row r="302" spans="1:5" s="618" customFormat="1" ht="21.75" customHeight="1">
      <c r="A302" s="619"/>
      <c r="B302" s="622"/>
      <c r="C302" s="622"/>
      <c r="D302" s="622"/>
      <c r="E302" s="627"/>
    </row>
    <row r="303" spans="1:5" s="618" customFormat="1" ht="21.75" customHeight="1">
      <c r="A303" s="619"/>
      <c r="B303" s="622"/>
      <c r="C303" s="622"/>
      <c r="D303" s="622"/>
      <c r="E303" s="627"/>
    </row>
    <row r="304" spans="1:5" s="618" customFormat="1" ht="21.75" customHeight="1">
      <c r="A304" s="619"/>
      <c r="B304" s="622"/>
      <c r="C304" s="622"/>
      <c r="D304" s="622"/>
      <c r="E304" s="627"/>
    </row>
    <row r="305" spans="1:5" s="618" customFormat="1" ht="21.75" customHeight="1">
      <c r="A305" s="619"/>
      <c r="B305" s="622"/>
      <c r="C305" s="622"/>
      <c r="D305" s="622"/>
      <c r="E305" s="627"/>
    </row>
    <row r="306" spans="1:5" s="618" customFormat="1" ht="21.75" customHeight="1">
      <c r="A306" s="619"/>
      <c r="B306" s="622"/>
      <c r="C306" s="622"/>
      <c r="D306" s="622"/>
      <c r="E306" s="627"/>
    </row>
    <row r="307" spans="1:5" s="618" customFormat="1" ht="21.75" customHeight="1">
      <c r="A307" s="619"/>
      <c r="B307" s="622"/>
      <c r="C307" s="622"/>
      <c r="D307" s="622"/>
      <c r="E307" s="627"/>
    </row>
    <row r="308" spans="1:5" s="618" customFormat="1" ht="21.75" customHeight="1">
      <c r="A308" s="619"/>
      <c r="B308" s="622"/>
      <c r="C308" s="622"/>
      <c r="D308" s="622"/>
      <c r="E308" s="627"/>
    </row>
    <row r="309" spans="1:5" s="618" customFormat="1" ht="21.75" customHeight="1">
      <c r="A309" s="619"/>
      <c r="B309" s="622"/>
      <c r="C309" s="622"/>
      <c r="D309" s="622"/>
      <c r="E309" s="627"/>
    </row>
    <row r="310" spans="1:5" s="618" customFormat="1" ht="21.75" customHeight="1">
      <c r="A310" s="619"/>
      <c r="B310" s="622"/>
      <c r="C310" s="622"/>
      <c r="D310" s="622"/>
      <c r="E310" s="627"/>
    </row>
    <row r="311" spans="1:5" s="618" customFormat="1" ht="21.75" customHeight="1">
      <c r="A311" s="619"/>
      <c r="B311" s="622"/>
      <c r="C311" s="622"/>
      <c r="D311" s="622"/>
      <c r="E311" s="627"/>
    </row>
    <row r="312" spans="1:5" s="618" customFormat="1" ht="21.75" customHeight="1">
      <c r="A312" s="619"/>
      <c r="B312" s="622"/>
      <c r="C312" s="622"/>
      <c r="D312" s="622"/>
      <c r="E312" s="627"/>
    </row>
    <row r="313" spans="1:5" s="618" customFormat="1" ht="21.75" customHeight="1">
      <c r="A313" s="619"/>
      <c r="B313" s="622"/>
      <c r="C313" s="622"/>
      <c r="D313" s="622"/>
      <c r="E313" s="627"/>
    </row>
    <row r="314" spans="1:5" s="618" customFormat="1" ht="21.75" customHeight="1">
      <c r="A314" s="619"/>
      <c r="B314" s="622"/>
      <c r="C314" s="622"/>
      <c r="D314" s="622"/>
      <c r="E314" s="627"/>
    </row>
    <row r="315" spans="1:5" s="618" customFormat="1" ht="21.75" customHeight="1">
      <c r="A315" s="619"/>
      <c r="B315" s="622"/>
      <c r="C315" s="622"/>
      <c r="D315" s="622"/>
      <c r="E315" s="627"/>
    </row>
    <row r="316" spans="1:5" s="618" customFormat="1" ht="21.75" customHeight="1">
      <c r="A316" s="619"/>
      <c r="B316" s="622"/>
      <c r="C316" s="622"/>
      <c r="D316" s="622"/>
      <c r="E316" s="627"/>
    </row>
    <row r="317" spans="1:5" s="618" customFormat="1" ht="21.75" customHeight="1">
      <c r="A317" s="619"/>
      <c r="B317" s="622"/>
      <c r="C317" s="622"/>
      <c r="D317" s="622"/>
      <c r="E317" s="627"/>
    </row>
    <row r="318" spans="1:5" s="618" customFormat="1" ht="21.75" customHeight="1">
      <c r="A318" s="619"/>
      <c r="B318" s="622"/>
      <c r="C318" s="622"/>
      <c r="D318" s="622"/>
      <c r="E318" s="627"/>
    </row>
    <row r="319" spans="1:5" s="618" customFormat="1" ht="21.75" customHeight="1">
      <c r="A319" s="619"/>
      <c r="B319" s="622"/>
      <c r="C319" s="622"/>
      <c r="D319" s="622"/>
      <c r="E319" s="627"/>
    </row>
    <row r="320" spans="1:5" s="618" customFormat="1" ht="21.75" customHeight="1">
      <c r="A320" s="619"/>
      <c r="B320" s="622"/>
      <c r="C320" s="622"/>
      <c r="D320" s="622"/>
      <c r="E320" s="627"/>
    </row>
    <row r="321" spans="1:5" s="618" customFormat="1" ht="21.75" customHeight="1">
      <c r="A321" s="619"/>
      <c r="B321" s="622"/>
      <c r="C321" s="622"/>
      <c r="D321" s="622"/>
      <c r="E321" s="627"/>
    </row>
    <row r="322" spans="1:5" s="618" customFormat="1" ht="21.75" customHeight="1">
      <c r="A322" s="619"/>
      <c r="B322" s="622"/>
      <c r="C322" s="622"/>
      <c r="D322" s="622"/>
      <c r="E322" s="627"/>
    </row>
    <row r="323" spans="1:5" s="618" customFormat="1" ht="21.75" customHeight="1">
      <c r="A323" s="619"/>
      <c r="B323" s="622"/>
      <c r="C323" s="622"/>
      <c r="D323" s="622"/>
      <c r="E323" s="627"/>
    </row>
    <row r="324" spans="1:5" s="618" customFormat="1" ht="21.75" customHeight="1">
      <c r="A324" s="619"/>
      <c r="B324" s="622"/>
      <c r="C324" s="622"/>
      <c r="D324" s="622"/>
      <c r="E324" s="627"/>
    </row>
    <row r="325" spans="1:5" s="618" customFormat="1" ht="21.75" customHeight="1">
      <c r="A325" s="619"/>
      <c r="B325" s="622"/>
      <c r="C325" s="622"/>
      <c r="D325" s="622"/>
      <c r="E325" s="627"/>
    </row>
    <row r="326" spans="1:5" s="618" customFormat="1" ht="21.75" customHeight="1">
      <c r="A326" s="619"/>
      <c r="B326" s="622"/>
      <c r="C326" s="622"/>
      <c r="D326" s="622"/>
      <c r="E326" s="627"/>
    </row>
    <row r="327" spans="1:5" s="618" customFormat="1" ht="21.75" customHeight="1">
      <c r="A327" s="619"/>
      <c r="B327" s="622"/>
      <c r="C327" s="622"/>
      <c r="D327" s="622"/>
      <c r="E327" s="627"/>
    </row>
    <row r="328" spans="1:5" s="618" customFormat="1" ht="21.75" customHeight="1">
      <c r="A328" s="619"/>
      <c r="B328" s="622"/>
      <c r="C328" s="622"/>
      <c r="D328" s="622"/>
      <c r="E328" s="627"/>
    </row>
    <row r="329" spans="1:5" s="618" customFormat="1" ht="21.75" customHeight="1">
      <c r="A329" s="619"/>
      <c r="B329" s="622"/>
      <c r="C329" s="622"/>
      <c r="D329" s="622"/>
      <c r="E329" s="627"/>
    </row>
    <row r="330" spans="1:5" s="618" customFormat="1" ht="21.75" customHeight="1">
      <c r="A330" s="619"/>
      <c r="B330" s="622"/>
      <c r="C330" s="622"/>
      <c r="D330" s="622"/>
      <c r="E330" s="627"/>
    </row>
    <row r="331" spans="1:5" s="618" customFormat="1" ht="21.75" customHeight="1">
      <c r="A331" s="619"/>
      <c r="B331" s="622"/>
      <c r="C331" s="622"/>
      <c r="D331" s="622"/>
      <c r="E331" s="627"/>
    </row>
    <row r="332" spans="1:5" s="618" customFormat="1" ht="21.75" customHeight="1">
      <c r="A332" s="619"/>
      <c r="B332" s="622"/>
      <c r="C332" s="622"/>
      <c r="D332" s="622"/>
      <c r="E332" s="627"/>
    </row>
    <row r="333" spans="1:5" s="618" customFormat="1" ht="21.75" customHeight="1">
      <c r="A333" s="619"/>
      <c r="B333" s="622"/>
      <c r="C333" s="622"/>
      <c r="D333" s="622"/>
      <c r="E333" s="627"/>
    </row>
    <row r="334" spans="1:5" s="618" customFormat="1" ht="21.75" customHeight="1">
      <c r="A334" s="619"/>
      <c r="B334" s="622"/>
      <c r="C334" s="622"/>
      <c r="D334" s="622"/>
      <c r="E334" s="627"/>
    </row>
    <row r="335" spans="1:5" s="618" customFormat="1" ht="21.75" customHeight="1">
      <c r="A335" s="619"/>
      <c r="B335" s="622"/>
      <c r="C335" s="622"/>
      <c r="D335" s="622"/>
      <c r="E335" s="627"/>
    </row>
    <row r="336" spans="1:5" s="618" customFormat="1" ht="21.75" customHeight="1">
      <c r="A336" s="619"/>
      <c r="B336" s="622"/>
      <c r="C336" s="622"/>
      <c r="D336" s="622"/>
      <c r="E336" s="627"/>
    </row>
    <row r="337" spans="1:5" s="618" customFormat="1" ht="21.75" customHeight="1">
      <c r="A337" s="619"/>
      <c r="B337" s="622"/>
      <c r="C337" s="622"/>
      <c r="D337" s="622"/>
      <c r="E337" s="627"/>
    </row>
    <row r="338" spans="1:5" s="618" customFormat="1" ht="21.75" customHeight="1">
      <c r="A338" s="619"/>
      <c r="B338" s="622"/>
      <c r="C338" s="622"/>
      <c r="D338" s="622"/>
      <c r="E338" s="627"/>
    </row>
    <row r="339" spans="1:5" s="618" customFormat="1" ht="21.75" customHeight="1">
      <c r="A339" s="619"/>
      <c r="B339" s="622"/>
      <c r="C339" s="622"/>
      <c r="D339" s="622"/>
      <c r="E339" s="627"/>
    </row>
    <row r="340" spans="1:5" s="618" customFormat="1" ht="21.75" customHeight="1">
      <c r="A340" s="619"/>
      <c r="B340" s="622"/>
      <c r="C340" s="622"/>
      <c r="D340" s="622"/>
      <c r="E340" s="627"/>
    </row>
    <row r="341" spans="1:5" s="618" customFormat="1" ht="21.75" customHeight="1">
      <c r="A341" s="619"/>
      <c r="B341" s="622"/>
      <c r="C341" s="622"/>
      <c r="D341" s="622"/>
      <c r="E341" s="627"/>
    </row>
    <row r="342" spans="1:5" s="618" customFormat="1" ht="21.75" customHeight="1">
      <c r="A342" s="619"/>
      <c r="B342" s="622"/>
      <c r="C342" s="622"/>
      <c r="D342" s="622"/>
      <c r="E342" s="627"/>
    </row>
    <row r="343" spans="1:5" s="618" customFormat="1" ht="21.75" customHeight="1">
      <c r="A343" s="619"/>
      <c r="B343" s="622"/>
      <c r="C343" s="622"/>
      <c r="D343" s="622"/>
      <c r="E343" s="627"/>
    </row>
    <row r="344" spans="1:5" s="618" customFormat="1" ht="21.75" customHeight="1">
      <c r="A344" s="619"/>
      <c r="B344" s="622"/>
      <c r="C344" s="622"/>
      <c r="D344" s="622"/>
      <c r="E344" s="627"/>
    </row>
    <row r="345" spans="1:5" s="618" customFormat="1" ht="21.75" customHeight="1">
      <c r="A345" s="619"/>
      <c r="B345" s="622"/>
      <c r="C345" s="622"/>
      <c r="D345" s="622"/>
      <c r="E345" s="627"/>
    </row>
    <row r="346" spans="1:5" s="618" customFormat="1" ht="21.75" customHeight="1">
      <c r="A346" s="619"/>
      <c r="B346" s="622"/>
      <c r="C346" s="622"/>
      <c r="D346" s="622"/>
      <c r="E346" s="627"/>
    </row>
    <row r="347" spans="1:5" s="618" customFormat="1" ht="21.75" customHeight="1">
      <c r="A347" s="619"/>
      <c r="B347" s="622"/>
      <c r="C347" s="622"/>
      <c r="D347" s="622"/>
      <c r="E347" s="627"/>
    </row>
    <row r="348" spans="1:5" s="618" customFormat="1" ht="21.75" customHeight="1">
      <c r="A348" s="619"/>
      <c r="B348" s="622"/>
      <c r="C348" s="622"/>
      <c r="D348" s="622"/>
      <c r="E348" s="627"/>
    </row>
    <row r="349" spans="1:5" s="618" customFormat="1" ht="21.75" customHeight="1">
      <c r="A349" s="619"/>
      <c r="B349" s="622"/>
      <c r="C349" s="622"/>
      <c r="D349" s="622"/>
      <c r="E349" s="627"/>
    </row>
    <row r="350" spans="1:5" s="618" customFormat="1" ht="21.75" customHeight="1">
      <c r="A350" s="619"/>
      <c r="B350" s="622"/>
      <c r="C350" s="622"/>
      <c r="D350" s="622"/>
      <c r="E350" s="627"/>
    </row>
    <row r="351" spans="1:5" s="618" customFormat="1" ht="21.75" customHeight="1">
      <c r="A351" s="619"/>
      <c r="B351" s="622"/>
      <c r="C351" s="622"/>
      <c r="D351" s="622"/>
      <c r="E351" s="627"/>
    </row>
    <row r="352" spans="1:5" s="618" customFormat="1" ht="21.75" customHeight="1">
      <c r="A352" s="619"/>
      <c r="B352" s="622"/>
      <c r="C352" s="622"/>
      <c r="D352" s="622"/>
      <c r="E352" s="627"/>
    </row>
    <row r="353" spans="1:5" s="618" customFormat="1" ht="21.75" customHeight="1">
      <c r="A353" s="619"/>
      <c r="B353" s="622"/>
      <c r="C353" s="622"/>
      <c r="D353" s="622"/>
      <c r="E353" s="627"/>
    </row>
    <row r="354" spans="1:5" s="618" customFormat="1" ht="21.75" customHeight="1">
      <c r="A354" s="619"/>
      <c r="B354" s="622"/>
      <c r="C354" s="622"/>
      <c r="D354" s="622"/>
      <c r="E354" s="627"/>
    </row>
    <row r="355" spans="1:5" s="618" customFormat="1" ht="21.75" customHeight="1">
      <c r="A355" s="619"/>
      <c r="B355" s="622"/>
      <c r="C355" s="622"/>
      <c r="D355" s="622"/>
      <c r="E355" s="627"/>
    </row>
    <row r="356" spans="1:5" s="618" customFormat="1" ht="21.75" customHeight="1">
      <c r="A356" s="619"/>
      <c r="B356" s="622"/>
      <c r="C356" s="622"/>
      <c r="D356" s="622"/>
      <c r="E356" s="627"/>
    </row>
    <row r="357" spans="1:5" s="618" customFormat="1" ht="21.75" customHeight="1">
      <c r="A357" s="619"/>
      <c r="B357" s="622"/>
      <c r="C357" s="622"/>
      <c r="D357" s="622"/>
      <c r="E357" s="627"/>
    </row>
    <row r="358" spans="1:5" s="618" customFormat="1" ht="21.75" customHeight="1">
      <c r="A358" s="619"/>
      <c r="B358" s="622"/>
      <c r="C358" s="622"/>
      <c r="D358" s="622"/>
      <c r="E358" s="627"/>
    </row>
    <row r="359" spans="1:5" s="618" customFormat="1" ht="21.75" customHeight="1">
      <c r="A359" s="619"/>
      <c r="B359" s="622"/>
      <c r="C359" s="622"/>
      <c r="D359" s="622"/>
      <c r="E359" s="627"/>
    </row>
    <row r="360" spans="1:5" s="618" customFormat="1" ht="21.75" customHeight="1">
      <c r="A360" s="619"/>
      <c r="B360" s="622"/>
      <c r="C360" s="622"/>
      <c r="D360" s="622"/>
      <c r="E360" s="627"/>
    </row>
    <row r="361" spans="1:5" s="618" customFormat="1" ht="21.75" customHeight="1">
      <c r="A361" s="619"/>
      <c r="B361" s="622"/>
      <c r="C361" s="622"/>
      <c r="D361" s="622"/>
      <c r="E361" s="627"/>
    </row>
    <row r="362" spans="1:5" s="618" customFormat="1" ht="21.75" customHeight="1">
      <c r="A362" s="619"/>
      <c r="B362" s="622"/>
      <c r="C362" s="622"/>
      <c r="D362" s="622"/>
      <c r="E362" s="627"/>
    </row>
    <row r="363" spans="1:5" s="618" customFormat="1" ht="21.75" customHeight="1">
      <c r="A363" s="619"/>
      <c r="B363" s="622"/>
      <c r="C363" s="622"/>
      <c r="D363" s="622"/>
      <c r="E363" s="627"/>
    </row>
    <row r="364" spans="1:5" s="618" customFormat="1" ht="21.75" customHeight="1">
      <c r="A364" s="619"/>
      <c r="B364" s="622"/>
      <c r="C364" s="622"/>
      <c r="D364" s="622"/>
      <c r="E364" s="627"/>
    </row>
    <row r="365" spans="1:5" s="618" customFormat="1" ht="21.75" customHeight="1">
      <c r="A365" s="619"/>
      <c r="B365" s="622"/>
      <c r="C365" s="622"/>
      <c r="D365" s="622"/>
      <c r="E365" s="627"/>
    </row>
    <row r="366" spans="1:5" s="618" customFormat="1" ht="21.75" customHeight="1">
      <c r="A366" s="619"/>
      <c r="B366" s="622"/>
      <c r="C366" s="622"/>
      <c r="D366" s="622"/>
      <c r="E366" s="627"/>
    </row>
    <row r="367" spans="1:5" s="618" customFormat="1" ht="21.75" customHeight="1">
      <c r="A367" s="619"/>
      <c r="B367" s="622"/>
      <c r="C367" s="622"/>
      <c r="D367" s="622"/>
      <c r="E367" s="627"/>
    </row>
    <row r="368" spans="1:5" s="618" customFormat="1" ht="21.75" customHeight="1">
      <c r="A368" s="619"/>
      <c r="B368" s="622"/>
      <c r="C368" s="622"/>
      <c r="D368" s="622"/>
      <c r="E368" s="627"/>
    </row>
    <row r="369" spans="1:5" s="618" customFormat="1" ht="21.75" customHeight="1">
      <c r="A369" s="619"/>
      <c r="B369" s="622"/>
      <c r="C369" s="622"/>
      <c r="D369" s="622"/>
      <c r="E369" s="627"/>
    </row>
    <row r="370" spans="1:5" s="618" customFormat="1" ht="21.75" customHeight="1">
      <c r="A370" s="619"/>
      <c r="B370" s="622"/>
      <c r="C370" s="622"/>
      <c r="D370" s="622"/>
      <c r="E370" s="627"/>
    </row>
    <row r="371" spans="1:5" s="618" customFormat="1" ht="21.75" customHeight="1">
      <c r="A371" s="619"/>
      <c r="B371" s="622"/>
      <c r="C371" s="622"/>
      <c r="D371" s="622"/>
      <c r="E371" s="627"/>
    </row>
    <row r="372" spans="1:5" s="618" customFormat="1" ht="21.75" customHeight="1">
      <c r="A372" s="619"/>
      <c r="B372" s="622"/>
      <c r="C372" s="622"/>
      <c r="D372" s="622"/>
      <c r="E372" s="627"/>
    </row>
    <row r="373" spans="1:5" s="618" customFormat="1" ht="21.75" customHeight="1">
      <c r="A373" s="619"/>
      <c r="B373" s="622"/>
      <c r="C373" s="622"/>
      <c r="D373" s="622"/>
      <c r="E373" s="627"/>
    </row>
    <row r="374" spans="1:5" s="618" customFormat="1" ht="21.75" customHeight="1">
      <c r="A374" s="619"/>
      <c r="B374" s="622"/>
      <c r="C374" s="622"/>
      <c r="D374" s="622"/>
      <c r="E374" s="627"/>
    </row>
    <row r="375" spans="1:5" s="618" customFormat="1" ht="21.75" customHeight="1">
      <c r="A375" s="619"/>
      <c r="B375" s="622"/>
      <c r="C375" s="622"/>
      <c r="D375" s="622"/>
      <c r="E375" s="627"/>
    </row>
    <row r="376" spans="1:5" s="618" customFormat="1" ht="21.75" customHeight="1">
      <c r="A376" s="619"/>
      <c r="B376" s="622"/>
      <c r="C376" s="622"/>
      <c r="D376" s="622"/>
      <c r="E376" s="627"/>
    </row>
    <row r="377" spans="1:5" s="618" customFormat="1" ht="21.75" customHeight="1">
      <c r="A377" s="619"/>
      <c r="B377" s="622"/>
      <c r="C377" s="622"/>
      <c r="D377" s="622"/>
      <c r="E377" s="627"/>
    </row>
    <row r="378" spans="1:5" s="618" customFormat="1" ht="21.75" customHeight="1">
      <c r="A378" s="619"/>
      <c r="B378" s="622"/>
      <c r="C378" s="622"/>
      <c r="D378" s="622"/>
      <c r="E378" s="627"/>
    </row>
    <row r="379" spans="1:5" s="618" customFormat="1" ht="21.75" customHeight="1">
      <c r="A379" s="619"/>
      <c r="B379" s="622"/>
      <c r="C379" s="622"/>
      <c r="D379" s="622"/>
      <c r="E379" s="627"/>
    </row>
    <row r="380" spans="1:5" s="618" customFormat="1" ht="21.75" customHeight="1">
      <c r="A380" s="619"/>
      <c r="B380" s="622"/>
      <c r="C380" s="622"/>
      <c r="D380" s="622"/>
      <c r="E380" s="627"/>
    </row>
    <row r="381" spans="1:5" s="618" customFormat="1" ht="21.75" customHeight="1">
      <c r="A381" s="619"/>
      <c r="B381" s="622"/>
      <c r="C381" s="622"/>
      <c r="D381" s="622"/>
      <c r="E381" s="627"/>
    </row>
    <row r="382" spans="1:5" s="618" customFormat="1" ht="21.75" customHeight="1">
      <c r="A382" s="619"/>
      <c r="B382" s="622"/>
      <c r="C382" s="622"/>
      <c r="D382" s="622"/>
      <c r="E382" s="627"/>
    </row>
    <row r="383" spans="1:5" s="618" customFormat="1" ht="21.75" customHeight="1">
      <c r="A383" s="619"/>
      <c r="B383" s="622"/>
      <c r="C383" s="622"/>
      <c r="D383" s="622"/>
      <c r="E383" s="627"/>
    </row>
    <row r="384" spans="1:5" s="618" customFormat="1" ht="21.75" customHeight="1">
      <c r="A384" s="619"/>
      <c r="B384" s="622"/>
      <c r="C384" s="622"/>
      <c r="D384" s="622"/>
      <c r="E384" s="627"/>
    </row>
    <row r="385" spans="1:5" s="618" customFormat="1" ht="21.75" customHeight="1">
      <c r="A385" s="619"/>
      <c r="B385" s="622"/>
      <c r="C385" s="622"/>
      <c r="D385" s="622"/>
      <c r="E385" s="627"/>
    </row>
    <row r="386" spans="1:5" s="618" customFormat="1" ht="21.75" customHeight="1">
      <c r="A386" s="619"/>
      <c r="B386" s="622"/>
      <c r="C386" s="622"/>
      <c r="D386" s="622"/>
      <c r="E386" s="627"/>
    </row>
    <row r="387" spans="1:5" s="618" customFormat="1" ht="21.75" customHeight="1">
      <c r="A387" s="619"/>
      <c r="B387" s="622"/>
      <c r="C387" s="622"/>
      <c r="D387" s="622"/>
      <c r="E387" s="627"/>
    </row>
    <row r="388" spans="1:5" s="618" customFormat="1" ht="21.75" customHeight="1">
      <c r="A388" s="619"/>
      <c r="B388" s="622"/>
      <c r="C388" s="622"/>
      <c r="D388" s="622"/>
      <c r="E388" s="627"/>
    </row>
    <row r="389" spans="1:5" s="618" customFormat="1" ht="21.75" customHeight="1">
      <c r="A389" s="619"/>
      <c r="B389" s="622"/>
      <c r="C389" s="622"/>
      <c r="D389" s="622"/>
      <c r="E389" s="627"/>
    </row>
    <row r="390" spans="1:5" s="618" customFormat="1" ht="21.75" customHeight="1">
      <c r="A390" s="619"/>
      <c r="B390" s="622"/>
      <c r="C390" s="622"/>
      <c r="D390" s="622"/>
      <c r="E390" s="627"/>
    </row>
    <row r="391" spans="1:5" s="618" customFormat="1" ht="21.75" customHeight="1">
      <c r="A391" s="619"/>
      <c r="B391" s="622"/>
      <c r="C391" s="622"/>
      <c r="D391" s="622"/>
      <c r="E391" s="627"/>
    </row>
    <row r="392" spans="1:5" s="618" customFormat="1" ht="21.75" customHeight="1">
      <c r="A392" s="619"/>
      <c r="B392" s="622"/>
      <c r="C392" s="622"/>
      <c r="D392" s="622"/>
      <c r="E392" s="627"/>
    </row>
    <row r="393" spans="1:5" s="618" customFormat="1" ht="21.75" customHeight="1">
      <c r="A393" s="619"/>
      <c r="B393" s="622"/>
      <c r="C393" s="622"/>
      <c r="D393" s="622"/>
      <c r="E393" s="627"/>
    </row>
    <row r="394" spans="1:5" s="618" customFormat="1" ht="21.75" customHeight="1">
      <c r="A394" s="619"/>
      <c r="B394" s="622"/>
      <c r="C394" s="622"/>
      <c r="D394" s="622"/>
      <c r="E394" s="627"/>
    </row>
    <row r="395" spans="1:5" s="618" customFormat="1" ht="21.75" customHeight="1">
      <c r="A395" s="619"/>
      <c r="B395" s="622"/>
      <c r="C395" s="622"/>
      <c r="D395" s="622"/>
      <c r="E395" s="627"/>
    </row>
    <row r="396" spans="1:5" s="618" customFormat="1" ht="21.75" customHeight="1">
      <c r="A396" s="619"/>
      <c r="B396" s="622"/>
      <c r="C396" s="622"/>
      <c r="D396" s="622"/>
      <c r="E396" s="627"/>
    </row>
    <row r="397" spans="1:5" s="618" customFormat="1" ht="21.75" customHeight="1">
      <c r="A397" s="619"/>
      <c r="B397" s="622"/>
      <c r="C397" s="622"/>
      <c r="D397" s="622"/>
      <c r="E397" s="627"/>
    </row>
    <row r="398" spans="1:5" s="618" customFormat="1" ht="21.75" customHeight="1">
      <c r="A398" s="619"/>
      <c r="B398" s="622"/>
      <c r="C398" s="622"/>
      <c r="D398" s="622"/>
      <c r="E398" s="627"/>
    </row>
    <row r="399" spans="1:5" s="618" customFormat="1" ht="21.75" customHeight="1">
      <c r="A399" s="619"/>
      <c r="B399" s="622"/>
      <c r="C399" s="622"/>
      <c r="D399" s="622"/>
      <c r="E399" s="627"/>
    </row>
    <row r="400" spans="1:5" s="618" customFormat="1" ht="21.75" customHeight="1">
      <c r="A400" s="619"/>
      <c r="B400" s="622"/>
      <c r="C400" s="622"/>
      <c r="D400" s="622"/>
      <c r="E400" s="627"/>
    </row>
    <row r="401" spans="1:5" s="618" customFormat="1" ht="21.75" customHeight="1">
      <c r="A401" s="619"/>
      <c r="B401" s="622"/>
      <c r="C401" s="622"/>
      <c r="D401" s="622"/>
      <c r="E401" s="627"/>
    </row>
    <row r="402" spans="1:5" s="618" customFormat="1" ht="21.75" customHeight="1">
      <c r="A402" s="619"/>
      <c r="B402" s="622"/>
      <c r="C402" s="622"/>
      <c r="D402" s="622"/>
      <c r="E402" s="627"/>
    </row>
    <row r="403" spans="1:5" s="618" customFormat="1" ht="21.75" customHeight="1">
      <c r="A403" s="619"/>
      <c r="B403" s="622"/>
      <c r="C403" s="622"/>
      <c r="D403" s="622"/>
      <c r="E403" s="627"/>
    </row>
    <row r="404" spans="1:5" s="618" customFormat="1" ht="21.75" customHeight="1">
      <c r="A404" s="619"/>
      <c r="B404" s="622"/>
      <c r="C404" s="622"/>
      <c r="D404" s="622"/>
      <c r="E404" s="627"/>
    </row>
    <row r="405" spans="1:5" s="618" customFormat="1" ht="21.75" customHeight="1">
      <c r="A405" s="619"/>
      <c r="B405" s="622"/>
      <c r="C405" s="622"/>
      <c r="D405" s="622"/>
      <c r="E405" s="627"/>
    </row>
    <row r="406" spans="1:5" s="618" customFormat="1" ht="21.75" customHeight="1">
      <c r="A406" s="619"/>
      <c r="B406" s="622"/>
      <c r="C406" s="622"/>
      <c r="D406" s="622"/>
      <c r="E406" s="627"/>
    </row>
    <row r="407" spans="1:5" s="618" customFormat="1" ht="21.75" customHeight="1">
      <c r="A407" s="619"/>
      <c r="B407" s="622"/>
      <c r="C407" s="622"/>
      <c r="D407" s="622"/>
      <c r="E407" s="627"/>
    </row>
    <row r="408" spans="1:5" s="618" customFormat="1" ht="21.75" customHeight="1">
      <c r="A408" s="619"/>
      <c r="B408" s="622"/>
      <c r="C408" s="622"/>
      <c r="D408" s="622"/>
      <c r="E408" s="627"/>
    </row>
    <row r="409" spans="1:5" s="618" customFormat="1" ht="21.75" customHeight="1">
      <c r="A409" s="619"/>
      <c r="B409" s="622"/>
      <c r="C409" s="622"/>
      <c r="D409" s="622"/>
      <c r="E409" s="627"/>
    </row>
    <row r="410" spans="1:5" s="618" customFormat="1" ht="21.75" customHeight="1">
      <c r="A410" s="619"/>
      <c r="B410" s="622"/>
      <c r="C410" s="622"/>
      <c r="D410" s="622"/>
      <c r="E410" s="627"/>
    </row>
    <row r="411" spans="1:5" s="618" customFormat="1" ht="21.75" customHeight="1">
      <c r="A411" s="619"/>
      <c r="B411" s="622"/>
      <c r="C411" s="622"/>
      <c r="D411" s="622"/>
      <c r="E411" s="627"/>
    </row>
    <row r="412" spans="1:5" s="618" customFormat="1" ht="21.75" customHeight="1">
      <c r="A412" s="619"/>
      <c r="B412" s="622"/>
      <c r="C412" s="622"/>
      <c r="D412" s="622"/>
      <c r="E412" s="627"/>
    </row>
    <row r="413" spans="1:5" s="618" customFormat="1" ht="21.75" customHeight="1">
      <c r="A413" s="619"/>
      <c r="B413" s="622"/>
      <c r="C413" s="622"/>
      <c r="D413" s="622"/>
      <c r="E413" s="627"/>
    </row>
    <row r="414" spans="1:5" s="618" customFormat="1" ht="21.75" customHeight="1">
      <c r="A414" s="619"/>
      <c r="B414" s="622"/>
      <c r="C414" s="622"/>
      <c r="D414" s="622"/>
      <c r="E414" s="627"/>
    </row>
    <row r="415" spans="1:5" s="618" customFormat="1" ht="21.75" customHeight="1">
      <c r="A415" s="619"/>
      <c r="B415" s="622"/>
      <c r="C415" s="622"/>
      <c r="D415" s="622"/>
      <c r="E415" s="627"/>
    </row>
    <row r="416" spans="1:5" s="618" customFormat="1" ht="21.75" customHeight="1">
      <c r="A416" s="619"/>
      <c r="B416" s="622"/>
      <c r="C416" s="622"/>
      <c r="D416" s="622"/>
      <c r="E416" s="627"/>
    </row>
    <row r="417" spans="1:5" s="618" customFormat="1" ht="21.75" customHeight="1">
      <c r="A417" s="619"/>
      <c r="B417" s="622"/>
      <c r="C417" s="622"/>
      <c r="D417" s="622"/>
      <c r="E417" s="627"/>
    </row>
    <row r="418" spans="1:5" s="618" customFormat="1" ht="21.75" customHeight="1">
      <c r="A418" s="619"/>
      <c r="B418" s="622"/>
      <c r="C418" s="622"/>
      <c r="D418" s="622"/>
      <c r="E418" s="627"/>
    </row>
    <row r="419" spans="1:5" s="618" customFormat="1" ht="21.75" customHeight="1">
      <c r="A419" s="619"/>
      <c r="B419" s="622"/>
      <c r="C419" s="622"/>
      <c r="D419" s="622"/>
      <c r="E419" s="627"/>
    </row>
    <row r="420" spans="1:5" s="618" customFormat="1" ht="21.75" customHeight="1">
      <c r="A420" s="619"/>
      <c r="B420" s="622"/>
      <c r="C420" s="622"/>
      <c r="D420" s="622"/>
      <c r="E420" s="627"/>
    </row>
    <row r="421" spans="1:5" s="618" customFormat="1" ht="21.75" customHeight="1">
      <c r="A421" s="619"/>
      <c r="B421" s="622"/>
      <c r="C421" s="622"/>
      <c r="D421" s="622"/>
      <c r="E421" s="627"/>
    </row>
    <row r="422" spans="1:5" s="618" customFormat="1" ht="21.75" customHeight="1">
      <c r="A422" s="619"/>
      <c r="B422" s="622"/>
      <c r="C422" s="622"/>
      <c r="D422" s="622"/>
      <c r="E422" s="627"/>
    </row>
    <row r="423" spans="1:5" s="618" customFormat="1" ht="21.75" customHeight="1">
      <c r="A423" s="619"/>
      <c r="B423" s="622"/>
      <c r="C423" s="622"/>
      <c r="D423" s="622"/>
      <c r="E423" s="627"/>
    </row>
    <row r="424" spans="1:5" s="618" customFormat="1" ht="21.75" customHeight="1">
      <c r="A424" s="619"/>
      <c r="B424" s="622"/>
      <c r="C424" s="622"/>
      <c r="D424" s="622"/>
      <c r="E424" s="627"/>
    </row>
    <row r="425" spans="1:5" s="618" customFormat="1" ht="21.75" customHeight="1">
      <c r="A425" s="619"/>
      <c r="B425" s="622"/>
      <c r="C425" s="622"/>
      <c r="D425" s="622"/>
      <c r="E425" s="627"/>
    </row>
    <row r="426" spans="1:5" s="618" customFormat="1" ht="21.75" customHeight="1">
      <c r="A426" s="619"/>
      <c r="B426" s="622"/>
      <c r="C426" s="622"/>
      <c r="D426" s="622"/>
      <c r="E426" s="627"/>
    </row>
    <row r="427" spans="1:5" s="618" customFormat="1" ht="21.75" customHeight="1">
      <c r="A427" s="619"/>
      <c r="B427" s="622"/>
      <c r="C427" s="622"/>
      <c r="D427" s="622"/>
      <c r="E427" s="627"/>
    </row>
    <row r="428" spans="1:5" s="618" customFormat="1" ht="21.75" customHeight="1">
      <c r="A428" s="619"/>
      <c r="B428" s="622"/>
      <c r="C428" s="622"/>
      <c r="D428" s="622"/>
      <c r="E428" s="627"/>
    </row>
    <row r="429" spans="1:5" s="618" customFormat="1" ht="21.75" customHeight="1">
      <c r="A429" s="619"/>
      <c r="B429" s="622"/>
      <c r="C429" s="622"/>
      <c r="D429" s="622"/>
      <c r="E429" s="627"/>
    </row>
    <row r="430" spans="1:5" s="618" customFormat="1" ht="21.75" customHeight="1">
      <c r="A430" s="619"/>
      <c r="B430" s="622"/>
      <c r="C430" s="622"/>
      <c r="D430" s="622"/>
      <c r="E430" s="627"/>
    </row>
    <row r="431" spans="1:5" s="618" customFormat="1" ht="21.75" customHeight="1">
      <c r="A431" s="619"/>
      <c r="B431" s="622"/>
      <c r="C431" s="622"/>
      <c r="D431" s="622"/>
      <c r="E431" s="627"/>
    </row>
    <row r="432" spans="1:5" s="618" customFormat="1" ht="21.75" customHeight="1">
      <c r="A432" s="619"/>
      <c r="B432" s="622"/>
      <c r="C432" s="622"/>
      <c r="D432" s="622"/>
      <c r="E432" s="627"/>
    </row>
    <row r="433" spans="1:5" s="618" customFormat="1" ht="21.75" customHeight="1">
      <c r="A433" s="619"/>
      <c r="B433" s="622"/>
      <c r="C433" s="622"/>
      <c r="D433" s="622"/>
      <c r="E433" s="627"/>
    </row>
    <row r="434" spans="1:5" s="618" customFormat="1" ht="21.75" customHeight="1">
      <c r="A434" s="619"/>
      <c r="B434" s="622"/>
      <c r="C434" s="622"/>
      <c r="D434" s="622"/>
      <c r="E434" s="627"/>
    </row>
    <row r="435" spans="1:5" s="618" customFormat="1" ht="21.75" customHeight="1">
      <c r="A435" s="619"/>
      <c r="B435" s="622"/>
      <c r="C435" s="622"/>
      <c r="D435" s="622"/>
      <c r="E435" s="627"/>
    </row>
    <row r="436" spans="1:5" s="618" customFormat="1" ht="21.75" customHeight="1">
      <c r="A436" s="619"/>
      <c r="B436" s="622"/>
      <c r="C436" s="622"/>
      <c r="D436" s="622"/>
      <c r="E436" s="627"/>
    </row>
    <row r="437" spans="1:5" s="618" customFormat="1" ht="21.75" customHeight="1">
      <c r="A437" s="619"/>
      <c r="B437" s="622"/>
      <c r="C437" s="622"/>
      <c r="D437" s="622"/>
      <c r="E437" s="627"/>
    </row>
    <row r="438" spans="1:5" s="618" customFormat="1" ht="21.75" customHeight="1">
      <c r="A438" s="619"/>
      <c r="B438" s="622"/>
      <c r="C438" s="622"/>
      <c r="D438" s="622"/>
      <c r="E438" s="627"/>
    </row>
    <row r="439" spans="1:5" s="618" customFormat="1" ht="21.75" customHeight="1">
      <c r="A439" s="619"/>
      <c r="B439" s="622"/>
      <c r="C439" s="622"/>
      <c r="D439" s="622"/>
      <c r="E439" s="627"/>
    </row>
    <row r="440" spans="1:5" s="618" customFormat="1" ht="21.75" customHeight="1">
      <c r="A440" s="619"/>
      <c r="B440" s="622"/>
      <c r="C440" s="622"/>
      <c r="D440" s="622"/>
      <c r="E440" s="627"/>
    </row>
    <row r="441" spans="1:5" s="618" customFormat="1" ht="21.75" customHeight="1">
      <c r="A441" s="619"/>
      <c r="B441" s="622"/>
      <c r="C441" s="622"/>
      <c r="D441" s="622"/>
      <c r="E441" s="627"/>
    </row>
    <row r="442" spans="1:5" s="618" customFormat="1" ht="21.75" customHeight="1">
      <c r="A442" s="619"/>
      <c r="B442" s="622"/>
      <c r="C442" s="622"/>
      <c r="D442" s="622"/>
      <c r="E442" s="627"/>
    </row>
    <row r="443" spans="1:5" s="618" customFormat="1" ht="21.75" customHeight="1">
      <c r="A443" s="619"/>
      <c r="B443" s="622"/>
      <c r="C443" s="622"/>
      <c r="D443" s="622"/>
      <c r="E443" s="627"/>
    </row>
    <row r="444" spans="1:5" s="618" customFormat="1" ht="21.75" customHeight="1">
      <c r="A444" s="619"/>
      <c r="B444" s="622"/>
      <c r="C444" s="622"/>
      <c r="D444" s="622"/>
      <c r="E444" s="627"/>
    </row>
    <row r="445" spans="1:5" s="618" customFormat="1" ht="21.75" customHeight="1">
      <c r="A445" s="619"/>
      <c r="B445" s="622"/>
      <c r="C445" s="622"/>
      <c r="D445" s="622"/>
      <c r="E445" s="627"/>
    </row>
    <row r="446" spans="1:5" s="618" customFormat="1" ht="21.75" customHeight="1">
      <c r="A446" s="619"/>
      <c r="B446" s="622"/>
      <c r="C446" s="622"/>
      <c r="D446" s="622"/>
      <c r="E446" s="627"/>
    </row>
    <row r="447" spans="1:5" s="618" customFormat="1" ht="21.75" customHeight="1">
      <c r="A447" s="619"/>
      <c r="B447" s="622"/>
      <c r="C447" s="622"/>
      <c r="D447" s="622"/>
      <c r="E447" s="627"/>
    </row>
    <row r="448" spans="1:5" s="618" customFormat="1" ht="21.75" customHeight="1">
      <c r="A448" s="619"/>
      <c r="B448" s="622"/>
      <c r="C448" s="622"/>
      <c r="D448" s="622"/>
      <c r="E448" s="627"/>
    </row>
    <row r="449" spans="1:5" s="618" customFormat="1" ht="21.75" customHeight="1">
      <c r="A449" s="619"/>
      <c r="B449" s="622"/>
      <c r="C449" s="622"/>
      <c r="D449" s="622"/>
      <c r="E449" s="627"/>
    </row>
    <row r="450" spans="1:5" s="618" customFormat="1" ht="21.75" customHeight="1">
      <c r="A450" s="619"/>
      <c r="B450" s="622"/>
      <c r="C450" s="622"/>
      <c r="D450" s="622"/>
      <c r="E450" s="627"/>
    </row>
    <row r="451" spans="1:5" s="618" customFormat="1" ht="21.75" customHeight="1">
      <c r="A451" s="619"/>
      <c r="B451" s="622"/>
      <c r="C451" s="622"/>
      <c r="D451" s="622"/>
      <c r="E451" s="627"/>
    </row>
    <row r="452" spans="1:5" s="618" customFormat="1" ht="21.75" customHeight="1">
      <c r="A452" s="619"/>
      <c r="B452" s="622"/>
      <c r="C452" s="622"/>
      <c r="D452" s="622"/>
      <c r="E452" s="627"/>
    </row>
    <row r="453" spans="1:5" s="618" customFormat="1" ht="21.75" customHeight="1">
      <c r="A453" s="619"/>
      <c r="B453" s="622"/>
      <c r="C453" s="622"/>
      <c r="D453" s="622"/>
      <c r="E453" s="627"/>
    </row>
    <row r="454" spans="1:5" s="618" customFormat="1" ht="21.75" customHeight="1">
      <c r="A454" s="619"/>
      <c r="B454" s="622"/>
      <c r="C454" s="622"/>
      <c r="D454" s="622"/>
      <c r="E454" s="627"/>
    </row>
    <row r="455" spans="1:5" s="618" customFormat="1" ht="21.75" customHeight="1">
      <c r="A455" s="619"/>
      <c r="B455" s="622"/>
      <c r="C455" s="622"/>
      <c r="D455" s="622"/>
      <c r="E455" s="627"/>
    </row>
    <row r="456" spans="1:5" s="618" customFormat="1" ht="21.75" customHeight="1">
      <c r="A456" s="619"/>
      <c r="B456" s="622"/>
      <c r="C456" s="622"/>
      <c r="D456" s="622"/>
      <c r="E456" s="627"/>
    </row>
    <row r="457" spans="1:5" s="618" customFormat="1" ht="21.75" customHeight="1">
      <c r="A457" s="619"/>
      <c r="B457" s="622"/>
      <c r="C457" s="622"/>
      <c r="D457" s="622"/>
      <c r="E457" s="627"/>
    </row>
    <row r="458" spans="1:5" s="618" customFormat="1" ht="21.75" customHeight="1">
      <c r="A458" s="619"/>
      <c r="B458" s="622"/>
      <c r="C458" s="622"/>
      <c r="D458" s="622"/>
      <c r="E458" s="627"/>
    </row>
    <row r="459" spans="1:5" s="618" customFormat="1" ht="21.75" customHeight="1">
      <c r="A459" s="619"/>
      <c r="B459" s="622"/>
      <c r="C459" s="622"/>
      <c r="D459" s="622"/>
      <c r="E459" s="627"/>
    </row>
    <row r="460" spans="1:5" s="618" customFormat="1" ht="21.75" customHeight="1">
      <c r="A460" s="619"/>
      <c r="B460" s="622"/>
      <c r="C460" s="622"/>
      <c r="D460" s="622"/>
      <c r="E460" s="627"/>
    </row>
    <row r="461" spans="1:5" s="618" customFormat="1" ht="21.75" customHeight="1">
      <c r="A461" s="619"/>
      <c r="B461" s="622"/>
      <c r="C461" s="622"/>
      <c r="D461" s="622"/>
      <c r="E461" s="627"/>
    </row>
    <row r="462" spans="1:5" s="618" customFormat="1" ht="21.75" customHeight="1">
      <c r="A462" s="619"/>
      <c r="B462" s="622"/>
      <c r="C462" s="622"/>
      <c r="D462" s="622"/>
      <c r="E462" s="627"/>
    </row>
    <row r="463" spans="1:5" s="618" customFormat="1" ht="21.75" customHeight="1">
      <c r="A463" s="619"/>
      <c r="B463" s="622"/>
      <c r="C463" s="622"/>
      <c r="D463" s="622"/>
      <c r="E463" s="627"/>
    </row>
    <row r="464" spans="1:5" s="618" customFormat="1" ht="21.75" customHeight="1">
      <c r="A464" s="619"/>
      <c r="B464" s="622"/>
      <c r="C464" s="622"/>
      <c r="D464" s="622"/>
      <c r="E464" s="627"/>
    </row>
    <row r="465" spans="1:5" s="618" customFormat="1" ht="21.75" customHeight="1">
      <c r="A465" s="619"/>
      <c r="B465" s="622"/>
      <c r="C465" s="622"/>
      <c r="D465" s="622"/>
      <c r="E465" s="627"/>
    </row>
    <row r="466" spans="1:5" s="618" customFormat="1" ht="21.75" customHeight="1">
      <c r="A466" s="619"/>
      <c r="B466" s="622"/>
      <c r="C466" s="622"/>
      <c r="D466" s="622"/>
      <c r="E466" s="627"/>
    </row>
    <row r="467" spans="1:5" s="618" customFormat="1" ht="21.75" customHeight="1">
      <c r="A467" s="619"/>
      <c r="B467" s="622"/>
      <c r="C467" s="622"/>
      <c r="D467" s="622"/>
      <c r="E467" s="627"/>
    </row>
    <row r="468" spans="1:5" s="618" customFormat="1" ht="21.75" customHeight="1">
      <c r="A468" s="619"/>
      <c r="B468" s="622"/>
      <c r="C468" s="622"/>
      <c r="D468" s="622"/>
      <c r="E468" s="627"/>
    </row>
    <row r="469" spans="1:5" s="618" customFormat="1" ht="21.75" customHeight="1">
      <c r="A469" s="619"/>
      <c r="B469" s="622"/>
      <c r="C469" s="622"/>
      <c r="D469" s="622"/>
      <c r="E469" s="627"/>
    </row>
    <row r="470" spans="1:5" s="618" customFormat="1" ht="21.75" customHeight="1">
      <c r="A470" s="619"/>
      <c r="B470" s="622"/>
      <c r="C470" s="622"/>
      <c r="D470" s="622"/>
      <c r="E470" s="627"/>
    </row>
    <row r="471" spans="1:5" s="618" customFormat="1" ht="21.75" customHeight="1">
      <c r="A471" s="619"/>
      <c r="B471" s="622"/>
      <c r="C471" s="622"/>
      <c r="D471" s="622"/>
      <c r="E471" s="627"/>
    </row>
    <row r="472" spans="1:5" s="618" customFormat="1" ht="21.75" customHeight="1">
      <c r="A472" s="619"/>
      <c r="B472" s="622"/>
      <c r="C472" s="622"/>
      <c r="D472" s="622"/>
      <c r="E472" s="627"/>
    </row>
    <row r="473" spans="1:5" s="618" customFormat="1" ht="21.75" customHeight="1">
      <c r="A473" s="619"/>
      <c r="B473" s="622"/>
      <c r="C473" s="622"/>
      <c r="D473" s="622"/>
      <c r="E473" s="627"/>
    </row>
    <row r="474" spans="1:5" s="618" customFormat="1" ht="21.75" customHeight="1">
      <c r="A474" s="619"/>
      <c r="B474" s="622"/>
      <c r="C474" s="622"/>
      <c r="D474" s="622"/>
      <c r="E474" s="627"/>
    </row>
    <row r="475" spans="1:5" s="618" customFormat="1" ht="21.75" customHeight="1">
      <c r="A475" s="619"/>
      <c r="B475" s="622"/>
      <c r="C475" s="622"/>
      <c r="D475" s="622"/>
      <c r="E475" s="627"/>
    </row>
    <row r="476" spans="1:5" s="618" customFormat="1" ht="21.75" customHeight="1">
      <c r="A476" s="619"/>
      <c r="B476" s="622"/>
      <c r="C476" s="622"/>
      <c r="D476" s="622"/>
      <c r="E476" s="627"/>
    </row>
    <row r="477" spans="1:5" s="618" customFormat="1" ht="21.75" customHeight="1">
      <c r="A477" s="619"/>
      <c r="B477" s="622"/>
      <c r="C477" s="622"/>
      <c r="D477" s="622"/>
      <c r="E477" s="627"/>
    </row>
    <row r="478" spans="1:5" s="618" customFormat="1" ht="21.75" customHeight="1">
      <c r="A478" s="619"/>
      <c r="B478" s="622"/>
      <c r="C478" s="622"/>
      <c r="D478" s="622"/>
      <c r="E478" s="627"/>
    </row>
    <row r="479" spans="1:5" s="618" customFormat="1" ht="21.75" customHeight="1">
      <c r="A479" s="619"/>
      <c r="B479" s="622"/>
      <c r="C479" s="622"/>
      <c r="D479" s="622"/>
      <c r="E479" s="627"/>
    </row>
    <row r="480" spans="1:5" s="618" customFormat="1" ht="21.75" customHeight="1">
      <c r="A480" s="619"/>
      <c r="B480" s="622"/>
      <c r="C480" s="622"/>
      <c r="D480" s="622"/>
      <c r="E480" s="627"/>
    </row>
    <row r="481" spans="1:5" s="618" customFormat="1" ht="21.75" customHeight="1">
      <c r="A481" s="619"/>
      <c r="B481" s="622"/>
      <c r="C481" s="622"/>
      <c r="D481" s="622"/>
      <c r="E481" s="627"/>
    </row>
    <row r="482" spans="1:5" s="618" customFormat="1" ht="21.75" customHeight="1">
      <c r="A482" s="619"/>
      <c r="B482" s="622"/>
      <c r="C482" s="622"/>
      <c r="D482" s="622"/>
      <c r="E482" s="627"/>
    </row>
    <row r="483" spans="1:5" s="618" customFormat="1" ht="21.75" customHeight="1">
      <c r="A483" s="619"/>
      <c r="B483" s="622"/>
      <c r="C483" s="622"/>
      <c r="D483" s="622"/>
      <c r="E483" s="627"/>
    </row>
    <row r="484" spans="1:5" s="618" customFormat="1" ht="21.75" customHeight="1">
      <c r="A484" s="619"/>
      <c r="B484" s="622"/>
      <c r="C484" s="622"/>
      <c r="D484" s="622"/>
      <c r="E484" s="627"/>
    </row>
    <row r="485" spans="1:5" s="618" customFormat="1" ht="21.75" customHeight="1">
      <c r="A485" s="619"/>
      <c r="B485" s="622"/>
      <c r="C485" s="622"/>
      <c r="D485" s="622"/>
      <c r="E485" s="627"/>
    </row>
    <row r="486" spans="1:5" s="618" customFormat="1" ht="21.75" customHeight="1">
      <c r="A486" s="619"/>
      <c r="B486" s="622"/>
      <c r="C486" s="622"/>
      <c r="D486" s="622"/>
      <c r="E486" s="627"/>
    </row>
    <row r="487" spans="1:5" s="618" customFormat="1" ht="21.75" customHeight="1">
      <c r="A487" s="619"/>
      <c r="B487" s="622"/>
      <c r="C487" s="622"/>
      <c r="D487" s="622"/>
      <c r="E487" s="627"/>
    </row>
    <row r="488" spans="1:5" s="618" customFormat="1" ht="21.75" customHeight="1">
      <c r="A488" s="619"/>
      <c r="B488" s="622"/>
      <c r="C488" s="622"/>
      <c r="D488" s="622"/>
      <c r="E488" s="627"/>
    </row>
    <row r="489" spans="1:5" s="618" customFormat="1" ht="21.75" customHeight="1">
      <c r="A489" s="619"/>
      <c r="B489" s="622"/>
      <c r="C489" s="622"/>
      <c r="D489" s="622"/>
      <c r="E489" s="627"/>
    </row>
    <row r="490" spans="1:5" s="618" customFormat="1" ht="21.75" customHeight="1">
      <c r="A490" s="619"/>
      <c r="B490" s="622"/>
      <c r="C490" s="622"/>
      <c r="D490" s="622"/>
      <c r="E490" s="627"/>
    </row>
    <row r="491" spans="1:5" s="618" customFormat="1" ht="21.75" customHeight="1">
      <c r="A491" s="619"/>
      <c r="B491" s="622"/>
      <c r="C491" s="622"/>
      <c r="D491" s="622"/>
      <c r="E491" s="627"/>
    </row>
    <row r="492" spans="1:5" s="618" customFormat="1" ht="21.75" customHeight="1">
      <c r="A492" s="619"/>
      <c r="B492" s="622"/>
      <c r="C492" s="622"/>
      <c r="D492" s="622"/>
      <c r="E492" s="627"/>
    </row>
    <row r="493" spans="1:5" s="618" customFormat="1" ht="21.75" customHeight="1">
      <c r="A493" s="619"/>
      <c r="B493" s="622"/>
      <c r="C493" s="622"/>
      <c r="D493" s="622"/>
      <c r="E493" s="627"/>
    </row>
    <row r="494" spans="1:5" s="618" customFormat="1" ht="21.75" customHeight="1">
      <c r="A494" s="619"/>
      <c r="B494" s="622"/>
      <c r="C494" s="622"/>
      <c r="D494" s="622"/>
      <c r="E494" s="627"/>
    </row>
    <row r="495" spans="1:5" s="618" customFormat="1" ht="21.75" customHeight="1">
      <c r="A495" s="619"/>
      <c r="B495" s="622"/>
      <c r="C495" s="622"/>
      <c r="D495" s="622"/>
      <c r="E495" s="627"/>
    </row>
    <row r="496" spans="1:5" s="618" customFormat="1" ht="21.75" customHeight="1">
      <c r="A496" s="619"/>
      <c r="B496" s="622"/>
      <c r="C496" s="622"/>
      <c r="D496" s="622"/>
      <c r="E496" s="627"/>
    </row>
    <row r="497" spans="1:5" s="618" customFormat="1" ht="21.75" customHeight="1">
      <c r="A497" s="619"/>
      <c r="B497" s="622"/>
      <c r="C497" s="622"/>
      <c r="D497" s="622"/>
      <c r="E497" s="627"/>
    </row>
    <row r="498" spans="1:5" s="618" customFormat="1" ht="21.75" customHeight="1">
      <c r="A498" s="619"/>
      <c r="B498" s="622"/>
      <c r="C498" s="622"/>
      <c r="D498" s="622"/>
      <c r="E498" s="627"/>
    </row>
    <row r="499" spans="1:5" s="618" customFormat="1" ht="21.75" customHeight="1">
      <c r="A499" s="619"/>
      <c r="B499" s="622"/>
      <c r="C499" s="622"/>
      <c r="D499" s="622"/>
      <c r="E499" s="627"/>
    </row>
    <row r="500" spans="1:5" s="618" customFormat="1" ht="21.75" customHeight="1">
      <c r="A500" s="619"/>
      <c r="B500" s="622"/>
      <c r="C500" s="622"/>
      <c r="D500" s="622"/>
      <c r="E500" s="627"/>
    </row>
    <row r="501" spans="1:5" s="618" customFormat="1" ht="21.75" customHeight="1">
      <c r="A501" s="619"/>
      <c r="B501" s="622"/>
      <c r="C501" s="622"/>
      <c r="D501" s="622"/>
      <c r="E501" s="627"/>
    </row>
    <row r="502" spans="1:5" s="618" customFormat="1" ht="21.75" customHeight="1">
      <c r="A502" s="619"/>
      <c r="B502" s="622"/>
      <c r="C502" s="622"/>
      <c r="D502" s="622"/>
      <c r="E502" s="627"/>
    </row>
    <row r="503" spans="1:5" s="618" customFormat="1" ht="21.75" customHeight="1">
      <c r="A503" s="619"/>
      <c r="B503" s="622"/>
      <c r="C503" s="622"/>
      <c r="D503" s="622"/>
      <c r="E503" s="627"/>
    </row>
    <row r="504" spans="1:5" s="618" customFormat="1" ht="21.75" customHeight="1">
      <c r="A504" s="619"/>
      <c r="B504" s="622"/>
      <c r="C504" s="622"/>
      <c r="D504" s="622"/>
      <c r="E504" s="627"/>
    </row>
    <row r="505" spans="1:5" s="618" customFormat="1" ht="21.75" customHeight="1">
      <c r="A505" s="619"/>
      <c r="B505" s="622"/>
      <c r="C505" s="622"/>
      <c r="D505" s="622"/>
      <c r="E505" s="627"/>
    </row>
    <row r="506" spans="1:5" s="618" customFormat="1" ht="21.75" customHeight="1">
      <c r="A506" s="619"/>
      <c r="B506" s="622"/>
      <c r="C506" s="622"/>
      <c r="D506" s="622"/>
      <c r="E506" s="627"/>
    </row>
    <row r="507" spans="1:5" s="618" customFormat="1" ht="21.75" customHeight="1">
      <c r="A507" s="619"/>
      <c r="B507" s="622"/>
      <c r="C507" s="622"/>
      <c r="D507" s="622"/>
      <c r="E507" s="627"/>
    </row>
    <row r="508" spans="1:5" s="618" customFormat="1" ht="21.75" customHeight="1">
      <c r="A508" s="619"/>
      <c r="B508" s="622"/>
      <c r="C508" s="622"/>
      <c r="D508" s="622"/>
      <c r="E508" s="627"/>
    </row>
    <row r="509" spans="1:5" s="618" customFormat="1" ht="21.75" customHeight="1">
      <c r="A509" s="619"/>
      <c r="B509" s="622"/>
      <c r="C509" s="622"/>
      <c r="D509" s="622"/>
      <c r="E509" s="627"/>
    </row>
    <row r="510" spans="1:5" s="618" customFormat="1" ht="21.75" customHeight="1">
      <c r="A510" s="619"/>
      <c r="B510" s="622"/>
      <c r="C510" s="622"/>
      <c r="D510" s="622"/>
      <c r="E510" s="627"/>
    </row>
    <row r="511" spans="1:5" s="618" customFormat="1" ht="21.75" customHeight="1">
      <c r="A511" s="619"/>
      <c r="B511" s="622"/>
      <c r="C511" s="622"/>
      <c r="D511" s="622"/>
      <c r="E511" s="627"/>
    </row>
    <row r="512" spans="1:5" s="618" customFormat="1" ht="21.75" customHeight="1">
      <c r="A512" s="619"/>
      <c r="B512" s="622"/>
      <c r="C512" s="622"/>
      <c r="D512" s="622"/>
      <c r="E512" s="627"/>
    </row>
    <row r="513" spans="1:5" s="618" customFormat="1" ht="21.75" customHeight="1">
      <c r="A513" s="619"/>
      <c r="B513" s="622"/>
      <c r="C513" s="622"/>
      <c r="D513" s="622"/>
      <c r="E513" s="627"/>
    </row>
    <row r="514" spans="1:5" s="618" customFormat="1" ht="21.75" customHeight="1">
      <c r="A514" s="619"/>
      <c r="B514" s="622"/>
      <c r="C514" s="622"/>
      <c r="D514" s="622"/>
      <c r="E514" s="627"/>
    </row>
    <row r="515" spans="1:5" s="618" customFormat="1" ht="21.75" customHeight="1">
      <c r="A515" s="619"/>
      <c r="B515" s="622"/>
      <c r="C515" s="622"/>
      <c r="D515" s="622"/>
      <c r="E515" s="627"/>
    </row>
    <row r="516" spans="1:5" s="618" customFormat="1" ht="21.75" customHeight="1">
      <c r="A516" s="619"/>
      <c r="B516" s="622"/>
      <c r="C516" s="622"/>
      <c r="D516" s="622"/>
      <c r="E516" s="627"/>
    </row>
    <row r="517" spans="1:5" s="618" customFormat="1" ht="21.75" customHeight="1">
      <c r="A517" s="619"/>
      <c r="B517" s="622"/>
      <c r="C517" s="622"/>
      <c r="D517" s="622"/>
      <c r="E517" s="627"/>
    </row>
    <row r="518" spans="1:5" s="618" customFormat="1" ht="21.75" customHeight="1">
      <c r="A518" s="619"/>
      <c r="B518" s="622"/>
      <c r="C518" s="622"/>
      <c r="D518" s="622"/>
      <c r="E518" s="627"/>
    </row>
    <row r="519" spans="1:5" s="618" customFormat="1" ht="21.75" customHeight="1">
      <c r="A519" s="619"/>
      <c r="B519" s="622"/>
      <c r="C519" s="622"/>
      <c r="D519" s="622"/>
      <c r="E519" s="627"/>
    </row>
    <row r="520" spans="1:5" s="618" customFormat="1" ht="21.75" customHeight="1">
      <c r="A520" s="619"/>
      <c r="B520" s="622"/>
      <c r="C520" s="622"/>
      <c r="D520" s="622"/>
      <c r="E520" s="627"/>
    </row>
    <row r="521" spans="1:5" s="618" customFormat="1" ht="21.75" customHeight="1">
      <c r="A521" s="619"/>
      <c r="B521" s="622"/>
      <c r="C521" s="622"/>
      <c r="D521" s="622"/>
      <c r="E521" s="627"/>
    </row>
    <row r="522" spans="1:5" s="618" customFormat="1" ht="21.75" customHeight="1">
      <c r="A522" s="619"/>
      <c r="B522" s="622"/>
      <c r="C522" s="622"/>
      <c r="D522" s="622"/>
      <c r="E522" s="627"/>
    </row>
    <row r="523" spans="1:5" s="618" customFormat="1" ht="21.75" customHeight="1">
      <c r="A523" s="619"/>
      <c r="B523" s="622"/>
      <c r="C523" s="622"/>
      <c r="D523" s="622"/>
      <c r="E523" s="627"/>
    </row>
    <row r="524" spans="1:5" s="618" customFormat="1" ht="21.75" customHeight="1">
      <c r="A524" s="619"/>
      <c r="B524" s="622"/>
      <c r="C524" s="622"/>
      <c r="D524" s="622"/>
      <c r="E524" s="627"/>
    </row>
    <row r="525" spans="1:5" s="618" customFormat="1" ht="21.75" customHeight="1">
      <c r="A525" s="619"/>
      <c r="B525" s="622"/>
      <c r="C525" s="622"/>
      <c r="D525" s="622"/>
      <c r="E525" s="627"/>
    </row>
    <row r="526" spans="1:5" s="618" customFormat="1" ht="21.75" customHeight="1">
      <c r="A526" s="619"/>
      <c r="B526" s="622"/>
      <c r="C526" s="622"/>
      <c r="D526" s="622"/>
      <c r="E526" s="627"/>
    </row>
    <row r="527" spans="1:5" s="618" customFormat="1" ht="21.75" customHeight="1">
      <c r="A527" s="619"/>
      <c r="B527" s="622"/>
      <c r="C527" s="622"/>
      <c r="D527" s="622"/>
      <c r="E527" s="627"/>
    </row>
    <row r="528" spans="1:5" s="618" customFormat="1" ht="21.75" customHeight="1">
      <c r="A528" s="619"/>
      <c r="B528" s="622"/>
      <c r="C528" s="622"/>
      <c r="D528" s="622"/>
      <c r="E528" s="627"/>
    </row>
    <row r="529" spans="1:5" s="618" customFormat="1" ht="21.75" customHeight="1">
      <c r="A529" s="619"/>
      <c r="B529" s="622"/>
      <c r="C529" s="622"/>
      <c r="D529" s="622"/>
      <c r="E529" s="627"/>
    </row>
    <row r="530" spans="1:5" s="618" customFormat="1" ht="21.75" customHeight="1">
      <c r="A530" s="619"/>
      <c r="B530" s="622"/>
      <c r="C530" s="622"/>
      <c r="D530" s="622"/>
      <c r="E530" s="627"/>
    </row>
    <row r="531" spans="1:5" s="618" customFormat="1" ht="21.75" customHeight="1">
      <c r="A531" s="619"/>
      <c r="B531" s="622"/>
      <c r="C531" s="622"/>
      <c r="D531" s="622"/>
      <c r="E531" s="627"/>
    </row>
    <row r="532" spans="1:5" s="618" customFormat="1" ht="21.75" customHeight="1">
      <c r="A532" s="619"/>
      <c r="B532" s="622"/>
      <c r="C532" s="622"/>
      <c r="D532" s="622"/>
      <c r="E532" s="627"/>
    </row>
    <row r="533" spans="1:5" s="618" customFormat="1" ht="21.75" customHeight="1">
      <c r="A533" s="619"/>
      <c r="B533" s="622"/>
      <c r="C533" s="622"/>
      <c r="D533" s="622"/>
      <c r="E533" s="627"/>
    </row>
    <row r="534" spans="1:5" s="618" customFormat="1" ht="21.75" customHeight="1">
      <c r="A534" s="619"/>
      <c r="B534" s="622"/>
      <c r="C534" s="622"/>
      <c r="D534" s="622"/>
      <c r="E534" s="627"/>
    </row>
    <row r="535" spans="1:5" s="618" customFormat="1" ht="21.75" customHeight="1">
      <c r="A535" s="619"/>
      <c r="B535" s="622"/>
      <c r="C535" s="622"/>
      <c r="D535" s="622"/>
      <c r="E535" s="627"/>
    </row>
    <row r="536" spans="1:5" s="618" customFormat="1" ht="21.75" customHeight="1">
      <c r="A536" s="619"/>
      <c r="B536" s="622"/>
      <c r="C536" s="622"/>
      <c r="D536" s="622"/>
      <c r="E536" s="627"/>
    </row>
    <row r="537" spans="1:5" s="618" customFormat="1" ht="21.75" customHeight="1">
      <c r="A537" s="619"/>
      <c r="B537" s="622"/>
      <c r="C537" s="622"/>
      <c r="D537" s="622"/>
      <c r="E537" s="627"/>
    </row>
    <row r="538" spans="1:5" s="618" customFormat="1" ht="21.75" customHeight="1">
      <c r="A538" s="619"/>
      <c r="B538" s="622"/>
      <c r="C538" s="622"/>
      <c r="D538" s="622"/>
      <c r="E538" s="627"/>
    </row>
    <row r="539" spans="1:5" s="618" customFormat="1" ht="21.75" customHeight="1">
      <c r="A539" s="619"/>
      <c r="B539" s="622"/>
      <c r="C539" s="622"/>
      <c r="D539" s="622"/>
      <c r="E539" s="627"/>
    </row>
    <row r="540" spans="1:5" s="618" customFormat="1" ht="21.75" customHeight="1">
      <c r="A540" s="619"/>
      <c r="B540" s="622"/>
      <c r="C540" s="622"/>
      <c r="D540" s="622"/>
      <c r="E540" s="627"/>
    </row>
    <row r="541" spans="1:5" s="618" customFormat="1" ht="21.75" customHeight="1">
      <c r="A541" s="619"/>
      <c r="B541" s="622"/>
      <c r="C541" s="622"/>
      <c r="D541" s="622"/>
      <c r="E541" s="627"/>
    </row>
    <row r="542" spans="1:5" s="618" customFormat="1" ht="21.75" customHeight="1">
      <c r="A542" s="619"/>
      <c r="B542" s="622"/>
      <c r="C542" s="622"/>
      <c r="D542" s="622"/>
      <c r="E542" s="627"/>
    </row>
    <row r="543" spans="1:5" s="618" customFormat="1" ht="21.75" customHeight="1">
      <c r="A543" s="619"/>
      <c r="B543" s="622"/>
      <c r="C543" s="622"/>
      <c r="D543" s="622"/>
      <c r="E543" s="627"/>
    </row>
    <row r="544" spans="1:5" s="618" customFormat="1" ht="21.75" customHeight="1">
      <c r="A544" s="619"/>
      <c r="B544" s="622"/>
      <c r="C544" s="622"/>
      <c r="D544" s="622"/>
      <c r="E544" s="627"/>
    </row>
    <row r="545" spans="1:5" s="618" customFormat="1" ht="21.75" customHeight="1">
      <c r="A545" s="619"/>
      <c r="B545" s="622"/>
      <c r="C545" s="622"/>
      <c r="D545" s="622"/>
      <c r="E545" s="627"/>
    </row>
    <row r="546" spans="1:5" s="618" customFormat="1" ht="21.75" customHeight="1">
      <c r="A546" s="619"/>
      <c r="B546" s="622"/>
      <c r="C546" s="622"/>
      <c r="D546" s="622"/>
      <c r="E546" s="627"/>
    </row>
    <row r="547" spans="1:5" s="618" customFormat="1" ht="21.75" customHeight="1">
      <c r="A547" s="619"/>
      <c r="B547" s="622"/>
      <c r="C547" s="622"/>
      <c r="D547" s="622"/>
      <c r="E547" s="627"/>
    </row>
    <row r="548" spans="1:5" s="618" customFormat="1" ht="21.75" customHeight="1">
      <c r="A548" s="619"/>
      <c r="B548" s="622"/>
      <c r="C548" s="622"/>
      <c r="D548" s="622"/>
      <c r="E548" s="627"/>
    </row>
    <row r="549" spans="1:5" s="618" customFormat="1" ht="21.75" customHeight="1">
      <c r="A549" s="619"/>
      <c r="B549" s="622"/>
      <c r="C549" s="622"/>
      <c r="D549" s="622"/>
      <c r="E549" s="627"/>
    </row>
    <row r="550" spans="1:5" s="618" customFormat="1" ht="21.75" customHeight="1">
      <c r="A550" s="619"/>
      <c r="B550" s="622"/>
      <c r="C550" s="622"/>
      <c r="D550" s="622"/>
      <c r="E550" s="627"/>
    </row>
    <row r="551" spans="1:5" s="618" customFormat="1" ht="21.75" customHeight="1">
      <c r="A551" s="619"/>
      <c r="B551" s="622"/>
      <c r="C551" s="622"/>
      <c r="D551" s="622"/>
      <c r="E551" s="627"/>
    </row>
    <row r="552" spans="1:5" s="618" customFormat="1" ht="21.75" customHeight="1">
      <c r="A552" s="619"/>
      <c r="B552" s="622"/>
      <c r="C552" s="622"/>
      <c r="D552" s="622"/>
      <c r="E552" s="627"/>
    </row>
    <row r="553" spans="1:5" s="618" customFormat="1" ht="21.75" customHeight="1">
      <c r="A553" s="619"/>
      <c r="B553" s="622"/>
      <c r="C553" s="622"/>
      <c r="D553" s="622"/>
      <c r="E553" s="627"/>
    </row>
    <row r="554" spans="1:5" s="618" customFormat="1" ht="21.75" customHeight="1">
      <c r="A554" s="619"/>
      <c r="B554" s="622"/>
      <c r="C554" s="622"/>
      <c r="D554" s="622"/>
      <c r="E554" s="627"/>
    </row>
    <row r="555" spans="1:5" s="618" customFormat="1" ht="21.75" customHeight="1">
      <c r="A555" s="619"/>
      <c r="B555" s="622"/>
      <c r="C555" s="622"/>
      <c r="D555" s="622"/>
      <c r="E555" s="627"/>
    </row>
    <row r="556" spans="1:5" s="618" customFormat="1" ht="21.75" customHeight="1">
      <c r="A556" s="619"/>
      <c r="B556" s="622"/>
      <c r="C556" s="622"/>
      <c r="D556" s="622"/>
      <c r="E556" s="627"/>
    </row>
    <row r="557" spans="1:5" s="618" customFormat="1" ht="21.75" customHeight="1">
      <c r="A557" s="619"/>
      <c r="B557" s="622"/>
      <c r="C557" s="622"/>
      <c r="D557" s="622"/>
      <c r="E557" s="627"/>
    </row>
    <row r="558" spans="1:5" s="618" customFormat="1" ht="21.75" customHeight="1">
      <c r="A558" s="619"/>
      <c r="B558" s="622"/>
      <c r="C558" s="622"/>
      <c r="D558" s="622"/>
      <c r="E558" s="627"/>
    </row>
    <row r="559" spans="1:5" s="618" customFormat="1" ht="21.75" customHeight="1">
      <c r="A559" s="619"/>
      <c r="B559" s="622"/>
      <c r="C559" s="622"/>
      <c r="D559" s="622"/>
      <c r="E559" s="627"/>
    </row>
    <row r="560" spans="1:5" s="618" customFormat="1" ht="21.75" customHeight="1">
      <c r="A560" s="619"/>
      <c r="B560" s="622"/>
      <c r="C560" s="622"/>
      <c r="D560" s="622"/>
      <c r="E560" s="627"/>
    </row>
    <row r="561" spans="1:5" s="618" customFormat="1" ht="21.75" customHeight="1">
      <c r="A561" s="619"/>
      <c r="B561" s="622"/>
      <c r="C561" s="622"/>
      <c r="D561" s="622"/>
      <c r="E561" s="627"/>
    </row>
    <row r="562" spans="1:5" s="618" customFormat="1" ht="21.75" customHeight="1">
      <c r="A562" s="619"/>
      <c r="B562" s="622"/>
      <c r="C562" s="622"/>
      <c r="D562" s="622"/>
      <c r="E562" s="627"/>
    </row>
    <row r="563" spans="1:5" s="618" customFormat="1" ht="21.75" customHeight="1">
      <c r="A563" s="619"/>
      <c r="B563" s="622"/>
      <c r="C563" s="622"/>
      <c r="D563" s="622"/>
      <c r="E563" s="627"/>
    </row>
    <row r="564" spans="1:5" s="618" customFormat="1" ht="21.75" customHeight="1">
      <c r="A564" s="619"/>
      <c r="B564" s="622"/>
      <c r="C564" s="622"/>
      <c r="D564" s="622"/>
      <c r="E564" s="627"/>
    </row>
    <row r="565" spans="1:5" s="618" customFormat="1" ht="21.75" customHeight="1">
      <c r="A565" s="619"/>
      <c r="B565" s="622"/>
      <c r="C565" s="622"/>
      <c r="D565" s="622"/>
      <c r="E565" s="627"/>
    </row>
    <row r="566" spans="1:5" s="618" customFormat="1" ht="21.75" customHeight="1">
      <c r="A566" s="619"/>
      <c r="B566" s="622"/>
      <c r="C566" s="622"/>
      <c r="D566" s="622"/>
      <c r="E566" s="627"/>
    </row>
    <row r="567" spans="1:5" s="618" customFormat="1" ht="21.75" customHeight="1">
      <c r="A567" s="619"/>
      <c r="B567" s="622"/>
      <c r="C567" s="622"/>
      <c r="D567" s="622"/>
      <c r="E567" s="627"/>
    </row>
    <row r="568" spans="1:5" s="618" customFormat="1" ht="21.75" customHeight="1">
      <c r="A568" s="619"/>
      <c r="B568" s="622"/>
      <c r="C568" s="622"/>
      <c r="D568" s="622"/>
      <c r="E568" s="627"/>
    </row>
    <row r="569" spans="1:5" s="618" customFormat="1" ht="21.75" customHeight="1">
      <c r="A569" s="619"/>
      <c r="B569" s="622"/>
      <c r="C569" s="622"/>
      <c r="D569" s="622"/>
      <c r="E569" s="627"/>
    </row>
    <row r="570" spans="1:5" s="618" customFormat="1" ht="21.75" customHeight="1">
      <c r="A570" s="619"/>
      <c r="B570" s="622"/>
      <c r="C570" s="622"/>
      <c r="D570" s="622"/>
      <c r="E570" s="627"/>
    </row>
    <row r="571" spans="1:5" s="618" customFormat="1" ht="21.75" customHeight="1">
      <c r="A571" s="619"/>
      <c r="B571" s="622"/>
      <c r="C571" s="622"/>
      <c r="D571" s="622"/>
      <c r="E571" s="627"/>
    </row>
    <row r="572" spans="1:5" s="618" customFormat="1" ht="21.75" customHeight="1">
      <c r="A572" s="619"/>
      <c r="B572" s="622"/>
      <c r="C572" s="622"/>
      <c r="D572" s="622"/>
      <c r="E572" s="627"/>
    </row>
    <row r="573" spans="1:5" s="618" customFormat="1" ht="21.75" customHeight="1">
      <c r="A573" s="619"/>
      <c r="B573" s="622"/>
      <c r="C573" s="622"/>
      <c r="D573" s="622"/>
      <c r="E573" s="627"/>
    </row>
    <row r="574" spans="1:5" s="618" customFormat="1" ht="21.75" customHeight="1">
      <c r="A574" s="619"/>
      <c r="B574" s="622"/>
      <c r="C574" s="622"/>
      <c r="D574" s="622"/>
      <c r="E574" s="627"/>
    </row>
    <row r="575" spans="1:5" s="618" customFormat="1" ht="21.75" customHeight="1">
      <c r="A575" s="619"/>
      <c r="B575" s="622"/>
      <c r="C575" s="622"/>
      <c r="D575" s="622"/>
      <c r="E575" s="627"/>
    </row>
    <row r="576" spans="1:5" s="618" customFormat="1" ht="21.75" customHeight="1">
      <c r="A576" s="619"/>
      <c r="B576" s="622"/>
      <c r="C576" s="622"/>
      <c r="D576" s="622"/>
      <c r="E576" s="627"/>
    </row>
    <row r="577" spans="1:5" s="618" customFormat="1" ht="21.75" customHeight="1">
      <c r="A577" s="619"/>
      <c r="B577" s="622"/>
      <c r="C577" s="622"/>
      <c r="D577" s="622"/>
      <c r="E577" s="627"/>
    </row>
    <row r="578" spans="1:5" s="618" customFormat="1" ht="21.75" customHeight="1">
      <c r="A578" s="619"/>
      <c r="B578" s="622"/>
      <c r="C578" s="622"/>
      <c r="D578" s="622"/>
      <c r="E578" s="627"/>
    </row>
    <row r="579" spans="1:5" s="618" customFormat="1" ht="21.75" customHeight="1">
      <c r="A579" s="619"/>
      <c r="B579" s="622"/>
      <c r="C579" s="622"/>
      <c r="D579" s="622"/>
      <c r="E579" s="627"/>
    </row>
    <row r="580" spans="1:5" s="618" customFormat="1" ht="21.75" customHeight="1">
      <c r="A580" s="619"/>
      <c r="B580" s="622"/>
      <c r="C580" s="622"/>
      <c r="D580" s="622"/>
      <c r="E580" s="627"/>
    </row>
    <row r="581" spans="1:5" s="618" customFormat="1" ht="21.75" customHeight="1">
      <c r="A581" s="619"/>
      <c r="B581" s="622"/>
      <c r="C581" s="622"/>
      <c r="D581" s="622"/>
      <c r="E581" s="627"/>
    </row>
    <row r="582" spans="1:5" s="618" customFormat="1" ht="21.75" customHeight="1">
      <c r="A582" s="619"/>
      <c r="B582" s="622"/>
      <c r="C582" s="622"/>
      <c r="D582" s="622"/>
      <c r="E582" s="627"/>
    </row>
    <row r="583" spans="1:5" s="618" customFormat="1" ht="21.75" customHeight="1">
      <c r="A583" s="619"/>
      <c r="B583" s="622"/>
      <c r="C583" s="622"/>
      <c r="D583" s="622"/>
      <c r="E583" s="627"/>
    </row>
    <row r="584" spans="1:5" s="618" customFormat="1" ht="21.75" customHeight="1">
      <c r="A584" s="619"/>
      <c r="B584" s="622"/>
      <c r="C584" s="622"/>
      <c r="D584" s="622"/>
      <c r="E584" s="627"/>
    </row>
    <row r="585" spans="1:5" s="618" customFormat="1" ht="21.75" customHeight="1">
      <c r="A585" s="619"/>
      <c r="B585" s="622"/>
      <c r="C585" s="622"/>
      <c r="D585" s="622"/>
      <c r="E585" s="627"/>
    </row>
    <row r="586" spans="1:5" s="618" customFormat="1" ht="21.75" customHeight="1">
      <c r="A586" s="619"/>
      <c r="B586" s="622"/>
      <c r="C586" s="622"/>
      <c r="D586" s="622"/>
      <c r="E586" s="627"/>
    </row>
    <row r="587" spans="1:5" s="618" customFormat="1" ht="21.75" customHeight="1">
      <c r="A587" s="619"/>
      <c r="B587" s="622"/>
      <c r="C587" s="622"/>
      <c r="D587" s="622"/>
      <c r="E587" s="627"/>
    </row>
    <row r="588" spans="1:5" s="618" customFormat="1" ht="21.75" customHeight="1">
      <c r="A588" s="619"/>
      <c r="B588" s="622"/>
      <c r="C588" s="622"/>
      <c r="D588" s="622"/>
      <c r="E588" s="627"/>
    </row>
    <row r="589" spans="1:5" s="618" customFormat="1" ht="21.75" customHeight="1">
      <c r="A589" s="619"/>
      <c r="B589" s="622"/>
      <c r="C589" s="622"/>
      <c r="D589" s="622"/>
      <c r="E589" s="627"/>
    </row>
    <row r="590" spans="1:5" s="618" customFormat="1" ht="21.75" customHeight="1">
      <c r="A590" s="619"/>
      <c r="B590" s="622"/>
      <c r="C590" s="622"/>
      <c r="D590" s="622"/>
      <c r="E590" s="627"/>
    </row>
    <row r="591" spans="1:5" s="618" customFormat="1" ht="21.75" customHeight="1">
      <c r="A591" s="619"/>
      <c r="B591" s="622"/>
      <c r="C591" s="622"/>
      <c r="D591" s="622"/>
      <c r="E591" s="627"/>
    </row>
    <row r="592" spans="1:5" s="618" customFormat="1" ht="21.75" customHeight="1">
      <c r="A592" s="619"/>
      <c r="B592" s="622"/>
      <c r="C592" s="622"/>
      <c r="D592" s="622"/>
      <c r="E592" s="627"/>
    </row>
    <row r="593" spans="1:5" s="618" customFormat="1" ht="21.75" customHeight="1">
      <c r="A593" s="619"/>
      <c r="B593" s="622"/>
      <c r="C593" s="622"/>
      <c r="D593" s="622"/>
      <c r="E593" s="627"/>
    </row>
    <row r="594" spans="1:5" s="618" customFormat="1" ht="21.75" customHeight="1">
      <c r="A594" s="619"/>
      <c r="B594" s="622"/>
      <c r="C594" s="622"/>
      <c r="D594" s="622"/>
      <c r="E594" s="627"/>
    </row>
    <row r="595" spans="1:5" s="618" customFormat="1" ht="21.75" customHeight="1">
      <c r="A595" s="619"/>
      <c r="B595" s="622"/>
      <c r="C595" s="622"/>
      <c r="D595" s="622"/>
      <c r="E595" s="627"/>
    </row>
    <row r="596" spans="1:5" s="618" customFormat="1" ht="21.75" customHeight="1">
      <c r="A596" s="619"/>
      <c r="B596" s="622"/>
      <c r="C596" s="622"/>
      <c r="D596" s="622"/>
      <c r="E596" s="627"/>
    </row>
    <row r="597" spans="1:5" s="618" customFormat="1" ht="21.75" customHeight="1">
      <c r="A597" s="619"/>
      <c r="B597" s="622"/>
      <c r="C597" s="622"/>
      <c r="D597" s="622"/>
      <c r="E597" s="627"/>
    </row>
    <row r="598" spans="1:5" s="618" customFormat="1" ht="21.75" customHeight="1">
      <c r="A598" s="619"/>
      <c r="B598" s="622"/>
      <c r="C598" s="622"/>
      <c r="D598" s="622"/>
      <c r="E598" s="627"/>
    </row>
    <row r="599" spans="1:5" s="618" customFormat="1" ht="21.75" customHeight="1">
      <c r="A599" s="619"/>
      <c r="B599" s="622"/>
      <c r="C599" s="622"/>
      <c r="D599" s="622"/>
      <c r="E599" s="627"/>
    </row>
    <row r="600" spans="1:5" s="618" customFormat="1" ht="21.75" customHeight="1">
      <c r="A600" s="619"/>
      <c r="B600" s="622"/>
      <c r="C600" s="622"/>
      <c r="D600" s="622"/>
      <c r="E600" s="627"/>
    </row>
    <row r="601" spans="1:5" s="618" customFormat="1" ht="21.75" customHeight="1">
      <c r="A601" s="619"/>
      <c r="B601" s="622"/>
      <c r="C601" s="622"/>
      <c r="D601" s="622"/>
      <c r="E601" s="627"/>
    </row>
    <row r="602" spans="1:5" s="618" customFormat="1" ht="21.75" customHeight="1">
      <c r="A602" s="619"/>
      <c r="B602" s="622"/>
      <c r="C602" s="622"/>
      <c r="D602" s="622"/>
      <c r="E602" s="627"/>
    </row>
    <row r="603" spans="1:5" s="618" customFormat="1" ht="21.75" customHeight="1">
      <c r="A603" s="619"/>
      <c r="B603" s="622"/>
      <c r="C603" s="622"/>
      <c r="D603" s="622"/>
      <c r="E603" s="627"/>
    </row>
    <row r="604" spans="1:5" s="618" customFormat="1" ht="21.75" customHeight="1">
      <c r="A604" s="619"/>
      <c r="B604" s="622"/>
      <c r="C604" s="622"/>
      <c r="D604" s="622"/>
      <c r="E604" s="627"/>
    </row>
    <row r="605" spans="1:5" s="618" customFormat="1" ht="21.75" customHeight="1">
      <c r="A605" s="619"/>
      <c r="B605" s="622"/>
      <c r="C605" s="622"/>
      <c r="D605" s="622"/>
      <c r="E605" s="627"/>
    </row>
    <row r="606" spans="1:5" s="618" customFormat="1" ht="21.75" customHeight="1">
      <c r="A606" s="619"/>
      <c r="B606" s="622"/>
      <c r="C606" s="622"/>
      <c r="D606" s="622"/>
      <c r="E606" s="627"/>
    </row>
    <row r="607" spans="1:5" s="618" customFormat="1" ht="21.75" customHeight="1">
      <c r="A607" s="619"/>
      <c r="B607" s="622"/>
      <c r="C607" s="622"/>
      <c r="D607" s="622"/>
      <c r="E607" s="627"/>
    </row>
    <row r="608" spans="1:5" s="618" customFormat="1" ht="21.75" customHeight="1">
      <c r="A608" s="619"/>
      <c r="B608" s="622"/>
      <c r="C608" s="622"/>
      <c r="D608" s="622"/>
      <c r="E608" s="627"/>
    </row>
    <row r="609" spans="1:5" s="618" customFormat="1" ht="21.75" customHeight="1">
      <c r="A609" s="619"/>
      <c r="B609" s="622"/>
      <c r="C609" s="622"/>
      <c r="D609" s="622"/>
      <c r="E609" s="627"/>
    </row>
    <row r="610" spans="1:5" s="618" customFormat="1" ht="21.75" customHeight="1">
      <c r="A610" s="619"/>
      <c r="B610" s="622"/>
      <c r="C610" s="622"/>
      <c r="D610" s="622"/>
      <c r="E610" s="627"/>
    </row>
    <row r="611" spans="1:5" s="618" customFormat="1" ht="21.75" customHeight="1">
      <c r="A611" s="619"/>
      <c r="B611" s="622"/>
      <c r="C611" s="622"/>
      <c r="D611" s="622"/>
      <c r="E611" s="627"/>
    </row>
    <row r="612" spans="1:5" s="618" customFormat="1" ht="21.75" customHeight="1">
      <c r="A612" s="619"/>
      <c r="B612" s="622"/>
      <c r="C612" s="622"/>
      <c r="D612" s="622"/>
      <c r="E612" s="627"/>
    </row>
    <row r="613" spans="1:5" s="618" customFormat="1" ht="21.75" customHeight="1">
      <c r="A613" s="619"/>
      <c r="B613" s="622"/>
      <c r="C613" s="622"/>
      <c r="D613" s="622"/>
      <c r="E613" s="627"/>
    </row>
    <row r="614" spans="1:5" s="618" customFormat="1" ht="21.75" customHeight="1">
      <c r="A614" s="619"/>
      <c r="B614" s="622"/>
      <c r="C614" s="622"/>
      <c r="D614" s="622"/>
      <c r="E614" s="627"/>
    </row>
    <row r="615" spans="1:5" s="618" customFormat="1" ht="21.75" customHeight="1">
      <c r="A615" s="619"/>
      <c r="B615" s="622"/>
      <c r="C615" s="622"/>
      <c r="D615" s="622"/>
      <c r="E615" s="627"/>
    </row>
    <row r="616" spans="1:5" s="618" customFormat="1" ht="21.75" customHeight="1">
      <c r="A616" s="619"/>
      <c r="B616" s="622"/>
      <c r="C616" s="622"/>
      <c r="D616" s="622"/>
      <c r="E616" s="627"/>
    </row>
    <row r="617" spans="1:5" s="618" customFormat="1" ht="21.75" customHeight="1">
      <c r="A617" s="619"/>
      <c r="B617" s="622"/>
      <c r="C617" s="622"/>
      <c r="D617" s="622"/>
      <c r="E617" s="627"/>
    </row>
    <row r="618" spans="1:5" s="618" customFormat="1" ht="21.75" customHeight="1">
      <c r="A618" s="619"/>
      <c r="B618" s="622"/>
      <c r="C618" s="622"/>
      <c r="D618" s="622"/>
      <c r="E618" s="627"/>
    </row>
    <row r="619" spans="1:5" s="618" customFormat="1" ht="21.75" customHeight="1">
      <c r="A619" s="619"/>
      <c r="B619" s="622"/>
      <c r="C619" s="622"/>
      <c r="D619" s="622"/>
      <c r="E619" s="627"/>
    </row>
    <row r="620" spans="1:5" s="618" customFormat="1" ht="21.75" customHeight="1">
      <c r="A620" s="619"/>
      <c r="B620" s="622"/>
      <c r="C620" s="622"/>
      <c r="D620" s="622"/>
      <c r="E620" s="627"/>
    </row>
    <row r="621" spans="1:5" s="618" customFormat="1" ht="21.75" customHeight="1">
      <c r="A621" s="619"/>
      <c r="B621" s="622"/>
      <c r="C621" s="622"/>
      <c r="D621" s="622"/>
      <c r="E621" s="627"/>
    </row>
    <row r="622" spans="1:5" s="618" customFormat="1" ht="21.75" customHeight="1">
      <c r="A622" s="619"/>
      <c r="B622" s="622"/>
      <c r="C622" s="622"/>
      <c r="D622" s="622"/>
      <c r="E622" s="627"/>
    </row>
    <row r="623" spans="1:5" s="618" customFormat="1" ht="21.75" customHeight="1">
      <c r="A623" s="619"/>
      <c r="B623" s="622"/>
      <c r="C623" s="622"/>
      <c r="D623" s="622"/>
      <c r="E623" s="627"/>
    </row>
    <row r="624" spans="1:5" s="618" customFormat="1" ht="21.75" customHeight="1">
      <c r="A624" s="619"/>
      <c r="B624" s="622"/>
      <c r="C624" s="622"/>
      <c r="D624" s="622"/>
      <c r="E624" s="627"/>
    </row>
    <row r="625" spans="1:5" s="618" customFormat="1" ht="21.75" customHeight="1">
      <c r="A625" s="619"/>
      <c r="B625" s="622"/>
      <c r="C625" s="622"/>
      <c r="D625" s="622"/>
      <c r="E625" s="627"/>
    </row>
    <row r="626" spans="1:5" s="618" customFormat="1" ht="21.75" customHeight="1">
      <c r="A626" s="619"/>
      <c r="B626" s="622"/>
      <c r="C626" s="622"/>
      <c r="D626" s="622"/>
      <c r="E626" s="627"/>
    </row>
    <row r="627" spans="1:5" s="618" customFormat="1" ht="21.75" customHeight="1">
      <c r="A627" s="619"/>
      <c r="B627" s="622"/>
      <c r="C627" s="622"/>
      <c r="D627" s="622"/>
      <c r="E627" s="627"/>
    </row>
    <row r="628" spans="1:5" s="618" customFormat="1" ht="21.75" customHeight="1">
      <c r="A628" s="619"/>
      <c r="B628" s="622"/>
      <c r="C628" s="622"/>
      <c r="D628" s="622"/>
      <c r="E628" s="627"/>
    </row>
    <row r="629" spans="1:5" s="618" customFormat="1" ht="21.75" customHeight="1">
      <c r="A629" s="619"/>
      <c r="B629" s="622"/>
      <c r="C629" s="622"/>
      <c r="D629" s="622"/>
      <c r="E629" s="627"/>
    </row>
    <row r="630" spans="1:5" s="618" customFormat="1" ht="21.75" customHeight="1">
      <c r="A630" s="619"/>
      <c r="B630" s="622"/>
      <c r="C630" s="622"/>
      <c r="D630" s="622"/>
      <c r="E630" s="627"/>
    </row>
    <row r="631" spans="1:5" s="618" customFormat="1" ht="21.75" customHeight="1">
      <c r="A631" s="619"/>
      <c r="B631" s="622"/>
      <c r="C631" s="622"/>
      <c r="D631" s="622"/>
      <c r="E631" s="627"/>
    </row>
    <row r="632" spans="1:5" s="618" customFormat="1" ht="21.75" customHeight="1">
      <c r="A632" s="619"/>
      <c r="B632" s="622"/>
      <c r="C632" s="622"/>
      <c r="D632" s="622"/>
      <c r="E632" s="627"/>
    </row>
    <row r="633" spans="1:5" s="618" customFormat="1" ht="21.75" customHeight="1">
      <c r="A633" s="619"/>
      <c r="B633" s="622"/>
      <c r="C633" s="622"/>
      <c r="D633" s="622"/>
      <c r="E633" s="627"/>
    </row>
    <row r="634" spans="1:5" s="618" customFormat="1" ht="21.75" customHeight="1">
      <c r="A634" s="619"/>
      <c r="B634" s="622"/>
      <c r="C634" s="622"/>
      <c r="D634" s="622"/>
      <c r="E634" s="627"/>
    </row>
    <row r="635" spans="1:5" s="618" customFormat="1" ht="21.75" customHeight="1">
      <c r="A635" s="619"/>
      <c r="B635" s="622"/>
      <c r="C635" s="622"/>
      <c r="D635" s="622"/>
      <c r="E635" s="627"/>
    </row>
    <row r="636" spans="1:5" s="618" customFormat="1" ht="21.75" customHeight="1">
      <c r="A636" s="619"/>
      <c r="B636" s="622"/>
      <c r="C636" s="622"/>
      <c r="D636" s="622"/>
      <c r="E636" s="627"/>
    </row>
    <row r="637" spans="1:5" s="618" customFormat="1" ht="21.75" customHeight="1">
      <c r="A637" s="619"/>
      <c r="B637" s="622"/>
      <c r="C637" s="622"/>
      <c r="D637" s="622"/>
      <c r="E637" s="627"/>
    </row>
    <row r="638" spans="1:5" s="618" customFormat="1" ht="21.75" customHeight="1">
      <c r="A638" s="619"/>
      <c r="B638" s="622"/>
      <c r="C638" s="622"/>
      <c r="D638" s="622"/>
      <c r="E638" s="627"/>
    </row>
    <row r="639" spans="1:5" s="618" customFormat="1" ht="21.75" customHeight="1">
      <c r="A639" s="619"/>
      <c r="B639" s="622"/>
      <c r="C639" s="622"/>
      <c r="D639" s="622"/>
      <c r="E639" s="627"/>
    </row>
    <row r="640" spans="1:5" s="618" customFormat="1" ht="21.75" customHeight="1">
      <c r="A640" s="619"/>
      <c r="B640" s="622"/>
      <c r="C640" s="622"/>
      <c r="D640" s="622"/>
      <c r="E640" s="627"/>
    </row>
    <row r="641" spans="1:5" s="618" customFormat="1" ht="21.75" customHeight="1">
      <c r="A641" s="619"/>
      <c r="B641" s="622"/>
      <c r="C641" s="622"/>
      <c r="D641" s="622"/>
      <c r="E641" s="627"/>
    </row>
    <row r="642" spans="1:5" s="618" customFormat="1" ht="21.75" customHeight="1">
      <c r="A642" s="619"/>
      <c r="B642" s="622"/>
      <c r="C642" s="622"/>
      <c r="D642" s="622"/>
      <c r="E642" s="627"/>
    </row>
    <row r="643" spans="1:5" s="618" customFormat="1" ht="21.75" customHeight="1">
      <c r="A643" s="619"/>
      <c r="B643" s="622"/>
      <c r="C643" s="622"/>
      <c r="D643" s="622"/>
      <c r="E643" s="627"/>
    </row>
    <row r="644" spans="1:5" s="618" customFormat="1" ht="21.75" customHeight="1">
      <c r="A644" s="619"/>
      <c r="B644" s="622"/>
      <c r="C644" s="622"/>
      <c r="D644" s="622"/>
      <c r="E644" s="627"/>
    </row>
    <row r="645" spans="1:5" s="618" customFormat="1" ht="21.75" customHeight="1">
      <c r="A645" s="619"/>
      <c r="B645" s="622"/>
      <c r="C645" s="622"/>
      <c r="D645" s="622"/>
      <c r="E645" s="627"/>
    </row>
    <row r="646" spans="1:5" s="618" customFormat="1" ht="21.75" customHeight="1">
      <c r="A646" s="619"/>
      <c r="B646" s="622"/>
      <c r="C646" s="622"/>
      <c r="D646" s="622"/>
      <c r="E646" s="627"/>
    </row>
    <row r="647" spans="1:5" s="618" customFormat="1" ht="21.75" customHeight="1">
      <c r="A647" s="619"/>
      <c r="B647" s="622"/>
      <c r="C647" s="622"/>
      <c r="D647" s="622"/>
      <c r="E647" s="627"/>
    </row>
    <row r="648" spans="1:5" s="618" customFormat="1" ht="21.75" customHeight="1">
      <c r="A648" s="619"/>
      <c r="B648" s="622"/>
      <c r="C648" s="622"/>
      <c r="D648" s="622"/>
      <c r="E648" s="627"/>
    </row>
    <row r="649" spans="1:5" s="618" customFormat="1" ht="21.75" customHeight="1">
      <c r="A649" s="619"/>
      <c r="B649" s="622"/>
      <c r="C649" s="622"/>
      <c r="D649" s="622"/>
      <c r="E649" s="627"/>
    </row>
    <row r="650" spans="1:5" s="618" customFormat="1" ht="21.75" customHeight="1">
      <c r="A650" s="619"/>
      <c r="B650" s="622"/>
      <c r="C650" s="622"/>
      <c r="D650" s="622"/>
      <c r="E650" s="627"/>
    </row>
    <row r="651" spans="1:5" s="618" customFormat="1" ht="21.75" customHeight="1">
      <c r="A651" s="619"/>
      <c r="B651" s="622"/>
      <c r="C651" s="622"/>
      <c r="D651" s="622"/>
      <c r="E651" s="627"/>
    </row>
    <row r="652" spans="1:5" s="618" customFormat="1" ht="21.75" customHeight="1">
      <c r="A652" s="619"/>
      <c r="B652" s="622"/>
      <c r="C652" s="622"/>
      <c r="D652" s="622"/>
      <c r="E652" s="627"/>
    </row>
    <row r="653" spans="1:5" s="618" customFormat="1" ht="21.75" customHeight="1">
      <c r="A653" s="619"/>
      <c r="B653" s="622"/>
      <c r="C653" s="622"/>
      <c r="D653" s="622"/>
      <c r="E653" s="627"/>
    </row>
    <row r="654" spans="1:5" s="618" customFormat="1" ht="21.75" customHeight="1">
      <c r="A654" s="619"/>
      <c r="B654" s="622"/>
      <c r="C654" s="622"/>
      <c r="D654" s="622"/>
      <c r="E654" s="627"/>
    </row>
    <row r="655" spans="1:5" s="618" customFormat="1" ht="21.75" customHeight="1">
      <c r="A655" s="619"/>
      <c r="B655" s="622"/>
      <c r="C655" s="622"/>
      <c r="D655" s="622"/>
      <c r="E655" s="627"/>
    </row>
    <row r="656" spans="1:5" s="618" customFormat="1" ht="21.75" customHeight="1">
      <c r="A656" s="619"/>
      <c r="B656" s="622"/>
      <c r="C656" s="622"/>
      <c r="D656" s="622"/>
      <c r="E656" s="627"/>
    </row>
    <row r="657" spans="1:5" s="618" customFormat="1" ht="21.75" customHeight="1">
      <c r="A657" s="619"/>
      <c r="B657" s="622"/>
      <c r="C657" s="622"/>
      <c r="D657" s="622"/>
      <c r="E657" s="627"/>
    </row>
    <row r="658" spans="1:5" s="618" customFormat="1" ht="21.75" customHeight="1">
      <c r="A658" s="619"/>
      <c r="B658" s="622"/>
      <c r="C658" s="622"/>
      <c r="D658" s="622"/>
      <c r="E658" s="627"/>
    </row>
    <row r="659" spans="1:5" s="618" customFormat="1" ht="21.75" customHeight="1">
      <c r="A659" s="619"/>
      <c r="B659" s="622"/>
      <c r="C659" s="622"/>
      <c r="D659" s="622"/>
      <c r="E659" s="627"/>
    </row>
    <row r="660" spans="1:5" s="618" customFormat="1" ht="21.75" customHeight="1">
      <c r="A660" s="619"/>
      <c r="B660" s="622"/>
      <c r="C660" s="622"/>
      <c r="D660" s="622"/>
      <c r="E660" s="627"/>
    </row>
    <row r="661" spans="1:5" s="618" customFormat="1" ht="21.75" customHeight="1">
      <c r="A661" s="619"/>
      <c r="B661" s="622"/>
      <c r="C661" s="622"/>
      <c r="D661" s="622"/>
      <c r="E661" s="627"/>
    </row>
    <row r="662" spans="1:5" s="618" customFormat="1" ht="21.75" customHeight="1">
      <c r="A662" s="619"/>
      <c r="B662" s="622"/>
      <c r="C662" s="622"/>
      <c r="D662" s="622"/>
      <c r="E662" s="627"/>
    </row>
    <row r="663" spans="1:5" s="618" customFormat="1" ht="21.75" customHeight="1">
      <c r="A663" s="619"/>
      <c r="B663" s="622"/>
      <c r="C663" s="622"/>
      <c r="D663" s="622"/>
      <c r="E663" s="627"/>
    </row>
    <row r="664" spans="1:5" s="618" customFormat="1" ht="21.75" customHeight="1">
      <c r="A664" s="619"/>
      <c r="B664" s="622"/>
      <c r="C664" s="622"/>
      <c r="D664" s="622"/>
      <c r="E664" s="627"/>
    </row>
    <row r="665" spans="1:5" s="618" customFormat="1" ht="21.75" customHeight="1">
      <c r="A665" s="619"/>
      <c r="B665" s="622"/>
      <c r="C665" s="622"/>
      <c r="D665" s="622"/>
      <c r="E665" s="627"/>
    </row>
    <row r="666" spans="1:5" s="618" customFormat="1" ht="21.75" customHeight="1">
      <c r="A666" s="619"/>
      <c r="B666" s="622"/>
      <c r="C666" s="622"/>
      <c r="D666" s="622"/>
      <c r="E666" s="627"/>
    </row>
    <row r="667" spans="1:5" s="618" customFormat="1" ht="21.75" customHeight="1">
      <c r="A667" s="619"/>
      <c r="B667" s="622"/>
      <c r="C667" s="622"/>
      <c r="D667" s="622"/>
      <c r="E667" s="627"/>
    </row>
    <row r="668" spans="1:5" s="618" customFormat="1" ht="21.75" customHeight="1">
      <c r="A668" s="619"/>
      <c r="B668" s="622"/>
      <c r="C668" s="622"/>
      <c r="D668" s="622"/>
      <c r="E668" s="627"/>
    </row>
    <row r="669" spans="1:5" s="618" customFormat="1" ht="21.75" customHeight="1">
      <c r="A669" s="619"/>
      <c r="B669" s="622"/>
      <c r="C669" s="622"/>
      <c r="D669" s="622"/>
      <c r="E669" s="627"/>
    </row>
    <row r="670" spans="1:5" s="618" customFormat="1" ht="21.75" customHeight="1">
      <c r="A670" s="619"/>
      <c r="B670" s="622"/>
      <c r="C670" s="622"/>
      <c r="D670" s="622"/>
      <c r="E670" s="627"/>
    </row>
    <row r="671" spans="1:5" s="618" customFormat="1" ht="21.75" customHeight="1">
      <c r="A671" s="619"/>
      <c r="B671" s="622"/>
      <c r="C671" s="622"/>
      <c r="D671" s="622"/>
      <c r="E671" s="627"/>
    </row>
    <row r="672" spans="1:5" s="618" customFormat="1" ht="21.75" customHeight="1">
      <c r="A672" s="619"/>
      <c r="B672" s="622"/>
      <c r="C672" s="622"/>
      <c r="D672" s="622"/>
      <c r="E672" s="627"/>
    </row>
    <row r="673" spans="1:5" s="618" customFormat="1" ht="21.75" customHeight="1">
      <c r="A673" s="619"/>
      <c r="B673" s="622"/>
      <c r="C673" s="622"/>
      <c r="D673" s="622"/>
      <c r="E673" s="627"/>
    </row>
    <row r="674" spans="1:5" s="618" customFormat="1" ht="21.75" customHeight="1">
      <c r="A674" s="619"/>
      <c r="B674" s="622"/>
      <c r="C674" s="622"/>
      <c r="D674" s="622"/>
      <c r="E674" s="627"/>
    </row>
    <row r="675" spans="1:5" s="618" customFormat="1" ht="21.75" customHeight="1">
      <c r="A675" s="619"/>
      <c r="B675" s="622"/>
      <c r="C675" s="622"/>
      <c r="D675" s="622"/>
      <c r="E675" s="627"/>
    </row>
    <row r="676" spans="1:5" s="618" customFormat="1" ht="21.75" customHeight="1">
      <c r="A676" s="619"/>
      <c r="B676" s="622"/>
      <c r="C676" s="622"/>
      <c r="D676" s="622"/>
      <c r="E676" s="627"/>
    </row>
    <row r="677" spans="1:5" s="618" customFormat="1" ht="21.75" customHeight="1">
      <c r="A677" s="619"/>
      <c r="B677" s="622"/>
      <c r="C677" s="622"/>
      <c r="D677" s="622"/>
      <c r="E677" s="627"/>
    </row>
    <row r="678" spans="1:5" s="618" customFormat="1" ht="21.75" customHeight="1">
      <c r="A678" s="619"/>
      <c r="B678" s="622"/>
      <c r="C678" s="622"/>
      <c r="D678" s="622"/>
      <c r="E678" s="627"/>
    </row>
    <row r="679" spans="1:5" s="618" customFormat="1" ht="21.75" customHeight="1">
      <c r="A679" s="619"/>
      <c r="B679" s="622"/>
      <c r="C679" s="622"/>
      <c r="D679" s="622"/>
      <c r="E679" s="627"/>
    </row>
    <row r="680" spans="1:5" s="618" customFormat="1" ht="21.75" customHeight="1">
      <c r="A680" s="619"/>
      <c r="B680" s="622"/>
      <c r="C680" s="622"/>
      <c r="D680" s="622"/>
      <c r="E680" s="627"/>
    </row>
    <row r="681" spans="1:5" s="618" customFormat="1" ht="21.75" customHeight="1">
      <c r="A681" s="619"/>
      <c r="B681" s="622"/>
      <c r="C681" s="622"/>
      <c r="D681" s="622"/>
      <c r="E681" s="627"/>
    </row>
    <row r="682" spans="1:5" s="618" customFormat="1" ht="21.75" customHeight="1">
      <c r="A682" s="619"/>
      <c r="B682" s="622"/>
      <c r="C682" s="622"/>
      <c r="D682" s="622"/>
      <c r="E682" s="627"/>
    </row>
    <row r="683" spans="1:5" s="618" customFormat="1" ht="21.75" customHeight="1">
      <c r="A683" s="619"/>
      <c r="B683" s="622"/>
      <c r="C683" s="622"/>
      <c r="D683" s="622"/>
      <c r="E683" s="627"/>
    </row>
    <row r="684" spans="1:5" s="618" customFormat="1" ht="21.75" customHeight="1">
      <c r="A684" s="619"/>
      <c r="B684" s="622"/>
      <c r="C684" s="622"/>
      <c r="D684" s="622"/>
      <c r="E684" s="627"/>
    </row>
    <row r="685" spans="1:5" s="618" customFormat="1" ht="21.75" customHeight="1">
      <c r="A685" s="619"/>
      <c r="B685" s="622"/>
      <c r="C685" s="622"/>
      <c r="D685" s="622"/>
      <c r="E685" s="627"/>
    </row>
    <row r="686" spans="1:5" s="618" customFormat="1" ht="21.75" customHeight="1">
      <c r="A686" s="619"/>
      <c r="B686" s="622"/>
      <c r="C686" s="622"/>
      <c r="D686" s="622"/>
      <c r="E686" s="627"/>
    </row>
    <row r="687" spans="1:5" s="618" customFormat="1" ht="21.75" customHeight="1">
      <c r="A687" s="619"/>
      <c r="B687" s="622"/>
      <c r="C687" s="622"/>
      <c r="D687" s="622"/>
      <c r="E687" s="627"/>
    </row>
    <row r="688" spans="1:5" s="618" customFormat="1" ht="21.75" customHeight="1">
      <c r="A688" s="619"/>
      <c r="B688" s="622"/>
      <c r="C688" s="622"/>
      <c r="D688" s="622"/>
      <c r="E688" s="627"/>
    </row>
    <row r="689" spans="1:5" s="618" customFormat="1" ht="21.75" customHeight="1">
      <c r="A689" s="619"/>
      <c r="B689" s="622"/>
      <c r="C689" s="622"/>
      <c r="D689" s="622"/>
      <c r="E689" s="627"/>
    </row>
    <row r="690" spans="1:5" s="618" customFormat="1" ht="21.75" customHeight="1">
      <c r="A690" s="619"/>
      <c r="B690" s="622"/>
      <c r="C690" s="622"/>
      <c r="D690" s="622"/>
      <c r="E690" s="627"/>
    </row>
    <row r="691" spans="1:5" s="618" customFormat="1" ht="21.75" customHeight="1">
      <c r="A691" s="619"/>
      <c r="B691" s="622"/>
      <c r="C691" s="622"/>
      <c r="D691" s="622"/>
      <c r="E691" s="627"/>
    </row>
    <row r="692" spans="1:5" s="618" customFormat="1" ht="21.75" customHeight="1">
      <c r="A692" s="619"/>
      <c r="B692" s="622"/>
      <c r="C692" s="622"/>
      <c r="D692" s="622"/>
      <c r="E692" s="627"/>
    </row>
    <row r="693" spans="1:5" s="618" customFormat="1" ht="21.75" customHeight="1">
      <c r="A693" s="619"/>
      <c r="B693" s="622"/>
      <c r="C693" s="622"/>
      <c r="D693" s="622"/>
      <c r="E693" s="627"/>
    </row>
    <row r="694" spans="1:5" s="618" customFormat="1" ht="21.75" customHeight="1">
      <c r="A694" s="619"/>
      <c r="B694" s="622"/>
      <c r="C694" s="622"/>
      <c r="D694" s="622"/>
      <c r="E694" s="627"/>
    </row>
    <row r="695" spans="1:5" s="618" customFormat="1" ht="21.75" customHeight="1">
      <c r="A695" s="619"/>
      <c r="B695" s="622"/>
      <c r="C695" s="622"/>
      <c r="D695" s="622"/>
      <c r="E695" s="627"/>
    </row>
    <row r="696" spans="1:5" s="618" customFormat="1" ht="21.75" customHeight="1">
      <c r="A696" s="619"/>
      <c r="B696" s="622"/>
      <c r="C696" s="622"/>
      <c r="D696" s="622"/>
      <c r="E696" s="627"/>
    </row>
    <row r="697" spans="1:5" s="618" customFormat="1" ht="21.75" customHeight="1">
      <c r="A697" s="619"/>
      <c r="B697" s="622"/>
      <c r="C697" s="622"/>
      <c r="D697" s="622"/>
      <c r="E697" s="627"/>
    </row>
    <row r="698" spans="1:5" s="618" customFormat="1" ht="21.75" customHeight="1">
      <c r="A698" s="619"/>
      <c r="B698" s="622"/>
      <c r="C698" s="622"/>
      <c r="D698" s="622"/>
      <c r="E698" s="627"/>
    </row>
    <row r="699" spans="1:5" s="618" customFormat="1" ht="21.75" customHeight="1">
      <c r="A699" s="619"/>
      <c r="B699" s="622"/>
      <c r="C699" s="622"/>
      <c r="D699" s="622"/>
      <c r="E699" s="627"/>
    </row>
    <row r="700" spans="1:5" s="618" customFormat="1" ht="21.75" customHeight="1">
      <c r="A700" s="619"/>
      <c r="B700" s="622"/>
      <c r="C700" s="622"/>
      <c r="D700" s="622"/>
      <c r="E700" s="627"/>
    </row>
    <row r="701" spans="1:5" s="618" customFormat="1" ht="21.75" customHeight="1">
      <c r="A701" s="619"/>
      <c r="B701" s="622"/>
      <c r="C701" s="622"/>
      <c r="D701" s="622"/>
      <c r="E701" s="627"/>
    </row>
    <row r="702" spans="1:5" s="618" customFormat="1" ht="21.75" customHeight="1">
      <c r="A702" s="619"/>
      <c r="B702" s="622"/>
      <c r="C702" s="622"/>
      <c r="D702" s="622"/>
      <c r="E702" s="627"/>
    </row>
    <row r="703" spans="1:5" s="618" customFormat="1" ht="21.75" customHeight="1">
      <c r="A703" s="619"/>
      <c r="B703" s="622"/>
      <c r="C703" s="622"/>
      <c r="D703" s="622"/>
      <c r="E703" s="627"/>
    </row>
    <row r="704" spans="1:5" s="618" customFormat="1" ht="21.75" customHeight="1">
      <c r="A704" s="619"/>
      <c r="B704" s="622"/>
      <c r="C704" s="622"/>
      <c r="D704" s="622"/>
      <c r="E704" s="627"/>
    </row>
    <row r="705" spans="1:5" s="618" customFormat="1" ht="21.75" customHeight="1">
      <c r="A705" s="619"/>
      <c r="B705" s="622"/>
      <c r="C705" s="622"/>
      <c r="D705" s="622"/>
      <c r="E705" s="627"/>
    </row>
    <row r="706" spans="1:5" s="618" customFormat="1" ht="21.75" customHeight="1">
      <c r="A706" s="619"/>
      <c r="B706" s="622"/>
      <c r="C706" s="622"/>
      <c r="D706" s="622"/>
      <c r="E706" s="627"/>
    </row>
    <row r="707" spans="1:5" s="618" customFormat="1" ht="21.75" customHeight="1">
      <c r="A707" s="619"/>
      <c r="B707" s="622"/>
      <c r="C707" s="622"/>
      <c r="D707" s="622"/>
      <c r="E707" s="627"/>
    </row>
    <row r="708" spans="1:5" s="618" customFormat="1" ht="21.75" customHeight="1">
      <c r="A708" s="619"/>
      <c r="B708" s="622"/>
      <c r="C708" s="622"/>
      <c r="D708" s="622"/>
      <c r="E708" s="627"/>
    </row>
    <row r="709" spans="1:5" s="618" customFormat="1" ht="21.75" customHeight="1">
      <c r="A709" s="619"/>
      <c r="B709" s="622"/>
      <c r="C709" s="622"/>
      <c r="D709" s="622"/>
      <c r="E709" s="627"/>
    </row>
    <row r="710" spans="1:5" s="618" customFormat="1" ht="21.75" customHeight="1">
      <c r="A710" s="619"/>
      <c r="B710" s="622"/>
      <c r="C710" s="622"/>
      <c r="D710" s="622"/>
      <c r="E710" s="627"/>
    </row>
    <row r="711" spans="1:5" s="618" customFormat="1" ht="21.75" customHeight="1">
      <c r="A711" s="619"/>
      <c r="B711" s="622"/>
      <c r="C711" s="622"/>
      <c r="D711" s="622"/>
      <c r="E711" s="627"/>
    </row>
    <row r="712" spans="1:5" s="618" customFormat="1" ht="21.75" customHeight="1">
      <c r="A712" s="619"/>
      <c r="B712" s="622"/>
      <c r="C712" s="622"/>
      <c r="D712" s="622"/>
      <c r="E712" s="627"/>
    </row>
    <row r="713" spans="1:5" s="618" customFormat="1" ht="21.75" customHeight="1">
      <c r="A713" s="619"/>
      <c r="B713" s="622"/>
      <c r="C713" s="622"/>
      <c r="D713" s="622"/>
      <c r="E713" s="627"/>
    </row>
    <row r="714" spans="1:5" s="618" customFormat="1" ht="21.75" customHeight="1">
      <c r="A714" s="619"/>
      <c r="B714" s="622"/>
      <c r="C714" s="622"/>
      <c r="D714" s="622"/>
      <c r="E714" s="627"/>
    </row>
    <row r="715" spans="1:5" s="618" customFormat="1" ht="21.75" customHeight="1">
      <c r="A715" s="619"/>
      <c r="B715" s="622"/>
      <c r="C715" s="622"/>
      <c r="D715" s="622"/>
      <c r="E715" s="627"/>
    </row>
    <row r="716" spans="1:5" s="618" customFormat="1" ht="21.75" customHeight="1">
      <c r="A716" s="619"/>
      <c r="B716" s="622"/>
      <c r="C716" s="622"/>
      <c r="D716" s="622"/>
      <c r="E716" s="627"/>
    </row>
    <row r="717" spans="1:5" s="618" customFormat="1" ht="21.75" customHeight="1">
      <c r="A717" s="619"/>
      <c r="B717" s="622"/>
      <c r="C717" s="622"/>
      <c r="D717" s="622"/>
      <c r="E717" s="627"/>
    </row>
    <row r="718" spans="1:5" s="618" customFormat="1" ht="21.75" customHeight="1">
      <c r="A718" s="619"/>
      <c r="B718" s="622"/>
      <c r="C718" s="622"/>
      <c r="D718" s="622"/>
      <c r="E718" s="627"/>
    </row>
    <row r="719" spans="1:5" s="618" customFormat="1" ht="21.75" customHeight="1">
      <c r="A719" s="619"/>
      <c r="B719" s="622"/>
      <c r="C719" s="622"/>
      <c r="D719" s="622"/>
      <c r="E719" s="627"/>
    </row>
    <row r="720" spans="1:5" s="618" customFormat="1" ht="21.75" customHeight="1">
      <c r="A720" s="619"/>
      <c r="B720" s="622"/>
      <c r="C720" s="622"/>
      <c r="D720" s="622"/>
      <c r="E720" s="627"/>
    </row>
    <row r="721" spans="1:5" s="618" customFormat="1" ht="21.75" customHeight="1">
      <c r="A721" s="619"/>
      <c r="B721" s="622"/>
      <c r="C721" s="622"/>
      <c r="D721" s="622"/>
      <c r="E721" s="627"/>
    </row>
    <row r="722" spans="1:5" s="618" customFormat="1" ht="21.75" customHeight="1">
      <c r="A722" s="619"/>
      <c r="B722" s="622"/>
      <c r="C722" s="622"/>
      <c r="D722" s="622"/>
      <c r="E722" s="627"/>
    </row>
    <row r="723" spans="1:5" s="618" customFormat="1" ht="21.75" customHeight="1">
      <c r="A723" s="619"/>
      <c r="B723" s="622"/>
      <c r="C723" s="622"/>
      <c r="D723" s="622"/>
      <c r="E723" s="627"/>
    </row>
    <row r="724" spans="1:5" s="618" customFormat="1" ht="21.75" customHeight="1">
      <c r="A724" s="619"/>
      <c r="B724" s="622"/>
      <c r="C724" s="622"/>
      <c r="D724" s="622"/>
      <c r="E724" s="627"/>
    </row>
    <row r="725" spans="1:5" s="618" customFormat="1" ht="21.75" customHeight="1">
      <c r="A725" s="619"/>
      <c r="B725" s="622"/>
      <c r="C725" s="622"/>
      <c r="D725" s="622"/>
      <c r="E725" s="627"/>
    </row>
    <row r="726" spans="1:5" s="618" customFormat="1" ht="21.75" customHeight="1">
      <c r="A726" s="619"/>
      <c r="B726" s="622"/>
      <c r="C726" s="622"/>
      <c r="D726" s="622"/>
      <c r="E726" s="627"/>
    </row>
    <row r="727" spans="1:5" s="618" customFormat="1" ht="21.75" customHeight="1">
      <c r="A727" s="619"/>
      <c r="B727" s="622"/>
      <c r="C727" s="622"/>
      <c r="D727" s="622"/>
      <c r="E727" s="627"/>
    </row>
    <row r="728" spans="1:5" s="618" customFormat="1" ht="21.75" customHeight="1">
      <c r="A728" s="619"/>
      <c r="B728" s="622"/>
      <c r="C728" s="622"/>
      <c r="D728" s="622"/>
      <c r="E728" s="627"/>
    </row>
    <row r="729" spans="1:5" s="618" customFormat="1" ht="21.75" customHeight="1">
      <c r="A729" s="619"/>
      <c r="B729" s="622"/>
      <c r="C729" s="622"/>
      <c r="D729" s="622"/>
      <c r="E729" s="627"/>
    </row>
    <row r="730" spans="1:5" s="618" customFormat="1" ht="21.75" customHeight="1">
      <c r="A730" s="619"/>
      <c r="B730" s="622"/>
      <c r="C730" s="622"/>
      <c r="D730" s="622"/>
      <c r="E730" s="627"/>
    </row>
    <row r="731" spans="1:5" s="618" customFormat="1" ht="21.75" customHeight="1">
      <c r="A731" s="619"/>
      <c r="B731" s="622"/>
      <c r="C731" s="622"/>
      <c r="D731" s="622"/>
      <c r="E731" s="627"/>
    </row>
    <row r="732" spans="1:5" s="618" customFormat="1" ht="21.75" customHeight="1">
      <c r="A732" s="619"/>
      <c r="B732" s="622"/>
      <c r="C732" s="622"/>
      <c r="D732" s="622"/>
      <c r="E732" s="627"/>
    </row>
    <row r="733" spans="1:5" s="618" customFormat="1" ht="21.75" customHeight="1">
      <c r="A733" s="619"/>
      <c r="B733" s="622"/>
      <c r="C733" s="622"/>
      <c r="D733" s="622"/>
      <c r="E733" s="627"/>
    </row>
    <row r="734" spans="1:5" s="618" customFormat="1" ht="21.75" customHeight="1">
      <c r="A734" s="619"/>
      <c r="B734" s="622"/>
      <c r="C734" s="622"/>
      <c r="D734" s="622"/>
      <c r="E734" s="627"/>
    </row>
    <row r="735" spans="1:5" s="618" customFormat="1" ht="21.75" customHeight="1">
      <c r="A735" s="619"/>
      <c r="B735" s="622"/>
      <c r="C735" s="622"/>
      <c r="D735" s="622"/>
      <c r="E735" s="627"/>
    </row>
    <row r="736" spans="1:5" s="618" customFormat="1" ht="21.75" customHeight="1">
      <c r="A736" s="619"/>
      <c r="B736" s="622"/>
      <c r="C736" s="622"/>
      <c r="D736" s="622"/>
      <c r="E736" s="627"/>
    </row>
    <row r="737" spans="1:5" s="618" customFormat="1" ht="21.75" customHeight="1">
      <c r="A737" s="619"/>
      <c r="B737" s="622"/>
      <c r="C737" s="622"/>
      <c r="D737" s="622"/>
      <c r="E737" s="627"/>
    </row>
    <row r="738" spans="1:5" s="618" customFormat="1" ht="21.75" customHeight="1">
      <c r="A738" s="619"/>
      <c r="B738" s="622"/>
      <c r="C738" s="622"/>
      <c r="D738" s="622"/>
      <c r="E738" s="627"/>
    </row>
    <row r="739" spans="1:5" s="618" customFormat="1" ht="21.75" customHeight="1">
      <c r="A739" s="619"/>
      <c r="B739" s="622"/>
      <c r="C739" s="622"/>
      <c r="D739" s="622"/>
      <c r="E739" s="627"/>
    </row>
    <row r="740" spans="1:5" s="618" customFormat="1" ht="21.75" customHeight="1">
      <c r="A740" s="619"/>
      <c r="B740" s="622"/>
      <c r="C740" s="622"/>
      <c r="D740" s="622"/>
      <c r="E740" s="627"/>
    </row>
    <row r="741" spans="1:5" s="618" customFormat="1" ht="21.75" customHeight="1">
      <c r="A741" s="619"/>
      <c r="B741" s="622"/>
      <c r="C741" s="622"/>
      <c r="D741" s="622"/>
      <c r="E741" s="627"/>
    </row>
    <row r="742" spans="1:5" s="618" customFormat="1" ht="21.75" customHeight="1">
      <c r="A742" s="619"/>
      <c r="B742" s="622"/>
      <c r="C742" s="622"/>
      <c r="D742" s="622"/>
      <c r="E742" s="627"/>
    </row>
    <row r="743" spans="1:5" s="618" customFormat="1" ht="21.75" customHeight="1">
      <c r="A743" s="619"/>
      <c r="B743" s="622"/>
      <c r="C743" s="622"/>
      <c r="D743" s="622"/>
      <c r="E743" s="627"/>
    </row>
    <row r="744" spans="1:5" s="618" customFormat="1" ht="21.75" customHeight="1">
      <c r="A744" s="619"/>
      <c r="B744" s="622"/>
      <c r="C744" s="622"/>
      <c r="D744" s="622"/>
      <c r="E744" s="627"/>
    </row>
    <row r="745" spans="1:5" s="618" customFormat="1" ht="21.75" customHeight="1">
      <c r="A745" s="619"/>
      <c r="B745" s="622"/>
      <c r="C745" s="622"/>
      <c r="D745" s="622"/>
      <c r="E745" s="627"/>
    </row>
    <row r="746" spans="1:5" s="618" customFormat="1" ht="21.75" customHeight="1">
      <c r="A746" s="619"/>
      <c r="B746" s="622"/>
      <c r="C746" s="622"/>
      <c r="D746" s="622"/>
      <c r="E746" s="627"/>
    </row>
    <row r="747" spans="1:5" s="618" customFormat="1" ht="21.75" customHeight="1">
      <c r="A747" s="619"/>
      <c r="B747" s="622"/>
      <c r="C747" s="622"/>
      <c r="D747" s="622"/>
      <c r="E747" s="627"/>
    </row>
    <row r="748" spans="1:5" s="618" customFormat="1" ht="21.75" customHeight="1">
      <c r="A748" s="619"/>
      <c r="B748" s="622"/>
      <c r="C748" s="622"/>
      <c r="D748" s="622"/>
      <c r="E748" s="627"/>
    </row>
    <row r="749" spans="1:5" s="618" customFormat="1" ht="21.75" customHeight="1">
      <c r="A749" s="619"/>
      <c r="B749" s="622"/>
      <c r="C749" s="622"/>
      <c r="D749" s="622"/>
      <c r="E749" s="627"/>
    </row>
    <row r="750" spans="1:5" s="618" customFormat="1" ht="21.75" customHeight="1">
      <c r="A750" s="619"/>
      <c r="B750" s="622"/>
      <c r="C750" s="622"/>
      <c r="D750" s="622"/>
      <c r="E750" s="627"/>
    </row>
    <row r="751" spans="1:5" s="618" customFormat="1" ht="21.75" customHeight="1">
      <c r="A751" s="619"/>
      <c r="B751" s="622"/>
      <c r="C751" s="622"/>
      <c r="D751" s="622"/>
      <c r="E751" s="627"/>
    </row>
    <row r="752" spans="1:5" s="618" customFormat="1" ht="21.75" customHeight="1">
      <c r="A752" s="619"/>
      <c r="B752" s="622"/>
      <c r="C752" s="622"/>
      <c r="D752" s="622"/>
      <c r="E752" s="627"/>
    </row>
    <row r="753" spans="1:5" s="618" customFormat="1" ht="21.75" customHeight="1">
      <c r="A753" s="619"/>
      <c r="B753" s="622"/>
      <c r="C753" s="622"/>
      <c r="D753" s="622"/>
      <c r="E753" s="627"/>
    </row>
    <row r="754" spans="1:5" s="618" customFormat="1" ht="21.75" customHeight="1">
      <c r="A754" s="619"/>
      <c r="B754" s="622"/>
      <c r="C754" s="622"/>
      <c r="D754" s="622"/>
      <c r="E754" s="627"/>
    </row>
    <row r="755" spans="1:5" s="618" customFormat="1" ht="21.75" customHeight="1">
      <c r="A755" s="619"/>
      <c r="B755" s="622"/>
      <c r="C755" s="622"/>
      <c r="D755" s="622"/>
      <c r="E755" s="627"/>
    </row>
    <row r="756" spans="1:5" s="618" customFormat="1" ht="21.75" customHeight="1">
      <c r="A756" s="619"/>
      <c r="B756" s="622"/>
      <c r="C756" s="622"/>
      <c r="D756" s="622"/>
      <c r="E756" s="627"/>
    </row>
    <row r="757" spans="1:5" s="618" customFormat="1" ht="21.75" customHeight="1">
      <c r="A757" s="619"/>
      <c r="B757" s="622"/>
      <c r="C757" s="622"/>
      <c r="D757" s="622"/>
      <c r="E757" s="627"/>
    </row>
    <row r="758" spans="1:5" s="618" customFormat="1" ht="21.75" customHeight="1">
      <c r="A758" s="619"/>
      <c r="B758" s="622"/>
      <c r="C758" s="622"/>
      <c r="D758" s="622"/>
      <c r="E758" s="627"/>
    </row>
    <row r="759" spans="1:5" s="618" customFormat="1" ht="21.75" customHeight="1">
      <c r="A759" s="619"/>
      <c r="B759" s="622"/>
      <c r="C759" s="622"/>
      <c r="D759" s="622"/>
      <c r="E759" s="627"/>
    </row>
    <row r="760" spans="1:5" s="618" customFormat="1" ht="21.75" customHeight="1">
      <c r="A760" s="619"/>
      <c r="B760" s="622"/>
      <c r="C760" s="622"/>
      <c r="D760" s="622"/>
      <c r="E760" s="627"/>
    </row>
    <row r="761" spans="1:5" s="618" customFormat="1" ht="21.75" customHeight="1">
      <c r="A761" s="619"/>
      <c r="B761" s="622"/>
      <c r="C761" s="622"/>
      <c r="D761" s="622"/>
      <c r="E761" s="627"/>
    </row>
    <row r="762" spans="1:5" s="618" customFormat="1" ht="21.75" customHeight="1">
      <c r="A762" s="619"/>
      <c r="B762" s="622"/>
      <c r="C762" s="622"/>
      <c r="D762" s="622"/>
      <c r="E762" s="627"/>
    </row>
    <row r="763" spans="1:5" s="618" customFormat="1" ht="21.75" customHeight="1">
      <c r="A763" s="619"/>
      <c r="B763" s="622"/>
      <c r="C763" s="622"/>
      <c r="D763" s="622"/>
      <c r="E763" s="627"/>
    </row>
    <row r="764" spans="1:5" s="618" customFormat="1" ht="21.75" customHeight="1">
      <c r="A764" s="619"/>
      <c r="B764" s="622"/>
      <c r="C764" s="622"/>
      <c r="D764" s="622"/>
      <c r="E764" s="627"/>
    </row>
    <row r="765" spans="1:5" s="618" customFormat="1" ht="21.75" customHeight="1">
      <c r="A765" s="619"/>
      <c r="B765" s="622"/>
      <c r="C765" s="622"/>
      <c r="D765" s="622"/>
      <c r="E765" s="627"/>
    </row>
    <row r="766" spans="1:5" s="618" customFormat="1" ht="21.75" customHeight="1">
      <c r="A766" s="619"/>
      <c r="B766" s="622"/>
      <c r="C766" s="622"/>
      <c r="D766" s="622"/>
      <c r="E766" s="627"/>
    </row>
    <row r="767" spans="1:5" s="618" customFormat="1" ht="21.75" customHeight="1">
      <c r="A767" s="619"/>
      <c r="B767" s="622"/>
      <c r="C767" s="622"/>
      <c r="D767" s="622"/>
      <c r="E767" s="627"/>
    </row>
    <row r="768" spans="1:5" s="618" customFormat="1" ht="21.75" customHeight="1">
      <c r="A768" s="619"/>
      <c r="B768" s="622"/>
      <c r="C768" s="622"/>
      <c r="D768" s="622"/>
      <c r="E768" s="627"/>
    </row>
    <row r="769" spans="1:5" s="618" customFormat="1" ht="21.75" customHeight="1">
      <c r="A769" s="619"/>
      <c r="B769" s="622"/>
      <c r="C769" s="622"/>
      <c r="D769" s="622"/>
      <c r="E769" s="627"/>
    </row>
    <row r="770" spans="1:5" s="618" customFormat="1" ht="21.75" customHeight="1">
      <c r="A770" s="619"/>
      <c r="B770" s="622"/>
      <c r="C770" s="622"/>
      <c r="D770" s="622"/>
      <c r="E770" s="627"/>
    </row>
    <row r="771" spans="1:5" s="618" customFormat="1" ht="21.75" customHeight="1">
      <c r="A771" s="619"/>
      <c r="B771" s="622"/>
      <c r="C771" s="622"/>
      <c r="D771" s="622"/>
      <c r="E771" s="627"/>
    </row>
    <row r="772" spans="1:5" s="618" customFormat="1" ht="21.75" customHeight="1">
      <c r="A772" s="619"/>
      <c r="B772" s="622"/>
      <c r="C772" s="622"/>
      <c r="D772" s="622"/>
      <c r="E772" s="627"/>
    </row>
    <row r="773" spans="1:5" s="618" customFormat="1" ht="21.75" customHeight="1">
      <c r="A773" s="619"/>
      <c r="B773" s="622"/>
      <c r="C773" s="622"/>
      <c r="D773" s="622"/>
      <c r="E773" s="627"/>
    </row>
    <row r="774" spans="1:5" s="618" customFormat="1" ht="21.75" customHeight="1">
      <c r="A774" s="619"/>
      <c r="B774" s="622"/>
      <c r="C774" s="622"/>
      <c r="D774" s="622"/>
      <c r="E774" s="627"/>
    </row>
    <row r="775" spans="1:5" s="618" customFormat="1" ht="21.75" customHeight="1">
      <c r="A775" s="619"/>
      <c r="B775" s="622"/>
      <c r="C775" s="622"/>
      <c r="D775" s="622"/>
      <c r="E775" s="627"/>
    </row>
    <row r="776" spans="1:5" s="618" customFormat="1" ht="21.75" customHeight="1">
      <c r="A776" s="619"/>
      <c r="B776" s="622"/>
      <c r="C776" s="622"/>
      <c r="D776" s="622"/>
      <c r="E776" s="627"/>
    </row>
    <row r="777" spans="1:5" s="618" customFormat="1" ht="21.75" customHeight="1">
      <c r="A777" s="619"/>
      <c r="B777" s="622"/>
      <c r="C777" s="622"/>
      <c r="D777" s="622"/>
      <c r="E777" s="627"/>
    </row>
    <row r="778" spans="1:5" s="618" customFormat="1" ht="21.75" customHeight="1">
      <c r="A778" s="619"/>
      <c r="B778" s="622"/>
      <c r="C778" s="622"/>
      <c r="D778" s="622"/>
      <c r="E778" s="627"/>
    </row>
    <row r="779" spans="1:5" s="618" customFormat="1" ht="21.75" customHeight="1">
      <c r="A779" s="619"/>
      <c r="B779" s="622"/>
      <c r="C779" s="622"/>
      <c r="D779" s="622"/>
      <c r="E779" s="627"/>
    </row>
    <row r="780" spans="1:5" s="618" customFormat="1" ht="21.75" customHeight="1">
      <c r="A780" s="619"/>
      <c r="B780" s="622"/>
      <c r="C780" s="622"/>
      <c r="D780" s="622"/>
      <c r="E780" s="627"/>
    </row>
    <row r="781" spans="1:5" s="618" customFormat="1" ht="21.75" customHeight="1">
      <c r="A781" s="619"/>
      <c r="B781" s="622"/>
      <c r="C781" s="622"/>
      <c r="D781" s="622"/>
      <c r="E781" s="627"/>
    </row>
    <row r="782" spans="1:5" s="618" customFormat="1" ht="21.75" customHeight="1">
      <c r="A782" s="619"/>
      <c r="B782" s="622"/>
      <c r="C782" s="622"/>
      <c r="D782" s="622"/>
      <c r="E782" s="627"/>
    </row>
    <row r="783" spans="1:5" s="618" customFormat="1" ht="21.75" customHeight="1">
      <c r="A783" s="619"/>
      <c r="B783" s="622"/>
      <c r="C783" s="622"/>
      <c r="D783" s="622"/>
      <c r="E783" s="627"/>
    </row>
    <row r="784" spans="1:5" s="618" customFormat="1" ht="21.75" customHeight="1">
      <c r="A784" s="619"/>
      <c r="B784" s="622"/>
      <c r="C784" s="622"/>
      <c r="D784" s="622"/>
      <c r="E784" s="627"/>
    </row>
    <row r="785" spans="1:5" s="618" customFormat="1" ht="21.75" customHeight="1">
      <c r="A785" s="619"/>
      <c r="B785" s="622"/>
      <c r="C785" s="622"/>
      <c r="D785" s="622"/>
      <c r="E785" s="627"/>
    </row>
    <row r="786" spans="1:5" s="618" customFormat="1" ht="21.75" customHeight="1">
      <c r="A786" s="619"/>
      <c r="B786" s="622"/>
      <c r="C786" s="622"/>
      <c r="D786" s="622"/>
      <c r="E786" s="627"/>
    </row>
    <row r="787" spans="1:5" s="618" customFormat="1" ht="21.75" customHeight="1">
      <c r="A787" s="619"/>
      <c r="B787" s="622"/>
      <c r="C787" s="622"/>
      <c r="D787" s="622"/>
      <c r="E787" s="627"/>
    </row>
    <row r="788" spans="1:5" s="618" customFormat="1" ht="21.75" customHeight="1">
      <c r="A788" s="619"/>
      <c r="B788" s="622"/>
      <c r="C788" s="622"/>
      <c r="D788" s="622"/>
      <c r="E788" s="627"/>
    </row>
    <row r="789" spans="1:5" s="618" customFormat="1" ht="21.75" customHeight="1">
      <c r="A789" s="619"/>
      <c r="B789" s="622"/>
      <c r="C789" s="622"/>
      <c r="D789" s="622"/>
      <c r="E789" s="627"/>
    </row>
    <row r="790" spans="1:5" s="618" customFormat="1" ht="21.75" customHeight="1">
      <c r="A790" s="619"/>
      <c r="B790" s="622"/>
      <c r="C790" s="622"/>
      <c r="D790" s="622"/>
      <c r="E790" s="627"/>
    </row>
    <row r="791" spans="1:5" s="618" customFormat="1" ht="21.75" customHeight="1">
      <c r="A791" s="619"/>
      <c r="B791" s="622"/>
      <c r="C791" s="622"/>
      <c r="D791" s="622"/>
      <c r="E791" s="627"/>
    </row>
    <row r="792" spans="1:5" s="618" customFormat="1" ht="21.75" customHeight="1">
      <c r="A792" s="619"/>
      <c r="B792" s="622"/>
      <c r="C792" s="622"/>
      <c r="D792" s="622"/>
      <c r="E792" s="627"/>
    </row>
    <row r="793" spans="1:5" s="618" customFormat="1" ht="21.75" customHeight="1">
      <c r="A793" s="619"/>
      <c r="B793" s="622"/>
      <c r="C793" s="622"/>
      <c r="D793" s="622"/>
      <c r="E793" s="627"/>
    </row>
    <row r="794" spans="1:5" s="618" customFormat="1" ht="21.75" customHeight="1">
      <c r="A794" s="619"/>
      <c r="B794" s="622"/>
      <c r="C794" s="622"/>
      <c r="D794" s="622"/>
      <c r="E794" s="627"/>
    </row>
    <row r="795" spans="1:5" s="618" customFormat="1" ht="21.75" customHeight="1">
      <c r="A795" s="619"/>
      <c r="B795" s="622"/>
      <c r="C795" s="622"/>
      <c r="D795" s="622"/>
      <c r="E795" s="627"/>
    </row>
    <row r="796" spans="1:5" s="618" customFormat="1" ht="21.75" customHeight="1">
      <c r="A796" s="619"/>
      <c r="B796" s="622"/>
      <c r="C796" s="622"/>
      <c r="D796" s="622"/>
      <c r="E796" s="627"/>
    </row>
    <row r="797" spans="1:5" s="618" customFormat="1" ht="21.75" customHeight="1">
      <c r="A797" s="619"/>
      <c r="B797" s="622"/>
      <c r="C797" s="622"/>
      <c r="D797" s="622"/>
      <c r="E797" s="627"/>
    </row>
    <row r="798" spans="1:5" s="618" customFormat="1" ht="21.75" customHeight="1">
      <c r="A798" s="619"/>
      <c r="B798" s="622"/>
      <c r="C798" s="622"/>
      <c r="D798" s="622"/>
      <c r="E798" s="627"/>
    </row>
    <row r="799" spans="1:5" s="618" customFormat="1" ht="21.75" customHeight="1">
      <c r="A799" s="619"/>
      <c r="B799" s="622"/>
      <c r="C799" s="622"/>
      <c r="D799" s="622"/>
      <c r="E799" s="627"/>
    </row>
    <row r="800" spans="1:5" s="618" customFormat="1" ht="21.75" customHeight="1">
      <c r="A800" s="619"/>
      <c r="B800" s="622"/>
      <c r="C800" s="622"/>
      <c r="D800" s="622"/>
      <c r="E800" s="627"/>
    </row>
    <row r="801" spans="1:5" s="618" customFormat="1" ht="21.75" customHeight="1">
      <c r="A801" s="619"/>
      <c r="B801" s="622"/>
      <c r="C801" s="622"/>
      <c r="D801" s="622"/>
      <c r="E801" s="627"/>
    </row>
    <row r="802" spans="1:5" s="618" customFormat="1" ht="21.75" customHeight="1">
      <c r="A802" s="619"/>
      <c r="B802" s="622"/>
      <c r="C802" s="622"/>
      <c r="D802" s="622"/>
      <c r="E802" s="627"/>
    </row>
    <row r="803" spans="1:5" s="618" customFormat="1" ht="21.75" customHeight="1">
      <c r="A803" s="619"/>
      <c r="B803" s="622"/>
      <c r="C803" s="622"/>
      <c r="D803" s="622"/>
      <c r="E803" s="627"/>
    </row>
    <row r="804" spans="1:5" s="618" customFormat="1" ht="21.75" customHeight="1">
      <c r="A804" s="619"/>
      <c r="B804" s="622"/>
      <c r="C804" s="622"/>
      <c r="D804" s="622"/>
      <c r="E804" s="627"/>
    </row>
    <row r="805" spans="1:5" s="618" customFormat="1" ht="21.75" customHeight="1">
      <c r="A805" s="619"/>
      <c r="B805" s="622"/>
      <c r="C805" s="622"/>
      <c r="D805" s="622"/>
      <c r="E805" s="627"/>
    </row>
    <row r="806" spans="1:5" s="618" customFormat="1" ht="21.75" customHeight="1">
      <c r="A806" s="619"/>
      <c r="B806" s="622"/>
      <c r="C806" s="622"/>
      <c r="D806" s="622"/>
      <c r="E806" s="627"/>
    </row>
    <row r="807" spans="1:5" s="618" customFormat="1" ht="21.75" customHeight="1">
      <c r="A807" s="619"/>
      <c r="B807" s="622"/>
      <c r="C807" s="622"/>
      <c r="D807" s="622"/>
      <c r="E807" s="627"/>
    </row>
    <row r="808" spans="1:5" s="618" customFormat="1" ht="21.75" customHeight="1">
      <c r="A808" s="619"/>
      <c r="B808" s="622"/>
      <c r="C808" s="622"/>
      <c r="D808" s="622"/>
      <c r="E808" s="627"/>
    </row>
    <row r="809" spans="1:5" s="618" customFormat="1" ht="21.75" customHeight="1">
      <c r="A809" s="619"/>
      <c r="B809" s="622"/>
      <c r="C809" s="622"/>
      <c r="D809" s="622"/>
      <c r="E809" s="627"/>
    </row>
    <row r="810" spans="1:5" s="618" customFormat="1" ht="21.75" customHeight="1">
      <c r="A810" s="619"/>
      <c r="B810" s="622"/>
      <c r="C810" s="622"/>
      <c r="D810" s="622"/>
      <c r="E810" s="627"/>
    </row>
    <row r="811" spans="1:5" s="618" customFormat="1" ht="21.75" customHeight="1">
      <c r="A811" s="619"/>
      <c r="B811" s="622"/>
      <c r="C811" s="622"/>
      <c r="D811" s="622"/>
      <c r="E811" s="627"/>
    </row>
    <row r="812" spans="1:5" s="618" customFormat="1" ht="21.75" customHeight="1">
      <c r="A812" s="619"/>
      <c r="B812" s="622"/>
      <c r="C812" s="622"/>
      <c r="D812" s="622"/>
      <c r="E812" s="627"/>
    </row>
    <row r="813" spans="1:5" s="618" customFormat="1" ht="21.75" customHeight="1">
      <c r="A813" s="619"/>
      <c r="B813" s="622"/>
      <c r="C813" s="622"/>
      <c r="D813" s="622"/>
      <c r="E813" s="627"/>
    </row>
    <row r="814" spans="1:5" s="618" customFormat="1" ht="21.75" customHeight="1">
      <c r="A814" s="619"/>
      <c r="B814" s="622"/>
      <c r="C814" s="622"/>
      <c r="D814" s="622"/>
      <c r="E814" s="627"/>
    </row>
    <row r="815" spans="1:5" s="618" customFormat="1" ht="21.75" customHeight="1">
      <c r="A815" s="619"/>
      <c r="B815" s="622"/>
      <c r="C815" s="622"/>
      <c r="D815" s="622"/>
      <c r="E815" s="627"/>
    </row>
    <row r="816" spans="1:5" s="618" customFormat="1" ht="21.75" customHeight="1">
      <c r="A816" s="619"/>
      <c r="B816" s="622"/>
      <c r="C816" s="622"/>
      <c r="D816" s="622"/>
      <c r="E816" s="627"/>
    </row>
    <row r="817" spans="1:5" s="618" customFormat="1" ht="21.75" customHeight="1">
      <c r="A817" s="619"/>
      <c r="B817" s="622"/>
      <c r="C817" s="622"/>
      <c r="D817" s="622"/>
      <c r="E817" s="627"/>
    </row>
    <row r="818" spans="1:5" s="618" customFormat="1" ht="21.75" customHeight="1">
      <c r="A818" s="619"/>
      <c r="B818" s="622"/>
      <c r="C818" s="622"/>
      <c r="D818" s="622"/>
      <c r="E818" s="627"/>
    </row>
    <row r="819" spans="1:5" s="618" customFormat="1" ht="21.75" customHeight="1">
      <c r="A819" s="619"/>
      <c r="B819" s="622"/>
      <c r="C819" s="622"/>
      <c r="D819" s="622"/>
      <c r="E819" s="627"/>
    </row>
    <row r="820" spans="1:5" s="618" customFormat="1" ht="21.75" customHeight="1">
      <c r="A820" s="619"/>
      <c r="B820" s="622"/>
      <c r="C820" s="622"/>
      <c r="D820" s="622"/>
      <c r="E820" s="627"/>
    </row>
    <row r="821" spans="1:5" s="618" customFormat="1" ht="21.75" customHeight="1">
      <c r="A821" s="619"/>
      <c r="B821" s="622"/>
      <c r="C821" s="622"/>
      <c r="D821" s="622"/>
      <c r="E821" s="627"/>
    </row>
    <row r="822" spans="1:5" s="618" customFormat="1" ht="21.75" customHeight="1">
      <c r="A822" s="619"/>
      <c r="B822" s="622"/>
      <c r="C822" s="622"/>
      <c r="D822" s="622"/>
      <c r="E822" s="627"/>
    </row>
    <row r="823" spans="1:5" s="618" customFormat="1" ht="21.75" customHeight="1">
      <c r="A823" s="619"/>
      <c r="B823" s="622"/>
      <c r="C823" s="622"/>
      <c r="D823" s="622"/>
      <c r="E823" s="627"/>
    </row>
    <row r="824" spans="1:5" s="618" customFormat="1" ht="21.75" customHeight="1">
      <c r="A824" s="619"/>
      <c r="B824" s="622"/>
      <c r="C824" s="622"/>
      <c r="D824" s="622"/>
      <c r="E824" s="627"/>
    </row>
    <row r="825" spans="1:5" s="618" customFormat="1" ht="21.75" customHeight="1">
      <c r="A825" s="619"/>
      <c r="B825" s="622"/>
      <c r="C825" s="622"/>
      <c r="D825" s="622"/>
      <c r="E825" s="627"/>
    </row>
    <row r="826" spans="1:5" s="618" customFormat="1" ht="21.75" customHeight="1">
      <c r="A826" s="619"/>
      <c r="B826" s="622"/>
      <c r="C826" s="622"/>
      <c r="D826" s="622"/>
      <c r="E826" s="627"/>
    </row>
    <row r="827" spans="1:5" s="618" customFormat="1" ht="21.75" customHeight="1">
      <c r="A827" s="619"/>
      <c r="B827" s="622"/>
      <c r="C827" s="622"/>
      <c r="D827" s="622"/>
      <c r="E827" s="627"/>
    </row>
    <row r="828" spans="1:5" s="618" customFormat="1" ht="21.75" customHeight="1">
      <c r="A828" s="619"/>
      <c r="B828" s="622"/>
      <c r="C828" s="622"/>
      <c r="D828" s="622"/>
      <c r="E828" s="627"/>
    </row>
    <row r="829" spans="1:5" s="618" customFormat="1" ht="21.75" customHeight="1">
      <c r="A829" s="619"/>
      <c r="B829" s="622"/>
      <c r="C829" s="622"/>
      <c r="D829" s="622"/>
      <c r="E829" s="627"/>
    </row>
    <row r="830" spans="1:5" s="618" customFormat="1" ht="21.75" customHeight="1">
      <c r="A830" s="619"/>
      <c r="B830" s="622"/>
      <c r="C830" s="622"/>
      <c r="D830" s="622"/>
      <c r="E830" s="627"/>
    </row>
    <row r="831" spans="1:5" s="618" customFormat="1" ht="21.75" customHeight="1">
      <c r="A831" s="619"/>
      <c r="B831" s="622"/>
      <c r="C831" s="622"/>
      <c r="D831" s="622"/>
      <c r="E831" s="627"/>
    </row>
    <row r="832" spans="1:5" s="618" customFormat="1" ht="21.75" customHeight="1">
      <c r="A832" s="619"/>
      <c r="B832" s="622"/>
      <c r="C832" s="622"/>
      <c r="D832" s="622"/>
      <c r="E832" s="627"/>
    </row>
    <row r="833" spans="1:5" s="618" customFormat="1" ht="21.75" customHeight="1">
      <c r="A833" s="619"/>
      <c r="B833" s="622"/>
      <c r="C833" s="622"/>
      <c r="D833" s="622"/>
      <c r="E833" s="627"/>
    </row>
    <row r="834" spans="1:5" s="618" customFormat="1" ht="21.75" customHeight="1">
      <c r="A834" s="619"/>
      <c r="B834" s="622"/>
      <c r="C834" s="622"/>
      <c r="D834" s="622"/>
      <c r="E834" s="627"/>
    </row>
    <row r="835" spans="1:5" s="618" customFormat="1" ht="21.75" customHeight="1">
      <c r="A835" s="619"/>
      <c r="B835" s="622"/>
      <c r="C835" s="622"/>
      <c r="D835" s="622"/>
      <c r="E835" s="627"/>
    </row>
    <row r="836" spans="1:5" s="618" customFormat="1" ht="21.75" customHeight="1">
      <c r="A836" s="619"/>
      <c r="B836" s="622"/>
      <c r="C836" s="622"/>
      <c r="D836" s="622"/>
      <c r="E836" s="627"/>
    </row>
    <row r="837" spans="1:5" s="618" customFormat="1" ht="21.75" customHeight="1">
      <c r="A837" s="619"/>
      <c r="B837" s="622"/>
      <c r="C837" s="622"/>
      <c r="D837" s="622"/>
      <c r="E837" s="627"/>
    </row>
    <row r="838" spans="1:5" s="618" customFormat="1" ht="21.75" customHeight="1">
      <c r="A838" s="619"/>
      <c r="B838" s="622"/>
      <c r="C838" s="622"/>
      <c r="D838" s="622"/>
      <c r="E838" s="627"/>
    </row>
    <row r="839" spans="1:5" s="618" customFormat="1" ht="21.75" customHeight="1">
      <c r="A839" s="619"/>
      <c r="B839" s="622"/>
      <c r="C839" s="622"/>
      <c r="D839" s="622"/>
      <c r="E839" s="627"/>
    </row>
    <row r="840" spans="1:5" s="618" customFormat="1" ht="21.75" customHeight="1">
      <c r="A840" s="619"/>
      <c r="B840" s="622"/>
      <c r="C840" s="622"/>
      <c r="D840" s="622"/>
      <c r="E840" s="627"/>
    </row>
    <row r="841" spans="1:5" s="618" customFormat="1" ht="21.75" customHeight="1">
      <c r="A841" s="619"/>
      <c r="B841" s="622"/>
      <c r="C841" s="622"/>
      <c r="D841" s="622"/>
      <c r="E841" s="627"/>
    </row>
    <row r="842" spans="1:5" s="618" customFormat="1" ht="21.75" customHeight="1">
      <c r="A842" s="619"/>
      <c r="B842" s="622"/>
      <c r="C842" s="622"/>
      <c r="D842" s="622"/>
      <c r="E842" s="627"/>
    </row>
    <row r="843" spans="1:5" s="618" customFormat="1" ht="21.75" customHeight="1">
      <c r="A843" s="619"/>
      <c r="B843" s="622"/>
      <c r="C843" s="622"/>
      <c r="D843" s="622"/>
      <c r="E843" s="627"/>
    </row>
    <row r="844" spans="1:5" s="618" customFormat="1" ht="21.75" customHeight="1">
      <c r="A844" s="619"/>
      <c r="B844" s="622"/>
      <c r="C844" s="622"/>
      <c r="D844" s="622"/>
      <c r="E844" s="627"/>
    </row>
    <row r="845" spans="1:5" s="618" customFormat="1" ht="21.75" customHeight="1">
      <c r="A845" s="619"/>
      <c r="B845" s="622"/>
      <c r="C845" s="622"/>
      <c r="D845" s="622"/>
      <c r="E845" s="627"/>
    </row>
    <row r="846" spans="1:5" s="618" customFormat="1" ht="21.75" customHeight="1">
      <c r="A846" s="619"/>
      <c r="B846" s="622"/>
      <c r="C846" s="622"/>
      <c r="D846" s="622"/>
      <c r="E846" s="627"/>
    </row>
    <row r="847" spans="1:5" s="618" customFormat="1" ht="21.75" customHeight="1">
      <c r="A847" s="619"/>
      <c r="B847" s="622"/>
      <c r="C847" s="622"/>
      <c r="D847" s="622"/>
      <c r="E847" s="627"/>
    </row>
    <row r="848" spans="1:5" s="618" customFormat="1" ht="21.75" customHeight="1">
      <c r="A848" s="619"/>
      <c r="B848" s="622"/>
      <c r="C848" s="622"/>
      <c r="D848" s="622"/>
      <c r="E848" s="627"/>
    </row>
    <row r="849" spans="1:5" s="618" customFormat="1" ht="21.75" customHeight="1">
      <c r="A849" s="619"/>
      <c r="B849" s="622"/>
      <c r="C849" s="622"/>
      <c r="D849" s="622"/>
      <c r="E849" s="627"/>
    </row>
    <row r="850" spans="1:5" s="618" customFormat="1" ht="21.75" customHeight="1">
      <c r="A850" s="619"/>
      <c r="B850" s="622"/>
      <c r="C850" s="622"/>
      <c r="D850" s="622"/>
      <c r="E850" s="627"/>
    </row>
    <row r="851" spans="1:5" s="618" customFormat="1" ht="21.75" customHeight="1">
      <c r="A851" s="619"/>
      <c r="B851" s="622"/>
      <c r="C851" s="622"/>
      <c r="D851" s="622"/>
      <c r="E851" s="627"/>
    </row>
    <row r="852" spans="1:5" s="618" customFormat="1" ht="21.75" customHeight="1">
      <c r="A852" s="619"/>
      <c r="B852" s="622"/>
      <c r="C852" s="622"/>
      <c r="D852" s="622"/>
      <c r="E852" s="627"/>
    </row>
    <row r="853" spans="1:5" s="618" customFormat="1" ht="21.75" customHeight="1">
      <c r="A853" s="619"/>
      <c r="B853" s="622"/>
      <c r="C853" s="622"/>
      <c r="D853" s="622"/>
      <c r="E853" s="627"/>
    </row>
    <row r="854" spans="1:5" s="618" customFormat="1" ht="21.75" customHeight="1">
      <c r="A854" s="619"/>
      <c r="B854" s="622"/>
      <c r="C854" s="622"/>
      <c r="D854" s="622"/>
      <c r="E854" s="627"/>
    </row>
    <row r="855" spans="1:5" s="618" customFormat="1" ht="21.75" customHeight="1">
      <c r="A855" s="619"/>
      <c r="B855" s="622"/>
      <c r="C855" s="622"/>
      <c r="D855" s="622"/>
      <c r="E855" s="627"/>
    </row>
    <row r="856" spans="1:5" s="618" customFormat="1" ht="21.75" customHeight="1">
      <c r="A856" s="619"/>
      <c r="B856" s="622"/>
      <c r="C856" s="622"/>
      <c r="D856" s="622"/>
      <c r="E856" s="627"/>
    </row>
    <row r="857" spans="1:5" s="618" customFormat="1" ht="21.75" customHeight="1">
      <c r="A857" s="619"/>
      <c r="B857" s="622"/>
      <c r="C857" s="622"/>
      <c r="D857" s="622"/>
      <c r="E857" s="627"/>
    </row>
    <row r="858" spans="1:5" s="618" customFormat="1" ht="21.75" customHeight="1">
      <c r="A858" s="619"/>
      <c r="B858" s="622"/>
      <c r="C858" s="622"/>
      <c r="D858" s="622"/>
      <c r="E858" s="627"/>
    </row>
    <row r="859" spans="1:5" s="618" customFormat="1" ht="21.75" customHeight="1">
      <c r="A859" s="619"/>
      <c r="B859" s="622"/>
      <c r="C859" s="622"/>
      <c r="D859" s="622"/>
      <c r="E859" s="627"/>
    </row>
    <row r="860" spans="1:5" s="618" customFormat="1" ht="21.75" customHeight="1">
      <c r="A860" s="619"/>
      <c r="B860" s="622"/>
      <c r="C860" s="622"/>
      <c r="D860" s="622"/>
      <c r="E860" s="627"/>
    </row>
    <row r="861" spans="1:5" s="618" customFormat="1" ht="21.75" customHeight="1">
      <c r="A861" s="619"/>
      <c r="B861" s="622"/>
      <c r="C861" s="622"/>
      <c r="D861" s="622"/>
      <c r="E861" s="627"/>
    </row>
    <row r="862" spans="1:5" s="618" customFormat="1" ht="21.75" customHeight="1">
      <c r="A862" s="619"/>
      <c r="B862" s="622"/>
      <c r="C862" s="622"/>
      <c r="D862" s="622"/>
      <c r="E862" s="627"/>
    </row>
    <row r="863" spans="1:5" s="618" customFormat="1" ht="21.75" customHeight="1">
      <c r="A863" s="619"/>
      <c r="B863" s="622"/>
      <c r="C863" s="622"/>
      <c r="D863" s="622"/>
      <c r="E863" s="627"/>
    </row>
    <row r="864" spans="1:5" s="618" customFormat="1" ht="21.75" customHeight="1">
      <c r="A864" s="619"/>
      <c r="B864" s="622"/>
      <c r="C864" s="622"/>
      <c r="D864" s="622"/>
      <c r="E864" s="627"/>
    </row>
    <row r="865" spans="1:5" s="618" customFormat="1" ht="21.75" customHeight="1">
      <c r="A865" s="619"/>
      <c r="B865" s="622"/>
      <c r="C865" s="622"/>
      <c r="D865" s="622"/>
      <c r="E865" s="627"/>
    </row>
    <row r="866" spans="1:5" s="618" customFormat="1" ht="21.75" customHeight="1">
      <c r="A866" s="619"/>
      <c r="B866" s="622"/>
      <c r="C866" s="622"/>
      <c r="D866" s="622"/>
      <c r="E866" s="627"/>
    </row>
    <row r="867" spans="1:5" s="618" customFormat="1" ht="21.75" customHeight="1">
      <c r="A867" s="619"/>
      <c r="B867" s="622"/>
      <c r="C867" s="622"/>
      <c r="D867" s="622"/>
      <c r="E867" s="627"/>
    </row>
    <row r="868" spans="1:5" s="618" customFormat="1" ht="21.75" customHeight="1">
      <c r="A868" s="619"/>
      <c r="B868" s="622"/>
      <c r="C868" s="622"/>
      <c r="D868" s="622"/>
      <c r="E868" s="627"/>
    </row>
    <row r="869" spans="1:5" s="618" customFormat="1" ht="21.75" customHeight="1">
      <c r="A869" s="619"/>
      <c r="B869" s="622"/>
      <c r="C869" s="622"/>
      <c r="D869" s="622"/>
      <c r="E869" s="627"/>
    </row>
    <row r="870" spans="1:5" s="618" customFormat="1" ht="21.75" customHeight="1">
      <c r="A870" s="619"/>
      <c r="B870" s="622"/>
      <c r="C870" s="622"/>
      <c r="D870" s="622"/>
      <c r="E870" s="627"/>
    </row>
    <row r="871" spans="1:5" s="618" customFormat="1" ht="21.75" customHeight="1">
      <c r="A871" s="619"/>
      <c r="B871" s="622"/>
      <c r="C871" s="622"/>
      <c r="D871" s="622"/>
      <c r="E871" s="627"/>
    </row>
    <row r="872" spans="1:5" s="618" customFormat="1" ht="21.75" customHeight="1">
      <c r="A872" s="619"/>
      <c r="B872" s="622"/>
      <c r="C872" s="622"/>
      <c r="D872" s="622"/>
      <c r="E872" s="627"/>
    </row>
    <row r="873" spans="1:5" s="618" customFormat="1" ht="21.75" customHeight="1">
      <c r="A873" s="619"/>
      <c r="B873" s="622"/>
      <c r="C873" s="622"/>
      <c r="D873" s="622"/>
      <c r="E873" s="627"/>
    </row>
    <row r="874" spans="1:5" s="618" customFormat="1" ht="21.75" customHeight="1">
      <c r="A874" s="619"/>
      <c r="B874" s="622"/>
      <c r="C874" s="622"/>
      <c r="D874" s="622"/>
      <c r="E874" s="627"/>
    </row>
    <row r="875" spans="1:5" s="618" customFormat="1" ht="21.75" customHeight="1">
      <c r="A875" s="619"/>
      <c r="B875" s="622"/>
      <c r="C875" s="622"/>
      <c r="D875" s="622"/>
      <c r="E875" s="627"/>
    </row>
    <row r="876" spans="1:5" s="618" customFormat="1" ht="21.75" customHeight="1">
      <c r="A876" s="619"/>
      <c r="B876" s="622"/>
      <c r="C876" s="622"/>
      <c r="D876" s="622"/>
      <c r="E876" s="627"/>
    </row>
    <row r="877" spans="1:5" s="618" customFormat="1" ht="21.75" customHeight="1">
      <c r="A877" s="619"/>
      <c r="B877" s="622"/>
      <c r="C877" s="622"/>
      <c r="D877" s="622"/>
      <c r="E877" s="627"/>
    </row>
    <row r="878" spans="1:5" s="618" customFormat="1" ht="21.75" customHeight="1">
      <c r="A878" s="619"/>
      <c r="B878" s="622"/>
      <c r="C878" s="622"/>
      <c r="D878" s="622"/>
      <c r="E878" s="627"/>
    </row>
    <row r="879" spans="1:5" s="618" customFormat="1" ht="21.75" customHeight="1">
      <c r="A879" s="619"/>
      <c r="B879" s="622"/>
      <c r="C879" s="622"/>
      <c r="D879" s="622"/>
      <c r="E879" s="627"/>
    </row>
    <row r="880" spans="1:5" s="618" customFormat="1" ht="21.75" customHeight="1">
      <c r="A880" s="619"/>
      <c r="B880" s="622"/>
      <c r="C880" s="622"/>
      <c r="D880" s="622"/>
      <c r="E880" s="627"/>
    </row>
    <row r="881" spans="1:5" s="618" customFormat="1" ht="21.75" customHeight="1">
      <c r="A881" s="619"/>
      <c r="B881" s="622"/>
      <c r="C881" s="622"/>
      <c r="D881" s="622"/>
      <c r="E881" s="627"/>
    </row>
    <row r="882" spans="1:5" s="618" customFormat="1" ht="21.75" customHeight="1">
      <c r="A882" s="619"/>
      <c r="B882" s="622"/>
      <c r="C882" s="622"/>
      <c r="D882" s="622"/>
      <c r="E882" s="627"/>
    </row>
    <row r="883" spans="1:5" s="618" customFormat="1" ht="21.75" customHeight="1">
      <c r="A883" s="619"/>
      <c r="B883" s="622"/>
      <c r="C883" s="622"/>
      <c r="D883" s="622"/>
      <c r="E883" s="627"/>
    </row>
    <row r="884" spans="1:5" s="618" customFormat="1" ht="21.75" customHeight="1">
      <c r="A884" s="619"/>
      <c r="B884" s="622"/>
      <c r="C884" s="622"/>
      <c r="D884" s="622"/>
      <c r="E884" s="627"/>
    </row>
    <row r="885" spans="1:5" s="618" customFormat="1" ht="21.75" customHeight="1">
      <c r="A885" s="619"/>
      <c r="B885" s="622"/>
      <c r="C885" s="622"/>
      <c r="D885" s="622"/>
      <c r="E885" s="627"/>
    </row>
    <row r="886" spans="1:5" s="618" customFormat="1" ht="21.75" customHeight="1">
      <c r="A886" s="619"/>
      <c r="B886" s="622"/>
      <c r="C886" s="622"/>
      <c r="D886" s="622"/>
      <c r="E886" s="627"/>
    </row>
    <row r="887" spans="1:5" s="618" customFormat="1" ht="21.75" customHeight="1">
      <c r="A887" s="619"/>
      <c r="B887" s="622"/>
      <c r="C887" s="622"/>
      <c r="D887" s="622"/>
      <c r="E887" s="627"/>
    </row>
    <row r="888" spans="1:5" s="618" customFormat="1" ht="21.75" customHeight="1">
      <c r="A888" s="619"/>
      <c r="B888" s="622"/>
      <c r="C888" s="622"/>
      <c r="D888" s="622"/>
      <c r="E888" s="627"/>
    </row>
    <row r="889" spans="1:5" s="618" customFormat="1" ht="21.75" customHeight="1">
      <c r="A889" s="619"/>
      <c r="B889" s="622"/>
      <c r="C889" s="622"/>
      <c r="D889" s="622"/>
      <c r="E889" s="627"/>
    </row>
    <row r="890" spans="1:5" s="618" customFormat="1" ht="21.75" customHeight="1">
      <c r="A890" s="619"/>
      <c r="B890" s="622"/>
      <c r="C890" s="622"/>
      <c r="D890" s="622"/>
      <c r="E890" s="627"/>
    </row>
    <row r="891" spans="1:5" s="618" customFormat="1" ht="21.75" customHeight="1">
      <c r="A891" s="619"/>
      <c r="B891" s="622"/>
      <c r="C891" s="622"/>
      <c r="D891" s="622"/>
      <c r="E891" s="627"/>
    </row>
    <row r="892" spans="1:5" s="618" customFormat="1" ht="21.75" customHeight="1">
      <c r="A892" s="619"/>
      <c r="B892" s="622"/>
      <c r="C892" s="622"/>
      <c r="D892" s="622"/>
      <c r="E892" s="627"/>
    </row>
    <row r="893" spans="1:5" s="618" customFormat="1" ht="21.75" customHeight="1">
      <c r="A893" s="619"/>
      <c r="B893" s="622"/>
      <c r="C893" s="622"/>
      <c r="D893" s="622"/>
      <c r="E893" s="627"/>
    </row>
    <row r="894" spans="1:5" s="618" customFormat="1" ht="21.75" customHeight="1">
      <c r="A894" s="619"/>
      <c r="B894" s="622"/>
      <c r="C894" s="622"/>
      <c r="D894" s="622"/>
      <c r="E894" s="627"/>
    </row>
    <row r="895" spans="1:5" s="618" customFormat="1" ht="21.75" customHeight="1">
      <c r="A895" s="619"/>
      <c r="B895" s="622"/>
      <c r="C895" s="622"/>
      <c r="D895" s="622"/>
      <c r="E895" s="627"/>
    </row>
    <row r="896" spans="1:5" s="618" customFormat="1" ht="21.75" customHeight="1">
      <c r="A896" s="619"/>
      <c r="B896" s="622"/>
      <c r="C896" s="622"/>
      <c r="D896" s="622"/>
      <c r="E896" s="627"/>
    </row>
    <row r="897" spans="1:5" s="618" customFormat="1" ht="21.75" customHeight="1">
      <c r="A897" s="619"/>
      <c r="B897" s="622"/>
      <c r="C897" s="622"/>
      <c r="D897" s="622"/>
      <c r="E897" s="627"/>
    </row>
    <row r="898" spans="1:5" s="618" customFormat="1" ht="21.75" customHeight="1">
      <c r="A898" s="619"/>
      <c r="B898" s="622"/>
      <c r="C898" s="622"/>
      <c r="D898" s="622"/>
      <c r="E898" s="627"/>
    </row>
    <row r="899" spans="1:5" s="618" customFormat="1" ht="21.75" customHeight="1">
      <c r="A899" s="619"/>
      <c r="B899" s="622"/>
      <c r="C899" s="622"/>
      <c r="D899" s="622"/>
      <c r="E899" s="627"/>
    </row>
    <row r="900" spans="1:5" s="618" customFormat="1" ht="21.75" customHeight="1">
      <c r="A900" s="619"/>
      <c r="B900" s="622"/>
      <c r="C900" s="622"/>
      <c r="D900" s="622"/>
      <c r="E900" s="627"/>
    </row>
    <row r="901" spans="1:5" s="618" customFormat="1" ht="21.75" customHeight="1">
      <c r="A901" s="619"/>
      <c r="B901" s="622"/>
      <c r="C901" s="622"/>
      <c r="D901" s="622"/>
      <c r="E901" s="627"/>
    </row>
    <row r="902" spans="1:5" s="618" customFormat="1" ht="21.75" customHeight="1">
      <c r="A902" s="619"/>
      <c r="B902" s="622"/>
      <c r="C902" s="622"/>
      <c r="D902" s="622"/>
      <c r="E902" s="627"/>
    </row>
    <row r="903" spans="1:5" s="618" customFormat="1" ht="21.75" customHeight="1">
      <c r="A903" s="619"/>
      <c r="B903" s="622"/>
      <c r="C903" s="622"/>
      <c r="D903" s="622"/>
      <c r="E903" s="627"/>
    </row>
    <row r="904" spans="1:5" s="618" customFormat="1" ht="21.75" customHeight="1">
      <c r="A904" s="619"/>
      <c r="B904" s="622"/>
      <c r="C904" s="622"/>
      <c r="D904" s="622"/>
      <c r="E904" s="627"/>
    </row>
    <row r="905" spans="1:5" s="618" customFormat="1" ht="21.75" customHeight="1">
      <c r="A905" s="619"/>
      <c r="B905" s="622"/>
      <c r="C905" s="622"/>
      <c r="D905" s="622"/>
      <c r="E905" s="627"/>
    </row>
    <row r="906" spans="1:5" s="618" customFormat="1" ht="21.75" customHeight="1">
      <c r="A906" s="619"/>
      <c r="B906" s="622"/>
      <c r="C906" s="622"/>
      <c r="D906" s="622"/>
      <c r="E906" s="627"/>
    </row>
    <row r="907" spans="1:5" s="618" customFormat="1" ht="21.75" customHeight="1">
      <c r="A907" s="619"/>
      <c r="B907" s="622"/>
      <c r="C907" s="622"/>
      <c r="D907" s="622"/>
      <c r="E907" s="627"/>
    </row>
    <row r="908" spans="1:5" s="618" customFormat="1" ht="21.75" customHeight="1">
      <c r="A908" s="619"/>
      <c r="B908" s="622"/>
      <c r="C908" s="622"/>
      <c r="D908" s="622"/>
      <c r="E908" s="627"/>
    </row>
    <row r="909" spans="1:5" s="618" customFormat="1" ht="21.75" customHeight="1">
      <c r="A909" s="619"/>
      <c r="B909" s="622"/>
      <c r="C909" s="622"/>
      <c r="D909" s="622"/>
      <c r="E909" s="627"/>
    </row>
    <row r="910" spans="1:5" s="618" customFormat="1" ht="21.75" customHeight="1">
      <c r="A910" s="619"/>
      <c r="B910" s="622"/>
      <c r="C910" s="622"/>
      <c r="D910" s="622"/>
      <c r="E910" s="627"/>
    </row>
    <row r="911" spans="1:5" s="618" customFormat="1" ht="21.75" customHeight="1">
      <c r="A911" s="619"/>
      <c r="B911" s="622"/>
      <c r="C911" s="622"/>
      <c r="D911" s="622"/>
      <c r="E911" s="627"/>
    </row>
    <row r="912" spans="1:5" s="618" customFormat="1" ht="21.75" customHeight="1">
      <c r="A912" s="619"/>
      <c r="B912" s="622"/>
      <c r="C912" s="622"/>
      <c r="D912" s="622"/>
      <c r="E912" s="627"/>
    </row>
    <row r="913" spans="1:5" s="618" customFormat="1" ht="21.75" customHeight="1">
      <c r="A913" s="619"/>
      <c r="B913" s="622"/>
      <c r="C913" s="622"/>
      <c r="D913" s="622"/>
      <c r="E913" s="627"/>
    </row>
    <row r="914" spans="1:5" s="618" customFormat="1" ht="21.75" customHeight="1">
      <c r="A914" s="619"/>
      <c r="B914" s="622"/>
      <c r="C914" s="622"/>
      <c r="D914" s="622"/>
      <c r="E914" s="627"/>
    </row>
    <row r="915" spans="1:5" s="618" customFormat="1" ht="21.75" customHeight="1">
      <c r="A915" s="619"/>
      <c r="B915" s="622"/>
      <c r="C915" s="622"/>
      <c r="D915" s="622"/>
      <c r="E915" s="627"/>
    </row>
    <row r="916" spans="1:5" s="618" customFormat="1" ht="21.75" customHeight="1">
      <c r="A916" s="619"/>
      <c r="B916" s="622"/>
      <c r="C916" s="622"/>
      <c r="D916" s="622"/>
      <c r="E916" s="627"/>
    </row>
    <row r="917" spans="1:5" s="618" customFormat="1" ht="21.75" customHeight="1">
      <c r="A917" s="619"/>
      <c r="B917" s="622"/>
      <c r="C917" s="622"/>
      <c r="D917" s="622"/>
      <c r="E917" s="627"/>
    </row>
    <row r="918" spans="1:5" s="618" customFormat="1" ht="21.75" customHeight="1">
      <c r="A918" s="619"/>
      <c r="B918" s="622"/>
      <c r="C918" s="622"/>
      <c r="D918" s="622"/>
      <c r="E918" s="627"/>
    </row>
    <row r="919" spans="1:5" s="618" customFormat="1" ht="21.75" customHeight="1">
      <c r="A919" s="619"/>
      <c r="B919" s="622"/>
      <c r="C919" s="622"/>
      <c r="D919" s="622"/>
      <c r="E919" s="627"/>
    </row>
    <row r="920" spans="1:5" s="618" customFormat="1" ht="21.75" customHeight="1">
      <c r="A920" s="619"/>
      <c r="B920" s="622"/>
      <c r="C920" s="622"/>
      <c r="D920" s="622"/>
      <c r="E920" s="627"/>
    </row>
    <row r="921" spans="1:5" s="618" customFormat="1" ht="21.75" customHeight="1">
      <c r="A921" s="619"/>
      <c r="B921" s="622"/>
      <c r="C921" s="622"/>
      <c r="D921" s="622"/>
      <c r="E921" s="627"/>
    </row>
    <row r="922" spans="1:5" s="618" customFormat="1" ht="21.75" customHeight="1">
      <c r="A922" s="619"/>
      <c r="B922" s="622"/>
      <c r="C922" s="622"/>
      <c r="D922" s="622"/>
      <c r="E922" s="627"/>
    </row>
    <row r="923" spans="1:5" s="618" customFormat="1" ht="21.75" customHeight="1">
      <c r="A923" s="619"/>
      <c r="B923" s="622"/>
      <c r="C923" s="622"/>
      <c r="D923" s="622"/>
      <c r="E923" s="627"/>
    </row>
    <row r="924" spans="1:5" s="618" customFormat="1" ht="21.75" customHeight="1">
      <c r="A924" s="619"/>
      <c r="B924" s="622"/>
      <c r="C924" s="622"/>
      <c r="D924" s="622"/>
      <c r="E924" s="627"/>
    </row>
    <row r="925" spans="1:5" s="618" customFormat="1" ht="21.75" customHeight="1">
      <c r="A925" s="619"/>
      <c r="B925" s="622"/>
      <c r="C925" s="622"/>
      <c r="D925" s="622"/>
      <c r="E925" s="627"/>
    </row>
    <row r="926" spans="1:5" s="618" customFormat="1" ht="21.75" customHeight="1">
      <c r="A926" s="619"/>
      <c r="B926" s="622"/>
      <c r="C926" s="622"/>
      <c r="D926" s="622"/>
      <c r="E926" s="627"/>
    </row>
    <row r="927" spans="1:5" s="618" customFormat="1" ht="21.75" customHeight="1">
      <c r="A927" s="619"/>
      <c r="B927" s="622"/>
      <c r="C927" s="622"/>
      <c r="D927" s="622"/>
      <c r="E927" s="627"/>
    </row>
    <row r="928" spans="1:5" s="618" customFormat="1" ht="21.75" customHeight="1">
      <c r="A928" s="619"/>
      <c r="B928" s="622"/>
      <c r="C928" s="622"/>
      <c r="D928" s="622"/>
      <c r="E928" s="627"/>
    </row>
    <row r="929" spans="1:5" s="618" customFormat="1" ht="21.75" customHeight="1">
      <c r="A929" s="619"/>
      <c r="B929" s="622"/>
      <c r="C929" s="622"/>
      <c r="D929" s="622"/>
      <c r="E929" s="627"/>
    </row>
    <row r="930" spans="1:5" s="618" customFormat="1" ht="21.75" customHeight="1">
      <c r="A930" s="619"/>
      <c r="B930" s="622"/>
      <c r="C930" s="622"/>
      <c r="D930" s="622"/>
      <c r="E930" s="627"/>
    </row>
    <row r="931" spans="1:5" s="618" customFormat="1" ht="21.75" customHeight="1">
      <c r="A931" s="619"/>
      <c r="B931" s="622"/>
      <c r="C931" s="622"/>
      <c r="D931" s="622"/>
      <c r="E931" s="627"/>
    </row>
    <row r="932" spans="1:5" s="618" customFormat="1" ht="21.75" customHeight="1">
      <c r="A932" s="619"/>
      <c r="B932" s="622"/>
      <c r="C932" s="622"/>
      <c r="D932" s="622"/>
      <c r="E932" s="627"/>
    </row>
    <row r="933" spans="1:5" s="618" customFormat="1" ht="21.75" customHeight="1">
      <c r="A933" s="619"/>
      <c r="B933" s="622"/>
      <c r="C933" s="622"/>
      <c r="D933" s="622"/>
      <c r="E933" s="627"/>
    </row>
    <row r="934" spans="1:5" s="618" customFormat="1" ht="21.75" customHeight="1">
      <c r="A934" s="619"/>
      <c r="B934" s="622"/>
      <c r="C934" s="622"/>
      <c r="D934" s="622"/>
      <c r="E934" s="627"/>
    </row>
    <row r="935" spans="1:5" s="618" customFormat="1" ht="21.75" customHeight="1">
      <c r="A935" s="619"/>
      <c r="B935" s="622"/>
      <c r="C935" s="622"/>
      <c r="D935" s="622"/>
      <c r="E935" s="627"/>
    </row>
    <row r="936" spans="1:5" s="618" customFormat="1" ht="21.75" customHeight="1">
      <c r="A936" s="619"/>
      <c r="B936" s="622"/>
      <c r="C936" s="622"/>
      <c r="D936" s="622"/>
      <c r="E936" s="627"/>
    </row>
    <row r="937" spans="1:5" s="618" customFormat="1" ht="21.75" customHeight="1">
      <c r="A937" s="619"/>
      <c r="B937" s="622"/>
      <c r="C937" s="622"/>
      <c r="D937" s="622"/>
      <c r="E937" s="627"/>
    </row>
    <row r="938" spans="1:5" s="618" customFormat="1" ht="21.75" customHeight="1">
      <c r="A938" s="619"/>
      <c r="B938" s="622"/>
      <c r="C938" s="622"/>
      <c r="D938" s="622"/>
      <c r="E938" s="627"/>
    </row>
    <row r="939" spans="1:5" s="618" customFormat="1" ht="21.75" customHeight="1">
      <c r="A939" s="619"/>
      <c r="B939" s="622"/>
      <c r="C939" s="622"/>
      <c r="D939" s="622"/>
      <c r="E939" s="627"/>
    </row>
    <row r="940" spans="1:5" s="618" customFormat="1" ht="21.75" customHeight="1">
      <c r="A940" s="619"/>
      <c r="B940" s="622"/>
      <c r="C940" s="622"/>
      <c r="D940" s="622"/>
      <c r="E940" s="627"/>
    </row>
    <row r="941" spans="1:5" s="618" customFormat="1" ht="21.75" customHeight="1">
      <c r="A941" s="619"/>
      <c r="B941" s="622"/>
      <c r="C941" s="622"/>
      <c r="D941" s="622"/>
      <c r="E941" s="627"/>
    </row>
    <row r="942" spans="1:5" s="618" customFormat="1" ht="21.75" customHeight="1">
      <c r="A942" s="619"/>
      <c r="B942" s="622"/>
      <c r="C942" s="622"/>
      <c r="D942" s="622"/>
      <c r="E942" s="627"/>
    </row>
    <row r="943" spans="1:5" s="618" customFormat="1" ht="21.75" customHeight="1">
      <c r="A943" s="619"/>
      <c r="B943" s="622"/>
      <c r="C943" s="622"/>
      <c r="D943" s="622"/>
      <c r="E943" s="627"/>
    </row>
    <row r="944" spans="1:5" s="618" customFormat="1" ht="21.75" customHeight="1">
      <c r="A944" s="619"/>
      <c r="B944" s="622"/>
      <c r="C944" s="622"/>
      <c r="D944" s="622"/>
      <c r="E944" s="627"/>
    </row>
    <row r="945" spans="1:5" s="618" customFormat="1" ht="21.75" customHeight="1">
      <c r="A945" s="619"/>
      <c r="B945" s="622"/>
      <c r="C945" s="622"/>
      <c r="D945" s="622"/>
      <c r="E945" s="627"/>
    </row>
    <row r="946" spans="1:5" s="618" customFormat="1" ht="21.75" customHeight="1">
      <c r="A946" s="619"/>
      <c r="B946" s="622"/>
      <c r="C946" s="622"/>
      <c r="D946" s="622"/>
      <c r="E946" s="627"/>
    </row>
    <row r="947" spans="1:5" s="618" customFormat="1" ht="21.75" customHeight="1">
      <c r="A947" s="619"/>
      <c r="B947" s="622"/>
      <c r="C947" s="622"/>
      <c r="D947" s="622"/>
      <c r="E947" s="627"/>
    </row>
    <row r="948" spans="1:5" s="618" customFormat="1" ht="21.75" customHeight="1">
      <c r="A948" s="619"/>
      <c r="B948" s="622"/>
      <c r="C948" s="622"/>
      <c r="D948" s="622"/>
      <c r="E948" s="627"/>
    </row>
    <row r="949" spans="1:5" s="618" customFormat="1" ht="21.75" customHeight="1">
      <c r="A949" s="619"/>
      <c r="B949" s="622"/>
      <c r="C949" s="622"/>
      <c r="D949" s="622"/>
      <c r="E949" s="627"/>
    </row>
    <row r="950" spans="1:5" s="618" customFormat="1" ht="21.75" customHeight="1">
      <c r="A950" s="619"/>
      <c r="B950" s="622"/>
      <c r="C950" s="622"/>
      <c r="D950" s="622"/>
      <c r="E950" s="627"/>
    </row>
    <row r="951" spans="1:5" s="618" customFormat="1" ht="21.75" customHeight="1">
      <c r="A951" s="619"/>
      <c r="B951" s="622"/>
      <c r="C951" s="622"/>
      <c r="D951" s="622"/>
      <c r="E951" s="627"/>
    </row>
    <row r="952" spans="1:5" s="618" customFormat="1" ht="21.75" customHeight="1">
      <c r="A952" s="619"/>
      <c r="B952" s="622"/>
      <c r="C952" s="622"/>
      <c r="D952" s="622"/>
      <c r="E952" s="627"/>
    </row>
    <row r="953" spans="1:5" s="618" customFormat="1" ht="21.75" customHeight="1">
      <c r="A953" s="619"/>
      <c r="B953" s="622"/>
      <c r="C953" s="622"/>
      <c r="D953" s="622"/>
      <c r="E953" s="627"/>
    </row>
    <row r="954" spans="1:5" s="618" customFormat="1" ht="21.75" customHeight="1">
      <c r="A954" s="619"/>
      <c r="B954" s="622"/>
      <c r="C954" s="622"/>
      <c r="D954" s="622"/>
      <c r="E954" s="627"/>
    </row>
    <row r="955" spans="1:5" s="618" customFormat="1" ht="21.75" customHeight="1">
      <c r="A955" s="619"/>
      <c r="B955" s="622"/>
      <c r="C955" s="622"/>
      <c r="D955" s="622"/>
      <c r="E955" s="627"/>
    </row>
    <row r="956" spans="1:5" s="618" customFormat="1" ht="21.75" customHeight="1">
      <c r="A956" s="619"/>
      <c r="B956" s="622"/>
      <c r="C956" s="622"/>
      <c r="D956" s="622"/>
      <c r="E956" s="627"/>
    </row>
    <row r="957" spans="1:5" s="618" customFormat="1" ht="21.75" customHeight="1">
      <c r="A957" s="619"/>
      <c r="B957" s="622"/>
      <c r="C957" s="622"/>
      <c r="D957" s="622"/>
      <c r="E957" s="627"/>
    </row>
    <row r="958" spans="1:5" s="618" customFormat="1" ht="21.75" customHeight="1">
      <c r="A958" s="619"/>
      <c r="B958" s="622"/>
      <c r="C958" s="622"/>
      <c r="D958" s="622"/>
      <c r="E958" s="627"/>
    </row>
    <row r="959" spans="1:5" s="618" customFormat="1" ht="21.75" customHeight="1">
      <c r="A959" s="619"/>
      <c r="B959" s="622"/>
      <c r="C959" s="622"/>
      <c r="D959" s="622"/>
      <c r="E959" s="627"/>
    </row>
    <row r="960" spans="1:5" s="618" customFormat="1" ht="21.75" customHeight="1">
      <c r="A960" s="619"/>
      <c r="B960" s="622"/>
      <c r="C960" s="622"/>
      <c r="D960" s="622"/>
      <c r="E960" s="627"/>
    </row>
    <row r="961" spans="1:5" s="618" customFormat="1" ht="21.75" customHeight="1">
      <c r="A961" s="619"/>
      <c r="B961" s="622"/>
      <c r="C961" s="622"/>
      <c r="D961" s="622"/>
      <c r="E961" s="627"/>
    </row>
    <row r="962" spans="1:5" s="618" customFormat="1" ht="21.75" customHeight="1">
      <c r="A962" s="619"/>
      <c r="B962" s="622"/>
      <c r="C962" s="622"/>
      <c r="D962" s="622"/>
      <c r="E962" s="627"/>
    </row>
    <row r="963" spans="1:5" s="618" customFormat="1" ht="21.75" customHeight="1">
      <c r="A963" s="619"/>
      <c r="B963" s="622"/>
      <c r="C963" s="622"/>
      <c r="D963" s="622"/>
      <c r="E963" s="627"/>
    </row>
    <row r="964" spans="1:5" s="618" customFormat="1" ht="21.75" customHeight="1">
      <c r="A964" s="619"/>
      <c r="B964" s="622"/>
      <c r="C964" s="622"/>
      <c r="D964" s="622"/>
      <c r="E964" s="627"/>
    </row>
    <row r="965" spans="1:5" s="618" customFormat="1" ht="21.75" customHeight="1">
      <c r="A965" s="619"/>
      <c r="B965" s="622"/>
      <c r="C965" s="622"/>
      <c r="D965" s="622"/>
      <c r="E965" s="627"/>
    </row>
    <row r="966" spans="1:5" s="618" customFormat="1" ht="21.75" customHeight="1">
      <c r="A966" s="619"/>
      <c r="B966" s="622"/>
      <c r="C966" s="622"/>
      <c r="D966" s="622"/>
      <c r="E966" s="627"/>
    </row>
    <row r="967" spans="1:5" s="618" customFormat="1" ht="21.75" customHeight="1">
      <c r="A967" s="619"/>
      <c r="B967" s="622"/>
      <c r="C967" s="622"/>
      <c r="D967" s="622"/>
      <c r="E967" s="627"/>
    </row>
    <row r="968" spans="1:5" s="618" customFormat="1" ht="21.75" customHeight="1">
      <c r="A968" s="619"/>
      <c r="B968" s="622"/>
      <c r="C968" s="622"/>
      <c r="D968" s="622"/>
      <c r="E968" s="627"/>
    </row>
    <row r="969" spans="1:5" s="618" customFormat="1" ht="21.75" customHeight="1">
      <c r="A969" s="619"/>
      <c r="B969" s="622"/>
      <c r="C969" s="622"/>
      <c r="D969" s="622"/>
      <c r="E969" s="627"/>
    </row>
    <row r="970" spans="1:5" s="618" customFormat="1" ht="21.75" customHeight="1">
      <c r="A970" s="619"/>
      <c r="B970" s="622"/>
      <c r="C970" s="622"/>
      <c r="D970" s="622"/>
      <c r="E970" s="627"/>
    </row>
    <row r="971" spans="1:5" s="618" customFormat="1" ht="21.75" customHeight="1">
      <c r="A971" s="619"/>
      <c r="B971" s="622"/>
      <c r="C971" s="622"/>
      <c r="D971" s="622"/>
      <c r="E971" s="627"/>
    </row>
    <row r="972" spans="1:5" s="618" customFormat="1" ht="21.75" customHeight="1">
      <c r="A972" s="619"/>
      <c r="B972" s="622"/>
      <c r="C972" s="622"/>
      <c r="D972" s="622"/>
      <c r="E972" s="627"/>
    </row>
    <row r="973" spans="1:5" s="618" customFormat="1" ht="21.75" customHeight="1">
      <c r="A973" s="619"/>
      <c r="B973" s="622"/>
      <c r="C973" s="622"/>
      <c r="D973" s="622"/>
      <c r="E973" s="627"/>
    </row>
    <row r="974" spans="1:5" s="618" customFormat="1" ht="21.75" customHeight="1">
      <c r="A974" s="619"/>
      <c r="B974" s="622"/>
      <c r="C974" s="622"/>
      <c r="D974" s="622"/>
      <c r="E974" s="627"/>
    </row>
    <row r="975" spans="1:5" s="618" customFormat="1" ht="21.75" customHeight="1">
      <c r="A975" s="619"/>
      <c r="B975" s="622"/>
      <c r="C975" s="622"/>
      <c r="D975" s="622"/>
      <c r="E975" s="627"/>
    </row>
    <row r="976" spans="1:5" s="618" customFormat="1" ht="21.75" customHeight="1">
      <c r="A976" s="619"/>
      <c r="B976" s="622"/>
      <c r="C976" s="622"/>
      <c r="D976" s="622"/>
      <c r="E976" s="627"/>
    </row>
    <row r="977" spans="1:5" s="618" customFormat="1" ht="21.75" customHeight="1">
      <c r="A977" s="619"/>
      <c r="B977" s="622"/>
      <c r="C977" s="622"/>
      <c r="D977" s="622"/>
      <c r="E977" s="627"/>
    </row>
    <row r="978" spans="1:5" s="618" customFormat="1" ht="21.75" customHeight="1">
      <c r="A978" s="619"/>
      <c r="B978" s="622"/>
      <c r="C978" s="622"/>
      <c r="D978" s="622"/>
      <c r="E978" s="627"/>
    </row>
    <row r="979" spans="1:5" s="618" customFormat="1" ht="21.75" customHeight="1">
      <c r="A979" s="619"/>
      <c r="B979" s="622"/>
      <c r="C979" s="622"/>
      <c r="D979" s="622"/>
      <c r="E979" s="627"/>
    </row>
    <row r="980" spans="1:5" s="618" customFormat="1" ht="21.75" customHeight="1">
      <c r="A980" s="619"/>
      <c r="B980" s="622"/>
      <c r="C980" s="622"/>
      <c r="D980" s="622"/>
      <c r="E980" s="627"/>
    </row>
    <row r="981" spans="1:5" s="618" customFormat="1" ht="21.75" customHeight="1">
      <c r="A981" s="619"/>
      <c r="B981" s="622"/>
      <c r="C981" s="622"/>
      <c r="D981" s="622"/>
      <c r="E981" s="627"/>
    </row>
    <row r="982" spans="1:5" s="618" customFormat="1" ht="21.75" customHeight="1">
      <c r="A982" s="619"/>
      <c r="B982" s="622"/>
      <c r="C982" s="622"/>
      <c r="D982" s="622"/>
      <c r="E982" s="627"/>
    </row>
    <row r="983" spans="1:5" s="618" customFormat="1" ht="21.75" customHeight="1">
      <c r="A983" s="619"/>
      <c r="B983" s="622"/>
      <c r="C983" s="622"/>
      <c r="D983" s="622"/>
      <c r="E983" s="627"/>
    </row>
    <row r="984" spans="1:5" s="618" customFormat="1" ht="21.75" customHeight="1">
      <c r="A984" s="619"/>
      <c r="B984" s="622"/>
      <c r="C984" s="622"/>
      <c r="D984" s="622"/>
      <c r="E984" s="627"/>
    </row>
    <row r="985" spans="1:5" s="618" customFormat="1" ht="21.75" customHeight="1">
      <c r="A985" s="619"/>
      <c r="B985" s="622"/>
      <c r="C985" s="622"/>
      <c r="D985" s="622"/>
      <c r="E985" s="627"/>
    </row>
    <row r="986" spans="1:5" s="618" customFormat="1" ht="21.75" customHeight="1">
      <c r="A986" s="619"/>
      <c r="B986" s="622"/>
      <c r="C986" s="622"/>
      <c r="D986" s="622"/>
      <c r="E986" s="627"/>
    </row>
    <row r="987" spans="1:5" s="618" customFormat="1" ht="21.75" customHeight="1">
      <c r="A987" s="619"/>
      <c r="B987" s="622"/>
      <c r="C987" s="622"/>
      <c r="D987" s="622"/>
      <c r="E987" s="627"/>
    </row>
    <row r="988" spans="1:5" s="618" customFormat="1" ht="21.75" customHeight="1">
      <c r="A988" s="619"/>
      <c r="B988" s="622"/>
      <c r="C988" s="622"/>
      <c r="D988" s="622"/>
      <c r="E988" s="627"/>
    </row>
    <row r="989" spans="1:5" s="618" customFormat="1" ht="21.75" customHeight="1">
      <c r="A989" s="619"/>
      <c r="B989" s="622"/>
      <c r="C989" s="622"/>
      <c r="D989" s="622"/>
      <c r="E989" s="627"/>
    </row>
    <row r="990" spans="1:5" s="618" customFormat="1" ht="21.75" customHeight="1">
      <c r="A990" s="619"/>
      <c r="B990" s="622"/>
      <c r="C990" s="622"/>
      <c r="D990" s="622"/>
      <c r="E990" s="627"/>
    </row>
    <row r="991" spans="1:5" s="618" customFormat="1" ht="21.75" customHeight="1">
      <c r="A991" s="619"/>
      <c r="B991" s="622"/>
      <c r="C991" s="622"/>
      <c r="D991" s="622"/>
      <c r="E991" s="627"/>
    </row>
    <row r="992" spans="1:5" s="618" customFormat="1" ht="21.75" customHeight="1">
      <c r="A992" s="619"/>
      <c r="B992" s="622"/>
      <c r="C992" s="622"/>
      <c r="D992" s="622"/>
      <c r="E992" s="627"/>
    </row>
    <row r="993" spans="1:5" s="618" customFormat="1" ht="21.75" customHeight="1">
      <c r="A993" s="619"/>
      <c r="B993" s="622"/>
      <c r="C993" s="622"/>
      <c r="D993" s="622"/>
      <c r="E993" s="627"/>
    </row>
    <row r="994" spans="1:5" s="618" customFormat="1" ht="21.75" customHeight="1">
      <c r="A994" s="619"/>
      <c r="B994" s="622"/>
      <c r="C994" s="622"/>
      <c r="D994" s="622"/>
      <c r="E994" s="627"/>
    </row>
    <row r="995" spans="1:5" s="618" customFormat="1" ht="21.75" customHeight="1">
      <c r="A995" s="619"/>
      <c r="B995" s="622"/>
      <c r="C995" s="622"/>
      <c r="D995" s="622"/>
      <c r="E995" s="627"/>
    </row>
    <row r="996" spans="1:5" s="618" customFormat="1" ht="21.75" customHeight="1">
      <c r="A996" s="619"/>
      <c r="B996" s="622"/>
      <c r="C996" s="622"/>
      <c r="D996" s="622"/>
      <c r="E996" s="627"/>
    </row>
    <row r="997" spans="1:5" s="618" customFormat="1" ht="21.75" customHeight="1">
      <c r="A997" s="619"/>
      <c r="B997" s="622"/>
      <c r="C997" s="622"/>
      <c r="D997" s="622"/>
      <c r="E997" s="627"/>
    </row>
    <row r="998" spans="1:5" s="618" customFormat="1" ht="21.75" customHeight="1">
      <c r="A998" s="619"/>
      <c r="B998" s="622"/>
      <c r="C998" s="622"/>
      <c r="D998" s="622"/>
      <c r="E998" s="627"/>
    </row>
    <row r="999" spans="1:5" s="618" customFormat="1" ht="21.75" customHeight="1">
      <c r="A999" s="619"/>
      <c r="B999" s="622"/>
      <c r="C999" s="622"/>
      <c r="D999" s="622"/>
      <c r="E999" s="627"/>
    </row>
    <row r="1000" spans="1:5" s="618" customFormat="1" ht="21.75" customHeight="1">
      <c r="A1000" s="619"/>
      <c r="B1000" s="622"/>
      <c r="C1000" s="622"/>
      <c r="D1000" s="622"/>
      <c r="E1000" s="627"/>
    </row>
    <row r="1001" spans="1:5" s="618" customFormat="1" ht="21.75" customHeight="1">
      <c r="A1001" s="619"/>
      <c r="B1001" s="622"/>
      <c r="C1001" s="622"/>
      <c r="D1001" s="622"/>
      <c r="E1001" s="627"/>
    </row>
    <row r="1002" spans="1:5" s="618" customFormat="1" ht="21.75" customHeight="1">
      <c r="A1002" s="619"/>
      <c r="B1002" s="622"/>
      <c r="C1002" s="622"/>
      <c r="D1002" s="622"/>
      <c r="E1002" s="627"/>
    </row>
    <row r="1003" spans="1:5" s="618" customFormat="1" ht="21.75" customHeight="1">
      <c r="A1003" s="619"/>
      <c r="B1003" s="622"/>
      <c r="C1003" s="622"/>
      <c r="D1003" s="622"/>
      <c r="E1003" s="627"/>
    </row>
    <row r="1004" spans="1:5" s="618" customFormat="1" ht="21.75" customHeight="1">
      <c r="A1004" s="619"/>
      <c r="B1004" s="622"/>
      <c r="C1004" s="622"/>
      <c r="D1004" s="622"/>
      <c r="E1004" s="627"/>
    </row>
    <row r="1005" spans="1:5" s="618" customFormat="1" ht="21.75" customHeight="1">
      <c r="A1005" s="619"/>
      <c r="B1005" s="622"/>
      <c r="C1005" s="622"/>
      <c r="D1005" s="622"/>
      <c r="E1005" s="627"/>
    </row>
    <row r="1006" spans="1:5" s="618" customFormat="1" ht="21.75" customHeight="1">
      <c r="A1006" s="619"/>
      <c r="B1006" s="622"/>
      <c r="C1006" s="622"/>
      <c r="D1006" s="622"/>
      <c r="E1006" s="627"/>
    </row>
    <row r="1007" spans="1:5" s="618" customFormat="1" ht="21.75" customHeight="1">
      <c r="A1007" s="619"/>
      <c r="B1007" s="622"/>
      <c r="C1007" s="622"/>
      <c r="D1007" s="622"/>
      <c r="E1007" s="627"/>
    </row>
    <row r="1008" spans="1:5" s="618" customFormat="1" ht="21.75" customHeight="1">
      <c r="A1008" s="619"/>
      <c r="B1008" s="622"/>
      <c r="C1008" s="622"/>
      <c r="D1008" s="622"/>
      <c r="E1008" s="627"/>
    </row>
    <row r="1009" spans="1:5" s="618" customFormat="1" ht="21.75" customHeight="1">
      <c r="A1009" s="619"/>
      <c r="B1009" s="622"/>
      <c r="C1009" s="622"/>
      <c r="D1009" s="622"/>
      <c r="E1009" s="627"/>
    </row>
    <row r="1010" spans="1:5" s="618" customFormat="1" ht="21.75" customHeight="1">
      <c r="A1010" s="619"/>
      <c r="B1010" s="622"/>
      <c r="C1010" s="622"/>
      <c r="D1010" s="622"/>
      <c r="E1010" s="627"/>
    </row>
    <row r="1011" spans="1:5" s="618" customFormat="1" ht="21.75" customHeight="1">
      <c r="A1011" s="619"/>
      <c r="B1011" s="622"/>
      <c r="C1011" s="622"/>
      <c r="D1011" s="622"/>
      <c r="E1011" s="627"/>
    </row>
    <row r="1012" spans="1:5" s="618" customFormat="1" ht="21.75" customHeight="1">
      <c r="A1012" s="619"/>
      <c r="B1012" s="622"/>
      <c r="C1012" s="622"/>
      <c r="D1012" s="622"/>
      <c r="E1012" s="627"/>
    </row>
    <row r="1013" spans="1:5" s="618" customFormat="1" ht="21.75" customHeight="1">
      <c r="A1013" s="619"/>
      <c r="B1013" s="622"/>
      <c r="C1013" s="622"/>
      <c r="D1013" s="622"/>
      <c r="E1013" s="627"/>
    </row>
    <row r="1014" spans="1:5" s="618" customFormat="1" ht="21.75" customHeight="1">
      <c r="A1014" s="619"/>
      <c r="B1014" s="622"/>
      <c r="C1014" s="622"/>
      <c r="D1014" s="622"/>
      <c r="E1014" s="627"/>
    </row>
    <row r="1015" spans="1:5" s="618" customFormat="1" ht="21.75" customHeight="1">
      <c r="A1015" s="619"/>
      <c r="B1015" s="622"/>
      <c r="C1015" s="622"/>
      <c r="D1015" s="622"/>
      <c r="E1015" s="627"/>
    </row>
    <row r="1016" spans="1:5" s="618" customFormat="1" ht="21.75" customHeight="1">
      <c r="A1016" s="619"/>
      <c r="B1016" s="622"/>
      <c r="C1016" s="622"/>
      <c r="D1016" s="622"/>
      <c r="E1016" s="627"/>
    </row>
    <row r="1017" spans="1:5" s="618" customFormat="1" ht="21.75" customHeight="1">
      <c r="A1017" s="619"/>
      <c r="B1017" s="622"/>
      <c r="C1017" s="622"/>
      <c r="D1017" s="622"/>
      <c r="E1017" s="627"/>
    </row>
    <row r="1018" spans="1:5" s="618" customFormat="1" ht="21.75" customHeight="1">
      <c r="A1018" s="619"/>
      <c r="B1018" s="622"/>
      <c r="C1018" s="622"/>
      <c r="D1018" s="622"/>
      <c r="E1018" s="627"/>
    </row>
    <row r="1019" spans="1:5" s="618" customFormat="1" ht="21.75" customHeight="1">
      <c r="A1019" s="619"/>
      <c r="B1019" s="622"/>
      <c r="C1019" s="622"/>
      <c r="D1019" s="622"/>
      <c r="E1019" s="627"/>
    </row>
    <row r="1020" spans="1:5" s="618" customFormat="1" ht="21.75" customHeight="1">
      <c r="A1020" s="619"/>
      <c r="B1020" s="622"/>
      <c r="C1020" s="622"/>
      <c r="D1020" s="622"/>
      <c r="E1020" s="627"/>
    </row>
    <row r="1021" spans="1:5" s="618" customFormat="1" ht="21.75" customHeight="1">
      <c r="A1021" s="619"/>
      <c r="B1021" s="622"/>
      <c r="C1021" s="622"/>
      <c r="D1021" s="622"/>
      <c r="E1021" s="627"/>
    </row>
    <row r="1022" spans="1:5" s="618" customFormat="1" ht="21.75" customHeight="1">
      <c r="A1022" s="619"/>
      <c r="B1022" s="622"/>
      <c r="C1022" s="622"/>
      <c r="D1022" s="622"/>
      <c r="E1022" s="627"/>
    </row>
    <row r="1023" spans="1:5" s="618" customFormat="1" ht="21.75" customHeight="1">
      <c r="A1023" s="619"/>
      <c r="B1023" s="622"/>
      <c r="C1023" s="622"/>
      <c r="D1023" s="622"/>
      <c r="E1023" s="627"/>
    </row>
    <row r="1024" spans="1:5" s="618" customFormat="1" ht="21.75" customHeight="1">
      <c r="A1024" s="619"/>
      <c r="B1024" s="622"/>
      <c r="C1024" s="622"/>
      <c r="D1024" s="622"/>
      <c r="E1024" s="627"/>
    </row>
    <row r="1025" spans="1:5" s="618" customFormat="1" ht="21.75" customHeight="1">
      <c r="A1025" s="619"/>
      <c r="B1025" s="622"/>
      <c r="C1025" s="622"/>
      <c r="D1025" s="622"/>
      <c r="E1025" s="627"/>
    </row>
    <row r="1026" spans="1:5" s="618" customFormat="1" ht="21.75" customHeight="1">
      <c r="A1026" s="619"/>
      <c r="B1026" s="622"/>
      <c r="C1026" s="622"/>
      <c r="D1026" s="622"/>
      <c r="E1026" s="627"/>
    </row>
    <row r="1027" spans="1:5" s="618" customFormat="1" ht="21.75" customHeight="1">
      <c r="A1027" s="619"/>
      <c r="B1027" s="622"/>
      <c r="C1027" s="622"/>
      <c r="D1027" s="622"/>
      <c r="E1027" s="627"/>
    </row>
    <row r="1028" spans="1:5" s="618" customFormat="1" ht="21.75" customHeight="1">
      <c r="A1028" s="619"/>
      <c r="B1028" s="622"/>
      <c r="C1028" s="622"/>
      <c r="D1028" s="622"/>
      <c r="E1028" s="627"/>
    </row>
    <row r="1029" spans="1:5" s="618" customFormat="1" ht="21.75" customHeight="1">
      <c r="A1029" s="619"/>
      <c r="B1029" s="622"/>
      <c r="C1029" s="622"/>
      <c r="D1029" s="622"/>
      <c r="E1029" s="627"/>
    </row>
    <row r="1030" spans="1:5" s="618" customFormat="1" ht="21.75" customHeight="1">
      <c r="A1030" s="619"/>
      <c r="B1030" s="622"/>
      <c r="C1030" s="622"/>
      <c r="D1030" s="622"/>
      <c r="E1030" s="627"/>
    </row>
    <row r="1031" spans="1:5" s="618" customFormat="1" ht="21.75" customHeight="1">
      <c r="A1031" s="619"/>
      <c r="B1031" s="622"/>
      <c r="C1031" s="622"/>
      <c r="D1031" s="622"/>
      <c r="E1031" s="627"/>
    </row>
    <row r="1032" spans="1:5" s="618" customFormat="1" ht="21.75" customHeight="1">
      <c r="A1032" s="619"/>
      <c r="B1032" s="622"/>
      <c r="C1032" s="622"/>
      <c r="D1032" s="622"/>
      <c r="E1032" s="627"/>
    </row>
    <row r="1033" spans="1:5" s="618" customFormat="1" ht="21.75" customHeight="1">
      <c r="A1033" s="619"/>
      <c r="B1033" s="622"/>
      <c r="C1033" s="622"/>
      <c r="D1033" s="622"/>
      <c r="E1033" s="627"/>
    </row>
    <row r="1034" spans="1:5" s="618" customFormat="1" ht="21.75" customHeight="1">
      <c r="A1034" s="619"/>
      <c r="B1034" s="622"/>
      <c r="C1034" s="622"/>
      <c r="D1034" s="622"/>
      <c r="E1034" s="627"/>
    </row>
    <row r="1035" spans="1:5" s="618" customFormat="1" ht="21.75" customHeight="1">
      <c r="A1035" s="619"/>
      <c r="B1035" s="622"/>
      <c r="C1035" s="622"/>
      <c r="D1035" s="622"/>
      <c r="E1035" s="627"/>
    </row>
    <row r="1036" spans="1:5" s="618" customFormat="1" ht="21.75" customHeight="1">
      <c r="A1036" s="619"/>
      <c r="B1036" s="622"/>
      <c r="C1036" s="622"/>
      <c r="D1036" s="622"/>
      <c r="E1036" s="627"/>
    </row>
    <row r="1037" spans="1:5" s="618" customFormat="1" ht="21.75" customHeight="1">
      <c r="A1037" s="619"/>
      <c r="B1037" s="622"/>
      <c r="C1037" s="622"/>
      <c r="D1037" s="622"/>
      <c r="E1037" s="627"/>
    </row>
    <row r="1038" spans="1:5" s="618" customFormat="1" ht="21.75" customHeight="1">
      <c r="A1038" s="619"/>
      <c r="B1038" s="622"/>
      <c r="C1038" s="622"/>
      <c r="D1038" s="622"/>
      <c r="E1038" s="627"/>
    </row>
    <row r="1039" spans="1:5" s="618" customFormat="1" ht="21.75" customHeight="1">
      <c r="A1039" s="619"/>
      <c r="B1039" s="622"/>
      <c r="C1039" s="622"/>
      <c r="D1039" s="622"/>
      <c r="E1039" s="627"/>
    </row>
    <row r="1040" spans="1:5" s="618" customFormat="1" ht="21.75" customHeight="1">
      <c r="A1040" s="619"/>
      <c r="B1040" s="622"/>
      <c r="C1040" s="622"/>
      <c r="D1040" s="622"/>
      <c r="E1040" s="627"/>
    </row>
    <row r="1041" spans="1:5" s="618" customFormat="1" ht="21.75" customHeight="1">
      <c r="A1041" s="619"/>
      <c r="B1041" s="622"/>
      <c r="C1041" s="622"/>
      <c r="D1041" s="622"/>
      <c r="E1041" s="627"/>
    </row>
    <row r="1042" spans="1:5" s="618" customFormat="1" ht="21.75" customHeight="1">
      <c r="A1042" s="619"/>
      <c r="B1042" s="622"/>
      <c r="C1042" s="622"/>
      <c r="D1042" s="622"/>
      <c r="E1042" s="627"/>
    </row>
    <row r="1043" spans="1:5" s="618" customFormat="1" ht="21.75" customHeight="1">
      <c r="A1043" s="619"/>
      <c r="B1043" s="622"/>
      <c r="C1043" s="622"/>
      <c r="D1043" s="622"/>
      <c r="E1043" s="627"/>
    </row>
    <row r="1044" spans="1:5" s="618" customFormat="1" ht="21.75" customHeight="1">
      <c r="A1044" s="619"/>
      <c r="B1044" s="622"/>
      <c r="C1044" s="622"/>
      <c r="D1044" s="622"/>
      <c r="E1044" s="627"/>
    </row>
    <row r="1045" spans="1:5" s="618" customFormat="1" ht="21.75" customHeight="1">
      <c r="A1045" s="619"/>
      <c r="B1045" s="622"/>
      <c r="C1045" s="622"/>
      <c r="D1045" s="622"/>
      <c r="E1045" s="627"/>
    </row>
    <row r="1046" spans="1:5" s="618" customFormat="1" ht="21.75" customHeight="1">
      <c r="A1046" s="619"/>
      <c r="B1046" s="622"/>
      <c r="C1046" s="622"/>
      <c r="D1046" s="622"/>
      <c r="E1046" s="627"/>
    </row>
    <row r="1047" spans="1:5" s="618" customFormat="1" ht="21.75" customHeight="1">
      <c r="A1047" s="619"/>
      <c r="B1047" s="622"/>
      <c r="C1047" s="622"/>
      <c r="D1047" s="622"/>
      <c r="E1047" s="627"/>
    </row>
    <row r="1048" spans="1:5" s="618" customFormat="1" ht="21.75" customHeight="1">
      <c r="A1048" s="619"/>
      <c r="B1048" s="622"/>
      <c r="C1048" s="622"/>
      <c r="D1048" s="622"/>
      <c r="E1048" s="627"/>
    </row>
    <row r="1049" spans="1:5" s="618" customFormat="1" ht="21.75" customHeight="1">
      <c r="A1049" s="619"/>
      <c r="B1049" s="622"/>
      <c r="C1049" s="622"/>
      <c r="D1049" s="622"/>
      <c r="E1049" s="627"/>
    </row>
    <row r="1050" spans="1:5" s="618" customFormat="1" ht="21.75" customHeight="1">
      <c r="A1050" s="619"/>
      <c r="B1050" s="622"/>
      <c r="C1050" s="622"/>
      <c r="D1050" s="622"/>
      <c r="E1050" s="627"/>
    </row>
    <row r="1051" spans="1:5" s="618" customFormat="1" ht="21.75" customHeight="1">
      <c r="A1051" s="619"/>
      <c r="B1051" s="622"/>
      <c r="C1051" s="622"/>
      <c r="D1051" s="622"/>
      <c r="E1051" s="627"/>
    </row>
    <row r="1052" spans="1:5" s="618" customFormat="1" ht="21.75" customHeight="1">
      <c r="A1052" s="619"/>
      <c r="B1052" s="622"/>
      <c r="C1052" s="622"/>
      <c r="D1052" s="622"/>
      <c r="E1052" s="627"/>
    </row>
    <row r="1053" spans="1:5" s="618" customFormat="1" ht="21.75" customHeight="1">
      <c r="A1053" s="619"/>
      <c r="B1053" s="622"/>
      <c r="C1053" s="622"/>
      <c r="D1053" s="622"/>
      <c r="E1053" s="627"/>
    </row>
    <row r="1054" spans="1:5" s="618" customFormat="1" ht="21.75" customHeight="1">
      <c r="A1054" s="619"/>
      <c r="B1054" s="622"/>
      <c r="C1054" s="622"/>
      <c r="D1054" s="622"/>
      <c r="E1054" s="627"/>
    </row>
    <row r="1055" spans="1:5" s="618" customFormat="1" ht="21.75" customHeight="1">
      <c r="A1055" s="619"/>
      <c r="B1055" s="622"/>
      <c r="C1055" s="622"/>
      <c r="D1055" s="622"/>
      <c r="E1055" s="627"/>
    </row>
    <row r="1056" spans="1:5" s="618" customFormat="1" ht="21.75" customHeight="1">
      <c r="A1056" s="619"/>
      <c r="B1056" s="622"/>
      <c r="C1056" s="622"/>
      <c r="D1056" s="622"/>
      <c r="E1056" s="627"/>
    </row>
    <row r="1057" spans="1:5" s="618" customFormat="1" ht="21.75" customHeight="1">
      <c r="A1057" s="619"/>
      <c r="B1057" s="622"/>
      <c r="C1057" s="622"/>
      <c r="D1057" s="622"/>
      <c r="E1057" s="627"/>
    </row>
    <row r="1058" spans="1:5" s="618" customFormat="1" ht="21.75" customHeight="1">
      <c r="A1058" s="619"/>
      <c r="B1058" s="622"/>
      <c r="C1058" s="622"/>
      <c r="D1058" s="622"/>
      <c r="E1058" s="627"/>
    </row>
    <row r="1059" spans="1:5" s="618" customFormat="1" ht="21.75" customHeight="1">
      <c r="A1059" s="619"/>
      <c r="B1059" s="622"/>
      <c r="C1059" s="622"/>
      <c r="D1059" s="622"/>
      <c r="E1059" s="627"/>
    </row>
    <row r="1060" spans="1:5" s="618" customFormat="1" ht="21.75" customHeight="1">
      <c r="A1060" s="619"/>
      <c r="B1060" s="622"/>
      <c r="C1060" s="622"/>
      <c r="D1060" s="622"/>
      <c r="E1060" s="627"/>
    </row>
    <row r="1061" spans="1:5" s="618" customFormat="1" ht="21.75" customHeight="1">
      <c r="A1061" s="619"/>
      <c r="B1061" s="622"/>
      <c r="C1061" s="622"/>
      <c r="D1061" s="622"/>
      <c r="E1061" s="627"/>
    </row>
    <row r="1062" spans="1:5" s="618" customFormat="1" ht="21.75" customHeight="1">
      <c r="A1062" s="619"/>
      <c r="B1062" s="622"/>
      <c r="C1062" s="622"/>
      <c r="D1062" s="622"/>
      <c r="E1062" s="627"/>
    </row>
    <row r="1063" spans="1:5" s="618" customFormat="1" ht="21.75" customHeight="1">
      <c r="A1063" s="619"/>
      <c r="B1063" s="622"/>
      <c r="C1063" s="622"/>
      <c r="D1063" s="622"/>
      <c r="E1063" s="627"/>
    </row>
    <row r="1064" spans="1:5" s="618" customFormat="1" ht="21.75" customHeight="1">
      <c r="A1064" s="619"/>
      <c r="B1064" s="622"/>
      <c r="C1064" s="622"/>
      <c r="D1064" s="622"/>
      <c r="E1064" s="627"/>
    </row>
    <row r="1065" spans="1:5" s="618" customFormat="1" ht="21.75" customHeight="1">
      <c r="A1065" s="619"/>
      <c r="B1065" s="622"/>
      <c r="C1065" s="622"/>
      <c r="D1065" s="622"/>
      <c r="E1065" s="627"/>
    </row>
    <row r="1066" spans="1:5" s="618" customFormat="1" ht="21.75" customHeight="1">
      <c r="A1066" s="619"/>
      <c r="B1066" s="622"/>
      <c r="C1066" s="622"/>
      <c r="D1066" s="622"/>
      <c r="E1066" s="627"/>
    </row>
    <row r="1067" spans="1:5" s="618" customFormat="1" ht="21.75" customHeight="1">
      <c r="A1067" s="619"/>
      <c r="B1067" s="622"/>
      <c r="C1067" s="622"/>
      <c r="D1067" s="622"/>
      <c r="E1067" s="627"/>
    </row>
    <row r="1068" spans="1:5" s="618" customFormat="1" ht="21.75" customHeight="1">
      <c r="A1068" s="619"/>
      <c r="B1068" s="622"/>
      <c r="C1068" s="622"/>
      <c r="D1068" s="622"/>
      <c r="E1068" s="627"/>
    </row>
    <row r="1069" spans="1:5" s="618" customFormat="1" ht="21.75" customHeight="1">
      <c r="A1069" s="619"/>
      <c r="B1069" s="622"/>
      <c r="C1069" s="622"/>
      <c r="D1069" s="622"/>
      <c r="E1069" s="627"/>
    </row>
    <row r="1070" spans="1:5" s="618" customFormat="1" ht="21.75" customHeight="1">
      <c r="A1070" s="619"/>
      <c r="B1070" s="622"/>
      <c r="C1070" s="622"/>
      <c r="D1070" s="622"/>
      <c r="E1070" s="627"/>
    </row>
    <row r="1071" spans="1:5" s="618" customFormat="1" ht="21.75" customHeight="1">
      <c r="A1071" s="619"/>
      <c r="B1071" s="622"/>
      <c r="C1071" s="622"/>
      <c r="D1071" s="622"/>
      <c r="E1071" s="627"/>
    </row>
    <row r="1072" spans="1:5" s="618" customFormat="1" ht="21.75" customHeight="1">
      <c r="A1072" s="619"/>
      <c r="B1072" s="622"/>
      <c r="C1072" s="622"/>
      <c r="D1072" s="622"/>
      <c r="E1072" s="627"/>
    </row>
    <row r="1073" spans="1:5" s="618" customFormat="1" ht="21.75" customHeight="1">
      <c r="A1073" s="619"/>
      <c r="B1073" s="622"/>
      <c r="C1073" s="622"/>
      <c r="D1073" s="622"/>
      <c r="E1073" s="627"/>
    </row>
    <row r="1074" spans="1:5" s="618" customFormat="1" ht="21.75" customHeight="1">
      <c r="A1074" s="619"/>
      <c r="B1074" s="622"/>
      <c r="C1074" s="622"/>
      <c r="D1074" s="622"/>
      <c r="E1074" s="627"/>
    </row>
    <row r="1075" spans="1:5" s="618" customFormat="1" ht="21.75" customHeight="1">
      <c r="A1075" s="619"/>
      <c r="B1075" s="622"/>
      <c r="C1075" s="622"/>
      <c r="D1075" s="622"/>
      <c r="E1075" s="627"/>
    </row>
    <row r="1076" spans="1:5" s="618" customFormat="1" ht="21.75" customHeight="1">
      <c r="A1076" s="619"/>
      <c r="B1076" s="622"/>
      <c r="C1076" s="622"/>
      <c r="D1076" s="622"/>
      <c r="E1076" s="627"/>
    </row>
    <row r="1077" spans="1:5" s="618" customFormat="1" ht="21.75" customHeight="1">
      <c r="A1077" s="619"/>
      <c r="B1077" s="622"/>
      <c r="C1077" s="622"/>
      <c r="D1077" s="622"/>
      <c r="E1077" s="627"/>
    </row>
    <row r="1078" spans="1:5" s="618" customFormat="1" ht="21.75" customHeight="1">
      <c r="A1078" s="619"/>
      <c r="B1078" s="622"/>
      <c r="C1078" s="622"/>
      <c r="D1078" s="622"/>
      <c r="E1078" s="627"/>
    </row>
    <row r="1079" spans="1:5" s="618" customFormat="1" ht="21.75" customHeight="1">
      <c r="A1079" s="619"/>
      <c r="B1079" s="622"/>
      <c r="C1079" s="622"/>
      <c r="D1079" s="622"/>
      <c r="E1079" s="627"/>
    </row>
    <row r="1080" spans="1:5" s="618" customFormat="1" ht="21.75" customHeight="1">
      <c r="A1080" s="619"/>
      <c r="B1080" s="622"/>
      <c r="C1080" s="622"/>
      <c r="D1080" s="622"/>
      <c r="E1080" s="627"/>
    </row>
    <row r="1081" spans="1:5" s="618" customFormat="1" ht="21.75" customHeight="1">
      <c r="A1081" s="619"/>
      <c r="B1081" s="622"/>
      <c r="C1081" s="622"/>
      <c r="D1081" s="622"/>
      <c r="E1081" s="627"/>
    </row>
    <row r="1082" spans="1:5" s="618" customFormat="1" ht="21.75" customHeight="1">
      <c r="A1082" s="619"/>
      <c r="B1082" s="622"/>
      <c r="C1082" s="622"/>
      <c r="D1082" s="622"/>
      <c r="E1082" s="627"/>
    </row>
    <row r="1083" spans="1:5" s="618" customFormat="1" ht="21.75" customHeight="1">
      <c r="A1083" s="619"/>
      <c r="B1083" s="622"/>
      <c r="C1083" s="622"/>
      <c r="D1083" s="622"/>
      <c r="E1083" s="627"/>
    </row>
    <row r="1084" spans="1:5" s="618" customFormat="1" ht="21.75" customHeight="1">
      <c r="A1084" s="619"/>
      <c r="B1084" s="622"/>
      <c r="C1084" s="622"/>
      <c r="D1084" s="622"/>
      <c r="E1084" s="627"/>
    </row>
    <row r="1085" spans="1:5" s="618" customFormat="1" ht="21.75" customHeight="1">
      <c r="A1085" s="619"/>
      <c r="B1085" s="622"/>
      <c r="C1085" s="622"/>
      <c r="D1085" s="622"/>
      <c r="E1085" s="627"/>
    </row>
    <row r="1086" spans="1:5" s="618" customFormat="1" ht="21.75" customHeight="1">
      <c r="A1086" s="619"/>
      <c r="B1086" s="622"/>
      <c r="C1086" s="622"/>
      <c r="D1086" s="622"/>
      <c r="E1086" s="627"/>
    </row>
    <row r="1087" spans="1:5" s="618" customFormat="1" ht="21.75" customHeight="1">
      <c r="A1087" s="619"/>
      <c r="B1087" s="622"/>
      <c r="C1087" s="622"/>
      <c r="D1087" s="622"/>
      <c r="E1087" s="627"/>
    </row>
    <row r="1088" spans="1:5" s="618" customFormat="1" ht="21.75" customHeight="1">
      <c r="A1088" s="619"/>
      <c r="B1088" s="622"/>
      <c r="C1088" s="622"/>
      <c r="D1088" s="622"/>
      <c r="E1088" s="627"/>
    </row>
    <row r="1089" spans="1:5" s="618" customFormat="1" ht="21.75" customHeight="1">
      <c r="A1089" s="619"/>
      <c r="B1089" s="622"/>
      <c r="C1089" s="622"/>
      <c r="D1089" s="622"/>
      <c r="E1089" s="627"/>
    </row>
    <row r="1090" spans="1:5" s="618" customFormat="1" ht="21.75" customHeight="1">
      <c r="A1090" s="619"/>
      <c r="B1090" s="622"/>
      <c r="C1090" s="622"/>
      <c r="D1090" s="622"/>
      <c r="E1090" s="627"/>
    </row>
    <row r="1091" spans="1:5" s="618" customFormat="1" ht="21.75" customHeight="1">
      <c r="A1091" s="619"/>
      <c r="B1091" s="622"/>
      <c r="C1091" s="622"/>
      <c r="D1091" s="622"/>
      <c r="E1091" s="627"/>
    </row>
    <row r="1092" spans="1:5" s="618" customFormat="1" ht="21.75" customHeight="1">
      <c r="A1092" s="619"/>
      <c r="B1092" s="622"/>
      <c r="C1092" s="622"/>
      <c r="D1092" s="622"/>
      <c r="E1092" s="627"/>
    </row>
    <row r="1093" spans="1:5" s="618" customFormat="1" ht="21.75" customHeight="1">
      <c r="A1093" s="619"/>
      <c r="B1093" s="622"/>
      <c r="C1093" s="622"/>
      <c r="D1093" s="622"/>
      <c r="E1093" s="627"/>
    </row>
    <row r="1094" spans="1:5" s="618" customFormat="1" ht="21.75" customHeight="1">
      <c r="A1094" s="619"/>
      <c r="B1094" s="622"/>
      <c r="C1094" s="622"/>
      <c r="D1094" s="622"/>
      <c r="E1094" s="627"/>
    </row>
    <row r="1095" spans="1:5" s="618" customFormat="1" ht="21.75" customHeight="1">
      <c r="A1095" s="619"/>
      <c r="B1095" s="622"/>
      <c r="C1095" s="622"/>
      <c r="D1095" s="622"/>
      <c r="E1095" s="627"/>
    </row>
    <row r="1096" spans="1:5" s="618" customFormat="1" ht="21.75" customHeight="1">
      <c r="A1096" s="619"/>
      <c r="B1096" s="622"/>
      <c r="C1096" s="622"/>
      <c r="D1096" s="622"/>
      <c r="E1096" s="627"/>
    </row>
    <row r="1097" spans="1:5" s="618" customFormat="1" ht="21.75" customHeight="1">
      <c r="A1097" s="619"/>
      <c r="B1097" s="622"/>
      <c r="C1097" s="622"/>
      <c r="D1097" s="622"/>
      <c r="E1097" s="627"/>
    </row>
    <row r="1098" spans="1:5" s="618" customFormat="1" ht="21.75" customHeight="1">
      <c r="A1098" s="619"/>
      <c r="B1098" s="622"/>
      <c r="C1098" s="622"/>
      <c r="D1098" s="622"/>
      <c r="E1098" s="627"/>
    </row>
    <row r="1099" spans="1:5" s="618" customFormat="1" ht="21.75" customHeight="1">
      <c r="A1099" s="619"/>
      <c r="B1099" s="622"/>
      <c r="C1099" s="622"/>
      <c r="D1099" s="622"/>
      <c r="E1099" s="627"/>
    </row>
    <row r="1100" spans="1:5" s="618" customFormat="1" ht="21.75" customHeight="1">
      <c r="A1100" s="619"/>
      <c r="B1100" s="622"/>
      <c r="C1100" s="622"/>
      <c r="D1100" s="622"/>
      <c r="E1100" s="627"/>
    </row>
    <row r="1101" spans="1:5" s="618" customFormat="1" ht="21.75" customHeight="1">
      <c r="A1101" s="619"/>
      <c r="B1101" s="622"/>
      <c r="C1101" s="622"/>
      <c r="D1101" s="622"/>
      <c r="E1101" s="627"/>
    </row>
    <row r="1102" spans="1:5" s="618" customFormat="1" ht="21.75" customHeight="1">
      <c r="A1102" s="619"/>
      <c r="B1102" s="622"/>
      <c r="C1102" s="622"/>
      <c r="D1102" s="622"/>
      <c r="E1102" s="627"/>
    </row>
    <row r="1103" spans="1:5" s="618" customFormat="1" ht="21.75" customHeight="1">
      <c r="A1103" s="619"/>
      <c r="B1103" s="622"/>
      <c r="C1103" s="622"/>
      <c r="D1103" s="622"/>
      <c r="E1103" s="627"/>
    </row>
    <row r="1104" spans="1:5" s="618" customFormat="1" ht="21.75" customHeight="1">
      <c r="A1104" s="619"/>
      <c r="B1104" s="622"/>
      <c r="C1104" s="622"/>
      <c r="D1104" s="622"/>
      <c r="E1104" s="627"/>
    </row>
    <row r="1105" spans="1:5" s="618" customFormat="1" ht="21.75" customHeight="1">
      <c r="A1105" s="619"/>
      <c r="B1105" s="622"/>
      <c r="C1105" s="622"/>
      <c r="D1105" s="622"/>
      <c r="E1105" s="627"/>
    </row>
    <row r="1106" spans="1:5" s="618" customFormat="1" ht="21.75" customHeight="1">
      <c r="A1106" s="619"/>
      <c r="B1106" s="622"/>
      <c r="C1106" s="622"/>
      <c r="D1106" s="622"/>
      <c r="E1106" s="627"/>
    </row>
    <row r="1107" spans="1:5" s="618" customFormat="1" ht="21.75" customHeight="1">
      <c r="A1107" s="619"/>
      <c r="B1107" s="622"/>
      <c r="C1107" s="622"/>
      <c r="D1107" s="622"/>
      <c r="E1107" s="627"/>
    </row>
    <row r="1108" spans="1:5" s="618" customFormat="1" ht="21.75" customHeight="1">
      <c r="A1108" s="619"/>
      <c r="B1108" s="622"/>
      <c r="C1108" s="622"/>
      <c r="D1108" s="622"/>
      <c r="E1108" s="627"/>
    </row>
    <row r="1109" spans="1:5" s="618" customFormat="1" ht="21.75" customHeight="1">
      <c r="A1109" s="619"/>
      <c r="B1109" s="622"/>
      <c r="C1109" s="622"/>
      <c r="D1109" s="622"/>
      <c r="E1109" s="627"/>
    </row>
    <row r="1110" spans="1:5" s="618" customFormat="1" ht="21.75" customHeight="1">
      <c r="A1110" s="619"/>
      <c r="B1110" s="622"/>
      <c r="C1110" s="622"/>
      <c r="D1110" s="622"/>
      <c r="E1110" s="627"/>
    </row>
    <row r="1111" spans="1:5" s="618" customFormat="1" ht="21.75" customHeight="1">
      <c r="A1111" s="619"/>
      <c r="B1111" s="622"/>
      <c r="C1111" s="622"/>
      <c r="D1111" s="622"/>
      <c r="E1111" s="627"/>
    </row>
    <row r="1112" spans="1:5" s="618" customFormat="1" ht="21.75" customHeight="1">
      <c r="A1112" s="619"/>
      <c r="B1112" s="622"/>
      <c r="C1112" s="622"/>
      <c r="D1112" s="622"/>
      <c r="E1112" s="627"/>
    </row>
    <row r="1113" spans="1:5" s="618" customFormat="1" ht="21.75" customHeight="1">
      <c r="A1113" s="619"/>
      <c r="B1113" s="622"/>
      <c r="C1113" s="622"/>
      <c r="D1113" s="622"/>
      <c r="E1113" s="627"/>
    </row>
    <row r="1114" spans="1:5" s="618" customFormat="1" ht="21.75" customHeight="1">
      <c r="A1114" s="619"/>
      <c r="B1114" s="622"/>
      <c r="C1114" s="622"/>
      <c r="D1114" s="622"/>
      <c r="E1114" s="627"/>
    </row>
    <row r="1115" spans="1:5" s="618" customFormat="1" ht="21.75" customHeight="1">
      <c r="A1115" s="619"/>
      <c r="B1115" s="622"/>
      <c r="C1115" s="622"/>
      <c r="D1115" s="622"/>
      <c r="E1115" s="627"/>
    </row>
    <row r="1116" spans="1:5" s="618" customFormat="1" ht="21.75" customHeight="1">
      <c r="A1116" s="619"/>
      <c r="B1116" s="622"/>
      <c r="C1116" s="622"/>
      <c r="D1116" s="622"/>
      <c r="E1116" s="627"/>
    </row>
    <row r="1117" spans="1:5" s="618" customFormat="1" ht="21.75" customHeight="1">
      <c r="A1117" s="619"/>
      <c r="B1117" s="622"/>
      <c r="C1117" s="622"/>
      <c r="D1117" s="622"/>
      <c r="E1117" s="627"/>
    </row>
    <row r="1118" spans="1:5" s="618" customFormat="1" ht="21.75" customHeight="1">
      <c r="A1118" s="619"/>
      <c r="B1118" s="622"/>
      <c r="C1118" s="622"/>
      <c r="D1118" s="622"/>
      <c r="E1118" s="627"/>
    </row>
    <row r="1119" spans="1:5" s="618" customFormat="1" ht="21.75" customHeight="1">
      <c r="A1119" s="619"/>
      <c r="B1119" s="622"/>
      <c r="C1119" s="622"/>
      <c r="D1119" s="622"/>
      <c r="E1119" s="627"/>
    </row>
    <row r="1120" spans="1:5" s="618" customFormat="1" ht="21.75" customHeight="1">
      <c r="A1120" s="619"/>
      <c r="B1120" s="622"/>
      <c r="C1120" s="622"/>
      <c r="D1120" s="622"/>
      <c r="E1120" s="627"/>
    </row>
    <row r="1121" spans="1:5" s="618" customFormat="1" ht="21.75" customHeight="1">
      <c r="A1121" s="619"/>
      <c r="B1121" s="622"/>
      <c r="C1121" s="622"/>
      <c r="D1121" s="622"/>
      <c r="E1121" s="627"/>
    </row>
    <row r="1122" spans="1:5" s="618" customFormat="1" ht="21.75" customHeight="1">
      <c r="A1122" s="619"/>
      <c r="B1122" s="622"/>
      <c r="C1122" s="622"/>
      <c r="D1122" s="622"/>
      <c r="E1122" s="627"/>
    </row>
    <row r="1123" spans="1:5" s="618" customFormat="1" ht="21.75" customHeight="1">
      <c r="A1123" s="619"/>
      <c r="B1123" s="622"/>
      <c r="C1123" s="622"/>
      <c r="D1123" s="622"/>
      <c r="E1123" s="627"/>
    </row>
    <row r="1124" spans="1:5" s="618" customFormat="1" ht="21.75" customHeight="1">
      <c r="A1124" s="619"/>
      <c r="B1124" s="622"/>
      <c r="C1124" s="622"/>
      <c r="D1124" s="622"/>
      <c r="E1124" s="627"/>
    </row>
    <row r="1125" spans="1:5" s="618" customFormat="1" ht="21.75" customHeight="1">
      <c r="A1125" s="619"/>
      <c r="B1125" s="622"/>
      <c r="C1125" s="622"/>
      <c r="D1125" s="622"/>
      <c r="E1125" s="627"/>
    </row>
    <row r="1126" spans="1:5" s="618" customFormat="1" ht="21.75" customHeight="1">
      <c r="A1126" s="619"/>
      <c r="B1126" s="622"/>
      <c r="C1126" s="622"/>
      <c r="D1126" s="622"/>
      <c r="E1126" s="627"/>
    </row>
    <row r="1127" spans="1:5" s="618" customFormat="1" ht="21.75" customHeight="1">
      <c r="A1127" s="619"/>
      <c r="B1127" s="622"/>
      <c r="C1127" s="622"/>
      <c r="D1127" s="622"/>
      <c r="E1127" s="627"/>
    </row>
    <row r="1128" spans="1:5" s="618" customFormat="1" ht="21.75" customHeight="1">
      <c r="A1128" s="619"/>
      <c r="B1128" s="622"/>
      <c r="C1128" s="622"/>
      <c r="D1128" s="622"/>
      <c r="E1128" s="627"/>
    </row>
    <row r="1129" spans="1:5" s="618" customFormat="1" ht="21.75" customHeight="1">
      <c r="A1129" s="619"/>
      <c r="B1129" s="622"/>
      <c r="C1129" s="622"/>
      <c r="D1129" s="622"/>
      <c r="E1129" s="627"/>
    </row>
    <row r="1130" spans="1:5" s="618" customFormat="1" ht="21.75" customHeight="1">
      <c r="A1130" s="619"/>
      <c r="B1130" s="622"/>
      <c r="C1130" s="622"/>
      <c r="D1130" s="622"/>
      <c r="E1130" s="627"/>
    </row>
    <row r="1131" spans="1:5" s="618" customFormat="1" ht="21.75" customHeight="1">
      <c r="A1131" s="619"/>
      <c r="B1131" s="622"/>
      <c r="C1131" s="622"/>
      <c r="D1131" s="622"/>
      <c r="E1131" s="627"/>
    </row>
    <row r="1132" spans="1:5" s="618" customFormat="1" ht="21.75" customHeight="1">
      <c r="A1132" s="619"/>
      <c r="B1132" s="622"/>
      <c r="C1132" s="622"/>
      <c r="D1132" s="622"/>
      <c r="E1132" s="627"/>
    </row>
    <row r="1133" spans="1:5" s="618" customFormat="1" ht="21.75" customHeight="1">
      <c r="A1133" s="619"/>
      <c r="B1133" s="622"/>
      <c r="C1133" s="622"/>
      <c r="D1133" s="622"/>
      <c r="E1133" s="627"/>
    </row>
    <row r="1134" spans="1:5" s="618" customFormat="1" ht="21.75" customHeight="1">
      <c r="A1134" s="619"/>
      <c r="B1134" s="622"/>
      <c r="C1134" s="622"/>
      <c r="D1134" s="622"/>
      <c r="E1134" s="627"/>
    </row>
    <row r="1135" spans="1:5" s="618" customFormat="1" ht="21.75" customHeight="1">
      <c r="A1135" s="619"/>
      <c r="B1135" s="622"/>
      <c r="C1135" s="622"/>
      <c r="D1135" s="622"/>
      <c r="E1135" s="627"/>
    </row>
    <row r="1136" spans="1:5" s="618" customFormat="1" ht="21.75" customHeight="1">
      <c r="A1136" s="619"/>
      <c r="B1136" s="622"/>
      <c r="C1136" s="622"/>
      <c r="D1136" s="622"/>
      <c r="E1136" s="627"/>
    </row>
    <row r="1137" spans="1:5" s="618" customFormat="1" ht="21.75" customHeight="1">
      <c r="A1137" s="619"/>
      <c r="B1137" s="622"/>
      <c r="C1137" s="622"/>
      <c r="D1137" s="622"/>
      <c r="E1137" s="627"/>
    </row>
    <row r="1138" spans="1:5" s="618" customFormat="1" ht="21.75" customHeight="1">
      <c r="A1138" s="619"/>
      <c r="B1138" s="622"/>
      <c r="C1138" s="622"/>
      <c r="D1138" s="622"/>
      <c r="E1138" s="627"/>
    </row>
    <row r="1139" spans="1:5" s="618" customFormat="1" ht="21.75" customHeight="1">
      <c r="A1139" s="619"/>
      <c r="B1139" s="622"/>
      <c r="C1139" s="622"/>
      <c r="D1139" s="622"/>
      <c r="E1139" s="627"/>
    </row>
    <row r="1140" spans="1:5" s="618" customFormat="1" ht="21.75" customHeight="1">
      <c r="A1140" s="619"/>
      <c r="B1140" s="622"/>
      <c r="C1140" s="622"/>
      <c r="D1140" s="622"/>
      <c r="E1140" s="627"/>
    </row>
    <row r="1141" spans="1:5" s="618" customFormat="1" ht="21.75" customHeight="1">
      <c r="A1141" s="619"/>
      <c r="B1141" s="622"/>
      <c r="C1141" s="622"/>
      <c r="D1141" s="622"/>
      <c r="E1141" s="627"/>
    </row>
    <row r="1142" spans="1:5" s="618" customFormat="1" ht="21.75" customHeight="1">
      <c r="A1142" s="619"/>
      <c r="B1142" s="622"/>
      <c r="C1142" s="622"/>
      <c r="D1142" s="622"/>
      <c r="E1142" s="627"/>
    </row>
    <row r="1143" spans="1:5" s="618" customFormat="1" ht="21.75" customHeight="1">
      <c r="A1143" s="619"/>
      <c r="B1143" s="622"/>
      <c r="C1143" s="622"/>
      <c r="D1143" s="622"/>
      <c r="E1143" s="627"/>
    </row>
    <row r="1144" spans="1:5" s="618" customFormat="1" ht="21.75" customHeight="1">
      <c r="A1144" s="619"/>
      <c r="B1144" s="622"/>
      <c r="C1144" s="622"/>
      <c r="D1144" s="622"/>
      <c r="E1144" s="627"/>
    </row>
    <row r="1145" spans="1:5" s="618" customFormat="1" ht="21.75" customHeight="1">
      <c r="A1145" s="619"/>
      <c r="B1145" s="622"/>
      <c r="C1145" s="622"/>
      <c r="D1145" s="622"/>
      <c r="E1145" s="627"/>
    </row>
    <row r="1146" spans="1:5" s="618" customFormat="1" ht="21.75" customHeight="1">
      <c r="A1146" s="619"/>
      <c r="B1146" s="622"/>
      <c r="C1146" s="622"/>
      <c r="D1146" s="622"/>
      <c r="E1146" s="627"/>
    </row>
    <row r="1147" spans="1:5" s="618" customFormat="1" ht="21.75" customHeight="1">
      <c r="A1147" s="619"/>
      <c r="B1147" s="622"/>
      <c r="C1147" s="622"/>
      <c r="D1147" s="622"/>
      <c r="E1147" s="627"/>
    </row>
    <row r="1148" spans="1:5" s="618" customFormat="1" ht="21.75" customHeight="1">
      <c r="A1148" s="619"/>
      <c r="B1148" s="622"/>
      <c r="C1148" s="622"/>
      <c r="D1148" s="622"/>
      <c r="E1148" s="627"/>
    </row>
    <row r="1149" spans="1:5" s="618" customFormat="1" ht="21.75" customHeight="1">
      <c r="A1149" s="619"/>
      <c r="B1149" s="622"/>
      <c r="C1149" s="622"/>
      <c r="D1149" s="622"/>
      <c r="E1149" s="627"/>
    </row>
    <row r="1150" spans="1:5" s="618" customFormat="1" ht="21.75" customHeight="1">
      <c r="A1150" s="619"/>
      <c r="B1150" s="622"/>
      <c r="C1150" s="622"/>
      <c r="D1150" s="622"/>
      <c r="E1150" s="627"/>
    </row>
    <row r="1151" spans="1:5" s="618" customFormat="1" ht="21.75" customHeight="1">
      <c r="A1151" s="619"/>
      <c r="B1151" s="622"/>
      <c r="C1151" s="622"/>
      <c r="D1151" s="622"/>
      <c r="E1151" s="627"/>
    </row>
    <row r="1152" spans="1:5" s="618" customFormat="1" ht="21.75" customHeight="1">
      <c r="A1152" s="619"/>
      <c r="B1152" s="622"/>
      <c r="C1152" s="622"/>
      <c r="D1152" s="622"/>
      <c r="E1152" s="627"/>
    </row>
    <row r="1153" spans="1:5" s="618" customFormat="1" ht="21.75" customHeight="1">
      <c r="A1153" s="619"/>
      <c r="B1153" s="622"/>
      <c r="C1153" s="622"/>
      <c r="D1153" s="622"/>
      <c r="E1153" s="627"/>
    </row>
    <row r="1154" spans="1:5" s="618" customFormat="1" ht="21.75" customHeight="1">
      <c r="A1154" s="619"/>
      <c r="B1154" s="622"/>
      <c r="C1154" s="622"/>
      <c r="D1154" s="622"/>
      <c r="E1154" s="627"/>
    </row>
    <row r="1155" spans="1:5" s="618" customFormat="1" ht="21.75" customHeight="1">
      <c r="A1155" s="619"/>
      <c r="B1155" s="622"/>
      <c r="C1155" s="622"/>
      <c r="D1155" s="622"/>
      <c r="E1155" s="627"/>
    </row>
    <row r="1156" spans="1:5" s="618" customFormat="1" ht="21.75" customHeight="1">
      <c r="A1156" s="619"/>
      <c r="B1156" s="622"/>
      <c r="C1156" s="622"/>
      <c r="D1156" s="622"/>
      <c r="E1156" s="627"/>
    </row>
    <row r="1157" spans="1:5" s="618" customFormat="1" ht="21.75" customHeight="1">
      <c r="A1157" s="619"/>
      <c r="B1157" s="622"/>
      <c r="C1157" s="622"/>
      <c r="D1157" s="622"/>
      <c r="E1157" s="627"/>
    </row>
    <row r="1158" spans="1:5" s="618" customFormat="1" ht="21.75" customHeight="1">
      <c r="A1158" s="619"/>
      <c r="B1158" s="622"/>
      <c r="C1158" s="622"/>
      <c r="D1158" s="622"/>
      <c r="E1158" s="627"/>
    </row>
    <row r="1159" spans="1:5" s="618" customFormat="1" ht="21.75" customHeight="1">
      <c r="A1159" s="619"/>
      <c r="B1159" s="622"/>
      <c r="C1159" s="622"/>
      <c r="D1159" s="622"/>
      <c r="E1159" s="627"/>
    </row>
    <row r="1160" spans="1:5" s="618" customFormat="1" ht="21.75" customHeight="1">
      <c r="A1160" s="619"/>
      <c r="B1160" s="622"/>
      <c r="C1160" s="622"/>
      <c r="D1160" s="622"/>
      <c r="E1160" s="627"/>
    </row>
    <row r="1161" spans="1:5" s="618" customFormat="1" ht="21.75" customHeight="1">
      <c r="A1161" s="619"/>
      <c r="B1161" s="622"/>
      <c r="C1161" s="622"/>
      <c r="D1161" s="622"/>
      <c r="E1161" s="627"/>
    </row>
    <row r="1162" spans="1:5" s="618" customFormat="1" ht="21.75" customHeight="1">
      <c r="A1162" s="619"/>
      <c r="B1162" s="622"/>
      <c r="C1162" s="622"/>
      <c r="D1162" s="622"/>
      <c r="E1162" s="627"/>
    </row>
    <row r="1163" spans="1:5" s="618" customFormat="1" ht="21.75" customHeight="1">
      <c r="A1163" s="619"/>
      <c r="B1163" s="622"/>
      <c r="C1163" s="622"/>
      <c r="D1163" s="622"/>
      <c r="E1163" s="627"/>
    </row>
    <row r="1164" spans="1:5" s="618" customFormat="1" ht="21.75" customHeight="1">
      <c r="A1164" s="619"/>
      <c r="B1164" s="622"/>
      <c r="C1164" s="622"/>
      <c r="D1164" s="622"/>
      <c r="E1164" s="627"/>
    </row>
    <row r="1165" spans="1:5" s="618" customFormat="1" ht="21.75" customHeight="1">
      <c r="A1165" s="619"/>
      <c r="B1165" s="622"/>
      <c r="C1165" s="622"/>
      <c r="D1165" s="622"/>
      <c r="E1165" s="627"/>
    </row>
    <row r="1166" spans="1:5" s="618" customFormat="1" ht="21.75" customHeight="1">
      <c r="A1166" s="619"/>
      <c r="B1166" s="622"/>
      <c r="C1166" s="622"/>
      <c r="D1166" s="622"/>
      <c r="E1166" s="627"/>
    </row>
    <row r="1167" spans="1:5" s="618" customFormat="1" ht="21.75" customHeight="1">
      <c r="A1167" s="619"/>
      <c r="B1167" s="622"/>
      <c r="C1167" s="622"/>
      <c r="D1167" s="622"/>
      <c r="E1167" s="627"/>
    </row>
    <row r="1168" spans="1:5" s="618" customFormat="1" ht="21.75" customHeight="1">
      <c r="A1168" s="619"/>
      <c r="B1168" s="622"/>
      <c r="C1168" s="622"/>
      <c r="D1168" s="622"/>
      <c r="E1168" s="627"/>
    </row>
    <row r="1169" spans="1:5" s="618" customFormat="1" ht="21.75" customHeight="1">
      <c r="A1169" s="619"/>
      <c r="B1169" s="622"/>
      <c r="C1169" s="622"/>
      <c r="D1169" s="622"/>
      <c r="E1169" s="627"/>
    </row>
    <row r="1170" spans="1:5" s="618" customFormat="1" ht="21.75" customHeight="1">
      <c r="A1170" s="619"/>
      <c r="B1170" s="622"/>
      <c r="C1170" s="622"/>
      <c r="D1170" s="622"/>
      <c r="E1170" s="627"/>
    </row>
    <row r="1171" spans="1:5" s="618" customFormat="1" ht="21.75" customHeight="1">
      <c r="A1171" s="619"/>
      <c r="B1171" s="622"/>
      <c r="C1171" s="622"/>
      <c r="D1171" s="622"/>
      <c r="E1171" s="627"/>
    </row>
    <row r="1172" spans="1:5" s="618" customFormat="1" ht="21.75" customHeight="1">
      <c r="A1172" s="619"/>
      <c r="B1172" s="622"/>
      <c r="C1172" s="622"/>
      <c r="D1172" s="622"/>
      <c r="E1172" s="627"/>
    </row>
    <row r="1173" spans="1:5" s="618" customFormat="1" ht="21.75" customHeight="1">
      <c r="A1173" s="619"/>
      <c r="B1173" s="622"/>
      <c r="C1173" s="622"/>
      <c r="D1173" s="622"/>
      <c r="E1173" s="627"/>
    </row>
    <row r="1174" spans="1:5" s="618" customFormat="1" ht="21.75" customHeight="1">
      <c r="A1174" s="619"/>
      <c r="B1174" s="622"/>
      <c r="C1174" s="622"/>
      <c r="D1174" s="622"/>
      <c r="E1174" s="627"/>
    </row>
    <row r="1175" spans="1:5" s="618" customFormat="1" ht="21.75" customHeight="1">
      <c r="A1175" s="619"/>
      <c r="B1175" s="622"/>
      <c r="C1175" s="622"/>
      <c r="D1175" s="622"/>
      <c r="E1175" s="627"/>
    </row>
    <row r="1176" spans="1:5" s="618" customFormat="1" ht="21.75" customHeight="1">
      <c r="A1176" s="619"/>
      <c r="B1176" s="622"/>
      <c r="C1176" s="622"/>
      <c r="D1176" s="622"/>
      <c r="E1176" s="627"/>
    </row>
    <row r="1177" spans="1:5" s="618" customFormat="1" ht="21.75" customHeight="1">
      <c r="A1177" s="619"/>
      <c r="B1177" s="622"/>
      <c r="C1177" s="622"/>
      <c r="D1177" s="622"/>
      <c r="E1177" s="627"/>
    </row>
    <row r="1178" spans="1:5" s="618" customFormat="1" ht="21.75" customHeight="1">
      <c r="A1178" s="619"/>
      <c r="B1178" s="622"/>
      <c r="C1178" s="622"/>
      <c r="D1178" s="622"/>
      <c r="E1178" s="627"/>
    </row>
    <row r="1179" spans="1:5" s="618" customFormat="1" ht="21.75" customHeight="1">
      <c r="A1179" s="619"/>
      <c r="B1179" s="622"/>
      <c r="C1179" s="622"/>
      <c r="D1179" s="622"/>
      <c r="E1179" s="627"/>
    </row>
    <row r="1180" spans="1:5" s="618" customFormat="1" ht="21.75" customHeight="1">
      <c r="A1180" s="619"/>
      <c r="B1180" s="622"/>
      <c r="C1180" s="622"/>
      <c r="D1180" s="622"/>
      <c r="E1180" s="627"/>
    </row>
    <row r="1181" spans="1:5" s="618" customFormat="1" ht="21.75" customHeight="1">
      <c r="A1181" s="619"/>
      <c r="B1181" s="622"/>
      <c r="C1181" s="622"/>
      <c r="D1181" s="622"/>
      <c r="E1181" s="627"/>
    </row>
    <row r="1182" spans="1:5" s="618" customFormat="1" ht="21.75" customHeight="1">
      <c r="A1182" s="619"/>
      <c r="B1182" s="622"/>
      <c r="C1182" s="622"/>
      <c r="D1182" s="622"/>
      <c r="E1182" s="627"/>
    </row>
    <row r="1183" spans="1:5" s="618" customFormat="1" ht="21.75" customHeight="1">
      <c r="A1183" s="619"/>
      <c r="B1183" s="622"/>
      <c r="C1183" s="622"/>
      <c r="D1183" s="622"/>
      <c r="E1183" s="627"/>
    </row>
    <row r="1184" spans="1:5" s="618" customFormat="1" ht="21.75" customHeight="1">
      <c r="A1184" s="619"/>
      <c r="B1184" s="622"/>
      <c r="C1184" s="622"/>
      <c r="D1184" s="622"/>
      <c r="E1184" s="627"/>
    </row>
    <row r="1185" spans="1:5" s="618" customFormat="1" ht="21.75" customHeight="1">
      <c r="A1185" s="619"/>
      <c r="B1185" s="622"/>
      <c r="C1185" s="622"/>
      <c r="D1185" s="622"/>
      <c r="E1185" s="627"/>
    </row>
    <row r="1186" spans="1:5" s="618" customFormat="1" ht="21.75" customHeight="1">
      <c r="A1186" s="619"/>
      <c r="B1186" s="622"/>
      <c r="C1186" s="622"/>
      <c r="D1186" s="622"/>
      <c r="E1186" s="627"/>
    </row>
    <row r="1187" spans="1:5" s="618" customFormat="1" ht="21.75" customHeight="1">
      <c r="A1187" s="619"/>
      <c r="B1187" s="622"/>
      <c r="C1187" s="622"/>
      <c r="D1187" s="622"/>
      <c r="E1187" s="627"/>
    </row>
    <row r="1188" spans="1:5" s="618" customFormat="1" ht="21.75" customHeight="1">
      <c r="A1188" s="619"/>
      <c r="B1188" s="622"/>
      <c r="C1188" s="622"/>
      <c r="D1188" s="622"/>
      <c r="E1188" s="627"/>
    </row>
    <row r="1189" spans="1:5" s="618" customFormat="1" ht="21.75" customHeight="1">
      <c r="A1189" s="619"/>
      <c r="B1189" s="622"/>
      <c r="C1189" s="622"/>
      <c r="D1189" s="622"/>
      <c r="E1189" s="627"/>
    </row>
    <row r="1190" spans="1:5" s="618" customFormat="1" ht="21.75" customHeight="1">
      <c r="A1190" s="619"/>
      <c r="B1190" s="622"/>
      <c r="C1190" s="622"/>
      <c r="D1190" s="622"/>
      <c r="E1190" s="627"/>
    </row>
    <row r="1191" spans="1:5" s="618" customFormat="1" ht="21.75" customHeight="1">
      <c r="A1191" s="619"/>
      <c r="B1191" s="622"/>
      <c r="C1191" s="622"/>
      <c r="D1191" s="622"/>
      <c r="E1191" s="627"/>
    </row>
    <row r="1192" spans="1:5" s="618" customFormat="1" ht="21.75" customHeight="1">
      <c r="A1192" s="619"/>
      <c r="B1192" s="622"/>
      <c r="C1192" s="622"/>
      <c r="D1192" s="622"/>
      <c r="E1192" s="627"/>
    </row>
    <row r="1193" spans="1:5" s="618" customFormat="1" ht="21.75" customHeight="1">
      <c r="A1193" s="619"/>
      <c r="B1193" s="622"/>
      <c r="C1193" s="622"/>
      <c r="D1193" s="622"/>
      <c r="E1193" s="627"/>
    </row>
    <row r="1194" spans="1:5" s="618" customFormat="1" ht="21.75" customHeight="1">
      <c r="A1194" s="619"/>
      <c r="B1194" s="622"/>
      <c r="C1194" s="622"/>
      <c r="D1194" s="622"/>
      <c r="E1194" s="627"/>
    </row>
    <row r="1195" spans="1:5" s="618" customFormat="1" ht="21.75" customHeight="1">
      <c r="A1195" s="619"/>
      <c r="B1195" s="622"/>
      <c r="C1195" s="622"/>
      <c r="D1195" s="622"/>
      <c r="E1195" s="627"/>
    </row>
    <row r="1196" spans="1:5" s="618" customFormat="1" ht="21.75" customHeight="1">
      <c r="A1196" s="619"/>
      <c r="B1196" s="622"/>
      <c r="C1196" s="622"/>
      <c r="D1196" s="622"/>
      <c r="E1196" s="627"/>
    </row>
    <row r="1197" spans="1:5" s="618" customFormat="1" ht="21.75" customHeight="1">
      <c r="A1197" s="619"/>
      <c r="B1197" s="622"/>
      <c r="C1197" s="622"/>
      <c r="D1197" s="622"/>
      <c r="E1197" s="627"/>
    </row>
    <row r="1198" spans="1:5" s="618" customFormat="1" ht="21.75" customHeight="1">
      <c r="A1198" s="619"/>
      <c r="B1198" s="622"/>
      <c r="C1198" s="622"/>
      <c r="D1198" s="622"/>
      <c r="E1198" s="627"/>
    </row>
    <row r="1199" spans="1:5" s="618" customFormat="1" ht="21.75" customHeight="1">
      <c r="A1199" s="619"/>
      <c r="B1199" s="622"/>
      <c r="C1199" s="622"/>
      <c r="D1199" s="622"/>
      <c r="E1199" s="627"/>
    </row>
    <row r="1200" spans="1:5" s="618" customFormat="1" ht="21.75" customHeight="1">
      <c r="A1200" s="619"/>
      <c r="B1200" s="622"/>
      <c r="C1200" s="622"/>
      <c r="D1200" s="622"/>
      <c r="E1200" s="627"/>
    </row>
    <row r="1201" spans="1:5" s="618" customFormat="1" ht="21.75" customHeight="1">
      <c r="A1201" s="619"/>
      <c r="B1201" s="622"/>
      <c r="C1201" s="622"/>
      <c r="D1201" s="622"/>
      <c r="E1201" s="627"/>
    </row>
    <row r="1202" spans="1:5" s="618" customFormat="1" ht="21.75" customHeight="1">
      <c r="A1202" s="619"/>
      <c r="B1202" s="622"/>
      <c r="C1202" s="622"/>
      <c r="D1202" s="622"/>
      <c r="E1202" s="627"/>
    </row>
    <row r="1203" spans="1:5" s="618" customFormat="1" ht="21.75" customHeight="1">
      <c r="A1203" s="619"/>
      <c r="B1203" s="622"/>
      <c r="C1203" s="622"/>
      <c r="D1203" s="622"/>
      <c r="E1203" s="627"/>
    </row>
    <row r="1204" spans="1:5" s="618" customFormat="1" ht="21.75" customHeight="1">
      <c r="A1204" s="619"/>
      <c r="B1204" s="622"/>
      <c r="C1204" s="622"/>
      <c r="D1204" s="622"/>
      <c r="E1204" s="627"/>
    </row>
    <row r="1205" spans="1:5" s="618" customFormat="1" ht="21.75" customHeight="1">
      <c r="A1205" s="619"/>
      <c r="B1205" s="622"/>
      <c r="C1205" s="622"/>
      <c r="D1205" s="622"/>
      <c r="E1205" s="627"/>
    </row>
    <row r="1206" spans="1:5" s="618" customFormat="1" ht="21.75" customHeight="1">
      <c r="A1206" s="619"/>
      <c r="B1206" s="622"/>
      <c r="C1206" s="622"/>
      <c r="D1206" s="622"/>
      <c r="E1206" s="627"/>
    </row>
    <row r="1207" spans="1:5" s="618" customFormat="1" ht="21.75" customHeight="1">
      <c r="A1207" s="619"/>
      <c r="B1207" s="622"/>
      <c r="C1207" s="622"/>
      <c r="D1207" s="622"/>
      <c r="E1207" s="627"/>
    </row>
    <row r="1208" spans="1:5" s="618" customFormat="1" ht="21.75" customHeight="1">
      <c r="A1208" s="619"/>
      <c r="B1208" s="622"/>
      <c r="C1208" s="622"/>
      <c r="D1208" s="622"/>
      <c r="E1208" s="627"/>
    </row>
    <row r="1209" spans="1:5" s="618" customFormat="1" ht="21.75" customHeight="1">
      <c r="A1209" s="619"/>
      <c r="B1209" s="622"/>
      <c r="C1209" s="622"/>
      <c r="D1209" s="622"/>
      <c r="E1209" s="627"/>
    </row>
    <row r="1210" spans="1:5" s="618" customFormat="1" ht="21.75" customHeight="1">
      <c r="A1210" s="619"/>
      <c r="B1210" s="622"/>
      <c r="C1210" s="622"/>
      <c r="D1210" s="622"/>
      <c r="E1210" s="627"/>
    </row>
    <row r="1211" spans="1:5" s="618" customFormat="1" ht="21.75" customHeight="1">
      <c r="A1211" s="619"/>
      <c r="B1211" s="622"/>
      <c r="C1211" s="622"/>
      <c r="D1211" s="622"/>
      <c r="E1211" s="627"/>
    </row>
    <row r="1212" spans="1:5" s="618" customFormat="1" ht="21.75" customHeight="1">
      <c r="A1212" s="619"/>
      <c r="B1212" s="622"/>
      <c r="C1212" s="622"/>
      <c r="D1212" s="622"/>
      <c r="E1212" s="627"/>
    </row>
    <row r="1213" spans="1:5" s="618" customFormat="1" ht="21.75" customHeight="1">
      <c r="A1213" s="619"/>
      <c r="B1213" s="622"/>
      <c r="C1213" s="622"/>
      <c r="D1213" s="622"/>
      <c r="E1213" s="627"/>
    </row>
    <row r="1214" spans="1:5" s="618" customFormat="1" ht="21.75" customHeight="1">
      <c r="A1214" s="619"/>
      <c r="B1214" s="622"/>
      <c r="C1214" s="622"/>
      <c r="D1214" s="622"/>
      <c r="E1214" s="627"/>
    </row>
    <row r="1215" spans="1:5" s="618" customFormat="1" ht="21.75" customHeight="1">
      <c r="A1215" s="619"/>
      <c r="B1215" s="622"/>
      <c r="C1215" s="622"/>
      <c r="D1215" s="622"/>
      <c r="E1215" s="627"/>
    </row>
    <row r="1216" spans="1:5" s="618" customFormat="1" ht="21.75" customHeight="1">
      <c r="A1216" s="619"/>
      <c r="B1216" s="622"/>
      <c r="C1216" s="622"/>
      <c r="D1216" s="622"/>
      <c r="E1216" s="627"/>
    </row>
    <row r="1217" spans="1:5" s="618" customFormat="1" ht="21.75" customHeight="1">
      <c r="A1217" s="619"/>
      <c r="B1217" s="622"/>
      <c r="C1217" s="622"/>
      <c r="D1217" s="622"/>
      <c r="E1217" s="627"/>
    </row>
    <row r="1218" spans="1:5" s="618" customFormat="1" ht="21.75" customHeight="1">
      <c r="A1218" s="619"/>
      <c r="B1218" s="622"/>
      <c r="C1218" s="622"/>
      <c r="D1218" s="622"/>
      <c r="E1218" s="627"/>
    </row>
    <row r="1219" spans="1:5" s="618" customFormat="1" ht="21.75" customHeight="1">
      <c r="A1219" s="619"/>
      <c r="B1219" s="622"/>
      <c r="C1219" s="622"/>
      <c r="D1219" s="622"/>
      <c r="E1219" s="627"/>
    </row>
    <row r="1220" spans="1:5" s="618" customFormat="1" ht="21.75" customHeight="1">
      <c r="A1220" s="619"/>
      <c r="B1220" s="622"/>
      <c r="C1220" s="622"/>
      <c r="D1220" s="622"/>
      <c r="E1220" s="627"/>
    </row>
    <row r="1221" spans="1:5" s="618" customFormat="1" ht="21.75" customHeight="1">
      <c r="A1221" s="619"/>
      <c r="B1221" s="622"/>
      <c r="C1221" s="622"/>
      <c r="D1221" s="622"/>
      <c r="E1221" s="627"/>
    </row>
    <row r="1222" spans="1:5" s="618" customFormat="1" ht="21.75" customHeight="1">
      <c r="A1222" s="619"/>
      <c r="B1222" s="622"/>
      <c r="C1222" s="622"/>
      <c r="D1222" s="622"/>
      <c r="E1222" s="627"/>
    </row>
    <row r="1223" spans="1:5" s="618" customFormat="1" ht="21.75" customHeight="1">
      <c r="A1223" s="619"/>
      <c r="B1223" s="622"/>
      <c r="C1223" s="622"/>
      <c r="D1223" s="622"/>
      <c r="E1223" s="627"/>
    </row>
    <row r="1224" spans="1:5" s="618" customFormat="1" ht="21.75" customHeight="1">
      <c r="A1224" s="619"/>
      <c r="B1224" s="622"/>
      <c r="C1224" s="622"/>
      <c r="D1224" s="622"/>
      <c r="E1224" s="627"/>
    </row>
    <row r="1225" spans="1:5" s="618" customFormat="1" ht="21.75" customHeight="1">
      <c r="A1225" s="619"/>
      <c r="B1225" s="622"/>
      <c r="C1225" s="622"/>
      <c r="D1225" s="622"/>
      <c r="E1225" s="627"/>
    </row>
    <row r="1226" spans="1:5" s="618" customFormat="1" ht="21.75" customHeight="1">
      <c r="A1226" s="619"/>
      <c r="B1226" s="622"/>
      <c r="C1226" s="622"/>
      <c r="D1226" s="622"/>
      <c r="E1226" s="627"/>
    </row>
    <row r="1227" spans="1:5" s="618" customFormat="1" ht="21.75" customHeight="1">
      <c r="A1227" s="619"/>
      <c r="B1227" s="622"/>
      <c r="C1227" s="622"/>
      <c r="D1227" s="622"/>
      <c r="E1227" s="627"/>
    </row>
    <row r="1228" spans="1:5" s="618" customFormat="1" ht="21.75" customHeight="1">
      <c r="A1228" s="619"/>
      <c r="B1228" s="622"/>
      <c r="C1228" s="622"/>
      <c r="D1228" s="622"/>
      <c r="E1228" s="627"/>
    </row>
    <row r="1229" spans="1:5" s="618" customFormat="1" ht="21.75" customHeight="1">
      <c r="A1229" s="619"/>
      <c r="B1229" s="622"/>
      <c r="C1229" s="622"/>
      <c r="D1229" s="622"/>
      <c r="E1229" s="627"/>
    </row>
    <row r="1230" spans="1:5" s="618" customFormat="1" ht="21.75" customHeight="1">
      <c r="A1230" s="619"/>
      <c r="B1230" s="622"/>
      <c r="C1230" s="622"/>
      <c r="D1230" s="622"/>
      <c r="E1230" s="627"/>
    </row>
    <row r="1231" spans="1:5" s="618" customFormat="1" ht="21.75" customHeight="1">
      <c r="A1231" s="619"/>
      <c r="B1231" s="622"/>
      <c r="C1231" s="622"/>
      <c r="D1231" s="622"/>
      <c r="E1231" s="627"/>
    </row>
    <row r="1232" spans="1:5" s="618" customFormat="1" ht="21.75" customHeight="1">
      <c r="A1232" s="619"/>
      <c r="B1232" s="622"/>
      <c r="C1232" s="622"/>
      <c r="D1232" s="622"/>
      <c r="E1232" s="627"/>
    </row>
    <row r="1233" spans="1:5" s="618" customFormat="1" ht="21.75" customHeight="1">
      <c r="A1233" s="619"/>
      <c r="B1233" s="622"/>
      <c r="C1233" s="622"/>
      <c r="D1233" s="622"/>
      <c r="E1233" s="627"/>
    </row>
    <row r="1234" spans="1:5" s="618" customFormat="1" ht="21.75" customHeight="1">
      <c r="A1234" s="619"/>
      <c r="B1234" s="622"/>
      <c r="C1234" s="622"/>
      <c r="D1234" s="622"/>
      <c r="E1234" s="627"/>
    </row>
    <row r="1235" spans="1:5" s="618" customFormat="1" ht="21.75" customHeight="1">
      <c r="A1235" s="619"/>
      <c r="B1235" s="622"/>
      <c r="C1235" s="622"/>
      <c r="D1235" s="622"/>
      <c r="E1235" s="627"/>
    </row>
    <row r="1236" spans="1:5" s="618" customFormat="1" ht="21.75" customHeight="1">
      <c r="A1236" s="619"/>
      <c r="B1236" s="622"/>
      <c r="C1236" s="622"/>
      <c r="D1236" s="622"/>
      <c r="E1236" s="627"/>
    </row>
    <row r="1237" spans="1:5" s="618" customFormat="1" ht="21.75" customHeight="1">
      <c r="A1237" s="619"/>
      <c r="B1237" s="622"/>
      <c r="C1237" s="622"/>
      <c r="D1237" s="622"/>
      <c r="E1237" s="627"/>
    </row>
    <row r="1238" spans="1:5" s="618" customFormat="1" ht="21.75" customHeight="1">
      <c r="A1238" s="619"/>
      <c r="B1238" s="622"/>
      <c r="C1238" s="622"/>
      <c r="D1238" s="622"/>
      <c r="E1238" s="627"/>
    </row>
    <row r="1239" spans="1:5" s="618" customFormat="1" ht="21.75" customHeight="1">
      <c r="A1239" s="619"/>
      <c r="B1239" s="622"/>
      <c r="C1239" s="622"/>
      <c r="D1239" s="622"/>
      <c r="E1239" s="627"/>
    </row>
    <row r="1240" spans="1:5" s="618" customFormat="1" ht="21.75" customHeight="1">
      <c r="A1240" s="619"/>
      <c r="B1240" s="622"/>
      <c r="C1240" s="622"/>
      <c r="D1240" s="622"/>
      <c r="E1240" s="627"/>
    </row>
    <row r="1241" spans="1:5" s="618" customFormat="1" ht="21.75" customHeight="1">
      <c r="A1241" s="619"/>
      <c r="B1241" s="622"/>
      <c r="C1241" s="622"/>
      <c r="D1241" s="622"/>
      <c r="E1241" s="627"/>
    </row>
    <row r="1242" spans="1:5" s="618" customFormat="1" ht="21.75" customHeight="1">
      <c r="A1242" s="619"/>
      <c r="B1242" s="622"/>
      <c r="C1242" s="622"/>
      <c r="D1242" s="622"/>
      <c r="E1242" s="627"/>
    </row>
    <row r="1243" spans="1:5" s="618" customFormat="1" ht="21.75" customHeight="1">
      <c r="A1243" s="619"/>
      <c r="B1243" s="622"/>
      <c r="C1243" s="622"/>
      <c r="D1243" s="622"/>
      <c r="E1243" s="627"/>
    </row>
    <row r="1244" spans="1:5" s="618" customFormat="1" ht="21.75" customHeight="1">
      <c r="A1244" s="619"/>
      <c r="B1244" s="622"/>
      <c r="C1244" s="622"/>
      <c r="D1244" s="622"/>
      <c r="E1244" s="627"/>
    </row>
    <row r="1245" spans="1:5" s="618" customFormat="1" ht="21.75" customHeight="1">
      <c r="A1245" s="619"/>
      <c r="B1245" s="622"/>
      <c r="C1245" s="622"/>
      <c r="D1245" s="622"/>
      <c r="E1245" s="627"/>
    </row>
    <row r="1246" spans="1:5" s="618" customFormat="1" ht="21.75" customHeight="1">
      <c r="A1246" s="619"/>
      <c r="B1246" s="622"/>
      <c r="C1246" s="622"/>
      <c r="D1246" s="622"/>
      <c r="E1246" s="627"/>
    </row>
    <row r="1247" spans="1:5" s="618" customFormat="1" ht="21.75" customHeight="1">
      <c r="A1247" s="619"/>
      <c r="B1247" s="622"/>
      <c r="C1247" s="622"/>
      <c r="D1247" s="622"/>
      <c r="E1247" s="627"/>
    </row>
    <row r="1248" spans="1:5" s="618" customFormat="1" ht="21.75" customHeight="1">
      <c r="A1248" s="619"/>
      <c r="B1248" s="622"/>
      <c r="C1248" s="622"/>
      <c r="D1248" s="622"/>
      <c r="E1248" s="627"/>
    </row>
    <row r="1249" spans="1:5" s="618" customFormat="1" ht="21.75" customHeight="1">
      <c r="A1249" s="619"/>
      <c r="B1249" s="622"/>
      <c r="C1249" s="622"/>
      <c r="D1249" s="622"/>
      <c r="E1249" s="627"/>
    </row>
    <row r="1250" spans="1:5" s="618" customFormat="1" ht="21.75" customHeight="1">
      <c r="A1250" s="619"/>
      <c r="B1250" s="622"/>
      <c r="C1250" s="622"/>
      <c r="D1250" s="622"/>
      <c r="E1250" s="627"/>
    </row>
    <row r="1251" spans="1:5" s="618" customFormat="1" ht="21.75" customHeight="1">
      <c r="A1251" s="619"/>
      <c r="B1251" s="622"/>
      <c r="C1251" s="622"/>
      <c r="D1251" s="622"/>
      <c r="E1251" s="627"/>
    </row>
    <row r="1252" spans="1:5" s="618" customFormat="1" ht="21.75" customHeight="1">
      <c r="A1252" s="619"/>
      <c r="B1252" s="622"/>
      <c r="C1252" s="622"/>
      <c r="D1252" s="622"/>
      <c r="E1252" s="627"/>
    </row>
    <row r="1253" spans="1:5" s="618" customFormat="1" ht="21.75" customHeight="1">
      <c r="A1253" s="619"/>
      <c r="B1253" s="622"/>
      <c r="C1253" s="622"/>
      <c r="D1253" s="622"/>
      <c r="E1253" s="627"/>
    </row>
    <row r="1254" spans="1:5" s="618" customFormat="1" ht="21.75" customHeight="1">
      <c r="A1254" s="619"/>
      <c r="B1254" s="622"/>
      <c r="C1254" s="622"/>
      <c r="D1254" s="622"/>
      <c r="E1254" s="627"/>
    </row>
    <row r="1255" spans="1:5" s="618" customFormat="1" ht="21.75" customHeight="1">
      <c r="A1255" s="619"/>
      <c r="B1255" s="622"/>
      <c r="C1255" s="622"/>
      <c r="D1255" s="622"/>
      <c r="E1255" s="627"/>
    </row>
    <row r="1256" spans="1:5" s="618" customFormat="1" ht="21.75" customHeight="1">
      <c r="A1256" s="619"/>
      <c r="B1256" s="622"/>
      <c r="C1256" s="622"/>
      <c r="D1256" s="622"/>
      <c r="E1256" s="627"/>
    </row>
    <row r="1257" spans="1:5" s="618" customFormat="1" ht="21.75" customHeight="1">
      <c r="A1257" s="619"/>
      <c r="B1257" s="622"/>
      <c r="C1257" s="622"/>
      <c r="D1257" s="622"/>
      <c r="E1257" s="627"/>
    </row>
    <row r="1258" spans="1:5" s="618" customFormat="1" ht="21.75" customHeight="1">
      <c r="A1258" s="619"/>
      <c r="B1258" s="622"/>
      <c r="C1258" s="622"/>
      <c r="D1258" s="622"/>
      <c r="E1258" s="627"/>
    </row>
    <row r="1259" spans="1:5" s="618" customFormat="1" ht="21.75" customHeight="1">
      <c r="A1259" s="619"/>
      <c r="B1259" s="622"/>
      <c r="C1259" s="622"/>
      <c r="D1259" s="622"/>
      <c r="E1259" s="627"/>
    </row>
    <row r="1260" spans="1:5" s="618" customFormat="1" ht="21.75" customHeight="1">
      <c r="A1260" s="619"/>
      <c r="B1260" s="622"/>
      <c r="C1260" s="622"/>
      <c r="D1260" s="622"/>
      <c r="E1260" s="627"/>
    </row>
    <row r="1261" spans="1:5" s="618" customFormat="1" ht="21.75" customHeight="1">
      <c r="A1261" s="619"/>
      <c r="B1261" s="622"/>
      <c r="C1261" s="622"/>
      <c r="D1261" s="622"/>
      <c r="E1261" s="627"/>
    </row>
    <row r="1262" spans="1:5" s="618" customFormat="1" ht="21.75" customHeight="1">
      <c r="A1262" s="619"/>
      <c r="B1262" s="622"/>
      <c r="C1262" s="622"/>
      <c r="D1262" s="622"/>
      <c r="E1262" s="627"/>
    </row>
    <row r="1263" spans="1:5" s="618" customFormat="1" ht="21.75" customHeight="1">
      <c r="A1263" s="619"/>
      <c r="B1263" s="622"/>
      <c r="C1263" s="622"/>
      <c r="D1263" s="622"/>
      <c r="E1263" s="627"/>
    </row>
    <row r="1264" spans="1:5" s="618" customFormat="1" ht="21.75" customHeight="1">
      <c r="A1264" s="619"/>
      <c r="B1264" s="622"/>
      <c r="C1264" s="622"/>
      <c r="D1264" s="622"/>
      <c r="E1264" s="627"/>
    </row>
    <row r="1265" spans="1:5" s="618" customFormat="1" ht="21.75" customHeight="1">
      <c r="A1265" s="619"/>
      <c r="B1265" s="622"/>
      <c r="C1265" s="622"/>
      <c r="D1265" s="622"/>
      <c r="E1265" s="627"/>
    </row>
    <row r="1266" spans="1:5" s="618" customFormat="1" ht="21.75" customHeight="1">
      <c r="A1266" s="619"/>
      <c r="B1266" s="622"/>
      <c r="C1266" s="622"/>
      <c r="D1266" s="622"/>
      <c r="E1266" s="627"/>
    </row>
    <row r="1267" spans="1:5" s="618" customFormat="1" ht="21.75" customHeight="1">
      <c r="A1267" s="619"/>
      <c r="B1267" s="622"/>
      <c r="C1267" s="622"/>
      <c r="D1267" s="622"/>
      <c r="E1267" s="627"/>
    </row>
    <row r="1268" spans="1:5" s="618" customFormat="1" ht="21.75" customHeight="1">
      <c r="A1268" s="619"/>
      <c r="B1268" s="622"/>
      <c r="C1268" s="622"/>
      <c r="D1268" s="622"/>
      <c r="E1268" s="627"/>
    </row>
    <row r="1269" spans="1:5" s="618" customFormat="1" ht="21.75" customHeight="1">
      <c r="A1269" s="619"/>
      <c r="B1269" s="622"/>
      <c r="C1269" s="622"/>
      <c r="D1269" s="622"/>
      <c r="E1269" s="627"/>
    </row>
    <row r="1270" spans="1:5" s="618" customFormat="1" ht="21.75" customHeight="1">
      <c r="A1270" s="619"/>
      <c r="B1270" s="622"/>
      <c r="C1270" s="622"/>
      <c r="D1270" s="622"/>
      <c r="E1270" s="627"/>
    </row>
    <row r="1271" spans="1:5" s="618" customFormat="1" ht="21.75" customHeight="1">
      <c r="A1271" s="619"/>
      <c r="B1271" s="622"/>
      <c r="C1271" s="622"/>
      <c r="D1271" s="622"/>
      <c r="E1271" s="627"/>
    </row>
    <row r="1272" spans="1:5" s="618" customFormat="1" ht="21.75" customHeight="1">
      <c r="A1272" s="619"/>
      <c r="B1272" s="622"/>
      <c r="C1272" s="622"/>
      <c r="D1272" s="622"/>
      <c r="E1272" s="627"/>
    </row>
    <row r="1273" spans="1:5" s="618" customFormat="1" ht="21.75" customHeight="1">
      <c r="A1273" s="619"/>
      <c r="B1273" s="622"/>
      <c r="C1273" s="622"/>
      <c r="D1273" s="622"/>
      <c r="E1273" s="627"/>
    </row>
    <row r="1274" spans="1:5" s="618" customFormat="1" ht="21.75" customHeight="1">
      <c r="A1274" s="619"/>
      <c r="B1274" s="622"/>
      <c r="C1274" s="622"/>
      <c r="D1274" s="622"/>
      <c r="E1274" s="627"/>
    </row>
    <row r="1275" spans="1:5" s="618" customFormat="1" ht="21.75" customHeight="1">
      <c r="A1275" s="619"/>
      <c r="B1275" s="622"/>
      <c r="C1275" s="622"/>
      <c r="D1275" s="622"/>
      <c r="E1275" s="627"/>
    </row>
    <row r="1276" spans="1:5" s="618" customFormat="1" ht="21.75" customHeight="1">
      <c r="A1276" s="619"/>
      <c r="B1276" s="622"/>
      <c r="C1276" s="622"/>
      <c r="D1276" s="622"/>
      <c r="E1276" s="627"/>
    </row>
    <row r="1277" spans="1:5" s="618" customFormat="1" ht="21.75" customHeight="1">
      <c r="A1277" s="619"/>
      <c r="B1277" s="622"/>
      <c r="C1277" s="622"/>
      <c r="D1277" s="622"/>
      <c r="E1277" s="627"/>
    </row>
    <row r="1278" spans="1:5" s="618" customFormat="1" ht="21.75" customHeight="1">
      <c r="A1278" s="619"/>
      <c r="B1278" s="622"/>
      <c r="C1278" s="622"/>
      <c r="D1278" s="622"/>
      <c r="E1278" s="627"/>
    </row>
    <row r="1279" spans="1:5" s="618" customFormat="1" ht="21.75" customHeight="1">
      <c r="A1279" s="619"/>
      <c r="B1279" s="622"/>
      <c r="C1279" s="622"/>
      <c r="D1279" s="622"/>
      <c r="E1279" s="627"/>
    </row>
    <row r="1280" spans="1:5" s="618" customFormat="1" ht="21.75" customHeight="1">
      <c r="A1280" s="619"/>
      <c r="B1280" s="622"/>
      <c r="C1280" s="622"/>
      <c r="D1280" s="622"/>
      <c r="E1280" s="627"/>
    </row>
    <row r="1281" spans="1:5" s="618" customFormat="1" ht="21.75" customHeight="1">
      <c r="A1281" s="619"/>
      <c r="B1281" s="622"/>
      <c r="C1281" s="622"/>
      <c r="D1281" s="622"/>
      <c r="E1281" s="627"/>
    </row>
    <row r="1282" spans="1:5" s="618" customFormat="1" ht="21.75" customHeight="1">
      <c r="A1282" s="619"/>
      <c r="B1282" s="622"/>
      <c r="C1282" s="622"/>
      <c r="D1282" s="622"/>
      <c r="E1282" s="627"/>
    </row>
    <row r="1283" spans="1:5" s="618" customFormat="1" ht="21.75" customHeight="1">
      <c r="A1283" s="619"/>
      <c r="B1283" s="622"/>
      <c r="C1283" s="622"/>
      <c r="D1283" s="622"/>
      <c r="E1283" s="627"/>
    </row>
    <row r="1284" spans="1:5" s="618" customFormat="1" ht="21.75" customHeight="1">
      <c r="A1284" s="619"/>
      <c r="B1284" s="622"/>
      <c r="C1284" s="622"/>
      <c r="D1284" s="622"/>
      <c r="E1284" s="627"/>
    </row>
    <row r="1285" spans="1:5" s="618" customFormat="1" ht="21.75" customHeight="1">
      <c r="A1285" s="619"/>
      <c r="B1285" s="622"/>
      <c r="C1285" s="622"/>
      <c r="D1285" s="622"/>
      <c r="E1285" s="627"/>
    </row>
    <row r="1286" spans="1:5" s="618" customFormat="1" ht="21.75" customHeight="1">
      <c r="A1286" s="619"/>
      <c r="B1286" s="622"/>
      <c r="C1286" s="622"/>
      <c r="D1286" s="622"/>
      <c r="E1286" s="627"/>
    </row>
    <row r="1287" spans="1:5" s="618" customFormat="1" ht="21.75" customHeight="1">
      <c r="A1287" s="619"/>
      <c r="B1287" s="622"/>
      <c r="C1287" s="622"/>
      <c r="D1287" s="622"/>
      <c r="E1287" s="627"/>
    </row>
    <row r="1288" spans="1:5" s="618" customFormat="1" ht="21.75" customHeight="1">
      <c r="A1288" s="619"/>
      <c r="B1288" s="622"/>
      <c r="C1288" s="622"/>
      <c r="D1288" s="622"/>
      <c r="E1288" s="627"/>
    </row>
    <row r="1289" spans="1:5" s="618" customFormat="1" ht="21.75" customHeight="1">
      <c r="A1289" s="619"/>
      <c r="B1289" s="622"/>
      <c r="C1289" s="622"/>
      <c r="D1289" s="622"/>
      <c r="E1289" s="627"/>
    </row>
    <row r="1290" spans="1:5" s="618" customFormat="1" ht="21.75" customHeight="1">
      <c r="A1290" s="619"/>
      <c r="B1290" s="622"/>
      <c r="C1290" s="622"/>
      <c r="D1290" s="622"/>
      <c r="E1290" s="627"/>
    </row>
    <row r="1291" spans="1:5" s="618" customFormat="1" ht="21.75" customHeight="1">
      <c r="A1291" s="619"/>
      <c r="B1291" s="622"/>
      <c r="C1291" s="622"/>
      <c r="D1291" s="622"/>
      <c r="E1291" s="627"/>
    </row>
    <row r="1292" spans="1:5" s="618" customFormat="1" ht="21.75" customHeight="1">
      <c r="A1292" s="619"/>
      <c r="B1292" s="622"/>
      <c r="C1292" s="622"/>
      <c r="D1292" s="622"/>
      <c r="E1292" s="627"/>
    </row>
    <row r="1293" spans="1:5" s="618" customFormat="1" ht="21.75" customHeight="1">
      <c r="A1293" s="619"/>
      <c r="B1293" s="622"/>
      <c r="C1293" s="622"/>
      <c r="D1293" s="622"/>
      <c r="E1293" s="627"/>
    </row>
    <row r="1294" spans="1:5" s="618" customFormat="1" ht="21.75" customHeight="1">
      <c r="A1294" s="619"/>
      <c r="B1294" s="622"/>
      <c r="C1294" s="622"/>
      <c r="D1294" s="622"/>
      <c r="E1294" s="627"/>
    </row>
    <row r="1295" spans="1:5" s="618" customFormat="1" ht="21.75" customHeight="1">
      <c r="A1295" s="619"/>
      <c r="B1295" s="622"/>
      <c r="C1295" s="622"/>
      <c r="D1295" s="622"/>
      <c r="E1295" s="627"/>
    </row>
    <row r="1296" spans="1:5" s="618" customFormat="1" ht="21.75" customHeight="1">
      <c r="A1296" s="619"/>
      <c r="B1296" s="622"/>
      <c r="C1296" s="622"/>
      <c r="D1296" s="622"/>
      <c r="E1296" s="627"/>
    </row>
    <row r="1297" spans="1:5" s="618" customFormat="1" ht="21.75" customHeight="1">
      <c r="A1297" s="619"/>
      <c r="B1297" s="622"/>
      <c r="C1297" s="622"/>
      <c r="D1297" s="622"/>
      <c r="E1297" s="627"/>
    </row>
    <row r="1298" spans="1:5" s="618" customFormat="1" ht="21.75" customHeight="1">
      <c r="A1298" s="619"/>
      <c r="B1298" s="622"/>
      <c r="C1298" s="622"/>
      <c r="D1298" s="622"/>
      <c r="E1298" s="627"/>
    </row>
    <row r="1299" spans="1:5" s="618" customFormat="1" ht="21.75" customHeight="1">
      <c r="A1299" s="619"/>
      <c r="B1299" s="622"/>
      <c r="C1299" s="622"/>
      <c r="D1299" s="622"/>
      <c r="E1299" s="627"/>
    </row>
    <row r="1300" spans="1:5" s="618" customFormat="1" ht="21.75" customHeight="1">
      <c r="A1300" s="619"/>
      <c r="B1300" s="622"/>
      <c r="C1300" s="622"/>
      <c r="D1300" s="622"/>
      <c r="E1300" s="627"/>
    </row>
    <row r="1301" spans="1:5" s="618" customFormat="1" ht="21.75" customHeight="1">
      <c r="A1301" s="619"/>
      <c r="B1301" s="622"/>
      <c r="C1301" s="622"/>
      <c r="D1301" s="622"/>
      <c r="E1301" s="627"/>
    </row>
    <row r="1302" spans="1:5" s="618" customFormat="1" ht="21.75" customHeight="1">
      <c r="A1302" s="619"/>
      <c r="B1302" s="622"/>
      <c r="C1302" s="622"/>
      <c r="D1302" s="622"/>
      <c r="E1302" s="627"/>
    </row>
    <row r="1303" spans="1:5" s="618" customFormat="1" ht="21.75" customHeight="1">
      <c r="A1303" s="619"/>
      <c r="B1303" s="622"/>
      <c r="C1303" s="622"/>
      <c r="D1303" s="622"/>
      <c r="E1303" s="627"/>
    </row>
    <row r="1304" spans="1:5" s="618" customFormat="1" ht="21.75" customHeight="1">
      <c r="A1304" s="619"/>
      <c r="B1304" s="622"/>
      <c r="C1304" s="622"/>
      <c r="D1304" s="622"/>
      <c r="E1304" s="627"/>
    </row>
    <row r="1305" spans="1:5" s="618" customFormat="1" ht="21.75" customHeight="1">
      <c r="A1305" s="619"/>
      <c r="B1305" s="622"/>
      <c r="C1305" s="622"/>
      <c r="D1305" s="622"/>
      <c r="E1305" s="627"/>
    </row>
    <row r="1306" spans="1:5" s="618" customFormat="1" ht="21.75" customHeight="1">
      <c r="A1306" s="619"/>
      <c r="B1306" s="622"/>
      <c r="C1306" s="622"/>
      <c r="D1306" s="622"/>
      <c r="E1306" s="627"/>
    </row>
    <row r="1307" spans="1:5" s="618" customFormat="1" ht="21.75" customHeight="1">
      <c r="A1307" s="619"/>
      <c r="B1307" s="622"/>
      <c r="C1307" s="622"/>
      <c r="D1307" s="622"/>
      <c r="E1307" s="627"/>
    </row>
    <row r="1308" spans="1:5" s="618" customFormat="1" ht="21.75" customHeight="1">
      <c r="A1308" s="619"/>
      <c r="B1308" s="622"/>
      <c r="C1308" s="622"/>
      <c r="D1308" s="622"/>
      <c r="E1308" s="627"/>
    </row>
    <row r="1309" spans="1:5" s="618" customFormat="1" ht="21.75" customHeight="1">
      <c r="A1309" s="619"/>
      <c r="B1309" s="622"/>
      <c r="C1309" s="622"/>
      <c r="D1309" s="622"/>
      <c r="E1309" s="627"/>
    </row>
    <row r="1310" spans="1:5" s="618" customFormat="1" ht="21.75" customHeight="1">
      <c r="A1310" s="619"/>
      <c r="B1310" s="622"/>
      <c r="C1310" s="622"/>
      <c r="D1310" s="622"/>
      <c r="E1310" s="627"/>
    </row>
    <row r="1311" spans="1:5" s="618" customFormat="1" ht="21.75" customHeight="1">
      <c r="A1311" s="619"/>
      <c r="B1311" s="622"/>
      <c r="C1311" s="622"/>
      <c r="D1311" s="622"/>
      <c r="E1311" s="627"/>
    </row>
    <row r="1312" spans="1:5" s="618" customFormat="1" ht="21.75" customHeight="1">
      <c r="A1312" s="619"/>
      <c r="B1312" s="622"/>
      <c r="C1312" s="622"/>
      <c r="D1312" s="622"/>
      <c r="E1312" s="627"/>
    </row>
    <row r="1313" spans="1:5" s="618" customFormat="1" ht="21.75" customHeight="1">
      <c r="A1313" s="619"/>
      <c r="B1313" s="622"/>
      <c r="C1313" s="622"/>
      <c r="D1313" s="622"/>
      <c r="E1313" s="627"/>
    </row>
    <row r="1314" spans="1:5" s="618" customFormat="1" ht="21.75" customHeight="1">
      <c r="A1314" s="619"/>
      <c r="B1314" s="622"/>
      <c r="C1314" s="622"/>
      <c r="D1314" s="622"/>
      <c r="E1314" s="627"/>
    </row>
    <row r="1315" spans="1:5" s="618" customFormat="1" ht="21.75" customHeight="1">
      <c r="A1315" s="619"/>
      <c r="B1315" s="622"/>
      <c r="C1315" s="622"/>
      <c r="D1315" s="622"/>
      <c r="E1315" s="627"/>
    </row>
    <row r="1316" spans="1:5" s="618" customFormat="1" ht="21.75" customHeight="1">
      <c r="A1316" s="619"/>
      <c r="B1316" s="622"/>
      <c r="C1316" s="622"/>
      <c r="D1316" s="622"/>
      <c r="E1316" s="627"/>
    </row>
    <row r="1317" spans="1:5" s="618" customFormat="1" ht="21.75" customHeight="1">
      <c r="A1317" s="619"/>
      <c r="B1317" s="622"/>
      <c r="C1317" s="622"/>
      <c r="D1317" s="622"/>
      <c r="E1317" s="627"/>
    </row>
    <row r="1318" spans="1:5" s="618" customFormat="1" ht="21.75" customHeight="1">
      <c r="A1318" s="619"/>
      <c r="B1318" s="622"/>
      <c r="C1318" s="622"/>
      <c r="D1318" s="622"/>
      <c r="E1318" s="627"/>
    </row>
    <row r="1319" spans="1:5" s="618" customFormat="1" ht="21.75" customHeight="1">
      <c r="A1319" s="619"/>
      <c r="B1319" s="622"/>
      <c r="C1319" s="622"/>
      <c r="D1319" s="622"/>
      <c r="E1319" s="627"/>
    </row>
    <row r="1320" spans="1:5" s="618" customFormat="1" ht="21.75" customHeight="1">
      <c r="A1320" s="619"/>
      <c r="B1320" s="622"/>
      <c r="C1320" s="622"/>
      <c r="D1320" s="622"/>
      <c r="E1320" s="627"/>
    </row>
    <row r="1321" spans="1:5" s="618" customFormat="1" ht="21.75" customHeight="1">
      <c r="A1321" s="619"/>
      <c r="B1321" s="622"/>
      <c r="C1321" s="622"/>
      <c r="D1321" s="622"/>
      <c r="E1321" s="627"/>
    </row>
    <row r="1322" spans="1:5" s="618" customFormat="1" ht="21.75" customHeight="1">
      <c r="A1322" s="619"/>
      <c r="B1322" s="622"/>
      <c r="C1322" s="622"/>
      <c r="D1322" s="622"/>
      <c r="E1322" s="627"/>
    </row>
    <row r="1323" spans="1:5" s="618" customFormat="1" ht="21.75" customHeight="1">
      <c r="A1323" s="619"/>
      <c r="B1323" s="622"/>
      <c r="C1323" s="622"/>
      <c r="D1323" s="622"/>
      <c r="E1323" s="627"/>
    </row>
    <row r="1324" spans="1:5" s="618" customFormat="1" ht="21.75" customHeight="1">
      <c r="A1324" s="619"/>
      <c r="B1324" s="622"/>
      <c r="C1324" s="622"/>
      <c r="D1324" s="622"/>
      <c r="E1324" s="627"/>
    </row>
    <row r="1325" spans="1:5" s="618" customFormat="1" ht="21.75" customHeight="1">
      <c r="A1325" s="619"/>
      <c r="B1325" s="622"/>
      <c r="C1325" s="622"/>
      <c r="D1325" s="622"/>
      <c r="E1325" s="627"/>
    </row>
    <row r="1326" spans="1:5" s="618" customFormat="1" ht="21.75" customHeight="1">
      <c r="A1326" s="619"/>
      <c r="B1326" s="622"/>
      <c r="C1326" s="622"/>
      <c r="D1326" s="622"/>
      <c r="E1326" s="627"/>
    </row>
    <row r="1327" spans="1:5" s="618" customFormat="1" ht="21.75" customHeight="1">
      <c r="A1327" s="619"/>
      <c r="B1327" s="622"/>
      <c r="C1327" s="622"/>
      <c r="D1327" s="622"/>
      <c r="E1327" s="627"/>
    </row>
    <row r="1328" spans="1:5" s="618" customFormat="1" ht="21.75" customHeight="1">
      <c r="A1328" s="619"/>
      <c r="B1328" s="622"/>
      <c r="C1328" s="622"/>
      <c r="D1328" s="622"/>
      <c r="E1328" s="627"/>
    </row>
    <row r="1329" spans="1:5" s="618" customFormat="1" ht="21.75" customHeight="1">
      <c r="A1329" s="619"/>
      <c r="B1329" s="622"/>
      <c r="C1329" s="622"/>
      <c r="D1329" s="622"/>
      <c r="E1329" s="627"/>
    </row>
    <row r="1330" spans="1:5" s="618" customFormat="1" ht="21.75" customHeight="1">
      <c r="A1330" s="619"/>
      <c r="B1330" s="622"/>
      <c r="C1330" s="622"/>
      <c r="D1330" s="622"/>
      <c r="E1330" s="627"/>
    </row>
    <row r="1331" spans="1:5" s="618" customFormat="1" ht="21.75" customHeight="1">
      <c r="A1331" s="619"/>
      <c r="B1331" s="622"/>
      <c r="C1331" s="622"/>
      <c r="D1331" s="622"/>
      <c r="E1331" s="627"/>
    </row>
    <row r="1332" spans="1:5" s="618" customFormat="1" ht="21.75" customHeight="1">
      <c r="A1332" s="619"/>
      <c r="B1332" s="622"/>
      <c r="C1332" s="622"/>
      <c r="D1332" s="622"/>
      <c r="E1332" s="627"/>
    </row>
    <row r="1333" spans="1:5" s="618" customFormat="1" ht="21.75" customHeight="1">
      <c r="A1333" s="619"/>
      <c r="B1333" s="622"/>
      <c r="C1333" s="622"/>
      <c r="D1333" s="622"/>
      <c r="E1333" s="627"/>
    </row>
    <row r="1334" spans="1:5" s="618" customFormat="1" ht="21.75" customHeight="1">
      <c r="A1334" s="619"/>
      <c r="B1334" s="622"/>
      <c r="C1334" s="622"/>
      <c r="D1334" s="622"/>
      <c r="E1334" s="627"/>
    </row>
    <row r="1335" spans="1:5" s="618" customFormat="1" ht="21.75" customHeight="1">
      <c r="A1335" s="619"/>
      <c r="B1335" s="622"/>
      <c r="C1335" s="622"/>
      <c r="D1335" s="622"/>
      <c r="E1335" s="627"/>
    </row>
    <row r="1336" spans="1:5" s="618" customFormat="1" ht="21.75" customHeight="1">
      <c r="A1336" s="619"/>
      <c r="B1336" s="622"/>
      <c r="C1336" s="622"/>
      <c r="D1336" s="622"/>
      <c r="E1336" s="627"/>
    </row>
    <row r="1337" spans="1:5" s="618" customFormat="1" ht="21.75" customHeight="1">
      <c r="A1337" s="619"/>
      <c r="B1337" s="622"/>
      <c r="C1337" s="622"/>
      <c r="D1337" s="622"/>
      <c r="E1337" s="627"/>
    </row>
    <row r="1338" spans="1:5" s="618" customFormat="1" ht="21.75" customHeight="1">
      <c r="A1338" s="619"/>
      <c r="B1338" s="622"/>
      <c r="C1338" s="622"/>
      <c r="D1338" s="622"/>
      <c r="E1338" s="627"/>
    </row>
    <row r="1339" spans="1:5" s="618" customFormat="1" ht="21.75" customHeight="1">
      <c r="A1339" s="619"/>
      <c r="B1339" s="622"/>
      <c r="C1339" s="622"/>
      <c r="D1339" s="622"/>
      <c r="E1339" s="627"/>
    </row>
    <row r="1340" spans="1:5" s="618" customFormat="1" ht="21.75" customHeight="1">
      <c r="A1340" s="619"/>
      <c r="B1340" s="622"/>
      <c r="C1340" s="622"/>
      <c r="D1340" s="622"/>
      <c r="E1340" s="627"/>
    </row>
    <row r="1341" spans="1:5" s="618" customFormat="1" ht="21.75" customHeight="1">
      <c r="A1341" s="619"/>
      <c r="B1341" s="622"/>
      <c r="C1341" s="622"/>
      <c r="D1341" s="622"/>
      <c r="E1341" s="627"/>
    </row>
    <row r="1342" spans="1:5" s="618" customFormat="1" ht="21.75" customHeight="1">
      <c r="A1342" s="619"/>
      <c r="B1342" s="622"/>
      <c r="C1342" s="622"/>
      <c r="D1342" s="622"/>
      <c r="E1342" s="627"/>
    </row>
    <row r="1343" spans="1:5" s="618" customFormat="1" ht="21.75" customHeight="1">
      <c r="A1343" s="619"/>
      <c r="B1343" s="622"/>
      <c r="C1343" s="622"/>
      <c r="D1343" s="622"/>
      <c r="E1343" s="627"/>
    </row>
    <row r="1344" spans="1:5" s="618" customFormat="1" ht="21.75" customHeight="1">
      <c r="A1344" s="619"/>
      <c r="B1344" s="622"/>
      <c r="C1344" s="622"/>
      <c r="D1344" s="622"/>
      <c r="E1344" s="627"/>
    </row>
    <row r="1345" spans="1:5" s="618" customFormat="1" ht="21.75" customHeight="1">
      <c r="A1345" s="619"/>
      <c r="B1345" s="622"/>
      <c r="C1345" s="622"/>
      <c r="D1345" s="622"/>
      <c r="E1345" s="627"/>
    </row>
    <row r="1346" spans="1:5" s="618" customFormat="1" ht="21.75" customHeight="1">
      <c r="A1346" s="619"/>
      <c r="B1346" s="622"/>
      <c r="C1346" s="622"/>
      <c r="D1346" s="622"/>
      <c r="E1346" s="627"/>
    </row>
    <row r="1347" spans="1:5" s="618" customFormat="1" ht="21.75" customHeight="1">
      <c r="A1347" s="619"/>
      <c r="B1347" s="622"/>
      <c r="C1347" s="622"/>
      <c r="D1347" s="622"/>
      <c r="E1347" s="627"/>
    </row>
    <row r="1348" spans="1:5" s="618" customFormat="1" ht="21.75" customHeight="1">
      <c r="A1348" s="619"/>
      <c r="B1348" s="622"/>
      <c r="C1348" s="622"/>
      <c r="D1348" s="622"/>
      <c r="E1348" s="627"/>
    </row>
    <row r="1349" spans="1:5" s="618" customFormat="1" ht="21.75" customHeight="1">
      <c r="A1349" s="619"/>
      <c r="B1349" s="622"/>
      <c r="C1349" s="622"/>
      <c r="D1349" s="622"/>
      <c r="E1349" s="627"/>
    </row>
    <row r="1350" spans="1:5" s="618" customFormat="1" ht="21.75" customHeight="1">
      <c r="A1350" s="619"/>
      <c r="B1350" s="622"/>
      <c r="C1350" s="622"/>
      <c r="D1350" s="622"/>
      <c r="E1350" s="627"/>
    </row>
    <row r="1351" spans="1:5" s="618" customFormat="1" ht="21.75" customHeight="1">
      <c r="A1351" s="619"/>
      <c r="B1351" s="622"/>
      <c r="C1351" s="622"/>
      <c r="D1351" s="622"/>
      <c r="E1351" s="627"/>
    </row>
    <row r="1352" spans="1:5" s="618" customFormat="1" ht="21.75" customHeight="1">
      <c r="A1352" s="619"/>
      <c r="B1352" s="622"/>
      <c r="C1352" s="622"/>
      <c r="D1352" s="622"/>
      <c r="E1352" s="627"/>
    </row>
    <row r="1353" spans="1:5" s="618" customFormat="1" ht="21.75" customHeight="1">
      <c r="A1353" s="619"/>
      <c r="B1353" s="622"/>
      <c r="C1353" s="622"/>
      <c r="D1353" s="622"/>
      <c r="E1353" s="627"/>
    </row>
    <row r="1354" spans="1:5" s="618" customFormat="1" ht="21.75" customHeight="1">
      <c r="A1354" s="619"/>
      <c r="B1354" s="622"/>
      <c r="C1354" s="622"/>
      <c r="D1354" s="622"/>
      <c r="E1354" s="627"/>
    </row>
    <row r="1355" spans="1:5" s="618" customFormat="1" ht="21.75" customHeight="1">
      <c r="A1355" s="619"/>
      <c r="B1355" s="622"/>
      <c r="C1355" s="622"/>
      <c r="D1355" s="622"/>
      <c r="E1355" s="627"/>
    </row>
    <row r="1356" spans="1:5" s="618" customFormat="1" ht="21.75" customHeight="1">
      <c r="A1356" s="619"/>
      <c r="B1356" s="622"/>
      <c r="C1356" s="622"/>
      <c r="D1356" s="622"/>
      <c r="E1356" s="627"/>
    </row>
    <row r="1357" spans="1:5" s="618" customFormat="1" ht="21.75" customHeight="1">
      <c r="A1357" s="619"/>
      <c r="B1357" s="622"/>
      <c r="C1357" s="622"/>
      <c r="D1357" s="622"/>
      <c r="E1357" s="627"/>
    </row>
    <row r="1358" spans="1:5" s="618" customFormat="1" ht="21.75" customHeight="1">
      <c r="A1358" s="619"/>
      <c r="B1358" s="622"/>
      <c r="C1358" s="622"/>
      <c r="D1358" s="622"/>
      <c r="E1358" s="627"/>
    </row>
    <row r="1359" spans="1:5" s="618" customFormat="1" ht="21.75" customHeight="1">
      <c r="A1359" s="619"/>
      <c r="B1359" s="622"/>
      <c r="C1359" s="622"/>
      <c r="D1359" s="622"/>
      <c r="E1359" s="627"/>
    </row>
    <row r="1360" spans="1:5" s="618" customFormat="1" ht="21.75" customHeight="1">
      <c r="A1360" s="619"/>
      <c r="B1360" s="622"/>
      <c r="C1360" s="622"/>
      <c r="D1360" s="622"/>
      <c r="E1360" s="627"/>
    </row>
    <row r="1361" spans="1:5" s="618" customFormat="1" ht="21.75" customHeight="1">
      <c r="A1361" s="619"/>
      <c r="B1361" s="622"/>
      <c r="C1361" s="622"/>
      <c r="D1361" s="622"/>
      <c r="E1361" s="627"/>
    </row>
    <row r="1362" spans="1:5" s="618" customFormat="1" ht="21.75" customHeight="1">
      <c r="A1362" s="619"/>
      <c r="B1362" s="622"/>
      <c r="C1362" s="622"/>
      <c r="D1362" s="622"/>
      <c r="E1362" s="627"/>
    </row>
    <row r="1363" spans="1:5" s="618" customFormat="1" ht="21.75" customHeight="1">
      <c r="A1363" s="619"/>
      <c r="B1363" s="622"/>
      <c r="C1363" s="622"/>
      <c r="D1363" s="622"/>
      <c r="E1363" s="627"/>
    </row>
    <row r="1364" spans="1:5" s="618" customFormat="1" ht="21.75" customHeight="1">
      <c r="A1364" s="619"/>
      <c r="B1364" s="622"/>
      <c r="C1364" s="622"/>
      <c r="D1364" s="622"/>
      <c r="E1364" s="627"/>
    </row>
    <row r="1365" spans="1:5" s="618" customFormat="1" ht="21.75" customHeight="1">
      <c r="A1365" s="619"/>
      <c r="B1365" s="622"/>
      <c r="C1365" s="622"/>
      <c r="D1365" s="622"/>
      <c r="E1365" s="627"/>
    </row>
    <row r="1366" spans="1:5" s="618" customFormat="1" ht="21.75" customHeight="1">
      <c r="A1366" s="619"/>
      <c r="B1366" s="622"/>
      <c r="C1366" s="622"/>
      <c r="D1366" s="622"/>
      <c r="E1366" s="627"/>
    </row>
    <row r="1367" spans="1:5" s="618" customFormat="1" ht="21.75" customHeight="1">
      <c r="A1367" s="619"/>
      <c r="B1367" s="622"/>
      <c r="C1367" s="622"/>
      <c r="D1367" s="622"/>
      <c r="E1367" s="627"/>
    </row>
    <row r="1368" spans="1:5" s="618" customFormat="1" ht="21.75" customHeight="1">
      <c r="A1368" s="619"/>
      <c r="B1368" s="622"/>
      <c r="C1368" s="622"/>
      <c r="D1368" s="622"/>
      <c r="E1368" s="627"/>
    </row>
    <row r="1369" spans="1:5" s="618" customFormat="1" ht="21.75" customHeight="1">
      <c r="A1369" s="619"/>
      <c r="B1369" s="622"/>
      <c r="C1369" s="622"/>
      <c r="D1369" s="622"/>
      <c r="E1369" s="627"/>
    </row>
    <row r="1370" spans="1:5" s="618" customFormat="1" ht="21.75" customHeight="1">
      <c r="A1370" s="619"/>
      <c r="B1370" s="622"/>
      <c r="C1370" s="622"/>
      <c r="D1370" s="622"/>
      <c r="E1370" s="627"/>
    </row>
    <row r="1371" spans="1:5" s="618" customFormat="1" ht="21.75" customHeight="1">
      <c r="A1371" s="619"/>
      <c r="B1371" s="622"/>
      <c r="C1371" s="622"/>
      <c r="D1371" s="622"/>
      <c r="E1371" s="627"/>
    </row>
    <row r="1372" spans="1:5" s="618" customFormat="1" ht="21.75" customHeight="1">
      <c r="A1372" s="619"/>
      <c r="B1372" s="622"/>
      <c r="C1372" s="622"/>
      <c r="D1372" s="622"/>
      <c r="E1372" s="627"/>
    </row>
    <row r="1373" spans="1:5" s="618" customFormat="1" ht="21.75" customHeight="1">
      <c r="A1373" s="619"/>
      <c r="B1373" s="622"/>
      <c r="C1373" s="622"/>
      <c r="D1373" s="622"/>
      <c r="E1373" s="627"/>
    </row>
    <row r="1374" spans="1:5" s="618" customFormat="1" ht="21.75" customHeight="1">
      <c r="A1374" s="619"/>
      <c r="B1374" s="622"/>
      <c r="C1374" s="622"/>
      <c r="D1374" s="622"/>
      <c r="E1374" s="627"/>
    </row>
    <row r="1375" spans="1:5" s="618" customFormat="1" ht="21.75" customHeight="1">
      <c r="A1375" s="619"/>
      <c r="B1375" s="622"/>
      <c r="C1375" s="622"/>
      <c r="D1375" s="622"/>
      <c r="E1375" s="627"/>
    </row>
    <row r="1376" spans="1:5" s="618" customFormat="1" ht="21.75" customHeight="1">
      <c r="A1376" s="619"/>
      <c r="B1376" s="622"/>
      <c r="C1376" s="622"/>
      <c r="D1376" s="622"/>
      <c r="E1376" s="627"/>
    </row>
    <row r="1377" spans="1:5" s="618" customFormat="1" ht="21.75" customHeight="1">
      <c r="A1377" s="619"/>
      <c r="B1377" s="622"/>
      <c r="C1377" s="622"/>
      <c r="D1377" s="622"/>
      <c r="E1377" s="627"/>
    </row>
    <row r="1378" spans="1:5" s="618" customFormat="1" ht="21.75" customHeight="1">
      <c r="A1378" s="619"/>
      <c r="B1378" s="622"/>
      <c r="C1378" s="622"/>
      <c r="D1378" s="622"/>
      <c r="E1378" s="627"/>
    </row>
    <row r="1379" spans="1:5" s="618" customFormat="1" ht="21.75" customHeight="1">
      <c r="A1379" s="619"/>
      <c r="B1379" s="622"/>
      <c r="C1379" s="622"/>
      <c r="D1379" s="622"/>
      <c r="E1379" s="627"/>
    </row>
    <row r="1380" spans="1:5" s="618" customFormat="1" ht="21.75" customHeight="1">
      <c r="A1380" s="619"/>
      <c r="B1380" s="622"/>
      <c r="C1380" s="622"/>
      <c r="D1380" s="622"/>
      <c r="E1380" s="627"/>
    </row>
    <row r="1381" spans="1:5" s="618" customFormat="1" ht="21.75" customHeight="1">
      <c r="A1381" s="619"/>
      <c r="B1381" s="622"/>
      <c r="C1381" s="622"/>
      <c r="D1381" s="622"/>
      <c r="E1381" s="627"/>
    </row>
    <row r="1382" spans="1:5" s="618" customFormat="1" ht="21.75" customHeight="1">
      <c r="A1382" s="619"/>
      <c r="B1382" s="622"/>
      <c r="C1382" s="622"/>
      <c r="D1382" s="622"/>
      <c r="E1382" s="627"/>
    </row>
    <row r="1383" spans="1:5" s="618" customFormat="1" ht="21.75" customHeight="1">
      <c r="A1383" s="619"/>
      <c r="B1383" s="622"/>
      <c r="C1383" s="622"/>
      <c r="D1383" s="622"/>
      <c r="E1383" s="627"/>
    </row>
    <row r="1384" spans="1:5" s="618" customFormat="1" ht="21.75" customHeight="1">
      <c r="A1384" s="619"/>
      <c r="B1384" s="622"/>
      <c r="C1384" s="622"/>
      <c r="D1384" s="622"/>
      <c r="E1384" s="627"/>
    </row>
    <row r="1385" spans="1:5" s="618" customFormat="1" ht="21.75" customHeight="1">
      <c r="A1385" s="619"/>
      <c r="B1385" s="622"/>
      <c r="C1385" s="622"/>
      <c r="D1385" s="622"/>
      <c r="E1385" s="627"/>
    </row>
    <row r="1386" spans="1:5" s="618" customFormat="1" ht="21.75" customHeight="1">
      <c r="A1386" s="619"/>
      <c r="B1386" s="622"/>
      <c r="C1386" s="622"/>
      <c r="D1386" s="622"/>
      <c r="E1386" s="627"/>
    </row>
    <row r="1387" spans="1:5" s="618" customFormat="1" ht="21.75" customHeight="1">
      <c r="A1387" s="619"/>
      <c r="B1387" s="622"/>
      <c r="C1387" s="622"/>
      <c r="D1387" s="622"/>
      <c r="E1387" s="627"/>
    </row>
    <row r="1388" spans="1:5" s="618" customFormat="1" ht="21.75" customHeight="1">
      <c r="A1388" s="619"/>
      <c r="B1388" s="622"/>
      <c r="C1388" s="622"/>
      <c r="D1388" s="622"/>
      <c r="E1388" s="627"/>
    </row>
    <row r="1389" spans="1:5" s="618" customFormat="1" ht="21.75" customHeight="1">
      <c r="A1389" s="619"/>
      <c r="B1389" s="622"/>
      <c r="C1389" s="622"/>
      <c r="D1389" s="622"/>
      <c r="E1389" s="627"/>
    </row>
    <row r="1390" spans="1:5" s="618" customFormat="1" ht="21.75" customHeight="1">
      <c r="A1390" s="619"/>
      <c r="B1390" s="622"/>
      <c r="C1390" s="622"/>
      <c r="D1390" s="622"/>
      <c r="E1390" s="627"/>
    </row>
    <row r="1391" spans="1:5" s="618" customFormat="1" ht="21.75" customHeight="1">
      <c r="A1391" s="619"/>
      <c r="B1391" s="622"/>
      <c r="C1391" s="622"/>
      <c r="D1391" s="622"/>
      <c r="E1391" s="627"/>
    </row>
    <row r="1392" spans="1:5" s="618" customFormat="1" ht="21.75" customHeight="1">
      <c r="A1392" s="619"/>
      <c r="B1392" s="622"/>
      <c r="C1392" s="622"/>
      <c r="D1392" s="622"/>
      <c r="E1392" s="627"/>
    </row>
    <row r="1393" spans="1:5" s="618" customFormat="1" ht="21.75" customHeight="1">
      <c r="A1393" s="619"/>
      <c r="B1393" s="622"/>
      <c r="C1393" s="622"/>
      <c r="D1393" s="622"/>
      <c r="E1393" s="627"/>
    </row>
    <row r="1394" spans="1:5" s="618" customFormat="1" ht="21.75" customHeight="1">
      <c r="A1394" s="619"/>
      <c r="B1394" s="622"/>
      <c r="C1394" s="622"/>
      <c r="D1394" s="622"/>
      <c r="E1394" s="627"/>
    </row>
    <row r="1395" spans="1:5" s="618" customFormat="1" ht="21.75" customHeight="1">
      <c r="A1395" s="619"/>
      <c r="B1395" s="622"/>
      <c r="C1395" s="622"/>
      <c r="D1395" s="622"/>
      <c r="E1395" s="627"/>
    </row>
    <row r="1396" spans="1:5" s="618" customFormat="1" ht="21.75" customHeight="1">
      <c r="A1396" s="619"/>
      <c r="B1396" s="622"/>
      <c r="C1396" s="622"/>
      <c r="D1396" s="622"/>
      <c r="E1396" s="627"/>
    </row>
    <row r="1397" spans="1:5" s="618" customFormat="1" ht="21.75" customHeight="1">
      <c r="A1397" s="619"/>
      <c r="B1397" s="622"/>
      <c r="C1397" s="622"/>
      <c r="D1397" s="622"/>
      <c r="E1397" s="627"/>
    </row>
    <row r="1398" spans="1:5" s="618" customFormat="1" ht="21.75" customHeight="1">
      <c r="A1398" s="619"/>
      <c r="B1398" s="622"/>
      <c r="C1398" s="622"/>
      <c r="D1398" s="622"/>
      <c r="E1398" s="627"/>
    </row>
    <row r="1399" spans="1:5" s="618" customFormat="1" ht="21.75" customHeight="1">
      <c r="A1399" s="619"/>
      <c r="B1399" s="622"/>
      <c r="C1399" s="622"/>
      <c r="D1399" s="622"/>
      <c r="E1399" s="627"/>
    </row>
    <row r="1400" spans="1:5" s="618" customFormat="1" ht="21.75" customHeight="1">
      <c r="A1400" s="619"/>
      <c r="B1400" s="622"/>
      <c r="C1400" s="622"/>
      <c r="D1400" s="622"/>
      <c r="E1400" s="627"/>
    </row>
    <row r="1401" spans="1:5" s="618" customFormat="1" ht="21.75" customHeight="1">
      <c r="A1401" s="619"/>
      <c r="B1401" s="622"/>
      <c r="C1401" s="622"/>
      <c r="D1401" s="622"/>
      <c r="E1401" s="627"/>
    </row>
    <row r="1402" spans="1:5" s="618" customFormat="1" ht="21.75" customHeight="1">
      <c r="A1402" s="619"/>
      <c r="B1402" s="622"/>
      <c r="C1402" s="622"/>
      <c r="D1402" s="622"/>
      <c r="E1402" s="627"/>
    </row>
    <row r="1403" spans="1:5" s="618" customFormat="1" ht="21.75" customHeight="1">
      <c r="A1403" s="619"/>
      <c r="B1403" s="622"/>
      <c r="C1403" s="622"/>
      <c r="D1403" s="622"/>
      <c r="E1403" s="627"/>
    </row>
    <row r="1404" spans="1:5" s="618" customFormat="1" ht="21.75" customHeight="1">
      <c r="A1404" s="619"/>
      <c r="B1404" s="622"/>
      <c r="C1404" s="622"/>
      <c r="D1404" s="622"/>
      <c r="E1404" s="627"/>
    </row>
    <row r="1405" spans="1:5" s="618" customFormat="1" ht="21.75" customHeight="1">
      <c r="A1405" s="619"/>
      <c r="B1405" s="622"/>
      <c r="C1405" s="622"/>
      <c r="D1405" s="622"/>
      <c r="E1405" s="627"/>
    </row>
    <row r="1406" spans="1:5" s="618" customFormat="1" ht="21.75" customHeight="1">
      <c r="A1406" s="619"/>
      <c r="B1406" s="622"/>
      <c r="C1406" s="622"/>
      <c r="D1406" s="622"/>
      <c r="E1406" s="627"/>
    </row>
    <row r="1407" spans="1:5" s="618" customFormat="1" ht="21.75" customHeight="1">
      <c r="A1407" s="619"/>
      <c r="B1407" s="622"/>
      <c r="C1407" s="622"/>
      <c r="D1407" s="622"/>
      <c r="E1407" s="627"/>
    </row>
    <row r="1408" spans="1:5" s="618" customFormat="1" ht="21.75" customHeight="1">
      <c r="A1408" s="619"/>
      <c r="B1408" s="622"/>
      <c r="C1408" s="622"/>
      <c r="D1408" s="622"/>
      <c r="E1408" s="627"/>
    </row>
    <row r="1409" spans="1:5" s="618" customFormat="1" ht="21.75" customHeight="1">
      <c r="A1409" s="619"/>
      <c r="B1409" s="622"/>
      <c r="C1409" s="622"/>
      <c r="D1409" s="622"/>
      <c r="E1409" s="627"/>
    </row>
    <row r="1410" spans="1:5" s="618" customFormat="1" ht="21.75" customHeight="1">
      <c r="A1410" s="619"/>
      <c r="B1410" s="622"/>
      <c r="C1410" s="622"/>
      <c r="D1410" s="622"/>
      <c r="E1410" s="627"/>
    </row>
    <row r="1411" spans="1:5" s="618" customFormat="1" ht="21.75" customHeight="1">
      <c r="A1411" s="619"/>
      <c r="B1411" s="622"/>
      <c r="C1411" s="622"/>
      <c r="D1411" s="622"/>
      <c r="E1411" s="627"/>
    </row>
    <row r="1412" spans="1:5" s="618" customFormat="1" ht="21.75" customHeight="1">
      <c r="A1412" s="619"/>
      <c r="B1412" s="622"/>
      <c r="C1412" s="622"/>
      <c r="D1412" s="622"/>
      <c r="E1412" s="627"/>
    </row>
    <row r="1413" spans="1:5" s="618" customFormat="1" ht="21.75" customHeight="1">
      <c r="A1413" s="619"/>
      <c r="B1413" s="622"/>
      <c r="C1413" s="622"/>
      <c r="D1413" s="622"/>
      <c r="E1413" s="627"/>
    </row>
    <row r="1414" spans="1:5" s="618" customFormat="1" ht="21.75" customHeight="1">
      <c r="A1414" s="619"/>
      <c r="B1414" s="622"/>
      <c r="C1414" s="622"/>
      <c r="D1414" s="622"/>
      <c r="E1414" s="627"/>
    </row>
    <row r="1415" spans="1:5" s="618" customFormat="1" ht="21.75" customHeight="1">
      <c r="A1415" s="619"/>
      <c r="B1415" s="622"/>
      <c r="C1415" s="622"/>
      <c r="D1415" s="622"/>
      <c r="E1415" s="627"/>
    </row>
    <row r="1416" spans="1:5" s="618" customFormat="1" ht="21.75" customHeight="1">
      <c r="A1416" s="619"/>
      <c r="B1416" s="622"/>
      <c r="C1416" s="622"/>
      <c r="D1416" s="622"/>
      <c r="E1416" s="627"/>
    </row>
    <row r="1417" spans="1:5" s="618" customFormat="1" ht="21.75" customHeight="1">
      <c r="A1417" s="619"/>
      <c r="B1417" s="622"/>
      <c r="C1417" s="622"/>
      <c r="D1417" s="622"/>
      <c r="E1417" s="627"/>
    </row>
    <row r="1418" spans="1:5" s="618" customFormat="1" ht="21.75" customHeight="1">
      <c r="A1418" s="619"/>
      <c r="B1418" s="622"/>
      <c r="C1418" s="622"/>
      <c r="D1418" s="622"/>
      <c r="E1418" s="627"/>
    </row>
    <row r="1419" spans="1:5" s="618" customFormat="1" ht="21.75" customHeight="1">
      <c r="A1419" s="619"/>
      <c r="B1419" s="622"/>
      <c r="C1419" s="622"/>
      <c r="D1419" s="622"/>
      <c r="E1419" s="627"/>
    </row>
    <row r="1420" spans="1:5" s="618" customFormat="1" ht="21.75" customHeight="1">
      <c r="A1420" s="619"/>
      <c r="B1420" s="622"/>
      <c r="C1420" s="622"/>
      <c r="D1420" s="622"/>
      <c r="E1420" s="627"/>
    </row>
    <row r="1421" spans="1:5" s="618" customFormat="1" ht="21.75" customHeight="1">
      <c r="A1421" s="619"/>
      <c r="B1421" s="622"/>
      <c r="C1421" s="622"/>
      <c r="D1421" s="622"/>
      <c r="E1421" s="627"/>
    </row>
    <row r="1422" spans="1:5" s="618" customFormat="1" ht="21.75" customHeight="1">
      <c r="A1422" s="619"/>
      <c r="B1422" s="622"/>
      <c r="C1422" s="622"/>
      <c r="D1422" s="622"/>
      <c r="E1422" s="627"/>
    </row>
    <row r="1423" spans="1:5" s="618" customFormat="1" ht="21.75" customHeight="1">
      <c r="A1423" s="619"/>
      <c r="B1423" s="622"/>
      <c r="C1423" s="622"/>
      <c r="D1423" s="622"/>
      <c r="E1423" s="627"/>
    </row>
    <row r="1424" spans="1:5" s="618" customFormat="1" ht="21.75" customHeight="1">
      <c r="A1424" s="619"/>
      <c r="B1424" s="622"/>
      <c r="C1424" s="622"/>
      <c r="D1424" s="622"/>
      <c r="E1424" s="627"/>
    </row>
    <row r="1425" spans="1:5" s="618" customFormat="1" ht="21.75" customHeight="1">
      <c r="A1425" s="619"/>
      <c r="B1425" s="622"/>
      <c r="C1425" s="622"/>
      <c r="D1425" s="622"/>
      <c r="E1425" s="627"/>
    </row>
    <row r="1426" spans="1:5" s="618" customFormat="1" ht="21.75" customHeight="1">
      <c r="A1426" s="619"/>
      <c r="B1426" s="622"/>
      <c r="C1426" s="622"/>
      <c r="D1426" s="622"/>
      <c r="E1426" s="627"/>
    </row>
    <row r="1427" spans="1:5" s="618" customFormat="1" ht="21.75" customHeight="1">
      <c r="A1427" s="619"/>
      <c r="B1427" s="622"/>
      <c r="C1427" s="622"/>
      <c r="D1427" s="622"/>
      <c r="E1427" s="627"/>
    </row>
    <row r="1428" spans="1:5" s="618" customFormat="1" ht="21.75" customHeight="1">
      <c r="A1428" s="619"/>
      <c r="B1428" s="622"/>
      <c r="C1428" s="622"/>
      <c r="D1428" s="622"/>
      <c r="E1428" s="627"/>
    </row>
    <row r="1429" spans="1:5" s="618" customFormat="1" ht="21.75" customHeight="1">
      <c r="A1429" s="619"/>
      <c r="B1429" s="622"/>
      <c r="C1429" s="622"/>
      <c r="D1429" s="622"/>
      <c r="E1429" s="627"/>
    </row>
    <row r="1430" spans="1:5" s="618" customFormat="1" ht="21.75" customHeight="1">
      <c r="A1430" s="619"/>
      <c r="B1430" s="622"/>
      <c r="C1430" s="622"/>
      <c r="D1430" s="622"/>
      <c r="E1430" s="627"/>
    </row>
    <row r="1431" spans="1:5" s="618" customFormat="1" ht="21.75" customHeight="1">
      <c r="A1431" s="619"/>
      <c r="B1431" s="622"/>
      <c r="C1431" s="622"/>
      <c r="D1431" s="622"/>
      <c r="E1431" s="627"/>
    </row>
    <row r="1432" spans="1:5" s="618" customFormat="1" ht="21.75" customHeight="1">
      <c r="A1432" s="619"/>
      <c r="B1432" s="622"/>
      <c r="C1432" s="622"/>
      <c r="D1432" s="622"/>
      <c r="E1432" s="627"/>
    </row>
    <row r="1433" spans="1:5" s="618" customFormat="1" ht="21.75" customHeight="1">
      <c r="A1433" s="619"/>
      <c r="B1433" s="622"/>
      <c r="C1433" s="622"/>
      <c r="D1433" s="622"/>
      <c r="E1433" s="627"/>
    </row>
    <row r="1434" spans="1:5" s="618" customFormat="1" ht="21.75" customHeight="1">
      <c r="A1434" s="619"/>
      <c r="B1434" s="622"/>
      <c r="C1434" s="622"/>
      <c r="D1434" s="622"/>
      <c r="E1434" s="627"/>
    </row>
    <row r="1435" spans="1:5" s="618" customFormat="1" ht="21.75" customHeight="1">
      <c r="A1435" s="619"/>
      <c r="B1435" s="622"/>
      <c r="C1435" s="622"/>
      <c r="D1435" s="622"/>
      <c r="E1435" s="627"/>
    </row>
    <row r="1436" spans="1:5" s="618" customFormat="1" ht="21.75" customHeight="1">
      <c r="A1436" s="619"/>
      <c r="B1436" s="622"/>
      <c r="C1436" s="622"/>
      <c r="D1436" s="622"/>
      <c r="E1436" s="627"/>
    </row>
    <row r="1437" spans="1:5" s="618" customFormat="1" ht="21.75" customHeight="1">
      <c r="A1437" s="619"/>
      <c r="B1437" s="622"/>
      <c r="C1437" s="622"/>
      <c r="D1437" s="622"/>
      <c r="E1437" s="627"/>
    </row>
    <row r="1438" spans="1:5" s="618" customFormat="1" ht="21.75" customHeight="1">
      <c r="A1438" s="619"/>
      <c r="B1438" s="622"/>
      <c r="C1438" s="622"/>
      <c r="D1438" s="622"/>
      <c r="E1438" s="627"/>
    </row>
    <row r="1439" spans="1:5" s="618" customFormat="1" ht="21.75" customHeight="1">
      <c r="A1439" s="619"/>
      <c r="B1439" s="622"/>
      <c r="C1439" s="622"/>
      <c r="D1439" s="622"/>
      <c r="E1439" s="627"/>
    </row>
    <row r="1440" spans="1:5" s="618" customFormat="1" ht="21.75" customHeight="1">
      <c r="A1440" s="619"/>
      <c r="B1440" s="622"/>
      <c r="C1440" s="622"/>
      <c r="D1440" s="622"/>
      <c r="E1440" s="627"/>
    </row>
    <row r="1441" spans="1:5" s="618" customFormat="1" ht="21.75" customHeight="1">
      <c r="A1441" s="619"/>
      <c r="B1441" s="622"/>
      <c r="C1441" s="622"/>
      <c r="D1441" s="622"/>
      <c r="E1441" s="627"/>
    </row>
    <row r="1442" spans="1:5" s="618" customFormat="1" ht="21.75" customHeight="1">
      <c r="A1442" s="619"/>
      <c r="B1442" s="622"/>
      <c r="C1442" s="622"/>
      <c r="D1442" s="622"/>
      <c r="E1442" s="627"/>
    </row>
    <row r="1443" spans="1:5" s="618" customFormat="1" ht="21.75" customHeight="1">
      <c r="A1443" s="619"/>
      <c r="B1443" s="622"/>
      <c r="C1443" s="622"/>
      <c r="D1443" s="622"/>
      <c r="E1443" s="627"/>
    </row>
    <row r="1444" spans="1:5" s="618" customFormat="1" ht="21.75" customHeight="1">
      <c r="A1444" s="619"/>
      <c r="B1444" s="622"/>
      <c r="C1444" s="622"/>
      <c r="D1444" s="622"/>
      <c r="E1444" s="627"/>
    </row>
    <row r="1445" spans="1:5" s="618" customFormat="1" ht="21.75" customHeight="1">
      <c r="A1445" s="619"/>
      <c r="B1445" s="622"/>
      <c r="C1445" s="622"/>
      <c r="D1445" s="622"/>
      <c r="E1445" s="627"/>
    </row>
    <row r="1446" spans="1:5" s="618" customFormat="1" ht="21.75" customHeight="1">
      <c r="A1446" s="619"/>
      <c r="B1446" s="622"/>
      <c r="C1446" s="622"/>
      <c r="D1446" s="622"/>
      <c r="E1446" s="627"/>
    </row>
    <row r="1447" spans="1:5" s="618" customFormat="1" ht="21.75" customHeight="1">
      <c r="A1447" s="619"/>
      <c r="B1447" s="622"/>
      <c r="C1447" s="622"/>
      <c r="D1447" s="622"/>
      <c r="E1447" s="627"/>
    </row>
    <row r="1448" spans="1:5" s="618" customFormat="1" ht="21.75" customHeight="1">
      <c r="A1448" s="619"/>
      <c r="B1448" s="622"/>
      <c r="C1448" s="622"/>
      <c r="D1448" s="622"/>
      <c r="E1448" s="627"/>
    </row>
    <row r="1449" spans="1:5" s="618" customFormat="1" ht="21.75" customHeight="1">
      <c r="A1449" s="619"/>
      <c r="B1449" s="622"/>
      <c r="C1449" s="622"/>
      <c r="D1449" s="622"/>
      <c r="E1449" s="627"/>
    </row>
    <row r="1450" spans="1:5" s="618" customFormat="1" ht="21.75" customHeight="1">
      <c r="A1450" s="619"/>
      <c r="B1450" s="622"/>
      <c r="C1450" s="622"/>
      <c r="D1450" s="622"/>
      <c r="E1450" s="627"/>
    </row>
    <row r="1451" spans="1:5" s="618" customFormat="1" ht="21.75" customHeight="1">
      <c r="A1451" s="619"/>
      <c r="B1451" s="622"/>
      <c r="C1451" s="622"/>
      <c r="D1451" s="622"/>
      <c r="E1451" s="627"/>
    </row>
    <row r="1452" spans="1:5" s="618" customFormat="1" ht="21.75" customHeight="1">
      <c r="A1452" s="619"/>
      <c r="B1452" s="622"/>
      <c r="C1452" s="622"/>
      <c r="D1452" s="622"/>
      <c r="E1452" s="627"/>
    </row>
    <row r="1453" spans="1:5" s="618" customFormat="1" ht="21.75" customHeight="1">
      <c r="A1453" s="619"/>
      <c r="B1453" s="622"/>
      <c r="C1453" s="622"/>
      <c r="D1453" s="622"/>
      <c r="E1453" s="627"/>
    </row>
    <row r="1454" spans="1:5" s="618" customFormat="1" ht="21.75" customHeight="1">
      <c r="A1454" s="619"/>
      <c r="B1454" s="622"/>
      <c r="C1454" s="622"/>
      <c r="D1454" s="622"/>
      <c r="E1454" s="627"/>
    </row>
    <row r="1455" spans="1:5" s="618" customFormat="1" ht="21.75" customHeight="1">
      <c r="A1455" s="619"/>
      <c r="B1455" s="622"/>
      <c r="C1455" s="622"/>
      <c r="D1455" s="622"/>
      <c r="E1455" s="627"/>
    </row>
    <row r="1456" spans="1:5" s="618" customFormat="1" ht="21.75" customHeight="1">
      <c r="A1456" s="619"/>
      <c r="B1456" s="622"/>
      <c r="C1456" s="622"/>
      <c r="D1456" s="622"/>
      <c r="E1456" s="627"/>
    </row>
    <row r="1457" spans="1:5" s="618" customFormat="1" ht="21.75" customHeight="1">
      <c r="A1457" s="619"/>
      <c r="B1457" s="622"/>
      <c r="C1457" s="622"/>
      <c r="D1457" s="622"/>
      <c r="E1457" s="627"/>
    </row>
    <row r="1458" spans="1:5" s="618" customFormat="1" ht="21.75" customHeight="1">
      <c r="A1458" s="619"/>
      <c r="B1458" s="622"/>
      <c r="C1458" s="622"/>
      <c r="D1458" s="622"/>
      <c r="E1458" s="627"/>
    </row>
    <row r="1459" spans="1:5" s="618" customFormat="1" ht="21.75" customHeight="1">
      <c r="A1459" s="619"/>
      <c r="B1459" s="622"/>
      <c r="C1459" s="622"/>
      <c r="D1459" s="622"/>
      <c r="E1459" s="627"/>
    </row>
    <row r="1460" spans="1:5" s="618" customFormat="1" ht="21.75" customHeight="1">
      <c r="A1460" s="619"/>
      <c r="B1460" s="622"/>
      <c r="C1460" s="622"/>
      <c r="D1460" s="622"/>
      <c r="E1460" s="627"/>
    </row>
    <row r="1461" spans="1:5" s="618" customFormat="1" ht="21.75" customHeight="1">
      <c r="A1461" s="619"/>
      <c r="B1461" s="622"/>
      <c r="C1461" s="622"/>
      <c r="D1461" s="622"/>
      <c r="E1461" s="627"/>
    </row>
    <row r="1462" spans="1:5" s="618" customFormat="1" ht="21.75" customHeight="1">
      <c r="A1462" s="619"/>
      <c r="B1462" s="622"/>
      <c r="C1462" s="622"/>
      <c r="D1462" s="622"/>
      <c r="E1462" s="627"/>
    </row>
    <row r="1463" spans="1:5" s="618" customFormat="1" ht="21.75" customHeight="1">
      <c r="A1463" s="619"/>
      <c r="B1463" s="622"/>
      <c r="C1463" s="622"/>
      <c r="D1463" s="622"/>
      <c r="E1463" s="627"/>
    </row>
    <row r="1464" spans="1:5" s="618" customFormat="1" ht="21.75" customHeight="1">
      <c r="A1464" s="619"/>
      <c r="B1464" s="622"/>
      <c r="C1464" s="622"/>
      <c r="D1464" s="622"/>
      <c r="E1464" s="627"/>
    </row>
    <row r="1465" spans="1:5" s="618" customFormat="1" ht="21.75" customHeight="1">
      <c r="A1465" s="619"/>
      <c r="B1465" s="622"/>
      <c r="C1465" s="622"/>
      <c r="D1465" s="622"/>
      <c r="E1465" s="627"/>
    </row>
    <row r="1466" spans="1:5" s="618" customFormat="1" ht="21.75" customHeight="1">
      <c r="A1466" s="619"/>
      <c r="B1466" s="622"/>
      <c r="C1466" s="622"/>
      <c r="D1466" s="622"/>
      <c r="E1466" s="627"/>
    </row>
    <row r="1467" spans="1:5" s="618" customFormat="1" ht="21.75" customHeight="1">
      <c r="A1467" s="619"/>
      <c r="B1467" s="622"/>
      <c r="C1467" s="622"/>
      <c r="D1467" s="622"/>
      <c r="E1467" s="627"/>
    </row>
    <row r="1468" spans="1:5" s="618" customFormat="1" ht="21.75" customHeight="1">
      <c r="A1468" s="619"/>
      <c r="B1468" s="622"/>
      <c r="C1468" s="622"/>
      <c r="D1468" s="622"/>
      <c r="E1468" s="627"/>
    </row>
    <row r="1469" spans="1:5" s="618" customFormat="1" ht="21.75" customHeight="1">
      <c r="A1469" s="619"/>
      <c r="B1469" s="622"/>
      <c r="C1469" s="622"/>
      <c r="D1469" s="622"/>
      <c r="E1469" s="627"/>
    </row>
    <row r="1470" spans="1:5" s="618" customFormat="1" ht="21.75" customHeight="1">
      <c r="A1470" s="619"/>
      <c r="B1470" s="622"/>
      <c r="C1470" s="622"/>
      <c r="D1470" s="622"/>
      <c r="E1470" s="627"/>
    </row>
    <row r="1471" spans="1:5" s="618" customFormat="1" ht="21.75" customHeight="1">
      <c r="A1471" s="619"/>
      <c r="B1471" s="622"/>
      <c r="C1471" s="622"/>
      <c r="D1471" s="622"/>
      <c r="E1471" s="627"/>
    </row>
    <row r="1472" spans="1:5" s="618" customFormat="1" ht="21.75" customHeight="1">
      <c r="A1472" s="619"/>
      <c r="B1472" s="622"/>
      <c r="C1472" s="622"/>
      <c r="D1472" s="622"/>
      <c r="E1472" s="627"/>
    </row>
    <row r="1473" spans="1:5" s="618" customFormat="1" ht="21.75" customHeight="1">
      <c r="A1473" s="619"/>
      <c r="B1473" s="622"/>
      <c r="C1473" s="622"/>
      <c r="D1473" s="622"/>
      <c r="E1473" s="627"/>
    </row>
    <row r="1474" spans="1:5" s="618" customFormat="1" ht="21.75" customHeight="1">
      <c r="A1474" s="619"/>
      <c r="B1474" s="622"/>
      <c r="C1474" s="622"/>
      <c r="D1474" s="622"/>
      <c r="E1474" s="627"/>
    </row>
    <row r="1475" spans="1:5" s="618" customFormat="1" ht="21.75" customHeight="1">
      <c r="A1475" s="619"/>
      <c r="B1475" s="622"/>
      <c r="C1475" s="622"/>
      <c r="D1475" s="622"/>
      <c r="E1475" s="627"/>
    </row>
    <row r="1476" spans="1:5" s="618" customFormat="1" ht="21.75" customHeight="1">
      <c r="A1476" s="619"/>
      <c r="B1476" s="622"/>
      <c r="C1476" s="622"/>
      <c r="D1476" s="622"/>
      <c r="E1476" s="627"/>
    </row>
    <row r="1477" spans="1:5" s="618" customFormat="1" ht="21.75" customHeight="1">
      <c r="A1477" s="619"/>
      <c r="B1477" s="622"/>
      <c r="C1477" s="622"/>
      <c r="D1477" s="622"/>
      <c r="E1477" s="627"/>
    </row>
    <row r="1478" spans="1:5" s="618" customFormat="1" ht="21.75" customHeight="1">
      <c r="A1478" s="619"/>
      <c r="B1478" s="622"/>
      <c r="C1478" s="622"/>
      <c r="D1478" s="622"/>
      <c r="E1478" s="627"/>
    </row>
    <row r="1479" spans="1:5" s="618" customFormat="1" ht="21.75" customHeight="1">
      <c r="A1479" s="619"/>
      <c r="B1479" s="622"/>
      <c r="C1479" s="622"/>
      <c r="D1479" s="622"/>
      <c r="E1479" s="627"/>
    </row>
    <row r="1480" spans="1:5" s="618" customFormat="1" ht="21.75" customHeight="1">
      <c r="A1480" s="619"/>
      <c r="B1480" s="622"/>
      <c r="C1480" s="622"/>
      <c r="D1480" s="622"/>
      <c r="E1480" s="627"/>
    </row>
    <row r="1481" spans="1:5" s="618" customFormat="1" ht="21.75" customHeight="1">
      <c r="A1481" s="619"/>
      <c r="B1481" s="622"/>
      <c r="C1481" s="622"/>
      <c r="D1481" s="622"/>
      <c r="E1481" s="627"/>
    </row>
    <row r="1482" spans="1:5" s="618" customFormat="1" ht="21.75" customHeight="1">
      <c r="A1482" s="619"/>
      <c r="B1482" s="622"/>
      <c r="C1482" s="622"/>
      <c r="D1482" s="622"/>
      <c r="E1482" s="627"/>
    </row>
    <row r="1483" spans="1:5" s="618" customFormat="1" ht="21.75" customHeight="1">
      <c r="A1483" s="619"/>
      <c r="B1483" s="622"/>
      <c r="C1483" s="622"/>
      <c r="D1483" s="622"/>
      <c r="E1483" s="627"/>
    </row>
    <row r="1484" spans="1:5" s="618" customFormat="1" ht="21.75" customHeight="1">
      <c r="A1484" s="619"/>
      <c r="B1484" s="622"/>
      <c r="C1484" s="622"/>
      <c r="D1484" s="622"/>
      <c r="E1484" s="627"/>
    </row>
    <row r="1485" spans="1:5" s="618" customFormat="1" ht="21.75" customHeight="1">
      <c r="A1485" s="619"/>
      <c r="B1485" s="622"/>
      <c r="C1485" s="622"/>
      <c r="D1485" s="622"/>
      <c r="E1485" s="627"/>
    </row>
    <row r="1486" spans="1:5" s="618" customFormat="1" ht="21.75" customHeight="1">
      <c r="A1486" s="619"/>
      <c r="B1486" s="622"/>
      <c r="C1486" s="622"/>
      <c r="D1486" s="622"/>
      <c r="E1486" s="627"/>
    </row>
    <row r="1487" spans="1:5" s="618" customFormat="1" ht="21.75" customHeight="1">
      <c r="A1487" s="619"/>
      <c r="B1487" s="622"/>
      <c r="C1487" s="622"/>
      <c r="D1487" s="622"/>
      <c r="E1487" s="627"/>
    </row>
    <row r="1488" spans="1:5" s="618" customFormat="1" ht="21.75" customHeight="1">
      <c r="A1488" s="619"/>
      <c r="B1488" s="622"/>
      <c r="C1488" s="622"/>
      <c r="D1488" s="622"/>
      <c r="E1488" s="627"/>
    </row>
    <row r="1489" spans="1:5" s="618" customFormat="1" ht="21.75" customHeight="1">
      <c r="A1489" s="619"/>
      <c r="B1489" s="622"/>
      <c r="C1489" s="622"/>
      <c r="D1489" s="622"/>
      <c r="E1489" s="627"/>
    </row>
    <row r="1490" spans="1:5" s="618" customFormat="1" ht="21.75" customHeight="1">
      <c r="A1490" s="619"/>
      <c r="B1490" s="622"/>
      <c r="C1490" s="622"/>
      <c r="D1490" s="622"/>
      <c r="E1490" s="627"/>
    </row>
    <row r="1491" spans="1:5" s="618" customFormat="1" ht="21.75" customHeight="1">
      <c r="A1491" s="619"/>
      <c r="B1491" s="622"/>
      <c r="C1491" s="622"/>
      <c r="D1491" s="622"/>
      <c r="E1491" s="627"/>
    </row>
    <row r="1492" spans="1:5" s="618" customFormat="1" ht="21.75" customHeight="1">
      <c r="A1492" s="619"/>
      <c r="B1492" s="622"/>
      <c r="C1492" s="622"/>
      <c r="D1492" s="622"/>
      <c r="E1492" s="627"/>
    </row>
    <row r="1493" spans="1:5" s="618" customFormat="1" ht="21.75" customHeight="1">
      <c r="A1493" s="619"/>
      <c r="B1493" s="622"/>
      <c r="C1493" s="622"/>
      <c r="D1493" s="622"/>
      <c r="E1493" s="627"/>
    </row>
    <row r="1494" spans="1:5" s="618" customFormat="1" ht="21.75" customHeight="1">
      <c r="A1494" s="619"/>
      <c r="B1494" s="622"/>
      <c r="C1494" s="622"/>
      <c r="D1494" s="622"/>
      <c r="E1494" s="627"/>
    </row>
    <row r="1495" spans="1:5" s="618" customFormat="1" ht="21.75" customHeight="1">
      <c r="A1495" s="619"/>
      <c r="B1495" s="622"/>
      <c r="C1495" s="622"/>
      <c r="D1495" s="622"/>
      <c r="E1495" s="627"/>
    </row>
    <row r="1496" spans="1:5" s="618" customFormat="1" ht="21.75" customHeight="1">
      <c r="A1496" s="619"/>
      <c r="B1496" s="622"/>
      <c r="C1496" s="622"/>
      <c r="D1496" s="622"/>
      <c r="E1496" s="627"/>
    </row>
    <row r="1497" spans="1:5" s="618" customFormat="1" ht="21.75" customHeight="1">
      <c r="A1497" s="619"/>
      <c r="B1497" s="622"/>
      <c r="C1497" s="622"/>
      <c r="D1497" s="622"/>
      <c r="E1497" s="627"/>
    </row>
    <row r="1498" spans="1:5" s="618" customFormat="1" ht="21.75" customHeight="1">
      <c r="A1498" s="619"/>
      <c r="B1498" s="622"/>
      <c r="C1498" s="622"/>
      <c r="D1498" s="622"/>
      <c r="E1498" s="627"/>
    </row>
    <row r="1499" spans="1:5" s="618" customFormat="1" ht="21.75" customHeight="1">
      <c r="A1499" s="619"/>
      <c r="B1499" s="622"/>
      <c r="C1499" s="622"/>
      <c r="D1499" s="622"/>
      <c r="E1499" s="627"/>
    </row>
    <row r="1500" spans="1:5" s="618" customFormat="1" ht="21.75" customHeight="1">
      <c r="A1500" s="619"/>
      <c r="B1500" s="622"/>
      <c r="C1500" s="622"/>
      <c r="D1500" s="622"/>
      <c r="E1500" s="627"/>
    </row>
    <row r="1501" spans="1:5" s="618" customFormat="1" ht="21.75" customHeight="1">
      <c r="A1501" s="619"/>
      <c r="B1501" s="622"/>
      <c r="C1501" s="622"/>
      <c r="D1501" s="622"/>
      <c r="E1501" s="627"/>
    </row>
    <row r="1502" spans="1:5" s="618" customFormat="1" ht="21.75" customHeight="1">
      <c r="A1502" s="619"/>
      <c r="B1502" s="622"/>
      <c r="C1502" s="622"/>
      <c r="D1502" s="622"/>
      <c r="E1502" s="627"/>
    </row>
    <row r="1503" spans="1:5" s="618" customFormat="1" ht="21.75" customHeight="1">
      <c r="A1503" s="619"/>
      <c r="B1503" s="622"/>
      <c r="C1503" s="622"/>
      <c r="D1503" s="622"/>
      <c r="E1503" s="627"/>
    </row>
    <row r="1504" spans="1:5" s="618" customFormat="1" ht="21.75" customHeight="1">
      <c r="A1504" s="619"/>
      <c r="B1504" s="622"/>
      <c r="C1504" s="622"/>
      <c r="D1504" s="622"/>
      <c r="E1504" s="627"/>
    </row>
    <row r="1505" spans="1:5" s="618" customFormat="1" ht="21.75" customHeight="1">
      <c r="A1505" s="619"/>
      <c r="B1505" s="622"/>
      <c r="C1505" s="622"/>
      <c r="D1505" s="622"/>
      <c r="E1505" s="627"/>
    </row>
    <row r="1506" spans="1:5" s="618" customFormat="1" ht="21.75" customHeight="1">
      <c r="A1506" s="619"/>
      <c r="B1506" s="622"/>
      <c r="C1506" s="622"/>
      <c r="D1506" s="622"/>
      <c r="E1506" s="627"/>
    </row>
    <row r="1507" spans="1:5" s="618" customFormat="1" ht="21.75" customHeight="1">
      <c r="A1507" s="619"/>
      <c r="B1507" s="622"/>
      <c r="C1507" s="622"/>
      <c r="D1507" s="622"/>
      <c r="E1507" s="627"/>
    </row>
    <row r="1508" spans="1:5" s="618" customFormat="1" ht="21.75" customHeight="1">
      <c r="A1508" s="619"/>
      <c r="B1508" s="622"/>
      <c r="C1508" s="622"/>
      <c r="D1508" s="622"/>
      <c r="E1508" s="627"/>
    </row>
    <row r="1509" spans="1:5" s="618" customFormat="1" ht="21.75" customHeight="1">
      <c r="A1509" s="619"/>
      <c r="B1509" s="622"/>
      <c r="C1509" s="622"/>
      <c r="D1509" s="622"/>
      <c r="E1509" s="627"/>
    </row>
    <row r="1510" spans="1:5" s="618" customFormat="1" ht="21.75" customHeight="1">
      <c r="A1510" s="619"/>
      <c r="B1510" s="622"/>
      <c r="C1510" s="622"/>
      <c r="D1510" s="622"/>
      <c r="E1510" s="627"/>
    </row>
    <row r="1511" spans="1:5" s="618" customFormat="1" ht="21.75" customHeight="1">
      <c r="A1511" s="619"/>
      <c r="B1511" s="622"/>
      <c r="C1511" s="622"/>
      <c r="D1511" s="622"/>
      <c r="E1511" s="627"/>
    </row>
    <row r="1512" spans="1:5" s="618" customFormat="1" ht="21.75" customHeight="1">
      <c r="A1512" s="619"/>
      <c r="B1512" s="622"/>
      <c r="C1512" s="622"/>
      <c r="D1512" s="622"/>
      <c r="E1512" s="627"/>
    </row>
    <row r="1513" spans="1:5" s="618" customFormat="1" ht="21.75" customHeight="1">
      <c r="A1513" s="619"/>
      <c r="B1513" s="622"/>
      <c r="C1513" s="622"/>
      <c r="D1513" s="622"/>
      <c r="E1513" s="627"/>
    </row>
    <row r="1514" spans="1:5" s="618" customFormat="1" ht="21.75" customHeight="1">
      <c r="A1514" s="619"/>
      <c r="B1514" s="622"/>
      <c r="C1514" s="622"/>
      <c r="D1514" s="622"/>
      <c r="E1514" s="627"/>
    </row>
    <row r="1515" spans="1:5" s="618" customFormat="1" ht="21.75" customHeight="1">
      <c r="A1515" s="619"/>
      <c r="B1515" s="622"/>
      <c r="C1515" s="622"/>
      <c r="D1515" s="622"/>
      <c r="E1515" s="627"/>
    </row>
    <row r="1516" spans="1:5" s="618" customFormat="1" ht="21.75" customHeight="1">
      <c r="A1516" s="619"/>
      <c r="B1516" s="622"/>
      <c r="C1516" s="622"/>
      <c r="D1516" s="622"/>
      <c r="E1516" s="627"/>
    </row>
    <row r="1517" spans="1:5" s="618" customFormat="1" ht="21.75" customHeight="1">
      <c r="A1517" s="619"/>
      <c r="B1517" s="622"/>
      <c r="C1517" s="622"/>
      <c r="D1517" s="622"/>
      <c r="E1517" s="627"/>
    </row>
    <row r="1518" spans="1:5" s="618" customFormat="1" ht="21.75" customHeight="1">
      <c r="A1518" s="619"/>
      <c r="B1518" s="622"/>
      <c r="C1518" s="622"/>
      <c r="D1518" s="622"/>
      <c r="E1518" s="627"/>
    </row>
    <row r="1519" spans="1:5" s="618" customFormat="1" ht="21.75" customHeight="1">
      <c r="A1519" s="619"/>
      <c r="B1519" s="622"/>
      <c r="C1519" s="622"/>
      <c r="D1519" s="622"/>
      <c r="E1519" s="627"/>
    </row>
    <row r="1520" spans="1:5" s="618" customFormat="1" ht="21.75" customHeight="1">
      <c r="A1520" s="619"/>
      <c r="B1520" s="622"/>
      <c r="C1520" s="622"/>
      <c r="D1520" s="622"/>
      <c r="E1520" s="627"/>
    </row>
    <row r="1521" spans="1:5" s="618" customFormat="1" ht="21.75" customHeight="1">
      <c r="A1521" s="619"/>
      <c r="B1521" s="622"/>
      <c r="C1521" s="622"/>
      <c r="D1521" s="622"/>
      <c r="E1521" s="627"/>
    </row>
    <row r="1522" spans="1:5" s="618" customFormat="1" ht="21.75" customHeight="1">
      <c r="A1522" s="619"/>
      <c r="B1522" s="622"/>
      <c r="C1522" s="622"/>
      <c r="D1522" s="622"/>
      <c r="E1522" s="627"/>
    </row>
    <row r="1523" spans="1:5" s="618" customFormat="1" ht="21.75" customHeight="1">
      <c r="A1523" s="619"/>
      <c r="B1523" s="622"/>
      <c r="C1523" s="622"/>
      <c r="D1523" s="622"/>
      <c r="E1523" s="627"/>
    </row>
    <row r="1524" spans="1:5" s="618" customFormat="1" ht="21.75" customHeight="1">
      <c r="A1524" s="619"/>
      <c r="B1524" s="622"/>
      <c r="C1524" s="622"/>
      <c r="D1524" s="622"/>
      <c r="E1524" s="627"/>
    </row>
    <row r="1525" spans="1:5" s="618" customFormat="1" ht="21.75" customHeight="1">
      <c r="A1525" s="619"/>
      <c r="B1525" s="622"/>
      <c r="C1525" s="622"/>
      <c r="D1525" s="622"/>
      <c r="E1525" s="627"/>
    </row>
    <row r="1526" spans="1:5" s="618" customFormat="1" ht="21.75" customHeight="1">
      <c r="A1526" s="619"/>
      <c r="B1526" s="622"/>
      <c r="C1526" s="622"/>
      <c r="D1526" s="622"/>
      <c r="E1526" s="627"/>
    </row>
    <row r="1527" spans="1:5" s="618" customFormat="1" ht="21.75" customHeight="1">
      <c r="A1527" s="619"/>
      <c r="B1527" s="622"/>
      <c r="C1527" s="622"/>
      <c r="D1527" s="622"/>
      <c r="E1527" s="627"/>
    </row>
    <row r="1528" spans="1:5" s="618" customFormat="1" ht="21.75" customHeight="1">
      <c r="A1528" s="619"/>
      <c r="B1528" s="622"/>
      <c r="C1528" s="622"/>
      <c r="D1528" s="622"/>
      <c r="E1528" s="627"/>
    </row>
    <row r="1529" spans="1:5" s="618" customFormat="1" ht="21.75" customHeight="1">
      <c r="A1529" s="619"/>
      <c r="B1529" s="622"/>
      <c r="C1529" s="622"/>
      <c r="D1529" s="622"/>
      <c r="E1529" s="627"/>
    </row>
    <row r="1530" spans="1:5" s="618" customFormat="1" ht="21.75" customHeight="1">
      <c r="A1530" s="619"/>
      <c r="B1530" s="622"/>
      <c r="C1530" s="622"/>
      <c r="D1530" s="622"/>
      <c r="E1530" s="627"/>
    </row>
    <row r="1531" spans="1:5" s="618" customFormat="1" ht="21.75" customHeight="1">
      <c r="A1531" s="619"/>
      <c r="B1531" s="622"/>
      <c r="C1531" s="622"/>
      <c r="D1531" s="622"/>
      <c r="E1531" s="627"/>
    </row>
    <row r="1532" spans="1:5" s="618" customFormat="1" ht="21.75" customHeight="1">
      <c r="A1532" s="619"/>
      <c r="B1532" s="622"/>
      <c r="C1532" s="622"/>
      <c r="D1532" s="622"/>
      <c r="E1532" s="627"/>
    </row>
    <row r="1533" spans="1:5" s="618" customFormat="1" ht="21.75" customHeight="1">
      <c r="A1533" s="619"/>
      <c r="B1533" s="622"/>
      <c r="C1533" s="622"/>
      <c r="D1533" s="622"/>
      <c r="E1533" s="627"/>
    </row>
    <row r="1534" spans="1:5" s="618" customFormat="1" ht="21.75" customHeight="1">
      <c r="A1534" s="619"/>
      <c r="B1534" s="622"/>
      <c r="C1534" s="622"/>
      <c r="D1534" s="622"/>
      <c r="E1534" s="627"/>
    </row>
    <row r="1535" spans="1:5" s="618" customFormat="1" ht="21.75" customHeight="1">
      <c r="A1535" s="619"/>
      <c r="B1535" s="622"/>
      <c r="C1535" s="622"/>
      <c r="D1535" s="622"/>
      <c r="E1535" s="627"/>
    </row>
    <row r="1536" spans="1:5" s="618" customFormat="1" ht="21.75" customHeight="1">
      <c r="A1536" s="619"/>
      <c r="B1536" s="622"/>
      <c r="C1536" s="622"/>
      <c r="D1536" s="622"/>
      <c r="E1536" s="627"/>
    </row>
    <row r="1537" spans="1:5" s="618" customFormat="1" ht="21.75" customHeight="1">
      <c r="A1537" s="619"/>
      <c r="B1537" s="622"/>
      <c r="C1537" s="622"/>
      <c r="D1537" s="622"/>
      <c r="E1537" s="627"/>
    </row>
    <row r="1538" spans="1:5" s="618" customFormat="1" ht="21.75" customHeight="1">
      <c r="A1538" s="619"/>
      <c r="B1538" s="622"/>
      <c r="C1538" s="622"/>
      <c r="D1538" s="622"/>
      <c r="E1538" s="627"/>
    </row>
    <row r="1539" spans="1:5" s="618" customFormat="1" ht="21.75" customHeight="1">
      <c r="A1539" s="619"/>
      <c r="B1539" s="622"/>
      <c r="C1539" s="622"/>
      <c r="D1539" s="622"/>
      <c r="E1539" s="627"/>
    </row>
    <row r="1540" spans="1:5" s="618" customFormat="1" ht="21.75" customHeight="1">
      <c r="A1540" s="619"/>
      <c r="B1540" s="622"/>
      <c r="C1540" s="622"/>
      <c r="D1540" s="622"/>
      <c r="E1540" s="627"/>
    </row>
    <row r="1541" spans="1:5" s="618" customFormat="1" ht="21.75" customHeight="1">
      <c r="A1541" s="619"/>
      <c r="B1541" s="622"/>
      <c r="C1541" s="622"/>
      <c r="D1541" s="622"/>
      <c r="E1541" s="627"/>
    </row>
    <row r="1542" spans="1:5" s="618" customFormat="1" ht="21.75" customHeight="1">
      <c r="A1542" s="619"/>
      <c r="B1542" s="622"/>
      <c r="C1542" s="622"/>
      <c r="D1542" s="622"/>
      <c r="E1542" s="627"/>
    </row>
    <row r="1543" spans="1:5" s="618" customFormat="1" ht="21.75" customHeight="1">
      <c r="A1543" s="619"/>
      <c r="B1543" s="622"/>
      <c r="C1543" s="622"/>
      <c r="D1543" s="622"/>
      <c r="E1543" s="627"/>
    </row>
    <row r="1544" spans="1:5" s="618" customFormat="1" ht="21.75" customHeight="1">
      <c r="A1544" s="619"/>
      <c r="B1544" s="622"/>
      <c r="C1544" s="622"/>
      <c r="D1544" s="622"/>
      <c r="E1544" s="627"/>
    </row>
    <row r="1545" spans="1:5" s="618" customFormat="1" ht="21.75" customHeight="1">
      <c r="A1545" s="619"/>
      <c r="B1545" s="622"/>
      <c r="C1545" s="622"/>
      <c r="D1545" s="622"/>
      <c r="E1545" s="627"/>
    </row>
    <row r="1546" spans="1:5" s="618" customFormat="1" ht="21.75" customHeight="1">
      <c r="A1546" s="619"/>
      <c r="B1546" s="622"/>
      <c r="C1546" s="622"/>
      <c r="D1546" s="622"/>
      <c r="E1546" s="627"/>
    </row>
    <row r="1547" spans="1:5" s="618" customFormat="1" ht="21.75" customHeight="1">
      <c r="A1547" s="619"/>
      <c r="B1547" s="622"/>
      <c r="C1547" s="622"/>
      <c r="D1547" s="622"/>
      <c r="E1547" s="627"/>
    </row>
    <row r="1548" spans="1:5" s="618" customFormat="1" ht="21.75" customHeight="1">
      <c r="A1548" s="619"/>
      <c r="B1548" s="622"/>
      <c r="C1548" s="622"/>
      <c r="D1548" s="622"/>
      <c r="E1548" s="627"/>
    </row>
    <row r="1549" spans="1:5" s="618" customFormat="1" ht="21.75" customHeight="1">
      <c r="A1549" s="619"/>
      <c r="B1549" s="622"/>
      <c r="C1549" s="622"/>
      <c r="D1549" s="622"/>
      <c r="E1549" s="627"/>
    </row>
    <row r="1550" spans="1:5" s="618" customFormat="1" ht="21.75" customHeight="1">
      <c r="A1550" s="619"/>
      <c r="B1550" s="622"/>
      <c r="C1550" s="622"/>
      <c r="D1550" s="622"/>
      <c r="E1550" s="627"/>
    </row>
    <row r="1551" spans="1:5" s="618" customFormat="1" ht="21.75" customHeight="1">
      <c r="A1551" s="619"/>
      <c r="B1551" s="622"/>
      <c r="C1551" s="622"/>
      <c r="D1551" s="622"/>
      <c r="E1551" s="627"/>
    </row>
    <row r="1552" spans="1:5" s="618" customFormat="1" ht="21.75" customHeight="1">
      <c r="A1552" s="619"/>
      <c r="B1552" s="622"/>
      <c r="C1552" s="622"/>
      <c r="D1552" s="622"/>
      <c r="E1552" s="627"/>
    </row>
    <row r="1553" spans="1:5" s="618" customFormat="1" ht="21.75" customHeight="1">
      <c r="A1553" s="619"/>
      <c r="B1553" s="622"/>
      <c r="C1553" s="622"/>
      <c r="D1553" s="622"/>
      <c r="E1553" s="627"/>
    </row>
    <row r="1554" spans="1:5" s="618" customFormat="1" ht="21.75" customHeight="1">
      <c r="A1554" s="619"/>
      <c r="B1554" s="622"/>
      <c r="C1554" s="622"/>
      <c r="D1554" s="622"/>
      <c r="E1554" s="627"/>
    </row>
    <row r="1555" spans="1:5" s="618" customFormat="1" ht="21.75" customHeight="1">
      <c r="A1555" s="619"/>
      <c r="B1555" s="622"/>
      <c r="C1555" s="622"/>
      <c r="D1555" s="622"/>
      <c r="E1555" s="627"/>
    </row>
    <row r="1556" spans="1:5" s="618" customFormat="1" ht="21.75" customHeight="1">
      <c r="A1556" s="619"/>
      <c r="B1556" s="622"/>
      <c r="C1556" s="622"/>
      <c r="D1556" s="622"/>
      <c r="E1556" s="627"/>
    </row>
    <row r="1557" spans="1:5" s="618" customFormat="1" ht="21.75" customHeight="1">
      <c r="A1557" s="619"/>
      <c r="B1557" s="622"/>
      <c r="C1557" s="622"/>
      <c r="D1557" s="622"/>
      <c r="E1557" s="627"/>
    </row>
    <row r="1558" spans="1:5" s="618" customFormat="1" ht="21.75" customHeight="1">
      <c r="A1558" s="619"/>
      <c r="B1558" s="622"/>
      <c r="C1558" s="622"/>
      <c r="D1558" s="622"/>
      <c r="E1558" s="627"/>
    </row>
    <row r="1559" spans="1:5" s="618" customFormat="1" ht="21.75" customHeight="1">
      <c r="A1559" s="619"/>
      <c r="B1559" s="622"/>
      <c r="C1559" s="622"/>
      <c r="D1559" s="622"/>
      <c r="E1559" s="627"/>
    </row>
    <row r="1560" spans="1:5" s="618" customFormat="1" ht="21.75" customHeight="1">
      <c r="A1560" s="619"/>
      <c r="B1560" s="622"/>
      <c r="C1560" s="622"/>
      <c r="D1560" s="622"/>
      <c r="E1560" s="627"/>
    </row>
    <row r="1561" spans="1:5" s="618" customFormat="1" ht="21.75" customHeight="1">
      <c r="A1561" s="619"/>
      <c r="B1561" s="622"/>
      <c r="C1561" s="622"/>
      <c r="D1561" s="622"/>
      <c r="E1561" s="627"/>
    </row>
    <row r="1562" spans="1:5" s="618" customFormat="1" ht="21.75" customHeight="1">
      <c r="A1562" s="619"/>
      <c r="B1562" s="622"/>
      <c r="C1562" s="622"/>
      <c r="D1562" s="622"/>
      <c r="E1562" s="627"/>
    </row>
    <row r="1563" spans="1:5" s="618" customFormat="1" ht="21.75" customHeight="1">
      <c r="A1563" s="619"/>
      <c r="B1563" s="622"/>
      <c r="C1563" s="622"/>
      <c r="D1563" s="622"/>
      <c r="E1563" s="627"/>
    </row>
    <row r="1564" spans="1:5" s="618" customFormat="1" ht="21.75" customHeight="1">
      <c r="A1564" s="619"/>
      <c r="B1564" s="622"/>
      <c r="C1564" s="622"/>
      <c r="D1564" s="622"/>
      <c r="E1564" s="627"/>
    </row>
    <row r="1565" spans="1:5" s="618" customFormat="1" ht="21.75" customHeight="1">
      <c r="A1565" s="619"/>
      <c r="B1565" s="622"/>
      <c r="C1565" s="622"/>
      <c r="D1565" s="622"/>
      <c r="E1565" s="627"/>
    </row>
    <row r="1566" spans="1:5" s="618" customFormat="1" ht="21.75" customHeight="1">
      <c r="A1566" s="619"/>
      <c r="B1566" s="622"/>
      <c r="C1566" s="622"/>
      <c r="D1566" s="622"/>
      <c r="E1566" s="627"/>
    </row>
    <row r="1567" spans="1:5" s="618" customFormat="1" ht="21.75" customHeight="1">
      <c r="A1567" s="619"/>
      <c r="B1567" s="622"/>
      <c r="C1567" s="622"/>
      <c r="D1567" s="622"/>
      <c r="E1567" s="627"/>
    </row>
    <row r="1568" spans="1:5" s="618" customFormat="1" ht="21.75" customHeight="1">
      <c r="A1568" s="619"/>
      <c r="B1568" s="622"/>
      <c r="C1568" s="622"/>
      <c r="D1568" s="622"/>
      <c r="E1568" s="627"/>
    </row>
    <row r="1569" spans="1:5" s="618" customFormat="1" ht="21.75" customHeight="1">
      <c r="A1569" s="619"/>
      <c r="B1569" s="622"/>
      <c r="C1569" s="622"/>
      <c r="D1569" s="622"/>
      <c r="E1569" s="627"/>
    </row>
    <row r="1570" spans="1:5" s="618" customFormat="1" ht="21.75" customHeight="1">
      <c r="A1570" s="619"/>
      <c r="B1570" s="622"/>
      <c r="C1570" s="622"/>
      <c r="D1570" s="622"/>
      <c r="E1570" s="627"/>
    </row>
    <row r="1571" spans="1:5" s="618" customFormat="1" ht="21.75" customHeight="1">
      <c r="A1571" s="619"/>
      <c r="B1571" s="622"/>
      <c r="C1571" s="622"/>
      <c r="D1571" s="622"/>
      <c r="E1571" s="627"/>
    </row>
    <row r="1572" spans="1:5" s="618" customFormat="1" ht="21.75" customHeight="1">
      <c r="A1572" s="619"/>
      <c r="B1572" s="622"/>
      <c r="C1572" s="622"/>
      <c r="D1572" s="622"/>
      <c r="E1572" s="627"/>
    </row>
    <row r="1573" spans="1:5" s="618" customFormat="1" ht="21.75" customHeight="1">
      <c r="A1573" s="619"/>
      <c r="B1573" s="622"/>
      <c r="C1573" s="622"/>
      <c r="D1573" s="622"/>
      <c r="E1573" s="627"/>
    </row>
    <row r="1574" spans="1:5" s="618" customFormat="1" ht="21.75" customHeight="1">
      <c r="A1574" s="619"/>
      <c r="B1574" s="622"/>
      <c r="C1574" s="622"/>
      <c r="D1574" s="622"/>
      <c r="E1574" s="627"/>
    </row>
    <row r="1575" spans="1:5" s="618" customFormat="1" ht="21.75" customHeight="1">
      <c r="A1575" s="619"/>
      <c r="B1575" s="622"/>
      <c r="C1575" s="622"/>
      <c r="D1575" s="622"/>
      <c r="E1575" s="627"/>
    </row>
    <row r="1576" spans="1:5" s="618" customFormat="1" ht="21.75" customHeight="1">
      <c r="A1576" s="619"/>
      <c r="B1576" s="622"/>
      <c r="C1576" s="622"/>
      <c r="D1576" s="622"/>
      <c r="E1576" s="627"/>
    </row>
    <row r="1577" spans="1:5" s="618" customFormat="1" ht="21.75" customHeight="1">
      <c r="A1577" s="619"/>
      <c r="B1577" s="622"/>
      <c r="C1577" s="622"/>
      <c r="D1577" s="622"/>
      <c r="E1577" s="627"/>
    </row>
    <row r="1578" spans="1:5" s="618" customFormat="1" ht="21.75" customHeight="1">
      <c r="A1578" s="619"/>
      <c r="B1578" s="622"/>
      <c r="C1578" s="622"/>
      <c r="D1578" s="622"/>
      <c r="E1578" s="627"/>
    </row>
    <row r="1579" spans="1:5" s="618" customFormat="1" ht="21.75" customHeight="1">
      <c r="A1579" s="619"/>
      <c r="B1579" s="622"/>
      <c r="C1579" s="622"/>
      <c r="D1579" s="622"/>
      <c r="E1579" s="627"/>
    </row>
    <row r="1580" spans="1:5" s="618" customFormat="1" ht="21.75" customHeight="1">
      <c r="A1580" s="619"/>
      <c r="B1580" s="622"/>
      <c r="C1580" s="622"/>
      <c r="D1580" s="622"/>
      <c r="E1580" s="627"/>
    </row>
    <row r="1581" spans="1:5" s="618" customFormat="1" ht="21.75" customHeight="1">
      <c r="A1581" s="619"/>
      <c r="B1581" s="622"/>
      <c r="C1581" s="622"/>
      <c r="D1581" s="622"/>
      <c r="E1581" s="627"/>
    </row>
    <row r="1582" spans="1:5" s="618" customFormat="1" ht="21.75" customHeight="1">
      <c r="A1582" s="619"/>
      <c r="B1582" s="622"/>
      <c r="C1582" s="622"/>
      <c r="D1582" s="622"/>
      <c r="E1582" s="627"/>
    </row>
    <row r="1583" spans="1:5" s="618" customFormat="1" ht="21.75" customHeight="1">
      <c r="A1583" s="619"/>
      <c r="B1583" s="622"/>
      <c r="C1583" s="622"/>
      <c r="D1583" s="622"/>
      <c r="E1583" s="627"/>
    </row>
    <row r="1584" spans="1:5" s="618" customFormat="1" ht="21.75" customHeight="1">
      <c r="A1584" s="619"/>
      <c r="B1584" s="622"/>
      <c r="C1584" s="622"/>
      <c r="D1584" s="622"/>
      <c r="E1584" s="627"/>
    </row>
    <row r="1585" spans="1:5" s="618" customFormat="1" ht="21.75" customHeight="1">
      <c r="A1585" s="619"/>
      <c r="B1585" s="622"/>
      <c r="C1585" s="622"/>
      <c r="D1585" s="622"/>
      <c r="E1585" s="627"/>
    </row>
    <row r="1586" spans="1:5" s="618" customFormat="1" ht="21.75" customHeight="1">
      <c r="A1586" s="619"/>
      <c r="B1586" s="622"/>
      <c r="C1586" s="622"/>
      <c r="D1586" s="622"/>
      <c r="E1586" s="627"/>
    </row>
    <row r="1587" spans="1:5" s="618" customFormat="1" ht="21.75" customHeight="1">
      <c r="A1587" s="619"/>
      <c r="B1587" s="622"/>
      <c r="C1587" s="622"/>
      <c r="D1587" s="622"/>
      <c r="E1587" s="627"/>
    </row>
    <row r="1588" spans="1:5" s="618" customFormat="1" ht="21.75" customHeight="1">
      <c r="A1588" s="619"/>
      <c r="B1588" s="622"/>
      <c r="C1588" s="622"/>
      <c r="D1588" s="622"/>
      <c r="E1588" s="627"/>
    </row>
    <row r="1589" spans="1:5" s="618" customFormat="1" ht="21.75" customHeight="1">
      <c r="A1589" s="619"/>
      <c r="B1589" s="622"/>
      <c r="C1589" s="622"/>
      <c r="D1589" s="622"/>
      <c r="E1589" s="627"/>
    </row>
    <row r="1590" spans="1:5" s="618" customFormat="1" ht="21.75" customHeight="1">
      <c r="A1590" s="619"/>
      <c r="B1590" s="622"/>
      <c r="C1590" s="622"/>
      <c r="D1590" s="622"/>
      <c r="E1590" s="627"/>
    </row>
    <row r="1591" spans="1:5" s="618" customFormat="1" ht="21.75" customHeight="1">
      <c r="A1591" s="619"/>
      <c r="B1591" s="622"/>
      <c r="C1591" s="622"/>
      <c r="D1591" s="622"/>
      <c r="E1591" s="627"/>
    </row>
    <row r="1592" spans="1:5" s="618" customFormat="1" ht="21.75" customHeight="1">
      <c r="A1592" s="619"/>
      <c r="B1592" s="622"/>
      <c r="C1592" s="622"/>
      <c r="D1592" s="622"/>
      <c r="E1592" s="627"/>
    </row>
    <row r="1593" spans="1:5" s="618" customFormat="1" ht="21.75" customHeight="1">
      <c r="A1593" s="619"/>
      <c r="B1593" s="622"/>
      <c r="C1593" s="622"/>
      <c r="D1593" s="622"/>
      <c r="E1593" s="627"/>
    </row>
    <row r="1594" spans="1:5" s="618" customFormat="1" ht="21.75" customHeight="1">
      <c r="A1594" s="619"/>
      <c r="B1594" s="622"/>
      <c r="C1594" s="622"/>
      <c r="D1594" s="622"/>
      <c r="E1594" s="627"/>
    </row>
    <row r="1595" spans="1:5" s="618" customFormat="1" ht="21.75" customHeight="1">
      <c r="A1595" s="619"/>
      <c r="B1595" s="622"/>
      <c r="C1595" s="622"/>
      <c r="D1595" s="622"/>
      <c r="E1595" s="627"/>
    </row>
    <row r="1596" spans="1:5" s="618" customFormat="1" ht="21.75" customHeight="1">
      <c r="A1596" s="619"/>
      <c r="B1596" s="622"/>
      <c r="C1596" s="622"/>
      <c r="D1596" s="622"/>
      <c r="E1596" s="627"/>
    </row>
    <row r="1597" spans="1:5" s="618" customFormat="1" ht="21.75" customHeight="1">
      <c r="A1597" s="619"/>
      <c r="B1597" s="622"/>
      <c r="C1597" s="622"/>
      <c r="D1597" s="622"/>
      <c r="E1597" s="627"/>
    </row>
    <row r="1598" spans="1:5" s="618" customFormat="1" ht="21.75" customHeight="1">
      <c r="A1598" s="619"/>
      <c r="B1598" s="622"/>
      <c r="C1598" s="622"/>
      <c r="D1598" s="622"/>
      <c r="E1598" s="627"/>
    </row>
    <row r="1599" spans="1:5" s="618" customFormat="1" ht="21.75" customHeight="1">
      <c r="A1599" s="619"/>
      <c r="B1599" s="622"/>
      <c r="C1599" s="622"/>
      <c r="D1599" s="622"/>
      <c r="E1599" s="627"/>
    </row>
    <row r="1600" spans="1:5" s="618" customFormat="1" ht="21.75" customHeight="1">
      <c r="A1600" s="619"/>
      <c r="B1600" s="622"/>
      <c r="C1600" s="622"/>
      <c r="D1600" s="622"/>
      <c r="E1600" s="627"/>
    </row>
    <row r="1601" spans="1:5" s="618" customFormat="1" ht="21.75" customHeight="1">
      <c r="A1601" s="619"/>
      <c r="B1601" s="622"/>
      <c r="C1601" s="622"/>
      <c r="D1601" s="622"/>
      <c r="E1601" s="627"/>
    </row>
    <row r="1602" spans="1:5" s="618" customFormat="1" ht="21.75" customHeight="1">
      <c r="A1602" s="619"/>
      <c r="B1602" s="622"/>
      <c r="C1602" s="622"/>
      <c r="D1602" s="622"/>
      <c r="E1602" s="627"/>
    </row>
    <row r="1603" spans="1:5" s="618" customFormat="1" ht="21.75" customHeight="1">
      <c r="A1603" s="619"/>
      <c r="B1603" s="622"/>
      <c r="C1603" s="622"/>
      <c r="D1603" s="622"/>
      <c r="E1603" s="627"/>
    </row>
    <row r="1604" spans="1:5" s="618" customFormat="1" ht="21.75" customHeight="1">
      <c r="A1604" s="619"/>
      <c r="B1604" s="622"/>
      <c r="C1604" s="622"/>
      <c r="D1604" s="622"/>
      <c r="E1604" s="627"/>
    </row>
    <row r="1605" spans="1:5" s="618" customFormat="1" ht="21.75" customHeight="1">
      <c r="A1605" s="619"/>
      <c r="B1605" s="622"/>
      <c r="C1605" s="622"/>
      <c r="D1605" s="622"/>
      <c r="E1605" s="627"/>
    </row>
    <row r="1606" spans="1:5" s="618" customFormat="1" ht="21.75" customHeight="1">
      <c r="A1606" s="619"/>
      <c r="B1606" s="622"/>
      <c r="C1606" s="622"/>
      <c r="D1606" s="622"/>
      <c r="E1606" s="627"/>
    </row>
    <row r="1607" spans="1:5" s="618" customFormat="1" ht="21.75" customHeight="1">
      <c r="A1607" s="619"/>
      <c r="B1607" s="622"/>
      <c r="C1607" s="622"/>
      <c r="D1607" s="622"/>
      <c r="E1607" s="627"/>
    </row>
    <row r="1608" spans="1:5" s="618" customFormat="1" ht="21.75" customHeight="1">
      <c r="A1608" s="619"/>
      <c r="B1608" s="622"/>
      <c r="C1608" s="622"/>
      <c r="D1608" s="622"/>
      <c r="E1608" s="627"/>
    </row>
    <row r="1609" spans="1:5" s="618" customFormat="1" ht="21.75" customHeight="1">
      <c r="A1609" s="619"/>
      <c r="B1609" s="622"/>
      <c r="C1609" s="622"/>
      <c r="D1609" s="622"/>
      <c r="E1609" s="627"/>
    </row>
    <row r="1610" spans="1:5" s="618" customFormat="1" ht="21.75" customHeight="1">
      <c r="A1610" s="619"/>
      <c r="B1610" s="622"/>
      <c r="C1610" s="622"/>
      <c r="D1610" s="622"/>
      <c r="E1610" s="627"/>
    </row>
    <row r="1611" spans="1:5" s="618" customFormat="1" ht="21.75" customHeight="1">
      <c r="A1611" s="619"/>
      <c r="B1611" s="622"/>
      <c r="C1611" s="622"/>
      <c r="D1611" s="622"/>
      <c r="E1611" s="627"/>
    </row>
    <row r="1612" spans="1:5" s="618" customFormat="1" ht="21.75" customHeight="1">
      <c r="A1612" s="619"/>
      <c r="B1612" s="622"/>
      <c r="C1612" s="622"/>
      <c r="D1612" s="622"/>
      <c r="E1612" s="627"/>
    </row>
    <row r="1613" spans="1:5" s="618" customFormat="1" ht="21.75" customHeight="1">
      <c r="A1613" s="619"/>
      <c r="B1613" s="622"/>
      <c r="C1613" s="622"/>
      <c r="D1613" s="622"/>
      <c r="E1613" s="627"/>
    </row>
    <row r="1614" spans="1:5" s="618" customFormat="1" ht="21.75" customHeight="1">
      <c r="A1614" s="619"/>
      <c r="B1614" s="622"/>
      <c r="C1614" s="622"/>
      <c r="D1614" s="622"/>
      <c r="E1614" s="627"/>
    </row>
    <row r="1615" spans="1:5" s="618" customFormat="1" ht="21.75" customHeight="1">
      <c r="A1615" s="619"/>
      <c r="B1615" s="622"/>
      <c r="C1615" s="622"/>
      <c r="D1615" s="622"/>
      <c r="E1615" s="627"/>
    </row>
    <row r="1616" spans="1:5" s="618" customFormat="1" ht="21.75" customHeight="1">
      <c r="A1616" s="619"/>
      <c r="B1616" s="622"/>
      <c r="C1616" s="622"/>
      <c r="D1616" s="622"/>
      <c r="E1616" s="627"/>
    </row>
    <row r="1617" spans="1:5" s="618" customFormat="1" ht="21.75" customHeight="1">
      <c r="A1617" s="619"/>
      <c r="B1617" s="622"/>
      <c r="C1617" s="622"/>
      <c r="D1617" s="622"/>
      <c r="E1617" s="627"/>
    </row>
    <row r="1618" spans="1:5" s="618" customFormat="1" ht="21.75" customHeight="1">
      <c r="A1618" s="619"/>
      <c r="B1618" s="622"/>
      <c r="C1618" s="622"/>
      <c r="D1618" s="622"/>
      <c r="E1618" s="627"/>
    </row>
    <row r="1619" spans="1:5" s="618" customFormat="1" ht="21.75" customHeight="1">
      <c r="A1619" s="619"/>
      <c r="B1619" s="622"/>
      <c r="C1619" s="622"/>
      <c r="D1619" s="622"/>
      <c r="E1619" s="627"/>
    </row>
    <row r="1620" spans="1:5" s="618" customFormat="1" ht="21.75" customHeight="1">
      <c r="A1620" s="619"/>
      <c r="B1620" s="622"/>
      <c r="C1620" s="622"/>
      <c r="D1620" s="622"/>
      <c r="E1620" s="627"/>
    </row>
    <row r="1621" spans="1:5" s="618" customFormat="1" ht="21.75" customHeight="1">
      <c r="A1621" s="619"/>
      <c r="B1621" s="622"/>
      <c r="C1621" s="622"/>
      <c r="D1621" s="622"/>
      <c r="E1621" s="627"/>
    </row>
    <row r="1622" spans="1:5" s="618" customFormat="1" ht="21.75" customHeight="1">
      <c r="A1622" s="619"/>
      <c r="B1622" s="622"/>
      <c r="C1622" s="622"/>
      <c r="D1622" s="622"/>
      <c r="E1622" s="627"/>
    </row>
    <row r="1623" spans="1:5" s="618" customFormat="1" ht="21.75" customHeight="1">
      <c r="A1623" s="619"/>
      <c r="B1623" s="622"/>
      <c r="C1623" s="622"/>
      <c r="D1623" s="622"/>
      <c r="E1623" s="627"/>
    </row>
    <row r="1624" spans="1:5" s="618" customFormat="1" ht="21.75" customHeight="1">
      <c r="A1624" s="619"/>
      <c r="B1624" s="622"/>
      <c r="C1624" s="622"/>
      <c r="D1624" s="622"/>
      <c r="E1624" s="627"/>
    </row>
    <row r="1625" spans="1:5" s="618" customFormat="1" ht="21.75" customHeight="1">
      <c r="A1625" s="619"/>
      <c r="B1625" s="622"/>
      <c r="C1625" s="622"/>
      <c r="D1625" s="622"/>
      <c r="E1625" s="627"/>
    </row>
    <row r="1626" spans="1:5" s="618" customFormat="1" ht="21.75" customHeight="1">
      <c r="A1626" s="619"/>
      <c r="B1626" s="622"/>
      <c r="C1626" s="622"/>
      <c r="D1626" s="622"/>
      <c r="E1626" s="627"/>
    </row>
    <row r="1627" spans="1:5" s="618" customFormat="1" ht="21.75" customHeight="1">
      <c r="A1627" s="619"/>
      <c r="B1627" s="622"/>
      <c r="C1627" s="622"/>
      <c r="D1627" s="622"/>
      <c r="E1627" s="627"/>
    </row>
    <row r="1628" spans="1:5" s="618" customFormat="1" ht="21.75" customHeight="1">
      <c r="A1628" s="619"/>
      <c r="B1628" s="622"/>
      <c r="C1628" s="622"/>
      <c r="D1628" s="622"/>
      <c r="E1628" s="627"/>
    </row>
    <row r="1629" spans="1:5" s="618" customFormat="1" ht="21.75" customHeight="1">
      <c r="A1629" s="619"/>
      <c r="B1629" s="622"/>
      <c r="C1629" s="622"/>
      <c r="D1629" s="622"/>
      <c r="E1629" s="627"/>
    </row>
    <row r="1630" spans="1:5" s="618" customFormat="1" ht="21.75" customHeight="1">
      <c r="A1630" s="619"/>
      <c r="B1630" s="622"/>
      <c r="C1630" s="622"/>
      <c r="D1630" s="622"/>
      <c r="E1630" s="627"/>
    </row>
    <row r="1631" spans="1:5" s="618" customFormat="1" ht="21.75" customHeight="1">
      <c r="A1631" s="619"/>
      <c r="B1631" s="622"/>
      <c r="C1631" s="622"/>
      <c r="D1631" s="622"/>
      <c r="E1631" s="627"/>
    </row>
    <row r="1632" spans="1:5" s="618" customFormat="1" ht="21.75" customHeight="1">
      <c r="A1632" s="619"/>
      <c r="B1632" s="622"/>
      <c r="C1632" s="622"/>
      <c r="D1632" s="622"/>
      <c r="E1632" s="627"/>
    </row>
    <row r="1633" spans="1:5" s="618" customFormat="1" ht="21.75" customHeight="1">
      <c r="A1633" s="619"/>
      <c r="B1633" s="622"/>
      <c r="C1633" s="622"/>
      <c r="D1633" s="622"/>
      <c r="E1633" s="627"/>
    </row>
    <row r="1634" spans="1:5" s="618" customFormat="1" ht="21.75" customHeight="1">
      <c r="A1634" s="619"/>
      <c r="B1634" s="622"/>
      <c r="C1634" s="622"/>
      <c r="D1634" s="622"/>
      <c r="E1634" s="627"/>
    </row>
    <row r="1635" spans="1:5" s="618" customFormat="1" ht="21.75" customHeight="1">
      <c r="A1635" s="619"/>
      <c r="B1635" s="622"/>
      <c r="C1635" s="622"/>
      <c r="D1635" s="622"/>
      <c r="E1635" s="627"/>
    </row>
    <row r="1636" spans="1:5" s="618" customFormat="1" ht="21.75" customHeight="1">
      <c r="A1636" s="619"/>
      <c r="B1636" s="622"/>
      <c r="C1636" s="622"/>
      <c r="D1636" s="622"/>
      <c r="E1636" s="627"/>
    </row>
    <row r="1637" spans="1:5" s="618" customFormat="1" ht="21.75" customHeight="1">
      <c r="A1637" s="619"/>
      <c r="B1637" s="622"/>
      <c r="C1637" s="622"/>
      <c r="D1637" s="622"/>
      <c r="E1637" s="627"/>
    </row>
    <row r="1638" spans="1:5" s="618" customFormat="1" ht="21.75" customHeight="1">
      <c r="A1638" s="619"/>
      <c r="B1638" s="622"/>
      <c r="C1638" s="622"/>
      <c r="D1638" s="622"/>
      <c r="E1638" s="627"/>
    </row>
    <row r="1639" spans="1:5" s="618" customFormat="1" ht="21.75" customHeight="1">
      <c r="A1639" s="619"/>
      <c r="B1639" s="622"/>
      <c r="C1639" s="622"/>
      <c r="D1639" s="622"/>
      <c r="E1639" s="627"/>
    </row>
    <row r="1640" spans="1:5" s="618" customFormat="1" ht="21.75" customHeight="1">
      <c r="A1640" s="619"/>
      <c r="B1640" s="622"/>
      <c r="C1640" s="622"/>
      <c r="D1640" s="622"/>
      <c r="E1640" s="627"/>
    </row>
    <row r="1641" spans="1:5" s="618" customFormat="1" ht="21.75" customHeight="1">
      <c r="A1641" s="619"/>
      <c r="B1641" s="622"/>
      <c r="C1641" s="622"/>
      <c r="D1641" s="622"/>
      <c r="E1641" s="627"/>
    </row>
    <row r="1642" spans="1:5" s="618" customFormat="1" ht="21.75" customHeight="1">
      <c r="A1642" s="619"/>
      <c r="B1642" s="622"/>
      <c r="C1642" s="622"/>
      <c r="D1642" s="622"/>
      <c r="E1642" s="627"/>
    </row>
    <row r="1643" spans="1:5" s="618" customFormat="1" ht="21.75" customHeight="1">
      <c r="A1643" s="619"/>
      <c r="B1643" s="622"/>
      <c r="C1643" s="622"/>
      <c r="D1643" s="622"/>
      <c r="E1643" s="627"/>
    </row>
    <row r="1644" spans="1:5" s="618" customFormat="1" ht="21.75" customHeight="1">
      <c r="A1644" s="619"/>
      <c r="B1644" s="622"/>
      <c r="C1644" s="622"/>
      <c r="D1644" s="622"/>
      <c r="E1644" s="627"/>
    </row>
    <row r="1645" spans="1:5" s="618" customFormat="1" ht="21.75" customHeight="1">
      <c r="A1645" s="619"/>
      <c r="B1645" s="622"/>
      <c r="C1645" s="622"/>
      <c r="D1645" s="622"/>
      <c r="E1645" s="627"/>
    </row>
    <row r="1646" spans="1:5" s="618" customFormat="1" ht="21.75" customHeight="1">
      <c r="A1646" s="619"/>
      <c r="B1646" s="622"/>
      <c r="C1646" s="622"/>
      <c r="D1646" s="622"/>
      <c r="E1646" s="627"/>
    </row>
    <row r="1647" spans="1:5" s="618" customFormat="1" ht="21.75" customHeight="1">
      <c r="A1647" s="619"/>
      <c r="B1647" s="622"/>
      <c r="C1647" s="622"/>
      <c r="D1647" s="622"/>
      <c r="E1647" s="627"/>
    </row>
    <row r="1648" spans="1:5" s="618" customFormat="1" ht="21.75" customHeight="1">
      <c r="A1648" s="619"/>
      <c r="B1648" s="622"/>
      <c r="C1648" s="622"/>
      <c r="D1648" s="622"/>
      <c r="E1648" s="627"/>
    </row>
    <row r="1649" spans="1:5" s="618" customFormat="1" ht="21.75" customHeight="1">
      <c r="A1649" s="619"/>
      <c r="B1649" s="622"/>
      <c r="C1649" s="622"/>
      <c r="D1649" s="622"/>
      <c r="E1649" s="627"/>
    </row>
    <row r="1650" spans="1:5" s="618" customFormat="1" ht="21.75" customHeight="1">
      <c r="A1650" s="619"/>
      <c r="B1650" s="622"/>
      <c r="C1650" s="622"/>
      <c r="D1650" s="622"/>
      <c r="E1650" s="627"/>
    </row>
    <row r="1651" spans="1:5" s="618" customFormat="1" ht="21.75" customHeight="1">
      <c r="A1651" s="619"/>
      <c r="B1651" s="622"/>
      <c r="C1651" s="622"/>
      <c r="D1651" s="622"/>
      <c r="E1651" s="627"/>
    </row>
    <row r="1652" spans="1:5" s="618" customFormat="1" ht="21.75" customHeight="1">
      <c r="A1652" s="619"/>
      <c r="B1652" s="622"/>
      <c r="C1652" s="622"/>
      <c r="D1652" s="622"/>
      <c r="E1652" s="627"/>
    </row>
    <row r="1653" spans="1:5" s="618" customFormat="1" ht="21.75" customHeight="1">
      <c r="A1653" s="619"/>
      <c r="B1653" s="622"/>
      <c r="C1653" s="622"/>
      <c r="D1653" s="622"/>
      <c r="E1653" s="627"/>
    </row>
    <row r="1654" spans="1:5" s="618" customFormat="1" ht="21.75" customHeight="1">
      <c r="A1654" s="619"/>
      <c r="B1654" s="622"/>
      <c r="C1654" s="622"/>
      <c r="D1654" s="622"/>
      <c r="E1654" s="627"/>
    </row>
    <row r="1655" spans="1:5" s="618" customFormat="1" ht="21.75" customHeight="1">
      <c r="A1655" s="619"/>
      <c r="B1655" s="622"/>
      <c r="C1655" s="622"/>
      <c r="D1655" s="622"/>
      <c r="E1655" s="627"/>
    </row>
    <row r="1656" spans="1:5" s="618" customFormat="1" ht="21.75" customHeight="1">
      <c r="A1656" s="619"/>
      <c r="B1656" s="622"/>
      <c r="C1656" s="622"/>
      <c r="D1656" s="622"/>
      <c r="E1656" s="627"/>
    </row>
    <row r="1657" spans="1:5" s="618" customFormat="1" ht="21.75" customHeight="1">
      <c r="A1657" s="619"/>
      <c r="B1657" s="622"/>
      <c r="C1657" s="622"/>
      <c r="D1657" s="622"/>
      <c r="E1657" s="627"/>
    </row>
    <row r="1658" spans="1:5" s="618" customFormat="1" ht="21.75" customHeight="1">
      <c r="A1658" s="619"/>
      <c r="B1658" s="622"/>
      <c r="C1658" s="622"/>
      <c r="D1658" s="622"/>
      <c r="E1658" s="627"/>
    </row>
    <row r="1659" spans="1:5" s="618" customFormat="1" ht="21.75" customHeight="1">
      <c r="A1659" s="619"/>
      <c r="B1659" s="622"/>
      <c r="C1659" s="622"/>
      <c r="D1659" s="622"/>
      <c r="E1659" s="627"/>
    </row>
    <row r="1660" spans="1:5" s="618" customFormat="1" ht="21.75" customHeight="1">
      <c r="A1660" s="619"/>
      <c r="B1660" s="622"/>
      <c r="C1660" s="622"/>
      <c r="D1660" s="622"/>
      <c r="E1660" s="627"/>
    </row>
    <row r="1661" spans="1:5" s="618" customFormat="1" ht="21.75" customHeight="1">
      <c r="A1661" s="619"/>
      <c r="B1661" s="622"/>
      <c r="C1661" s="622"/>
      <c r="D1661" s="622"/>
      <c r="E1661" s="627"/>
    </row>
    <row r="1662" spans="1:5" s="618" customFormat="1" ht="21.75" customHeight="1">
      <c r="A1662" s="619"/>
      <c r="B1662" s="622"/>
      <c r="C1662" s="622"/>
      <c r="D1662" s="622"/>
      <c r="E1662" s="627"/>
    </row>
    <row r="1663" spans="1:5" s="618" customFormat="1" ht="21.75" customHeight="1">
      <c r="A1663" s="619"/>
      <c r="B1663" s="622"/>
      <c r="C1663" s="622"/>
      <c r="D1663" s="622"/>
      <c r="E1663" s="627"/>
    </row>
    <row r="1664" spans="1:5" s="618" customFormat="1" ht="21.75" customHeight="1">
      <c r="A1664" s="619"/>
      <c r="B1664" s="622"/>
      <c r="C1664" s="622"/>
      <c r="D1664" s="622"/>
      <c r="E1664" s="627"/>
    </row>
    <row r="1665" spans="1:5" s="618" customFormat="1" ht="21.75" customHeight="1">
      <c r="A1665" s="619"/>
      <c r="B1665" s="622"/>
      <c r="C1665" s="622"/>
      <c r="D1665" s="622"/>
      <c r="E1665" s="627"/>
    </row>
    <row r="1666" spans="1:5" s="618" customFormat="1" ht="21.75" customHeight="1">
      <c r="A1666" s="619"/>
      <c r="B1666" s="622"/>
      <c r="C1666" s="622"/>
      <c r="D1666" s="622"/>
      <c r="E1666" s="627"/>
    </row>
    <row r="1667" spans="1:5" s="618" customFormat="1" ht="21.75" customHeight="1">
      <c r="A1667" s="619"/>
      <c r="B1667" s="622"/>
      <c r="C1667" s="622"/>
      <c r="D1667" s="622"/>
      <c r="E1667" s="627"/>
    </row>
    <row r="1668" spans="1:5" s="618" customFormat="1" ht="21.75" customHeight="1">
      <c r="A1668" s="619"/>
      <c r="B1668" s="622"/>
      <c r="C1668" s="622"/>
      <c r="D1668" s="622"/>
      <c r="E1668" s="627"/>
    </row>
    <row r="1669" spans="1:5" s="618" customFormat="1" ht="21.75" customHeight="1">
      <c r="A1669" s="619"/>
      <c r="B1669" s="622"/>
      <c r="C1669" s="622"/>
      <c r="D1669" s="622"/>
      <c r="E1669" s="627"/>
    </row>
    <row r="1670" spans="1:5" s="618" customFormat="1" ht="21.75" customHeight="1">
      <c r="A1670" s="619"/>
      <c r="B1670" s="622"/>
      <c r="C1670" s="622"/>
      <c r="D1670" s="622"/>
      <c r="E1670" s="627"/>
    </row>
    <row r="1671" spans="1:5" s="618" customFormat="1" ht="21.75" customHeight="1">
      <c r="A1671" s="619"/>
      <c r="B1671" s="622"/>
      <c r="C1671" s="622"/>
      <c r="D1671" s="622"/>
      <c r="E1671" s="627"/>
    </row>
    <row r="1672" spans="1:5" s="618" customFormat="1" ht="21.75" customHeight="1">
      <c r="A1672" s="619"/>
      <c r="B1672" s="622"/>
      <c r="C1672" s="622"/>
      <c r="D1672" s="622"/>
      <c r="E1672" s="627"/>
    </row>
    <row r="1673" spans="1:5" s="618" customFormat="1" ht="21.75" customHeight="1">
      <c r="A1673" s="619"/>
      <c r="B1673" s="622"/>
      <c r="C1673" s="622"/>
      <c r="D1673" s="622"/>
      <c r="E1673" s="627"/>
    </row>
    <row r="1674" spans="1:5" s="618" customFormat="1" ht="21.75" customHeight="1">
      <c r="A1674" s="619"/>
      <c r="B1674" s="622"/>
      <c r="C1674" s="622"/>
      <c r="D1674" s="622"/>
      <c r="E1674" s="627"/>
    </row>
    <row r="1675" spans="1:5" s="618" customFormat="1" ht="21.75" customHeight="1">
      <c r="A1675" s="619"/>
      <c r="B1675" s="622"/>
      <c r="C1675" s="622"/>
      <c r="D1675" s="622"/>
      <c r="E1675" s="627"/>
    </row>
    <row r="1676" spans="1:5" s="618" customFormat="1" ht="21.75" customHeight="1">
      <c r="A1676" s="619"/>
      <c r="B1676" s="622"/>
      <c r="C1676" s="622"/>
      <c r="D1676" s="622"/>
      <c r="E1676" s="627"/>
    </row>
    <row r="1677" spans="1:5" s="618" customFormat="1" ht="21.75" customHeight="1">
      <c r="A1677" s="619"/>
      <c r="B1677" s="622"/>
      <c r="C1677" s="622"/>
      <c r="D1677" s="622"/>
      <c r="E1677" s="627"/>
    </row>
    <row r="1678" spans="1:5" s="618" customFormat="1" ht="21.75" customHeight="1">
      <c r="A1678" s="619"/>
      <c r="B1678" s="622"/>
      <c r="C1678" s="622"/>
      <c r="D1678" s="622"/>
      <c r="E1678" s="627"/>
    </row>
    <row r="1679" spans="1:5" s="618" customFormat="1" ht="21.75" customHeight="1">
      <c r="A1679" s="619"/>
      <c r="B1679" s="622"/>
      <c r="C1679" s="622"/>
      <c r="D1679" s="622"/>
      <c r="E1679" s="627"/>
    </row>
    <row r="1680" spans="1:5" s="618" customFormat="1" ht="21.75" customHeight="1">
      <c r="A1680" s="619"/>
      <c r="B1680" s="622"/>
      <c r="C1680" s="622"/>
      <c r="D1680" s="622"/>
      <c r="E1680" s="627"/>
    </row>
    <row r="1681" spans="1:5" s="618" customFormat="1" ht="21.75" customHeight="1">
      <c r="A1681" s="619"/>
      <c r="B1681" s="622"/>
      <c r="C1681" s="622"/>
      <c r="D1681" s="622"/>
      <c r="E1681" s="627"/>
    </row>
    <row r="1682" spans="1:5" s="618" customFormat="1" ht="21.75" customHeight="1">
      <c r="A1682" s="619"/>
      <c r="B1682" s="622"/>
      <c r="C1682" s="622"/>
      <c r="D1682" s="622"/>
      <c r="E1682" s="627"/>
    </row>
    <row r="1683" spans="1:5" s="618" customFormat="1" ht="21.75" customHeight="1">
      <c r="A1683" s="619"/>
      <c r="B1683" s="622"/>
      <c r="C1683" s="622"/>
      <c r="D1683" s="622"/>
      <c r="E1683" s="627"/>
    </row>
    <row r="1684" spans="1:5" s="618" customFormat="1" ht="21.75" customHeight="1">
      <c r="A1684" s="619"/>
      <c r="B1684" s="622"/>
      <c r="C1684" s="622"/>
      <c r="D1684" s="622"/>
      <c r="E1684" s="627"/>
    </row>
    <row r="1685" spans="1:5" s="618" customFormat="1" ht="21.75" customHeight="1">
      <c r="A1685" s="619"/>
      <c r="B1685" s="622"/>
      <c r="C1685" s="622"/>
      <c r="D1685" s="622"/>
      <c r="E1685" s="627"/>
    </row>
    <row r="1686" spans="1:5" s="618" customFormat="1" ht="21.75" customHeight="1">
      <c r="A1686" s="619"/>
      <c r="B1686" s="622"/>
      <c r="C1686" s="622"/>
      <c r="D1686" s="622"/>
      <c r="E1686" s="627"/>
    </row>
    <row r="1687" spans="1:5" s="618" customFormat="1" ht="21.75" customHeight="1">
      <c r="A1687" s="619"/>
      <c r="B1687" s="622"/>
      <c r="C1687" s="622"/>
      <c r="D1687" s="622"/>
      <c r="E1687" s="627"/>
    </row>
    <row r="1688" spans="1:5" s="618" customFormat="1" ht="21.75" customHeight="1">
      <c r="A1688" s="619"/>
      <c r="B1688" s="622"/>
      <c r="C1688" s="622"/>
      <c r="D1688" s="622"/>
      <c r="E1688" s="627"/>
    </row>
    <row r="1689" spans="1:5" s="618" customFormat="1" ht="21.75" customHeight="1">
      <c r="A1689" s="619"/>
      <c r="B1689" s="622"/>
      <c r="C1689" s="622"/>
      <c r="D1689" s="622"/>
      <c r="E1689" s="627"/>
    </row>
    <row r="1690" spans="1:5" s="618" customFormat="1" ht="21.75" customHeight="1">
      <c r="A1690" s="619"/>
      <c r="B1690" s="622"/>
      <c r="C1690" s="622"/>
      <c r="D1690" s="622"/>
      <c r="E1690" s="627"/>
    </row>
    <row r="1691" spans="1:5" s="618" customFormat="1" ht="21.75" customHeight="1">
      <c r="A1691" s="619"/>
      <c r="B1691" s="622"/>
      <c r="C1691" s="622"/>
      <c r="D1691" s="622"/>
      <c r="E1691" s="627"/>
    </row>
    <row r="1692" spans="1:5" s="618" customFormat="1" ht="21.75" customHeight="1">
      <c r="A1692" s="619"/>
      <c r="B1692" s="622"/>
      <c r="C1692" s="622"/>
      <c r="D1692" s="622"/>
      <c r="E1692" s="627"/>
    </row>
    <row r="1693" spans="1:5" s="618" customFormat="1" ht="21.75" customHeight="1">
      <c r="A1693" s="619"/>
      <c r="B1693" s="622"/>
      <c r="C1693" s="622"/>
      <c r="D1693" s="622"/>
      <c r="E1693" s="627"/>
    </row>
    <row r="1694" spans="1:5" s="618" customFormat="1" ht="21.75" customHeight="1">
      <c r="A1694" s="619"/>
      <c r="B1694" s="622"/>
      <c r="C1694" s="622"/>
      <c r="D1694" s="622"/>
      <c r="E1694" s="627"/>
    </row>
    <row r="1695" spans="1:5" s="618" customFormat="1" ht="21.75" customHeight="1">
      <c r="A1695" s="619"/>
      <c r="B1695" s="622"/>
      <c r="C1695" s="622"/>
      <c r="D1695" s="622"/>
      <c r="E1695" s="627"/>
    </row>
    <row r="1696" spans="1:5" s="618" customFormat="1" ht="21.75" customHeight="1">
      <c r="A1696" s="619"/>
      <c r="B1696" s="622"/>
      <c r="C1696" s="622"/>
      <c r="D1696" s="622"/>
      <c r="E1696" s="627"/>
    </row>
    <row r="1697" spans="1:5" s="618" customFormat="1" ht="21.75" customHeight="1">
      <c r="A1697" s="619"/>
      <c r="B1697" s="622"/>
      <c r="C1697" s="622"/>
      <c r="D1697" s="622"/>
      <c r="E1697" s="627"/>
    </row>
    <row r="1698" spans="1:5" s="618" customFormat="1" ht="21.75" customHeight="1">
      <c r="A1698" s="619"/>
      <c r="B1698" s="622"/>
      <c r="C1698" s="622"/>
      <c r="D1698" s="622"/>
      <c r="E1698" s="627"/>
    </row>
    <row r="1699" spans="1:5" s="618" customFormat="1" ht="21.75" customHeight="1">
      <c r="A1699" s="619"/>
      <c r="B1699" s="622"/>
      <c r="C1699" s="622"/>
      <c r="D1699" s="622"/>
      <c r="E1699" s="627"/>
    </row>
    <row r="1700" spans="1:5" s="618" customFormat="1" ht="21.75" customHeight="1">
      <c r="A1700" s="619"/>
      <c r="B1700" s="622"/>
      <c r="C1700" s="622"/>
      <c r="D1700" s="622"/>
      <c r="E1700" s="627"/>
    </row>
    <row r="1701" spans="1:5" s="618" customFormat="1" ht="21.75" customHeight="1">
      <c r="A1701" s="619"/>
      <c r="B1701" s="622"/>
      <c r="C1701" s="622"/>
      <c r="D1701" s="622"/>
      <c r="E1701" s="627"/>
    </row>
    <row r="1702" spans="1:5" s="618" customFormat="1" ht="21.75" customHeight="1">
      <c r="A1702" s="619"/>
      <c r="B1702" s="622"/>
      <c r="C1702" s="622"/>
      <c r="D1702" s="622"/>
      <c r="E1702" s="627"/>
    </row>
    <row r="1703" spans="1:5" s="618" customFormat="1" ht="21.75" customHeight="1">
      <c r="A1703" s="619"/>
      <c r="B1703" s="622"/>
      <c r="C1703" s="622"/>
      <c r="D1703" s="622"/>
      <c r="E1703" s="627"/>
    </row>
    <row r="1704" spans="1:5" s="618" customFormat="1" ht="21.75" customHeight="1">
      <c r="A1704" s="619"/>
      <c r="B1704" s="622"/>
      <c r="C1704" s="622"/>
      <c r="D1704" s="622"/>
      <c r="E1704" s="627"/>
    </row>
    <row r="1705" spans="1:5" s="618" customFormat="1" ht="21.75" customHeight="1">
      <c r="A1705" s="619"/>
      <c r="B1705" s="622"/>
      <c r="C1705" s="622"/>
      <c r="D1705" s="622"/>
      <c r="E1705" s="627"/>
    </row>
    <row r="1706" spans="1:5" s="618" customFormat="1" ht="21.75" customHeight="1">
      <c r="A1706" s="619"/>
      <c r="B1706" s="622"/>
      <c r="C1706" s="622"/>
      <c r="D1706" s="622"/>
      <c r="E1706" s="627"/>
    </row>
    <row r="1707" spans="1:5" s="618" customFormat="1" ht="21.75" customHeight="1">
      <c r="A1707" s="619"/>
      <c r="B1707" s="622"/>
      <c r="C1707" s="622"/>
      <c r="D1707" s="622"/>
      <c r="E1707" s="627"/>
    </row>
    <row r="1708" spans="1:5" s="618" customFormat="1" ht="21.75" customHeight="1">
      <c r="A1708" s="619"/>
      <c r="B1708" s="622"/>
      <c r="C1708" s="622"/>
      <c r="D1708" s="622"/>
      <c r="E1708" s="627"/>
    </row>
    <row r="1709" spans="1:5" s="618" customFormat="1" ht="21.75" customHeight="1">
      <c r="A1709" s="619"/>
      <c r="B1709" s="622"/>
      <c r="C1709" s="622"/>
      <c r="D1709" s="622"/>
      <c r="E1709" s="627"/>
    </row>
    <row r="1710" spans="1:5" s="618" customFormat="1" ht="21.75" customHeight="1">
      <c r="A1710" s="619"/>
      <c r="B1710" s="622"/>
      <c r="C1710" s="622"/>
      <c r="D1710" s="622"/>
      <c r="E1710" s="627"/>
    </row>
    <row r="1711" spans="1:5" s="618" customFormat="1" ht="21.75" customHeight="1">
      <c r="A1711" s="619"/>
      <c r="B1711" s="622"/>
      <c r="C1711" s="622"/>
      <c r="D1711" s="622"/>
      <c r="E1711" s="627"/>
    </row>
    <row r="1712" spans="1:5" s="618" customFormat="1" ht="21.75" customHeight="1">
      <c r="A1712" s="619"/>
      <c r="B1712" s="622"/>
      <c r="C1712" s="622"/>
      <c r="D1712" s="622"/>
      <c r="E1712" s="627"/>
    </row>
    <row r="1713" spans="1:5" s="618" customFormat="1" ht="21.75" customHeight="1">
      <c r="A1713" s="619"/>
      <c r="B1713" s="622"/>
      <c r="C1713" s="622"/>
      <c r="D1713" s="622"/>
      <c r="E1713" s="627"/>
    </row>
    <row r="1714" spans="1:5" s="618" customFormat="1" ht="21.75" customHeight="1">
      <c r="A1714" s="619"/>
      <c r="B1714" s="622"/>
      <c r="C1714" s="622"/>
      <c r="D1714" s="622"/>
      <c r="E1714" s="627"/>
    </row>
    <row r="1715" spans="1:5" s="618" customFormat="1" ht="21.75" customHeight="1">
      <c r="A1715" s="619"/>
      <c r="B1715" s="622"/>
      <c r="C1715" s="622"/>
      <c r="D1715" s="622"/>
      <c r="E1715" s="627"/>
    </row>
    <row r="1716" spans="1:5" s="618" customFormat="1" ht="21.75" customHeight="1">
      <c r="A1716" s="619"/>
      <c r="B1716" s="622"/>
      <c r="C1716" s="622"/>
      <c r="D1716" s="622"/>
      <c r="E1716" s="627"/>
    </row>
    <row r="1717" spans="1:5" s="618" customFormat="1" ht="21.75" customHeight="1">
      <c r="A1717" s="619"/>
      <c r="B1717" s="622"/>
      <c r="C1717" s="622"/>
      <c r="D1717" s="622"/>
      <c r="E1717" s="627"/>
    </row>
    <row r="1718" spans="1:5" s="618" customFormat="1" ht="21.75" customHeight="1">
      <c r="A1718" s="619"/>
      <c r="B1718" s="622"/>
      <c r="C1718" s="622"/>
      <c r="D1718" s="622"/>
      <c r="E1718" s="627"/>
    </row>
    <row r="1719" spans="1:5" s="618" customFormat="1" ht="21.75" customHeight="1">
      <c r="A1719" s="619"/>
      <c r="B1719" s="622"/>
      <c r="C1719" s="622"/>
      <c r="D1719" s="622"/>
      <c r="E1719" s="627"/>
    </row>
    <row r="1720" spans="1:5" s="618" customFormat="1" ht="21.75" customHeight="1">
      <c r="A1720" s="619"/>
      <c r="B1720" s="622"/>
      <c r="C1720" s="622"/>
      <c r="D1720" s="622"/>
      <c r="E1720" s="627"/>
    </row>
    <row r="1721" spans="1:5" s="618" customFormat="1" ht="21.75" customHeight="1">
      <c r="A1721" s="619"/>
      <c r="B1721" s="622"/>
      <c r="C1721" s="622"/>
      <c r="D1721" s="622"/>
      <c r="E1721" s="627"/>
    </row>
    <row r="1722" spans="1:5" s="618" customFormat="1" ht="21.75" customHeight="1">
      <c r="A1722" s="619"/>
      <c r="B1722" s="622"/>
      <c r="C1722" s="622"/>
      <c r="D1722" s="622"/>
      <c r="E1722" s="627"/>
    </row>
    <row r="1723" spans="1:5" s="618" customFormat="1" ht="21.75" customHeight="1">
      <c r="A1723" s="619"/>
      <c r="B1723" s="622"/>
      <c r="C1723" s="622"/>
      <c r="D1723" s="622"/>
      <c r="E1723" s="627"/>
    </row>
    <row r="1724" spans="1:5" s="618" customFormat="1" ht="21.75" customHeight="1">
      <c r="A1724" s="619"/>
      <c r="B1724" s="622"/>
      <c r="C1724" s="622"/>
      <c r="D1724" s="622"/>
      <c r="E1724" s="627"/>
    </row>
    <row r="1725" spans="1:5" s="618" customFormat="1" ht="21.75" customHeight="1">
      <c r="A1725" s="619"/>
      <c r="B1725" s="622"/>
      <c r="C1725" s="622"/>
      <c r="D1725" s="622"/>
      <c r="E1725" s="627"/>
    </row>
    <row r="1726" spans="1:5" s="618" customFormat="1" ht="21.75" customHeight="1">
      <c r="A1726" s="619"/>
      <c r="B1726" s="622"/>
      <c r="C1726" s="622"/>
      <c r="D1726" s="622"/>
      <c r="E1726" s="627"/>
    </row>
    <row r="1727" spans="1:5" s="618" customFormat="1" ht="21.75" customHeight="1">
      <c r="A1727" s="619"/>
      <c r="B1727" s="622"/>
      <c r="C1727" s="622"/>
      <c r="D1727" s="622"/>
      <c r="E1727" s="627"/>
    </row>
    <row r="1728" spans="1:5" s="618" customFormat="1" ht="21.75" customHeight="1">
      <c r="A1728" s="619"/>
      <c r="B1728" s="622"/>
      <c r="C1728" s="622"/>
      <c r="D1728" s="622"/>
      <c r="E1728" s="627"/>
    </row>
    <row r="1729" spans="1:5" s="618" customFormat="1" ht="21.75" customHeight="1">
      <c r="A1729" s="619"/>
      <c r="B1729" s="622"/>
      <c r="C1729" s="622"/>
      <c r="D1729" s="622"/>
      <c r="E1729" s="627"/>
    </row>
    <row r="1730" spans="1:5" s="618" customFormat="1" ht="21.75" customHeight="1">
      <c r="A1730" s="619"/>
      <c r="B1730" s="622"/>
      <c r="C1730" s="622"/>
      <c r="D1730" s="622"/>
      <c r="E1730" s="627"/>
    </row>
    <row r="1731" spans="1:5" s="618" customFormat="1" ht="21.75" customHeight="1">
      <c r="A1731" s="619"/>
      <c r="B1731" s="622"/>
      <c r="C1731" s="622"/>
      <c r="D1731" s="622"/>
      <c r="E1731" s="627"/>
    </row>
    <row r="1732" spans="1:5" s="618" customFormat="1" ht="21.75" customHeight="1">
      <c r="A1732" s="619"/>
      <c r="B1732" s="622"/>
      <c r="C1732" s="622"/>
      <c r="D1732" s="622"/>
      <c r="E1732" s="627"/>
    </row>
    <row r="1733" spans="1:5" s="618" customFormat="1" ht="21.75" customHeight="1">
      <c r="A1733" s="619"/>
      <c r="B1733" s="622"/>
      <c r="C1733" s="622"/>
      <c r="D1733" s="622"/>
      <c r="E1733" s="627"/>
    </row>
    <row r="1734" spans="1:5" s="618" customFormat="1" ht="21.75" customHeight="1">
      <c r="A1734" s="619"/>
      <c r="B1734" s="622"/>
      <c r="C1734" s="622"/>
      <c r="D1734" s="622"/>
      <c r="E1734" s="627"/>
    </row>
    <row r="1735" spans="1:5" s="618" customFormat="1" ht="21.75" customHeight="1">
      <c r="A1735" s="619"/>
      <c r="B1735" s="622"/>
      <c r="C1735" s="622"/>
      <c r="D1735" s="622"/>
      <c r="E1735" s="627"/>
    </row>
    <row r="1736" spans="1:5" s="618" customFormat="1" ht="21.75" customHeight="1">
      <c r="A1736" s="619"/>
      <c r="B1736" s="622"/>
      <c r="C1736" s="622"/>
      <c r="D1736" s="622"/>
      <c r="E1736" s="627"/>
    </row>
    <row r="1737" spans="1:5" s="618" customFormat="1" ht="21.75" customHeight="1">
      <c r="A1737" s="619"/>
      <c r="B1737" s="622"/>
      <c r="C1737" s="622"/>
      <c r="D1737" s="622"/>
      <c r="E1737" s="627"/>
    </row>
    <row r="1738" spans="1:5" s="618" customFormat="1" ht="21.75" customHeight="1">
      <c r="A1738" s="619"/>
      <c r="B1738" s="622"/>
      <c r="C1738" s="622"/>
      <c r="D1738" s="622"/>
      <c r="E1738" s="627"/>
    </row>
    <row r="1739" spans="1:5" s="618" customFormat="1" ht="21.75" customHeight="1">
      <c r="A1739" s="619"/>
      <c r="B1739" s="622"/>
      <c r="C1739" s="622"/>
      <c r="D1739" s="622"/>
      <c r="E1739" s="627"/>
    </row>
    <row r="1740" spans="1:5" s="618" customFormat="1" ht="21.75" customHeight="1">
      <c r="A1740" s="619"/>
      <c r="B1740" s="622"/>
      <c r="C1740" s="622"/>
      <c r="D1740" s="622"/>
      <c r="E1740" s="627"/>
    </row>
    <row r="1741" spans="1:5" s="618" customFormat="1" ht="21.75" customHeight="1">
      <c r="A1741" s="619"/>
      <c r="B1741" s="622"/>
      <c r="C1741" s="622"/>
      <c r="D1741" s="622"/>
      <c r="E1741" s="627"/>
    </row>
    <row r="1742" spans="1:5" s="618" customFormat="1" ht="21.75" customHeight="1">
      <c r="A1742" s="619"/>
      <c r="B1742" s="622"/>
      <c r="C1742" s="622"/>
      <c r="D1742" s="622"/>
      <c r="E1742" s="627"/>
    </row>
    <row r="1743" spans="1:5" s="618" customFormat="1" ht="21.75" customHeight="1">
      <c r="A1743" s="619"/>
      <c r="B1743" s="622"/>
      <c r="C1743" s="622"/>
      <c r="D1743" s="622"/>
      <c r="E1743" s="627"/>
    </row>
    <row r="1744" spans="1:5" s="618" customFormat="1" ht="21.75" customHeight="1">
      <c r="A1744" s="619"/>
      <c r="B1744" s="622"/>
      <c r="C1744" s="622"/>
      <c r="D1744" s="622"/>
      <c r="E1744" s="627"/>
    </row>
    <row r="1745" spans="1:5" s="618" customFormat="1" ht="21.75" customHeight="1">
      <c r="A1745" s="619"/>
      <c r="B1745" s="622"/>
      <c r="C1745" s="622"/>
      <c r="D1745" s="622"/>
      <c r="E1745" s="627"/>
    </row>
    <row r="1746" spans="1:5" s="618" customFormat="1" ht="21.75" customHeight="1">
      <c r="A1746" s="619"/>
      <c r="B1746" s="622"/>
      <c r="C1746" s="622"/>
      <c r="D1746" s="622"/>
      <c r="E1746" s="627"/>
    </row>
    <row r="1747" spans="1:5" s="618" customFormat="1" ht="21.75" customHeight="1">
      <c r="A1747" s="619"/>
      <c r="B1747" s="622"/>
      <c r="C1747" s="622"/>
      <c r="D1747" s="622"/>
      <c r="E1747" s="627"/>
    </row>
    <row r="1748" spans="1:5" s="618" customFormat="1" ht="21.75" customHeight="1">
      <c r="A1748" s="619"/>
      <c r="B1748" s="622"/>
      <c r="C1748" s="622"/>
      <c r="D1748" s="622"/>
      <c r="E1748" s="627"/>
    </row>
    <row r="1749" spans="1:5" s="618" customFormat="1" ht="21.75" customHeight="1">
      <c r="A1749" s="619"/>
      <c r="B1749" s="622"/>
      <c r="C1749" s="622"/>
      <c r="D1749" s="622"/>
      <c r="E1749" s="627"/>
    </row>
    <row r="1750" spans="1:5" s="618" customFormat="1" ht="21.75" customHeight="1">
      <c r="A1750" s="619"/>
      <c r="B1750" s="622"/>
      <c r="C1750" s="622"/>
      <c r="D1750" s="622"/>
      <c r="E1750" s="627"/>
    </row>
    <row r="1751" spans="1:5" s="618" customFormat="1" ht="21.75" customHeight="1">
      <c r="A1751" s="619"/>
      <c r="B1751" s="622"/>
      <c r="C1751" s="622"/>
      <c r="D1751" s="622"/>
      <c r="E1751" s="627"/>
    </row>
    <row r="1752" spans="1:5" s="618" customFormat="1" ht="21.75" customHeight="1">
      <c r="A1752" s="619"/>
      <c r="B1752" s="622"/>
      <c r="C1752" s="622"/>
      <c r="D1752" s="622"/>
      <c r="E1752" s="627"/>
    </row>
    <row r="1753" spans="1:5" s="618" customFormat="1" ht="21.75" customHeight="1">
      <c r="A1753" s="619"/>
      <c r="B1753" s="622"/>
      <c r="C1753" s="622"/>
      <c r="D1753" s="622"/>
      <c r="E1753" s="627"/>
    </row>
    <row r="1754" spans="1:5" s="618" customFormat="1" ht="21.75" customHeight="1">
      <c r="A1754" s="619"/>
      <c r="B1754" s="622"/>
      <c r="C1754" s="622"/>
      <c r="D1754" s="622"/>
      <c r="E1754" s="627"/>
    </row>
    <row r="1755" spans="1:5" s="618" customFormat="1" ht="21.75" customHeight="1">
      <c r="A1755" s="619"/>
      <c r="B1755" s="622"/>
      <c r="C1755" s="622"/>
      <c r="D1755" s="622"/>
      <c r="E1755" s="627"/>
    </row>
    <row r="1756" spans="1:5" s="618" customFormat="1" ht="21.75" customHeight="1">
      <c r="A1756" s="619"/>
      <c r="B1756" s="622"/>
      <c r="C1756" s="622"/>
      <c r="D1756" s="622"/>
      <c r="E1756" s="627"/>
    </row>
    <row r="1757" spans="1:5" s="618" customFormat="1" ht="21.75" customHeight="1">
      <c r="A1757" s="619"/>
      <c r="B1757" s="622"/>
      <c r="C1757" s="622"/>
      <c r="D1757" s="622"/>
      <c r="E1757" s="627"/>
    </row>
    <row r="1758" spans="1:5" s="618" customFormat="1" ht="21.75" customHeight="1">
      <c r="A1758" s="619"/>
      <c r="B1758" s="622"/>
      <c r="C1758" s="622"/>
      <c r="D1758" s="622"/>
      <c r="E1758" s="627"/>
    </row>
    <row r="1759" spans="1:5" s="618" customFormat="1" ht="21.75" customHeight="1">
      <c r="A1759" s="619"/>
      <c r="B1759" s="622"/>
      <c r="C1759" s="622"/>
      <c r="D1759" s="622"/>
      <c r="E1759" s="627"/>
    </row>
    <row r="1760" spans="1:5" s="618" customFormat="1" ht="21.75" customHeight="1">
      <c r="A1760" s="619"/>
      <c r="B1760" s="622"/>
      <c r="C1760" s="622"/>
      <c r="D1760" s="622"/>
      <c r="E1760" s="627"/>
    </row>
    <row r="1761" spans="1:5" s="618" customFormat="1" ht="21.75" customHeight="1">
      <c r="A1761" s="619"/>
      <c r="B1761" s="622"/>
      <c r="C1761" s="622"/>
      <c r="D1761" s="622"/>
      <c r="E1761" s="627"/>
    </row>
    <row r="1762" spans="1:5" s="618" customFormat="1" ht="21.75" customHeight="1">
      <c r="A1762" s="619"/>
      <c r="B1762" s="622"/>
      <c r="C1762" s="622"/>
      <c r="D1762" s="622"/>
      <c r="E1762" s="627"/>
    </row>
    <row r="1763" spans="1:5" s="618" customFormat="1" ht="21.75" customHeight="1">
      <c r="A1763" s="619"/>
      <c r="B1763" s="622"/>
      <c r="C1763" s="622"/>
      <c r="D1763" s="622"/>
      <c r="E1763" s="627"/>
    </row>
    <row r="1764" spans="1:5" s="618" customFormat="1" ht="21.75" customHeight="1">
      <c r="A1764" s="619"/>
      <c r="B1764" s="622"/>
      <c r="C1764" s="622"/>
      <c r="D1764" s="622"/>
      <c r="E1764" s="627"/>
    </row>
    <row r="1765" spans="1:5" s="618" customFormat="1" ht="21.75" customHeight="1">
      <c r="A1765" s="619"/>
      <c r="B1765" s="622"/>
      <c r="C1765" s="622"/>
      <c r="D1765" s="622"/>
      <c r="E1765" s="627"/>
    </row>
    <row r="1766" spans="1:5" s="618" customFormat="1" ht="21.75" customHeight="1">
      <c r="A1766" s="619"/>
      <c r="B1766" s="622"/>
      <c r="C1766" s="622"/>
      <c r="D1766" s="622"/>
      <c r="E1766" s="627"/>
    </row>
    <row r="1767" spans="1:5" s="618" customFormat="1" ht="21.75" customHeight="1">
      <c r="A1767" s="619"/>
      <c r="B1767" s="622"/>
      <c r="C1767" s="622"/>
      <c r="D1767" s="622"/>
      <c r="E1767" s="627"/>
    </row>
    <row r="1768" spans="1:5" s="618" customFormat="1" ht="21.75" customHeight="1">
      <c r="A1768" s="619"/>
      <c r="B1768" s="622"/>
      <c r="C1768" s="622"/>
      <c r="D1768" s="622"/>
      <c r="E1768" s="627"/>
    </row>
    <row r="1769" spans="1:5" s="618" customFormat="1" ht="21.75" customHeight="1">
      <c r="A1769" s="619"/>
      <c r="B1769" s="622"/>
      <c r="C1769" s="622"/>
      <c r="D1769" s="622"/>
      <c r="E1769" s="627"/>
    </row>
    <row r="1770" spans="1:5" s="618" customFormat="1" ht="21.75" customHeight="1">
      <c r="A1770" s="619"/>
      <c r="B1770" s="622"/>
      <c r="C1770" s="622"/>
      <c r="D1770" s="622"/>
      <c r="E1770" s="627"/>
    </row>
    <row r="1771" spans="1:5" s="618" customFormat="1" ht="21.75" customHeight="1">
      <c r="A1771" s="619"/>
      <c r="B1771" s="622"/>
      <c r="C1771" s="622"/>
      <c r="D1771" s="622"/>
      <c r="E1771" s="627"/>
    </row>
    <row r="1772" spans="1:5" s="618" customFormat="1" ht="21.75" customHeight="1">
      <c r="A1772" s="619"/>
      <c r="B1772" s="622"/>
      <c r="C1772" s="622"/>
      <c r="D1772" s="622"/>
      <c r="E1772" s="627"/>
    </row>
    <row r="1773" spans="1:5" s="618" customFormat="1" ht="21.75" customHeight="1">
      <c r="A1773" s="619"/>
      <c r="B1773" s="622"/>
      <c r="C1773" s="622"/>
      <c r="D1773" s="622"/>
      <c r="E1773" s="627"/>
    </row>
    <row r="1774" spans="1:5" s="618" customFormat="1" ht="21.75" customHeight="1">
      <c r="A1774" s="619"/>
      <c r="B1774" s="622"/>
      <c r="C1774" s="622"/>
      <c r="D1774" s="622"/>
      <c r="E1774" s="627"/>
    </row>
    <row r="1775" spans="1:5" s="618" customFormat="1" ht="21.75" customHeight="1">
      <c r="A1775" s="619"/>
      <c r="B1775" s="622"/>
      <c r="C1775" s="622"/>
      <c r="D1775" s="622"/>
      <c r="E1775" s="627"/>
    </row>
    <row r="1776" spans="1:5" s="618" customFormat="1" ht="21.75" customHeight="1">
      <c r="A1776" s="619"/>
      <c r="B1776" s="622"/>
      <c r="C1776" s="622"/>
      <c r="D1776" s="622"/>
      <c r="E1776" s="627"/>
    </row>
    <row r="1777" spans="1:5" s="618" customFormat="1" ht="21.75" customHeight="1">
      <c r="A1777" s="619"/>
      <c r="B1777" s="622"/>
      <c r="C1777" s="622"/>
      <c r="D1777" s="622"/>
      <c r="E1777" s="627"/>
    </row>
    <row r="1778" spans="1:5" s="618" customFormat="1" ht="21.75" customHeight="1">
      <c r="A1778" s="619"/>
      <c r="B1778" s="622"/>
      <c r="C1778" s="622"/>
      <c r="D1778" s="622"/>
      <c r="E1778" s="627"/>
    </row>
    <row r="1779" spans="1:5" s="618" customFormat="1" ht="21.75" customHeight="1">
      <c r="A1779" s="619"/>
      <c r="B1779" s="622"/>
      <c r="C1779" s="622"/>
      <c r="D1779" s="622"/>
      <c r="E1779" s="627"/>
    </row>
    <row r="1780" spans="1:5" s="618" customFormat="1" ht="21.75" customHeight="1">
      <c r="A1780" s="619"/>
      <c r="B1780" s="622"/>
      <c r="C1780" s="622"/>
      <c r="D1780" s="622"/>
      <c r="E1780" s="627"/>
    </row>
    <row r="1781" spans="1:5" s="618" customFormat="1" ht="21.75" customHeight="1">
      <c r="A1781" s="619"/>
      <c r="B1781" s="622"/>
      <c r="C1781" s="622"/>
      <c r="D1781" s="622"/>
      <c r="E1781" s="627"/>
    </row>
    <row r="1782" spans="1:5" s="618" customFormat="1" ht="21.75" customHeight="1">
      <c r="A1782" s="619"/>
      <c r="B1782" s="622"/>
      <c r="C1782" s="622"/>
      <c r="D1782" s="622"/>
      <c r="E1782" s="627"/>
    </row>
    <row r="1783" spans="1:5" s="618" customFormat="1" ht="21.75" customHeight="1">
      <c r="A1783" s="619"/>
      <c r="B1783" s="622"/>
      <c r="C1783" s="622"/>
      <c r="D1783" s="622"/>
      <c r="E1783" s="627"/>
    </row>
    <row r="1784" spans="1:5" s="618" customFormat="1" ht="21.75" customHeight="1">
      <c r="A1784" s="619"/>
      <c r="B1784" s="622"/>
      <c r="C1784" s="622"/>
      <c r="D1784" s="622"/>
      <c r="E1784" s="627"/>
    </row>
    <row r="1785" spans="1:5" s="618" customFormat="1" ht="21.75" customHeight="1">
      <c r="A1785" s="619"/>
      <c r="B1785" s="622"/>
      <c r="C1785" s="622"/>
      <c r="D1785" s="622"/>
      <c r="E1785" s="627"/>
    </row>
    <row r="1786" spans="1:5" s="618" customFormat="1" ht="21.75" customHeight="1">
      <c r="A1786" s="619"/>
      <c r="B1786" s="622"/>
      <c r="C1786" s="622"/>
      <c r="D1786" s="622"/>
      <c r="E1786" s="627"/>
    </row>
    <row r="1787" spans="1:5" s="618" customFormat="1" ht="21.75" customHeight="1">
      <c r="A1787" s="619"/>
      <c r="B1787" s="622"/>
      <c r="C1787" s="622"/>
      <c r="D1787" s="622"/>
      <c r="E1787" s="627"/>
    </row>
    <row r="1788" spans="1:5" s="618" customFormat="1" ht="21.75" customHeight="1">
      <c r="A1788" s="619"/>
      <c r="B1788" s="622"/>
      <c r="C1788" s="622"/>
      <c r="D1788" s="622"/>
      <c r="E1788" s="627"/>
    </row>
    <row r="1789" spans="1:5" s="618" customFormat="1" ht="21.75" customHeight="1">
      <c r="A1789" s="619"/>
      <c r="B1789" s="622"/>
      <c r="C1789" s="622"/>
      <c r="D1789" s="622"/>
      <c r="E1789" s="627"/>
    </row>
    <row r="1790" spans="1:5" s="618" customFormat="1" ht="21.75" customHeight="1">
      <c r="A1790" s="619"/>
      <c r="B1790" s="622"/>
      <c r="C1790" s="622"/>
      <c r="D1790" s="622"/>
      <c r="E1790" s="627"/>
    </row>
    <row r="1791" spans="1:5" s="618" customFormat="1" ht="21.75" customHeight="1">
      <c r="A1791" s="619"/>
      <c r="B1791" s="622"/>
      <c r="C1791" s="622"/>
      <c r="D1791" s="622"/>
      <c r="E1791" s="627"/>
    </row>
    <row r="1792" spans="1:5" s="618" customFormat="1" ht="21.75" customHeight="1">
      <c r="A1792" s="619"/>
      <c r="B1792" s="622"/>
      <c r="C1792" s="622"/>
      <c r="D1792" s="622"/>
      <c r="E1792" s="627"/>
    </row>
    <row r="1793" spans="1:5" s="618" customFormat="1" ht="21.75" customHeight="1">
      <c r="A1793" s="619"/>
      <c r="B1793" s="622"/>
      <c r="C1793" s="622"/>
      <c r="D1793" s="622"/>
      <c r="E1793" s="627"/>
    </row>
    <row r="1794" spans="1:5" s="618" customFormat="1" ht="21.75" customHeight="1">
      <c r="A1794" s="619"/>
      <c r="B1794" s="622"/>
      <c r="C1794" s="622"/>
      <c r="D1794" s="622"/>
      <c r="E1794" s="627"/>
    </row>
    <row r="1795" spans="1:5" s="618" customFormat="1" ht="21.75" customHeight="1">
      <c r="A1795" s="619"/>
      <c r="B1795" s="622"/>
      <c r="C1795" s="622"/>
      <c r="D1795" s="622"/>
      <c r="E1795" s="627"/>
    </row>
    <row r="1796" spans="1:5" s="618" customFormat="1" ht="21.75" customHeight="1">
      <c r="A1796" s="619"/>
      <c r="B1796" s="622"/>
      <c r="C1796" s="622"/>
      <c r="D1796" s="622"/>
      <c r="E1796" s="627"/>
    </row>
    <row r="1797" spans="1:5" s="618" customFormat="1" ht="21.75" customHeight="1">
      <c r="A1797" s="619"/>
      <c r="B1797" s="622"/>
      <c r="C1797" s="622"/>
      <c r="D1797" s="622"/>
      <c r="E1797" s="627"/>
    </row>
    <row r="1798" spans="1:5" s="618" customFormat="1" ht="21.75" customHeight="1">
      <c r="A1798" s="619"/>
      <c r="B1798" s="622"/>
      <c r="C1798" s="622"/>
      <c r="D1798" s="622"/>
      <c r="E1798" s="627"/>
    </row>
    <row r="1799" spans="1:5" s="618" customFormat="1" ht="21.75" customHeight="1">
      <c r="A1799" s="619"/>
      <c r="B1799" s="622"/>
      <c r="C1799" s="622"/>
      <c r="D1799" s="622"/>
      <c r="E1799" s="627"/>
    </row>
    <row r="1800" spans="1:5" s="618" customFormat="1" ht="21.75" customHeight="1">
      <c r="A1800" s="619"/>
      <c r="B1800" s="622"/>
      <c r="C1800" s="622"/>
      <c r="D1800" s="622"/>
      <c r="E1800" s="627"/>
    </row>
    <row r="1801" spans="1:5" s="618" customFormat="1" ht="21.75" customHeight="1">
      <c r="A1801" s="619"/>
      <c r="B1801" s="622"/>
      <c r="C1801" s="622"/>
      <c r="D1801" s="622"/>
      <c r="E1801" s="627"/>
    </row>
    <row r="1802" spans="1:5" s="618" customFormat="1" ht="21.75" customHeight="1">
      <c r="A1802" s="619"/>
      <c r="B1802" s="622"/>
      <c r="C1802" s="622"/>
      <c r="D1802" s="622"/>
      <c r="E1802" s="627"/>
    </row>
    <row r="1803" spans="1:5" s="618" customFormat="1" ht="21.75" customHeight="1">
      <c r="A1803" s="619"/>
      <c r="B1803" s="622"/>
      <c r="C1803" s="622"/>
      <c r="D1803" s="622"/>
      <c r="E1803" s="627"/>
    </row>
    <row r="1804" spans="1:5" s="618" customFormat="1" ht="21.75" customHeight="1">
      <c r="A1804" s="619"/>
      <c r="B1804" s="622"/>
      <c r="C1804" s="622"/>
      <c r="D1804" s="622"/>
      <c r="E1804" s="627"/>
    </row>
    <row r="1805" spans="1:5" s="618" customFormat="1" ht="21.75" customHeight="1">
      <c r="A1805" s="619"/>
      <c r="B1805" s="622"/>
      <c r="C1805" s="622"/>
      <c r="D1805" s="622"/>
      <c r="E1805" s="627"/>
    </row>
    <row r="1806" spans="1:5" s="618" customFormat="1" ht="21.75" customHeight="1">
      <c r="A1806" s="619"/>
      <c r="B1806" s="622"/>
      <c r="C1806" s="622"/>
      <c r="D1806" s="622"/>
      <c r="E1806" s="627"/>
    </row>
    <row r="1807" spans="1:5" s="618" customFormat="1" ht="21.75" customHeight="1">
      <c r="A1807" s="619"/>
      <c r="B1807" s="622"/>
      <c r="C1807" s="622"/>
      <c r="D1807" s="622"/>
      <c r="E1807" s="627"/>
    </row>
    <row r="1808" spans="1:5" s="618" customFormat="1" ht="21.75" customHeight="1">
      <c r="A1808" s="619"/>
      <c r="B1808" s="622"/>
      <c r="C1808" s="622"/>
      <c r="D1808" s="622"/>
      <c r="E1808" s="627"/>
    </row>
    <row r="1809" spans="1:5" s="618" customFormat="1" ht="21.75" customHeight="1">
      <c r="A1809" s="619"/>
      <c r="B1809" s="622"/>
      <c r="C1809" s="622"/>
      <c r="D1809" s="622"/>
      <c r="E1809" s="627"/>
    </row>
    <row r="1810" spans="1:5" s="618" customFormat="1" ht="21.75" customHeight="1">
      <c r="A1810" s="619"/>
      <c r="B1810" s="622"/>
      <c r="C1810" s="622"/>
      <c r="D1810" s="622"/>
      <c r="E1810" s="627"/>
    </row>
    <row r="1811" spans="1:5" s="618" customFormat="1" ht="21.75" customHeight="1">
      <c r="A1811" s="619"/>
      <c r="B1811" s="622"/>
      <c r="C1811" s="622"/>
      <c r="D1811" s="622"/>
      <c r="E1811" s="627"/>
    </row>
    <row r="1812" spans="1:5" s="618" customFormat="1" ht="21.75" customHeight="1">
      <c r="A1812" s="619"/>
      <c r="B1812" s="622"/>
      <c r="C1812" s="622"/>
      <c r="D1812" s="622"/>
      <c r="E1812" s="627"/>
    </row>
    <row r="1813" spans="1:5" s="618" customFormat="1" ht="21.75" customHeight="1">
      <c r="A1813" s="619"/>
      <c r="B1813" s="622"/>
      <c r="C1813" s="622"/>
      <c r="D1813" s="622"/>
      <c r="E1813" s="627"/>
    </row>
    <row r="1814" spans="1:5" s="618" customFormat="1" ht="21.75" customHeight="1">
      <c r="A1814" s="619"/>
      <c r="B1814" s="622"/>
      <c r="C1814" s="622"/>
      <c r="D1814" s="622"/>
      <c r="E1814" s="627"/>
    </row>
    <row r="1815" spans="1:5" s="618" customFormat="1" ht="21.75" customHeight="1">
      <c r="A1815" s="619"/>
      <c r="B1815" s="622"/>
      <c r="C1815" s="622"/>
      <c r="D1815" s="622"/>
      <c r="E1815" s="627"/>
    </row>
    <row r="1816" spans="1:5" s="618" customFormat="1" ht="21.75" customHeight="1">
      <c r="A1816" s="619"/>
      <c r="B1816" s="622"/>
      <c r="C1816" s="622"/>
      <c r="D1816" s="622"/>
      <c r="E1816" s="627"/>
    </row>
    <row r="1817" spans="1:5" s="618" customFormat="1" ht="21.75" customHeight="1">
      <c r="A1817" s="619"/>
      <c r="B1817" s="622"/>
      <c r="C1817" s="622"/>
      <c r="D1817" s="622"/>
      <c r="E1817" s="627"/>
    </row>
    <row r="1818" spans="1:5" s="618" customFormat="1" ht="21.75" customHeight="1">
      <c r="A1818" s="619"/>
      <c r="B1818" s="622"/>
      <c r="C1818" s="622"/>
      <c r="D1818" s="622"/>
      <c r="E1818" s="627"/>
    </row>
    <row r="1819" spans="1:5" s="618" customFormat="1" ht="21.75" customHeight="1">
      <c r="A1819" s="619"/>
      <c r="B1819" s="622"/>
      <c r="C1819" s="622"/>
      <c r="D1819" s="622"/>
      <c r="E1819" s="627"/>
    </row>
    <row r="1820" spans="1:5" s="618" customFormat="1" ht="21.75" customHeight="1">
      <c r="A1820" s="619"/>
      <c r="B1820" s="622"/>
      <c r="C1820" s="622"/>
      <c r="D1820" s="622"/>
      <c r="E1820" s="627"/>
    </row>
    <row r="1821" spans="1:5" s="618" customFormat="1" ht="21.75" customHeight="1">
      <c r="A1821" s="619"/>
      <c r="B1821" s="622"/>
      <c r="C1821" s="622"/>
      <c r="D1821" s="622"/>
      <c r="E1821" s="627"/>
    </row>
    <row r="1822" spans="1:5" s="618" customFormat="1" ht="21.75" customHeight="1">
      <c r="A1822" s="619"/>
      <c r="B1822" s="622"/>
      <c r="C1822" s="622"/>
      <c r="D1822" s="622"/>
      <c r="E1822" s="627"/>
    </row>
    <row r="1823" spans="1:5" s="618" customFormat="1" ht="21.75" customHeight="1">
      <c r="A1823" s="619"/>
      <c r="B1823" s="622"/>
      <c r="C1823" s="622"/>
      <c r="D1823" s="622"/>
      <c r="E1823" s="627"/>
    </row>
    <row r="1824" spans="1:5" s="618" customFormat="1" ht="21.75" customHeight="1">
      <c r="A1824" s="619"/>
      <c r="B1824" s="622"/>
      <c r="C1824" s="622"/>
      <c r="D1824" s="622"/>
      <c r="E1824" s="627"/>
    </row>
    <row r="1825" spans="1:5" s="618" customFormat="1" ht="21.75" customHeight="1">
      <c r="A1825" s="619"/>
      <c r="B1825" s="622"/>
      <c r="C1825" s="622"/>
      <c r="D1825" s="622"/>
      <c r="E1825" s="627"/>
    </row>
    <row r="1826" spans="1:5" s="618" customFormat="1" ht="21.75" customHeight="1">
      <c r="A1826" s="619"/>
      <c r="B1826" s="622"/>
      <c r="C1826" s="622"/>
      <c r="D1826" s="622"/>
      <c r="E1826" s="627"/>
    </row>
    <row r="1827" spans="1:5" s="618" customFormat="1" ht="21.75" customHeight="1">
      <c r="A1827" s="619"/>
      <c r="B1827" s="622"/>
      <c r="C1827" s="622"/>
      <c r="D1827" s="622"/>
      <c r="E1827" s="627"/>
    </row>
    <row r="1828" spans="1:5" s="618" customFormat="1" ht="21.75" customHeight="1">
      <c r="A1828" s="619"/>
      <c r="B1828" s="622"/>
      <c r="C1828" s="622"/>
      <c r="D1828" s="622"/>
      <c r="E1828" s="627"/>
    </row>
    <row r="1829" spans="1:5" s="618" customFormat="1" ht="21.75" customHeight="1">
      <c r="A1829" s="619"/>
      <c r="B1829" s="622"/>
      <c r="C1829" s="622"/>
      <c r="D1829" s="622"/>
      <c r="E1829" s="627"/>
    </row>
    <row r="1830" spans="1:5" s="618" customFormat="1" ht="21.75" customHeight="1">
      <c r="A1830" s="619"/>
      <c r="B1830" s="622"/>
      <c r="C1830" s="622"/>
      <c r="D1830" s="622"/>
      <c r="E1830" s="627"/>
    </row>
    <row r="1831" spans="1:5" s="618" customFormat="1" ht="21.75" customHeight="1">
      <c r="A1831" s="619"/>
      <c r="B1831" s="622"/>
      <c r="C1831" s="622"/>
      <c r="D1831" s="622"/>
      <c r="E1831" s="627"/>
    </row>
    <row r="1832" spans="1:5" s="618" customFormat="1" ht="21.75" customHeight="1">
      <c r="A1832" s="619"/>
      <c r="B1832" s="622"/>
      <c r="C1832" s="622"/>
      <c r="D1832" s="622"/>
      <c r="E1832" s="627"/>
    </row>
    <row r="1833" spans="1:5" s="618" customFormat="1" ht="21.75" customHeight="1">
      <c r="A1833" s="619"/>
      <c r="B1833" s="622"/>
      <c r="C1833" s="622"/>
      <c r="D1833" s="622"/>
      <c r="E1833" s="627"/>
    </row>
    <row r="1834" spans="1:5" s="618" customFormat="1" ht="21.75" customHeight="1">
      <c r="A1834" s="619"/>
      <c r="B1834" s="622"/>
      <c r="C1834" s="622"/>
      <c r="D1834" s="622"/>
      <c r="E1834" s="627"/>
    </row>
    <row r="1835" spans="1:5" s="618" customFormat="1" ht="21.75" customHeight="1">
      <c r="A1835" s="619"/>
      <c r="B1835" s="622"/>
      <c r="C1835" s="622"/>
      <c r="D1835" s="622"/>
      <c r="E1835" s="627"/>
    </row>
    <row r="1836" spans="1:5" s="618" customFormat="1" ht="21.75" customHeight="1">
      <c r="A1836" s="619"/>
      <c r="B1836" s="622"/>
      <c r="C1836" s="622"/>
      <c r="D1836" s="622"/>
      <c r="E1836" s="627"/>
    </row>
    <row r="1837" spans="1:5" s="618" customFormat="1" ht="21.75" customHeight="1">
      <c r="A1837" s="619"/>
      <c r="B1837" s="622"/>
      <c r="C1837" s="622"/>
      <c r="D1837" s="622"/>
      <c r="E1837" s="627"/>
    </row>
    <row r="1838" spans="1:5" s="618" customFormat="1" ht="21.75" customHeight="1">
      <c r="A1838" s="619"/>
      <c r="B1838" s="622"/>
      <c r="C1838" s="622"/>
      <c r="D1838" s="622"/>
      <c r="E1838" s="627"/>
    </row>
    <row r="1839" spans="1:5" s="618" customFormat="1" ht="21.75" customHeight="1">
      <c r="A1839" s="619"/>
      <c r="B1839" s="622"/>
      <c r="C1839" s="622"/>
      <c r="D1839" s="622"/>
      <c r="E1839" s="627"/>
    </row>
    <row r="1840" spans="1:5" s="618" customFormat="1" ht="21.75" customHeight="1">
      <c r="A1840" s="619"/>
      <c r="B1840" s="622"/>
      <c r="C1840" s="622"/>
      <c r="D1840" s="622"/>
      <c r="E1840" s="627"/>
    </row>
    <row r="1841" spans="1:5" s="618" customFormat="1" ht="21.75" customHeight="1">
      <c r="A1841" s="619"/>
      <c r="B1841" s="622"/>
      <c r="C1841" s="622"/>
      <c r="D1841" s="622"/>
      <c r="E1841" s="627"/>
    </row>
    <row r="1842" spans="1:5" s="618" customFormat="1" ht="21.75" customHeight="1">
      <c r="A1842" s="619"/>
      <c r="B1842" s="622"/>
      <c r="C1842" s="622"/>
      <c r="D1842" s="622"/>
      <c r="E1842" s="627"/>
    </row>
    <row r="1843" spans="1:5" s="618" customFormat="1" ht="21.75" customHeight="1">
      <c r="A1843" s="619"/>
      <c r="B1843" s="622"/>
      <c r="C1843" s="622"/>
      <c r="D1843" s="622"/>
      <c r="E1843" s="627"/>
    </row>
    <row r="1844" spans="1:5" s="618" customFormat="1" ht="21.75" customHeight="1">
      <c r="A1844" s="619"/>
      <c r="B1844" s="622"/>
      <c r="C1844" s="622"/>
      <c r="D1844" s="622"/>
      <c r="E1844" s="627"/>
    </row>
    <row r="1845" spans="1:5" s="618" customFormat="1" ht="21.75" customHeight="1">
      <c r="A1845" s="619"/>
      <c r="B1845" s="622"/>
      <c r="C1845" s="622"/>
      <c r="D1845" s="622"/>
      <c r="E1845" s="627"/>
    </row>
    <row r="1846" spans="1:5" s="618" customFormat="1" ht="21.75" customHeight="1">
      <c r="A1846" s="619"/>
      <c r="B1846" s="622"/>
      <c r="C1846" s="622"/>
      <c r="D1846" s="622"/>
      <c r="E1846" s="627"/>
    </row>
    <row r="1847" spans="1:5" s="618" customFormat="1" ht="21.75" customHeight="1">
      <c r="A1847" s="619"/>
      <c r="B1847" s="622"/>
      <c r="C1847" s="622"/>
      <c r="D1847" s="622"/>
      <c r="E1847" s="627"/>
    </row>
    <row r="1848" spans="1:5" s="618" customFormat="1" ht="21.75" customHeight="1">
      <c r="A1848" s="619"/>
      <c r="B1848" s="622"/>
      <c r="C1848" s="622"/>
      <c r="D1848" s="622"/>
      <c r="E1848" s="627"/>
    </row>
    <row r="1849" spans="1:5" s="618" customFormat="1" ht="21.75" customHeight="1">
      <c r="A1849" s="619"/>
      <c r="B1849" s="622"/>
      <c r="C1849" s="622"/>
      <c r="D1849" s="622"/>
      <c r="E1849" s="627"/>
    </row>
    <row r="1850" spans="1:5" s="618" customFormat="1" ht="21.75" customHeight="1">
      <c r="A1850" s="619"/>
      <c r="B1850" s="622"/>
      <c r="C1850" s="622"/>
      <c r="D1850" s="622"/>
      <c r="E1850" s="627"/>
    </row>
    <row r="1851" spans="1:5" s="618" customFormat="1" ht="21.75" customHeight="1">
      <c r="A1851" s="619"/>
      <c r="B1851" s="622"/>
      <c r="C1851" s="622"/>
      <c r="D1851" s="622"/>
      <c r="E1851" s="627"/>
    </row>
    <row r="1852" spans="1:5" s="618" customFormat="1" ht="21.75" customHeight="1">
      <c r="A1852" s="619"/>
      <c r="B1852" s="622"/>
      <c r="C1852" s="622"/>
      <c r="D1852" s="622"/>
      <c r="E1852" s="627"/>
    </row>
    <row r="1853" spans="1:5" s="618" customFormat="1" ht="21.75" customHeight="1">
      <c r="A1853" s="619"/>
      <c r="B1853" s="622"/>
      <c r="C1853" s="622"/>
      <c r="D1853" s="622"/>
      <c r="E1853" s="627"/>
    </row>
    <row r="1854" spans="1:5" s="618" customFormat="1" ht="21.75" customHeight="1">
      <c r="A1854" s="619"/>
      <c r="B1854" s="622"/>
      <c r="C1854" s="622"/>
      <c r="D1854" s="622"/>
      <c r="E1854" s="627"/>
    </row>
    <row r="1855" spans="1:5" s="618" customFormat="1" ht="21.75" customHeight="1">
      <c r="A1855" s="619"/>
      <c r="B1855" s="622"/>
      <c r="C1855" s="622"/>
      <c r="D1855" s="622"/>
      <c r="E1855" s="627"/>
    </row>
    <row r="1856" spans="1:5" s="618" customFormat="1" ht="21.75" customHeight="1">
      <c r="A1856" s="619"/>
      <c r="B1856" s="622"/>
      <c r="C1856" s="622"/>
      <c r="D1856" s="622"/>
      <c r="E1856" s="627"/>
    </row>
    <row r="1857" spans="1:5" s="618" customFormat="1" ht="21.75" customHeight="1">
      <c r="A1857" s="619"/>
      <c r="B1857" s="622"/>
      <c r="C1857" s="622"/>
      <c r="D1857" s="622"/>
      <c r="E1857" s="627"/>
    </row>
    <row r="1858" spans="1:5" s="618" customFormat="1" ht="21.75" customHeight="1">
      <c r="A1858" s="619"/>
      <c r="B1858" s="622"/>
      <c r="C1858" s="622"/>
      <c r="D1858" s="622"/>
      <c r="E1858" s="627"/>
    </row>
    <row r="1859" spans="1:5" s="618" customFormat="1" ht="21.75" customHeight="1">
      <c r="A1859" s="619"/>
      <c r="B1859" s="622"/>
      <c r="C1859" s="622"/>
      <c r="D1859" s="622"/>
      <c r="E1859" s="627"/>
    </row>
    <row r="1860" spans="1:5" s="618" customFormat="1" ht="21.75" customHeight="1">
      <c r="A1860" s="619"/>
      <c r="B1860" s="622"/>
      <c r="C1860" s="622"/>
      <c r="D1860" s="622"/>
      <c r="E1860" s="627"/>
    </row>
    <row r="1861" spans="1:5" s="618" customFormat="1" ht="21.75" customHeight="1">
      <c r="A1861" s="619"/>
      <c r="B1861" s="622"/>
      <c r="C1861" s="622"/>
      <c r="D1861" s="622"/>
      <c r="E1861" s="627"/>
    </row>
    <row r="1862" spans="1:5" s="618" customFormat="1" ht="21.75" customHeight="1">
      <c r="A1862" s="619"/>
      <c r="B1862" s="622"/>
      <c r="C1862" s="622"/>
      <c r="D1862" s="622"/>
      <c r="E1862" s="627"/>
    </row>
    <row r="1863" spans="1:5" s="618" customFormat="1" ht="21.75" customHeight="1">
      <c r="A1863" s="619"/>
      <c r="B1863" s="622"/>
      <c r="C1863" s="622"/>
      <c r="D1863" s="622"/>
      <c r="E1863" s="627"/>
    </row>
    <row r="1864" spans="1:5" s="618" customFormat="1" ht="21.75" customHeight="1">
      <c r="A1864" s="619"/>
      <c r="B1864" s="622"/>
      <c r="C1864" s="622"/>
      <c r="D1864" s="622"/>
      <c r="E1864" s="627"/>
    </row>
    <row r="1865" spans="1:5" s="618" customFormat="1" ht="21.75" customHeight="1">
      <c r="A1865" s="619"/>
      <c r="B1865" s="622"/>
      <c r="C1865" s="622"/>
      <c r="D1865" s="622"/>
      <c r="E1865" s="627"/>
    </row>
    <row r="1866" spans="1:5" s="618" customFormat="1" ht="21.75" customHeight="1">
      <c r="A1866" s="619"/>
      <c r="B1866" s="622"/>
      <c r="C1866" s="622"/>
      <c r="D1866" s="622"/>
      <c r="E1866" s="627"/>
    </row>
    <row r="1867" spans="1:5" s="618" customFormat="1" ht="21.75" customHeight="1">
      <c r="A1867" s="619"/>
      <c r="B1867" s="622"/>
      <c r="C1867" s="622"/>
      <c r="D1867" s="622"/>
      <c r="E1867" s="627"/>
    </row>
    <row r="1868" spans="1:5" s="618" customFormat="1" ht="21.75" customHeight="1">
      <c r="A1868" s="619"/>
      <c r="B1868" s="622"/>
      <c r="C1868" s="622"/>
      <c r="D1868" s="622"/>
      <c r="E1868" s="627"/>
    </row>
    <row r="1869" spans="1:5" s="618" customFormat="1" ht="21.75" customHeight="1">
      <c r="A1869" s="619"/>
      <c r="B1869" s="622"/>
      <c r="C1869" s="622"/>
      <c r="D1869" s="622"/>
      <c r="E1869" s="627"/>
    </row>
    <row r="1870" spans="1:5" s="618" customFormat="1" ht="21.75" customHeight="1">
      <c r="A1870" s="619"/>
      <c r="B1870" s="622"/>
      <c r="C1870" s="622"/>
      <c r="D1870" s="622"/>
      <c r="E1870" s="627"/>
    </row>
    <row r="1871" spans="1:5" s="618" customFormat="1" ht="21.75" customHeight="1">
      <c r="A1871" s="619"/>
      <c r="B1871" s="622"/>
      <c r="C1871" s="622"/>
      <c r="D1871" s="622"/>
      <c r="E1871" s="627"/>
    </row>
    <row r="1872" spans="1:5" s="618" customFormat="1" ht="21.75" customHeight="1">
      <c r="A1872" s="619"/>
      <c r="B1872" s="622"/>
      <c r="C1872" s="622"/>
      <c r="D1872" s="622"/>
      <c r="E1872" s="627"/>
    </row>
    <row r="1873" spans="1:5" s="618" customFormat="1" ht="21.75" customHeight="1">
      <c r="A1873" s="619"/>
      <c r="B1873" s="622"/>
      <c r="C1873" s="622"/>
      <c r="D1873" s="622"/>
      <c r="E1873" s="627"/>
    </row>
    <row r="1874" spans="1:5" s="618" customFormat="1" ht="21.75" customHeight="1">
      <c r="A1874" s="619"/>
      <c r="B1874" s="622"/>
      <c r="C1874" s="622"/>
      <c r="D1874" s="622"/>
      <c r="E1874" s="627"/>
    </row>
    <row r="1875" spans="1:5" s="618" customFormat="1" ht="21.75" customHeight="1">
      <c r="A1875" s="619"/>
      <c r="B1875" s="622"/>
      <c r="C1875" s="622"/>
      <c r="D1875" s="622"/>
      <c r="E1875" s="627"/>
    </row>
    <row r="1876" spans="1:5" s="618" customFormat="1" ht="21.75" customHeight="1">
      <c r="A1876" s="619"/>
      <c r="B1876" s="622"/>
      <c r="C1876" s="622"/>
      <c r="D1876" s="622"/>
      <c r="E1876" s="627"/>
    </row>
    <row r="1877" spans="1:5" s="618" customFormat="1" ht="21.75" customHeight="1">
      <c r="A1877" s="619"/>
      <c r="B1877" s="622"/>
      <c r="C1877" s="622"/>
      <c r="D1877" s="622"/>
      <c r="E1877" s="627"/>
    </row>
    <row r="1878" spans="1:5" s="618" customFormat="1" ht="21.75" customHeight="1">
      <c r="A1878" s="619"/>
      <c r="B1878" s="622"/>
      <c r="C1878" s="622"/>
      <c r="D1878" s="622"/>
      <c r="E1878" s="627"/>
    </row>
    <row r="1879" spans="1:5" s="618" customFormat="1" ht="21.75" customHeight="1">
      <c r="A1879" s="619"/>
      <c r="B1879" s="622"/>
      <c r="C1879" s="622"/>
      <c r="D1879" s="622"/>
      <c r="E1879" s="627"/>
    </row>
    <row r="1880" spans="1:5" s="618" customFormat="1" ht="21.75" customHeight="1">
      <c r="A1880" s="619"/>
      <c r="B1880" s="622"/>
      <c r="C1880" s="622"/>
      <c r="D1880" s="622"/>
      <c r="E1880" s="627"/>
    </row>
    <row r="1881" spans="1:5" s="618" customFormat="1" ht="21.75" customHeight="1">
      <c r="A1881" s="619"/>
      <c r="B1881" s="622"/>
      <c r="C1881" s="622"/>
      <c r="D1881" s="622"/>
      <c r="E1881" s="627"/>
    </row>
    <row r="1882" spans="1:5" s="618" customFormat="1" ht="21.75" customHeight="1">
      <c r="A1882" s="619"/>
      <c r="B1882" s="622"/>
      <c r="C1882" s="622"/>
      <c r="D1882" s="622"/>
      <c r="E1882" s="627"/>
    </row>
    <row r="1883" spans="1:5" s="618" customFormat="1" ht="21.75" customHeight="1">
      <c r="A1883" s="619"/>
      <c r="B1883" s="622"/>
      <c r="C1883" s="622"/>
      <c r="D1883" s="622"/>
      <c r="E1883" s="627"/>
    </row>
    <row r="1884" spans="1:5" s="618" customFormat="1" ht="21.75" customHeight="1">
      <c r="A1884" s="619"/>
      <c r="B1884" s="622"/>
      <c r="C1884" s="622"/>
      <c r="D1884" s="622"/>
      <c r="E1884" s="627"/>
    </row>
    <row r="1885" spans="1:5" s="618" customFormat="1" ht="21.75" customHeight="1">
      <c r="A1885" s="619"/>
      <c r="B1885" s="622"/>
      <c r="C1885" s="622"/>
      <c r="D1885" s="622"/>
      <c r="E1885" s="627"/>
    </row>
    <row r="1886" spans="1:5" s="618" customFormat="1" ht="21.75" customHeight="1">
      <c r="A1886" s="619"/>
      <c r="B1886" s="622"/>
      <c r="C1886" s="622"/>
      <c r="D1886" s="622"/>
      <c r="E1886" s="627"/>
    </row>
    <row r="1887" spans="1:5" s="618" customFormat="1" ht="21.75" customHeight="1">
      <c r="A1887" s="619"/>
      <c r="B1887" s="622"/>
      <c r="C1887" s="622"/>
      <c r="D1887" s="622"/>
      <c r="E1887" s="627"/>
    </row>
    <row r="1888" spans="1:5" s="618" customFormat="1" ht="21.75" customHeight="1">
      <c r="A1888" s="619"/>
      <c r="B1888" s="622"/>
      <c r="C1888" s="622"/>
      <c r="D1888" s="622"/>
      <c r="E1888" s="627"/>
    </row>
    <row r="1889" spans="1:5" s="618" customFormat="1" ht="21.75" customHeight="1">
      <c r="A1889" s="619"/>
      <c r="B1889" s="622"/>
      <c r="C1889" s="622"/>
      <c r="D1889" s="622"/>
      <c r="E1889" s="627"/>
    </row>
    <row r="1890" spans="1:5" s="618" customFormat="1" ht="21.75" customHeight="1">
      <c r="A1890" s="619"/>
      <c r="B1890" s="622"/>
      <c r="C1890" s="622"/>
      <c r="D1890" s="622"/>
      <c r="E1890" s="627"/>
    </row>
    <row r="1891" spans="1:5" s="618" customFormat="1" ht="21.75" customHeight="1">
      <c r="A1891" s="619"/>
      <c r="B1891" s="622"/>
      <c r="C1891" s="622"/>
      <c r="D1891" s="622"/>
      <c r="E1891" s="627"/>
    </row>
    <row r="1892" spans="1:5" s="618" customFormat="1" ht="21.75" customHeight="1">
      <c r="A1892" s="619"/>
      <c r="B1892" s="622"/>
      <c r="C1892" s="622"/>
      <c r="D1892" s="622"/>
      <c r="E1892" s="627"/>
    </row>
    <row r="1893" spans="1:5" s="618" customFormat="1" ht="21.75" customHeight="1">
      <c r="A1893" s="619"/>
      <c r="B1893" s="622"/>
      <c r="C1893" s="622"/>
      <c r="D1893" s="622"/>
      <c r="E1893" s="627"/>
    </row>
    <row r="1894" spans="1:5" s="618" customFormat="1" ht="21.75" customHeight="1">
      <c r="A1894" s="619"/>
      <c r="B1894" s="622"/>
      <c r="C1894" s="622"/>
      <c r="D1894" s="622"/>
      <c r="E1894" s="627"/>
    </row>
    <row r="1895" spans="1:5" s="618" customFormat="1" ht="21.75" customHeight="1">
      <c r="A1895" s="619"/>
      <c r="B1895" s="622"/>
      <c r="C1895" s="622"/>
      <c r="D1895" s="622"/>
      <c r="E1895" s="627"/>
    </row>
    <row r="1896" spans="1:5" s="618" customFormat="1" ht="21.75" customHeight="1">
      <c r="A1896" s="619"/>
      <c r="B1896" s="622"/>
      <c r="C1896" s="622"/>
      <c r="D1896" s="622"/>
      <c r="E1896" s="627"/>
    </row>
    <row r="1897" spans="1:5" s="618" customFormat="1" ht="21.75" customHeight="1">
      <c r="A1897" s="619"/>
      <c r="B1897" s="622"/>
      <c r="C1897" s="622"/>
      <c r="D1897" s="622"/>
      <c r="E1897" s="627"/>
    </row>
    <row r="1898" spans="1:5" s="618" customFormat="1" ht="21.75" customHeight="1">
      <c r="A1898" s="619"/>
      <c r="B1898" s="622"/>
      <c r="C1898" s="622"/>
      <c r="D1898" s="622"/>
      <c r="E1898" s="627"/>
    </row>
    <row r="1899" spans="1:5" s="618" customFormat="1" ht="21.75" customHeight="1">
      <c r="A1899" s="619"/>
      <c r="B1899" s="622"/>
      <c r="C1899" s="622"/>
      <c r="D1899" s="622"/>
      <c r="E1899" s="627"/>
    </row>
    <row r="1900" spans="1:5" s="618" customFormat="1" ht="21.75" customHeight="1">
      <c r="A1900" s="619"/>
      <c r="B1900" s="622"/>
      <c r="C1900" s="622"/>
      <c r="D1900" s="622"/>
      <c r="E1900" s="627"/>
    </row>
    <row r="1901" spans="1:5" s="618" customFormat="1" ht="21.75" customHeight="1">
      <c r="A1901" s="619"/>
      <c r="B1901" s="622"/>
      <c r="C1901" s="622"/>
      <c r="D1901" s="622"/>
      <c r="E1901" s="627"/>
    </row>
    <row r="1902" spans="1:5" s="618" customFormat="1" ht="21.75" customHeight="1">
      <c r="A1902" s="619"/>
      <c r="B1902" s="622"/>
      <c r="C1902" s="622"/>
      <c r="D1902" s="622"/>
      <c r="E1902" s="627"/>
    </row>
    <row r="1903" spans="1:5" s="618" customFormat="1" ht="21.75" customHeight="1">
      <c r="A1903" s="619"/>
      <c r="B1903" s="622"/>
      <c r="C1903" s="622"/>
      <c r="D1903" s="622"/>
      <c r="E1903" s="627"/>
    </row>
    <row r="1904" spans="1:5" s="618" customFormat="1" ht="21.75" customHeight="1">
      <c r="A1904" s="619"/>
      <c r="B1904" s="622"/>
      <c r="C1904" s="622"/>
      <c r="D1904" s="622"/>
      <c r="E1904" s="627"/>
    </row>
    <row r="1905" spans="1:5" s="618" customFormat="1" ht="21.75" customHeight="1">
      <c r="A1905" s="619"/>
      <c r="B1905" s="622"/>
      <c r="C1905" s="622"/>
      <c r="D1905" s="622"/>
      <c r="E1905" s="627"/>
    </row>
    <row r="1906" spans="1:5" s="618" customFormat="1" ht="21.75" customHeight="1">
      <c r="A1906" s="619"/>
      <c r="B1906" s="622"/>
      <c r="C1906" s="622"/>
      <c r="D1906" s="622"/>
      <c r="E1906" s="627"/>
    </row>
    <row r="1907" spans="1:5" s="618" customFormat="1" ht="21.75" customHeight="1">
      <c r="A1907" s="619"/>
      <c r="B1907" s="622"/>
      <c r="C1907" s="622"/>
      <c r="D1907" s="622"/>
      <c r="E1907" s="627"/>
    </row>
    <row r="1908" spans="1:5" s="618" customFormat="1" ht="21.75" customHeight="1">
      <c r="A1908" s="619"/>
      <c r="B1908" s="622"/>
      <c r="C1908" s="622"/>
      <c r="D1908" s="622"/>
      <c r="E1908" s="627"/>
    </row>
    <row r="1909" spans="1:5" s="618" customFormat="1" ht="21.75" customHeight="1">
      <c r="A1909" s="619"/>
      <c r="B1909" s="622"/>
      <c r="C1909" s="622"/>
      <c r="D1909" s="622"/>
      <c r="E1909" s="627"/>
    </row>
    <row r="1910" spans="1:5" s="618" customFormat="1" ht="21.75" customHeight="1">
      <c r="A1910" s="619"/>
      <c r="B1910" s="622"/>
      <c r="C1910" s="622"/>
      <c r="D1910" s="622"/>
      <c r="E1910" s="627"/>
    </row>
    <row r="1911" spans="1:5" s="618" customFormat="1" ht="21.75" customHeight="1">
      <c r="A1911" s="619"/>
      <c r="B1911" s="622"/>
      <c r="C1911" s="622"/>
      <c r="D1911" s="622"/>
      <c r="E1911" s="627"/>
    </row>
    <row r="1912" spans="1:5" s="618" customFormat="1" ht="21.75" customHeight="1">
      <c r="A1912" s="619"/>
      <c r="B1912" s="622"/>
      <c r="C1912" s="622"/>
      <c r="D1912" s="622"/>
      <c r="E1912" s="627"/>
    </row>
    <row r="1913" spans="1:5" s="618" customFormat="1" ht="21.75" customHeight="1">
      <c r="A1913" s="619"/>
      <c r="B1913" s="622"/>
      <c r="C1913" s="622"/>
      <c r="D1913" s="622"/>
      <c r="E1913" s="627"/>
    </row>
    <row r="1914" spans="1:5" s="618" customFormat="1" ht="21.75" customHeight="1">
      <c r="A1914" s="619"/>
      <c r="B1914" s="622"/>
      <c r="C1914" s="622"/>
      <c r="D1914" s="622"/>
      <c r="E1914" s="627"/>
    </row>
    <row r="1915" spans="1:5" s="618" customFormat="1" ht="21.75" customHeight="1">
      <c r="A1915" s="619"/>
      <c r="B1915" s="622"/>
      <c r="C1915" s="622"/>
      <c r="D1915" s="622"/>
      <c r="E1915" s="627"/>
    </row>
    <row r="1916" spans="1:5" s="618" customFormat="1" ht="21.75" customHeight="1">
      <c r="A1916" s="619"/>
      <c r="B1916" s="622"/>
      <c r="C1916" s="622"/>
      <c r="D1916" s="622"/>
      <c r="E1916" s="627"/>
    </row>
    <row r="1917" spans="1:5" s="618" customFormat="1" ht="21.75" customHeight="1">
      <c r="A1917" s="619"/>
      <c r="B1917" s="622"/>
      <c r="C1917" s="622"/>
      <c r="D1917" s="622"/>
      <c r="E1917" s="627"/>
    </row>
    <row r="1918" spans="1:5" s="618" customFormat="1" ht="21.75" customHeight="1">
      <c r="A1918" s="619"/>
      <c r="B1918" s="622"/>
      <c r="C1918" s="622"/>
      <c r="D1918" s="622"/>
      <c r="E1918" s="627"/>
    </row>
    <row r="1919" spans="1:5" s="618" customFormat="1" ht="21.75" customHeight="1">
      <c r="A1919" s="619"/>
      <c r="B1919" s="622"/>
      <c r="C1919" s="622"/>
      <c r="D1919" s="622"/>
      <c r="E1919" s="627"/>
    </row>
    <row r="1920" spans="1:5" s="618" customFormat="1" ht="21.75" customHeight="1">
      <c r="A1920" s="619"/>
      <c r="B1920" s="622"/>
      <c r="C1920" s="622"/>
      <c r="D1920" s="622"/>
      <c r="E1920" s="627"/>
    </row>
    <row r="1921" spans="1:5" s="618" customFormat="1" ht="21.75" customHeight="1">
      <c r="A1921" s="619"/>
      <c r="B1921" s="622"/>
      <c r="C1921" s="622"/>
      <c r="D1921" s="622"/>
      <c r="E1921" s="627"/>
    </row>
    <row r="1922" spans="1:5" s="618" customFormat="1" ht="21.75" customHeight="1">
      <c r="A1922" s="619"/>
      <c r="B1922" s="622"/>
      <c r="C1922" s="622"/>
      <c r="D1922" s="622"/>
      <c r="E1922" s="627"/>
    </row>
    <row r="1923" spans="1:5" s="618" customFormat="1" ht="21.75" customHeight="1">
      <c r="A1923" s="619"/>
      <c r="B1923" s="622"/>
      <c r="C1923" s="622"/>
      <c r="D1923" s="622"/>
      <c r="E1923" s="627"/>
    </row>
    <row r="1924" spans="1:5" s="618" customFormat="1" ht="21.75" customHeight="1">
      <c r="A1924" s="619"/>
      <c r="B1924" s="622"/>
      <c r="C1924" s="622"/>
      <c r="D1924" s="622"/>
      <c r="E1924" s="627"/>
    </row>
    <row r="1925" spans="1:5" s="618" customFormat="1" ht="21.75" customHeight="1">
      <c r="A1925" s="619"/>
      <c r="B1925" s="622"/>
      <c r="C1925" s="622"/>
      <c r="D1925" s="622"/>
      <c r="E1925" s="627"/>
    </row>
    <row r="1926" spans="1:5" s="618" customFormat="1" ht="21.75" customHeight="1">
      <c r="A1926" s="619"/>
      <c r="B1926" s="622"/>
      <c r="C1926" s="622"/>
      <c r="D1926" s="622"/>
      <c r="E1926" s="627"/>
    </row>
    <row r="1927" spans="1:5" s="618" customFormat="1" ht="21.75" customHeight="1">
      <c r="A1927" s="619"/>
      <c r="B1927" s="622"/>
      <c r="C1927" s="622"/>
      <c r="D1927" s="622"/>
      <c r="E1927" s="627"/>
    </row>
    <row r="1928" spans="1:5" s="618" customFormat="1" ht="21.75" customHeight="1">
      <c r="A1928" s="619"/>
      <c r="B1928" s="622"/>
      <c r="C1928" s="622"/>
      <c r="D1928" s="622"/>
      <c r="E1928" s="627"/>
    </row>
    <row r="1929" spans="1:5" s="618" customFormat="1" ht="21.75" customHeight="1">
      <c r="A1929" s="619"/>
      <c r="B1929" s="622"/>
      <c r="C1929" s="622"/>
      <c r="D1929" s="622"/>
      <c r="E1929" s="627"/>
    </row>
    <row r="1930" spans="1:5" s="618" customFormat="1" ht="21.75" customHeight="1">
      <c r="A1930" s="619"/>
      <c r="B1930" s="622"/>
      <c r="C1930" s="622"/>
      <c r="D1930" s="622"/>
      <c r="E1930" s="627"/>
    </row>
    <row r="1931" spans="1:5" s="618" customFormat="1" ht="21.75" customHeight="1">
      <c r="A1931" s="619"/>
      <c r="B1931" s="622"/>
      <c r="C1931" s="622"/>
      <c r="D1931" s="622"/>
      <c r="E1931" s="627"/>
    </row>
    <row r="1932" spans="1:5" s="618" customFormat="1" ht="21.75" customHeight="1">
      <c r="A1932" s="619"/>
      <c r="B1932" s="622"/>
      <c r="C1932" s="622"/>
      <c r="D1932" s="622"/>
      <c r="E1932" s="627"/>
    </row>
    <row r="1933" spans="1:5" s="618" customFormat="1" ht="21.75" customHeight="1">
      <c r="A1933" s="619"/>
      <c r="B1933" s="622"/>
      <c r="C1933" s="622"/>
      <c r="D1933" s="622"/>
      <c r="E1933" s="627"/>
    </row>
    <row r="1934" spans="1:5" s="618" customFormat="1" ht="21.75" customHeight="1">
      <c r="A1934" s="619"/>
      <c r="B1934" s="622"/>
      <c r="C1934" s="622"/>
      <c r="D1934" s="622"/>
      <c r="E1934" s="627"/>
    </row>
    <row r="1935" spans="1:5" s="618" customFormat="1" ht="21.75" customHeight="1">
      <c r="A1935" s="619"/>
      <c r="B1935" s="622"/>
      <c r="C1935" s="622"/>
      <c r="D1935" s="622"/>
      <c r="E1935" s="627"/>
    </row>
    <row r="1936" spans="1:5" s="618" customFormat="1" ht="21.75" customHeight="1">
      <c r="A1936" s="619"/>
      <c r="B1936" s="622"/>
      <c r="C1936" s="622"/>
      <c r="D1936" s="622"/>
      <c r="E1936" s="627"/>
    </row>
    <row r="1937" spans="1:5" s="618" customFormat="1" ht="21.75" customHeight="1">
      <c r="A1937" s="619"/>
      <c r="B1937" s="622"/>
      <c r="C1937" s="622"/>
      <c r="D1937" s="622"/>
      <c r="E1937" s="627"/>
    </row>
    <row r="1938" spans="1:5" s="618" customFormat="1" ht="21.75" customHeight="1">
      <c r="A1938" s="619"/>
      <c r="B1938" s="622"/>
      <c r="C1938" s="622"/>
      <c r="D1938" s="622"/>
      <c r="E1938" s="627"/>
    </row>
    <row r="1939" spans="1:5" s="618" customFormat="1" ht="21.75" customHeight="1">
      <c r="A1939" s="619"/>
      <c r="B1939" s="622"/>
      <c r="C1939" s="622"/>
      <c r="D1939" s="622"/>
      <c r="E1939" s="627"/>
    </row>
    <row r="1940" spans="1:5" s="618" customFormat="1" ht="21.75" customHeight="1">
      <c r="A1940" s="619"/>
      <c r="B1940" s="622"/>
      <c r="C1940" s="622"/>
      <c r="D1940" s="622"/>
      <c r="E1940" s="627"/>
    </row>
    <row r="1941" spans="1:5" s="618" customFormat="1" ht="21.75" customHeight="1">
      <c r="A1941" s="619"/>
      <c r="B1941" s="622"/>
      <c r="C1941" s="622"/>
      <c r="D1941" s="622"/>
      <c r="E1941" s="627"/>
    </row>
    <row r="1942" spans="1:5" s="618" customFormat="1" ht="21.75" customHeight="1">
      <c r="A1942" s="619"/>
      <c r="B1942" s="622"/>
      <c r="C1942" s="622"/>
      <c r="D1942" s="622"/>
      <c r="E1942" s="627"/>
    </row>
    <row r="1943" spans="1:5" s="618" customFormat="1" ht="21.75" customHeight="1">
      <c r="A1943" s="619"/>
      <c r="B1943" s="622"/>
      <c r="C1943" s="622"/>
      <c r="D1943" s="622"/>
      <c r="E1943" s="627"/>
    </row>
    <row r="1944" spans="1:5" s="618" customFormat="1" ht="21.75" customHeight="1">
      <c r="A1944" s="619"/>
      <c r="B1944" s="622"/>
      <c r="C1944" s="622"/>
      <c r="D1944" s="622"/>
      <c r="E1944" s="627"/>
    </row>
    <row r="1945" spans="1:5" s="618" customFormat="1" ht="21.75" customHeight="1">
      <c r="A1945" s="619"/>
      <c r="B1945" s="622"/>
      <c r="C1945" s="622"/>
      <c r="D1945" s="622"/>
      <c r="E1945" s="627"/>
    </row>
    <row r="1946" spans="1:5" s="618" customFormat="1" ht="21.75" customHeight="1">
      <c r="A1946" s="619"/>
      <c r="B1946" s="622"/>
      <c r="C1946" s="622"/>
      <c r="D1946" s="622"/>
      <c r="E1946" s="627"/>
    </row>
    <row r="1947" spans="1:5" s="618" customFormat="1" ht="21.75" customHeight="1">
      <c r="A1947" s="619"/>
      <c r="B1947" s="622"/>
      <c r="C1947" s="622"/>
      <c r="D1947" s="622"/>
      <c r="E1947" s="627"/>
    </row>
    <row r="1948" spans="1:5" s="618" customFormat="1" ht="21.75" customHeight="1">
      <c r="A1948" s="619"/>
      <c r="B1948" s="622"/>
      <c r="C1948" s="622"/>
      <c r="D1948" s="622"/>
      <c r="E1948" s="627"/>
    </row>
    <row r="1949" spans="1:5" s="618" customFormat="1" ht="21.75" customHeight="1">
      <c r="A1949" s="619"/>
      <c r="B1949" s="622"/>
      <c r="C1949" s="622"/>
      <c r="D1949" s="622"/>
      <c r="E1949" s="627"/>
    </row>
    <row r="1950" spans="1:5" s="618" customFormat="1" ht="21.75" customHeight="1">
      <c r="A1950" s="619"/>
      <c r="B1950" s="622"/>
      <c r="C1950" s="622"/>
      <c r="D1950" s="622"/>
      <c r="E1950" s="627"/>
    </row>
    <row r="1951" spans="1:5" s="618" customFormat="1" ht="21.75" customHeight="1">
      <c r="A1951" s="619"/>
      <c r="B1951" s="622"/>
      <c r="C1951" s="622"/>
      <c r="D1951" s="622"/>
      <c r="E1951" s="627"/>
    </row>
    <row r="1952" spans="1:5" s="618" customFormat="1" ht="21.75" customHeight="1">
      <c r="A1952" s="619"/>
      <c r="B1952" s="622"/>
      <c r="C1952" s="622"/>
      <c r="D1952" s="622"/>
      <c r="E1952" s="627"/>
    </row>
    <row r="1953" spans="1:13" s="618" customFormat="1" ht="21.75" customHeight="1">
      <c r="A1953" s="619"/>
      <c r="B1953" s="622"/>
      <c r="C1953" s="622"/>
      <c r="D1953" s="622"/>
      <c r="E1953" s="627"/>
    </row>
    <row r="1954" spans="1:13" s="618" customFormat="1" ht="21.75" customHeight="1">
      <c r="A1954" s="619"/>
      <c r="B1954" s="622"/>
      <c r="C1954" s="622"/>
      <c r="D1954" s="622"/>
      <c r="E1954" s="627"/>
    </row>
    <row r="1955" spans="1:13" ht="21.75" customHeight="1">
      <c r="A1955" s="619"/>
      <c r="B1955" s="622"/>
      <c r="C1955" s="622"/>
      <c r="D1955" s="622"/>
      <c r="E1955" s="627"/>
      <c r="F1955" s="618"/>
      <c r="G1955" s="618"/>
      <c r="H1955" s="618"/>
      <c r="I1955" s="618"/>
      <c r="J1955" s="618"/>
      <c r="K1955" s="618"/>
      <c r="L1955" s="618"/>
      <c r="M1955" s="618"/>
    </row>
    <row r="1956" spans="1:13" ht="21.75" customHeight="1">
      <c r="A1956" s="619"/>
      <c r="B1956" s="622"/>
      <c r="C1956" s="622"/>
      <c r="D1956" s="622"/>
      <c r="E1956" s="627"/>
      <c r="F1956" s="618"/>
      <c r="G1956" s="618"/>
      <c r="H1956" s="618"/>
      <c r="I1956" s="618"/>
      <c r="J1956" s="618"/>
      <c r="K1956" s="618"/>
      <c r="L1956" s="618"/>
      <c r="M1956" s="618"/>
    </row>
    <row r="1957" spans="1:13" ht="21.75" customHeight="1">
      <c r="A1957" s="619"/>
      <c r="B1957" s="622"/>
      <c r="C1957" s="622"/>
      <c r="D1957" s="622"/>
      <c r="E1957" s="627"/>
      <c r="F1957" s="618"/>
      <c r="G1957" s="618"/>
      <c r="H1957" s="618"/>
      <c r="I1957" s="618"/>
      <c r="J1957" s="618"/>
      <c r="K1957" s="618"/>
      <c r="L1957" s="618"/>
      <c r="M1957" s="618"/>
    </row>
    <row r="1958" spans="1:13" ht="21.75" customHeight="1">
      <c r="A1958" s="619"/>
      <c r="B1958" s="622"/>
      <c r="C1958" s="622"/>
      <c r="D1958" s="622"/>
      <c r="E1958" s="627"/>
      <c r="F1958" s="618"/>
      <c r="G1958" s="618"/>
      <c r="H1958" s="618"/>
      <c r="I1958" s="618"/>
      <c r="J1958" s="618"/>
      <c r="K1958" s="618"/>
      <c r="L1958" s="618"/>
      <c r="M1958" s="618"/>
    </row>
    <row r="1959" spans="1:13" ht="21.75" customHeight="1">
      <c r="A1959" s="619"/>
      <c r="B1959" s="622"/>
      <c r="C1959" s="622"/>
      <c r="D1959" s="622"/>
      <c r="E1959" s="627"/>
      <c r="F1959" s="618"/>
      <c r="G1959" s="618"/>
      <c r="H1959" s="618"/>
      <c r="I1959" s="618"/>
      <c r="J1959" s="618"/>
      <c r="K1959" s="618"/>
      <c r="L1959" s="618"/>
      <c r="M1959" s="618"/>
    </row>
    <row r="1960" spans="1:13" ht="21.75" customHeight="1">
      <c r="A1960" s="619"/>
      <c r="B1960" s="622"/>
      <c r="C1960" s="622"/>
      <c r="D1960" s="622"/>
      <c r="E1960" s="627"/>
      <c r="F1960" s="618"/>
      <c r="G1960" s="618"/>
      <c r="H1960" s="618"/>
      <c r="I1960" s="618"/>
      <c r="J1960" s="618"/>
      <c r="K1960" s="618"/>
      <c r="L1960" s="618"/>
      <c r="M1960" s="618"/>
    </row>
  </sheetData>
  <mergeCells count="2">
    <mergeCell ref="A2:M2"/>
    <mergeCell ref="A3:M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T69"/>
  <sheetViews>
    <sheetView workbookViewId="0">
      <selection activeCell="H28" sqref="H28"/>
    </sheetView>
  </sheetViews>
  <sheetFormatPr defaultRowHeight="15"/>
  <cols>
    <col min="1" max="1" width="32.42578125" style="68" customWidth="1"/>
    <col min="2" max="2" width="19.7109375" style="68" customWidth="1"/>
    <col min="3" max="3" width="18" style="68" customWidth="1"/>
    <col min="4" max="4" width="14.28515625" style="68" customWidth="1"/>
    <col min="5" max="5" width="29.28515625" style="68" customWidth="1"/>
    <col min="6" max="6" width="14.85546875" style="68" customWidth="1"/>
    <col min="7" max="7" width="5.85546875" style="68" customWidth="1"/>
    <col min="8" max="8" width="35.42578125" style="68" customWidth="1"/>
    <col min="9" max="13" width="5.85546875" style="68" customWidth="1"/>
    <col min="14" max="14" width="9.140625" style="68"/>
    <col min="15" max="15" width="9.140625" style="68" customWidth="1"/>
    <col min="16" max="16" width="14.140625" style="68" customWidth="1"/>
    <col min="17" max="17" width="27.140625" style="68" customWidth="1"/>
    <col min="18" max="18" width="16.5703125" style="68" customWidth="1"/>
    <col min="19" max="21" width="9.140625" style="68"/>
    <col min="22" max="23" width="10" style="68" customWidth="1"/>
    <col min="24" max="24" width="9.140625" style="68"/>
    <col min="25" max="26" width="12.28515625" style="68" customWidth="1"/>
    <col min="27" max="259" width="9.140625" style="68"/>
    <col min="260" max="260" width="32.42578125" style="68" customWidth="1"/>
    <col min="261" max="261" width="19.7109375" style="68" customWidth="1"/>
    <col min="262" max="262" width="18" style="68" customWidth="1"/>
    <col min="263" max="263" width="14.28515625" style="68" customWidth="1"/>
    <col min="264" max="264" width="29.28515625" style="68" customWidth="1"/>
    <col min="265" max="265" width="14.85546875" style="68" customWidth="1"/>
    <col min="266" max="269" width="5.85546875" style="68" customWidth="1"/>
    <col min="270" max="270" width="9.140625" style="68"/>
    <col min="271" max="271" width="9.140625" style="68" customWidth="1"/>
    <col min="272" max="272" width="14.140625" style="68" customWidth="1"/>
    <col min="273" max="273" width="27.140625" style="68" customWidth="1"/>
    <col min="274" max="274" width="16.5703125" style="68" customWidth="1"/>
    <col min="275" max="277" width="9.140625" style="68"/>
    <col min="278" max="279" width="10" style="68" customWidth="1"/>
    <col min="280" max="280" width="9.140625" style="68"/>
    <col min="281" max="282" width="12.28515625" style="68" customWidth="1"/>
    <col min="283" max="515" width="9.140625" style="68"/>
    <col min="516" max="516" width="32.42578125" style="68" customWidth="1"/>
    <col min="517" max="517" width="19.7109375" style="68" customWidth="1"/>
    <col min="518" max="518" width="18" style="68" customWidth="1"/>
    <col min="519" max="519" width="14.28515625" style="68" customWidth="1"/>
    <col min="520" max="520" width="29.28515625" style="68" customWidth="1"/>
    <col min="521" max="521" width="14.85546875" style="68" customWidth="1"/>
    <col min="522" max="525" width="5.85546875" style="68" customWidth="1"/>
    <col min="526" max="526" width="9.140625" style="68"/>
    <col min="527" max="527" width="9.140625" style="68" customWidth="1"/>
    <col min="528" max="528" width="14.140625" style="68" customWidth="1"/>
    <col min="529" max="529" width="27.140625" style="68" customWidth="1"/>
    <col min="530" max="530" width="16.5703125" style="68" customWidth="1"/>
    <col min="531" max="533" width="9.140625" style="68"/>
    <col min="534" max="535" width="10" style="68" customWidth="1"/>
    <col min="536" max="536" width="9.140625" style="68"/>
    <col min="537" max="538" width="12.28515625" style="68" customWidth="1"/>
    <col min="539" max="771" width="9.140625" style="68"/>
    <col min="772" max="772" width="32.42578125" style="68" customWidth="1"/>
    <col min="773" max="773" width="19.7109375" style="68" customWidth="1"/>
    <col min="774" max="774" width="18" style="68" customWidth="1"/>
    <col min="775" max="775" width="14.28515625" style="68" customWidth="1"/>
    <col min="776" max="776" width="29.28515625" style="68" customWidth="1"/>
    <col min="777" max="777" width="14.85546875" style="68" customWidth="1"/>
    <col min="778" max="781" width="5.85546875" style="68" customWidth="1"/>
    <col min="782" max="782" width="9.140625" style="68"/>
    <col min="783" max="783" width="9.140625" style="68" customWidth="1"/>
    <col min="784" max="784" width="14.140625" style="68" customWidth="1"/>
    <col min="785" max="785" width="27.140625" style="68" customWidth="1"/>
    <col min="786" max="786" width="16.5703125" style="68" customWidth="1"/>
    <col min="787" max="789" width="9.140625" style="68"/>
    <col min="790" max="791" width="10" style="68" customWidth="1"/>
    <col min="792" max="792" width="9.140625" style="68"/>
    <col min="793" max="794" width="12.28515625" style="68" customWidth="1"/>
    <col min="795" max="1027" width="9.140625" style="68"/>
    <col min="1028" max="1028" width="32.42578125" style="68" customWidth="1"/>
    <col min="1029" max="1029" width="19.7109375" style="68" customWidth="1"/>
    <col min="1030" max="1030" width="18" style="68" customWidth="1"/>
    <col min="1031" max="1031" width="14.28515625" style="68" customWidth="1"/>
    <col min="1032" max="1032" width="29.28515625" style="68" customWidth="1"/>
    <col min="1033" max="1033" width="14.85546875" style="68" customWidth="1"/>
    <col min="1034" max="1037" width="5.85546875" style="68" customWidth="1"/>
    <col min="1038" max="1038" width="9.140625" style="68"/>
    <col min="1039" max="1039" width="9.140625" style="68" customWidth="1"/>
    <col min="1040" max="1040" width="14.140625" style="68" customWidth="1"/>
    <col min="1041" max="1041" width="27.140625" style="68" customWidth="1"/>
    <col min="1042" max="1042" width="16.5703125" style="68" customWidth="1"/>
    <col min="1043" max="1045" width="9.140625" style="68"/>
    <col min="1046" max="1047" width="10" style="68" customWidth="1"/>
    <col min="1048" max="1048" width="9.140625" style="68"/>
    <col min="1049" max="1050" width="12.28515625" style="68" customWidth="1"/>
    <col min="1051" max="1283" width="9.140625" style="68"/>
    <col min="1284" max="1284" width="32.42578125" style="68" customWidth="1"/>
    <col min="1285" max="1285" width="19.7109375" style="68" customWidth="1"/>
    <col min="1286" max="1286" width="18" style="68" customWidth="1"/>
    <col min="1287" max="1287" width="14.28515625" style="68" customWidth="1"/>
    <col min="1288" max="1288" width="29.28515625" style="68" customWidth="1"/>
    <col min="1289" max="1289" width="14.85546875" style="68" customWidth="1"/>
    <col min="1290" max="1293" width="5.85546875" style="68" customWidth="1"/>
    <col min="1294" max="1294" width="9.140625" style="68"/>
    <col min="1295" max="1295" width="9.140625" style="68" customWidth="1"/>
    <col min="1296" max="1296" width="14.140625" style="68" customWidth="1"/>
    <col min="1297" max="1297" width="27.140625" style="68" customWidth="1"/>
    <col min="1298" max="1298" width="16.5703125" style="68" customWidth="1"/>
    <col min="1299" max="1301" width="9.140625" style="68"/>
    <col min="1302" max="1303" width="10" style="68" customWidth="1"/>
    <col min="1304" max="1304" width="9.140625" style="68"/>
    <col min="1305" max="1306" width="12.28515625" style="68" customWidth="1"/>
    <col min="1307" max="1539" width="9.140625" style="68"/>
    <col min="1540" max="1540" width="32.42578125" style="68" customWidth="1"/>
    <col min="1541" max="1541" width="19.7109375" style="68" customWidth="1"/>
    <col min="1542" max="1542" width="18" style="68" customWidth="1"/>
    <col min="1543" max="1543" width="14.28515625" style="68" customWidth="1"/>
    <col min="1544" max="1544" width="29.28515625" style="68" customWidth="1"/>
    <col min="1545" max="1545" width="14.85546875" style="68" customWidth="1"/>
    <col min="1546" max="1549" width="5.85546875" style="68" customWidth="1"/>
    <col min="1550" max="1550" width="9.140625" style="68"/>
    <col min="1551" max="1551" width="9.140625" style="68" customWidth="1"/>
    <col min="1552" max="1552" width="14.140625" style="68" customWidth="1"/>
    <col min="1553" max="1553" width="27.140625" style="68" customWidth="1"/>
    <col min="1554" max="1554" width="16.5703125" style="68" customWidth="1"/>
    <col min="1555" max="1557" width="9.140625" style="68"/>
    <col min="1558" max="1559" width="10" style="68" customWidth="1"/>
    <col min="1560" max="1560" width="9.140625" style="68"/>
    <col min="1561" max="1562" width="12.28515625" style="68" customWidth="1"/>
    <col min="1563" max="1795" width="9.140625" style="68"/>
    <col min="1796" max="1796" width="32.42578125" style="68" customWidth="1"/>
    <col min="1797" max="1797" width="19.7109375" style="68" customWidth="1"/>
    <col min="1798" max="1798" width="18" style="68" customWidth="1"/>
    <col min="1799" max="1799" width="14.28515625" style="68" customWidth="1"/>
    <col min="1800" max="1800" width="29.28515625" style="68" customWidth="1"/>
    <col min="1801" max="1801" width="14.85546875" style="68" customWidth="1"/>
    <col min="1802" max="1805" width="5.85546875" style="68" customWidth="1"/>
    <col min="1806" max="1806" width="9.140625" style="68"/>
    <col min="1807" max="1807" width="9.140625" style="68" customWidth="1"/>
    <col min="1808" max="1808" width="14.140625" style="68" customWidth="1"/>
    <col min="1809" max="1809" width="27.140625" style="68" customWidth="1"/>
    <col min="1810" max="1810" width="16.5703125" style="68" customWidth="1"/>
    <col min="1811" max="1813" width="9.140625" style="68"/>
    <col min="1814" max="1815" width="10" style="68" customWidth="1"/>
    <col min="1816" max="1816" width="9.140625" style="68"/>
    <col min="1817" max="1818" width="12.28515625" style="68" customWidth="1"/>
    <col min="1819" max="2051" width="9.140625" style="68"/>
    <col min="2052" max="2052" width="32.42578125" style="68" customWidth="1"/>
    <col min="2053" max="2053" width="19.7109375" style="68" customWidth="1"/>
    <col min="2054" max="2054" width="18" style="68" customWidth="1"/>
    <col min="2055" max="2055" width="14.28515625" style="68" customWidth="1"/>
    <col min="2056" max="2056" width="29.28515625" style="68" customWidth="1"/>
    <col min="2057" max="2057" width="14.85546875" style="68" customWidth="1"/>
    <col min="2058" max="2061" width="5.85546875" style="68" customWidth="1"/>
    <col min="2062" max="2062" width="9.140625" style="68"/>
    <col min="2063" max="2063" width="9.140625" style="68" customWidth="1"/>
    <col min="2064" max="2064" width="14.140625" style="68" customWidth="1"/>
    <col min="2065" max="2065" width="27.140625" style="68" customWidth="1"/>
    <col min="2066" max="2066" width="16.5703125" style="68" customWidth="1"/>
    <col min="2067" max="2069" width="9.140625" style="68"/>
    <col min="2070" max="2071" width="10" style="68" customWidth="1"/>
    <col min="2072" max="2072" width="9.140625" style="68"/>
    <col min="2073" max="2074" width="12.28515625" style="68" customWidth="1"/>
    <col min="2075" max="2307" width="9.140625" style="68"/>
    <col min="2308" max="2308" width="32.42578125" style="68" customWidth="1"/>
    <col min="2309" max="2309" width="19.7109375" style="68" customWidth="1"/>
    <col min="2310" max="2310" width="18" style="68" customWidth="1"/>
    <col min="2311" max="2311" width="14.28515625" style="68" customWidth="1"/>
    <col min="2312" max="2312" width="29.28515625" style="68" customWidth="1"/>
    <col min="2313" max="2313" width="14.85546875" style="68" customWidth="1"/>
    <col min="2314" max="2317" width="5.85546875" style="68" customWidth="1"/>
    <col min="2318" max="2318" width="9.140625" style="68"/>
    <col min="2319" max="2319" width="9.140625" style="68" customWidth="1"/>
    <col min="2320" max="2320" width="14.140625" style="68" customWidth="1"/>
    <col min="2321" max="2321" width="27.140625" style="68" customWidth="1"/>
    <col min="2322" max="2322" width="16.5703125" style="68" customWidth="1"/>
    <col min="2323" max="2325" width="9.140625" style="68"/>
    <col min="2326" max="2327" width="10" style="68" customWidth="1"/>
    <col min="2328" max="2328" width="9.140625" style="68"/>
    <col min="2329" max="2330" width="12.28515625" style="68" customWidth="1"/>
    <col min="2331" max="2563" width="9.140625" style="68"/>
    <col min="2564" max="2564" width="32.42578125" style="68" customWidth="1"/>
    <col min="2565" max="2565" width="19.7109375" style="68" customWidth="1"/>
    <col min="2566" max="2566" width="18" style="68" customWidth="1"/>
    <col min="2567" max="2567" width="14.28515625" style="68" customWidth="1"/>
    <col min="2568" max="2568" width="29.28515625" style="68" customWidth="1"/>
    <col min="2569" max="2569" width="14.85546875" style="68" customWidth="1"/>
    <col min="2570" max="2573" width="5.85546875" style="68" customWidth="1"/>
    <col min="2574" max="2574" width="9.140625" style="68"/>
    <col min="2575" max="2575" width="9.140625" style="68" customWidth="1"/>
    <col min="2576" max="2576" width="14.140625" style="68" customWidth="1"/>
    <col min="2577" max="2577" width="27.140625" style="68" customWidth="1"/>
    <col min="2578" max="2578" width="16.5703125" style="68" customWidth="1"/>
    <col min="2579" max="2581" width="9.140625" style="68"/>
    <col min="2582" max="2583" width="10" style="68" customWidth="1"/>
    <col min="2584" max="2584" width="9.140625" style="68"/>
    <col min="2585" max="2586" width="12.28515625" style="68" customWidth="1"/>
    <col min="2587" max="2819" width="9.140625" style="68"/>
    <col min="2820" max="2820" width="32.42578125" style="68" customWidth="1"/>
    <col min="2821" max="2821" width="19.7109375" style="68" customWidth="1"/>
    <col min="2822" max="2822" width="18" style="68" customWidth="1"/>
    <col min="2823" max="2823" width="14.28515625" style="68" customWidth="1"/>
    <col min="2824" max="2824" width="29.28515625" style="68" customWidth="1"/>
    <col min="2825" max="2825" width="14.85546875" style="68" customWidth="1"/>
    <col min="2826" max="2829" width="5.85546875" style="68" customWidth="1"/>
    <col min="2830" max="2830" width="9.140625" style="68"/>
    <col min="2831" max="2831" width="9.140625" style="68" customWidth="1"/>
    <col min="2832" max="2832" width="14.140625" style="68" customWidth="1"/>
    <col min="2833" max="2833" width="27.140625" style="68" customWidth="1"/>
    <col min="2834" max="2834" width="16.5703125" style="68" customWidth="1"/>
    <col min="2835" max="2837" width="9.140625" style="68"/>
    <col min="2838" max="2839" width="10" style="68" customWidth="1"/>
    <col min="2840" max="2840" width="9.140625" style="68"/>
    <col min="2841" max="2842" width="12.28515625" style="68" customWidth="1"/>
    <col min="2843" max="3075" width="9.140625" style="68"/>
    <col min="3076" max="3076" width="32.42578125" style="68" customWidth="1"/>
    <col min="3077" max="3077" width="19.7109375" style="68" customWidth="1"/>
    <col min="3078" max="3078" width="18" style="68" customWidth="1"/>
    <col min="3079" max="3079" width="14.28515625" style="68" customWidth="1"/>
    <col min="3080" max="3080" width="29.28515625" style="68" customWidth="1"/>
    <col min="3081" max="3081" width="14.85546875" style="68" customWidth="1"/>
    <col min="3082" max="3085" width="5.85546875" style="68" customWidth="1"/>
    <col min="3086" max="3086" width="9.140625" style="68"/>
    <col min="3087" max="3087" width="9.140625" style="68" customWidth="1"/>
    <col min="3088" max="3088" width="14.140625" style="68" customWidth="1"/>
    <col min="3089" max="3089" width="27.140625" style="68" customWidth="1"/>
    <col min="3090" max="3090" width="16.5703125" style="68" customWidth="1"/>
    <col min="3091" max="3093" width="9.140625" style="68"/>
    <col min="3094" max="3095" width="10" style="68" customWidth="1"/>
    <col min="3096" max="3096" width="9.140625" style="68"/>
    <col min="3097" max="3098" width="12.28515625" style="68" customWidth="1"/>
    <col min="3099" max="3331" width="9.140625" style="68"/>
    <col min="3332" max="3332" width="32.42578125" style="68" customWidth="1"/>
    <col min="3333" max="3333" width="19.7109375" style="68" customWidth="1"/>
    <col min="3334" max="3334" width="18" style="68" customWidth="1"/>
    <col min="3335" max="3335" width="14.28515625" style="68" customWidth="1"/>
    <col min="3336" max="3336" width="29.28515625" style="68" customWidth="1"/>
    <col min="3337" max="3337" width="14.85546875" style="68" customWidth="1"/>
    <col min="3338" max="3341" width="5.85546875" style="68" customWidth="1"/>
    <col min="3342" max="3342" width="9.140625" style="68"/>
    <col min="3343" max="3343" width="9.140625" style="68" customWidth="1"/>
    <col min="3344" max="3344" width="14.140625" style="68" customWidth="1"/>
    <col min="3345" max="3345" width="27.140625" style="68" customWidth="1"/>
    <col min="3346" max="3346" width="16.5703125" style="68" customWidth="1"/>
    <col min="3347" max="3349" width="9.140625" style="68"/>
    <col min="3350" max="3351" width="10" style="68" customWidth="1"/>
    <col min="3352" max="3352" width="9.140625" style="68"/>
    <col min="3353" max="3354" width="12.28515625" style="68" customWidth="1"/>
    <col min="3355" max="3587" width="9.140625" style="68"/>
    <col min="3588" max="3588" width="32.42578125" style="68" customWidth="1"/>
    <col min="3589" max="3589" width="19.7109375" style="68" customWidth="1"/>
    <col min="3590" max="3590" width="18" style="68" customWidth="1"/>
    <col min="3591" max="3591" width="14.28515625" style="68" customWidth="1"/>
    <col min="3592" max="3592" width="29.28515625" style="68" customWidth="1"/>
    <col min="3593" max="3593" width="14.85546875" style="68" customWidth="1"/>
    <col min="3594" max="3597" width="5.85546875" style="68" customWidth="1"/>
    <col min="3598" max="3598" width="9.140625" style="68"/>
    <col min="3599" max="3599" width="9.140625" style="68" customWidth="1"/>
    <col min="3600" max="3600" width="14.140625" style="68" customWidth="1"/>
    <col min="3601" max="3601" width="27.140625" style="68" customWidth="1"/>
    <col min="3602" max="3602" width="16.5703125" style="68" customWidth="1"/>
    <col min="3603" max="3605" width="9.140625" style="68"/>
    <col min="3606" max="3607" width="10" style="68" customWidth="1"/>
    <col min="3608" max="3608" width="9.140625" style="68"/>
    <col min="3609" max="3610" width="12.28515625" style="68" customWidth="1"/>
    <col min="3611" max="3843" width="9.140625" style="68"/>
    <col min="3844" max="3844" width="32.42578125" style="68" customWidth="1"/>
    <col min="3845" max="3845" width="19.7109375" style="68" customWidth="1"/>
    <col min="3846" max="3846" width="18" style="68" customWidth="1"/>
    <col min="3847" max="3847" width="14.28515625" style="68" customWidth="1"/>
    <col min="3848" max="3848" width="29.28515625" style="68" customWidth="1"/>
    <col min="3849" max="3849" width="14.85546875" style="68" customWidth="1"/>
    <col min="3850" max="3853" width="5.85546875" style="68" customWidth="1"/>
    <col min="3854" max="3854" width="9.140625" style="68"/>
    <col min="3855" max="3855" width="9.140625" style="68" customWidth="1"/>
    <col min="3856" max="3856" width="14.140625" style="68" customWidth="1"/>
    <col min="3857" max="3857" width="27.140625" style="68" customWidth="1"/>
    <col min="3858" max="3858" width="16.5703125" style="68" customWidth="1"/>
    <col min="3859" max="3861" width="9.140625" style="68"/>
    <col min="3862" max="3863" width="10" style="68" customWidth="1"/>
    <col min="3864" max="3864" width="9.140625" style="68"/>
    <col min="3865" max="3866" width="12.28515625" style="68" customWidth="1"/>
    <col min="3867" max="4099" width="9.140625" style="68"/>
    <col min="4100" max="4100" width="32.42578125" style="68" customWidth="1"/>
    <col min="4101" max="4101" width="19.7109375" style="68" customWidth="1"/>
    <col min="4102" max="4102" width="18" style="68" customWidth="1"/>
    <col min="4103" max="4103" width="14.28515625" style="68" customWidth="1"/>
    <col min="4104" max="4104" width="29.28515625" style="68" customWidth="1"/>
    <col min="4105" max="4105" width="14.85546875" style="68" customWidth="1"/>
    <col min="4106" max="4109" width="5.85546875" style="68" customWidth="1"/>
    <col min="4110" max="4110" width="9.140625" style="68"/>
    <col min="4111" max="4111" width="9.140625" style="68" customWidth="1"/>
    <col min="4112" max="4112" width="14.140625" style="68" customWidth="1"/>
    <col min="4113" max="4113" width="27.140625" style="68" customWidth="1"/>
    <col min="4114" max="4114" width="16.5703125" style="68" customWidth="1"/>
    <col min="4115" max="4117" width="9.140625" style="68"/>
    <col min="4118" max="4119" width="10" style="68" customWidth="1"/>
    <col min="4120" max="4120" width="9.140625" style="68"/>
    <col min="4121" max="4122" width="12.28515625" style="68" customWidth="1"/>
    <col min="4123" max="4355" width="9.140625" style="68"/>
    <col min="4356" max="4356" width="32.42578125" style="68" customWidth="1"/>
    <col min="4357" max="4357" width="19.7109375" style="68" customWidth="1"/>
    <col min="4358" max="4358" width="18" style="68" customWidth="1"/>
    <col min="4359" max="4359" width="14.28515625" style="68" customWidth="1"/>
    <col min="4360" max="4360" width="29.28515625" style="68" customWidth="1"/>
    <col min="4361" max="4361" width="14.85546875" style="68" customWidth="1"/>
    <col min="4362" max="4365" width="5.85546875" style="68" customWidth="1"/>
    <col min="4366" max="4366" width="9.140625" style="68"/>
    <col min="4367" max="4367" width="9.140625" style="68" customWidth="1"/>
    <col min="4368" max="4368" width="14.140625" style="68" customWidth="1"/>
    <col min="4369" max="4369" width="27.140625" style="68" customWidth="1"/>
    <col min="4370" max="4370" width="16.5703125" style="68" customWidth="1"/>
    <col min="4371" max="4373" width="9.140625" style="68"/>
    <col min="4374" max="4375" width="10" style="68" customWidth="1"/>
    <col min="4376" max="4376" width="9.140625" style="68"/>
    <col min="4377" max="4378" width="12.28515625" style="68" customWidth="1"/>
    <col min="4379" max="4611" width="9.140625" style="68"/>
    <col min="4612" max="4612" width="32.42578125" style="68" customWidth="1"/>
    <col min="4613" max="4613" width="19.7109375" style="68" customWidth="1"/>
    <col min="4614" max="4614" width="18" style="68" customWidth="1"/>
    <col min="4615" max="4615" width="14.28515625" style="68" customWidth="1"/>
    <col min="4616" max="4616" width="29.28515625" style="68" customWidth="1"/>
    <col min="4617" max="4617" width="14.85546875" style="68" customWidth="1"/>
    <col min="4618" max="4621" width="5.85546875" style="68" customWidth="1"/>
    <col min="4622" max="4622" width="9.140625" style="68"/>
    <col min="4623" max="4623" width="9.140625" style="68" customWidth="1"/>
    <col min="4624" max="4624" width="14.140625" style="68" customWidth="1"/>
    <col min="4625" max="4625" width="27.140625" style="68" customWidth="1"/>
    <col min="4626" max="4626" width="16.5703125" style="68" customWidth="1"/>
    <col min="4627" max="4629" width="9.140625" style="68"/>
    <col min="4630" max="4631" width="10" style="68" customWidth="1"/>
    <col min="4632" max="4632" width="9.140625" style="68"/>
    <col min="4633" max="4634" width="12.28515625" style="68" customWidth="1"/>
    <col min="4635" max="4867" width="9.140625" style="68"/>
    <col min="4868" max="4868" width="32.42578125" style="68" customWidth="1"/>
    <col min="4869" max="4869" width="19.7109375" style="68" customWidth="1"/>
    <col min="4870" max="4870" width="18" style="68" customWidth="1"/>
    <col min="4871" max="4871" width="14.28515625" style="68" customWidth="1"/>
    <col min="4872" max="4872" width="29.28515625" style="68" customWidth="1"/>
    <col min="4873" max="4873" width="14.85546875" style="68" customWidth="1"/>
    <col min="4874" max="4877" width="5.85546875" style="68" customWidth="1"/>
    <col min="4878" max="4878" width="9.140625" style="68"/>
    <col min="4879" max="4879" width="9.140625" style="68" customWidth="1"/>
    <col min="4880" max="4880" width="14.140625" style="68" customWidth="1"/>
    <col min="4881" max="4881" width="27.140625" style="68" customWidth="1"/>
    <col min="4882" max="4882" width="16.5703125" style="68" customWidth="1"/>
    <col min="4883" max="4885" width="9.140625" style="68"/>
    <col min="4886" max="4887" width="10" style="68" customWidth="1"/>
    <col min="4888" max="4888" width="9.140625" style="68"/>
    <col min="4889" max="4890" width="12.28515625" style="68" customWidth="1"/>
    <col min="4891" max="5123" width="9.140625" style="68"/>
    <col min="5124" max="5124" width="32.42578125" style="68" customWidth="1"/>
    <col min="5125" max="5125" width="19.7109375" style="68" customWidth="1"/>
    <col min="5126" max="5126" width="18" style="68" customWidth="1"/>
    <col min="5127" max="5127" width="14.28515625" style="68" customWidth="1"/>
    <col min="5128" max="5128" width="29.28515625" style="68" customWidth="1"/>
    <col min="5129" max="5129" width="14.85546875" style="68" customWidth="1"/>
    <col min="5130" max="5133" width="5.85546875" style="68" customWidth="1"/>
    <col min="5134" max="5134" width="9.140625" style="68"/>
    <col min="5135" max="5135" width="9.140625" style="68" customWidth="1"/>
    <col min="5136" max="5136" width="14.140625" style="68" customWidth="1"/>
    <col min="5137" max="5137" width="27.140625" style="68" customWidth="1"/>
    <col min="5138" max="5138" width="16.5703125" style="68" customWidth="1"/>
    <col min="5139" max="5141" width="9.140625" style="68"/>
    <col min="5142" max="5143" width="10" style="68" customWidth="1"/>
    <col min="5144" max="5144" width="9.140625" style="68"/>
    <col min="5145" max="5146" width="12.28515625" style="68" customWidth="1"/>
    <col min="5147" max="5379" width="9.140625" style="68"/>
    <col min="5380" max="5380" width="32.42578125" style="68" customWidth="1"/>
    <col min="5381" max="5381" width="19.7109375" style="68" customWidth="1"/>
    <col min="5382" max="5382" width="18" style="68" customWidth="1"/>
    <col min="5383" max="5383" width="14.28515625" style="68" customWidth="1"/>
    <col min="5384" max="5384" width="29.28515625" style="68" customWidth="1"/>
    <col min="5385" max="5385" width="14.85546875" style="68" customWidth="1"/>
    <col min="5386" max="5389" width="5.85546875" style="68" customWidth="1"/>
    <col min="5390" max="5390" width="9.140625" style="68"/>
    <col min="5391" max="5391" width="9.140625" style="68" customWidth="1"/>
    <col min="5392" max="5392" width="14.140625" style="68" customWidth="1"/>
    <col min="5393" max="5393" width="27.140625" style="68" customWidth="1"/>
    <col min="5394" max="5394" width="16.5703125" style="68" customWidth="1"/>
    <col min="5395" max="5397" width="9.140625" style="68"/>
    <col min="5398" max="5399" width="10" style="68" customWidth="1"/>
    <col min="5400" max="5400" width="9.140625" style="68"/>
    <col min="5401" max="5402" width="12.28515625" style="68" customWidth="1"/>
    <col min="5403" max="5635" width="9.140625" style="68"/>
    <col min="5636" max="5636" width="32.42578125" style="68" customWidth="1"/>
    <col min="5637" max="5637" width="19.7109375" style="68" customWidth="1"/>
    <col min="5638" max="5638" width="18" style="68" customWidth="1"/>
    <col min="5639" max="5639" width="14.28515625" style="68" customWidth="1"/>
    <col min="5640" max="5640" width="29.28515625" style="68" customWidth="1"/>
    <col min="5641" max="5641" width="14.85546875" style="68" customWidth="1"/>
    <col min="5642" max="5645" width="5.85546875" style="68" customWidth="1"/>
    <col min="5646" max="5646" width="9.140625" style="68"/>
    <col min="5647" max="5647" width="9.140625" style="68" customWidth="1"/>
    <col min="5648" max="5648" width="14.140625" style="68" customWidth="1"/>
    <col min="5649" max="5649" width="27.140625" style="68" customWidth="1"/>
    <col min="5650" max="5650" width="16.5703125" style="68" customWidth="1"/>
    <col min="5651" max="5653" width="9.140625" style="68"/>
    <col min="5654" max="5655" width="10" style="68" customWidth="1"/>
    <col min="5656" max="5656" width="9.140625" style="68"/>
    <col min="5657" max="5658" width="12.28515625" style="68" customWidth="1"/>
    <col min="5659" max="5891" width="9.140625" style="68"/>
    <col min="5892" max="5892" width="32.42578125" style="68" customWidth="1"/>
    <col min="5893" max="5893" width="19.7109375" style="68" customWidth="1"/>
    <col min="5894" max="5894" width="18" style="68" customWidth="1"/>
    <col min="5895" max="5895" width="14.28515625" style="68" customWidth="1"/>
    <col min="5896" max="5896" width="29.28515625" style="68" customWidth="1"/>
    <col min="5897" max="5897" width="14.85546875" style="68" customWidth="1"/>
    <col min="5898" max="5901" width="5.85546875" style="68" customWidth="1"/>
    <col min="5902" max="5902" width="9.140625" style="68"/>
    <col min="5903" max="5903" width="9.140625" style="68" customWidth="1"/>
    <col min="5904" max="5904" width="14.140625" style="68" customWidth="1"/>
    <col min="5905" max="5905" width="27.140625" style="68" customWidth="1"/>
    <col min="5906" max="5906" width="16.5703125" style="68" customWidth="1"/>
    <col min="5907" max="5909" width="9.140625" style="68"/>
    <col min="5910" max="5911" width="10" style="68" customWidth="1"/>
    <col min="5912" max="5912" width="9.140625" style="68"/>
    <col min="5913" max="5914" width="12.28515625" style="68" customWidth="1"/>
    <col min="5915" max="6147" width="9.140625" style="68"/>
    <col min="6148" max="6148" width="32.42578125" style="68" customWidth="1"/>
    <col min="6149" max="6149" width="19.7109375" style="68" customWidth="1"/>
    <col min="6150" max="6150" width="18" style="68" customWidth="1"/>
    <col min="6151" max="6151" width="14.28515625" style="68" customWidth="1"/>
    <col min="6152" max="6152" width="29.28515625" style="68" customWidth="1"/>
    <col min="6153" max="6153" width="14.85546875" style="68" customWidth="1"/>
    <col min="6154" max="6157" width="5.85546875" style="68" customWidth="1"/>
    <col min="6158" max="6158" width="9.140625" style="68"/>
    <col min="6159" max="6159" width="9.140625" style="68" customWidth="1"/>
    <col min="6160" max="6160" width="14.140625" style="68" customWidth="1"/>
    <col min="6161" max="6161" width="27.140625" style="68" customWidth="1"/>
    <col min="6162" max="6162" width="16.5703125" style="68" customWidth="1"/>
    <col min="6163" max="6165" width="9.140625" style="68"/>
    <col min="6166" max="6167" width="10" style="68" customWidth="1"/>
    <col min="6168" max="6168" width="9.140625" style="68"/>
    <col min="6169" max="6170" width="12.28515625" style="68" customWidth="1"/>
    <col min="6171" max="6403" width="9.140625" style="68"/>
    <col min="6404" max="6404" width="32.42578125" style="68" customWidth="1"/>
    <col min="6405" max="6405" width="19.7109375" style="68" customWidth="1"/>
    <col min="6406" max="6406" width="18" style="68" customWidth="1"/>
    <col min="6407" max="6407" width="14.28515625" style="68" customWidth="1"/>
    <col min="6408" max="6408" width="29.28515625" style="68" customWidth="1"/>
    <col min="6409" max="6409" width="14.85546875" style="68" customWidth="1"/>
    <col min="6410" max="6413" width="5.85546875" style="68" customWidth="1"/>
    <col min="6414" max="6414" width="9.140625" style="68"/>
    <col min="6415" max="6415" width="9.140625" style="68" customWidth="1"/>
    <col min="6416" max="6416" width="14.140625" style="68" customWidth="1"/>
    <col min="6417" max="6417" width="27.140625" style="68" customWidth="1"/>
    <col min="6418" max="6418" width="16.5703125" style="68" customWidth="1"/>
    <col min="6419" max="6421" width="9.140625" style="68"/>
    <col min="6422" max="6423" width="10" style="68" customWidth="1"/>
    <col min="6424" max="6424" width="9.140625" style="68"/>
    <col min="6425" max="6426" width="12.28515625" style="68" customWidth="1"/>
    <col min="6427" max="6659" width="9.140625" style="68"/>
    <col min="6660" max="6660" width="32.42578125" style="68" customWidth="1"/>
    <col min="6661" max="6661" width="19.7109375" style="68" customWidth="1"/>
    <col min="6662" max="6662" width="18" style="68" customWidth="1"/>
    <col min="6663" max="6663" width="14.28515625" style="68" customWidth="1"/>
    <col min="6664" max="6664" width="29.28515625" style="68" customWidth="1"/>
    <col min="6665" max="6665" width="14.85546875" style="68" customWidth="1"/>
    <col min="6666" max="6669" width="5.85546875" style="68" customWidth="1"/>
    <col min="6670" max="6670" width="9.140625" style="68"/>
    <col min="6671" max="6671" width="9.140625" style="68" customWidth="1"/>
    <col min="6672" max="6672" width="14.140625" style="68" customWidth="1"/>
    <col min="6673" max="6673" width="27.140625" style="68" customWidth="1"/>
    <col min="6674" max="6674" width="16.5703125" style="68" customWidth="1"/>
    <col min="6675" max="6677" width="9.140625" style="68"/>
    <col min="6678" max="6679" width="10" style="68" customWidth="1"/>
    <col min="6680" max="6680" width="9.140625" style="68"/>
    <col min="6681" max="6682" width="12.28515625" style="68" customWidth="1"/>
    <col min="6683" max="6915" width="9.140625" style="68"/>
    <col min="6916" max="6916" width="32.42578125" style="68" customWidth="1"/>
    <col min="6917" max="6917" width="19.7109375" style="68" customWidth="1"/>
    <col min="6918" max="6918" width="18" style="68" customWidth="1"/>
    <col min="6919" max="6919" width="14.28515625" style="68" customWidth="1"/>
    <col min="6920" max="6920" width="29.28515625" style="68" customWidth="1"/>
    <col min="6921" max="6921" width="14.85546875" style="68" customWidth="1"/>
    <col min="6922" max="6925" width="5.85546875" style="68" customWidth="1"/>
    <col min="6926" max="6926" width="9.140625" style="68"/>
    <col min="6927" max="6927" width="9.140625" style="68" customWidth="1"/>
    <col min="6928" max="6928" width="14.140625" style="68" customWidth="1"/>
    <col min="6929" max="6929" width="27.140625" style="68" customWidth="1"/>
    <col min="6930" max="6930" width="16.5703125" style="68" customWidth="1"/>
    <col min="6931" max="6933" width="9.140625" style="68"/>
    <col min="6934" max="6935" width="10" style="68" customWidth="1"/>
    <col min="6936" max="6936" width="9.140625" style="68"/>
    <col min="6937" max="6938" width="12.28515625" style="68" customWidth="1"/>
    <col min="6939" max="7171" width="9.140625" style="68"/>
    <col min="7172" max="7172" width="32.42578125" style="68" customWidth="1"/>
    <col min="7173" max="7173" width="19.7109375" style="68" customWidth="1"/>
    <col min="7174" max="7174" width="18" style="68" customWidth="1"/>
    <col min="7175" max="7175" width="14.28515625" style="68" customWidth="1"/>
    <col min="7176" max="7176" width="29.28515625" style="68" customWidth="1"/>
    <col min="7177" max="7177" width="14.85546875" style="68" customWidth="1"/>
    <col min="7178" max="7181" width="5.85546875" style="68" customWidth="1"/>
    <col min="7182" max="7182" width="9.140625" style="68"/>
    <col min="7183" max="7183" width="9.140625" style="68" customWidth="1"/>
    <col min="7184" max="7184" width="14.140625" style="68" customWidth="1"/>
    <col min="7185" max="7185" width="27.140625" style="68" customWidth="1"/>
    <col min="7186" max="7186" width="16.5703125" style="68" customWidth="1"/>
    <col min="7187" max="7189" width="9.140625" style="68"/>
    <col min="7190" max="7191" width="10" style="68" customWidth="1"/>
    <col min="7192" max="7192" width="9.140625" style="68"/>
    <col min="7193" max="7194" width="12.28515625" style="68" customWidth="1"/>
    <col min="7195" max="7427" width="9.140625" style="68"/>
    <col min="7428" max="7428" width="32.42578125" style="68" customWidth="1"/>
    <col min="7429" max="7429" width="19.7109375" style="68" customWidth="1"/>
    <col min="7430" max="7430" width="18" style="68" customWidth="1"/>
    <col min="7431" max="7431" width="14.28515625" style="68" customWidth="1"/>
    <col min="7432" max="7432" width="29.28515625" style="68" customWidth="1"/>
    <col min="7433" max="7433" width="14.85546875" style="68" customWidth="1"/>
    <col min="7434" max="7437" width="5.85546875" style="68" customWidth="1"/>
    <col min="7438" max="7438" width="9.140625" style="68"/>
    <col min="7439" max="7439" width="9.140625" style="68" customWidth="1"/>
    <col min="7440" max="7440" width="14.140625" style="68" customWidth="1"/>
    <col min="7441" max="7441" width="27.140625" style="68" customWidth="1"/>
    <col min="7442" max="7442" width="16.5703125" style="68" customWidth="1"/>
    <col min="7443" max="7445" width="9.140625" style="68"/>
    <col min="7446" max="7447" width="10" style="68" customWidth="1"/>
    <col min="7448" max="7448" width="9.140625" style="68"/>
    <col min="7449" max="7450" width="12.28515625" style="68" customWidth="1"/>
    <col min="7451" max="7683" width="9.140625" style="68"/>
    <col min="7684" max="7684" width="32.42578125" style="68" customWidth="1"/>
    <col min="7685" max="7685" width="19.7109375" style="68" customWidth="1"/>
    <col min="7686" max="7686" width="18" style="68" customWidth="1"/>
    <col min="7687" max="7687" width="14.28515625" style="68" customWidth="1"/>
    <col min="7688" max="7688" width="29.28515625" style="68" customWidth="1"/>
    <col min="7689" max="7689" width="14.85546875" style="68" customWidth="1"/>
    <col min="7690" max="7693" width="5.85546875" style="68" customWidth="1"/>
    <col min="7694" max="7694" width="9.140625" style="68"/>
    <col min="7695" max="7695" width="9.140625" style="68" customWidth="1"/>
    <col min="7696" max="7696" width="14.140625" style="68" customWidth="1"/>
    <col min="7697" max="7697" width="27.140625" style="68" customWidth="1"/>
    <col min="7698" max="7698" width="16.5703125" style="68" customWidth="1"/>
    <col min="7699" max="7701" width="9.140625" style="68"/>
    <col min="7702" max="7703" width="10" style="68" customWidth="1"/>
    <col min="7704" max="7704" width="9.140625" style="68"/>
    <col min="7705" max="7706" width="12.28515625" style="68" customWidth="1"/>
    <col min="7707" max="7939" width="9.140625" style="68"/>
    <col min="7940" max="7940" width="32.42578125" style="68" customWidth="1"/>
    <col min="7941" max="7941" width="19.7109375" style="68" customWidth="1"/>
    <col min="7942" max="7942" width="18" style="68" customWidth="1"/>
    <col min="7943" max="7943" width="14.28515625" style="68" customWidth="1"/>
    <col min="7944" max="7944" width="29.28515625" style="68" customWidth="1"/>
    <col min="7945" max="7945" width="14.85546875" style="68" customWidth="1"/>
    <col min="7946" max="7949" width="5.85546875" style="68" customWidth="1"/>
    <col min="7950" max="7950" width="9.140625" style="68"/>
    <col min="7951" max="7951" width="9.140625" style="68" customWidth="1"/>
    <col min="7952" max="7952" width="14.140625" style="68" customWidth="1"/>
    <col min="7953" max="7953" width="27.140625" style="68" customWidth="1"/>
    <col min="7954" max="7954" width="16.5703125" style="68" customWidth="1"/>
    <col min="7955" max="7957" width="9.140625" style="68"/>
    <col min="7958" max="7959" width="10" style="68" customWidth="1"/>
    <col min="7960" max="7960" width="9.140625" style="68"/>
    <col min="7961" max="7962" width="12.28515625" style="68" customWidth="1"/>
    <col min="7963" max="8195" width="9.140625" style="68"/>
    <col min="8196" max="8196" width="32.42578125" style="68" customWidth="1"/>
    <col min="8197" max="8197" width="19.7109375" style="68" customWidth="1"/>
    <col min="8198" max="8198" width="18" style="68" customWidth="1"/>
    <col min="8199" max="8199" width="14.28515625" style="68" customWidth="1"/>
    <col min="8200" max="8200" width="29.28515625" style="68" customWidth="1"/>
    <col min="8201" max="8201" width="14.85546875" style="68" customWidth="1"/>
    <col min="8202" max="8205" width="5.85546875" style="68" customWidth="1"/>
    <col min="8206" max="8206" width="9.140625" style="68"/>
    <col min="8207" max="8207" width="9.140625" style="68" customWidth="1"/>
    <col min="8208" max="8208" width="14.140625" style="68" customWidth="1"/>
    <col min="8209" max="8209" width="27.140625" style="68" customWidth="1"/>
    <col min="8210" max="8210" width="16.5703125" style="68" customWidth="1"/>
    <col min="8211" max="8213" width="9.140625" style="68"/>
    <col min="8214" max="8215" width="10" style="68" customWidth="1"/>
    <col min="8216" max="8216" width="9.140625" style="68"/>
    <col min="8217" max="8218" width="12.28515625" style="68" customWidth="1"/>
    <col min="8219" max="8451" width="9.140625" style="68"/>
    <col min="8452" max="8452" width="32.42578125" style="68" customWidth="1"/>
    <col min="8453" max="8453" width="19.7109375" style="68" customWidth="1"/>
    <col min="8454" max="8454" width="18" style="68" customWidth="1"/>
    <col min="8455" max="8455" width="14.28515625" style="68" customWidth="1"/>
    <col min="8456" max="8456" width="29.28515625" style="68" customWidth="1"/>
    <col min="8457" max="8457" width="14.85546875" style="68" customWidth="1"/>
    <col min="8458" max="8461" width="5.85546875" style="68" customWidth="1"/>
    <col min="8462" max="8462" width="9.140625" style="68"/>
    <col min="8463" max="8463" width="9.140625" style="68" customWidth="1"/>
    <col min="8464" max="8464" width="14.140625" style="68" customWidth="1"/>
    <col min="8465" max="8465" width="27.140625" style="68" customWidth="1"/>
    <col min="8466" max="8466" width="16.5703125" style="68" customWidth="1"/>
    <col min="8467" max="8469" width="9.140625" style="68"/>
    <col min="8470" max="8471" width="10" style="68" customWidth="1"/>
    <col min="8472" max="8472" width="9.140625" style="68"/>
    <col min="8473" max="8474" width="12.28515625" style="68" customWidth="1"/>
    <col min="8475" max="8707" width="9.140625" style="68"/>
    <col min="8708" max="8708" width="32.42578125" style="68" customWidth="1"/>
    <col min="8709" max="8709" width="19.7109375" style="68" customWidth="1"/>
    <col min="8710" max="8710" width="18" style="68" customWidth="1"/>
    <col min="8711" max="8711" width="14.28515625" style="68" customWidth="1"/>
    <col min="8712" max="8712" width="29.28515625" style="68" customWidth="1"/>
    <col min="8713" max="8713" width="14.85546875" style="68" customWidth="1"/>
    <col min="8714" max="8717" width="5.85546875" style="68" customWidth="1"/>
    <col min="8718" max="8718" width="9.140625" style="68"/>
    <col min="8719" max="8719" width="9.140625" style="68" customWidth="1"/>
    <col min="8720" max="8720" width="14.140625" style="68" customWidth="1"/>
    <col min="8721" max="8721" width="27.140625" style="68" customWidth="1"/>
    <col min="8722" max="8722" width="16.5703125" style="68" customWidth="1"/>
    <col min="8723" max="8725" width="9.140625" style="68"/>
    <col min="8726" max="8727" width="10" style="68" customWidth="1"/>
    <col min="8728" max="8728" width="9.140625" style="68"/>
    <col min="8729" max="8730" width="12.28515625" style="68" customWidth="1"/>
    <col min="8731" max="8963" width="9.140625" style="68"/>
    <col min="8964" max="8964" width="32.42578125" style="68" customWidth="1"/>
    <col min="8965" max="8965" width="19.7109375" style="68" customWidth="1"/>
    <col min="8966" max="8966" width="18" style="68" customWidth="1"/>
    <col min="8967" max="8967" width="14.28515625" style="68" customWidth="1"/>
    <col min="8968" max="8968" width="29.28515625" style="68" customWidth="1"/>
    <col min="8969" max="8969" width="14.85546875" style="68" customWidth="1"/>
    <col min="8970" max="8973" width="5.85546875" style="68" customWidth="1"/>
    <col min="8974" max="8974" width="9.140625" style="68"/>
    <col min="8975" max="8975" width="9.140625" style="68" customWidth="1"/>
    <col min="8976" max="8976" width="14.140625" style="68" customWidth="1"/>
    <col min="8977" max="8977" width="27.140625" style="68" customWidth="1"/>
    <col min="8978" max="8978" width="16.5703125" style="68" customWidth="1"/>
    <col min="8979" max="8981" width="9.140625" style="68"/>
    <col min="8982" max="8983" width="10" style="68" customWidth="1"/>
    <col min="8984" max="8984" width="9.140625" style="68"/>
    <col min="8985" max="8986" width="12.28515625" style="68" customWidth="1"/>
    <col min="8987" max="9219" width="9.140625" style="68"/>
    <col min="9220" max="9220" width="32.42578125" style="68" customWidth="1"/>
    <col min="9221" max="9221" width="19.7109375" style="68" customWidth="1"/>
    <col min="9222" max="9222" width="18" style="68" customWidth="1"/>
    <col min="9223" max="9223" width="14.28515625" style="68" customWidth="1"/>
    <col min="9224" max="9224" width="29.28515625" style="68" customWidth="1"/>
    <col min="9225" max="9225" width="14.85546875" style="68" customWidth="1"/>
    <col min="9226" max="9229" width="5.85546875" style="68" customWidth="1"/>
    <col min="9230" max="9230" width="9.140625" style="68"/>
    <col min="9231" max="9231" width="9.140625" style="68" customWidth="1"/>
    <col min="9232" max="9232" width="14.140625" style="68" customWidth="1"/>
    <col min="9233" max="9233" width="27.140625" style="68" customWidth="1"/>
    <col min="9234" max="9234" width="16.5703125" style="68" customWidth="1"/>
    <col min="9235" max="9237" width="9.140625" style="68"/>
    <col min="9238" max="9239" width="10" style="68" customWidth="1"/>
    <col min="9240" max="9240" width="9.140625" style="68"/>
    <col min="9241" max="9242" width="12.28515625" style="68" customWidth="1"/>
    <col min="9243" max="9475" width="9.140625" style="68"/>
    <col min="9476" max="9476" width="32.42578125" style="68" customWidth="1"/>
    <col min="9477" max="9477" width="19.7109375" style="68" customWidth="1"/>
    <col min="9478" max="9478" width="18" style="68" customWidth="1"/>
    <col min="9479" max="9479" width="14.28515625" style="68" customWidth="1"/>
    <col min="9480" max="9480" width="29.28515625" style="68" customWidth="1"/>
    <col min="9481" max="9481" width="14.85546875" style="68" customWidth="1"/>
    <col min="9482" max="9485" width="5.85546875" style="68" customWidth="1"/>
    <col min="9486" max="9486" width="9.140625" style="68"/>
    <col min="9487" max="9487" width="9.140625" style="68" customWidth="1"/>
    <col min="9488" max="9488" width="14.140625" style="68" customWidth="1"/>
    <col min="9489" max="9489" width="27.140625" style="68" customWidth="1"/>
    <col min="9490" max="9490" width="16.5703125" style="68" customWidth="1"/>
    <col min="9491" max="9493" width="9.140625" style="68"/>
    <col min="9494" max="9495" width="10" style="68" customWidth="1"/>
    <col min="9496" max="9496" width="9.140625" style="68"/>
    <col min="9497" max="9498" width="12.28515625" style="68" customWidth="1"/>
    <col min="9499" max="9731" width="9.140625" style="68"/>
    <col min="9732" max="9732" width="32.42578125" style="68" customWidth="1"/>
    <col min="9733" max="9733" width="19.7109375" style="68" customWidth="1"/>
    <col min="9734" max="9734" width="18" style="68" customWidth="1"/>
    <col min="9735" max="9735" width="14.28515625" style="68" customWidth="1"/>
    <col min="9736" max="9736" width="29.28515625" style="68" customWidth="1"/>
    <col min="9737" max="9737" width="14.85546875" style="68" customWidth="1"/>
    <col min="9738" max="9741" width="5.85546875" style="68" customWidth="1"/>
    <col min="9742" max="9742" width="9.140625" style="68"/>
    <col min="9743" max="9743" width="9.140625" style="68" customWidth="1"/>
    <col min="9744" max="9744" width="14.140625" style="68" customWidth="1"/>
    <col min="9745" max="9745" width="27.140625" style="68" customWidth="1"/>
    <col min="9746" max="9746" width="16.5703125" style="68" customWidth="1"/>
    <col min="9747" max="9749" width="9.140625" style="68"/>
    <col min="9750" max="9751" width="10" style="68" customWidth="1"/>
    <col min="9752" max="9752" width="9.140625" style="68"/>
    <col min="9753" max="9754" width="12.28515625" style="68" customWidth="1"/>
    <col min="9755" max="9987" width="9.140625" style="68"/>
    <col min="9988" max="9988" width="32.42578125" style="68" customWidth="1"/>
    <col min="9989" max="9989" width="19.7109375" style="68" customWidth="1"/>
    <col min="9990" max="9990" width="18" style="68" customWidth="1"/>
    <col min="9991" max="9991" width="14.28515625" style="68" customWidth="1"/>
    <col min="9992" max="9992" width="29.28515625" style="68" customWidth="1"/>
    <col min="9993" max="9993" width="14.85546875" style="68" customWidth="1"/>
    <col min="9994" max="9997" width="5.85546875" style="68" customWidth="1"/>
    <col min="9998" max="9998" width="9.140625" style="68"/>
    <col min="9999" max="9999" width="9.140625" style="68" customWidth="1"/>
    <col min="10000" max="10000" width="14.140625" style="68" customWidth="1"/>
    <col min="10001" max="10001" width="27.140625" style="68" customWidth="1"/>
    <col min="10002" max="10002" width="16.5703125" style="68" customWidth="1"/>
    <col min="10003" max="10005" width="9.140625" style="68"/>
    <col min="10006" max="10007" width="10" style="68" customWidth="1"/>
    <col min="10008" max="10008" width="9.140625" style="68"/>
    <col min="10009" max="10010" width="12.28515625" style="68" customWidth="1"/>
    <col min="10011" max="10243" width="9.140625" style="68"/>
    <col min="10244" max="10244" width="32.42578125" style="68" customWidth="1"/>
    <col min="10245" max="10245" width="19.7109375" style="68" customWidth="1"/>
    <col min="10246" max="10246" width="18" style="68" customWidth="1"/>
    <col min="10247" max="10247" width="14.28515625" style="68" customWidth="1"/>
    <col min="10248" max="10248" width="29.28515625" style="68" customWidth="1"/>
    <col min="10249" max="10249" width="14.85546875" style="68" customWidth="1"/>
    <col min="10250" max="10253" width="5.85546875" style="68" customWidth="1"/>
    <col min="10254" max="10254" width="9.140625" style="68"/>
    <col min="10255" max="10255" width="9.140625" style="68" customWidth="1"/>
    <col min="10256" max="10256" width="14.140625" style="68" customWidth="1"/>
    <col min="10257" max="10257" width="27.140625" style="68" customWidth="1"/>
    <col min="10258" max="10258" width="16.5703125" style="68" customWidth="1"/>
    <col min="10259" max="10261" width="9.140625" style="68"/>
    <col min="10262" max="10263" width="10" style="68" customWidth="1"/>
    <col min="10264" max="10264" width="9.140625" style="68"/>
    <col min="10265" max="10266" width="12.28515625" style="68" customWidth="1"/>
    <col min="10267" max="10499" width="9.140625" style="68"/>
    <col min="10500" max="10500" width="32.42578125" style="68" customWidth="1"/>
    <col min="10501" max="10501" width="19.7109375" style="68" customWidth="1"/>
    <col min="10502" max="10502" width="18" style="68" customWidth="1"/>
    <col min="10503" max="10503" width="14.28515625" style="68" customWidth="1"/>
    <col min="10504" max="10504" width="29.28515625" style="68" customWidth="1"/>
    <col min="10505" max="10505" width="14.85546875" style="68" customWidth="1"/>
    <col min="10506" max="10509" width="5.85546875" style="68" customWidth="1"/>
    <col min="10510" max="10510" width="9.140625" style="68"/>
    <col min="10511" max="10511" width="9.140625" style="68" customWidth="1"/>
    <col min="10512" max="10512" width="14.140625" style="68" customWidth="1"/>
    <col min="10513" max="10513" width="27.140625" style="68" customWidth="1"/>
    <col min="10514" max="10514" width="16.5703125" style="68" customWidth="1"/>
    <col min="10515" max="10517" width="9.140625" style="68"/>
    <col min="10518" max="10519" width="10" style="68" customWidth="1"/>
    <col min="10520" max="10520" width="9.140625" style="68"/>
    <col min="10521" max="10522" width="12.28515625" style="68" customWidth="1"/>
    <col min="10523" max="10755" width="9.140625" style="68"/>
    <col min="10756" max="10756" width="32.42578125" style="68" customWidth="1"/>
    <col min="10757" max="10757" width="19.7109375" style="68" customWidth="1"/>
    <col min="10758" max="10758" width="18" style="68" customWidth="1"/>
    <col min="10759" max="10759" width="14.28515625" style="68" customWidth="1"/>
    <col min="10760" max="10760" width="29.28515625" style="68" customWidth="1"/>
    <col min="10761" max="10761" width="14.85546875" style="68" customWidth="1"/>
    <col min="10762" max="10765" width="5.85546875" style="68" customWidth="1"/>
    <col min="10766" max="10766" width="9.140625" style="68"/>
    <col min="10767" max="10767" width="9.140625" style="68" customWidth="1"/>
    <col min="10768" max="10768" width="14.140625" style="68" customWidth="1"/>
    <col min="10769" max="10769" width="27.140625" style="68" customWidth="1"/>
    <col min="10770" max="10770" width="16.5703125" style="68" customWidth="1"/>
    <col min="10771" max="10773" width="9.140625" style="68"/>
    <col min="10774" max="10775" width="10" style="68" customWidth="1"/>
    <col min="10776" max="10776" width="9.140625" style="68"/>
    <col min="10777" max="10778" width="12.28515625" style="68" customWidth="1"/>
    <col min="10779" max="11011" width="9.140625" style="68"/>
    <col min="11012" max="11012" width="32.42578125" style="68" customWidth="1"/>
    <col min="11013" max="11013" width="19.7109375" style="68" customWidth="1"/>
    <col min="11014" max="11014" width="18" style="68" customWidth="1"/>
    <col min="11015" max="11015" width="14.28515625" style="68" customWidth="1"/>
    <col min="11016" max="11016" width="29.28515625" style="68" customWidth="1"/>
    <col min="11017" max="11017" width="14.85546875" style="68" customWidth="1"/>
    <col min="11018" max="11021" width="5.85546875" style="68" customWidth="1"/>
    <col min="11022" max="11022" width="9.140625" style="68"/>
    <col min="11023" max="11023" width="9.140625" style="68" customWidth="1"/>
    <col min="11024" max="11024" width="14.140625" style="68" customWidth="1"/>
    <col min="11025" max="11025" width="27.140625" style="68" customWidth="1"/>
    <col min="11026" max="11026" width="16.5703125" style="68" customWidth="1"/>
    <col min="11027" max="11029" width="9.140625" style="68"/>
    <col min="11030" max="11031" width="10" style="68" customWidth="1"/>
    <col min="11032" max="11032" width="9.140625" style="68"/>
    <col min="11033" max="11034" width="12.28515625" style="68" customWidth="1"/>
    <col min="11035" max="11267" width="9.140625" style="68"/>
    <col min="11268" max="11268" width="32.42578125" style="68" customWidth="1"/>
    <col min="11269" max="11269" width="19.7109375" style="68" customWidth="1"/>
    <col min="11270" max="11270" width="18" style="68" customWidth="1"/>
    <col min="11271" max="11271" width="14.28515625" style="68" customWidth="1"/>
    <col min="11272" max="11272" width="29.28515625" style="68" customWidth="1"/>
    <col min="11273" max="11273" width="14.85546875" style="68" customWidth="1"/>
    <col min="11274" max="11277" width="5.85546875" style="68" customWidth="1"/>
    <col min="11278" max="11278" width="9.140625" style="68"/>
    <col min="11279" max="11279" width="9.140625" style="68" customWidth="1"/>
    <col min="11280" max="11280" width="14.140625" style="68" customWidth="1"/>
    <col min="11281" max="11281" width="27.140625" style="68" customWidth="1"/>
    <col min="11282" max="11282" width="16.5703125" style="68" customWidth="1"/>
    <col min="11283" max="11285" width="9.140625" style="68"/>
    <col min="11286" max="11287" width="10" style="68" customWidth="1"/>
    <col min="11288" max="11288" width="9.140625" style="68"/>
    <col min="11289" max="11290" width="12.28515625" style="68" customWidth="1"/>
    <col min="11291" max="11523" width="9.140625" style="68"/>
    <col min="11524" max="11524" width="32.42578125" style="68" customWidth="1"/>
    <col min="11525" max="11525" width="19.7109375" style="68" customWidth="1"/>
    <col min="11526" max="11526" width="18" style="68" customWidth="1"/>
    <col min="11527" max="11527" width="14.28515625" style="68" customWidth="1"/>
    <col min="11528" max="11528" width="29.28515625" style="68" customWidth="1"/>
    <col min="11529" max="11529" width="14.85546875" style="68" customWidth="1"/>
    <col min="11530" max="11533" width="5.85546875" style="68" customWidth="1"/>
    <col min="11534" max="11534" width="9.140625" style="68"/>
    <col min="11535" max="11535" width="9.140625" style="68" customWidth="1"/>
    <col min="11536" max="11536" width="14.140625" style="68" customWidth="1"/>
    <col min="11537" max="11537" width="27.140625" style="68" customWidth="1"/>
    <col min="11538" max="11538" width="16.5703125" style="68" customWidth="1"/>
    <col min="11539" max="11541" width="9.140625" style="68"/>
    <col min="11542" max="11543" width="10" style="68" customWidth="1"/>
    <col min="11544" max="11544" width="9.140625" style="68"/>
    <col min="11545" max="11546" width="12.28515625" style="68" customWidth="1"/>
    <col min="11547" max="11779" width="9.140625" style="68"/>
    <col min="11780" max="11780" width="32.42578125" style="68" customWidth="1"/>
    <col min="11781" max="11781" width="19.7109375" style="68" customWidth="1"/>
    <col min="11782" max="11782" width="18" style="68" customWidth="1"/>
    <col min="11783" max="11783" width="14.28515625" style="68" customWidth="1"/>
    <col min="11784" max="11784" width="29.28515625" style="68" customWidth="1"/>
    <col min="11785" max="11785" width="14.85546875" style="68" customWidth="1"/>
    <col min="11786" max="11789" width="5.85546875" style="68" customWidth="1"/>
    <col min="11790" max="11790" width="9.140625" style="68"/>
    <col min="11791" max="11791" width="9.140625" style="68" customWidth="1"/>
    <col min="11792" max="11792" width="14.140625" style="68" customWidth="1"/>
    <col min="11793" max="11793" width="27.140625" style="68" customWidth="1"/>
    <col min="11794" max="11794" width="16.5703125" style="68" customWidth="1"/>
    <col min="11795" max="11797" width="9.140625" style="68"/>
    <col min="11798" max="11799" width="10" style="68" customWidth="1"/>
    <col min="11800" max="11800" width="9.140625" style="68"/>
    <col min="11801" max="11802" width="12.28515625" style="68" customWidth="1"/>
    <col min="11803" max="12035" width="9.140625" style="68"/>
    <col min="12036" max="12036" width="32.42578125" style="68" customWidth="1"/>
    <col min="12037" max="12037" width="19.7109375" style="68" customWidth="1"/>
    <col min="12038" max="12038" width="18" style="68" customWidth="1"/>
    <col min="12039" max="12039" width="14.28515625" style="68" customWidth="1"/>
    <col min="12040" max="12040" width="29.28515625" style="68" customWidth="1"/>
    <col min="12041" max="12041" width="14.85546875" style="68" customWidth="1"/>
    <col min="12042" max="12045" width="5.85546875" style="68" customWidth="1"/>
    <col min="12046" max="12046" width="9.140625" style="68"/>
    <col min="12047" max="12047" width="9.140625" style="68" customWidth="1"/>
    <col min="12048" max="12048" width="14.140625" style="68" customWidth="1"/>
    <col min="12049" max="12049" width="27.140625" style="68" customWidth="1"/>
    <col min="12050" max="12050" width="16.5703125" style="68" customWidth="1"/>
    <col min="12051" max="12053" width="9.140625" style="68"/>
    <col min="12054" max="12055" width="10" style="68" customWidth="1"/>
    <col min="12056" max="12056" width="9.140625" style="68"/>
    <col min="12057" max="12058" width="12.28515625" style="68" customWidth="1"/>
    <col min="12059" max="12291" width="9.140625" style="68"/>
    <col min="12292" max="12292" width="32.42578125" style="68" customWidth="1"/>
    <col min="12293" max="12293" width="19.7109375" style="68" customWidth="1"/>
    <col min="12294" max="12294" width="18" style="68" customWidth="1"/>
    <col min="12295" max="12295" width="14.28515625" style="68" customWidth="1"/>
    <col min="12296" max="12296" width="29.28515625" style="68" customWidth="1"/>
    <col min="12297" max="12297" width="14.85546875" style="68" customWidth="1"/>
    <col min="12298" max="12301" width="5.85546875" style="68" customWidth="1"/>
    <col min="12302" max="12302" width="9.140625" style="68"/>
    <col min="12303" max="12303" width="9.140625" style="68" customWidth="1"/>
    <col min="12304" max="12304" width="14.140625" style="68" customWidth="1"/>
    <col min="12305" max="12305" width="27.140625" style="68" customWidth="1"/>
    <col min="12306" max="12306" width="16.5703125" style="68" customWidth="1"/>
    <col min="12307" max="12309" width="9.140625" style="68"/>
    <col min="12310" max="12311" width="10" style="68" customWidth="1"/>
    <col min="12312" max="12312" width="9.140625" style="68"/>
    <col min="12313" max="12314" width="12.28515625" style="68" customWidth="1"/>
    <col min="12315" max="12547" width="9.140625" style="68"/>
    <col min="12548" max="12548" width="32.42578125" style="68" customWidth="1"/>
    <col min="12549" max="12549" width="19.7109375" style="68" customWidth="1"/>
    <col min="12550" max="12550" width="18" style="68" customWidth="1"/>
    <col min="12551" max="12551" width="14.28515625" style="68" customWidth="1"/>
    <col min="12552" max="12552" width="29.28515625" style="68" customWidth="1"/>
    <col min="12553" max="12553" width="14.85546875" style="68" customWidth="1"/>
    <col min="12554" max="12557" width="5.85546875" style="68" customWidth="1"/>
    <col min="12558" max="12558" width="9.140625" style="68"/>
    <col min="12559" max="12559" width="9.140625" style="68" customWidth="1"/>
    <col min="12560" max="12560" width="14.140625" style="68" customWidth="1"/>
    <col min="12561" max="12561" width="27.140625" style="68" customWidth="1"/>
    <col min="12562" max="12562" width="16.5703125" style="68" customWidth="1"/>
    <col min="12563" max="12565" width="9.140625" style="68"/>
    <col min="12566" max="12567" width="10" style="68" customWidth="1"/>
    <col min="12568" max="12568" width="9.140625" style="68"/>
    <col min="12569" max="12570" width="12.28515625" style="68" customWidth="1"/>
    <col min="12571" max="12803" width="9.140625" style="68"/>
    <col min="12804" max="12804" width="32.42578125" style="68" customWidth="1"/>
    <col min="12805" max="12805" width="19.7109375" style="68" customWidth="1"/>
    <col min="12806" max="12806" width="18" style="68" customWidth="1"/>
    <col min="12807" max="12807" width="14.28515625" style="68" customWidth="1"/>
    <col min="12808" max="12808" width="29.28515625" style="68" customWidth="1"/>
    <col min="12809" max="12809" width="14.85546875" style="68" customWidth="1"/>
    <col min="12810" max="12813" width="5.85546875" style="68" customWidth="1"/>
    <col min="12814" max="12814" width="9.140625" style="68"/>
    <col min="12815" max="12815" width="9.140625" style="68" customWidth="1"/>
    <col min="12816" max="12816" width="14.140625" style="68" customWidth="1"/>
    <col min="12817" max="12817" width="27.140625" style="68" customWidth="1"/>
    <col min="12818" max="12818" width="16.5703125" style="68" customWidth="1"/>
    <col min="12819" max="12821" width="9.140625" style="68"/>
    <col min="12822" max="12823" width="10" style="68" customWidth="1"/>
    <col min="12824" max="12824" width="9.140625" style="68"/>
    <col min="12825" max="12826" width="12.28515625" style="68" customWidth="1"/>
    <col min="12827" max="13059" width="9.140625" style="68"/>
    <col min="13060" max="13060" width="32.42578125" style="68" customWidth="1"/>
    <col min="13061" max="13061" width="19.7109375" style="68" customWidth="1"/>
    <col min="13062" max="13062" width="18" style="68" customWidth="1"/>
    <col min="13063" max="13063" width="14.28515625" style="68" customWidth="1"/>
    <col min="13064" max="13064" width="29.28515625" style="68" customWidth="1"/>
    <col min="13065" max="13065" width="14.85546875" style="68" customWidth="1"/>
    <col min="13066" max="13069" width="5.85546875" style="68" customWidth="1"/>
    <col min="13070" max="13070" width="9.140625" style="68"/>
    <col min="13071" max="13071" width="9.140625" style="68" customWidth="1"/>
    <col min="13072" max="13072" width="14.140625" style="68" customWidth="1"/>
    <col min="13073" max="13073" width="27.140625" style="68" customWidth="1"/>
    <col min="13074" max="13074" width="16.5703125" style="68" customWidth="1"/>
    <col min="13075" max="13077" width="9.140625" style="68"/>
    <col min="13078" max="13079" width="10" style="68" customWidth="1"/>
    <col min="13080" max="13080" width="9.140625" style="68"/>
    <col min="13081" max="13082" width="12.28515625" style="68" customWidth="1"/>
    <col min="13083" max="13315" width="9.140625" style="68"/>
    <col min="13316" max="13316" width="32.42578125" style="68" customWidth="1"/>
    <col min="13317" max="13317" width="19.7109375" style="68" customWidth="1"/>
    <col min="13318" max="13318" width="18" style="68" customWidth="1"/>
    <col min="13319" max="13319" width="14.28515625" style="68" customWidth="1"/>
    <col min="13320" max="13320" width="29.28515625" style="68" customWidth="1"/>
    <col min="13321" max="13321" width="14.85546875" style="68" customWidth="1"/>
    <col min="13322" max="13325" width="5.85546875" style="68" customWidth="1"/>
    <col min="13326" max="13326" width="9.140625" style="68"/>
    <col min="13327" max="13327" width="9.140625" style="68" customWidth="1"/>
    <col min="13328" max="13328" width="14.140625" style="68" customWidth="1"/>
    <col min="13329" max="13329" width="27.140625" style="68" customWidth="1"/>
    <col min="13330" max="13330" width="16.5703125" style="68" customWidth="1"/>
    <col min="13331" max="13333" width="9.140625" style="68"/>
    <col min="13334" max="13335" width="10" style="68" customWidth="1"/>
    <col min="13336" max="13336" width="9.140625" style="68"/>
    <col min="13337" max="13338" width="12.28515625" style="68" customWidth="1"/>
    <col min="13339" max="13571" width="9.140625" style="68"/>
    <col min="13572" max="13572" width="32.42578125" style="68" customWidth="1"/>
    <col min="13573" max="13573" width="19.7109375" style="68" customWidth="1"/>
    <col min="13574" max="13574" width="18" style="68" customWidth="1"/>
    <col min="13575" max="13575" width="14.28515625" style="68" customWidth="1"/>
    <col min="13576" max="13576" width="29.28515625" style="68" customWidth="1"/>
    <col min="13577" max="13577" width="14.85546875" style="68" customWidth="1"/>
    <col min="13578" max="13581" width="5.85546875" style="68" customWidth="1"/>
    <col min="13582" max="13582" width="9.140625" style="68"/>
    <col min="13583" max="13583" width="9.140625" style="68" customWidth="1"/>
    <col min="13584" max="13584" width="14.140625" style="68" customWidth="1"/>
    <col min="13585" max="13585" width="27.140625" style="68" customWidth="1"/>
    <col min="13586" max="13586" width="16.5703125" style="68" customWidth="1"/>
    <col min="13587" max="13589" width="9.140625" style="68"/>
    <col min="13590" max="13591" width="10" style="68" customWidth="1"/>
    <col min="13592" max="13592" width="9.140625" style="68"/>
    <col min="13593" max="13594" width="12.28515625" style="68" customWidth="1"/>
    <col min="13595" max="13827" width="9.140625" style="68"/>
    <col min="13828" max="13828" width="32.42578125" style="68" customWidth="1"/>
    <col min="13829" max="13829" width="19.7109375" style="68" customWidth="1"/>
    <col min="13830" max="13830" width="18" style="68" customWidth="1"/>
    <col min="13831" max="13831" width="14.28515625" style="68" customWidth="1"/>
    <col min="13832" max="13832" width="29.28515625" style="68" customWidth="1"/>
    <col min="13833" max="13833" width="14.85546875" style="68" customWidth="1"/>
    <col min="13834" max="13837" width="5.85546875" style="68" customWidth="1"/>
    <col min="13838" max="13838" width="9.140625" style="68"/>
    <col min="13839" max="13839" width="9.140625" style="68" customWidth="1"/>
    <col min="13840" max="13840" width="14.140625" style="68" customWidth="1"/>
    <col min="13841" max="13841" width="27.140625" style="68" customWidth="1"/>
    <col min="13842" max="13842" width="16.5703125" style="68" customWidth="1"/>
    <col min="13843" max="13845" width="9.140625" style="68"/>
    <col min="13846" max="13847" width="10" style="68" customWidth="1"/>
    <col min="13848" max="13848" width="9.140625" style="68"/>
    <col min="13849" max="13850" width="12.28515625" style="68" customWidth="1"/>
    <col min="13851" max="14083" width="9.140625" style="68"/>
    <col min="14084" max="14084" width="32.42578125" style="68" customWidth="1"/>
    <col min="14085" max="14085" width="19.7109375" style="68" customWidth="1"/>
    <col min="14086" max="14086" width="18" style="68" customWidth="1"/>
    <col min="14087" max="14087" width="14.28515625" style="68" customWidth="1"/>
    <col min="14088" max="14088" width="29.28515625" style="68" customWidth="1"/>
    <col min="14089" max="14089" width="14.85546875" style="68" customWidth="1"/>
    <col min="14090" max="14093" width="5.85546875" style="68" customWidth="1"/>
    <col min="14094" max="14094" width="9.140625" style="68"/>
    <col min="14095" max="14095" width="9.140625" style="68" customWidth="1"/>
    <col min="14096" max="14096" width="14.140625" style="68" customWidth="1"/>
    <col min="14097" max="14097" width="27.140625" style="68" customWidth="1"/>
    <col min="14098" max="14098" width="16.5703125" style="68" customWidth="1"/>
    <col min="14099" max="14101" width="9.140625" style="68"/>
    <col min="14102" max="14103" width="10" style="68" customWidth="1"/>
    <col min="14104" max="14104" width="9.140625" style="68"/>
    <col min="14105" max="14106" width="12.28515625" style="68" customWidth="1"/>
    <col min="14107" max="14339" width="9.140625" style="68"/>
    <col min="14340" max="14340" width="32.42578125" style="68" customWidth="1"/>
    <col min="14341" max="14341" width="19.7109375" style="68" customWidth="1"/>
    <col min="14342" max="14342" width="18" style="68" customWidth="1"/>
    <col min="14343" max="14343" width="14.28515625" style="68" customWidth="1"/>
    <col min="14344" max="14344" width="29.28515625" style="68" customWidth="1"/>
    <col min="14345" max="14345" width="14.85546875" style="68" customWidth="1"/>
    <col min="14346" max="14349" width="5.85546875" style="68" customWidth="1"/>
    <col min="14350" max="14350" width="9.140625" style="68"/>
    <col min="14351" max="14351" width="9.140625" style="68" customWidth="1"/>
    <col min="14352" max="14352" width="14.140625" style="68" customWidth="1"/>
    <col min="14353" max="14353" width="27.140625" style="68" customWidth="1"/>
    <col min="14354" max="14354" width="16.5703125" style="68" customWidth="1"/>
    <col min="14355" max="14357" width="9.140625" style="68"/>
    <col min="14358" max="14359" width="10" style="68" customWidth="1"/>
    <col min="14360" max="14360" width="9.140625" style="68"/>
    <col min="14361" max="14362" width="12.28515625" style="68" customWidth="1"/>
    <col min="14363" max="14595" width="9.140625" style="68"/>
    <col min="14596" max="14596" width="32.42578125" style="68" customWidth="1"/>
    <col min="14597" max="14597" width="19.7109375" style="68" customWidth="1"/>
    <col min="14598" max="14598" width="18" style="68" customWidth="1"/>
    <col min="14599" max="14599" width="14.28515625" style="68" customWidth="1"/>
    <col min="14600" max="14600" width="29.28515625" style="68" customWidth="1"/>
    <col min="14601" max="14601" width="14.85546875" style="68" customWidth="1"/>
    <col min="14602" max="14605" width="5.85546875" style="68" customWidth="1"/>
    <col min="14606" max="14606" width="9.140625" style="68"/>
    <col min="14607" max="14607" width="9.140625" style="68" customWidth="1"/>
    <col min="14608" max="14608" width="14.140625" style="68" customWidth="1"/>
    <col min="14609" max="14609" width="27.140625" style="68" customWidth="1"/>
    <col min="14610" max="14610" width="16.5703125" style="68" customWidth="1"/>
    <col min="14611" max="14613" width="9.140625" style="68"/>
    <col min="14614" max="14615" width="10" style="68" customWidth="1"/>
    <col min="14616" max="14616" width="9.140625" style="68"/>
    <col min="14617" max="14618" width="12.28515625" style="68" customWidth="1"/>
    <col min="14619" max="14851" width="9.140625" style="68"/>
    <col min="14852" max="14852" width="32.42578125" style="68" customWidth="1"/>
    <col min="14853" max="14853" width="19.7109375" style="68" customWidth="1"/>
    <col min="14854" max="14854" width="18" style="68" customWidth="1"/>
    <col min="14855" max="14855" width="14.28515625" style="68" customWidth="1"/>
    <col min="14856" max="14856" width="29.28515625" style="68" customWidth="1"/>
    <col min="14857" max="14857" width="14.85546875" style="68" customWidth="1"/>
    <col min="14858" max="14861" width="5.85546875" style="68" customWidth="1"/>
    <col min="14862" max="14862" width="9.140625" style="68"/>
    <col min="14863" max="14863" width="9.140625" style="68" customWidth="1"/>
    <col min="14864" max="14864" width="14.140625" style="68" customWidth="1"/>
    <col min="14865" max="14865" width="27.140625" style="68" customWidth="1"/>
    <col min="14866" max="14866" width="16.5703125" style="68" customWidth="1"/>
    <col min="14867" max="14869" width="9.140625" style="68"/>
    <col min="14870" max="14871" width="10" style="68" customWidth="1"/>
    <col min="14872" max="14872" width="9.140625" style="68"/>
    <col min="14873" max="14874" width="12.28515625" style="68" customWidth="1"/>
    <col min="14875" max="15107" width="9.140625" style="68"/>
    <col min="15108" max="15108" width="32.42578125" style="68" customWidth="1"/>
    <col min="15109" max="15109" width="19.7109375" style="68" customWidth="1"/>
    <col min="15110" max="15110" width="18" style="68" customWidth="1"/>
    <col min="15111" max="15111" width="14.28515625" style="68" customWidth="1"/>
    <col min="15112" max="15112" width="29.28515625" style="68" customWidth="1"/>
    <col min="15113" max="15113" width="14.85546875" style="68" customWidth="1"/>
    <col min="15114" max="15117" width="5.85546875" style="68" customWidth="1"/>
    <col min="15118" max="15118" width="9.140625" style="68"/>
    <col min="15119" max="15119" width="9.140625" style="68" customWidth="1"/>
    <col min="15120" max="15120" width="14.140625" style="68" customWidth="1"/>
    <col min="15121" max="15121" width="27.140625" style="68" customWidth="1"/>
    <col min="15122" max="15122" width="16.5703125" style="68" customWidth="1"/>
    <col min="15123" max="15125" width="9.140625" style="68"/>
    <col min="15126" max="15127" width="10" style="68" customWidth="1"/>
    <col min="15128" max="15128" width="9.140625" style="68"/>
    <col min="15129" max="15130" width="12.28515625" style="68" customWidth="1"/>
    <col min="15131" max="15363" width="9.140625" style="68"/>
    <col min="15364" max="15364" width="32.42578125" style="68" customWidth="1"/>
    <col min="15365" max="15365" width="19.7109375" style="68" customWidth="1"/>
    <col min="15366" max="15366" width="18" style="68" customWidth="1"/>
    <col min="15367" max="15367" width="14.28515625" style="68" customWidth="1"/>
    <col min="15368" max="15368" width="29.28515625" style="68" customWidth="1"/>
    <col min="15369" max="15369" width="14.85546875" style="68" customWidth="1"/>
    <col min="15370" max="15373" width="5.85546875" style="68" customWidth="1"/>
    <col min="15374" max="15374" width="9.140625" style="68"/>
    <col min="15375" max="15375" width="9.140625" style="68" customWidth="1"/>
    <col min="15376" max="15376" width="14.140625" style="68" customWidth="1"/>
    <col min="15377" max="15377" width="27.140625" style="68" customWidth="1"/>
    <col min="15378" max="15378" width="16.5703125" style="68" customWidth="1"/>
    <col min="15379" max="15381" width="9.140625" style="68"/>
    <col min="15382" max="15383" width="10" style="68" customWidth="1"/>
    <col min="15384" max="15384" width="9.140625" style="68"/>
    <col min="15385" max="15386" width="12.28515625" style="68" customWidth="1"/>
    <col min="15387" max="15619" width="9.140625" style="68"/>
    <col min="15620" max="15620" width="32.42578125" style="68" customWidth="1"/>
    <col min="15621" max="15621" width="19.7109375" style="68" customWidth="1"/>
    <col min="15622" max="15622" width="18" style="68" customWidth="1"/>
    <col min="15623" max="15623" width="14.28515625" style="68" customWidth="1"/>
    <col min="15624" max="15624" width="29.28515625" style="68" customWidth="1"/>
    <col min="15625" max="15625" width="14.85546875" style="68" customWidth="1"/>
    <col min="15626" max="15629" width="5.85546875" style="68" customWidth="1"/>
    <col min="15630" max="15630" width="9.140625" style="68"/>
    <col min="15631" max="15631" width="9.140625" style="68" customWidth="1"/>
    <col min="15632" max="15632" width="14.140625" style="68" customWidth="1"/>
    <col min="15633" max="15633" width="27.140625" style="68" customWidth="1"/>
    <col min="15634" max="15634" width="16.5703125" style="68" customWidth="1"/>
    <col min="15635" max="15637" width="9.140625" style="68"/>
    <col min="15638" max="15639" width="10" style="68" customWidth="1"/>
    <col min="15640" max="15640" width="9.140625" style="68"/>
    <col min="15641" max="15642" width="12.28515625" style="68" customWidth="1"/>
    <col min="15643" max="15875" width="9.140625" style="68"/>
    <col min="15876" max="15876" width="32.42578125" style="68" customWidth="1"/>
    <col min="15877" max="15877" width="19.7109375" style="68" customWidth="1"/>
    <col min="15878" max="15878" width="18" style="68" customWidth="1"/>
    <col min="15879" max="15879" width="14.28515625" style="68" customWidth="1"/>
    <col min="15880" max="15880" width="29.28515625" style="68" customWidth="1"/>
    <col min="15881" max="15881" width="14.85546875" style="68" customWidth="1"/>
    <col min="15882" max="15885" width="5.85546875" style="68" customWidth="1"/>
    <col min="15886" max="15886" width="9.140625" style="68"/>
    <col min="15887" max="15887" width="9.140625" style="68" customWidth="1"/>
    <col min="15888" max="15888" width="14.140625" style="68" customWidth="1"/>
    <col min="15889" max="15889" width="27.140625" style="68" customWidth="1"/>
    <col min="15890" max="15890" width="16.5703125" style="68" customWidth="1"/>
    <col min="15891" max="15893" width="9.140625" style="68"/>
    <col min="15894" max="15895" width="10" style="68" customWidth="1"/>
    <col min="15896" max="15896" width="9.140625" style="68"/>
    <col min="15897" max="15898" width="12.28515625" style="68" customWidth="1"/>
    <col min="15899" max="16131" width="9.140625" style="68"/>
    <col min="16132" max="16132" width="32.42578125" style="68" customWidth="1"/>
    <col min="16133" max="16133" width="19.7109375" style="68" customWidth="1"/>
    <col min="16134" max="16134" width="18" style="68" customWidth="1"/>
    <col min="16135" max="16135" width="14.28515625" style="68" customWidth="1"/>
    <col min="16136" max="16136" width="29.28515625" style="68" customWidth="1"/>
    <col min="16137" max="16137" width="14.85546875" style="68" customWidth="1"/>
    <col min="16138" max="16141" width="5.85546875" style="68" customWidth="1"/>
    <col min="16142" max="16142" width="9.140625" style="68"/>
    <col min="16143" max="16143" width="9.140625" style="68" customWidth="1"/>
    <col min="16144" max="16144" width="14.140625" style="68" customWidth="1"/>
    <col min="16145" max="16145" width="27.140625" style="68" customWidth="1"/>
    <col min="16146" max="16146" width="16.5703125" style="68" customWidth="1"/>
    <col min="16147" max="16149" width="9.140625" style="68"/>
    <col min="16150" max="16151" width="10" style="68" customWidth="1"/>
    <col min="16152" max="16152" width="9.140625" style="68"/>
    <col min="16153" max="16154" width="12.28515625" style="68" customWidth="1"/>
    <col min="16155" max="16384" width="9.140625" style="68"/>
  </cols>
  <sheetData>
    <row r="1" spans="1:19" ht="21">
      <c r="A1" s="1460" t="s">
        <v>1170</v>
      </c>
      <c r="B1" s="1460"/>
      <c r="C1" s="1460"/>
      <c r="D1" s="1460"/>
      <c r="E1" s="1460"/>
    </row>
    <row r="2" spans="1:19">
      <c r="A2" s="1461" t="s">
        <v>1169</v>
      </c>
      <c r="B2" s="1461"/>
      <c r="C2" s="1461"/>
      <c r="D2" s="1461"/>
      <c r="E2" s="1461"/>
    </row>
    <row r="3" spans="1:19">
      <c r="A3" s="632"/>
      <c r="B3" s="632"/>
      <c r="C3" s="632"/>
      <c r="D3" s="632"/>
      <c r="P3" s="68" t="s">
        <v>892</v>
      </c>
    </row>
    <row r="4" spans="1:19">
      <c r="A4" s="1462" t="s">
        <v>893</v>
      </c>
      <c r="B4" s="1465" t="s">
        <v>894</v>
      </c>
      <c r="C4" s="1465"/>
      <c r="D4" s="633"/>
      <c r="E4" s="1466" t="s">
        <v>895</v>
      </c>
      <c r="P4" s="634" t="s">
        <v>896</v>
      </c>
      <c r="Q4" s="635">
        <f>D10/D9*100</f>
        <v>39.230769230769234</v>
      </c>
      <c r="R4" s="636"/>
    </row>
    <row r="5" spans="1:19" ht="18.75">
      <c r="A5" s="1463"/>
      <c r="B5" s="1468" t="s">
        <v>897</v>
      </c>
      <c r="C5" s="1468"/>
      <c r="D5" s="1219" t="s">
        <v>132</v>
      </c>
      <c r="E5" s="1467"/>
      <c r="P5" s="637" t="s">
        <v>898</v>
      </c>
      <c r="Q5" s="635">
        <f>D11/D9*100</f>
        <v>60.769230769230766</v>
      </c>
      <c r="R5" s="636"/>
    </row>
    <row r="6" spans="1:19">
      <c r="A6" s="1463"/>
      <c r="B6" s="638" t="s">
        <v>899</v>
      </c>
      <c r="C6" s="639" t="s">
        <v>900</v>
      </c>
      <c r="D6" s="1469" t="s">
        <v>699</v>
      </c>
      <c r="E6" s="1467"/>
      <c r="Q6" s="636"/>
      <c r="R6" s="636"/>
      <c r="S6" s="636"/>
    </row>
    <row r="7" spans="1:19" ht="17.25">
      <c r="A7" s="1464"/>
      <c r="B7" s="640"/>
      <c r="C7" s="641"/>
      <c r="D7" s="1470"/>
      <c r="E7" s="1467"/>
      <c r="P7" s="636"/>
      <c r="Q7" s="636"/>
      <c r="R7" s="636"/>
    </row>
    <row r="8" spans="1:19" ht="18.75">
      <c r="A8" s="642" t="s">
        <v>903</v>
      </c>
      <c r="B8" s="1243">
        <v>60</v>
      </c>
      <c r="C8" s="1244">
        <v>5329</v>
      </c>
      <c r="D8" s="645">
        <f>SUM(B8)+C8</f>
        <v>5389</v>
      </c>
      <c r="E8" s="646" t="s">
        <v>904</v>
      </c>
    </row>
    <row r="9" spans="1:19" ht="18.75">
      <c r="A9" s="647" t="s">
        <v>892</v>
      </c>
      <c r="B9" s="1245">
        <f>B10+B11</f>
        <v>45</v>
      </c>
      <c r="C9" s="1246">
        <v>85</v>
      </c>
      <c r="D9" s="649">
        <f>SUM(B9)+C9</f>
        <v>130</v>
      </c>
      <c r="E9" s="650" t="s">
        <v>905</v>
      </c>
    </row>
    <row r="10" spans="1:19" ht="18.75">
      <c r="A10" s="651" t="s">
        <v>896</v>
      </c>
      <c r="B10" s="1247">
        <v>17</v>
      </c>
      <c r="C10" s="1248">
        <v>34</v>
      </c>
      <c r="D10" s="653">
        <f>SUM(B10)+C10</f>
        <v>51</v>
      </c>
      <c r="E10" s="654" t="s">
        <v>906</v>
      </c>
    </row>
    <row r="11" spans="1:19" ht="18.75">
      <c r="A11" s="655" t="s">
        <v>898</v>
      </c>
      <c r="B11" s="1249">
        <v>28</v>
      </c>
      <c r="C11" s="1250">
        <v>51</v>
      </c>
      <c r="D11" s="657">
        <f>SUM(B11)+C11</f>
        <v>79</v>
      </c>
      <c r="E11" s="658" t="s">
        <v>907</v>
      </c>
    </row>
    <row r="12" spans="1:19" ht="18">
      <c r="A12" s="659" t="s">
        <v>879</v>
      </c>
      <c r="E12" s="607" t="s">
        <v>880</v>
      </c>
    </row>
    <row r="14" spans="1:19" ht="18.75">
      <c r="A14" s="659"/>
      <c r="E14" s="607"/>
      <c r="F14" s="660"/>
      <c r="K14" s="660"/>
      <c r="L14" s="660"/>
      <c r="M14" s="660"/>
      <c r="N14" s="660"/>
    </row>
    <row r="15" spans="1:19" ht="18.75">
      <c r="A15" s="659"/>
      <c r="E15" s="607"/>
      <c r="F15" s="660"/>
      <c r="K15" s="660"/>
      <c r="L15" s="660"/>
      <c r="M15" s="660"/>
      <c r="N15" s="660"/>
    </row>
    <row r="16" spans="1:19" ht="18.75">
      <c r="A16" s="659"/>
      <c r="E16" s="607"/>
      <c r="F16" s="660"/>
      <c r="K16" s="660"/>
      <c r="L16" s="660"/>
      <c r="M16" s="660"/>
      <c r="N16" s="660"/>
    </row>
    <row r="17" spans="1:20" ht="18.75">
      <c r="A17" s="659"/>
      <c r="E17" s="607"/>
      <c r="F17" s="660"/>
      <c r="K17" s="660"/>
      <c r="L17" s="660"/>
      <c r="M17" s="660"/>
      <c r="N17" s="660"/>
    </row>
    <row r="18" spans="1:20" ht="18.75">
      <c r="A18" s="659"/>
      <c r="E18" s="607"/>
      <c r="F18" s="660"/>
      <c r="K18" s="660"/>
      <c r="L18" s="660"/>
      <c r="M18" s="660"/>
      <c r="N18" s="660"/>
    </row>
    <row r="19" spans="1:20" ht="18.75">
      <c r="A19" s="659"/>
      <c r="E19" s="607"/>
      <c r="F19" s="661"/>
      <c r="K19" s="660"/>
      <c r="L19" s="660"/>
      <c r="M19" s="660"/>
      <c r="N19" s="660"/>
    </row>
    <row r="20" spans="1:20">
      <c r="F20" s="661"/>
    </row>
    <row r="21" spans="1:20" ht="21">
      <c r="A21" s="1460"/>
      <c r="B21" s="1460"/>
      <c r="C21" s="1460"/>
      <c r="D21" s="1460"/>
      <c r="E21" s="1460"/>
    </row>
    <row r="22" spans="1:20">
      <c r="A22" s="1461"/>
      <c r="B22" s="1461"/>
      <c r="C22" s="1461"/>
      <c r="D22" s="1461"/>
      <c r="E22" s="1461"/>
    </row>
    <row r="23" spans="1:20">
      <c r="A23" s="632"/>
      <c r="B23" s="632"/>
      <c r="C23" s="632"/>
      <c r="D23" s="632"/>
      <c r="T23" s="517"/>
    </row>
    <row r="24" spans="1:20">
      <c r="A24" s="1463"/>
      <c r="B24" s="1471"/>
      <c r="C24" s="1471"/>
      <c r="D24" s="636"/>
      <c r="E24" s="1467"/>
      <c r="T24" s="517"/>
    </row>
    <row r="25" spans="1:20" ht="18.75">
      <c r="A25" s="1463"/>
      <c r="B25" s="1472"/>
      <c r="C25" s="1472"/>
      <c r="D25" s="1219"/>
      <c r="E25" s="1467"/>
      <c r="T25" s="517"/>
    </row>
    <row r="26" spans="1:20">
      <c r="A26" s="1463"/>
      <c r="B26" s="1222"/>
      <c r="C26" s="662"/>
      <c r="D26" s="1469"/>
      <c r="E26" s="1467"/>
    </row>
    <row r="27" spans="1:20" ht="24">
      <c r="A27" s="1463"/>
      <c r="B27" s="640"/>
      <c r="C27" s="1221"/>
      <c r="D27" s="1469"/>
      <c r="E27" s="1467"/>
      <c r="R27" s="1220" t="s">
        <v>908</v>
      </c>
      <c r="S27" s="639" t="s">
        <v>900</v>
      </c>
    </row>
    <row r="28" spans="1:20" ht="18.75">
      <c r="A28" s="647"/>
      <c r="B28" s="663"/>
      <c r="C28" s="661"/>
      <c r="D28" s="664"/>
      <c r="E28" s="650"/>
      <c r="Q28" s="665" t="s">
        <v>903</v>
      </c>
      <c r="R28" s="666">
        <f>B8/D8*100</f>
        <v>1.1133791055854518</v>
      </c>
      <c r="S28" s="666">
        <f>C8/D8*100</f>
        <v>98.886620894414548</v>
      </c>
    </row>
    <row r="29" spans="1:20" ht="18.75">
      <c r="A29" s="647"/>
      <c r="B29" s="663"/>
      <c r="C29" s="667"/>
      <c r="D29" s="664"/>
      <c r="E29" s="650"/>
      <c r="Q29" s="68" t="s">
        <v>892</v>
      </c>
      <c r="R29" s="666">
        <f>B9/D9*100</f>
        <v>34.615384615384613</v>
      </c>
      <c r="S29" s="668">
        <f>C9/D9*100</f>
        <v>65.384615384615387</v>
      </c>
    </row>
    <row r="30" spans="1:20" ht="18.75">
      <c r="A30" s="651"/>
      <c r="B30" s="663"/>
      <c r="C30" s="661"/>
      <c r="D30" s="664"/>
      <c r="E30" s="650"/>
    </row>
    <row r="31" spans="1:20" ht="18.75">
      <c r="A31" s="651"/>
      <c r="B31" s="663"/>
      <c r="C31" s="661"/>
      <c r="D31" s="664"/>
      <c r="E31" s="650"/>
      <c r="R31" s="666"/>
      <c r="S31" s="666"/>
    </row>
    <row r="32" spans="1:20" ht="18">
      <c r="A32" s="659"/>
      <c r="E32" s="607"/>
    </row>
    <row r="34" spans="1:19">
      <c r="Q34" s="636"/>
      <c r="R34" s="669"/>
      <c r="S34" s="662"/>
    </row>
    <row r="35" spans="1:19">
      <c r="Q35" s="517"/>
      <c r="R35" s="517"/>
      <c r="S35" s="517"/>
    </row>
    <row r="36" spans="1:19">
      <c r="A36" s="517"/>
      <c r="Q36" s="517"/>
      <c r="S36" s="517"/>
    </row>
    <row r="37" spans="1:19">
      <c r="A37" s="517"/>
      <c r="Q37" s="517"/>
      <c r="S37" s="517"/>
    </row>
    <row r="38" spans="1:19">
      <c r="A38" s="517"/>
    </row>
    <row r="58" spans="1:5" ht="21">
      <c r="A58" s="1460" t="s">
        <v>1125</v>
      </c>
      <c r="B58" s="1460"/>
      <c r="C58" s="1460"/>
      <c r="D58" s="1460"/>
      <c r="E58" s="1460"/>
    </row>
    <row r="59" spans="1:5">
      <c r="A59" s="1461" t="s">
        <v>1126</v>
      </c>
      <c r="B59" s="1461"/>
      <c r="C59" s="1461"/>
      <c r="D59" s="1461"/>
      <c r="E59" s="1461"/>
    </row>
    <row r="60" spans="1:5">
      <c r="A60" s="632"/>
      <c r="B60" s="632"/>
      <c r="C60" s="632"/>
      <c r="D60" s="632"/>
    </row>
    <row r="61" spans="1:5">
      <c r="A61" s="1462" t="s">
        <v>893</v>
      </c>
      <c r="B61" s="1465" t="s">
        <v>894</v>
      </c>
      <c r="C61" s="1465"/>
      <c r="D61" s="633"/>
      <c r="E61" s="1466" t="s">
        <v>895</v>
      </c>
    </row>
    <row r="62" spans="1:5" ht="18.75">
      <c r="A62" s="1463"/>
      <c r="B62" s="1468" t="s">
        <v>897</v>
      </c>
      <c r="C62" s="1468"/>
      <c r="D62" s="1219" t="s">
        <v>132</v>
      </c>
      <c r="E62" s="1467"/>
    </row>
    <row r="63" spans="1:5">
      <c r="A63" s="1463"/>
      <c r="B63" s="638" t="s">
        <v>899</v>
      </c>
      <c r="C63" s="639" t="s">
        <v>900</v>
      </c>
      <c r="D63" s="1469" t="s">
        <v>699</v>
      </c>
      <c r="E63" s="1467"/>
    </row>
    <row r="64" spans="1:5" ht="17.25">
      <c r="A64" s="1464"/>
      <c r="B64" s="640" t="s">
        <v>901</v>
      </c>
      <c r="C64" s="641" t="s">
        <v>902</v>
      </c>
      <c r="D64" s="1470"/>
      <c r="E64" s="1467"/>
    </row>
    <row r="65" spans="1:5" ht="18.75">
      <c r="A65" s="642" t="s">
        <v>903</v>
      </c>
      <c r="B65" s="643">
        <v>48</v>
      </c>
      <c r="C65" s="644">
        <v>4846</v>
      </c>
      <c r="D65" s="645">
        <f>SUM(B65)+C65</f>
        <v>4894</v>
      </c>
      <c r="E65" s="646" t="s">
        <v>904</v>
      </c>
    </row>
    <row r="66" spans="1:5" ht="18.75">
      <c r="A66" s="647" t="s">
        <v>892</v>
      </c>
      <c r="B66" s="648">
        <v>60</v>
      </c>
      <c r="C66" s="1025">
        <v>21</v>
      </c>
      <c r="D66" s="649">
        <f>SUM(B66)+C66</f>
        <v>81</v>
      </c>
      <c r="E66" s="650" t="s">
        <v>905</v>
      </c>
    </row>
    <row r="67" spans="1:5" ht="18.75">
      <c r="A67" s="651" t="s">
        <v>896</v>
      </c>
      <c r="B67" s="652">
        <v>16</v>
      </c>
      <c r="C67" s="1026">
        <v>3</v>
      </c>
      <c r="D67" s="653">
        <f>SUM(B67)+C67</f>
        <v>19</v>
      </c>
      <c r="E67" s="654" t="s">
        <v>906</v>
      </c>
    </row>
    <row r="68" spans="1:5" ht="18.75">
      <c r="A68" s="655" t="s">
        <v>898</v>
      </c>
      <c r="B68" s="656">
        <v>44</v>
      </c>
      <c r="C68" s="1027">
        <v>18</v>
      </c>
      <c r="D68" s="657">
        <f>SUM(B68)+C68</f>
        <v>62</v>
      </c>
      <c r="E68" s="658" t="s">
        <v>907</v>
      </c>
    </row>
    <row r="69" spans="1:5" ht="18">
      <c r="A69" s="659" t="s">
        <v>879</v>
      </c>
      <c r="E69" s="607" t="s">
        <v>880</v>
      </c>
    </row>
  </sheetData>
  <mergeCells count="21">
    <mergeCell ref="A58:E58"/>
    <mergeCell ref="A59:E59"/>
    <mergeCell ref="A61:A64"/>
    <mergeCell ref="B61:C61"/>
    <mergeCell ref="E61:E64"/>
    <mergeCell ref="B62:C62"/>
    <mergeCell ref="D63:D64"/>
    <mergeCell ref="A21:E21"/>
    <mergeCell ref="A22:E22"/>
    <mergeCell ref="A24:A27"/>
    <mergeCell ref="B24:C24"/>
    <mergeCell ref="E24:E27"/>
    <mergeCell ref="B25:C25"/>
    <mergeCell ref="D26:D27"/>
    <mergeCell ref="A1:E1"/>
    <mergeCell ref="A2:E2"/>
    <mergeCell ref="A4:A7"/>
    <mergeCell ref="B4:C4"/>
    <mergeCell ref="E4:E7"/>
    <mergeCell ref="B5:C5"/>
    <mergeCell ref="D6:D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L47"/>
  <sheetViews>
    <sheetView topLeftCell="A28" workbookViewId="0">
      <selection activeCell="G8" sqref="G8"/>
    </sheetView>
  </sheetViews>
  <sheetFormatPr defaultRowHeight="15"/>
  <cols>
    <col min="1" max="1" width="21.140625" style="68" customWidth="1"/>
    <col min="2" max="8" width="17.85546875" style="68" customWidth="1"/>
    <col min="9" max="9" width="21.140625" style="68" customWidth="1"/>
    <col min="10" max="10" width="8.7109375" style="68"/>
    <col min="11" max="11" width="11.5703125" style="68" customWidth="1"/>
    <col min="12" max="256" width="8.7109375" style="68"/>
    <col min="257" max="257" width="21.140625" style="68" customWidth="1"/>
    <col min="258" max="258" width="17" style="68" customWidth="1"/>
    <col min="259" max="260" width="21.5703125" style="68" customWidth="1"/>
    <col min="261" max="261" width="16.7109375" style="68" customWidth="1"/>
    <col min="262" max="266" width="8.7109375" style="68"/>
    <col min="267" max="267" width="11.5703125" style="68" customWidth="1"/>
    <col min="268" max="512" width="8.7109375" style="68"/>
    <col min="513" max="513" width="21.140625" style="68" customWidth="1"/>
    <col min="514" max="514" width="17" style="68" customWidth="1"/>
    <col min="515" max="516" width="21.5703125" style="68" customWidth="1"/>
    <col min="517" max="517" width="16.7109375" style="68" customWidth="1"/>
    <col min="518" max="522" width="8.7109375" style="68"/>
    <col min="523" max="523" width="11.5703125" style="68" customWidth="1"/>
    <col min="524" max="768" width="8.7109375" style="68"/>
    <col min="769" max="769" width="21.140625" style="68" customWidth="1"/>
    <col min="770" max="770" width="17" style="68" customWidth="1"/>
    <col min="771" max="772" width="21.5703125" style="68" customWidth="1"/>
    <col min="773" max="773" width="16.7109375" style="68" customWidth="1"/>
    <col min="774" max="778" width="8.7109375" style="68"/>
    <col min="779" max="779" width="11.5703125" style="68" customWidth="1"/>
    <col min="780" max="1024" width="8.7109375" style="68"/>
    <col min="1025" max="1025" width="21.140625" style="68" customWidth="1"/>
    <col min="1026" max="1026" width="17" style="68" customWidth="1"/>
    <col min="1027" max="1028" width="21.5703125" style="68" customWidth="1"/>
    <col min="1029" max="1029" width="16.7109375" style="68" customWidth="1"/>
    <col min="1030" max="1034" width="8.7109375" style="68"/>
    <col min="1035" max="1035" width="11.5703125" style="68" customWidth="1"/>
    <col min="1036" max="1280" width="8.7109375" style="68"/>
    <col min="1281" max="1281" width="21.140625" style="68" customWidth="1"/>
    <col min="1282" max="1282" width="17" style="68" customWidth="1"/>
    <col min="1283" max="1284" width="21.5703125" style="68" customWidth="1"/>
    <col min="1285" max="1285" width="16.7109375" style="68" customWidth="1"/>
    <col min="1286" max="1290" width="8.7109375" style="68"/>
    <col min="1291" max="1291" width="11.5703125" style="68" customWidth="1"/>
    <col min="1292" max="1536" width="8.7109375" style="68"/>
    <col min="1537" max="1537" width="21.140625" style="68" customWidth="1"/>
    <col min="1538" max="1538" width="17" style="68" customWidth="1"/>
    <col min="1539" max="1540" width="21.5703125" style="68" customWidth="1"/>
    <col min="1541" max="1541" width="16.7109375" style="68" customWidth="1"/>
    <col min="1542" max="1546" width="8.7109375" style="68"/>
    <col min="1547" max="1547" width="11.5703125" style="68" customWidth="1"/>
    <col min="1548" max="1792" width="8.7109375" style="68"/>
    <col min="1793" max="1793" width="21.140625" style="68" customWidth="1"/>
    <col min="1794" max="1794" width="17" style="68" customWidth="1"/>
    <col min="1795" max="1796" width="21.5703125" style="68" customWidth="1"/>
    <col min="1797" max="1797" width="16.7109375" style="68" customWidth="1"/>
    <col min="1798" max="1802" width="8.7109375" style="68"/>
    <col min="1803" max="1803" width="11.5703125" style="68" customWidth="1"/>
    <col min="1804" max="2048" width="8.7109375" style="68"/>
    <col min="2049" max="2049" width="21.140625" style="68" customWidth="1"/>
    <col min="2050" max="2050" width="17" style="68" customWidth="1"/>
    <col min="2051" max="2052" width="21.5703125" style="68" customWidth="1"/>
    <col min="2053" max="2053" width="16.7109375" style="68" customWidth="1"/>
    <col min="2054" max="2058" width="8.7109375" style="68"/>
    <col min="2059" max="2059" width="11.5703125" style="68" customWidth="1"/>
    <col min="2060" max="2304" width="8.7109375" style="68"/>
    <col min="2305" max="2305" width="21.140625" style="68" customWidth="1"/>
    <col min="2306" max="2306" width="17" style="68" customWidth="1"/>
    <col min="2307" max="2308" width="21.5703125" style="68" customWidth="1"/>
    <col min="2309" max="2309" width="16.7109375" style="68" customWidth="1"/>
    <col min="2310" max="2314" width="8.7109375" style="68"/>
    <col min="2315" max="2315" width="11.5703125" style="68" customWidth="1"/>
    <col min="2316" max="2560" width="8.7109375" style="68"/>
    <col min="2561" max="2561" width="21.140625" style="68" customWidth="1"/>
    <col min="2562" max="2562" width="17" style="68" customWidth="1"/>
    <col min="2563" max="2564" width="21.5703125" style="68" customWidth="1"/>
    <col min="2565" max="2565" width="16.7109375" style="68" customWidth="1"/>
    <col min="2566" max="2570" width="8.7109375" style="68"/>
    <col min="2571" max="2571" width="11.5703125" style="68" customWidth="1"/>
    <col min="2572" max="2816" width="8.7109375" style="68"/>
    <col min="2817" max="2817" width="21.140625" style="68" customWidth="1"/>
    <col min="2818" max="2818" width="17" style="68" customWidth="1"/>
    <col min="2819" max="2820" width="21.5703125" style="68" customWidth="1"/>
    <col min="2821" max="2821" width="16.7109375" style="68" customWidth="1"/>
    <col min="2822" max="2826" width="8.7109375" style="68"/>
    <col min="2827" max="2827" width="11.5703125" style="68" customWidth="1"/>
    <col min="2828" max="3072" width="8.7109375" style="68"/>
    <col min="3073" max="3073" width="21.140625" style="68" customWidth="1"/>
    <col min="3074" max="3074" width="17" style="68" customWidth="1"/>
    <col min="3075" max="3076" width="21.5703125" style="68" customWidth="1"/>
    <col min="3077" max="3077" width="16.7109375" style="68" customWidth="1"/>
    <col min="3078" max="3082" width="8.7109375" style="68"/>
    <col min="3083" max="3083" width="11.5703125" style="68" customWidth="1"/>
    <col min="3084" max="3328" width="8.7109375" style="68"/>
    <col min="3329" max="3329" width="21.140625" style="68" customWidth="1"/>
    <col min="3330" max="3330" width="17" style="68" customWidth="1"/>
    <col min="3331" max="3332" width="21.5703125" style="68" customWidth="1"/>
    <col min="3333" max="3333" width="16.7109375" style="68" customWidth="1"/>
    <col min="3334" max="3338" width="8.7109375" style="68"/>
    <col min="3339" max="3339" width="11.5703125" style="68" customWidth="1"/>
    <col min="3340" max="3584" width="8.7109375" style="68"/>
    <col min="3585" max="3585" width="21.140625" style="68" customWidth="1"/>
    <col min="3586" max="3586" width="17" style="68" customWidth="1"/>
    <col min="3587" max="3588" width="21.5703125" style="68" customWidth="1"/>
    <col min="3589" max="3589" width="16.7109375" style="68" customWidth="1"/>
    <col min="3590" max="3594" width="8.7109375" style="68"/>
    <col min="3595" max="3595" width="11.5703125" style="68" customWidth="1"/>
    <col min="3596" max="3840" width="8.7109375" style="68"/>
    <col min="3841" max="3841" width="21.140625" style="68" customWidth="1"/>
    <col min="3842" max="3842" width="17" style="68" customWidth="1"/>
    <col min="3843" max="3844" width="21.5703125" style="68" customWidth="1"/>
    <col min="3845" max="3845" width="16.7109375" style="68" customWidth="1"/>
    <col min="3846" max="3850" width="8.7109375" style="68"/>
    <col min="3851" max="3851" width="11.5703125" style="68" customWidth="1"/>
    <col min="3852" max="4096" width="8.7109375" style="68"/>
    <col min="4097" max="4097" width="21.140625" style="68" customWidth="1"/>
    <col min="4098" max="4098" width="17" style="68" customWidth="1"/>
    <col min="4099" max="4100" width="21.5703125" style="68" customWidth="1"/>
    <col min="4101" max="4101" width="16.7109375" style="68" customWidth="1"/>
    <col min="4102" max="4106" width="8.7109375" style="68"/>
    <col min="4107" max="4107" width="11.5703125" style="68" customWidth="1"/>
    <col min="4108" max="4352" width="8.7109375" style="68"/>
    <col min="4353" max="4353" width="21.140625" style="68" customWidth="1"/>
    <col min="4354" max="4354" width="17" style="68" customWidth="1"/>
    <col min="4355" max="4356" width="21.5703125" style="68" customWidth="1"/>
    <col min="4357" max="4357" width="16.7109375" style="68" customWidth="1"/>
    <col min="4358" max="4362" width="8.7109375" style="68"/>
    <col min="4363" max="4363" width="11.5703125" style="68" customWidth="1"/>
    <col min="4364" max="4608" width="8.7109375" style="68"/>
    <col min="4609" max="4609" width="21.140625" style="68" customWidth="1"/>
    <col min="4610" max="4610" width="17" style="68" customWidth="1"/>
    <col min="4611" max="4612" width="21.5703125" style="68" customWidth="1"/>
    <col min="4613" max="4613" width="16.7109375" style="68" customWidth="1"/>
    <col min="4614" max="4618" width="8.7109375" style="68"/>
    <col min="4619" max="4619" width="11.5703125" style="68" customWidth="1"/>
    <col min="4620" max="4864" width="8.7109375" style="68"/>
    <col min="4865" max="4865" width="21.140625" style="68" customWidth="1"/>
    <col min="4866" max="4866" width="17" style="68" customWidth="1"/>
    <col min="4867" max="4868" width="21.5703125" style="68" customWidth="1"/>
    <col min="4869" max="4869" width="16.7109375" style="68" customWidth="1"/>
    <col min="4870" max="4874" width="8.7109375" style="68"/>
    <col min="4875" max="4875" width="11.5703125" style="68" customWidth="1"/>
    <col min="4876" max="5120" width="8.7109375" style="68"/>
    <col min="5121" max="5121" width="21.140625" style="68" customWidth="1"/>
    <col min="5122" max="5122" width="17" style="68" customWidth="1"/>
    <col min="5123" max="5124" width="21.5703125" style="68" customWidth="1"/>
    <col min="5125" max="5125" width="16.7109375" style="68" customWidth="1"/>
    <col min="5126" max="5130" width="8.7109375" style="68"/>
    <col min="5131" max="5131" width="11.5703125" style="68" customWidth="1"/>
    <col min="5132" max="5376" width="8.7109375" style="68"/>
    <col min="5377" max="5377" width="21.140625" style="68" customWidth="1"/>
    <col min="5378" max="5378" width="17" style="68" customWidth="1"/>
    <col min="5379" max="5380" width="21.5703125" style="68" customWidth="1"/>
    <col min="5381" max="5381" width="16.7109375" style="68" customWidth="1"/>
    <col min="5382" max="5386" width="8.7109375" style="68"/>
    <col min="5387" max="5387" width="11.5703125" style="68" customWidth="1"/>
    <col min="5388" max="5632" width="8.7109375" style="68"/>
    <col min="5633" max="5633" width="21.140625" style="68" customWidth="1"/>
    <col min="5634" max="5634" width="17" style="68" customWidth="1"/>
    <col min="5635" max="5636" width="21.5703125" style="68" customWidth="1"/>
    <col min="5637" max="5637" width="16.7109375" style="68" customWidth="1"/>
    <col min="5638" max="5642" width="8.7109375" style="68"/>
    <col min="5643" max="5643" width="11.5703125" style="68" customWidth="1"/>
    <col min="5644" max="5888" width="8.7109375" style="68"/>
    <col min="5889" max="5889" width="21.140625" style="68" customWidth="1"/>
    <col min="5890" max="5890" width="17" style="68" customWidth="1"/>
    <col min="5891" max="5892" width="21.5703125" style="68" customWidth="1"/>
    <col min="5893" max="5893" width="16.7109375" style="68" customWidth="1"/>
    <col min="5894" max="5898" width="8.7109375" style="68"/>
    <col min="5899" max="5899" width="11.5703125" style="68" customWidth="1"/>
    <col min="5900" max="6144" width="8.7109375" style="68"/>
    <col min="6145" max="6145" width="21.140625" style="68" customWidth="1"/>
    <col min="6146" max="6146" width="17" style="68" customWidth="1"/>
    <col min="6147" max="6148" width="21.5703125" style="68" customWidth="1"/>
    <col min="6149" max="6149" width="16.7109375" style="68" customWidth="1"/>
    <col min="6150" max="6154" width="8.7109375" style="68"/>
    <col min="6155" max="6155" width="11.5703125" style="68" customWidth="1"/>
    <col min="6156" max="6400" width="8.7109375" style="68"/>
    <col min="6401" max="6401" width="21.140625" style="68" customWidth="1"/>
    <col min="6402" max="6402" width="17" style="68" customWidth="1"/>
    <col min="6403" max="6404" width="21.5703125" style="68" customWidth="1"/>
    <col min="6405" max="6405" width="16.7109375" style="68" customWidth="1"/>
    <col min="6406" max="6410" width="8.7109375" style="68"/>
    <col min="6411" max="6411" width="11.5703125" style="68" customWidth="1"/>
    <col min="6412" max="6656" width="8.7109375" style="68"/>
    <col min="6657" max="6657" width="21.140625" style="68" customWidth="1"/>
    <col min="6658" max="6658" width="17" style="68" customWidth="1"/>
    <col min="6659" max="6660" width="21.5703125" style="68" customWidth="1"/>
    <col min="6661" max="6661" width="16.7109375" style="68" customWidth="1"/>
    <col min="6662" max="6666" width="8.7109375" style="68"/>
    <col min="6667" max="6667" width="11.5703125" style="68" customWidth="1"/>
    <col min="6668" max="6912" width="8.7109375" style="68"/>
    <col min="6913" max="6913" width="21.140625" style="68" customWidth="1"/>
    <col min="6914" max="6914" width="17" style="68" customWidth="1"/>
    <col min="6915" max="6916" width="21.5703125" style="68" customWidth="1"/>
    <col min="6917" max="6917" width="16.7109375" style="68" customWidth="1"/>
    <col min="6918" max="6922" width="8.7109375" style="68"/>
    <col min="6923" max="6923" width="11.5703125" style="68" customWidth="1"/>
    <col min="6924" max="7168" width="8.7109375" style="68"/>
    <col min="7169" max="7169" width="21.140625" style="68" customWidth="1"/>
    <col min="7170" max="7170" width="17" style="68" customWidth="1"/>
    <col min="7171" max="7172" width="21.5703125" style="68" customWidth="1"/>
    <col min="7173" max="7173" width="16.7109375" style="68" customWidth="1"/>
    <col min="7174" max="7178" width="8.7109375" style="68"/>
    <col min="7179" max="7179" width="11.5703125" style="68" customWidth="1"/>
    <col min="7180" max="7424" width="8.7109375" style="68"/>
    <col min="7425" max="7425" width="21.140625" style="68" customWidth="1"/>
    <col min="7426" max="7426" width="17" style="68" customWidth="1"/>
    <col min="7427" max="7428" width="21.5703125" style="68" customWidth="1"/>
    <col min="7429" max="7429" width="16.7109375" style="68" customWidth="1"/>
    <col min="7430" max="7434" width="8.7109375" style="68"/>
    <col min="7435" max="7435" width="11.5703125" style="68" customWidth="1"/>
    <col min="7436" max="7680" width="8.7109375" style="68"/>
    <col min="7681" max="7681" width="21.140625" style="68" customWidth="1"/>
    <col min="7682" max="7682" width="17" style="68" customWidth="1"/>
    <col min="7683" max="7684" width="21.5703125" style="68" customWidth="1"/>
    <col min="7685" max="7685" width="16.7109375" style="68" customWidth="1"/>
    <col min="7686" max="7690" width="8.7109375" style="68"/>
    <col min="7691" max="7691" width="11.5703125" style="68" customWidth="1"/>
    <col min="7692" max="7936" width="8.7109375" style="68"/>
    <col min="7937" max="7937" width="21.140625" style="68" customWidth="1"/>
    <col min="7938" max="7938" width="17" style="68" customWidth="1"/>
    <col min="7939" max="7940" width="21.5703125" style="68" customWidth="1"/>
    <col min="7941" max="7941" width="16.7109375" style="68" customWidth="1"/>
    <col min="7942" max="7946" width="8.7109375" style="68"/>
    <col min="7947" max="7947" width="11.5703125" style="68" customWidth="1"/>
    <col min="7948" max="8192" width="8.7109375" style="68"/>
    <col min="8193" max="8193" width="21.140625" style="68" customWidth="1"/>
    <col min="8194" max="8194" width="17" style="68" customWidth="1"/>
    <col min="8195" max="8196" width="21.5703125" style="68" customWidth="1"/>
    <col min="8197" max="8197" width="16.7109375" style="68" customWidth="1"/>
    <col min="8198" max="8202" width="8.7109375" style="68"/>
    <col min="8203" max="8203" width="11.5703125" style="68" customWidth="1"/>
    <col min="8204" max="8448" width="8.7109375" style="68"/>
    <col min="8449" max="8449" width="21.140625" style="68" customWidth="1"/>
    <col min="8450" max="8450" width="17" style="68" customWidth="1"/>
    <col min="8451" max="8452" width="21.5703125" style="68" customWidth="1"/>
    <col min="8453" max="8453" width="16.7109375" style="68" customWidth="1"/>
    <col min="8454" max="8458" width="8.7109375" style="68"/>
    <col min="8459" max="8459" width="11.5703125" style="68" customWidth="1"/>
    <col min="8460" max="8704" width="8.7109375" style="68"/>
    <col min="8705" max="8705" width="21.140625" style="68" customWidth="1"/>
    <col min="8706" max="8706" width="17" style="68" customWidth="1"/>
    <col min="8707" max="8708" width="21.5703125" style="68" customWidth="1"/>
    <col min="8709" max="8709" width="16.7109375" style="68" customWidth="1"/>
    <col min="8710" max="8714" width="8.7109375" style="68"/>
    <col min="8715" max="8715" width="11.5703125" style="68" customWidth="1"/>
    <col min="8716" max="8960" width="8.7109375" style="68"/>
    <col min="8961" max="8961" width="21.140625" style="68" customWidth="1"/>
    <col min="8962" max="8962" width="17" style="68" customWidth="1"/>
    <col min="8963" max="8964" width="21.5703125" style="68" customWidth="1"/>
    <col min="8965" max="8965" width="16.7109375" style="68" customWidth="1"/>
    <col min="8966" max="8970" width="8.7109375" style="68"/>
    <col min="8971" max="8971" width="11.5703125" style="68" customWidth="1"/>
    <col min="8972" max="9216" width="8.7109375" style="68"/>
    <col min="9217" max="9217" width="21.140625" style="68" customWidth="1"/>
    <col min="9218" max="9218" width="17" style="68" customWidth="1"/>
    <col min="9219" max="9220" width="21.5703125" style="68" customWidth="1"/>
    <col min="9221" max="9221" width="16.7109375" style="68" customWidth="1"/>
    <col min="9222" max="9226" width="8.7109375" style="68"/>
    <col min="9227" max="9227" width="11.5703125" style="68" customWidth="1"/>
    <col min="9228" max="9472" width="8.7109375" style="68"/>
    <col min="9473" max="9473" width="21.140625" style="68" customWidth="1"/>
    <col min="9474" max="9474" width="17" style="68" customWidth="1"/>
    <col min="9475" max="9476" width="21.5703125" style="68" customWidth="1"/>
    <col min="9477" max="9477" width="16.7109375" style="68" customWidth="1"/>
    <col min="9478" max="9482" width="8.7109375" style="68"/>
    <col min="9483" max="9483" width="11.5703125" style="68" customWidth="1"/>
    <col min="9484" max="9728" width="8.7109375" style="68"/>
    <col min="9729" max="9729" width="21.140625" style="68" customWidth="1"/>
    <col min="9730" max="9730" width="17" style="68" customWidth="1"/>
    <col min="9731" max="9732" width="21.5703125" style="68" customWidth="1"/>
    <col min="9733" max="9733" width="16.7109375" style="68" customWidth="1"/>
    <col min="9734" max="9738" width="8.7109375" style="68"/>
    <col min="9739" max="9739" width="11.5703125" style="68" customWidth="1"/>
    <col min="9740" max="9984" width="8.7109375" style="68"/>
    <col min="9985" max="9985" width="21.140625" style="68" customWidth="1"/>
    <col min="9986" max="9986" width="17" style="68" customWidth="1"/>
    <col min="9987" max="9988" width="21.5703125" style="68" customWidth="1"/>
    <col min="9989" max="9989" width="16.7109375" style="68" customWidth="1"/>
    <col min="9990" max="9994" width="8.7109375" style="68"/>
    <col min="9995" max="9995" width="11.5703125" style="68" customWidth="1"/>
    <col min="9996" max="10240" width="8.7109375" style="68"/>
    <col min="10241" max="10241" width="21.140625" style="68" customWidth="1"/>
    <col min="10242" max="10242" width="17" style="68" customWidth="1"/>
    <col min="10243" max="10244" width="21.5703125" style="68" customWidth="1"/>
    <col min="10245" max="10245" width="16.7109375" style="68" customWidth="1"/>
    <col min="10246" max="10250" width="8.7109375" style="68"/>
    <col min="10251" max="10251" width="11.5703125" style="68" customWidth="1"/>
    <col min="10252" max="10496" width="8.7109375" style="68"/>
    <col min="10497" max="10497" width="21.140625" style="68" customWidth="1"/>
    <col min="10498" max="10498" width="17" style="68" customWidth="1"/>
    <col min="10499" max="10500" width="21.5703125" style="68" customWidth="1"/>
    <col min="10501" max="10501" width="16.7109375" style="68" customWidth="1"/>
    <col min="10502" max="10506" width="8.7109375" style="68"/>
    <col min="10507" max="10507" width="11.5703125" style="68" customWidth="1"/>
    <col min="10508" max="10752" width="8.7109375" style="68"/>
    <col min="10753" max="10753" width="21.140625" style="68" customWidth="1"/>
    <col min="10754" max="10754" width="17" style="68" customWidth="1"/>
    <col min="10755" max="10756" width="21.5703125" style="68" customWidth="1"/>
    <col min="10757" max="10757" width="16.7109375" style="68" customWidth="1"/>
    <col min="10758" max="10762" width="8.7109375" style="68"/>
    <col min="10763" max="10763" width="11.5703125" style="68" customWidth="1"/>
    <col min="10764" max="11008" width="8.7109375" style="68"/>
    <col min="11009" max="11009" width="21.140625" style="68" customWidth="1"/>
    <col min="11010" max="11010" width="17" style="68" customWidth="1"/>
    <col min="11011" max="11012" width="21.5703125" style="68" customWidth="1"/>
    <col min="11013" max="11013" width="16.7109375" style="68" customWidth="1"/>
    <col min="11014" max="11018" width="8.7109375" style="68"/>
    <col min="11019" max="11019" width="11.5703125" style="68" customWidth="1"/>
    <col min="11020" max="11264" width="8.7109375" style="68"/>
    <col min="11265" max="11265" width="21.140625" style="68" customWidth="1"/>
    <col min="11266" max="11266" width="17" style="68" customWidth="1"/>
    <col min="11267" max="11268" width="21.5703125" style="68" customWidth="1"/>
    <col min="11269" max="11269" width="16.7109375" style="68" customWidth="1"/>
    <col min="11270" max="11274" width="8.7109375" style="68"/>
    <col min="11275" max="11275" width="11.5703125" style="68" customWidth="1"/>
    <col min="11276" max="11520" width="8.7109375" style="68"/>
    <col min="11521" max="11521" width="21.140625" style="68" customWidth="1"/>
    <col min="11522" max="11522" width="17" style="68" customWidth="1"/>
    <col min="11523" max="11524" width="21.5703125" style="68" customWidth="1"/>
    <col min="11525" max="11525" width="16.7109375" style="68" customWidth="1"/>
    <col min="11526" max="11530" width="8.7109375" style="68"/>
    <col min="11531" max="11531" width="11.5703125" style="68" customWidth="1"/>
    <col min="11532" max="11776" width="8.7109375" style="68"/>
    <col min="11777" max="11777" width="21.140625" style="68" customWidth="1"/>
    <col min="11778" max="11778" width="17" style="68" customWidth="1"/>
    <col min="11779" max="11780" width="21.5703125" style="68" customWidth="1"/>
    <col min="11781" max="11781" width="16.7109375" style="68" customWidth="1"/>
    <col min="11782" max="11786" width="8.7109375" style="68"/>
    <col min="11787" max="11787" width="11.5703125" style="68" customWidth="1"/>
    <col min="11788" max="12032" width="8.7109375" style="68"/>
    <col min="12033" max="12033" width="21.140625" style="68" customWidth="1"/>
    <col min="12034" max="12034" width="17" style="68" customWidth="1"/>
    <col min="12035" max="12036" width="21.5703125" style="68" customWidth="1"/>
    <col min="12037" max="12037" width="16.7109375" style="68" customWidth="1"/>
    <col min="12038" max="12042" width="8.7109375" style="68"/>
    <col min="12043" max="12043" width="11.5703125" style="68" customWidth="1"/>
    <col min="12044" max="12288" width="8.7109375" style="68"/>
    <col min="12289" max="12289" width="21.140625" style="68" customWidth="1"/>
    <col min="12290" max="12290" width="17" style="68" customWidth="1"/>
    <col min="12291" max="12292" width="21.5703125" style="68" customWidth="1"/>
    <col min="12293" max="12293" width="16.7109375" style="68" customWidth="1"/>
    <col min="12294" max="12298" width="8.7109375" style="68"/>
    <col min="12299" max="12299" width="11.5703125" style="68" customWidth="1"/>
    <col min="12300" max="12544" width="8.7109375" style="68"/>
    <col min="12545" max="12545" width="21.140625" style="68" customWidth="1"/>
    <col min="12546" max="12546" width="17" style="68" customWidth="1"/>
    <col min="12547" max="12548" width="21.5703125" style="68" customWidth="1"/>
    <col min="12549" max="12549" width="16.7109375" style="68" customWidth="1"/>
    <col min="12550" max="12554" width="8.7109375" style="68"/>
    <col min="12555" max="12555" width="11.5703125" style="68" customWidth="1"/>
    <col min="12556" max="12800" width="8.7109375" style="68"/>
    <col min="12801" max="12801" width="21.140625" style="68" customWidth="1"/>
    <col min="12802" max="12802" width="17" style="68" customWidth="1"/>
    <col min="12803" max="12804" width="21.5703125" style="68" customWidth="1"/>
    <col min="12805" max="12805" width="16.7109375" style="68" customWidth="1"/>
    <col min="12806" max="12810" width="8.7109375" style="68"/>
    <col min="12811" max="12811" width="11.5703125" style="68" customWidth="1"/>
    <col min="12812" max="13056" width="8.7109375" style="68"/>
    <col min="13057" max="13057" width="21.140625" style="68" customWidth="1"/>
    <col min="13058" max="13058" width="17" style="68" customWidth="1"/>
    <col min="13059" max="13060" width="21.5703125" style="68" customWidth="1"/>
    <col min="13061" max="13061" width="16.7109375" style="68" customWidth="1"/>
    <col min="13062" max="13066" width="8.7109375" style="68"/>
    <col min="13067" max="13067" width="11.5703125" style="68" customWidth="1"/>
    <col min="13068" max="13312" width="8.7109375" style="68"/>
    <col min="13313" max="13313" width="21.140625" style="68" customWidth="1"/>
    <col min="13314" max="13314" width="17" style="68" customWidth="1"/>
    <col min="13315" max="13316" width="21.5703125" style="68" customWidth="1"/>
    <col min="13317" max="13317" width="16.7109375" style="68" customWidth="1"/>
    <col min="13318" max="13322" width="8.7109375" style="68"/>
    <col min="13323" max="13323" width="11.5703125" style="68" customWidth="1"/>
    <col min="13324" max="13568" width="8.7109375" style="68"/>
    <col min="13569" max="13569" width="21.140625" style="68" customWidth="1"/>
    <col min="13570" max="13570" width="17" style="68" customWidth="1"/>
    <col min="13571" max="13572" width="21.5703125" style="68" customWidth="1"/>
    <col min="13573" max="13573" width="16.7109375" style="68" customWidth="1"/>
    <col min="13574" max="13578" width="8.7109375" style="68"/>
    <col min="13579" max="13579" width="11.5703125" style="68" customWidth="1"/>
    <col min="13580" max="13824" width="8.7109375" style="68"/>
    <col min="13825" max="13825" width="21.140625" style="68" customWidth="1"/>
    <col min="13826" max="13826" width="17" style="68" customWidth="1"/>
    <col min="13827" max="13828" width="21.5703125" style="68" customWidth="1"/>
    <col min="13829" max="13829" width="16.7109375" style="68" customWidth="1"/>
    <col min="13830" max="13834" width="8.7109375" style="68"/>
    <col min="13835" max="13835" width="11.5703125" style="68" customWidth="1"/>
    <col min="13836" max="14080" width="8.7109375" style="68"/>
    <col min="14081" max="14081" width="21.140625" style="68" customWidth="1"/>
    <col min="14082" max="14082" width="17" style="68" customWidth="1"/>
    <col min="14083" max="14084" width="21.5703125" style="68" customWidth="1"/>
    <col min="14085" max="14085" width="16.7109375" style="68" customWidth="1"/>
    <col min="14086" max="14090" width="8.7109375" style="68"/>
    <col min="14091" max="14091" width="11.5703125" style="68" customWidth="1"/>
    <col min="14092" max="14336" width="8.7109375" style="68"/>
    <col min="14337" max="14337" width="21.140625" style="68" customWidth="1"/>
    <col min="14338" max="14338" width="17" style="68" customWidth="1"/>
    <col min="14339" max="14340" width="21.5703125" style="68" customWidth="1"/>
    <col min="14341" max="14341" width="16.7109375" style="68" customWidth="1"/>
    <col min="14342" max="14346" width="8.7109375" style="68"/>
    <col min="14347" max="14347" width="11.5703125" style="68" customWidth="1"/>
    <col min="14348" max="14592" width="8.7109375" style="68"/>
    <col min="14593" max="14593" width="21.140625" style="68" customWidth="1"/>
    <col min="14594" max="14594" width="17" style="68" customWidth="1"/>
    <col min="14595" max="14596" width="21.5703125" style="68" customWidth="1"/>
    <col min="14597" max="14597" width="16.7109375" style="68" customWidth="1"/>
    <col min="14598" max="14602" width="8.7109375" style="68"/>
    <col min="14603" max="14603" width="11.5703125" style="68" customWidth="1"/>
    <col min="14604" max="14848" width="8.7109375" style="68"/>
    <col min="14849" max="14849" width="21.140625" style="68" customWidth="1"/>
    <col min="14850" max="14850" width="17" style="68" customWidth="1"/>
    <col min="14851" max="14852" width="21.5703125" style="68" customWidth="1"/>
    <col min="14853" max="14853" width="16.7109375" style="68" customWidth="1"/>
    <col min="14854" max="14858" width="8.7109375" style="68"/>
    <col min="14859" max="14859" width="11.5703125" style="68" customWidth="1"/>
    <col min="14860" max="15104" width="8.7109375" style="68"/>
    <col min="15105" max="15105" width="21.140625" style="68" customWidth="1"/>
    <col min="15106" max="15106" width="17" style="68" customWidth="1"/>
    <col min="15107" max="15108" width="21.5703125" style="68" customWidth="1"/>
    <col min="15109" max="15109" width="16.7109375" style="68" customWidth="1"/>
    <col min="15110" max="15114" width="8.7109375" style="68"/>
    <col min="15115" max="15115" width="11.5703125" style="68" customWidth="1"/>
    <col min="15116" max="15360" width="8.7109375" style="68"/>
    <col min="15361" max="15361" width="21.140625" style="68" customWidth="1"/>
    <col min="15362" max="15362" width="17" style="68" customWidth="1"/>
    <col min="15363" max="15364" width="21.5703125" style="68" customWidth="1"/>
    <col min="15365" max="15365" width="16.7109375" style="68" customWidth="1"/>
    <col min="15366" max="15370" width="8.7109375" style="68"/>
    <col min="15371" max="15371" width="11.5703125" style="68" customWidth="1"/>
    <col min="15372" max="15616" width="8.7109375" style="68"/>
    <col min="15617" max="15617" width="21.140625" style="68" customWidth="1"/>
    <col min="15618" max="15618" width="17" style="68" customWidth="1"/>
    <col min="15619" max="15620" width="21.5703125" style="68" customWidth="1"/>
    <col min="15621" max="15621" width="16.7109375" style="68" customWidth="1"/>
    <col min="15622" max="15626" width="8.7109375" style="68"/>
    <col min="15627" max="15627" width="11.5703125" style="68" customWidth="1"/>
    <col min="15628" max="15872" width="8.7109375" style="68"/>
    <col min="15873" max="15873" width="21.140625" style="68" customWidth="1"/>
    <col min="15874" max="15874" width="17" style="68" customWidth="1"/>
    <col min="15875" max="15876" width="21.5703125" style="68" customWidth="1"/>
    <col min="15877" max="15877" width="16.7109375" style="68" customWidth="1"/>
    <col min="15878" max="15882" width="8.7109375" style="68"/>
    <col min="15883" max="15883" width="11.5703125" style="68" customWidth="1"/>
    <col min="15884" max="16128" width="8.7109375" style="68"/>
    <col min="16129" max="16129" width="21.140625" style="68" customWidth="1"/>
    <col min="16130" max="16130" width="17" style="68" customWidth="1"/>
    <col min="16131" max="16132" width="21.5703125" style="68" customWidth="1"/>
    <col min="16133" max="16133" width="16.7109375" style="68" customWidth="1"/>
    <col min="16134" max="16138" width="8.7109375" style="68"/>
    <col min="16139" max="16139" width="11.5703125" style="68" customWidth="1"/>
    <col min="16140" max="16384" width="8.7109375" style="68"/>
  </cols>
  <sheetData>
    <row r="1" spans="1:9" ht="21">
      <c r="A1" s="1460" t="s">
        <v>1172</v>
      </c>
      <c r="B1" s="1460"/>
      <c r="C1" s="1460"/>
      <c r="D1" s="1460"/>
      <c r="E1" s="1460"/>
      <c r="F1" s="1460"/>
      <c r="G1" s="1460"/>
      <c r="H1" s="1460"/>
      <c r="I1" s="1460"/>
    </row>
    <row r="2" spans="1:9" ht="15" customHeight="1">
      <c r="A2" s="1473" t="s">
        <v>1171</v>
      </c>
      <c r="B2" s="1473"/>
      <c r="C2" s="1473"/>
      <c r="D2" s="1473"/>
      <c r="E2" s="1473"/>
      <c r="F2" s="1473"/>
      <c r="G2" s="1473"/>
      <c r="H2" s="1473"/>
      <c r="I2" s="1473"/>
    </row>
    <row r="4" spans="1:9" ht="31.5" customHeight="1">
      <c r="A4" s="1474" t="s">
        <v>1064</v>
      </c>
      <c r="B4" s="1477" t="s">
        <v>1067</v>
      </c>
      <c r="C4" s="1478"/>
      <c r="D4" s="1478"/>
      <c r="E4" s="1479"/>
      <c r="F4" s="1480" t="s">
        <v>1068</v>
      </c>
      <c r="G4" s="1483" t="s">
        <v>1065</v>
      </c>
      <c r="H4" s="1484"/>
      <c r="I4" s="1485" t="s">
        <v>909</v>
      </c>
    </row>
    <row r="5" spans="1:9" ht="26.25" customHeight="1">
      <c r="A5" s="1475"/>
      <c r="B5" s="1488" t="s">
        <v>1069</v>
      </c>
      <c r="C5" s="1489"/>
      <c r="D5" s="1489"/>
      <c r="E5" s="1490"/>
      <c r="F5" s="1481"/>
      <c r="G5" s="1491" t="s">
        <v>1066</v>
      </c>
      <c r="H5" s="1492"/>
      <c r="I5" s="1486"/>
    </row>
    <row r="6" spans="1:9" ht="69.75" customHeight="1">
      <c r="A6" s="1476"/>
      <c r="B6" s="1028" t="s">
        <v>1070</v>
      </c>
      <c r="C6" s="1029" t="s">
        <v>1071</v>
      </c>
      <c r="D6" s="1029" t="s">
        <v>1072</v>
      </c>
      <c r="E6" s="1030" t="s">
        <v>1073</v>
      </c>
      <c r="F6" s="1482"/>
      <c r="G6" s="1031" t="s">
        <v>1072</v>
      </c>
      <c r="H6" s="1032" t="s">
        <v>1073</v>
      </c>
      <c r="I6" s="1487"/>
    </row>
    <row r="7" spans="1:9" s="670" customFormat="1" ht="21">
      <c r="A7" s="1033" t="s">
        <v>132</v>
      </c>
      <c r="B7" s="1034">
        <f t="shared" ref="B7:H7" si="0">SUM(B8:B46)</f>
        <v>105</v>
      </c>
      <c r="C7" s="1035">
        <f t="shared" si="0"/>
        <v>60</v>
      </c>
      <c r="D7" s="1035">
        <f t="shared" si="0"/>
        <v>17</v>
      </c>
      <c r="E7" s="1036">
        <f t="shared" si="0"/>
        <v>28</v>
      </c>
      <c r="F7" s="1037">
        <f t="shared" si="0"/>
        <v>68</v>
      </c>
      <c r="G7" s="1038">
        <f t="shared" si="0"/>
        <v>21</v>
      </c>
      <c r="H7" s="1039">
        <f t="shared" si="0"/>
        <v>42</v>
      </c>
      <c r="I7" s="1040" t="s">
        <v>699</v>
      </c>
    </row>
    <row r="8" spans="1:9" s="918" customFormat="1" ht="15" customHeight="1">
      <c r="A8" s="1041" t="s">
        <v>911</v>
      </c>
      <c r="B8" s="1042">
        <f>C8+D8+E8</f>
        <v>71</v>
      </c>
      <c r="C8" s="1049">
        <v>50</v>
      </c>
      <c r="D8" s="1049">
        <v>10</v>
      </c>
      <c r="E8" s="1050">
        <v>11</v>
      </c>
      <c r="F8" s="1051">
        <v>35</v>
      </c>
      <c r="G8" s="1052">
        <v>0</v>
      </c>
      <c r="H8" s="1053">
        <v>2</v>
      </c>
      <c r="I8" s="1251" t="s">
        <v>1056</v>
      </c>
    </row>
    <row r="9" spans="1:9" s="918" customFormat="1" ht="15" customHeight="1">
      <c r="A9" s="1041" t="s">
        <v>910</v>
      </c>
      <c r="B9" s="1042">
        <f t="shared" ref="B9:B34" si="1">C9+D9+E9</f>
        <v>11</v>
      </c>
      <c r="C9" s="1049">
        <v>5</v>
      </c>
      <c r="D9" s="1049">
        <v>4</v>
      </c>
      <c r="E9" s="1050">
        <v>2</v>
      </c>
      <c r="F9" s="1051">
        <v>10</v>
      </c>
      <c r="G9" s="1052">
        <v>1</v>
      </c>
      <c r="H9" s="1053">
        <v>3</v>
      </c>
      <c r="I9" s="1253" t="s">
        <v>1057</v>
      </c>
    </row>
    <row r="10" spans="1:9" s="918" customFormat="1" ht="15" customHeight="1">
      <c r="A10" s="1041" t="s">
        <v>1035</v>
      </c>
      <c r="B10" s="1042">
        <f t="shared" si="1"/>
        <v>1</v>
      </c>
      <c r="C10" s="1049">
        <v>1</v>
      </c>
      <c r="D10" s="1049">
        <v>0</v>
      </c>
      <c r="E10" s="1050">
        <v>0</v>
      </c>
      <c r="F10" s="1051">
        <v>1</v>
      </c>
      <c r="G10" s="1052">
        <v>0</v>
      </c>
      <c r="H10" s="1053">
        <v>4</v>
      </c>
      <c r="I10" s="1253" t="s">
        <v>1058</v>
      </c>
    </row>
    <row r="11" spans="1:9" s="919" customFormat="1" ht="15" customHeight="1">
      <c r="A11" s="1041" t="s">
        <v>1202</v>
      </c>
      <c r="B11" s="1042">
        <f t="shared" si="1"/>
        <v>1</v>
      </c>
      <c r="C11" s="1049">
        <v>0</v>
      </c>
      <c r="D11" s="1049">
        <v>0</v>
      </c>
      <c r="E11" s="1050">
        <v>1</v>
      </c>
      <c r="F11" s="1051">
        <v>3</v>
      </c>
      <c r="G11" s="1052">
        <v>1</v>
      </c>
      <c r="H11" s="1053">
        <v>7</v>
      </c>
      <c r="I11" s="1253" t="s">
        <v>1048</v>
      </c>
    </row>
    <row r="12" spans="1:9" s="919" customFormat="1" ht="15" customHeight="1">
      <c r="A12" s="1041" t="s">
        <v>1036</v>
      </c>
      <c r="B12" s="1042">
        <f t="shared" si="1"/>
        <v>3</v>
      </c>
      <c r="C12" s="1049">
        <v>0</v>
      </c>
      <c r="D12" s="1049">
        <v>1</v>
      </c>
      <c r="E12" s="1050">
        <v>2</v>
      </c>
      <c r="F12" s="1051">
        <v>2</v>
      </c>
      <c r="G12" s="1052">
        <v>4</v>
      </c>
      <c r="H12" s="1053">
        <v>2</v>
      </c>
      <c r="I12" s="1253" t="s">
        <v>1049</v>
      </c>
    </row>
    <row r="13" spans="1:9" s="919" customFormat="1" ht="15" customHeight="1">
      <c r="A13" s="1041" t="s">
        <v>1033</v>
      </c>
      <c r="B13" s="1042">
        <f t="shared" si="1"/>
        <v>3</v>
      </c>
      <c r="C13" s="1049">
        <v>0</v>
      </c>
      <c r="D13" s="1049">
        <v>0</v>
      </c>
      <c r="E13" s="1050">
        <v>3</v>
      </c>
      <c r="F13" s="1051">
        <v>2</v>
      </c>
      <c r="G13" s="1052">
        <v>0</v>
      </c>
      <c r="H13" s="1053">
        <v>3</v>
      </c>
      <c r="I13" s="1253" t="s">
        <v>1034</v>
      </c>
    </row>
    <row r="14" spans="1:9" s="919" customFormat="1" ht="15" customHeight="1">
      <c r="A14" s="1041" t="s">
        <v>1037</v>
      </c>
      <c r="B14" s="1042">
        <f t="shared" si="1"/>
        <v>3</v>
      </c>
      <c r="C14" s="1049">
        <v>0</v>
      </c>
      <c r="D14" s="1049">
        <v>0</v>
      </c>
      <c r="E14" s="1050">
        <v>3</v>
      </c>
      <c r="F14" s="1051">
        <v>2</v>
      </c>
      <c r="G14" s="1052">
        <v>2</v>
      </c>
      <c r="H14" s="1053">
        <v>2</v>
      </c>
      <c r="I14" s="1253" t="s">
        <v>1050</v>
      </c>
    </row>
    <row r="15" spans="1:9" s="919" customFormat="1" ht="15" customHeight="1">
      <c r="A15" s="1041" t="s">
        <v>1039</v>
      </c>
      <c r="B15" s="1042">
        <f t="shared" si="1"/>
        <v>1</v>
      </c>
      <c r="C15" s="1049">
        <v>0</v>
      </c>
      <c r="D15" s="1049">
        <v>0</v>
      </c>
      <c r="E15" s="1050">
        <v>1</v>
      </c>
      <c r="F15" s="1051">
        <v>2</v>
      </c>
      <c r="G15" s="1052">
        <v>0</v>
      </c>
      <c r="H15" s="1053">
        <v>1</v>
      </c>
      <c r="I15" s="1253" t="s">
        <v>1061</v>
      </c>
    </row>
    <row r="16" spans="1:9" s="919" customFormat="1" ht="15" customHeight="1">
      <c r="A16" s="1041" t="s">
        <v>1031</v>
      </c>
      <c r="B16" s="1042">
        <f t="shared" si="1"/>
        <v>1</v>
      </c>
      <c r="C16" s="1049">
        <v>1</v>
      </c>
      <c r="D16" s="1049">
        <v>0</v>
      </c>
      <c r="E16" s="1050">
        <v>0</v>
      </c>
      <c r="F16" s="1051">
        <v>0</v>
      </c>
      <c r="G16" s="1052">
        <v>0</v>
      </c>
      <c r="H16" s="1053">
        <v>0</v>
      </c>
      <c r="I16" s="1253" t="s">
        <v>1032</v>
      </c>
    </row>
    <row r="17" spans="1:12" s="919" customFormat="1" ht="15" customHeight="1">
      <c r="A17" s="1041" t="s">
        <v>1203</v>
      </c>
      <c r="B17" s="1042">
        <f t="shared" si="1"/>
        <v>1</v>
      </c>
      <c r="C17" s="1049">
        <v>1</v>
      </c>
      <c r="D17" s="1049">
        <v>0</v>
      </c>
      <c r="E17" s="1050">
        <v>0</v>
      </c>
      <c r="F17" s="1051">
        <v>1</v>
      </c>
      <c r="G17" s="1052">
        <v>0</v>
      </c>
      <c r="H17" s="1053">
        <v>0</v>
      </c>
      <c r="I17" s="1253" t="s">
        <v>1204</v>
      </c>
    </row>
    <row r="18" spans="1:12" s="919" customFormat="1" ht="15" customHeight="1">
      <c r="A18" s="1041" t="s">
        <v>1041</v>
      </c>
      <c r="B18" s="1042">
        <f t="shared" si="1"/>
        <v>0</v>
      </c>
      <c r="C18" s="1049">
        <v>0</v>
      </c>
      <c r="D18" s="1049">
        <v>0</v>
      </c>
      <c r="E18" s="1050">
        <v>0</v>
      </c>
      <c r="F18" s="1051">
        <v>0</v>
      </c>
      <c r="G18" s="1052">
        <v>0</v>
      </c>
      <c r="H18" s="1053">
        <v>1</v>
      </c>
      <c r="I18" s="1253" t="s">
        <v>1052</v>
      </c>
    </row>
    <row r="19" spans="1:12" s="919" customFormat="1" ht="15" customHeight="1">
      <c r="A19" s="1041" t="s">
        <v>1045</v>
      </c>
      <c r="B19" s="1042">
        <f t="shared" si="1"/>
        <v>3</v>
      </c>
      <c r="C19" s="1049">
        <v>0</v>
      </c>
      <c r="D19" s="1049">
        <v>2</v>
      </c>
      <c r="E19" s="1050">
        <v>1</v>
      </c>
      <c r="F19" s="1051">
        <v>0</v>
      </c>
      <c r="G19" s="1052">
        <v>1</v>
      </c>
      <c r="H19" s="1053">
        <v>0</v>
      </c>
      <c r="I19" s="1253" t="s">
        <v>1055</v>
      </c>
      <c r="K19" s="1043"/>
      <c r="L19" s="1223"/>
    </row>
    <row r="20" spans="1:12" s="919" customFormat="1" ht="15" customHeight="1">
      <c r="A20" s="1041" t="s">
        <v>1046</v>
      </c>
      <c r="B20" s="1042">
        <f t="shared" si="1"/>
        <v>1</v>
      </c>
      <c r="C20" s="1049">
        <v>1</v>
      </c>
      <c r="D20" s="1049">
        <v>0</v>
      </c>
      <c r="E20" s="1050">
        <v>0</v>
      </c>
      <c r="F20" s="1051">
        <v>0</v>
      </c>
      <c r="G20" s="1052">
        <v>0</v>
      </c>
      <c r="H20" s="1053">
        <v>1</v>
      </c>
      <c r="I20" s="1253" t="s">
        <v>1062</v>
      </c>
      <c r="K20" s="1043"/>
      <c r="L20" s="1223"/>
    </row>
    <row r="21" spans="1:12" s="919" customFormat="1" ht="15" customHeight="1">
      <c r="A21" s="1041" t="s">
        <v>1205</v>
      </c>
      <c r="B21" s="1042">
        <f t="shared" si="1"/>
        <v>0</v>
      </c>
      <c r="C21" s="1049">
        <v>0</v>
      </c>
      <c r="D21" s="1049">
        <v>0</v>
      </c>
      <c r="E21" s="1050">
        <v>0</v>
      </c>
      <c r="F21" s="1051">
        <v>0</v>
      </c>
      <c r="G21" s="1052">
        <v>0</v>
      </c>
      <c r="H21" s="1053">
        <v>1</v>
      </c>
      <c r="I21" s="1253" t="s">
        <v>1206</v>
      </c>
      <c r="K21" s="1044"/>
      <c r="L21" s="1045"/>
    </row>
    <row r="22" spans="1:12" s="919" customFormat="1" ht="15" customHeight="1">
      <c r="A22" s="1041" t="s">
        <v>1038</v>
      </c>
      <c r="B22" s="1042">
        <f t="shared" si="1"/>
        <v>0</v>
      </c>
      <c r="C22" s="1049">
        <v>0</v>
      </c>
      <c r="D22" s="1049">
        <v>0</v>
      </c>
      <c r="E22" s="1050">
        <v>0</v>
      </c>
      <c r="F22" s="1051">
        <v>0</v>
      </c>
      <c r="G22" s="1052">
        <v>1</v>
      </c>
      <c r="H22" s="1053">
        <v>0</v>
      </c>
      <c r="I22" s="1253" t="s">
        <v>1051</v>
      </c>
      <c r="K22" s="1044"/>
      <c r="L22" s="1045"/>
    </row>
    <row r="23" spans="1:12" s="919" customFormat="1" ht="15" customHeight="1">
      <c r="A23" s="1041" t="s">
        <v>1047</v>
      </c>
      <c r="B23" s="1042">
        <f t="shared" si="1"/>
        <v>0</v>
      </c>
      <c r="C23" s="1049">
        <v>0</v>
      </c>
      <c r="D23" s="1049">
        <v>0</v>
      </c>
      <c r="E23" s="1050">
        <v>0</v>
      </c>
      <c r="F23" s="1051">
        <v>1</v>
      </c>
      <c r="G23" s="1052">
        <v>0</v>
      </c>
      <c r="H23" s="1053">
        <v>1</v>
      </c>
      <c r="I23" s="1253" t="s">
        <v>1063</v>
      </c>
      <c r="K23" s="920"/>
      <c r="L23" s="1045"/>
    </row>
    <row r="24" spans="1:12" s="919" customFormat="1" ht="15" customHeight="1">
      <c r="A24" s="1041" t="s">
        <v>1127</v>
      </c>
      <c r="B24" s="1042">
        <f t="shared" si="1"/>
        <v>0</v>
      </c>
      <c r="C24" s="1049">
        <v>0</v>
      </c>
      <c r="D24" s="1049">
        <v>0</v>
      </c>
      <c r="E24" s="1050">
        <v>0</v>
      </c>
      <c r="F24" s="1051">
        <v>0</v>
      </c>
      <c r="G24" s="1052">
        <v>0</v>
      </c>
      <c r="H24" s="1053">
        <v>1</v>
      </c>
      <c r="I24" s="1253" t="s">
        <v>1128</v>
      </c>
    </row>
    <row r="25" spans="1:12" s="919" customFormat="1" ht="15" customHeight="1">
      <c r="A25" s="1041" t="s">
        <v>1207</v>
      </c>
      <c r="B25" s="1042">
        <f t="shared" si="1"/>
        <v>0</v>
      </c>
      <c r="C25" s="1049">
        <v>0</v>
      </c>
      <c r="D25" s="1049">
        <v>0</v>
      </c>
      <c r="E25" s="1050">
        <v>0</v>
      </c>
      <c r="F25" s="1051">
        <v>2</v>
      </c>
      <c r="G25" s="1052">
        <v>0</v>
      </c>
      <c r="H25" s="1053">
        <v>0</v>
      </c>
      <c r="I25" s="1253" t="s">
        <v>1208</v>
      </c>
      <c r="K25" s="1046"/>
      <c r="L25" s="1047"/>
    </row>
    <row r="26" spans="1:12" s="919" customFormat="1" ht="15" customHeight="1">
      <c r="A26" s="1041" t="s">
        <v>1129</v>
      </c>
      <c r="B26" s="1042">
        <f t="shared" si="1"/>
        <v>3</v>
      </c>
      <c r="C26" s="1049">
        <v>0</v>
      </c>
      <c r="D26" s="1049">
        <v>0</v>
      </c>
      <c r="E26" s="1050">
        <v>3</v>
      </c>
      <c r="F26" s="1051">
        <v>1</v>
      </c>
      <c r="G26" s="1052">
        <v>0</v>
      </c>
      <c r="H26" s="1053">
        <v>1</v>
      </c>
      <c r="I26" s="1253" t="s">
        <v>1130</v>
      </c>
      <c r="K26" s="1046"/>
      <c r="L26" s="1047"/>
    </row>
    <row r="27" spans="1:12" s="919" customFormat="1" ht="15" customHeight="1">
      <c r="A27" s="1041" t="s">
        <v>1209</v>
      </c>
      <c r="B27" s="1042">
        <f t="shared" si="1"/>
        <v>0</v>
      </c>
      <c r="C27" s="1049">
        <v>0</v>
      </c>
      <c r="D27" s="1049">
        <v>0</v>
      </c>
      <c r="E27" s="1050">
        <v>0</v>
      </c>
      <c r="F27" s="1051">
        <v>0</v>
      </c>
      <c r="G27" s="1052">
        <v>1</v>
      </c>
      <c r="H27" s="1053">
        <v>0</v>
      </c>
      <c r="I27" s="1253" t="s">
        <v>1210</v>
      </c>
      <c r="K27" s="1046"/>
      <c r="L27" s="1047"/>
    </row>
    <row r="28" spans="1:12" s="919" customFormat="1" ht="15" customHeight="1">
      <c r="A28" s="1041" t="s">
        <v>1211</v>
      </c>
      <c r="B28" s="1042">
        <f t="shared" si="1"/>
        <v>0</v>
      </c>
      <c r="C28" s="1049">
        <v>0</v>
      </c>
      <c r="D28" s="1049">
        <v>0</v>
      </c>
      <c r="E28" s="1050">
        <v>0</v>
      </c>
      <c r="F28" s="1051">
        <v>0</v>
      </c>
      <c r="G28" s="1052">
        <v>1</v>
      </c>
      <c r="H28" s="1053">
        <v>1</v>
      </c>
      <c r="I28" s="1253" t="s">
        <v>1212</v>
      </c>
      <c r="K28" s="1046"/>
      <c r="L28" s="1047"/>
    </row>
    <row r="29" spans="1:12" s="919" customFormat="1" ht="15" customHeight="1">
      <c r="A29" s="1041" t="s">
        <v>1042</v>
      </c>
      <c r="B29" s="1042">
        <f t="shared" si="1"/>
        <v>1</v>
      </c>
      <c r="C29" s="1049">
        <v>0</v>
      </c>
      <c r="D29" s="1049">
        <v>0</v>
      </c>
      <c r="E29" s="1050">
        <v>1</v>
      </c>
      <c r="F29" s="1051">
        <v>1</v>
      </c>
      <c r="G29" s="1052">
        <v>0</v>
      </c>
      <c r="H29" s="1053">
        <v>0</v>
      </c>
      <c r="I29" s="1253" t="s">
        <v>1213</v>
      </c>
    </row>
    <row r="30" spans="1:12" s="919" customFormat="1" ht="15" customHeight="1">
      <c r="A30" s="1041" t="s">
        <v>1044</v>
      </c>
      <c r="B30" s="1042">
        <f t="shared" si="1"/>
        <v>0</v>
      </c>
      <c r="C30" s="1049">
        <v>0</v>
      </c>
      <c r="D30" s="1049">
        <v>0</v>
      </c>
      <c r="E30" s="1050">
        <v>0</v>
      </c>
      <c r="F30" s="1051">
        <v>0</v>
      </c>
      <c r="G30" s="1052">
        <v>1</v>
      </c>
      <c r="H30" s="1053">
        <v>2</v>
      </c>
      <c r="I30" s="1253" t="s">
        <v>1054</v>
      </c>
    </row>
    <row r="31" spans="1:12" s="919" customFormat="1" ht="15" customHeight="1">
      <c r="A31" s="1065" t="s">
        <v>1043</v>
      </c>
      <c r="B31" s="1042">
        <f t="shared" si="1"/>
        <v>0</v>
      </c>
      <c r="C31" s="1049">
        <v>0</v>
      </c>
      <c r="D31" s="1049">
        <v>0</v>
      </c>
      <c r="E31" s="1050">
        <v>0</v>
      </c>
      <c r="F31" s="1051">
        <v>0</v>
      </c>
      <c r="G31" s="1052">
        <v>0</v>
      </c>
      <c r="H31" s="1053">
        <v>3</v>
      </c>
      <c r="I31" s="1253" t="s">
        <v>1053</v>
      </c>
    </row>
    <row r="32" spans="1:12" s="919" customFormat="1" ht="15" customHeight="1">
      <c r="A32" s="1065" t="s">
        <v>1214</v>
      </c>
      <c r="B32" s="1042">
        <f t="shared" si="1"/>
        <v>0</v>
      </c>
      <c r="C32" s="1049">
        <v>0</v>
      </c>
      <c r="D32" s="1049">
        <v>0</v>
      </c>
      <c r="E32" s="1050">
        <v>0</v>
      </c>
      <c r="F32" s="1051">
        <v>0</v>
      </c>
      <c r="G32" s="1052">
        <v>2</v>
      </c>
      <c r="H32" s="1053">
        <v>1</v>
      </c>
      <c r="I32" s="1253" t="s">
        <v>1215</v>
      </c>
    </row>
    <row r="33" spans="1:9" s="919" customFormat="1" ht="15" customHeight="1">
      <c r="A33" s="1065" t="s">
        <v>1040</v>
      </c>
      <c r="B33" s="1042">
        <f t="shared" si="1"/>
        <v>1</v>
      </c>
      <c r="C33" s="1059">
        <v>1</v>
      </c>
      <c r="D33" s="1059">
        <v>0</v>
      </c>
      <c r="E33" s="1060">
        <v>0</v>
      </c>
      <c r="F33" s="1061">
        <v>2</v>
      </c>
      <c r="G33" s="1062">
        <v>0</v>
      </c>
      <c r="H33" s="1063">
        <v>1</v>
      </c>
      <c r="I33" s="1253" t="s">
        <v>1216</v>
      </c>
    </row>
    <row r="34" spans="1:9" ht="15" customHeight="1">
      <c r="A34" s="1065" t="s">
        <v>1217</v>
      </c>
      <c r="B34" s="1042">
        <f t="shared" si="1"/>
        <v>0</v>
      </c>
      <c r="C34" s="1059">
        <v>0</v>
      </c>
      <c r="D34" s="1059">
        <v>0</v>
      </c>
      <c r="E34" s="1060">
        <v>0</v>
      </c>
      <c r="F34" s="1061">
        <v>0</v>
      </c>
      <c r="G34" s="1062">
        <v>0</v>
      </c>
      <c r="H34" s="1063">
        <v>1</v>
      </c>
      <c r="I34" s="1253" t="s">
        <v>1218</v>
      </c>
    </row>
    <row r="35" spans="1:9" ht="15" customHeight="1">
      <c r="A35" s="1065" t="s">
        <v>1219</v>
      </c>
      <c r="B35" s="1064">
        <v>0</v>
      </c>
      <c r="C35" s="1059">
        <v>0</v>
      </c>
      <c r="D35" s="1059">
        <v>0</v>
      </c>
      <c r="E35" s="1060">
        <v>0</v>
      </c>
      <c r="F35" s="1061">
        <v>0</v>
      </c>
      <c r="G35" s="1062">
        <v>1</v>
      </c>
      <c r="H35" s="1063">
        <v>0</v>
      </c>
      <c r="I35" s="1253" t="s">
        <v>1220</v>
      </c>
    </row>
    <row r="36" spans="1:9" ht="15" customHeight="1">
      <c r="A36" s="1065" t="s">
        <v>1059</v>
      </c>
      <c r="B36" s="1064">
        <v>0</v>
      </c>
      <c r="C36" s="1059">
        <v>0</v>
      </c>
      <c r="D36" s="1059">
        <v>0</v>
      </c>
      <c r="E36" s="1060">
        <v>0</v>
      </c>
      <c r="F36" s="1061">
        <v>0</v>
      </c>
      <c r="G36" s="1062">
        <v>1</v>
      </c>
      <c r="H36" s="1063">
        <v>0</v>
      </c>
      <c r="I36" s="1253" t="s">
        <v>1221</v>
      </c>
    </row>
    <row r="37" spans="1:9" ht="15" customHeight="1">
      <c r="A37" s="1065" t="s">
        <v>1222</v>
      </c>
      <c r="B37" s="1064">
        <v>0</v>
      </c>
      <c r="C37" s="1059">
        <v>0</v>
      </c>
      <c r="D37" s="1059">
        <v>0</v>
      </c>
      <c r="E37" s="1060">
        <v>0</v>
      </c>
      <c r="F37" s="1061">
        <v>0</v>
      </c>
      <c r="G37" s="1062">
        <v>0</v>
      </c>
      <c r="H37" s="1063">
        <v>1</v>
      </c>
      <c r="I37" s="1253" t="s">
        <v>1223</v>
      </c>
    </row>
    <row r="38" spans="1:9" ht="15" customHeight="1">
      <c r="A38" s="1065" t="s">
        <v>1224</v>
      </c>
      <c r="B38" s="1064">
        <v>0</v>
      </c>
      <c r="C38" s="1059">
        <v>0</v>
      </c>
      <c r="D38" s="1059">
        <v>0</v>
      </c>
      <c r="E38" s="1060">
        <v>0</v>
      </c>
      <c r="F38" s="1061">
        <v>0</v>
      </c>
      <c r="G38" s="1062">
        <v>0</v>
      </c>
      <c r="H38" s="1063">
        <v>1</v>
      </c>
      <c r="I38" s="1253" t="s">
        <v>1225</v>
      </c>
    </row>
    <row r="39" spans="1:9" ht="15" customHeight="1">
      <c r="A39" s="1065" t="s">
        <v>1226</v>
      </c>
      <c r="B39" s="1064">
        <v>0</v>
      </c>
      <c r="C39" s="1059">
        <v>0</v>
      </c>
      <c r="D39" s="1059">
        <v>0</v>
      </c>
      <c r="E39" s="1060">
        <v>0</v>
      </c>
      <c r="F39" s="1061">
        <v>0</v>
      </c>
      <c r="G39" s="1062">
        <v>0</v>
      </c>
      <c r="H39" s="1063">
        <v>1</v>
      </c>
      <c r="I39" s="1253" t="s">
        <v>1227</v>
      </c>
    </row>
    <row r="40" spans="1:9" ht="15" customHeight="1">
      <c r="A40" s="1065" t="s">
        <v>1228</v>
      </c>
      <c r="B40" s="1064">
        <v>0</v>
      </c>
      <c r="C40" s="1059">
        <v>0</v>
      </c>
      <c r="D40" s="1059">
        <v>0</v>
      </c>
      <c r="E40" s="1060">
        <v>0</v>
      </c>
      <c r="F40" s="1061">
        <v>0</v>
      </c>
      <c r="G40" s="1062">
        <v>1</v>
      </c>
      <c r="H40" s="1063">
        <v>0</v>
      </c>
      <c r="I40" s="1253" t="s">
        <v>1229</v>
      </c>
    </row>
    <row r="41" spans="1:9" ht="15" customHeight="1">
      <c r="A41" s="1065" t="s">
        <v>1230</v>
      </c>
      <c r="B41" s="1064">
        <v>0</v>
      </c>
      <c r="C41" s="1059">
        <v>0</v>
      </c>
      <c r="D41" s="1059">
        <v>0</v>
      </c>
      <c r="E41" s="1060">
        <v>0</v>
      </c>
      <c r="F41" s="1061">
        <v>1</v>
      </c>
      <c r="G41" s="1062">
        <v>0</v>
      </c>
      <c r="H41" s="1063">
        <v>0</v>
      </c>
      <c r="I41" s="1253" t="s">
        <v>1060</v>
      </c>
    </row>
    <row r="42" spans="1:9" ht="15" customHeight="1">
      <c r="A42" s="1065" t="s">
        <v>1231</v>
      </c>
      <c r="B42" s="1064">
        <v>0</v>
      </c>
      <c r="C42" s="1059">
        <v>0</v>
      </c>
      <c r="D42" s="1059">
        <v>0</v>
      </c>
      <c r="E42" s="1060">
        <v>0</v>
      </c>
      <c r="F42" s="1061">
        <v>1</v>
      </c>
      <c r="G42" s="1062">
        <v>0</v>
      </c>
      <c r="H42" s="1063">
        <v>0</v>
      </c>
      <c r="I42" s="1253" t="s">
        <v>1232</v>
      </c>
    </row>
    <row r="43" spans="1:9" ht="15" customHeight="1">
      <c r="A43" s="1065" t="s">
        <v>1233</v>
      </c>
      <c r="B43" s="1064">
        <v>0</v>
      </c>
      <c r="C43" s="1059">
        <v>0</v>
      </c>
      <c r="D43" s="1059">
        <v>0</v>
      </c>
      <c r="E43" s="1060">
        <v>0</v>
      </c>
      <c r="F43" s="1061">
        <v>0</v>
      </c>
      <c r="G43" s="1062">
        <v>1</v>
      </c>
      <c r="H43" s="1063">
        <v>0</v>
      </c>
      <c r="I43" s="1253" t="s">
        <v>1234</v>
      </c>
    </row>
    <row r="44" spans="1:9" ht="15" customHeight="1">
      <c r="A44" s="1065" t="s">
        <v>1235</v>
      </c>
      <c r="B44" s="1064">
        <v>0</v>
      </c>
      <c r="C44" s="1059">
        <v>0</v>
      </c>
      <c r="D44" s="1059">
        <v>0</v>
      </c>
      <c r="E44" s="1060">
        <v>0</v>
      </c>
      <c r="F44" s="1061">
        <v>0</v>
      </c>
      <c r="G44" s="1062">
        <v>1</v>
      </c>
      <c r="H44" s="1063">
        <v>0</v>
      </c>
      <c r="I44" s="1253" t="s">
        <v>1236</v>
      </c>
    </row>
    <row r="45" spans="1:9" ht="15" customHeight="1">
      <c r="A45" s="1065" t="s">
        <v>1237</v>
      </c>
      <c r="B45" s="1064">
        <v>0</v>
      </c>
      <c r="C45" s="1059">
        <v>0</v>
      </c>
      <c r="D45" s="1059">
        <v>0</v>
      </c>
      <c r="E45" s="1060">
        <v>0</v>
      </c>
      <c r="F45" s="1061">
        <v>0</v>
      </c>
      <c r="G45" s="1062">
        <v>1</v>
      </c>
      <c r="H45" s="1063">
        <v>0</v>
      </c>
      <c r="I45" s="1253" t="s">
        <v>1238</v>
      </c>
    </row>
    <row r="46" spans="1:9" ht="15" customHeight="1">
      <c r="A46" s="1066" t="s">
        <v>1239</v>
      </c>
      <c r="B46" s="1048">
        <v>0</v>
      </c>
      <c r="C46" s="1054">
        <v>0</v>
      </c>
      <c r="D46" s="1054">
        <v>0</v>
      </c>
      <c r="E46" s="1055">
        <v>0</v>
      </c>
      <c r="F46" s="1056">
        <v>1</v>
      </c>
      <c r="G46" s="1057">
        <v>0</v>
      </c>
      <c r="H46" s="1058">
        <v>0</v>
      </c>
      <c r="I46" s="1254" t="s">
        <v>1240</v>
      </c>
    </row>
    <row r="47" spans="1:9" ht="18">
      <c r="A47" s="659" t="s">
        <v>879</v>
      </c>
      <c r="I47" s="1252" t="s">
        <v>880</v>
      </c>
    </row>
  </sheetData>
  <mergeCells count="9">
    <mergeCell ref="A1:I1"/>
    <mergeCell ref="A2:I2"/>
    <mergeCell ref="A4:A6"/>
    <mergeCell ref="B4:E4"/>
    <mergeCell ref="F4:F6"/>
    <mergeCell ref="G4:H4"/>
    <mergeCell ref="I4:I6"/>
    <mergeCell ref="B5:E5"/>
    <mergeCell ref="G5:H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2:AS34"/>
  <sheetViews>
    <sheetView topLeftCell="A25" zoomScale="124" zoomScaleNormal="124" workbookViewId="0">
      <selection activeCell="Y37" sqref="Y37"/>
    </sheetView>
  </sheetViews>
  <sheetFormatPr defaultRowHeight="15"/>
  <cols>
    <col min="1" max="1" width="16.28515625" style="68" customWidth="1"/>
    <col min="2" max="10" width="11.7109375" style="68" hidden="1" customWidth="1"/>
    <col min="11" max="11" width="11.28515625" style="68" hidden="1" customWidth="1"/>
    <col min="12" max="12" width="11.7109375" style="68" hidden="1" customWidth="1"/>
    <col min="13" max="13" width="11.28515625" style="68" hidden="1" customWidth="1"/>
    <col min="14" max="14" width="11.7109375" style="68" customWidth="1"/>
    <col min="15" max="15" width="11.28515625" style="68" customWidth="1"/>
    <col min="16" max="16" width="11.7109375" style="68" customWidth="1"/>
    <col min="17" max="17" width="11.28515625" style="68" customWidth="1"/>
    <col min="18" max="18" width="11.7109375" style="68" customWidth="1"/>
    <col min="19" max="19" width="11.28515625" style="68" customWidth="1"/>
    <col min="20" max="20" width="11.7109375" style="68" customWidth="1"/>
    <col min="21" max="21" width="11.28515625" style="68" customWidth="1"/>
    <col min="22" max="22" width="9.140625" style="68"/>
    <col min="23" max="23" width="14.28515625" style="68" customWidth="1"/>
    <col min="24" max="26" width="9.140625" style="68"/>
    <col min="27" max="29" width="49.7109375" style="68" customWidth="1"/>
    <col min="30" max="262" width="9.140625" style="68"/>
    <col min="263" max="263" width="16.28515625" style="68" customWidth="1"/>
    <col min="264" max="269" width="0" style="68" hidden="1" customWidth="1"/>
    <col min="270" max="272" width="11.7109375" style="68" customWidth="1"/>
    <col min="273" max="273" width="11.28515625" style="68" customWidth="1"/>
    <col min="274" max="274" width="11.7109375" style="68" customWidth="1"/>
    <col min="275" max="275" width="11.28515625" style="68" customWidth="1"/>
    <col min="276" max="276" width="11.7109375" style="68" customWidth="1"/>
    <col min="277" max="277" width="11.28515625" style="68" customWidth="1"/>
    <col min="278" max="278" width="9.140625" style="68"/>
    <col min="279" max="279" width="14.28515625" style="68" customWidth="1"/>
    <col min="280" max="282" width="9.140625" style="68"/>
    <col min="283" max="285" width="49.7109375" style="68" customWidth="1"/>
    <col min="286" max="518" width="9.140625" style="68"/>
    <col min="519" max="519" width="16.28515625" style="68" customWidth="1"/>
    <col min="520" max="525" width="0" style="68" hidden="1" customWidth="1"/>
    <col min="526" max="528" width="11.7109375" style="68" customWidth="1"/>
    <col min="529" max="529" width="11.28515625" style="68" customWidth="1"/>
    <col min="530" max="530" width="11.7109375" style="68" customWidth="1"/>
    <col min="531" max="531" width="11.28515625" style="68" customWidth="1"/>
    <col min="532" max="532" width="11.7109375" style="68" customWidth="1"/>
    <col min="533" max="533" width="11.28515625" style="68" customWidth="1"/>
    <col min="534" max="534" width="9.140625" style="68"/>
    <col min="535" max="535" width="14.28515625" style="68" customWidth="1"/>
    <col min="536" max="538" width="9.140625" style="68"/>
    <col min="539" max="541" width="49.7109375" style="68" customWidth="1"/>
    <col min="542" max="774" width="9.140625" style="68"/>
    <col min="775" max="775" width="16.28515625" style="68" customWidth="1"/>
    <col min="776" max="781" width="0" style="68" hidden="1" customWidth="1"/>
    <col min="782" max="784" width="11.7109375" style="68" customWidth="1"/>
    <col min="785" max="785" width="11.28515625" style="68" customWidth="1"/>
    <col min="786" max="786" width="11.7109375" style="68" customWidth="1"/>
    <col min="787" max="787" width="11.28515625" style="68" customWidth="1"/>
    <col min="788" max="788" width="11.7109375" style="68" customWidth="1"/>
    <col min="789" max="789" width="11.28515625" style="68" customWidth="1"/>
    <col min="790" max="790" width="9.140625" style="68"/>
    <col min="791" max="791" width="14.28515625" style="68" customWidth="1"/>
    <col min="792" max="794" width="9.140625" style="68"/>
    <col min="795" max="797" width="49.7109375" style="68" customWidth="1"/>
    <col min="798" max="1030" width="9.140625" style="68"/>
    <col min="1031" max="1031" width="16.28515625" style="68" customWidth="1"/>
    <col min="1032" max="1037" width="0" style="68" hidden="1" customWidth="1"/>
    <col min="1038" max="1040" width="11.7109375" style="68" customWidth="1"/>
    <col min="1041" max="1041" width="11.28515625" style="68" customWidth="1"/>
    <col min="1042" max="1042" width="11.7109375" style="68" customWidth="1"/>
    <col min="1043" max="1043" width="11.28515625" style="68" customWidth="1"/>
    <col min="1044" max="1044" width="11.7109375" style="68" customWidth="1"/>
    <col min="1045" max="1045" width="11.28515625" style="68" customWidth="1"/>
    <col min="1046" max="1046" width="9.140625" style="68"/>
    <col min="1047" max="1047" width="14.28515625" style="68" customWidth="1"/>
    <col min="1048" max="1050" width="9.140625" style="68"/>
    <col min="1051" max="1053" width="49.7109375" style="68" customWidth="1"/>
    <col min="1054" max="1286" width="9.140625" style="68"/>
    <col min="1287" max="1287" width="16.28515625" style="68" customWidth="1"/>
    <col min="1288" max="1293" width="0" style="68" hidden="1" customWidth="1"/>
    <col min="1294" max="1296" width="11.7109375" style="68" customWidth="1"/>
    <col min="1297" max="1297" width="11.28515625" style="68" customWidth="1"/>
    <col min="1298" max="1298" width="11.7109375" style="68" customWidth="1"/>
    <col min="1299" max="1299" width="11.28515625" style="68" customWidth="1"/>
    <col min="1300" max="1300" width="11.7109375" style="68" customWidth="1"/>
    <col min="1301" max="1301" width="11.28515625" style="68" customWidth="1"/>
    <col min="1302" max="1302" width="9.140625" style="68"/>
    <col min="1303" max="1303" width="14.28515625" style="68" customWidth="1"/>
    <col min="1304" max="1306" width="9.140625" style="68"/>
    <col min="1307" max="1309" width="49.7109375" style="68" customWidth="1"/>
    <col min="1310" max="1542" width="9.140625" style="68"/>
    <col min="1543" max="1543" width="16.28515625" style="68" customWidth="1"/>
    <col min="1544" max="1549" width="0" style="68" hidden="1" customWidth="1"/>
    <col min="1550" max="1552" width="11.7109375" style="68" customWidth="1"/>
    <col min="1553" max="1553" width="11.28515625" style="68" customWidth="1"/>
    <col min="1554" max="1554" width="11.7109375" style="68" customWidth="1"/>
    <col min="1555" max="1555" width="11.28515625" style="68" customWidth="1"/>
    <col min="1556" max="1556" width="11.7109375" style="68" customWidth="1"/>
    <col min="1557" max="1557" width="11.28515625" style="68" customWidth="1"/>
    <col min="1558" max="1558" width="9.140625" style="68"/>
    <col min="1559" max="1559" width="14.28515625" style="68" customWidth="1"/>
    <col min="1560" max="1562" width="9.140625" style="68"/>
    <col min="1563" max="1565" width="49.7109375" style="68" customWidth="1"/>
    <col min="1566" max="1798" width="9.140625" style="68"/>
    <col min="1799" max="1799" width="16.28515625" style="68" customWidth="1"/>
    <col min="1800" max="1805" width="0" style="68" hidden="1" customWidth="1"/>
    <col min="1806" max="1808" width="11.7109375" style="68" customWidth="1"/>
    <col min="1809" max="1809" width="11.28515625" style="68" customWidth="1"/>
    <col min="1810" max="1810" width="11.7109375" style="68" customWidth="1"/>
    <col min="1811" max="1811" width="11.28515625" style="68" customWidth="1"/>
    <col min="1812" max="1812" width="11.7109375" style="68" customWidth="1"/>
    <col min="1813" max="1813" width="11.28515625" style="68" customWidth="1"/>
    <col min="1814" max="1814" width="9.140625" style="68"/>
    <col min="1815" max="1815" width="14.28515625" style="68" customWidth="1"/>
    <col min="1816" max="1818" width="9.140625" style="68"/>
    <col min="1819" max="1821" width="49.7109375" style="68" customWidth="1"/>
    <col min="1822" max="2054" width="9.140625" style="68"/>
    <col min="2055" max="2055" width="16.28515625" style="68" customWidth="1"/>
    <col min="2056" max="2061" width="0" style="68" hidden="1" customWidth="1"/>
    <col min="2062" max="2064" width="11.7109375" style="68" customWidth="1"/>
    <col min="2065" max="2065" width="11.28515625" style="68" customWidth="1"/>
    <col min="2066" max="2066" width="11.7109375" style="68" customWidth="1"/>
    <col min="2067" max="2067" width="11.28515625" style="68" customWidth="1"/>
    <col min="2068" max="2068" width="11.7109375" style="68" customWidth="1"/>
    <col min="2069" max="2069" width="11.28515625" style="68" customWidth="1"/>
    <col min="2070" max="2070" width="9.140625" style="68"/>
    <col min="2071" max="2071" width="14.28515625" style="68" customWidth="1"/>
    <col min="2072" max="2074" width="9.140625" style="68"/>
    <col min="2075" max="2077" width="49.7109375" style="68" customWidth="1"/>
    <col min="2078" max="2310" width="9.140625" style="68"/>
    <col min="2311" max="2311" width="16.28515625" style="68" customWidth="1"/>
    <col min="2312" max="2317" width="0" style="68" hidden="1" customWidth="1"/>
    <col min="2318" max="2320" width="11.7109375" style="68" customWidth="1"/>
    <col min="2321" max="2321" width="11.28515625" style="68" customWidth="1"/>
    <col min="2322" max="2322" width="11.7109375" style="68" customWidth="1"/>
    <col min="2323" max="2323" width="11.28515625" style="68" customWidth="1"/>
    <col min="2324" max="2324" width="11.7109375" style="68" customWidth="1"/>
    <col min="2325" max="2325" width="11.28515625" style="68" customWidth="1"/>
    <col min="2326" max="2326" width="9.140625" style="68"/>
    <col min="2327" max="2327" width="14.28515625" style="68" customWidth="1"/>
    <col min="2328" max="2330" width="9.140625" style="68"/>
    <col min="2331" max="2333" width="49.7109375" style="68" customWidth="1"/>
    <col min="2334" max="2566" width="9.140625" style="68"/>
    <col min="2567" max="2567" width="16.28515625" style="68" customWidth="1"/>
    <col min="2568" max="2573" width="0" style="68" hidden="1" customWidth="1"/>
    <col min="2574" max="2576" width="11.7109375" style="68" customWidth="1"/>
    <col min="2577" max="2577" width="11.28515625" style="68" customWidth="1"/>
    <col min="2578" max="2578" width="11.7109375" style="68" customWidth="1"/>
    <col min="2579" max="2579" width="11.28515625" style="68" customWidth="1"/>
    <col min="2580" max="2580" width="11.7109375" style="68" customWidth="1"/>
    <col min="2581" max="2581" width="11.28515625" style="68" customWidth="1"/>
    <col min="2582" max="2582" width="9.140625" style="68"/>
    <col min="2583" max="2583" width="14.28515625" style="68" customWidth="1"/>
    <col min="2584" max="2586" width="9.140625" style="68"/>
    <col min="2587" max="2589" width="49.7109375" style="68" customWidth="1"/>
    <col min="2590" max="2822" width="9.140625" style="68"/>
    <col min="2823" max="2823" width="16.28515625" style="68" customWidth="1"/>
    <col min="2824" max="2829" width="0" style="68" hidden="1" customWidth="1"/>
    <col min="2830" max="2832" width="11.7109375" style="68" customWidth="1"/>
    <col min="2833" max="2833" width="11.28515625" style="68" customWidth="1"/>
    <col min="2834" max="2834" width="11.7109375" style="68" customWidth="1"/>
    <col min="2835" max="2835" width="11.28515625" style="68" customWidth="1"/>
    <col min="2836" max="2836" width="11.7109375" style="68" customWidth="1"/>
    <col min="2837" max="2837" width="11.28515625" style="68" customWidth="1"/>
    <col min="2838" max="2838" width="9.140625" style="68"/>
    <col min="2839" max="2839" width="14.28515625" style="68" customWidth="1"/>
    <col min="2840" max="2842" width="9.140625" style="68"/>
    <col min="2843" max="2845" width="49.7109375" style="68" customWidth="1"/>
    <col min="2846" max="3078" width="9.140625" style="68"/>
    <col min="3079" max="3079" width="16.28515625" style="68" customWidth="1"/>
    <col min="3080" max="3085" width="0" style="68" hidden="1" customWidth="1"/>
    <col min="3086" max="3088" width="11.7109375" style="68" customWidth="1"/>
    <col min="3089" max="3089" width="11.28515625" style="68" customWidth="1"/>
    <col min="3090" max="3090" width="11.7109375" style="68" customWidth="1"/>
    <col min="3091" max="3091" width="11.28515625" style="68" customWidth="1"/>
    <col min="3092" max="3092" width="11.7109375" style="68" customWidth="1"/>
    <col min="3093" max="3093" width="11.28515625" style="68" customWidth="1"/>
    <col min="3094" max="3094" width="9.140625" style="68"/>
    <col min="3095" max="3095" width="14.28515625" style="68" customWidth="1"/>
    <col min="3096" max="3098" width="9.140625" style="68"/>
    <col min="3099" max="3101" width="49.7109375" style="68" customWidth="1"/>
    <col min="3102" max="3334" width="9.140625" style="68"/>
    <col min="3335" max="3335" width="16.28515625" style="68" customWidth="1"/>
    <col min="3336" max="3341" width="0" style="68" hidden="1" customWidth="1"/>
    <col min="3342" max="3344" width="11.7109375" style="68" customWidth="1"/>
    <col min="3345" max="3345" width="11.28515625" style="68" customWidth="1"/>
    <col min="3346" max="3346" width="11.7109375" style="68" customWidth="1"/>
    <col min="3347" max="3347" width="11.28515625" style="68" customWidth="1"/>
    <col min="3348" max="3348" width="11.7109375" style="68" customWidth="1"/>
    <col min="3349" max="3349" width="11.28515625" style="68" customWidth="1"/>
    <col min="3350" max="3350" width="9.140625" style="68"/>
    <col min="3351" max="3351" width="14.28515625" style="68" customWidth="1"/>
    <col min="3352" max="3354" width="9.140625" style="68"/>
    <col min="3355" max="3357" width="49.7109375" style="68" customWidth="1"/>
    <col min="3358" max="3590" width="9.140625" style="68"/>
    <col min="3591" max="3591" width="16.28515625" style="68" customWidth="1"/>
    <col min="3592" max="3597" width="0" style="68" hidden="1" customWidth="1"/>
    <col min="3598" max="3600" width="11.7109375" style="68" customWidth="1"/>
    <col min="3601" max="3601" width="11.28515625" style="68" customWidth="1"/>
    <col min="3602" max="3602" width="11.7109375" style="68" customWidth="1"/>
    <col min="3603" max="3603" width="11.28515625" style="68" customWidth="1"/>
    <col min="3604" max="3604" width="11.7109375" style="68" customWidth="1"/>
    <col min="3605" max="3605" width="11.28515625" style="68" customWidth="1"/>
    <col min="3606" max="3606" width="9.140625" style="68"/>
    <col min="3607" max="3607" width="14.28515625" style="68" customWidth="1"/>
    <col min="3608" max="3610" width="9.140625" style="68"/>
    <col min="3611" max="3613" width="49.7109375" style="68" customWidth="1"/>
    <col min="3614" max="3846" width="9.140625" style="68"/>
    <col min="3847" max="3847" width="16.28515625" style="68" customWidth="1"/>
    <col min="3848" max="3853" width="0" style="68" hidden="1" customWidth="1"/>
    <col min="3854" max="3856" width="11.7109375" style="68" customWidth="1"/>
    <col min="3857" max="3857" width="11.28515625" style="68" customWidth="1"/>
    <col min="3858" max="3858" width="11.7109375" style="68" customWidth="1"/>
    <col min="3859" max="3859" width="11.28515625" style="68" customWidth="1"/>
    <col min="3860" max="3860" width="11.7109375" style="68" customWidth="1"/>
    <col min="3861" max="3861" width="11.28515625" style="68" customWidth="1"/>
    <col min="3862" max="3862" width="9.140625" style="68"/>
    <col min="3863" max="3863" width="14.28515625" style="68" customWidth="1"/>
    <col min="3864" max="3866" width="9.140625" style="68"/>
    <col min="3867" max="3869" width="49.7109375" style="68" customWidth="1"/>
    <col min="3870" max="4102" width="9.140625" style="68"/>
    <col min="4103" max="4103" width="16.28515625" style="68" customWidth="1"/>
    <col min="4104" max="4109" width="0" style="68" hidden="1" customWidth="1"/>
    <col min="4110" max="4112" width="11.7109375" style="68" customWidth="1"/>
    <col min="4113" max="4113" width="11.28515625" style="68" customWidth="1"/>
    <col min="4114" max="4114" width="11.7109375" style="68" customWidth="1"/>
    <col min="4115" max="4115" width="11.28515625" style="68" customWidth="1"/>
    <col min="4116" max="4116" width="11.7109375" style="68" customWidth="1"/>
    <col min="4117" max="4117" width="11.28515625" style="68" customWidth="1"/>
    <col min="4118" max="4118" width="9.140625" style="68"/>
    <col min="4119" max="4119" width="14.28515625" style="68" customWidth="1"/>
    <col min="4120" max="4122" width="9.140625" style="68"/>
    <col min="4123" max="4125" width="49.7109375" style="68" customWidth="1"/>
    <col min="4126" max="4358" width="9.140625" style="68"/>
    <col min="4359" max="4359" width="16.28515625" style="68" customWidth="1"/>
    <col min="4360" max="4365" width="0" style="68" hidden="1" customWidth="1"/>
    <col min="4366" max="4368" width="11.7109375" style="68" customWidth="1"/>
    <col min="4369" max="4369" width="11.28515625" style="68" customWidth="1"/>
    <col min="4370" max="4370" width="11.7109375" style="68" customWidth="1"/>
    <col min="4371" max="4371" width="11.28515625" style="68" customWidth="1"/>
    <col min="4372" max="4372" width="11.7109375" style="68" customWidth="1"/>
    <col min="4373" max="4373" width="11.28515625" style="68" customWidth="1"/>
    <col min="4374" max="4374" width="9.140625" style="68"/>
    <col min="4375" max="4375" width="14.28515625" style="68" customWidth="1"/>
    <col min="4376" max="4378" width="9.140625" style="68"/>
    <col min="4379" max="4381" width="49.7109375" style="68" customWidth="1"/>
    <col min="4382" max="4614" width="9.140625" style="68"/>
    <col min="4615" max="4615" width="16.28515625" style="68" customWidth="1"/>
    <col min="4616" max="4621" width="0" style="68" hidden="1" customWidth="1"/>
    <col min="4622" max="4624" width="11.7109375" style="68" customWidth="1"/>
    <col min="4625" max="4625" width="11.28515625" style="68" customWidth="1"/>
    <col min="4626" max="4626" width="11.7109375" style="68" customWidth="1"/>
    <col min="4627" max="4627" width="11.28515625" style="68" customWidth="1"/>
    <col min="4628" max="4628" width="11.7109375" style="68" customWidth="1"/>
    <col min="4629" max="4629" width="11.28515625" style="68" customWidth="1"/>
    <col min="4630" max="4630" width="9.140625" style="68"/>
    <col min="4631" max="4631" width="14.28515625" style="68" customWidth="1"/>
    <col min="4632" max="4634" width="9.140625" style="68"/>
    <col min="4635" max="4637" width="49.7109375" style="68" customWidth="1"/>
    <col min="4638" max="4870" width="9.140625" style="68"/>
    <col min="4871" max="4871" width="16.28515625" style="68" customWidth="1"/>
    <col min="4872" max="4877" width="0" style="68" hidden="1" customWidth="1"/>
    <col min="4878" max="4880" width="11.7109375" style="68" customWidth="1"/>
    <col min="4881" max="4881" width="11.28515625" style="68" customWidth="1"/>
    <col min="4882" max="4882" width="11.7109375" style="68" customWidth="1"/>
    <col min="4883" max="4883" width="11.28515625" style="68" customWidth="1"/>
    <col min="4884" max="4884" width="11.7109375" style="68" customWidth="1"/>
    <col min="4885" max="4885" width="11.28515625" style="68" customWidth="1"/>
    <col min="4886" max="4886" width="9.140625" style="68"/>
    <col min="4887" max="4887" width="14.28515625" style="68" customWidth="1"/>
    <col min="4888" max="4890" width="9.140625" style="68"/>
    <col min="4891" max="4893" width="49.7109375" style="68" customWidth="1"/>
    <col min="4894" max="5126" width="9.140625" style="68"/>
    <col min="5127" max="5127" width="16.28515625" style="68" customWidth="1"/>
    <col min="5128" max="5133" width="0" style="68" hidden="1" customWidth="1"/>
    <col min="5134" max="5136" width="11.7109375" style="68" customWidth="1"/>
    <col min="5137" max="5137" width="11.28515625" style="68" customWidth="1"/>
    <col min="5138" max="5138" width="11.7109375" style="68" customWidth="1"/>
    <col min="5139" max="5139" width="11.28515625" style="68" customWidth="1"/>
    <col min="5140" max="5140" width="11.7109375" style="68" customWidth="1"/>
    <col min="5141" max="5141" width="11.28515625" style="68" customWidth="1"/>
    <col min="5142" max="5142" width="9.140625" style="68"/>
    <col min="5143" max="5143" width="14.28515625" style="68" customWidth="1"/>
    <col min="5144" max="5146" width="9.140625" style="68"/>
    <col min="5147" max="5149" width="49.7109375" style="68" customWidth="1"/>
    <col min="5150" max="5382" width="9.140625" style="68"/>
    <col min="5383" max="5383" width="16.28515625" style="68" customWidth="1"/>
    <col min="5384" max="5389" width="0" style="68" hidden="1" customWidth="1"/>
    <col min="5390" max="5392" width="11.7109375" style="68" customWidth="1"/>
    <col min="5393" max="5393" width="11.28515625" style="68" customWidth="1"/>
    <col min="5394" max="5394" width="11.7109375" style="68" customWidth="1"/>
    <col min="5395" max="5395" width="11.28515625" style="68" customWidth="1"/>
    <col min="5396" max="5396" width="11.7109375" style="68" customWidth="1"/>
    <col min="5397" max="5397" width="11.28515625" style="68" customWidth="1"/>
    <col min="5398" max="5398" width="9.140625" style="68"/>
    <col min="5399" max="5399" width="14.28515625" style="68" customWidth="1"/>
    <col min="5400" max="5402" width="9.140625" style="68"/>
    <col min="5403" max="5405" width="49.7109375" style="68" customWidth="1"/>
    <col min="5406" max="5638" width="9.140625" style="68"/>
    <col min="5639" max="5639" width="16.28515625" style="68" customWidth="1"/>
    <col min="5640" max="5645" width="0" style="68" hidden="1" customWidth="1"/>
    <col min="5646" max="5648" width="11.7109375" style="68" customWidth="1"/>
    <col min="5649" max="5649" width="11.28515625" style="68" customWidth="1"/>
    <col min="5650" max="5650" width="11.7109375" style="68" customWidth="1"/>
    <col min="5651" max="5651" width="11.28515625" style="68" customWidth="1"/>
    <col min="5652" max="5652" width="11.7109375" style="68" customWidth="1"/>
    <col min="5653" max="5653" width="11.28515625" style="68" customWidth="1"/>
    <col min="5654" max="5654" width="9.140625" style="68"/>
    <col min="5655" max="5655" width="14.28515625" style="68" customWidth="1"/>
    <col min="5656" max="5658" width="9.140625" style="68"/>
    <col min="5659" max="5661" width="49.7109375" style="68" customWidth="1"/>
    <col min="5662" max="5894" width="9.140625" style="68"/>
    <col min="5895" max="5895" width="16.28515625" style="68" customWidth="1"/>
    <col min="5896" max="5901" width="0" style="68" hidden="1" customWidth="1"/>
    <col min="5902" max="5904" width="11.7109375" style="68" customWidth="1"/>
    <col min="5905" max="5905" width="11.28515625" style="68" customWidth="1"/>
    <col min="5906" max="5906" width="11.7109375" style="68" customWidth="1"/>
    <col min="5907" max="5907" width="11.28515625" style="68" customWidth="1"/>
    <col min="5908" max="5908" width="11.7109375" style="68" customWidth="1"/>
    <col min="5909" max="5909" width="11.28515625" style="68" customWidth="1"/>
    <col min="5910" max="5910" width="9.140625" style="68"/>
    <col min="5911" max="5911" width="14.28515625" style="68" customWidth="1"/>
    <col min="5912" max="5914" width="9.140625" style="68"/>
    <col min="5915" max="5917" width="49.7109375" style="68" customWidth="1"/>
    <col min="5918" max="6150" width="9.140625" style="68"/>
    <col min="6151" max="6151" width="16.28515625" style="68" customWidth="1"/>
    <col min="6152" max="6157" width="0" style="68" hidden="1" customWidth="1"/>
    <col min="6158" max="6160" width="11.7109375" style="68" customWidth="1"/>
    <col min="6161" max="6161" width="11.28515625" style="68" customWidth="1"/>
    <col min="6162" max="6162" width="11.7109375" style="68" customWidth="1"/>
    <col min="6163" max="6163" width="11.28515625" style="68" customWidth="1"/>
    <col min="6164" max="6164" width="11.7109375" style="68" customWidth="1"/>
    <col min="6165" max="6165" width="11.28515625" style="68" customWidth="1"/>
    <col min="6166" max="6166" width="9.140625" style="68"/>
    <col min="6167" max="6167" width="14.28515625" style="68" customWidth="1"/>
    <col min="6168" max="6170" width="9.140625" style="68"/>
    <col min="6171" max="6173" width="49.7109375" style="68" customWidth="1"/>
    <col min="6174" max="6406" width="9.140625" style="68"/>
    <col min="6407" max="6407" width="16.28515625" style="68" customWidth="1"/>
    <col min="6408" max="6413" width="0" style="68" hidden="1" customWidth="1"/>
    <col min="6414" max="6416" width="11.7109375" style="68" customWidth="1"/>
    <col min="6417" max="6417" width="11.28515625" style="68" customWidth="1"/>
    <col min="6418" max="6418" width="11.7109375" style="68" customWidth="1"/>
    <col min="6419" max="6419" width="11.28515625" style="68" customWidth="1"/>
    <col min="6420" max="6420" width="11.7109375" style="68" customWidth="1"/>
    <col min="6421" max="6421" width="11.28515625" style="68" customWidth="1"/>
    <col min="6422" max="6422" width="9.140625" style="68"/>
    <col min="6423" max="6423" width="14.28515625" style="68" customWidth="1"/>
    <col min="6424" max="6426" width="9.140625" style="68"/>
    <col min="6427" max="6429" width="49.7109375" style="68" customWidth="1"/>
    <col min="6430" max="6662" width="9.140625" style="68"/>
    <col min="6663" max="6663" width="16.28515625" style="68" customWidth="1"/>
    <col min="6664" max="6669" width="0" style="68" hidden="1" customWidth="1"/>
    <col min="6670" max="6672" width="11.7109375" style="68" customWidth="1"/>
    <col min="6673" max="6673" width="11.28515625" style="68" customWidth="1"/>
    <col min="6674" max="6674" width="11.7109375" style="68" customWidth="1"/>
    <col min="6675" max="6675" width="11.28515625" style="68" customWidth="1"/>
    <col min="6676" max="6676" width="11.7109375" style="68" customWidth="1"/>
    <col min="6677" max="6677" width="11.28515625" style="68" customWidth="1"/>
    <col min="6678" max="6678" width="9.140625" style="68"/>
    <col min="6679" max="6679" width="14.28515625" style="68" customWidth="1"/>
    <col min="6680" max="6682" width="9.140625" style="68"/>
    <col min="6683" max="6685" width="49.7109375" style="68" customWidth="1"/>
    <col min="6686" max="6918" width="9.140625" style="68"/>
    <col min="6919" max="6919" width="16.28515625" style="68" customWidth="1"/>
    <col min="6920" max="6925" width="0" style="68" hidden="1" customWidth="1"/>
    <col min="6926" max="6928" width="11.7109375" style="68" customWidth="1"/>
    <col min="6929" max="6929" width="11.28515625" style="68" customWidth="1"/>
    <col min="6930" max="6930" width="11.7109375" style="68" customWidth="1"/>
    <col min="6931" max="6931" width="11.28515625" style="68" customWidth="1"/>
    <col min="6932" max="6932" width="11.7109375" style="68" customWidth="1"/>
    <col min="6933" max="6933" width="11.28515625" style="68" customWidth="1"/>
    <col min="6934" max="6934" width="9.140625" style="68"/>
    <col min="6935" max="6935" width="14.28515625" style="68" customWidth="1"/>
    <col min="6936" max="6938" width="9.140625" style="68"/>
    <col min="6939" max="6941" width="49.7109375" style="68" customWidth="1"/>
    <col min="6942" max="7174" width="9.140625" style="68"/>
    <col min="7175" max="7175" width="16.28515625" style="68" customWidth="1"/>
    <col min="7176" max="7181" width="0" style="68" hidden="1" customWidth="1"/>
    <col min="7182" max="7184" width="11.7109375" style="68" customWidth="1"/>
    <col min="7185" max="7185" width="11.28515625" style="68" customWidth="1"/>
    <col min="7186" max="7186" width="11.7109375" style="68" customWidth="1"/>
    <col min="7187" max="7187" width="11.28515625" style="68" customWidth="1"/>
    <col min="7188" max="7188" width="11.7109375" style="68" customWidth="1"/>
    <col min="7189" max="7189" width="11.28515625" style="68" customWidth="1"/>
    <col min="7190" max="7190" width="9.140625" style="68"/>
    <col min="7191" max="7191" width="14.28515625" style="68" customWidth="1"/>
    <col min="7192" max="7194" width="9.140625" style="68"/>
    <col min="7195" max="7197" width="49.7109375" style="68" customWidth="1"/>
    <col min="7198" max="7430" width="9.140625" style="68"/>
    <col min="7431" max="7431" width="16.28515625" style="68" customWidth="1"/>
    <col min="7432" max="7437" width="0" style="68" hidden="1" customWidth="1"/>
    <col min="7438" max="7440" width="11.7109375" style="68" customWidth="1"/>
    <col min="7441" max="7441" width="11.28515625" style="68" customWidth="1"/>
    <col min="7442" max="7442" width="11.7109375" style="68" customWidth="1"/>
    <col min="7443" max="7443" width="11.28515625" style="68" customWidth="1"/>
    <col min="7444" max="7444" width="11.7109375" style="68" customWidth="1"/>
    <col min="7445" max="7445" width="11.28515625" style="68" customWidth="1"/>
    <col min="7446" max="7446" width="9.140625" style="68"/>
    <col min="7447" max="7447" width="14.28515625" style="68" customWidth="1"/>
    <col min="7448" max="7450" width="9.140625" style="68"/>
    <col min="7451" max="7453" width="49.7109375" style="68" customWidth="1"/>
    <col min="7454" max="7686" width="9.140625" style="68"/>
    <col min="7687" max="7687" width="16.28515625" style="68" customWidth="1"/>
    <col min="7688" max="7693" width="0" style="68" hidden="1" customWidth="1"/>
    <col min="7694" max="7696" width="11.7109375" style="68" customWidth="1"/>
    <col min="7697" max="7697" width="11.28515625" style="68" customWidth="1"/>
    <col min="7698" max="7698" width="11.7109375" style="68" customWidth="1"/>
    <col min="7699" max="7699" width="11.28515625" style="68" customWidth="1"/>
    <col min="7700" max="7700" width="11.7109375" style="68" customWidth="1"/>
    <col min="7701" max="7701" width="11.28515625" style="68" customWidth="1"/>
    <col min="7702" max="7702" width="9.140625" style="68"/>
    <col min="7703" max="7703" width="14.28515625" style="68" customWidth="1"/>
    <col min="7704" max="7706" width="9.140625" style="68"/>
    <col min="7707" max="7709" width="49.7109375" style="68" customWidth="1"/>
    <col min="7710" max="7942" width="9.140625" style="68"/>
    <col min="7943" max="7943" width="16.28515625" style="68" customWidth="1"/>
    <col min="7944" max="7949" width="0" style="68" hidden="1" customWidth="1"/>
    <col min="7950" max="7952" width="11.7109375" style="68" customWidth="1"/>
    <col min="7953" max="7953" width="11.28515625" style="68" customWidth="1"/>
    <col min="7954" max="7954" width="11.7109375" style="68" customWidth="1"/>
    <col min="7955" max="7955" width="11.28515625" style="68" customWidth="1"/>
    <col min="7956" max="7956" width="11.7109375" style="68" customWidth="1"/>
    <col min="7957" max="7957" width="11.28515625" style="68" customWidth="1"/>
    <col min="7958" max="7958" width="9.140625" style="68"/>
    <col min="7959" max="7959" width="14.28515625" style="68" customWidth="1"/>
    <col min="7960" max="7962" width="9.140625" style="68"/>
    <col min="7963" max="7965" width="49.7109375" style="68" customWidth="1"/>
    <col min="7966" max="8198" width="9.140625" style="68"/>
    <col min="8199" max="8199" width="16.28515625" style="68" customWidth="1"/>
    <col min="8200" max="8205" width="0" style="68" hidden="1" customWidth="1"/>
    <col min="8206" max="8208" width="11.7109375" style="68" customWidth="1"/>
    <col min="8209" max="8209" width="11.28515625" style="68" customWidth="1"/>
    <col min="8210" max="8210" width="11.7109375" style="68" customWidth="1"/>
    <col min="8211" max="8211" width="11.28515625" style="68" customWidth="1"/>
    <col min="8212" max="8212" width="11.7109375" style="68" customWidth="1"/>
    <col min="8213" max="8213" width="11.28515625" style="68" customWidth="1"/>
    <col min="8214" max="8214" width="9.140625" style="68"/>
    <col min="8215" max="8215" width="14.28515625" style="68" customWidth="1"/>
    <col min="8216" max="8218" width="9.140625" style="68"/>
    <col min="8219" max="8221" width="49.7109375" style="68" customWidth="1"/>
    <col min="8222" max="8454" width="9.140625" style="68"/>
    <col min="8455" max="8455" width="16.28515625" style="68" customWidth="1"/>
    <col min="8456" max="8461" width="0" style="68" hidden="1" customWidth="1"/>
    <col min="8462" max="8464" width="11.7109375" style="68" customWidth="1"/>
    <col min="8465" max="8465" width="11.28515625" style="68" customWidth="1"/>
    <col min="8466" max="8466" width="11.7109375" style="68" customWidth="1"/>
    <col min="8467" max="8467" width="11.28515625" style="68" customWidth="1"/>
    <col min="8468" max="8468" width="11.7109375" style="68" customWidth="1"/>
    <col min="8469" max="8469" width="11.28515625" style="68" customWidth="1"/>
    <col min="8470" max="8470" width="9.140625" style="68"/>
    <col min="8471" max="8471" width="14.28515625" style="68" customWidth="1"/>
    <col min="8472" max="8474" width="9.140625" style="68"/>
    <col min="8475" max="8477" width="49.7109375" style="68" customWidth="1"/>
    <col min="8478" max="8710" width="9.140625" style="68"/>
    <col min="8711" max="8711" width="16.28515625" style="68" customWidth="1"/>
    <col min="8712" max="8717" width="0" style="68" hidden="1" customWidth="1"/>
    <col min="8718" max="8720" width="11.7109375" style="68" customWidth="1"/>
    <col min="8721" max="8721" width="11.28515625" style="68" customWidth="1"/>
    <col min="8722" max="8722" width="11.7109375" style="68" customWidth="1"/>
    <col min="8723" max="8723" width="11.28515625" style="68" customWidth="1"/>
    <col min="8724" max="8724" width="11.7109375" style="68" customWidth="1"/>
    <col min="8725" max="8725" width="11.28515625" style="68" customWidth="1"/>
    <col min="8726" max="8726" width="9.140625" style="68"/>
    <col min="8727" max="8727" width="14.28515625" style="68" customWidth="1"/>
    <col min="8728" max="8730" width="9.140625" style="68"/>
    <col min="8731" max="8733" width="49.7109375" style="68" customWidth="1"/>
    <col min="8734" max="8966" width="9.140625" style="68"/>
    <col min="8967" max="8967" width="16.28515625" style="68" customWidth="1"/>
    <col min="8968" max="8973" width="0" style="68" hidden="1" customWidth="1"/>
    <col min="8974" max="8976" width="11.7109375" style="68" customWidth="1"/>
    <col min="8977" max="8977" width="11.28515625" style="68" customWidth="1"/>
    <col min="8978" max="8978" width="11.7109375" style="68" customWidth="1"/>
    <col min="8979" max="8979" width="11.28515625" style="68" customWidth="1"/>
    <col min="8980" max="8980" width="11.7109375" style="68" customWidth="1"/>
    <col min="8981" max="8981" width="11.28515625" style="68" customWidth="1"/>
    <col min="8982" max="8982" width="9.140625" style="68"/>
    <col min="8983" max="8983" width="14.28515625" style="68" customWidth="1"/>
    <col min="8984" max="8986" width="9.140625" style="68"/>
    <col min="8987" max="8989" width="49.7109375" style="68" customWidth="1"/>
    <col min="8990" max="9222" width="9.140625" style="68"/>
    <col min="9223" max="9223" width="16.28515625" style="68" customWidth="1"/>
    <col min="9224" max="9229" width="0" style="68" hidden="1" customWidth="1"/>
    <col min="9230" max="9232" width="11.7109375" style="68" customWidth="1"/>
    <col min="9233" max="9233" width="11.28515625" style="68" customWidth="1"/>
    <col min="9234" max="9234" width="11.7109375" style="68" customWidth="1"/>
    <col min="9235" max="9235" width="11.28515625" style="68" customWidth="1"/>
    <col min="9236" max="9236" width="11.7109375" style="68" customWidth="1"/>
    <col min="9237" max="9237" width="11.28515625" style="68" customWidth="1"/>
    <col min="9238" max="9238" width="9.140625" style="68"/>
    <col min="9239" max="9239" width="14.28515625" style="68" customWidth="1"/>
    <col min="9240" max="9242" width="9.140625" style="68"/>
    <col min="9243" max="9245" width="49.7109375" style="68" customWidth="1"/>
    <col min="9246" max="9478" width="9.140625" style="68"/>
    <col min="9479" max="9479" width="16.28515625" style="68" customWidth="1"/>
    <col min="9480" max="9485" width="0" style="68" hidden="1" customWidth="1"/>
    <col min="9486" max="9488" width="11.7109375" style="68" customWidth="1"/>
    <col min="9489" max="9489" width="11.28515625" style="68" customWidth="1"/>
    <col min="9490" max="9490" width="11.7109375" style="68" customWidth="1"/>
    <col min="9491" max="9491" width="11.28515625" style="68" customWidth="1"/>
    <col min="9492" max="9492" width="11.7109375" style="68" customWidth="1"/>
    <col min="9493" max="9493" width="11.28515625" style="68" customWidth="1"/>
    <col min="9494" max="9494" width="9.140625" style="68"/>
    <col min="9495" max="9495" width="14.28515625" style="68" customWidth="1"/>
    <col min="9496" max="9498" width="9.140625" style="68"/>
    <col min="9499" max="9501" width="49.7109375" style="68" customWidth="1"/>
    <col min="9502" max="9734" width="9.140625" style="68"/>
    <col min="9735" max="9735" width="16.28515625" style="68" customWidth="1"/>
    <col min="9736" max="9741" width="0" style="68" hidden="1" customWidth="1"/>
    <col min="9742" max="9744" width="11.7109375" style="68" customWidth="1"/>
    <col min="9745" max="9745" width="11.28515625" style="68" customWidth="1"/>
    <col min="9746" max="9746" width="11.7109375" style="68" customWidth="1"/>
    <col min="9747" max="9747" width="11.28515625" style="68" customWidth="1"/>
    <col min="9748" max="9748" width="11.7109375" style="68" customWidth="1"/>
    <col min="9749" max="9749" width="11.28515625" style="68" customWidth="1"/>
    <col min="9750" max="9750" width="9.140625" style="68"/>
    <col min="9751" max="9751" width="14.28515625" style="68" customWidth="1"/>
    <col min="9752" max="9754" width="9.140625" style="68"/>
    <col min="9755" max="9757" width="49.7109375" style="68" customWidth="1"/>
    <col min="9758" max="9990" width="9.140625" style="68"/>
    <col min="9991" max="9991" width="16.28515625" style="68" customWidth="1"/>
    <col min="9992" max="9997" width="0" style="68" hidden="1" customWidth="1"/>
    <col min="9998" max="10000" width="11.7109375" style="68" customWidth="1"/>
    <col min="10001" max="10001" width="11.28515625" style="68" customWidth="1"/>
    <col min="10002" max="10002" width="11.7109375" style="68" customWidth="1"/>
    <col min="10003" max="10003" width="11.28515625" style="68" customWidth="1"/>
    <col min="10004" max="10004" width="11.7109375" style="68" customWidth="1"/>
    <col min="10005" max="10005" width="11.28515625" style="68" customWidth="1"/>
    <col min="10006" max="10006" width="9.140625" style="68"/>
    <col min="10007" max="10007" width="14.28515625" style="68" customWidth="1"/>
    <col min="10008" max="10010" width="9.140625" style="68"/>
    <col min="10011" max="10013" width="49.7109375" style="68" customWidth="1"/>
    <col min="10014" max="10246" width="9.140625" style="68"/>
    <col min="10247" max="10247" width="16.28515625" style="68" customWidth="1"/>
    <col min="10248" max="10253" width="0" style="68" hidden="1" customWidth="1"/>
    <col min="10254" max="10256" width="11.7109375" style="68" customWidth="1"/>
    <col min="10257" max="10257" width="11.28515625" style="68" customWidth="1"/>
    <col min="10258" max="10258" width="11.7109375" style="68" customWidth="1"/>
    <col min="10259" max="10259" width="11.28515625" style="68" customWidth="1"/>
    <col min="10260" max="10260" width="11.7109375" style="68" customWidth="1"/>
    <col min="10261" max="10261" width="11.28515625" style="68" customWidth="1"/>
    <col min="10262" max="10262" width="9.140625" style="68"/>
    <col min="10263" max="10263" width="14.28515625" style="68" customWidth="1"/>
    <col min="10264" max="10266" width="9.140625" style="68"/>
    <col min="10267" max="10269" width="49.7109375" style="68" customWidth="1"/>
    <col min="10270" max="10502" width="9.140625" style="68"/>
    <col min="10503" max="10503" width="16.28515625" style="68" customWidth="1"/>
    <col min="10504" max="10509" width="0" style="68" hidden="1" customWidth="1"/>
    <col min="10510" max="10512" width="11.7109375" style="68" customWidth="1"/>
    <col min="10513" max="10513" width="11.28515625" style="68" customWidth="1"/>
    <col min="10514" max="10514" width="11.7109375" style="68" customWidth="1"/>
    <col min="10515" max="10515" width="11.28515625" style="68" customWidth="1"/>
    <col min="10516" max="10516" width="11.7109375" style="68" customWidth="1"/>
    <col min="10517" max="10517" width="11.28515625" style="68" customWidth="1"/>
    <col min="10518" max="10518" width="9.140625" style="68"/>
    <col min="10519" max="10519" width="14.28515625" style="68" customWidth="1"/>
    <col min="10520" max="10522" width="9.140625" style="68"/>
    <col min="10523" max="10525" width="49.7109375" style="68" customWidth="1"/>
    <col min="10526" max="10758" width="9.140625" style="68"/>
    <col min="10759" max="10759" width="16.28515625" style="68" customWidth="1"/>
    <col min="10760" max="10765" width="0" style="68" hidden="1" customWidth="1"/>
    <col min="10766" max="10768" width="11.7109375" style="68" customWidth="1"/>
    <col min="10769" max="10769" width="11.28515625" style="68" customWidth="1"/>
    <col min="10770" max="10770" width="11.7109375" style="68" customWidth="1"/>
    <col min="10771" max="10771" width="11.28515625" style="68" customWidth="1"/>
    <col min="10772" max="10772" width="11.7109375" style="68" customWidth="1"/>
    <col min="10773" max="10773" width="11.28515625" style="68" customWidth="1"/>
    <col min="10774" max="10774" width="9.140625" style="68"/>
    <col min="10775" max="10775" width="14.28515625" style="68" customWidth="1"/>
    <col min="10776" max="10778" width="9.140625" style="68"/>
    <col min="10779" max="10781" width="49.7109375" style="68" customWidth="1"/>
    <col min="10782" max="11014" width="9.140625" style="68"/>
    <col min="11015" max="11015" width="16.28515625" style="68" customWidth="1"/>
    <col min="11016" max="11021" width="0" style="68" hidden="1" customWidth="1"/>
    <col min="11022" max="11024" width="11.7109375" style="68" customWidth="1"/>
    <col min="11025" max="11025" width="11.28515625" style="68" customWidth="1"/>
    <col min="11026" max="11026" width="11.7109375" style="68" customWidth="1"/>
    <col min="11027" max="11027" width="11.28515625" style="68" customWidth="1"/>
    <col min="11028" max="11028" width="11.7109375" style="68" customWidth="1"/>
    <col min="11029" max="11029" width="11.28515625" style="68" customWidth="1"/>
    <col min="11030" max="11030" width="9.140625" style="68"/>
    <col min="11031" max="11031" width="14.28515625" style="68" customWidth="1"/>
    <col min="11032" max="11034" width="9.140625" style="68"/>
    <col min="11035" max="11037" width="49.7109375" style="68" customWidth="1"/>
    <col min="11038" max="11270" width="9.140625" style="68"/>
    <col min="11271" max="11271" width="16.28515625" style="68" customWidth="1"/>
    <col min="11272" max="11277" width="0" style="68" hidden="1" customWidth="1"/>
    <col min="11278" max="11280" width="11.7109375" style="68" customWidth="1"/>
    <col min="11281" max="11281" width="11.28515625" style="68" customWidth="1"/>
    <col min="11282" max="11282" width="11.7109375" style="68" customWidth="1"/>
    <col min="11283" max="11283" width="11.28515625" style="68" customWidth="1"/>
    <col min="11284" max="11284" width="11.7109375" style="68" customWidth="1"/>
    <col min="11285" max="11285" width="11.28515625" style="68" customWidth="1"/>
    <col min="11286" max="11286" width="9.140625" style="68"/>
    <col min="11287" max="11287" width="14.28515625" style="68" customWidth="1"/>
    <col min="11288" max="11290" width="9.140625" style="68"/>
    <col min="11291" max="11293" width="49.7109375" style="68" customWidth="1"/>
    <col min="11294" max="11526" width="9.140625" style="68"/>
    <col min="11527" max="11527" width="16.28515625" style="68" customWidth="1"/>
    <col min="11528" max="11533" width="0" style="68" hidden="1" customWidth="1"/>
    <col min="11534" max="11536" width="11.7109375" style="68" customWidth="1"/>
    <col min="11537" max="11537" width="11.28515625" style="68" customWidth="1"/>
    <col min="11538" max="11538" width="11.7109375" style="68" customWidth="1"/>
    <col min="11539" max="11539" width="11.28515625" style="68" customWidth="1"/>
    <col min="11540" max="11540" width="11.7109375" style="68" customWidth="1"/>
    <col min="11541" max="11541" width="11.28515625" style="68" customWidth="1"/>
    <col min="11542" max="11542" width="9.140625" style="68"/>
    <col min="11543" max="11543" width="14.28515625" style="68" customWidth="1"/>
    <col min="11544" max="11546" width="9.140625" style="68"/>
    <col min="11547" max="11549" width="49.7109375" style="68" customWidth="1"/>
    <col min="11550" max="11782" width="9.140625" style="68"/>
    <col min="11783" max="11783" width="16.28515625" style="68" customWidth="1"/>
    <col min="11784" max="11789" width="0" style="68" hidden="1" customWidth="1"/>
    <col min="11790" max="11792" width="11.7109375" style="68" customWidth="1"/>
    <col min="11793" max="11793" width="11.28515625" style="68" customWidth="1"/>
    <col min="11794" max="11794" width="11.7109375" style="68" customWidth="1"/>
    <col min="11795" max="11795" width="11.28515625" style="68" customWidth="1"/>
    <col min="11796" max="11796" width="11.7109375" style="68" customWidth="1"/>
    <col min="11797" max="11797" width="11.28515625" style="68" customWidth="1"/>
    <col min="11798" max="11798" width="9.140625" style="68"/>
    <col min="11799" max="11799" width="14.28515625" style="68" customWidth="1"/>
    <col min="11800" max="11802" width="9.140625" style="68"/>
    <col min="11803" max="11805" width="49.7109375" style="68" customWidth="1"/>
    <col min="11806" max="12038" width="9.140625" style="68"/>
    <col min="12039" max="12039" width="16.28515625" style="68" customWidth="1"/>
    <col min="12040" max="12045" width="0" style="68" hidden="1" customWidth="1"/>
    <col min="12046" max="12048" width="11.7109375" style="68" customWidth="1"/>
    <col min="12049" max="12049" width="11.28515625" style="68" customWidth="1"/>
    <col min="12050" max="12050" width="11.7109375" style="68" customWidth="1"/>
    <col min="12051" max="12051" width="11.28515625" style="68" customWidth="1"/>
    <col min="12052" max="12052" width="11.7109375" style="68" customWidth="1"/>
    <col min="12053" max="12053" width="11.28515625" style="68" customWidth="1"/>
    <col min="12054" max="12054" width="9.140625" style="68"/>
    <col min="12055" max="12055" width="14.28515625" style="68" customWidth="1"/>
    <col min="12056" max="12058" width="9.140625" style="68"/>
    <col min="12059" max="12061" width="49.7109375" style="68" customWidth="1"/>
    <col min="12062" max="12294" width="9.140625" style="68"/>
    <col min="12295" max="12295" width="16.28515625" style="68" customWidth="1"/>
    <col min="12296" max="12301" width="0" style="68" hidden="1" customWidth="1"/>
    <col min="12302" max="12304" width="11.7109375" style="68" customWidth="1"/>
    <col min="12305" max="12305" width="11.28515625" style="68" customWidth="1"/>
    <col min="12306" max="12306" width="11.7109375" style="68" customWidth="1"/>
    <col min="12307" max="12307" width="11.28515625" style="68" customWidth="1"/>
    <col min="12308" max="12308" width="11.7109375" style="68" customWidth="1"/>
    <col min="12309" max="12309" width="11.28515625" style="68" customWidth="1"/>
    <col min="12310" max="12310" width="9.140625" style="68"/>
    <col min="12311" max="12311" width="14.28515625" style="68" customWidth="1"/>
    <col min="12312" max="12314" width="9.140625" style="68"/>
    <col min="12315" max="12317" width="49.7109375" style="68" customWidth="1"/>
    <col min="12318" max="12550" width="9.140625" style="68"/>
    <col min="12551" max="12551" width="16.28515625" style="68" customWidth="1"/>
    <col min="12552" max="12557" width="0" style="68" hidden="1" customWidth="1"/>
    <col min="12558" max="12560" width="11.7109375" style="68" customWidth="1"/>
    <col min="12561" max="12561" width="11.28515625" style="68" customWidth="1"/>
    <col min="12562" max="12562" width="11.7109375" style="68" customWidth="1"/>
    <col min="12563" max="12563" width="11.28515625" style="68" customWidth="1"/>
    <col min="12564" max="12564" width="11.7109375" style="68" customWidth="1"/>
    <col min="12565" max="12565" width="11.28515625" style="68" customWidth="1"/>
    <col min="12566" max="12566" width="9.140625" style="68"/>
    <col min="12567" max="12567" width="14.28515625" style="68" customWidth="1"/>
    <col min="12568" max="12570" width="9.140625" style="68"/>
    <col min="12571" max="12573" width="49.7109375" style="68" customWidth="1"/>
    <col min="12574" max="12806" width="9.140625" style="68"/>
    <col min="12807" max="12807" width="16.28515625" style="68" customWidth="1"/>
    <col min="12808" max="12813" width="0" style="68" hidden="1" customWidth="1"/>
    <col min="12814" max="12816" width="11.7109375" style="68" customWidth="1"/>
    <col min="12817" max="12817" width="11.28515625" style="68" customWidth="1"/>
    <col min="12818" max="12818" width="11.7109375" style="68" customWidth="1"/>
    <col min="12819" max="12819" width="11.28515625" style="68" customWidth="1"/>
    <col min="12820" max="12820" width="11.7109375" style="68" customWidth="1"/>
    <col min="12821" max="12821" width="11.28515625" style="68" customWidth="1"/>
    <col min="12822" max="12822" width="9.140625" style="68"/>
    <col min="12823" max="12823" width="14.28515625" style="68" customWidth="1"/>
    <col min="12824" max="12826" width="9.140625" style="68"/>
    <col min="12827" max="12829" width="49.7109375" style="68" customWidth="1"/>
    <col min="12830" max="13062" width="9.140625" style="68"/>
    <col min="13063" max="13063" width="16.28515625" style="68" customWidth="1"/>
    <col min="13064" max="13069" width="0" style="68" hidden="1" customWidth="1"/>
    <col min="13070" max="13072" width="11.7109375" style="68" customWidth="1"/>
    <col min="13073" max="13073" width="11.28515625" style="68" customWidth="1"/>
    <col min="13074" max="13074" width="11.7109375" style="68" customWidth="1"/>
    <col min="13075" max="13075" width="11.28515625" style="68" customWidth="1"/>
    <col min="13076" max="13076" width="11.7109375" style="68" customWidth="1"/>
    <col min="13077" max="13077" width="11.28515625" style="68" customWidth="1"/>
    <col min="13078" max="13078" width="9.140625" style="68"/>
    <col min="13079" max="13079" width="14.28515625" style="68" customWidth="1"/>
    <col min="13080" max="13082" width="9.140625" style="68"/>
    <col min="13083" max="13085" width="49.7109375" style="68" customWidth="1"/>
    <col min="13086" max="13318" width="9.140625" style="68"/>
    <col min="13319" max="13319" width="16.28515625" style="68" customWidth="1"/>
    <col min="13320" max="13325" width="0" style="68" hidden="1" customWidth="1"/>
    <col min="13326" max="13328" width="11.7109375" style="68" customWidth="1"/>
    <col min="13329" max="13329" width="11.28515625" style="68" customWidth="1"/>
    <col min="13330" max="13330" width="11.7109375" style="68" customWidth="1"/>
    <col min="13331" max="13331" width="11.28515625" style="68" customWidth="1"/>
    <col min="13332" max="13332" width="11.7109375" style="68" customWidth="1"/>
    <col min="13333" max="13333" width="11.28515625" style="68" customWidth="1"/>
    <col min="13334" max="13334" width="9.140625" style="68"/>
    <col min="13335" max="13335" width="14.28515625" style="68" customWidth="1"/>
    <col min="13336" max="13338" width="9.140625" style="68"/>
    <col min="13339" max="13341" width="49.7109375" style="68" customWidth="1"/>
    <col min="13342" max="13574" width="9.140625" style="68"/>
    <col min="13575" max="13575" width="16.28515625" style="68" customWidth="1"/>
    <col min="13576" max="13581" width="0" style="68" hidden="1" customWidth="1"/>
    <col min="13582" max="13584" width="11.7109375" style="68" customWidth="1"/>
    <col min="13585" max="13585" width="11.28515625" style="68" customWidth="1"/>
    <col min="13586" max="13586" width="11.7109375" style="68" customWidth="1"/>
    <col min="13587" max="13587" width="11.28515625" style="68" customWidth="1"/>
    <col min="13588" max="13588" width="11.7109375" style="68" customWidth="1"/>
    <col min="13589" max="13589" width="11.28515625" style="68" customWidth="1"/>
    <col min="13590" max="13590" width="9.140625" style="68"/>
    <col min="13591" max="13591" width="14.28515625" style="68" customWidth="1"/>
    <col min="13592" max="13594" width="9.140625" style="68"/>
    <col min="13595" max="13597" width="49.7109375" style="68" customWidth="1"/>
    <col min="13598" max="13830" width="9.140625" style="68"/>
    <col min="13831" max="13831" width="16.28515625" style="68" customWidth="1"/>
    <col min="13832" max="13837" width="0" style="68" hidden="1" customWidth="1"/>
    <col min="13838" max="13840" width="11.7109375" style="68" customWidth="1"/>
    <col min="13841" max="13841" width="11.28515625" style="68" customWidth="1"/>
    <col min="13842" max="13842" width="11.7109375" style="68" customWidth="1"/>
    <col min="13843" max="13843" width="11.28515625" style="68" customWidth="1"/>
    <col min="13844" max="13844" width="11.7109375" style="68" customWidth="1"/>
    <col min="13845" max="13845" width="11.28515625" style="68" customWidth="1"/>
    <col min="13846" max="13846" width="9.140625" style="68"/>
    <col min="13847" max="13847" width="14.28515625" style="68" customWidth="1"/>
    <col min="13848" max="13850" width="9.140625" style="68"/>
    <col min="13851" max="13853" width="49.7109375" style="68" customWidth="1"/>
    <col min="13854" max="14086" width="9.140625" style="68"/>
    <col min="14087" max="14087" width="16.28515625" style="68" customWidth="1"/>
    <col min="14088" max="14093" width="0" style="68" hidden="1" customWidth="1"/>
    <col min="14094" max="14096" width="11.7109375" style="68" customWidth="1"/>
    <col min="14097" max="14097" width="11.28515625" style="68" customWidth="1"/>
    <col min="14098" max="14098" width="11.7109375" style="68" customWidth="1"/>
    <col min="14099" max="14099" width="11.28515625" style="68" customWidth="1"/>
    <col min="14100" max="14100" width="11.7109375" style="68" customWidth="1"/>
    <col min="14101" max="14101" width="11.28515625" style="68" customWidth="1"/>
    <col min="14102" max="14102" width="9.140625" style="68"/>
    <col min="14103" max="14103" width="14.28515625" style="68" customWidth="1"/>
    <col min="14104" max="14106" width="9.140625" style="68"/>
    <col min="14107" max="14109" width="49.7109375" style="68" customWidth="1"/>
    <col min="14110" max="14342" width="9.140625" style="68"/>
    <col min="14343" max="14343" width="16.28515625" style="68" customWidth="1"/>
    <col min="14344" max="14349" width="0" style="68" hidden="1" customWidth="1"/>
    <col min="14350" max="14352" width="11.7109375" style="68" customWidth="1"/>
    <col min="14353" max="14353" width="11.28515625" style="68" customWidth="1"/>
    <col min="14354" max="14354" width="11.7109375" style="68" customWidth="1"/>
    <col min="14355" max="14355" width="11.28515625" style="68" customWidth="1"/>
    <col min="14356" max="14356" width="11.7109375" style="68" customWidth="1"/>
    <col min="14357" max="14357" width="11.28515625" style="68" customWidth="1"/>
    <col min="14358" max="14358" width="9.140625" style="68"/>
    <col min="14359" max="14359" width="14.28515625" style="68" customWidth="1"/>
    <col min="14360" max="14362" width="9.140625" style="68"/>
    <col min="14363" max="14365" width="49.7109375" style="68" customWidth="1"/>
    <col min="14366" max="14598" width="9.140625" style="68"/>
    <col min="14599" max="14599" width="16.28515625" style="68" customWidth="1"/>
    <col min="14600" max="14605" width="0" style="68" hidden="1" customWidth="1"/>
    <col min="14606" max="14608" width="11.7109375" style="68" customWidth="1"/>
    <col min="14609" max="14609" width="11.28515625" style="68" customWidth="1"/>
    <col min="14610" max="14610" width="11.7109375" style="68" customWidth="1"/>
    <col min="14611" max="14611" width="11.28515625" style="68" customWidth="1"/>
    <col min="14612" max="14612" width="11.7109375" style="68" customWidth="1"/>
    <col min="14613" max="14613" width="11.28515625" style="68" customWidth="1"/>
    <col min="14614" max="14614" width="9.140625" style="68"/>
    <col min="14615" max="14615" width="14.28515625" style="68" customWidth="1"/>
    <col min="14616" max="14618" width="9.140625" style="68"/>
    <col min="14619" max="14621" width="49.7109375" style="68" customWidth="1"/>
    <col min="14622" max="14854" width="9.140625" style="68"/>
    <col min="14855" max="14855" width="16.28515625" style="68" customWidth="1"/>
    <col min="14856" max="14861" width="0" style="68" hidden="1" customWidth="1"/>
    <col min="14862" max="14864" width="11.7109375" style="68" customWidth="1"/>
    <col min="14865" max="14865" width="11.28515625" style="68" customWidth="1"/>
    <col min="14866" max="14866" width="11.7109375" style="68" customWidth="1"/>
    <col min="14867" max="14867" width="11.28515625" style="68" customWidth="1"/>
    <col min="14868" max="14868" width="11.7109375" style="68" customWidth="1"/>
    <col min="14869" max="14869" width="11.28515625" style="68" customWidth="1"/>
    <col min="14870" max="14870" width="9.140625" style="68"/>
    <col min="14871" max="14871" width="14.28515625" style="68" customWidth="1"/>
    <col min="14872" max="14874" width="9.140625" style="68"/>
    <col min="14875" max="14877" width="49.7109375" style="68" customWidth="1"/>
    <col min="14878" max="15110" width="9.140625" style="68"/>
    <col min="15111" max="15111" width="16.28515625" style="68" customWidth="1"/>
    <col min="15112" max="15117" width="0" style="68" hidden="1" customWidth="1"/>
    <col min="15118" max="15120" width="11.7109375" style="68" customWidth="1"/>
    <col min="15121" max="15121" width="11.28515625" style="68" customWidth="1"/>
    <col min="15122" max="15122" width="11.7109375" style="68" customWidth="1"/>
    <col min="15123" max="15123" width="11.28515625" style="68" customWidth="1"/>
    <col min="15124" max="15124" width="11.7109375" style="68" customWidth="1"/>
    <col min="15125" max="15125" width="11.28515625" style="68" customWidth="1"/>
    <col min="15126" max="15126" width="9.140625" style="68"/>
    <col min="15127" max="15127" width="14.28515625" style="68" customWidth="1"/>
    <col min="15128" max="15130" width="9.140625" style="68"/>
    <col min="15131" max="15133" width="49.7109375" style="68" customWidth="1"/>
    <col min="15134" max="15366" width="9.140625" style="68"/>
    <col min="15367" max="15367" width="16.28515625" style="68" customWidth="1"/>
    <col min="15368" max="15373" width="0" style="68" hidden="1" customWidth="1"/>
    <col min="15374" max="15376" width="11.7109375" style="68" customWidth="1"/>
    <col min="15377" max="15377" width="11.28515625" style="68" customWidth="1"/>
    <col min="15378" max="15378" width="11.7109375" style="68" customWidth="1"/>
    <col min="15379" max="15379" width="11.28515625" style="68" customWidth="1"/>
    <col min="15380" max="15380" width="11.7109375" style="68" customWidth="1"/>
    <col min="15381" max="15381" width="11.28515625" style="68" customWidth="1"/>
    <col min="15382" max="15382" width="9.140625" style="68"/>
    <col min="15383" max="15383" width="14.28515625" style="68" customWidth="1"/>
    <col min="15384" max="15386" width="9.140625" style="68"/>
    <col min="15387" max="15389" width="49.7109375" style="68" customWidth="1"/>
    <col min="15390" max="15622" width="9.140625" style="68"/>
    <col min="15623" max="15623" width="16.28515625" style="68" customWidth="1"/>
    <col min="15624" max="15629" width="0" style="68" hidden="1" customWidth="1"/>
    <col min="15630" max="15632" width="11.7109375" style="68" customWidth="1"/>
    <col min="15633" max="15633" width="11.28515625" style="68" customWidth="1"/>
    <col min="15634" max="15634" width="11.7109375" style="68" customWidth="1"/>
    <col min="15635" max="15635" width="11.28515625" style="68" customWidth="1"/>
    <col min="15636" max="15636" width="11.7109375" style="68" customWidth="1"/>
    <col min="15637" max="15637" width="11.28515625" style="68" customWidth="1"/>
    <col min="15638" max="15638" width="9.140625" style="68"/>
    <col min="15639" max="15639" width="14.28515625" style="68" customWidth="1"/>
    <col min="15640" max="15642" width="9.140625" style="68"/>
    <col min="15643" max="15645" width="49.7109375" style="68" customWidth="1"/>
    <col min="15646" max="15878" width="9.140625" style="68"/>
    <col min="15879" max="15879" width="16.28515625" style="68" customWidth="1"/>
    <col min="15880" max="15885" width="0" style="68" hidden="1" customWidth="1"/>
    <col min="15886" max="15888" width="11.7109375" style="68" customWidth="1"/>
    <col min="15889" max="15889" width="11.28515625" style="68" customWidth="1"/>
    <col min="15890" max="15890" width="11.7109375" style="68" customWidth="1"/>
    <col min="15891" max="15891" width="11.28515625" style="68" customWidth="1"/>
    <col min="15892" max="15892" width="11.7109375" style="68" customWidth="1"/>
    <col min="15893" max="15893" width="11.28515625" style="68" customWidth="1"/>
    <col min="15894" max="15894" width="9.140625" style="68"/>
    <col min="15895" max="15895" width="14.28515625" style="68" customWidth="1"/>
    <col min="15896" max="15898" width="9.140625" style="68"/>
    <col min="15899" max="15901" width="49.7109375" style="68" customWidth="1"/>
    <col min="15902" max="16134" width="9.140625" style="68"/>
    <col min="16135" max="16135" width="16.28515625" style="68" customWidth="1"/>
    <col min="16136" max="16141" width="0" style="68" hidden="1" customWidth="1"/>
    <col min="16142" max="16144" width="11.7109375" style="68" customWidth="1"/>
    <col min="16145" max="16145" width="11.28515625" style="68" customWidth="1"/>
    <col min="16146" max="16146" width="11.7109375" style="68" customWidth="1"/>
    <col min="16147" max="16147" width="11.28515625" style="68" customWidth="1"/>
    <col min="16148" max="16148" width="11.7109375" style="68" customWidth="1"/>
    <col min="16149" max="16149" width="11.28515625" style="68" customWidth="1"/>
    <col min="16150" max="16150" width="9.140625" style="68"/>
    <col min="16151" max="16151" width="14.28515625" style="68" customWidth="1"/>
    <col min="16152" max="16154" width="9.140625" style="68"/>
    <col min="16155" max="16157" width="49.7109375" style="68" customWidth="1"/>
    <col min="16158" max="16384" width="9.140625" style="68"/>
  </cols>
  <sheetData>
    <row r="2" spans="1:36" ht="21">
      <c r="A2" s="1460" t="s">
        <v>1242</v>
      </c>
      <c r="B2" s="1460"/>
      <c r="C2" s="1460"/>
      <c r="D2" s="1460"/>
      <c r="E2" s="1460"/>
      <c r="F2" s="1460"/>
      <c r="G2" s="1460"/>
      <c r="H2" s="1460"/>
      <c r="I2" s="1460"/>
      <c r="J2" s="1460"/>
      <c r="K2" s="1460"/>
      <c r="L2" s="1460"/>
      <c r="M2" s="1460"/>
      <c r="N2" s="1460"/>
      <c r="O2" s="1460"/>
      <c r="P2" s="1460"/>
      <c r="Q2" s="1460"/>
      <c r="R2" s="1460"/>
      <c r="S2" s="1460"/>
      <c r="T2" s="1460"/>
      <c r="U2" s="1460"/>
      <c r="V2" s="1460"/>
      <c r="W2" s="1460"/>
      <c r="AF2" s="671" t="s">
        <v>22</v>
      </c>
      <c r="AG2" s="671" t="s">
        <v>23</v>
      </c>
    </row>
    <row r="3" spans="1:36">
      <c r="A3" s="1494" t="s">
        <v>1241</v>
      </c>
      <c r="B3" s="1494"/>
      <c r="C3" s="1494"/>
      <c r="D3" s="1494"/>
      <c r="E3" s="1494"/>
      <c r="F3" s="1494"/>
      <c r="G3" s="1494"/>
      <c r="H3" s="1494"/>
      <c r="I3" s="1494"/>
      <c r="J3" s="1494"/>
      <c r="K3" s="1494"/>
      <c r="L3" s="1494"/>
      <c r="M3" s="1494"/>
      <c r="N3" s="1494"/>
      <c r="O3" s="1494"/>
      <c r="P3" s="1494"/>
      <c r="Q3" s="1494"/>
      <c r="R3" s="1494"/>
      <c r="S3" s="1494"/>
      <c r="T3" s="1494"/>
      <c r="U3" s="1494"/>
      <c r="V3" s="1494"/>
      <c r="W3" s="1494"/>
      <c r="AE3" s="636" t="s">
        <v>132</v>
      </c>
      <c r="AF3" s="672">
        <f>SUM(AH4:AH7)</f>
        <v>5414</v>
      </c>
      <c r="AG3" s="672">
        <f>SUM(AI4:AI7)</f>
        <v>5414</v>
      </c>
      <c r="AH3" s="673"/>
    </row>
    <row r="4" spans="1:36" s="636" customFormat="1">
      <c r="A4" s="1495" t="s">
        <v>912</v>
      </c>
      <c r="B4" s="1498">
        <v>2010</v>
      </c>
      <c r="C4" s="1498"/>
      <c r="D4" s="1499">
        <v>2013</v>
      </c>
      <c r="E4" s="1498"/>
      <c r="F4" s="1499">
        <v>2014</v>
      </c>
      <c r="G4" s="1498"/>
      <c r="H4" s="1499">
        <v>2015</v>
      </c>
      <c r="I4" s="1498"/>
      <c r="J4" s="1499">
        <v>2016</v>
      </c>
      <c r="K4" s="1498"/>
      <c r="L4" s="1499">
        <v>2017</v>
      </c>
      <c r="M4" s="1498"/>
      <c r="N4" s="1499">
        <v>2018</v>
      </c>
      <c r="O4" s="1498"/>
      <c r="P4" s="1499">
        <v>2019</v>
      </c>
      <c r="Q4" s="1498"/>
      <c r="R4" s="1499">
        <v>2020</v>
      </c>
      <c r="S4" s="1498"/>
      <c r="T4" s="1499">
        <v>2021</v>
      </c>
      <c r="U4" s="1498"/>
      <c r="V4" s="1224"/>
      <c r="W4" s="1466" t="s">
        <v>913</v>
      </c>
      <c r="AG4" s="674" t="s">
        <v>914</v>
      </c>
      <c r="AH4" s="675">
        <f>T8</f>
        <v>2829</v>
      </c>
      <c r="AI4" s="675">
        <f>U8</f>
        <v>2706</v>
      </c>
      <c r="AJ4" s="68"/>
    </row>
    <row r="5" spans="1:36" s="636" customFormat="1">
      <c r="A5" s="1496"/>
      <c r="B5" s="671" t="s">
        <v>22</v>
      </c>
      <c r="C5" s="671" t="s">
        <v>23</v>
      </c>
      <c r="D5" s="676" t="s">
        <v>22</v>
      </c>
      <c r="E5" s="671" t="s">
        <v>23</v>
      </c>
      <c r="F5" s="676" t="s">
        <v>22</v>
      </c>
      <c r="G5" s="671" t="s">
        <v>23</v>
      </c>
      <c r="H5" s="676" t="s">
        <v>22</v>
      </c>
      <c r="I5" s="671" t="s">
        <v>23</v>
      </c>
      <c r="J5" s="676" t="s">
        <v>22</v>
      </c>
      <c r="K5" s="671" t="s">
        <v>23</v>
      </c>
      <c r="L5" s="676" t="s">
        <v>22</v>
      </c>
      <c r="M5" s="671" t="s">
        <v>23</v>
      </c>
      <c r="N5" s="676" t="s">
        <v>22</v>
      </c>
      <c r="O5" s="671" t="s">
        <v>23</v>
      </c>
      <c r="P5" s="676" t="s">
        <v>22</v>
      </c>
      <c r="Q5" s="671" t="s">
        <v>23</v>
      </c>
      <c r="R5" s="676" t="s">
        <v>22</v>
      </c>
      <c r="S5" s="671" t="s">
        <v>23</v>
      </c>
      <c r="T5" s="676" t="s">
        <v>22</v>
      </c>
      <c r="U5" s="671" t="s">
        <v>23</v>
      </c>
      <c r="V5" s="677"/>
      <c r="W5" s="1467"/>
      <c r="AG5" s="674" t="s">
        <v>915</v>
      </c>
      <c r="AH5" s="675">
        <f t="shared" ref="AH5" si="0">T9</f>
        <v>1297</v>
      </c>
      <c r="AI5" s="675">
        <f>U9</f>
        <v>1354</v>
      </c>
      <c r="AJ5" s="68"/>
    </row>
    <row r="6" spans="1:36" s="636" customFormat="1" ht="21">
      <c r="A6" s="1497"/>
      <c r="B6" s="678" t="s">
        <v>797</v>
      </c>
      <c r="C6" s="678" t="s">
        <v>798</v>
      </c>
      <c r="D6" s="679" t="s">
        <v>797</v>
      </c>
      <c r="E6" s="678" t="s">
        <v>798</v>
      </c>
      <c r="F6" s="679" t="s">
        <v>797</v>
      </c>
      <c r="G6" s="678" t="s">
        <v>798</v>
      </c>
      <c r="H6" s="679" t="s">
        <v>797</v>
      </c>
      <c r="I6" s="678" t="s">
        <v>798</v>
      </c>
      <c r="J6" s="679" t="s">
        <v>797</v>
      </c>
      <c r="K6" s="678" t="s">
        <v>798</v>
      </c>
      <c r="L6" s="679" t="s">
        <v>797</v>
      </c>
      <c r="M6" s="678" t="s">
        <v>798</v>
      </c>
      <c r="N6" s="679" t="s">
        <v>797</v>
      </c>
      <c r="O6" s="678" t="s">
        <v>798</v>
      </c>
      <c r="P6" s="679" t="s">
        <v>797</v>
      </c>
      <c r="Q6" s="678" t="s">
        <v>798</v>
      </c>
      <c r="R6" s="679" t="s">
        <v>797</v>
      </c>
      <c r="S6" s="678" t="s">
        <v>798</v>
      </c>
      <c r="T6" s="679" t="s">
        <v>797</v>
      </c>
      <c r="U6" s="678" t="s">
        <v>798</v>
      </c>
      <c r="V6" s="678"/>
      <c r="W6" s="1500"/>
      <c r="AG6" s="674" t="s">
        <v>916</v>
      </c>
      <c r="AH6" s="675">
        <f t="shared" ref="AH6:AI6" si="1">T10</f>
        <v>610</v>
      </c>
      <c r="AI6" s="675">
        <f t="shared" si="1"/>
        <v>715</v>
      </c>
      <c r="AJ6" s="68"/>
    </row>
    <row r="7" spans="1:36" s="636" customFormat="1" ht="18.75">
      <c r="A7" s="636" t="s">
        <v>132</v>
      </c>
      <c r="B7" s="672">
        <f t="shared" ref="B7:O7" si="2">SUM(B8:B11)</f>
        <v>6136</v>
      </c>
      <c r="C7" s="672">
        <f t="shared" si="2"/>
        <v>6136</v>
      </c>
      <c r="D7" s="680">
        <f t="shared" si="2"/>
        <v>5620</v>
      </c>
      <c r="E7" s="672">
        <f t="shared" si="2"/>
        <v>5620</v>
      </c>
      <c r="F7" s="680">
        <f t="shared" si="2"/>
        <v>5587</v>
      </c>
      <c r="G7" s="672">
        <f t="shared" si="2"/>
        <v>5587</v>
      </c>
      <c r="H7" s="680">
        <f t="shared" si="2"/>
        <v>5763</v>
      </c>
      <c r="I7" s="672">
        <f t="shared" si="2"/>
        <v>5763</v>
      </c>
      <c r="J7" s="680">
        <f t="shared" si="2"/>
        <v>5488</v>
      </c>
      <c r="K7" s="672">
        <f t="shared" si="2"/>
        <v>5488</v>
      </c>
      <c r="L7" s="680">
        <f t="shared" si="2"/>
        <v>5237</v>
      </c>
      <c r="M7" s="672">
        <f t="shared" si="2"/>
        <v>5237</v>
      </c>
      <c r="N7" s="680">
        <f t="shared" si="2"/>
        <v>5290</v>
      </c>
      <c r="O7" s="672">
        <f t="shared" si="2"/>
        <v>5290</v>
      </c>
      <c r="P7" s="680">
        <f t="shared" ref="P7:Q7" si="3">SUM(P8:P11)</f>
        <v>5069</v>
      </c>
      <c r="Q7" s="672">
        <f t="shared" si="3"/>
        <v>5069</v>
      </c>
      <c r="R7" s="680">
        <f t="shared" ref="R7:S7" si="4">SUM(R8:R11)</f>
        <v>4998</v>
      </c>
      <c r="S7" s="672">
        <f t="shared" si="4"/>
        <v>4998</v>
      </c>
      <c r="T7" s="680">
        <f t="shared" ref="T7:U7" si="5">SUM(T8:T11)</f>
        <v>5414</v>
      </c>
      <c r="U7" s="672">
        <f t="shared" si="5"/>
        <v>5414</v>
      </c>
      <c r="V7" s="672"/>
      <c r="W7" s="681" t="s">
        <v>699</v>
      </c>
      <c r="AG7" s="682" t="s">
        <v>917</v>
      </c>
      <c r="AH7" s="675">
        <f t="shared" ref="AH7:AI7" si="6">T11</f>
        <v>678</v>
      </c>
      <c r="AI7" s="675">
        <f t="shared" si="6"/>
        <v>639</v>
      </c>
      <c r="AJ7" s="68"/>
    </row>
    <row r="8" spans="1:36" ht="18.75">
      <c r="A8" s="674" t="s">
        <v>914</v>
      </c>
      <c r="B8" s="675">
        <v>3866</v>
      </c>
      <c r="C8" s="675">
        <v>3886</v>
      </c>
      <c r="D8" s="683">
        <v>3066</v>
      </c>
      <c r="E8" s="675">
        <v>3151</v>
      </c>
      <c r="F8" s="683">
        <v>3085</v>
      </c>
      <c r="G8" s="675">
        <v>3021</v>
      </c>
      <c r="H8" s="683">
        <v>3026</v>
      </c>
      <c r="I8" s="675">
        <v>2999</v>
      </c>
      <c r="J8" s="683">
        <v>2773</v>
      </c>
      <c r="K8" s="675">
        <v>2716</v>
      </c>
      <c r="L8" s="683">
        <v>2655</v>
      </c>
      <c r="M8" s="675">
        <v>2657</v>
      </c>
      <c r="N8" s="683">
        <v>2837</v>
      </c>
      <c r="O8" s="675">
        <v>2709</v>
      </c>
      <c r="P8" s="683">
        <v>2605</v>
      </c>
      <c r="Q8" s="675">
        <v>2511</v>
      </c>
      <c r="R8" s="683">
        <v>2760</v>
      </c>
      <c r="S8" s="675">
        <v>2583</v>
      </c>
      <c r="T8" s="1255">
        <v>2829</v>
      </c>
      <c r="U8" s="1256">
        <v>2706</v>
      </c>
      <c r="V8" s="675"/>
      <c r="W8" s="660" t="s">
        <v>918</v>
      </c>
    </row>
    <row r="9" spans="1:36" ht="18.75">
      <c r="A9" s="674" t="s">
        <v>915</v>
      </c>
      <c r="B9" s="675">
        <v>1283</v>
      </c>
      <c r="C9" s="675">
        <v>1315</v>
      </c>
      <c r="D9" s="683">
        <v>1458</v>
      </c>
      <c r="E9" s="675">
        <v>1475</v>
      </c>
      <c r="F9" s="683">
        <v>1451</v>
      </c>
      <c r="G9" s="675">
        <v>1442</v>
      </c>
      <c r="H9" s="683">
        <v>1464</v>
      </c>
      <c r="I9" s="675">
        <v>1547</v>
      </c>
      <c r="J9" s="683">
        <v>1469</v>
      </c>
      <c r="K9" s="675">
        <v>1521</v>
      </c>
      <c r="L9" s="683">
        <v>1345</v>
      </c>
      <c r="M9" s="675">
        <v>1349</v>
      </c>
      <c r="N9" s="683">
        <v>1284</v>
      </c>
      <c r="O9" s="675">
        <v>1324</v>
      </c>
      <c r="P9" s="683">
        <v>1287</v>
      </c>
      <c r="Q9" s="675">
        <v>1326</v>
      </c>
      <c r="R9" s="683">
        <v>1151</v>
      </c>
      <c r="S9" s="675">
        <v>1254</v>
      </c>
      <c r="T9" s="1255">
        <v>1297</v>
      </c>
      <c r="U9" s="1256">
        <v>1354</v>
      </c>
      <c r="V9" s="675"/>
      <c r="W9" s="660" t="s">
        <v>919</v>
      </c>
    </row>
    <row r="10" spans="1:36" ht="18.75">
      <c r="A10" s="674" t="s">
        <v>916</v>
      </c>
      <c r="B10" s="675">
        <v>516</v>
      </c>
      <c r="C10" s="675">
        <v>462</v>
      </c>
      <c r="D10" s="683">
        <v>537</v>
      </c>
      <c r="E10" s="675">
        <v>511</v>
      </c>
      <c r="F10" s="683">
        <v>535</v>
      </c>
      <c r="G10" s="675">
        <v>586</v>
      </c>
      <c r="H10" s="683">
        <v>635</v>
      </c>
      <c r="I10" s="675">
        <v>631</v>
      </c>
      <c r="J10" s="683">
        <v>620</v>
      </c>
      <c r="K10" s="675">
        <v>650</v>
      </c>
      <c r="L10" s="683">
        <v>651</v>
      </c>
      <c r="M10" s="675">
        <v>640</v>
      </c>
      <c r="N10" s="683">
        <v>576</v>
      </c>
      <c r="O10" s="675">
        <v>669</v>
      </c>
      <c r="P10" s="683">
        <v>591</v>
      </c>
      <c r="Q10" s="675">
        <v>621</v>
      </c>
      <c r="R10" s="683">
        <v>549</v>
      </c>
      <c r="S10" s="675">
        <v>628</v>
      </c>
      <c r="T10" s="1255">
        <v>610</v>
      </c>
      <c r="U10" s="1256">
        <v>715</v>
      </c>
      <c r="V10" s="675"/>
      <c r="W10" s="660" t="s">
        <v>920</v>
      </c>
      <c r="AH10" s="671" t="s">
        <v>22</v>
      </c>
      <c r="AI10" s="671" t="s">
        <v>23</v>
      </c>
    </row>
    <row r="11" spans="1:36" ht="18.75">
      <c r="A11" s="682" t="s">
        <v>917</v>
      </c>
      <c r="B11" s="684">
        <v>471</v>
      </c>
      <c r="C11" s="684">
        <v>473</v>
      </c>
      <c r="D11" s="685">
        <v>559</v>
      </c>
      <c r="E11" s="684">
        <v>483</v>
      </c>
      <c r="F11" s="685">
        <v>516</v>
      </c>
      <c r="G11" s="684">
        <v>538</v>
      </c>
      <c r="H11" s="685">
        <v>638</v>
      </c>
      <c r="I11" s="684">
        <v>586</v>
      </c>
      <c r="J11" s="685">
        <v>626</v>
      </c>
      <c r="K11" s="684">
        <v>601</v>
      </c>
      <c r="L11" s="685">
        <v>586</v>
      </c>
      <c r="M11" s="684">
        <v>591</v>
      </c>
      <c r="N11" s="685">
        <v>593</v>
      </c>
      <c r="O11" s="684">
        <v>588</v>
      </c>
      <c r="P11" s="685">
        <v>586</v>
      </c>
      <c r="Q11" s="684">
        <v>611</v>
      </c>
      <c r="R11" s="685">
        <v>538</v>
      </c>
      <c r="S11" s="684">
        <v>533</v>
      </c>
      <c r="T11" s="1257">
        <v>678</v>
      </c>
      <c r="U11" s="1258">
        <v>639</v>
      </c>
      <c r="V11" s="684"/>
      <c r="W11" s="686" t="s">
        <v>921</v>
      </c>
      <c r="AH11" s="666">
        <f>AH4/AF3*100</f>
        <v>52.253417066863683</v>
      </c>
      <c r="AI11" s="666">
        <f>AI4/AG3*100</f>
        <v>49.981529368304393</v>
      </c>
    </row>
    <row r="12" spans="1:36" ht="18">
      <c r="A12" s="687" t="s">
        <v>879</v>
      </c>
      <c r="W12" s="607" t="s">
        <v>880</v>
      </c>
    </row>
    <row r="13" spans="1:36">
      <c r="Y13" s="636"/>
      <c r="Z13" s="636"/>
      <c r="AA13" s="636"/>
      <c r="AB13" s="636"/>
      <c r="AC13" s="636"/>
      <c r="AH13" s="671" t="s">
        <v>22</v>
      </c>
      <c r="AI13" s="671" t="s">
        <v>23</v>
      </c>
    </row>
    <row r="14" spans="1:36">
      <c r="Y14" s="636"/>
      <c r="Z14" s="636"/>
      <c r="AA14" s="636"/>
      <c r="AB14" s="636"/>
      <c r="AC14" s="636"/>
      <c r="AG14" s="674" t="s">
        <v>914</v>
      </c>
      <c r="AH14" s="666">
        <f>AH4/$AF$3*100</f>
        <v>52.253417066863683</v>
      </c>
      <c r="AI14" s="666">
        <f>AI4/$AF$3*100</f>
        <v>49.981529368304393</v>
      </c>
    </row>
    <row r="15" spans="1:36">
      <c r="Y15" s="636"/>
      <c r="Z15" s="636"/>
      <c r="AA15" s="636"/>
      <c r="AB15" s="636"/>
      <c r="AC15" s="636"/>
      <c r="AG15" s="674" t="s">
        <v>915</v>
      </c>
      <c r="AH15" s="666">
        <f t="shared" ref="AH15:AI17" si="7">AH5/$AF$3*100</f>
        <v>23.956409309198374</v>
      </c>
      <c r="AI15" s="666">
        <f t="shared" si="7"/>
        <v>25.0092353158478</v>
      </c>
    </row>
    <row r="16" spans="1:36">
      <c r="Y16" s="636"/>
      <c r="Z16" s="636"/>
      <c r="AA16" s="636"/>
      <c r="AB16" s="636"/>
      <c r="AC16" s="636"/>
      <c r="AG16" s="674" t="s">
        <v>916</v>
      </c>
      <c r="AH16" s="666">
        <f t="shared" si="7"/>
        <v>11.267085334318434</v>
      </c>
      <c r="AI16" s="666">
        <f t="shared" si="7"/>
        <v>13.206501662356853</v>
      </c>
    </row>
    <row r="17" spans="25:45">
      <c r="AG17" s="682" t="s">
        <v>917</v>
      </c>
      <c r="AH17" s="666">
        <f t="shared" si="7"/>
        <v>12.523088289619505</v>
      </c>
      <c r="AI17" s="666">
        <f t="shared" si="7"/>
        <v>11.802733653490948</v>
      </c>
    </row>
    <row r="22" spans="25:45">
      <c r="Y22" s="636"/>
      <c r="Z22" s="636"/>
      <c r="AA22" s="636"/>
      <c r="AB22" s="636"/>
      <c r="AC22" s="636"/>
      <c r="AH22" s="1493">
        <v>2016</v>
      </c>
      <c r="AI22" s="1493"/>
      <c r="AJ22" s="1493">
        <v>2017</v>
      </c>
      <c r="AK22" s="1493"/>
      <c r="AL22" s="1493">
        <v>2018</v>
      </c>
      <c r="AM22" s="1493"/>
      <c r="AN22" s="1493">
        <v>2019</v>
      </c>
      <c r="AO22" s="1493"/>
      <c r="AP22" s="1493">
        <v>2020</v>
      </c>
      <c r="AQ22" s="1493"/>
      <c r="AR22" s="1493">
        <v>2021</v>
      </c>
      <c r="AS22" s="1493"/>
    </row>
    <row r="23" spans="25:45">
      <c r="Y23" s="636"/>
      <c r="Z23" s="636"/>
      <c r="AA23" s="636"/>
      <c r="AB23" s="636"/>
      <c r="AC23" s="636"/>
      <c r="AH23" s="671" t="s">
        <v>22</v>
      </c>
      <c r="AI23" s="671" t="s">
        <v>23</v>
      </c>
      <c r="AJ23" s="671" t="s">
        <v>22</v>
      </c>
      <c r="AK23" s="671" t="s">
        <v>23</v>
      </c>
      <c r="AL23" s="671" t="s">
        <v>22</v>
      </c>
      <c r="AM23" s="671" t="s">
        <v>23</v>
      </c>
      <c r="AN23" s="671" t="s">
        <v>22</v>
      </c>
      <c r="AO23" s="671" t="s">
        <v>23</v>
      </c>
      <c r="AP23" s="671" t="s">
        <v>22</v>
      </c>
      <c r="AQ23" s="671" t="s">
        <v>23</v>
      </c>
      <c r="AR23" s="671" t="s">
        <v>22</v>
      </c>
      <c r="AS23" s="671" t="s">
        <v>23</v>
      </c>
    </row>
    <row r="24" spans="25:45">
      <c r="Y24" s="636"/>
      <c r="Z24" s="636"/>
      <c r="AA24" s="636"/>
      <c r="AB24" s="636"/>
      <c r="AC24" s="636"/>
      <c r="AG24" s="68" t="s">
        <v>914</v>
      </c>
      <c r="AH24" s="683">
        <v>2773</v>
      </c>
      <c r="AI24" s="675">
        <v>2716</v>
      </c>
      <c r="AJ24" s="683">
        <v>2655</v>
      </c>
      <c r="AK24" s="675">
        <v>2657</v>
      </c>
      <c r="AL24" s="683">
        <f t="shared" ref="AL24:AM27" si="8">N8</f>
        <v>2837</v>
      </c>
      <c r="AM24" s="683">
        <f t="shared" si="8"/>
        <v>2709</v>
      </c>
      <c r="AN24" s="683">
        <f>P8</f>
        <v>2605</v>
      </c>
      <c r="AO24" s="683">
        <f t="shared" ref="AO24:AO27" si="9">Q8</f>
        <v>2511</v>
      </c>
      <c r="AP24" s="683">
        <f>R8</f>
        <v>2760</v>
      </c>
      <c r="AQ24" s="683">
        <f t="shared" ref="AQ24:AQ27" si="10">S8</f>
        <v>2583</v>
      </c>
      <c r="AR24" s="683">
        <f>T8</f>
        <v>2829</v>
      </c>
      <c r="AS24" s="683">
        <f>U8</f>
        <v>2706</v>
      </c>
    </row>
    <row r="25" spans="25:45">
      <c r="Y25" s="636"/>
      <c r="Z25" s="636"/>
      <c r="AA25" s="636"/>
      <c r="AB25" s="636"/>
      <c r="AC25" s="636"/>
      <c r="AG25" s="68" t="s">
        <v>915</v>
      </c>
      <c r="AH25" s="683">
        <v>1469</v>
      </c>
      <c r="AI25" s="675">
        <v>1521</v>
      </c>
      <c r="AJ25" s="683">
        <v>1345</v>
      </c>
      <c r="AK25" s="675">
        <v>1349</v>
      </c>
      <c r="AL25" s="683">
        <f t="shared" si="8"/>
        <v>1284</v>
      </c>
      <c r="AM25" s="683">
        <f t="shared" si="8"/>
        <v>1324</v>
      </c>
      <c r="AN25" s="683">
        <f t="shared" ref="AN25:AN27" si="11">P9</f>
        <v>1287</v>
      </c>
      <c r="AO25" s="683">
        <f t="shared" si="9"/>
        <v>1326</v>
      </c>
      <c r="AP25" s="683">
        <f t="shared" ref="AP25:AP27" si="12">R9</f>
        <v>1151</v>
      </c>
      <c r="AQ25" s="683">
        <f t="shared" si="10"/>
        <v>1254</v>
      </c>
      <c r="AR25" s="683">
        <f t="shared" ref="AR25:AR27" si="13">T9</f>
        <v>1297</v>
      </c>
      <c r="AS25" s="683">
        <f t="shared" ref="AS25:AS27" si="14">U9</f>
        <v>1354</v>
      </c>
    </row>
    <row r="26" spans="25:45">
      <c r="AG26" s="68" t="s">
        <v>916</v>
      </c>
      <c r="AH26" s="683">
        <v>620</v>
      </c>
      <c r="AI26" s="675">
        <v>650</v>
      </c>
      <c r="AJ26" s="683">
        <v>651</v>
      </c>
      <c r="AK26" s="675">
        <v>640</v>
      </c>
      <c r="AL26" s="683">
        <f t="shared" si="8"/>
        <v>576</v>
      </c>
      <c r="AM26" s="683">
        <f t="shared" si="8"/>
        <v>669</v>
      </c>
      <c r="AN26" s="683">
        <f t="shared" si="11"/>
        <v>591</v>
      </c>
      <c r="AO26" s="683">
        <f t="shared" si="9"/>
        <v>621</v>
      </c>
      <c r="AP26" s="683">
        <f t="shared" si="12"/>
        <v>549</v>
      </c>
      <c r="AQ26" s="683">
        <f t="shared" si="10"/>
        <v>628</v>
      </c>
      <c r="AR26" s="683">
        <f t="shared" si="13"/>
        <v>610</v>
      </c>
      <c r="AS26" s="683">
        <f t="shared" si="14"/>
        <v>715</v>
      </c>
    </row>
    <row r="27" spans="25:45">
      <c r="AG27" s="68" t="s">
        <v>917</v>
      </c>
      <c r="AH27" s="685">
        <v>626</v>
      </c>
      <c r="AI27" s="684">
        <v>601</v>
      </c>
      <c r="AJ27" s="685">
        <v>586</v>
      </c>
      <c r="AK27" s="684">
        <v>591</v>
      </c>
      <c r="AL27" s="683">
        <f t="shared" si="8"/>
        <v>593</v>
      </c>
      <c r="AM27" s="683">
        <f t="shared" si="8"/>
        <v>588</v>
      </c>
      <c r="AN27" s="683">
        <f t="shared" si="11"/>
        <v>586</v>
      </c>
      <c r="AO27" s="683">
        <f t="shared" si="9"/>
        <v>611</v>
      </c>
      <c r="AP27" s="683">
        <f t="shared" si="12"/>
        <v>538</v>
      </c>
      <c r="AQ27" s="683">
        <f t="shared" si="10"/>
        <v>533</v>
      </c>
      <c r="AR27" s="683">
        <f t="shared" si="13"/>
        <v>678</v>
      </c>
      <c r="AS27" s="683">
        <f t="shared" si="14"/>
        <v>639</v>
      </c>
    </row>
    <row r="31" spans="25:45">
      <c r="Y31" s="636"/>
      <c r="Z31" s="636"/>
      <c r="AA31" s="636"/>
      <c r="AB31" s="636"/>
      <c r="AC31" s="636"/>
    </row>
    <row r="32" spans="25:45">
      <c r="Y32" s="636"/>
      <c r="Z32" s="636"/>
      <c r="AA32" s="636"/>
      <c r="AB32" s="636"/>
      <c r="AC32" s="636"/>
    </row>
    <row r="33" spans="25:29">
      <c r="Y33" s="636"/>
      <c r="Z33" s="636"/>
      <c r="AA33" s="636"/>
      <c r="AB33" s="636"/>
      <c r="AC33" s="636"/>
    </row>
    <row r="34" spans="25:29">
      <c r="Y34" s="636"/>
      <c r="Z34" s="636"/>
      <c r="AA34" s="636"/>
      <c r="AB34" s="636"/>
      <c r="AC34" s="636"/>
    </row>
  </sheetData>
  <mergeCells count="20">
    <mergeCell ref="W4:W6"/>
    <mergeCell ref="AH22:AI22"/>
    <mergeCell ref="AJ22:AK22"/>
    <mergeCell ref="AL22:AM22"/>
    <mergeCell ref="AR22:AS22"/>
    <mergeCell ref="A2:W2"/>
    <mergeCell ref="A3:W3"/>
    <mergeCell ref="A4:A6"/>
    <mergeCell ref="B4:C4"/>
    <mergeCell ref="D4:E4"/>
    <mergeCell ref="F4:G4"/>
    <mergeCell ref="H4:I4"/>
    <mergeCell ref="J4:K4"/>
    <mergeCell ref="L4:M4"/>
    <mergeCell ref="N4:O4"/>
    <mergeCell ref="P4:Q4"/>
    <mergeCell ref="R4:S4"/>
    <mergeCell ref="T4:U4"/>
    <mergeCell ref="AP22:AQ22"/>
    <mergeCell ref="AN22:AO2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P70"/>
  <sheetViews>
    <sheetView workbookViewId="0">
      <selection activeCell="G13" sqref="G13"/>
    </sheetView>
  </sheetViews>
  <sheetFormatPr defaultRowHeight="15"/>
  <cols>
    <col min="1" max="1" width="8.140625" style="68" customWidth="1"/>
    <col min="2" max="2" width="22.5703125" style="68" customWidth="1"/>
    <col min="3" max="12" width="10.85546875" style="68" customWidth="1"/>
    <col min="13" max="13" width="23.42578125" style="68" customWidth="1"/>
    <col min="14" max="14" width="5.85546875" style="68" customWidth="1"/>
    <col min="15" max="246" width="8.7109375" style="68"/>
    <col min="247" max="247" width="8.140625" style="68" customWidth="1"/>
    <col min="248" max="248" width="22.5703125" style="68" customWidth="1"/>
    <col min="249" max="258" width="0" style="68" hidden="1" customWidth="1"/>
    <col min="259" max="268" width="10.85546875" style="68" customWidth="1"/>
    <col min="269" max="269" width="23.42578125" style="68" customWidth="1"/>
    <col min="270" max="270" width="5.85546875" style="68" customWidth="1"/>
    <col min="271" max="502" width="8.7109375" style="68"/>
    <col min="503" max="503" width="8.140625" style="68" customWidth="1"/>
    <col min="504" max="504" width="22.5703125" style="68" customWidth="1"/>
    <col min="505" max="514" width="0" style="68" hidden="1" customWidth="1"/>
    <col min="515" max="524" width="10.85546875" style="68" customWidth="1"/>
    <col min="525" max="525" width="23.42578125" style="68" customWidth="1"/>
    <col min="526" max="526" width="5.85546875" style="68" customWidth="1"/>
    <col min="527" max="758" width="8.7109375" style="68"/>
    <col min="759" max="759" width="8.140625" style="68" customWidth="1"/>
    <col min="760" max="760" width="22.5703125" style="68" customWidth="1"/>
    <col min="761" max="770" width="0" style="68" hidden="1" customWidth="1"/>
    <col min="771" max="780" width="10.85546875" style="68" customWidth="1"/>
    <col min="781" max="781" width="23.42578125" style="68" customWidth="1"/>
    <col min="782" max="782" width="5.85546875" style="68" customWidth="1"/>
    <col min="783" max="1014" width="8.7109375" style="68"/>
    <col min="1015" max="1015" width="8.140625" style="68" customWidth="1"/>
    <col min="1016" max="1016" width="22.5703125" style="68" customWidth="1"/>
    <col min="1017" max="1026" width="0" style="68" hidden="1" customWidth="1"/>
    <col min="1027" max="1036" width="10.85546875" style="68" customWidth="1"/>
    <col min="1037" max="1037" width="23.42578125" style="68" customWidth="1"/>
    <col min="1038" max="1038" width="5.85546875" style="68" customWidth="1"/>
    <col min="1039" max="1270" width="8.7109375" style="68"/>
    <col min="1271" max="1271" width="8.140625" style="68" customWidth="1"/>
    <col min="1272" max="1272" width="22.5703125" style="68" customWidth="1"/>
    <col min="1273" max="1282" width="0" style="68" hidden="1" customWidth="1"/>
    <col min="1283" max="1292" width="10.85546875" style="68" customWidth="1"/>
    <col min="1293" max="1293" width="23.42578125" style="68" customWidth="1"/>
    <col min="1294" max="1294" width="5.85546875" style="68" customWidth="1"/>
    <col min="1295" max="1526" width="8.7109375" style="68"/>
    <col min="1527" max="1527" width="8.140625" style="68" customWidth="1"/>
    <col min="1528" max="1528" width="22.5703125" style="68" customWidth="1"/>
    <col min="1529" max="1538" width="0" style="68" hidden="1" customWidth="1"/>
    <col min="1539" max="1548" width="10.85546875" style="68" customWidth="1"/>
    <col min="1549" max="1549" width="23.42578125" style="68" customWidth="1"/>
    <col min="1550" max="1550" width="5.85546875" style="68" customWidth="1"/>
    <col min="1551" max="1782" width="8.7109375" style="68"/>
    <col min="1783" max="1783" width="8.140625" style="68" customWidth="1"/>
    <col min="1784" max="1784" width="22.5703125" style="68" customWidth="1"/>
    <col min="1785" max="1794" width="0" style="68" hidden="1" customWidth="1"/>
    <col min="1795" max="1804" width="10.85546875" style="68" customWidth="1"/>
    <col min="1805" max="1805" width="23.42578125" style="68" customWidth="1"/>
    <col min="1806" max="1806" width="5.85546875" style="68" customWidth="1"/>
    <col min="1807" max="2038" width="8.7109375" style="68"/>
    <col min="2039" max="2039" width="8.140625" style="68" customWidth="1"/>
    <col min="2040" max="2040" width="22.5703125" style="68" customWidth="1"/>
    <col min="2041" max="2050" width="0" style="68" hidden="1" customWidth="1"/>
    <col min="2051" max="2060" width="10.85546875" style="68" customWidth="1"/>
    <col min="2061" max="2061" width="23.42578125" style="68" customWidth="1"/>
    <col min="2062" max="2062" width="5.85546875" style="68" customWidth="1"/>
    <col min="2063" max="2294" width="8.7109375" style="68"/>
    <col min="2295" max="2295" width="8.140625" style="68" customWidth="1"/>
    <col min="2296" max="2296" width="22.5703125" style="68" customWidth="1"/>
    <col min="2297" max="2306" width="0" style="68" hidden="1" customWidth="1"/>
    <col min="2307" max="2316" width="10.85546875" style="68" customWidth="1"/>
    <col min="2317" max="2317" width="23.42578125" style="68" customWidth="1"/>
    <col min="2318" max="2318" width="5.85546875" style="68" customWidth="1"/>
    <col min="2319" max="2550" width="8.7109375" style="68"/>
    <col min="2551" max="2551" width="8.140625" style="68" customWidth="1"/>
    <col min="2552" max="2552" width="22.5703125" style="68" customWidth="1"/>
    <col min="2553" max="2562" width="0" style="68" hidden="1" customWidth="1"/>
    <col min="2563" max="2572" width="10.85546875" style="68" customWidth="1"/>
    <col min="2573" max="2573" width="23.42578125" style="68" customWidth="1"/>
    <col min="2574" max="2574" width="5.85546875" style="68" customWidth="1"/>
    <col min="2575" max="2806" width="8.7109375" style="68"/>
    <col min="2807" max="2807" width="8.140625" style="68" customWidth="1"/>
    <col min="2808" max="2808" width="22.5703125" style="68" customWidth="1"/>
    <col min="2809" max="2818" width="0" style="68" hidden="1" customWidth="1"/>
    <col min="2819" max="2828" width="10.85546875" style="68" customWidth="1"/>
    <col min="2829" max="2829" width="23.42578125" style="68" customWidth="1"/>
    <col min="2830" max="2830" width="5.85546875" style="68" customWidth="1"/>
    <col min="2831" max="3062" width="8.7109375" style="68"/>
    <col min="3063" max="3063" width="8.140625" style="68" customWidth="1"/>
    <col min="3064" max="3064" width="22.5703125" style="68" customWidth="1"/>
    <col min="3065" max="3074" width="0" style="68" hidden="1" customWidth="1"/>
    <col min="3075" max="3084" width="10.85546875" style="68" customWidth="1"/>
    <col min="3085" max="3085" width="23.42578125" style="68" customWidth="1"/>
    <col min="3086" max="3086" width="5.85546875" style="68" customWidth="1"/>
    <col min="3087" max="3318" width="8.7109375" style="68"/>
    <col min="3319" max="3319" width="8.140625" style="68" customWidth="1"/>
    <col min="3320" max="3320" width="22.5703125" style="68" customWidth="1"/>
    <col min="3321" max="3330" width="0" style="68" hidden="1" customWidth="1"/>
    <col min="3331" max="3340" width="10.85546875" style="68" customWidth="1"/>
    <col min="3341" max="3341" width="23.42578125" style="68" customWidth="1"/>
    <col min="3342" max="3342" width="5.85546875" style="68" customWidth="1"/>
    <col min="3343" max="3574" width="8.7109375" style="68"/>
    <col min="3575" max="3575" width="8.140625" style="68" customWidth="1"/>
    <col min="3576" max="3576" width="22.5703125" style="68" customWidth="1"/>
    <col min="3577" max="3586" width="0" style="68" hidden="1" customWidth="1"/>
    <col min="3587" max="3596" width="10.85546875" style="68" customWidth="1"/>
    <col min="3597" max="3597" width="23.42578125" style="68" customWidth="1"/>
    <col min="3598" max="3598" width="5.85546875" style="68" customWidth="1"/>
    <col min="3599" max="3830" width="8.7109375" style="68"/>
    <col min="3831" max="3831" width="8.140625" style="68" customWidth="1"/>
    <col min="3832" max="3832" width="22.5703125" style="68" customWidth="1"/>
    <col min="3833" max="3842" width="0" style="68" hidden="1" customWidth="1"/>
    <col min="3843" max="3852" width="10.85546875" style="68" customWidth="1"/>
    <col min="3853" max="3853" width="23.42578125" style="68" customWidth="1"/>
    <col min="3854" max="3854" width="5.85546875" style="68" customWidth="1"/>
    <col min="3855" max="4086" width="8.7109375" style="68"/>
    <col min="4087" max="4087" width="8.140625" style="68" customWidth="1"/>
    <col min="4088" max="4088" width="22.5703125" style="68" customWidth="1"/>
    <col min="4089" max="4098" width="0" style="68" hidden="1" customWidth="1"/>
    <col min="4099" max="4108" width="10.85546875" style="68" customWidth="1"/>
    <col min="4109" max="4109" width="23.42578125" style="68" customWidth="1"/>
    <col min="4110" max="4110" width="5.85546875" style="68" customWidth="1"/>
    <col min="4111" max="4342" width="8.7109375" style="68"/>
    <col min="4343" max="4343" width="8.140625" style="68" customWidth="1"/>
    <col min="4344" max="4344" width="22.5703125" style="68" customWidth="1"/>
    <col min="4345" max="4354" width="0" style="68" hidden="1" customWidth="1"/>
    <col min="4355" max="4364" width="10.85546875" style="68" customWidth="1"/>
    <col min="4365" max="4365" width="23.42578125" style="68" customWidth="1"/>
    <col min="4366" max="4366" width="5.85546875" style="68" customWidth="1"/>
    <col min="4367" max="4598" width="8.7109375" style="68"/>
    <col min="4599" max="4599" width="8.140625" style="68" customWidth="1"/>
    <col min="4600" max="4600" width="22.5703125" style="68" customWidth="1"/>
    <col min="4601" max="4610" width="0" style="68" hidden="1" customWidth="1"/>
    <col min="4611" max="4620" width="10.85546875" style="68" customWidth="1"/>
    <col min="4621" max="4621" width="23.42578125" style="68" customWidth="1"/>
    <col min="4622" max="4622" width="5.85546875" style="68" customWidth="1"/>
    <col min="4623" max="4854" width="8.7109375" style="68"/>
    <col min="4855" max="4855" width="8.140625" style="68" customWidth="1"/>
    <col min="4856" max="4856" width="22.5703125" style="68" customWidth="1"/>
    <col min="4857" max="4866" width="0" style="68" hidden="1" customWidth="1"/>
    <col min="4867" max="4876" width="10.85546875" style="68" customWidth="1"/>
    <col min="4877" max="4877" width="23.42578125" style="68" customWidth="1"/>
    <col min="4878" max="4878" width="5.85546875" style="68" customWidth="1"/>
    <col min="4879" max="5110" width="8.7109375" style="68"/>
    <col min="5111" max="5111" width="8.140625" style="68" customWidth="1"/>
    <col min="5112" max="5112" width="22.5703125" style="68" customWidth="1"/>
    <col min="5113" max="5122" width="0" style="68" hidden="1" customWidth="1"/>
    <col min="5123" max="5132" width="10.85546875" style="68" customWidth="1"/>
    <col min="5133" max="5133" width="23.42578125" style="68" customWidth="1"/>
    <col min="5134" max="5134" width="5.85546875" style="68" customWidth="1"/>
    <col min="5135" max="5366" width="8.7109375" style="68"/>
    <col min="5367" max="5367" width="8.140625" style="68" customWidth="1"/>
    <col min="5368" max="5368" width="22.5703125" style="68" customWidth="1"/>
    <col min="5369" max="5378" width="0" style="68" hidden="1" customWidth="1"/>
    <col min="5379" max="5388" width="10.85546875" style="68" customWidth="1"/>
    <col min="5389" max="5389" width="23.42578125" style="68" customWidth="1"/>
    <col min="5390" max="5390" width="5.85546875" style="68" customWidth="1"/>
    <col min="5391" max="5622" width="8.7109375" style="68"/>
    <col min="5623" max="5623" width="8.140625" style="68" customWidth="1"/>
    <col min="5624" max="5624" width="22.5703125" style="68" customWidth="1"/>
    <col min="5625" max="5634" width="0" style="68" hidden="1" customWidth="1"/>
    <col min="5635" max="5644" width="10.85546875" style="68" customWidth="1"/>
    <col min="5645" max="5645" width="23.42578125" style="68" customWidth="1"/>
    <col min="5646" max="5646" width="5.85546875" style="68" customWidth="1"/>
    <col min="5647" max="5878" width="8.7109375" style="68"/>
    <col min="5879" max="5879" width="8.140625" style="68" customWidth="1"/>
    <col min="5880" max="5880" width="22.5703125" style="68" customWidth="1"/>
    <col min="5881" max="5890" width="0" style="68" hidden="1" customWidth="1"/>
    <col min="5891" max="5900" width="10.85546875" style="68" customWidth="1"/>
    <col min="5901" max="5901" width="23.42578125" style="68" customWidth="1"/>
    <col min="5902" max="5902" width="5.85546875" style="68" customWidth="1"/>
    <col min="5903" max="6134" width="8.7109375" style="68"/>
    <col min="6135" max="6135" width="8.140625" style="68" customWidth="1"/>
    <col min="6136" max="6136" width="22.5703125" style="68" customWidth="1"/>
    <col min="6137" max="6146" width="0" style="68" hidden="1" customWidth="1"/>
    <col min="6147" max="6156" width="10.85546875" style="68" customWidth="1"/>
    <col min="6157" max="6157" width="23.42578125" style="68" customWidth="1"/>
    <col min="6158" max="6158" width="5.85546875" style="68" customWidth="1"/>
    <col min="6159" max="6390" width="8.7109375" style="68"/>
    <col min="6391" max="6391" width="8.140625" style="68" customWidth="1"/>
    <col min="6392" max="6392" width="22.5703125" style="68" customWidth="1"/>
    <col min="6393" max="6402" width="0" style="68" hidden="1" customWidth="1"/>
    <col min="6403" max="6412" width="10.85546875" style="68" customWidth="1"/>
    <col min="6413" max="6413" width="23.42578125" style="68" customWidth="1"/>
    <col min="6414" max="6414" width="5.85546875" style="68" customWidth="1"/>
    <col min="6415" max="6646" width="8.7109375" style="68"/>
    <col min="6647" max="6647" width="8.140625" style="68" customWidth="1"/>
    <col min="6648" max="6648" width="22.5703125" style="68" customWidth="1"/>
    <col min="6649" max="6658" width="0" style="68" hidden="1" customWidth="1"/>
    <col min="6659" max="6668" width="10.85546875" style="68" customWidth="1"/>
    <col min="6669" max="6669" width="23.42578125" style="68" customWidth="1"/>
    <col min="6670" max="6670" width="5.85546875" style="68" customWidth="1"/>
    <col min="6671" max="6902" width="8.7109375" style="68"/>
    <col min="6903" max="6903" width="8.140625" style="68" customWidth="1"/>
    <col min="6904" max="6904" width="22.5703125" style="68" customWidth="1"/>
    <col min="6905" max="6914" width="0" style="68" hidden="1" customWidth="1"/>
    <col min="6915" max="6924" width="10.85546875" style="68" customWidth="1"/>
    <col min="6925" max="6925" width="23.42578125" style="68" customWidth="1"/>
    <col min="6926" max="6926" width="5.85546875" style="68" customWidth="1"/>
    <col min="6927" max="7158" width="8.7109375" style="68"/>
    <col min="7159" max="7159" width="8.140625" style="68" customWidth="1"/>
    <col min="7160" max="7160" width="22.5703125" style="68" customWidth="1"/>
    <col min="7161" max="7170" width="0" style="68" hidden="1" customWidth="1"/>
    <col min="7171" max="7180" width="10.85546875" style="68" customWidth="1"/>
    <col min="7181" max="7181" width="23.42578125" style="68" customWidth="1"/>
    <col min="7182" max="7182" width="5.85546875" style="68" customWidth="1"/>
    <col min="7183" max="7414" width="8.7109375" style="68"/>
    <col min="7415" max="7415" width="8.140625" style="68" customWidth="1"/>
    <col min="7416" max="7416" width="22.5703125" style="68" customWidth="1"/>
    <col min="7417" max="7426" width="0" style="68" hidden="1" customWidth="1"/>
    <col min="7427" max="7436" width="10.85546875" style="68" customWidth="1"/>
    <col min="7437" max="7437" width="23.42578125" style="68" customWidth="1"/>
    <col min="7438" max="7438" width="5.85546875" style="68" customWidth="1"/>
    <col min="7439" max="7670" width="8.7109375" style="68"/>
    <col min="7671" max="7671" width="8.140625" style="68" customWidth="1"/>
    <col min="7672" max="7672" width="22.5703125" style="68" customWidth="1"/>
    <col min="7673" max="7682" width="0" style="68" hidden="1" customWidth="1"/>
    <col min="7683" max="7692" width="10.85546875" style="68" customWidth="1"/>
    <col min="7693" max="7693" width="23.42578125" style="68" customWidth="1"/>
    <col min="7694" max="7694" width="5.85546875" style="68" customWidth="1"/>
    <col min="7695" max="7926" width="8.7109375" style="68"/>
    <col min="7927" max="7927" width="8.140625" style="68" customWidth="1"/>
    <col min="7928" max="7928" width="22.5703125" style="68" customWidth="1"/>
    <col min="7929" max="7938" width="0" style="68" hidden="1" customWidth="1"/>
    <col min="7939" max="7948" width="10.85546875" style="68" customWidth="1"/>
    <col min="7949" max="7949" width="23.42578125" style="68" customWidth="1"/>
    <col min="7950" max="7950" width="5.85546875" style="68" customWidth="1"/>
    <col min="7951" max="8182" width="8.7109375" style="68"/>
    <col min="8183" max="8183" width="8.140625" style="68" customWidth="1"/>
    <col min="8184" max="8184" width="22.5703125" style="68" customWidth="1"/>
    <col min="8185" max="8194" width="0" style="68" hidden="1" customWidth="1"/>
    <col min="8195" max="8204" width="10.85546875" style="68" customWidth="1"/>
    <col min="8205" max="8205" width="23.42578125" style="68" customWidth="1"/>
    <col min="8206" max="8206" width="5.85546875" style="68" customWidth="1"/>
    <col min="8207" max="8438" width="8.7109375" style="68"/>
    <col min="8439" max="8439" width="8.140625" style="68" customWidth="1"/>
    <col min="8440" max="8440" width="22.5703125" style="68" customWidth="1"/>
    <col min="8441" max="8450" width="0" style="68" hidden="1" customWidth="1"/>
    <col min="8451" max="8460" width="10.85546875" style="68" customWidth="1"/>
    <col min="8461" max="8461" width="23.42578125" style="68" customWidth="1"/>
    <col min="8462" max="8462" width="5.85546875" style="68" customWidth="1"/>
    <col min="8463" max="8694" width="8.7109375" style="68"/>
    <col min="8695" max="8695" width="8.140625" style="68" customWidth="1"/>
    <col min="8696" max="8696" width="22.5703125" style="68" customWidth="1"/>
    <col min="8697" max="8706" width="0" style="68" hidden="1" customWidth="1"/>
    <col min="8707" max="8716" width="10.85546875" style="68" customWidth="1"/>
    <col min="8717" max="8717" width="23.42578125" style="68" customWidth="1"/>
    <col min="8718" max="8718" width="5.85546875" style="68" customWidth="1"/>
    <col min="8719" max="8950" width="8.7109375" style="68"/>
    <col min="8951" max="8951" width="8.140625" style="68" customWidth="1"/>
    <col min="8952" max="8952" width="22.5703125" style="68" customWidth="1"/>
    <col min="8953" max="8962" width="0" style="68" hidden="1" customWidth="1"/>
    <col min="8963" max="8972" width="10.85546875" style="68" customWidth="1"/>
    <col min="8973" max="8973" width="23.42578125" style="68" customWidth="1"/>
    <col min="8974" max="8974" width="5.85546875" style="68" customWidth="1"/>
    <col min="8975" max="9206" width="8.7109375" style="68"/>
    <col min="9207" max="9207" width="8.140625" style="68" customWidth="1"/>
    <col min="9208" max="9208" width="22.5703125" style="68" customWidth="1"/>
    <col min="9209" max="9218" width="0" style="68" hidden="1" customWidth="1"/>
    <col min="9219" max="9228" width="10.85546875" style="68" customWidth="1"/>
    <col min="9229" max="9229" width="23.42578125" style="68" customWidth="1"/>
    <col min="9230" max="9230" width="5.85546875" style="68" customWidth="1"/>
    <col min="9231" max="9462" width="8.7109375" style="68"/>
    <col min="9463" max="9463" width="8.140625" style="68" customWidth="1"/>
    <col min="9464" max="9464" width="22.5703125" style="68" customWidth="1"/>
    <col min="9465" max="9474" width="0" style="68" hidden="1" customWidth="1"/>
    <col min="9475" max="9484" width="10.85546875" style="68" customWidth="1"/>
    <col min="9485" max="9485" width="23.42578125" style="68" customWidth="1"/>
    <col min="9486" max="9486" width="5.85546875" style="68" customWidth="1"/>
    <col min="9487" max="9718" width="8.7109375" style="68"/>
    <col min="9719" max="9719" width="8.140625" style="68" customWidth="1"/>
    <col min="9720" max="9720" width="22.5703125" style="68" customWidth="1"/>
    <col min="9721" max="9730" width="0" style="68" hidden="1" customWidth="1"/>
    <col min="9731" max="9740" width="10.85546875" style="68" customWidth="1"/>
    <col min="9741" max="9741" width="23.42578125" style="68" customWidth="1"/>
    <col min="9742" max="9742" width="5.85546875" style="68" customWidth="1"/>
    <col min="9743" max="9974" width="8.7109375" style="68"/>
    <col min="9975" max="9975" width="8.140625" style="68" customWidth="1"/>
    <col min="9976" max="9976" width="22.5703125" style="68" customWidth="1"/>
    <col min="9977" max="9986" width="0" style="68" hidden="1" customWidth="1"/>
    <col min="9987" max="9996" width="10.85546875" style="68" customWidth="1"/>
    <col min="9997" max="9997" width="23.42578125" style="68" customWidth="1"/>
    <col min="9998" max="9998" width="5.85546875" style="68" customWidth="1"/>
    <col min="9999" max="10230" width="8.7109375" style="68"/>
    <col min="10231" max="10231" width="8.140625" style="68" customWidth="1"/>
    <col min="10232" max="10232" width="22.5703125" style="68" customWidth="1"/>
    <col min="10233" max="10242" width="0" style="68" hidden="1" customWidth="1"/>
    <col min="10243" max="10252" width="10.85546875" style="68" customWidth="1"/>
    <col min="10253" max="10253" width="23.42578125" style="68" customWidth="1"/>
    <col min="10254" max="10254" width="5.85546875" style="68" customWidth="1"/>
    <col min="10255" max="10486" width="8.7109375" style="68"/>
    <col min="10487" max="10487" width="8.140625" style="68" customWidth="1"/>
    <col min="10488" max="10488" width="22.5703125" style="68" customWidth="1"/>
    <col min="10489" max="10498" width="0" style="68" hidden="1" customWidth="1"/>
    <col min="10499" max="10508" width="10.85546875" style="68" customWidth="1"/>
    <col min="10509" max="10509" width="23.42578125" style="68" customWidth="1"/>
    <col min="10510" max="10510" width="5.85546875" style="68" customWidth="1"/>
    <col min="10511" max="10742" width="8.7109375" style="68"/>
    <col min="10743" max="10743" width="8.140625" style="68" customWidth="1"/>
    <col min="10744" max="10744" width="22.5703125" style="68" customWidth="1"/>
    <col min="10745" max="10754" width="0" style="68" hidden="1" customWidth="1"/>
    <col min="10755" max="10764" width="10.85546875" style="68" customWidth="1"/>
    <col min="10765" max="10765" width="23.42578125" style="68" customWidth="1"/>
    <col min="10766" max="10766" width="5.85546875" style="68" customWidth="1"/>
    <col min="10767" max="10998" width="8.7109375" style="68"/>
    <col min="10999" max="10999" width="8.140625" style="68" customWidth="1"/>
    <col min="11000" max="11000" width="22.5703125" style="68" customWidth="1"/>
    <col min="11001" max="11010" width="0" style="68" hidden="1" customWidth="1"/>
    <col min="11011" max="11020" width="10.85546875" style="68" customWidth="1"/>
    <col min="11021" max="11021" width="23.42578125" style="68" customWidth="1"/>
    <col min="11022" max="11022" width="5.85546875" style="68" customWidth="1"/>
    <col min="11023" max="11254" width="8.7109375" style="68"/>
    <col min="11255" max="11255" width="8.140625" style="68" customWidth="1"/>
    <col min="11256" max="11256" width="22.5703125" style="68" customWidth="1"/>
    <col min="11257" max="11266" width="0" style="68" hidden="1" customWidth="1"/>
    <col min="11267" max="11276" width="10.85546875" style="68" customWidth="1"/>
    <col min="11277" max="11277" width="23.42578125" style="68" customWidth="1"/>
    <col min="11278" max="11278" width="5.85546875" style="68" customWidth="1"/>
    <col min="11279" max="11510" width="8.7109375" style="68"/>
    <col min="11511" max="11511" width="8.140625" style="68" customWidth="1"/>
    <col min="11512" max="11512" width="22.5703125" style="68" customWidth="1"/>
    <col min="11513" max="11522" width="0" style="68" hidden="1" customWidth="1"/>
    <col min="11523" max="11532" width="10.85546875" style="68" customWidth="1"/>
    <col min="11533" max="11533" width="23.42578125" style="68" customWidth="1"/>
    <col min="11534" max="11534" width="5.85546875" style="68" customWidth="1"/>
    <col min="11535" max="11766" width="8.7109375" style="68"/>
    <col min="11767" max="11767" width="8.140625" style="68" customWidth="1"/>
    <col min="11768" max="11768" width="22.5703125" style="68" customWidth="1"/>
    <col min="11769" max="11778" width="0" style="68" hidden="1" customWidth="1"/>
    <col min="11779" max="11788" width="10.85546875" style="68" customWidth="1"/>
    <col min="11789" max="11789" width="23.42578125" style="68" customWidth="1"/>
    <col min="11790" max="11790" width="5.85546875" style="68" customWidth="1"/>
    <col min="11791" max="12022" width="8.7109375" style="68"/>
    <col min="12023" max="12023" width="8.140625" style="68" customWidth="1"/>
    <col min="12024" max="12024" width="22.5703125" style="68" customWidth="1"/>
    <col min="12025" max="12034" width="0" style="68" hidden="1" customWidth="1"/>
    <col min="12035" max="12044" width="10.85546875" style="68" customWidth="1"/>
    <col min="12045" max="12045" width="23.42578125" style="68" customWidth="1"/>
    <col min="12046" max="12046" width="5.85546875" style="68" customWidth="1"/>
    <col min="12047" max="12278" width="8.7109375" style="68"/>
    <col min="12279" max="12279" width="8.140625" style="68" customWidth="1"/>
    <col min="12280" max="12280" width="22.5703125" style="68" customWidth="1"/>
    <col min="12281" max="12290" width="0" style="68" hidden="1" customWidth="1"/>
    <col min="12291" max="12300" width="10.85546875" style="68" customWidth="1"/>
    <col min="12301" max="12301" width="23.42578125" style="68" customWidth="1"/>
    <col min="12302" max="12302" width="5.85546875" style="68" customWidth="1"/>
    <col min="12303" max="12534" width="8.7109375" style="68"/>
    <col min="12535" max="12535" width="8.140625" style="68" customWidth="1"/>
    <col min="12536" max="12536" width="22.5703125" style="68" customWidth="1"/>
    <col min="12537" max="12546" width="0" style="68" hidden="1" customWidth="1"/>
    <col min="12547" max="12556" width="10.85546875" style="68" customWidth="1"/>
    <col min="12557" max="12557" width="23.42578125" style="68" customWidth="1"/>
    <col min="12558" max="12558" width="5.85546875" style="68" customWidth="1"/>
    <col min="12559" max="12790" width="8.7109375" style="68"/>
    <col min="12791" max="12791" width="8.140625" style="68" customWidth="1"/>
    <col min="12792" max="12792" width="22.5703125" style="68" customWidth="1"/>
    <col min="12793" max="12802" width="0" style="68" hidden="1" customWidth="1"/>
    <col min="12803" max="12812" width="10.85546875" style="68" customWidth="1"/>
    <col min="12813" max="12813" width="23.42578125" style="68" customWidth="1"/>
    <col min="12814" max="12814" width="5.85546875" style="68" customWidth="1"/>
    <col min="12815" max="13046" width="8.7109375" style="68"/>
    <col min="13047" max="13047" width="8.140625" style="68" customWidth="1"/>
    <col min="13048" max="13048" width="22.5703125" style="68" customWidth="1"/>
    <col min="13049" max="13058" width="0" style="68" hidden="1" customWidth="1"/>
    <col min="13059" max="13068" width="10.85546875" style="68" customWidth="1"/>
    <col min="13069" max="13069" width="23.42578125" style="68" customWidth="1"/>
    <col min="13070" max="13070" width="5.85546875" style="68" customWidth="1"/>
    <col min="13071" max="13302" width="8.7109375" style="68"/>
    <col min="13303" max="13303" width="8.140625" style="68" customWidth="1"/>
    <col min="13304" max="13304" width="22.5703125" style="68" customWidth="1"/>
    <col min="13305" max="13314" width="0" style="68" hidden="1" customWidth="1"/>
    <col min="13315" max="13324" width="10.85546875" style="68" customWidth="1"/>
    <col min="13325" max="13325" width="23.42578125" style="68" customWidth="1"/>
    <col min="13326" max="13326" width="5.85546875" style="68" customWidth="1"/>
    <col min="13327" max="13558" width="8.7109375" style="68"/>
    <col min="13559" max="13559" width="8.140625" style="68" customWidth="1"/>
    <col min="13560" max="13560" width="22.5703125" style="68" customWidth="1"/>
    <col min="13561" max="13570" width="0" style="68" hidden="1" customWidth="1"/>
    <col min="13571" max="13580" width="10.85546875" style="68" customWidth="1"/>
    <col min="13581" max="13581" width="23.42578125" style="68" customWidth="1"/>
    <col min="13582" max="13582" width="5.85546875" style="68" customWidth="1"/>
    <col min="13583" max="13814" width="8.7109375" style="68"/>
    <col min="13815" max="13815" width="8.140625" style="68" customWidth="1"/>
    <col min="13816" max="13816" width="22.5703125" style="68" customWidth="1"/>
    <col min="13817" max="13826" width="0" style="68" hidden="1" customWidth="1"/>
    <col min="13827" max="13836" width="10.85546875" style="68" customWidth="1"/>
    <col min="13837" max="13837" width="23.42578125" style="68" customWidth="1"/>
    <col min="13838" max="13838" width="5.85546875" style="68" customWidth="1"/>
    <col min="13839" max="14070" width="8.7109375" style="68"/>
    <col min="14071" max="14071" width="8.140625" style="68" customWidth="1"/>
    <col min="14072" max="14072" width="22.5703125" style="68" customWidth="1"/>
    <col min="14073" max="14082" width="0" style="68" hidden="1" customWidth="1"/>
    <col min="14083" max="14092" width="10.85546875" style="68" customWidth="1"/>
    <col min="14093" max="14093" width="23.42578125" style="68" customWidth="1"/>
    <col min="14094" max="14094" width="5.85546875" style="68" customWidth="1"/>
    <col min="14095" max="14326" width="8.7109375" style="68"/>
    <col min="14327" max="14327" width="8.140625" style="68" customWidth="1"/>
    <col min="14328" max="14328" width="22.5703125" style="68" customWidth="1"/>
    <col min="14329" max="14338" width="0" style="68" hidden="1" customWidth="1"/>
    <col min="14339" max="14348" width="10.85546875" style="68" customWidth="1"/>
    <col min="14349" max="14349" width="23.42578125" style="68" customWidth="1"/>
    <col min="14350" max="14350" width="5.85546875" style="68" customWidth="1"/>
    <col min="14351" max="14582" width="8.7109375" style="68"/>
    <col min="14583" max="14583" width="8.140625" style="68" customWidth="1"/>
    <col min="14584" max="14584" width="22.5703125" style="68" customWidth="1"/>
    <col min="14585" max="14594" width="0" style="68" hidden="1" customWidth="1"/>
    <col min="14595" max="14604" width="10.85546875" style="68" customWidth="1"/>
    <col min="14605" max="14605" width="23.42578125" style="68" customWidth="1"/>
    <col min="14606" max="14606" width="5.85546875" style="68" customWidth="1"/>
    <col min="14607" max="14838" width="8.7109375" style="68"/>
    <col min="14839" max="14839" width="8.140625" style="68" customWidth="1"/>
    <col min="14840" max="14840" width="22.5703125" style="68" customWidth="1"/>
    <col min="14841" max="14850" width="0" style="68" hidden="1" customWidth="1"/>
    <col min="14851" max="14860" width="10.85546875" style="68" customWidth="1"/>
    <col min="14861" max="14861" width="23.42578125" style="68" customWidth="1"/>
    <col min="14862" max="14862" width="5.85546875" style="68" customWidth="1"/>
    <col min="14863" max="15094" width="8.7109375" style="68"/>
    <col min="15095" max="15095" width="8.140625" style="68" customWidth="1"/>
    <col min="15096" max="15096" width="22.5703125" style="68" customWidth="1"/>
    <col min="15097" max="15106" width="0" style="68" hidden="1" customWidth="1"/>
    <col min="15107" max="15116" width="10.85546875" style="68" customWidth="1"/>
    <col min="15117" max="15117" width="23.42578125" style="68" customWidth="1"/>
    <col min="15118" max="15118" width="5.85546875" style="68" customWidth="1"/>
    <col min="15119" max="15350" width="8.7109375" style="68"/>
    <col min="15351" max="15351" width="8.140625" style="68" customWidth="1"/>
    <col min="15352" max="15352" width="22.5703125" style="68" customWidth="1"/>
    <col min="15353" max="15362" width="0" style="68" hidden="1" customWidth="1"/>
    <col min="15363" max="15372" width="10.85546875" style="68" customWidth="1"/>
    <col min="15373" max="15373" width="23.42578125" style="68" customWidth="1"/>
    <col min="15374" max="15374" width="5.85546875" style="68" customWidth="1"/>
    <col min="15375" max="15606" width="8.7109375" style="68"/>
    <col min="15607" max="15607" width="8.140625" style="68" customWidth="1"/>
    <col min="15608" max="15608" width="22.5703125" style="68" customWidth="1"/>
    <col min="15609" max="15618" width="0" style="68" hidden="1" customWidth="1"/>
    <col min="15619" max="15628" width="10.85546875" style="68" customWidth="1"/>
    <col min="15629" max="15629" width="23.42578125" style="68" customWidth="1"/>
    <col min="15630" max="15630" width="5.85546875" style="68" customWidth="1"/>
    <col min="15631" max="15862" width="8.7109375" style="68"/>
    <col min="15863" max="15863" width="8.140625" style="68" customWidth="1"/>
    <col min="15864" max="15864" width="22.5703125" style="68" customWidth="1"/>
    <col min="15865" max="15874" width="0" style="68" hidden="1" customWidth="1"/>
    <col min="15875" max="15884" width="10.85546875" style="68" customWidth="1"/>
    <col min="15885" max="15885" width="23.42578125" style="68" customWidth="1"/>
    <col min="15886" max="15886" width="5.85546875" style="68" customWidth="1"/>
    <col min="15887" max="16118" width="8.7109375" style="68"/>
    <col min="16119" max="16119" width="8.140625" style="68" customWidth="1"/>
    <col min="16120" max="16120" width="22.5703125" style="68" customWidth="1"/>
    <col min="16121" max="16130" width="0" style="68" hidden="1" customWidth="1"/>
    <col min="16131" max="16140" width="10.85546875" style="68" customWidth="1"/>
    <col min="16141" max="16141" width="23.42578125" style="68" customWidth="1"/>
    <col min="16142" max="16142" width="5.85546875" style="68" customWidth="1"/>
    <col min="16143" max="16384" width="8.7109375" style="68"/>
  </cols>
  <sheetData>
    <row r="1" spans="1:16" ht="21">
      <c r="A1" s="1460" t="s">
        <v>1173</v>
      </c>
      <c r="B1" s="1460"/>
      <c r="C1" s="1460"/>
      <c r="D1" s="1460"/>
      <c r="E1" s="1460"/>
      <c r="F1" s="1460"/>
      <c r="G1" s="1460"/>
      <c r="H1" s="1460"/>
      <c r="I1" s="1460"/>
      <c r="J1" s="1460"/>
      <c r="K1" s="1460"/>
      <c r="L1" s="1460"/>
      <c r="M1" s="1460"/>
      <c r="N1" s="1460"/>
    </row>
    <row r="2" spans="1:16">
      <c r="A2" s="1494" t="s">
        <v>1174</v>
      </c>
      <c r="B2" s="1494"/>
      <c r="C2" s="1494"/>
      <c r="D2" s="1494"/>
      <c r="E2" s="1494"/>
      <c r="F2" s="1494"/>
      <c r="G2" s="1494"/>
      <c r="H2" s="1494"/>
      <c r="I2" s="1494"/>
      <c r="J2" s="1494"/>
      <c r="K2" s="1494"/>
      <c r="L2" s="1494"/>
      <c r="M2" s="1494"/>
      <c r="N2" s="1494"/>
    </row>
    <row r="3" spans="1:16" ht="15" customHeight="1">
      <c r="A3" s="1473" t="s">
        <v>639</v>
      </c>
      <c r="B3" s="1502" t="s">
        <v>922</v>
      </c>
      <c r="C3" s="1513" t="s">
        <v>923</v>
      </c>
      <c r="D3" s="1514" t="s">
        <v>699</v>
      </c>
      <c r="E3" s="1516" t="s">
        <v>914</v>
      </c>
      <c r="F3" s="1516"/>
      <c r="G3" s="1517" t="s">
        <v>915</v>
      </c>
      <c r="H3" s="1518"/>
      <c r="I3" s="1517" t="s">
        <v>916</v>
      </c>
      <c r="J3" s="1518"/>
      <c r="K3" s="1516" t="s">
        <v>917</v>
      </c>
      <c r="L3" s="1516"/>
      <c r="M3" s="1505" t="s">
        <v>924</v>
      </c>
      <c r="N3" s="1508" t="s">
        <v>925</v>
      </c>
      <c r="O3" s="1508"/>
    </row>
    <row r="4" spans="1:16" ht="18.75" customHeight="1">
      <c r="A4" s="1473"/>
      <c r="B4" s="1503"/>
      <c r="C4" s="1510"/>
      <c r="D4" s="1515"/>
      <c r="E4" s="1510" t="s">
        <v>926</v>
      </c>
      <c r="F4" s="1510"/>
      <c r="G4" s="1511" t="s">
        <v>927</v>
      </c>
      <c r="H4" s="1512"/>
      <c r="I4" s="1511" t="s">
        <v>928</v>
      </c>
      <c r="J4" s="1512"/>
      <c r="K4" s="1519" t="s">
        <v>929</v>
      </c>
      <c r="L4" s="1519"/>
      <c r="M4" s="1506"/>
      <c r="N4" s="1508"/>
      <c r="O4" s="1508"/>
    </row>
    <row r="5" spans="1:16" ht="18.75">
      <c r="A5" s="1473"/>
      <c r="B5" s="1503"/>
      <c r="C5" s="1067" t="s">
        <v>797</v>
      </c>
      <c r="D5" s="1068" t="s">
        <v>798</v>
      </c>
      <c r="E5" s="1069" t="s">
        <v>797</v>
      </c>
      <c r="F5" s="1069" t="s">
        <v>798</v>
      </c>
      <c r="G5" s="1070" t="s">
        <v>797</v>
      </c>
      <c r="H5" s="1068" t="s">
        <v>798</v>
      </c>
      <c r="I5" s="1070" t="s">
        <v>797</v>
      </c>
      <c r="J5" s="1068" t="s">
        <v>798</v>
      </c>
      <c r="K5" s="1069" t="s">
        <v>797</v>
      </c>
      <c r="L5" s="1069" t="s">
        <v>798</v>
      </c>
      <c r="M5" s="1506"/>
      <c r="N5" s="1508"/>
      <c r="O5" s="1508"/>
    </row>
    <row r="6" spans="1:16">
      <c r="A6" s="1501"/>
      <c r="B6" s="1504"/>
      <c r="C6" s="688" t="s">
        <v>22</v>
      </c>
      <c r="D6" s="689" t="s">
        <v>23</v>
      </c>
      <c r="E6" s="688" t="s">
        <v>22</v>
      </c>
      <c r="F6" s="688" t="s">
        <v>23</v>
      </c>
      <c r="G6" s="690" t="s">
        <v>22</v>
      </c>
      <c r="H6" s="689" t="s">
        <v>23</v>
      </c>
      <c r="I6" s="690" t="s">
        <v>22</v>
      </c>
      <c r="J6" s="689" t="s">
        <v>23</v>
      </c>
      <c r="K6" s="688" t="s">
        <v>22</v>
      </c>
      <c r="L6" s="688" t="s">
        <v>23</v>
      </c>
      <c r="M6" s="1507"/>
      <c r="N6" s="1509"/>
      <c r="O6" s="1508"/>
    </row>
    <row r="7" spans="1:16" ht="18.75">
      <c r="A7" s="1465" t="s">
        <v>132</v>
      </c>
      <c r="B7" s="1465"/>
      <c r="C7" s="1071">
        <f t="shared" ref="C7:D8" si="0">E7+G7+I7+K7</f>
        <v>5414</v>
      </c>
      <c r="D7" s="691">
        <f t="shared" si="0"/>
        <v>5414</v>
      </c>
      <c r="E7" s="692">
        <f t="shared" ref="E7:L7" si="1">E8+E9+E10</f>
        <v>2829</v>
      </c>
      <c r="F7" s="692">
        <f t="shared" si="1"/>
        <v>2706</v>
      </c>
      <c r="G7" s="693">
        <f t="shared" si="1"/>
        <v>1297</v>
      </c>
      <c r="H7" s="694">
        <f t="shared" si="1"/>
        <v>1354</v>
      </c>
      <c r="I7" s="693">
        <f t="shared" si="1"/>
        <v>610</v>
      </c>
      <c r="J7" s="694">
        <f t="shared" si="1"/>
        <v>715</v>
      </c>
      <c r="K7" s="692">
        <f t="shared" si="1"/>
        <v>678</v>
      </c>
      <c r="L7" s="692">
        <f t="shared" si="1"/>
        <v>639</v>
      </c>
      <c r="M7" s="1521" t="s">
        <v>699</v>
      </c>
      <c r="N7" s="1521"/>
      <c r="O7" s="523"/>
      <c r="P7" s="523"/>
    </row>
    <row r="8" spans="1:16" ht="18.75">
      <c r="A8" s="1222" t="s">
        <v>637</v>
      </c>
      <c r="B8" s="1242" t="s">
        <v>930</v>
      </c>
      <c r="C8" s="1071">
        <f t="shared" si="0"/>
        <v>2396</v>
      </c>
      <c r="D8" s="691">
        <f t="shared" si="0"/>
        <v>2396</v>
      </c>
      <c r="E8" s="1072">
        <v>1422</v>
      </c>
      <c r="F8" s="1072">
        <v>1387</v>
      </c>
      <c r="G8" s="695">
        <v>508</v>
      </c>
      <c r="H8" s="696">
        <v>531</v>
      </c>
      <c r="I8" s="695">
        <v>222</v>
      </c>
      <c r="J8" s="696">
        <v>257</v>
      </c>
      <c r="K8" s="1072">
        <v>244</v>
      </c>
      <c r="L8" s="1072">
        <v>221</v>
      </c>
      <c r="M8" s="832" t="s">
        <v>931</v>
      </c>
      <c r="N8" s="832" t="s">
        <v>932</v>
      </c>
    </row>
    <row r="9" spans="1:16" ht="18.75">
      <c r="A9" s="1222" t="s">
        <v>639</v>
      </c>
      <c r="B9" s="1242" t="s">
        <v>933</v>
      </c>
      <c r="C9" s="1071">
        <f>SUM(C11:C30)</f>
        <v>2688</v>
      </c>
      <c r="D9" s="691">
        <f t="shared" ref="D9" si="2">SUM(D11:D30)</f>
        <v>2688</v>
      </c>
      <c r="E9" s="1072">
        <f t="shared" ref="E9:L9" si="3">SUM(E11:E30)</f>
        <v>1283</v>
      </c>
      <c r="F9" s="1072">
        <f t="shared" si="3"/>
        <v>1197</v>
      </c>
      <c r="G9" s="695">
        <f t="shared" si="3"/>
        <v>686</v>
      </c>
      <c r="H9" s="696">
        <f t="shared" si="3"/>
        <v>725</v>
      </c>
      <c r="I9" s="695">
        <f t="shared" si="3"/>
        <v>340</v>
      </c>
      <c r="J9" s="696">
        <f t="shared" si="3"/>
        <v>399</v>
      </c>
      <c r="K9" s="1072">
        <f t="shared" si="3"/>
        <v>379</v>
      </c>
      <c r="L9" s="1072">
        <f t="shared" si="3"/>
        <v>367</v>
      </c>
      <c r="M9" s="832" t="s">
        <v>934</v>
      </c>
      <c r="N9" s="832" t="s">
        <v>925</v>
      </c>
    </row>
    <row r="10" spans="1:16" ht="18.75">
      <c r="A10" s="1222" t="s">
        <v>637</v>
      </c>
      <c r="B10" s="1242" t="s">
        <v>935</v>
      </c>
      <c r="C10" s="1071">
        <f t="shared" ref="C10:C30" si="4">E10+G10+I10+K10</f>
        <v>330</v>
      </c>
      <c r="D10" s="691">
        <f t="shared" ref="D10:D30" si="5">F10+H10+J10+L10</f>
        <v>330</v>
      </c>
      <c r="E10" s="1072">
        <v>124</v>
      </c>
      <c r="F10" s="1072">
        <v>122</v>
      </c>
      <c r="G10" s="695">
        <v>103</v>
      </c>
      <c r="H10" s="696">
        <v>98</v>
      </c>
      <c r="I10" s="695">
        <v>48</v>
      </c>
      <c r="J10" s="696">
        <v>59</v>
      </c>
      <c r="K10" s="1072">
        <v>55</v>
      </c>
      <c r="L10" s="1072">
        <v>51</v>
      </c>
      <c r="M10" s="832" t="s">
        <v>936</v>
      </c>
      <c r="N10" s="832" t="s">
        <v>932</v>
      </c>
    </row>
    <row r="11" spans="1:16" ht="15.75">
      <c r="A11" s="1520" t="s">
        <v>197</v>
      </c>
      <c r="B11" s="1520"/>
      <c r="C11" s="1071">
        <f t="shared" si="4"/>
        <v>121</v>
      </c>
      <c r="D11" s="691">
        <f t="shared" si="5"/>
        <v>121</v>
      </c>
      <c r="E11" s="1074">
        <v>67</v>
      </c>
      <c r="F11" s="1074">
        <v>66</v>
      </c>
      <c r="G11" s="697">
        <v>29</v>
      </c>
      <c r="H11" s="698">
        <v>35</v>
      </c>
      <c r="I11" s="697">
        <v>11</v>
      </c>
      <c r="J11" s="698">
        <v>14</v>
      </c>
      <c r="K11" s="1074">
        <v>14</v>
      </c>
      <c r="L11" s="1074">
        <v>6</v>
      </c>
      <c r="M11" s="1073" t="s">
        <v>937</v>
      </c>
      <c r="N11" s="699"/>
    </row>
    <row r="12" spans="1:16" ht="15.75">
      <c r="A12" s="1520" t="s">
        <v>228</v>
      </c>
      <c r="B12" s="1520"/>
      <c r="C12" s="1071">
        <f t="shared" si="4"/>
        <v>242</v>
      </c>
      <c r="D12" s="691">
        <f t="shared" si="5"/>
        <v>242</v>
      </c>
      <c r="E12" s="1075">
        <v>121</v>
      </c>
      <c r="F12" s="1075">
        <v>121</v>
      </c>
      <c r="G12" s="700">
        <v>60</v>
      </c>
      <c r="H12" s="701">
        <v>64</v>
      </c>
      <c r="I12" s="700">
        <v>36</v>
      </c>
      <c r="J12" s="701">
        <v>35</v>
      </c>
      <c r="K12" s="1075">
        <v>25</v>
      </c>
      <c r="L12" s="1075">
        <v>22</v>
      </c>
      <c r="M12" s="1073" t="s">
        <v>229</v>
      </c>
      <c r="N12" s="699"/>
    </row>
    <row r="13" spans="1:16" ht="15.75">
      <c r="A13" s="1520" t="s">
        <v>262</v>
      </c>
      <c r="B13" s="1520"/>
      <c r="C13" s="1071">
        <f t="shared" si="4"/>
        <v>141</v>
      </c>
      <c r="D13" s="691">
        <f t="shared" si="5"/>
        <v>141</v>
      </c>
      <c r="E13" s="1075">
        <v>66</v>
      </c>
      <c r="F13" s="1075">
        <v>66</v>
      </c>
      <c r="G13" s="700">
        <v>34</v>
      </c>
      <c r="H13" s="701">
        <v>40</v>
      </c>
      <c r="I13" s="700">
        <v>22</v>
      </c>
      <c r="J13" s="701">
        <v>17</v>
      </c>
      <c r="K13" s="1075">
        <v>19</v>
      </c>
      <c r="L13" s="1075">
        <v>18</v>
      </c>
      <c r="M13" s="1073" t="s">
        <v>263</v>
      </c>
      <c r="N13" s="699"/>
    </row>
    <row r="14" spans="1:16" ht="15.75">
      <c r="A14" s="1520" t="s">
        <v>290</v>
      </c>
      <c r="B14" s="1520"/>
      <c r="C14" s="1071">
        <f t="shared" si="4"/>
        <v>146</v>
      </c>
      <c r="D14" s="691">
        <f t="shared" si="5"/>
        <v>146</v>
      </c>
      <c r="E14" s="1075">
        <v>76</v>
      </c>
      <c r="F14" s="1075">
        <v>59</v>
      </c>
      <c r="G14" s="700">
        <v>40</v>
      </c>
      <c r="H14" s="701">
        <v>46</v>
      </c>
      <c r="I14" s="700">
        <v>12</v>
      </c>
      <c r="J14" s="701">
        <v>18</v>
      </c>
      <c r="K14" s="1075">
        <v>18</v>
      </c>
      <c r="L14" s="1075">
        <v>23</v>
      </c>
      <c r="M14" s="1073" t="s">
        <v>291</v>
      </c>
      <c r="N14" s="699"/>
    </row>
    <row r="15" spans="1:16" ht="15.75">
      <c r="A15" s="1520" t="s">
        <v>318</v>
      </c>
      <c r="B15" s="1520"/>
      <c r="C15" s="1071">
        <f t="shared" si="4"/>
        <v>212</v>
      </c>
      <c r="D15" s="691">
        <f t="shared" si="5"/>
        <v>212</v>
      </c>
      <c r="E15" s="1075">
        <v>129</v>
      </c>
      <c r="F15" s="1075">
        <v>121</v>
      </c>
      <c r="G15" s="700">
        <v>46</v>
      </c>
      <c r="H15" s="701">
        <v>50</v>
      </c>
      <c r="I15" s="700">
        <v>17</v>
      </c>
      <c r="J15" s="701">
        <v>16</v>
      </c>
      <c r="K15" s="1075">
        <v>20</v>
      </c>
      <c r="L15" s="1075">
        <v>25</v>
      </c>
      <c r="M15" s="1073" t="s">
        <v>319</v>
      </c>
      <c r="N15" s="699"/>
    </row>
    <row r="16" spans="1:16" ht="15.75">
      <c r="A16" s="1520" t="s">
        <v>938</v>
      </c>
      <c r="B16" s="1520"/>
      <c r="C16" s="1071">
        <f t="shared" si="4"/>
        <v>107</v>
      </c>
      <c r="D16" s="691">
        <f t="shared" si="5"/>
        <v>107</v>
      </c>
      <c r="E16" s="1075">
        <v>63</v>
      </c>
      <c r="F16" s="1075">
        <v>59</v>
      </c>
      <c r="G16" s="700">
        <v>24</v>
      </c>
      <c r="H16" s="701">
        <v>28</v>
      </c>
      <c r="I16" s="700">
        <v>9</v>
      </c>
      <c r="J16" s="701">
        <v>8</v>
      </c>
      <c r="K16" s="1075">
        <v>11</v>
      </c>
      <c r="L16" s="1075">
        <v>12</v>
      </c>
      <c r="M16" s="1073" t="s">
        <v>349</v>
      </c>
      <c r="N16" s="699"/>
    </row>
    <row r="17" spans="1:14" ht="15.75">
      <c r="A17" s="1520" t="s">
        <v>939</v>
      </c>
      <c r="B17" s="1520"/>
      <c r="C17" s="1071">
        <f t="shared" si="4"/>
        <v>131</v>
      </c>
      <c r="D17" s="691">
        <f t="shared" si="5"/>
        <v>131</v>
      </c>
      <c r="E17" s="1075">
        <v>71</v>
      </c>
      <c r="F17" s="1075">
        <v>69</v>
      </c>
      <c r="G17" s="700">
        <v>25</v>
      </c>
      <c r="H17" s="701">
        <v>28</v>
      </c>
      <c r="I17" s="700">
        <v>16</v>
      </c>
      <c r="J17" s="701">
        <v>20</v>
      </c>
      <c r="K17" s="1075">
        <v>19</v>
      </c>
      <c r="L17" s="1075">
        <v>14</v>
      </c>
      <c r="M17" s="1073" t="s">
        <v>375</v>
      </c>
      <c r="N17" s="699"/>
    </row>
    <row r="18" spans="1:14" ht="15.75">
      <c r="A18" s="1520" t="s">
        <v>940</v>
      </c>
      <c r="B18" s="1520"/>
      <c r="C18" s="1071">
        <f t="shared" si="4"/>
        <v>186</v>
      </c>
      <c r="D18" s="691">
        <f t="shared" si="5"/>
        <v>186</v>
      </c>
      <c r="E18" s="1075">
        <v>87</v>
      </c>
      <c r="F18" s="1075">
        <v>81</v>
      </c>
      <c r="G18" s="700">
        <v>51</v>
      </c>
      <c r="H18" s="701">
        <v>39</v>
      </c>
      <c r="I18" s="700">
        <v>23</v>
      </c>
      <c r="J18" s="701">
        <v>34</v>
      </c>
      <c r="K18" s="1075">
        <v>25</v>
      </c>
      <c r="L18" s="1075">
        <v>32</v>
      </c>
      <c r="M18" s="1073" t="s">
        <v>387</v>
      </c>
      <c r="N18" s="699"/>
    </row>
    <row r="19" spans="1:14" ht="15.75">
      <c r="A19" s="1520" t="s">
        <v>406</v>
      </c>
      <c r="B19" s="1520"/>
      <c r="C19" s="1071">
        <f t="shared" si="4"/>
        <v>98</v>
      </c>
      <c r="D19" s="691">
        <f t="shared" si="5"/>
        <v>98</v>
      </c>
      <c r="E19" s="1075">
        <v>34</v>
      </c>
      <c r="F19" s="1075">
        <v>36</v>
      </c>
      <c r="G19" s="700">
        <v>29</v>
      </c>
      <c r="H19" s="701">
        <v>28</v>
      </c>
      <c r="I19" s="700">
        <v>17</v>
      </c>
      <c r="J19" s="701">
        <v>19</v>
      </c>
      <c r="K19" s="1075">
        <v>18</v>
      </c>
      <c r="L19" s="1075">
        <v>15</v>
      </c>
      <c r="M19" s="1073" t="s">
        <v>407</v>
      </c>
      <c r="N19" s="699"/>
    </row>
    <row r="20" spans="1:14" ht="15.75">
      <c r="A20" s="1520" t="s">
        <v>422</v>
      </c>
      <c r="B20" s="1520"/>
      <c r="C20" s="1071">
        <f t="shared" si="4"/>
        <v>110</v>
      </c>
      <c r="D20" s="691">
        <f t="shared" si="5"/>
        <v>110</v>
      </c>
      <c r="E20" s="1075">
        <v>49</v>
      </c>
      <c r="F20" s="1075">
        <v>52</v>
      </c>
      <c r="G20" s="700">
        <v>24</v>
      </c>
      <c r="H20" s="701">
        <v>23</v>
      </c>
      <c r="I20" s="700">
        <v>19</v>
      </c>
      <c r="J20" s="701">
        <v>21</v>
      </c>
      <c r="K20" s="1075">
        <v>18</v>
      </c>
      <c r="L20" s="1075">
        <v>14</v>
      </c>
      <c r="M20" s="1073" t="s">
        <v>423</v>
      </c>
      <c r="N20" s="699"/>
    </row>
    <row r="21" spans="1:14" ht="15.75">
      <c r="A21" s="1520" t="s">
        <v>441</v>
      </c>
      <c r="B21" s="1520"/>
      <c r="C21" s="1071">
        <f t="shared" si="4"/>
        <v>14</v>
      </c>
      <c r="D21" s="691">
        <f t="shared" si="5"/>
        <v>14</v>
      </c>
      <c r="E21" s="1075">
        <v>8</v>
      </c>
      <c r="F21" s="1075">
        <v>9</v>
      </c>
      <c r="G21" s="700">
        <v>4</v>
      </c>
      <c r="H21" s="701">
        <v>3</v>
      </c>
      <c r="I21" s="700">
        <v>0</v>
      </c>
      <c r="J21" s="701">
        <v>0</v>
      </c>
      <c r="K21" s="1075">
        <v>2</v>
      </c>
      <c r="L21" s="1075">
        <v>2</v>
      </c>
      <c r="M21" s="1073" t="s">
        <v>442</v>
      </c>
      <c r="N21" s="699"/>
    </row>
    <row r="22" spans="1:14" ht="15.75">
      <c r="A22" s="1520" t="s">
        <v>453</v>
      </c>
      <c r="B22" s="1520"/>
      <c r="C22" s="1071">
        <f t="shared" si="4"/>
        <v>45</v>
      </c>
      <c r="D22" s="691">
        <f t="shared" si="5"/>
        <v>45</v>
      </c>
      <c r="E22" s="1075">
        <v>23</v>
      </c>
      <c r="F22" s="1075">
        <v>20</v>
      </c>
      <c r="G22" s="700">
        <v>12</v>
      </c>
      <c r="H22" s="701">
        <v>15</v>
      </c>
      <c r="I22" s="700">
        <v>7</v>
      </c>
      <c r="J22" s="701">
        <v>5</v>
      </c>
      <c r="K22" s="1075">
        <v>3</v>
      </c>
      <c r="L22" s="1075">
        <v>5</v>
      </c>
      <c r="M22" s="1073" t="s">
        <v>454</v>
      </c>
      <c r="N22" s="699"/>
    </row>
    <row r="23" spans="1:14" ht="15.75">
      <c r="A23" s="1520" t="s">
        <v>941</v>
      </c>
      <c r="B23" s="1520"/>
      <c r="C23" s="1071">
        <f t="shared" si="4"/>
        <v>55</v>
      </c>
      <c r="D23" s="691">
        <f t="shared" si="5"/>
        <v>55</v>
      </c>
      <c r="E23" s="1075">
        <v>26</v>
      </c>
      <c r="F23" s="1075">
        <v>25</v>
      </c>
      <c r="G23" s="700">
        <v>11</v>
      </c>
      <c r="H23" s="701">
        <v>14</v>
      </c>
      <c r="I23" s="700">
        <v>10</v>
      </c>
      <c r="J23" s="701">
        <v>8</v>
      </c>
      <c r="K23" s="1075">
        <v>8</v>
      </c>
      <c r="L23" s="1075">
        <v>8</v>
      </c>
      <c r="M23" s="1073" t="s">
        <v>471</v>
      </c>
      <c r="N23" s="699"/>
    </row>
    <row r="24" spans="1:14" ht="15.75">
      <c r="A24" s="1520" t="s">
        <v>480</v>
      </c>
      <c r="B24" s="1520"/>
      <c r="C24" s="1071">
        <f t="shared" si="4"/>
        <v>60</v>
      </c>
      <c r="D24" s="691">
        <f t="shared" si="5"/>
        <v>60</v>
      </c>
      <c r="E24" s="1075">
        <v>30</v>
      </c>
      <c r="F24" s="1075">
        <v>27</v>
      </c>
      <c r="G24" s="700">
        <v>14</v>
      </c>
      <c r="H24" s="701">
        <v>18</v>
      </c>
      <c r="I24" s="700">
        <v>9</v>
      </c>
      <c r="J24" s="701">
        <v>6</v>
      </c>
      <c r="K24" s="1075">
        <v>7</v>
      </c>
      <c r="L24" s="1075">
        <v>9</v>
      </c>
      <c r="M24" s="1073" t="s">
        <v>481</v>
      </c>
      <c r="N24" s="699"/>
    </row>
    <row r="25" spans="1:14" ht="15.75">
      <c r="A25" s="1520" t="s">
        <v>494</v>
      </c>
      <c r="B25" s="1520"/>
      <c r="C25" s="1071">
        <f t="shared" si="4"/>
        <v>122</v>
      </c>
      <c r="D25" s="691">
        <f t="shared" si="5"/>
        <v>122</v>
      </c>
      <c r="E25" s="1075">
        <v>47</v>
      </c>
      <c r="F25" s="1075">
        <v>43</v>
      </c>
      <c r="G25" s="700">
        <v>42</v>
      </c>
      <c r="H25" s="701">
        <v>40</v>
      </c>
      <c r="I25" s="700">
        <v>15</v>
      </c>
      <c r="J25" s="701">
        <v>21</v>
      </c>
      <c r="K25" s="1075">
        <v>18</v>
      </c>
      <c r="L25" s="1075">
        <v>18</v>
      </c>
      <c r="M25" s="1073" t="s">
        <v>495</v>
      </c>
      <c r="N25" s="699"/>
    </row>
    <row r="26" spans="1:14" ht="15.75">
      <c r="A26" s="1520" t="s">
        <v>516</v>
      </c>
      <c r="B26" s="1520"/>
      <c r="C26" s="1071">
        <f t="shared" si="4"/>
        <v>224</v>
      </c>
      <c r="D26" s="691">
        <f t="shared" si="5"/>
        <v>224</v>
      </c>
      <c r="E26" s="1075">
        <v>86</v>
      </c>
      <c r="F26" s="1075">
        <v>87</v>
      </c>
      <c r="G26" s="700">
        <v>64</v>
      </c>
      <c r="H26" s="701">
        <v>70</v>
      </c>
      <c r="I26" s="700">
        <v>32</v>
      </c>
      <c r="J26" s="701">
        <v>31</v>
      </c>
      <c r="K26" s="1075">
        <v>42</v>
      </c>
      <c r="L26" s="1075">
        <v>36</v>
      </c>
      <c r="M26" s="1073" t="s">
        <v>517</v>
      </c>
      <c r="N26" s="699"/>
    </row>
    <row r="27" spans="1:14" ht="15.75">
      <c r="A27" s="1520" t="s">
        <v>541</v>
      </c>
      <c r="B27" s="1520"/>
      <c r="C27" s="1071">
        <f t="shared" si="4"/>
        <v>108</v>
      </c>
      <c r="D27" s="691">
        <f t="shared" si="5"/>
        <v>108</v>
      </c>
      <c r="E27" s="1075">
        <v>55</v>
      </c>
      <c r="F27" s="1075">
        <v>44</v>
      </c>
      <c r="G27" s="700">
        <v>28</v>
      </c>
      <c r="H27" s="701">
        <v>31</v>
      </c>
      <c r="I27" s="700">
        <v>11</v>
      </c>
      <c r="J27" s="701">
        <v>20</v>
      </c>
      <c r="K27" s="1075">
        <v>14</v>
      </c>
      <c r="L27" s="1075">
        <v>13</v>
      </c>
      <c r="M27" s="1073" t="s">
        <v>542</v>
      </c>
      <c r="N27" s="699"/>
    </row>
    <row r="28" spans="1:14" ht="15.75">
      <c r="A28" s="1520" t="s">
        <v>556</v>
      </c>
      <c r="B28" s="1520"/>
      <c r="C28" s="1071">
        <f t="shared" si="4"/>
        <v>137</v>
      </c>
      <c r="D28" s="691">
        <f t="shared" si="5"/>
        <v>137</v>
      </c>
      <c r="E28" s="1075">
        <v>55</v>
      </c>
      <c r="F28" s="1075">
        <v>53</v>
      </c>
      <c r="G28" s="700">
        <v>38</v>
      </c>
      <c r="H28" s="701">
        <v>33</v>
      </c>
      <c r="I28" s="700">
        <v>19</v>
      </c>
      <c r="J28" s="701">
        <v>22</v>
      </c>
      <c r="K28" s="1075">
        <v>25</v>
      </c>
      <c r="L28" s="1075">
        <v>29</v>
      </c>
      <c r="M28" s="1073" t="s">
        <v>557</v>
      </c>
      <c r="N28" s="699"/>
    </row>
    <row r="29" spans="1:14" ht="15.75">
      <c r="A29" s="1520" t="s">
        <v>576</v>
      </c>
      <c r="B29" s="1520"/>
      <c r="C29" s="1071">
        <f t="shared" si="4"/>
        <v>143</v>
      </c>
      <c r="D29" s="691">
        <f t="shared" si="5"/>
        <v>143</v>
      </c>
      <c r="E29" s="1075">
        <v>62</v>
      </c>
      <c r="F29" s="1075">
        <v>46</v>
      </c>
      <c r="G29" s="700">
        <v>41</v>
      </c>
      <c r="H29" s="701">
        <v>46</v>
      </c>
      <c r="I29" s="700">
        <v>15</v>
      </c>
      <c r="J29" s="701">
        <v>27</v>
      </c>
      <c r="K29" s="1075">
        <v>25</v>
      </c>
      <c r="L29" s="1075">
        <v>24</v>
      </c>
      <c r="M29" s="1073" t="s">
        <v>577</v>
      </c>
      <c r="N29" s="699"/>
    </row>
    <row r="30" spans="1:14" ht="15.75">
      <c r="A30" s="1522" t="s">
        <v>942</v>
      </c>
      <c r="B30" s="1522"/>
      <c r="C30" s="748">
        <f t="shared" si="4"/>
        <v>286</v>
      </c>
      <c r="D30" s="702">
        <f t="shared" si="5"/>
        <v>286</v>
      </c>
      <c r="E30" s="703">
        <v>128</v>
      </c>
      <c r="F30" s="703">
        <v>113</v>
      </c>
      <c r="G30" s="704">
        <v>70</v>
      </c>
      <c r="H30" s="705">
        <v>74</v>
      </c>
      <c r="I30" s="704">
        <v>40</v>
      </c>
      <c r="J30" s="705">
        <v>57</v>
      </c>
      <c r="K30" s="703">
        <v>48</v>
      </c>
      <c r="L30" s="703">
        <v>42</v>
      </c>
      <c r="M30" s="907" t="s">
        <v>943</v>
      </c>
      <c r="N30" s="706"/>
    </row>
    <row r="31" spans="1:14" ht="18">
      <c r="A31" s="707" t="s">
        <v>879</v>
      </c>
      <c r="M31" s="665"/>
      <c r="N31" s="607" t="s">
        <v>880</v>
      </c>
    </row>
    <row r="40" spans="1:16" ht="21">
      <c r="A40" s="1460" t="s">
        <v>1131</v>
      </c>
      <c r="B40" s="1460"/>
      <c r="C40" s="1460"/>
      <c r="D40" s="1460"/>
      <c r="E40" s="1460"/>
      <c r="F40" s="1460"/>
      <c r="G40" s="1460"/>
      <c r="H40" s="1460"/>
      <c r="I40" s="1460"/>
      <c r="J40" s="1460"/>
      <c r="K40" s="1460"/>
      <c r="L40" s="1460"/>
      <c r="M40" s="1460"/>
      <c r="N40" s="1460"/>
    </row>
    <row r="41" spans="1:16">
      <c r="A41" s="1494" t="s">
        <v>1132</v>
      </c>
      <c r="B41" s="1494"/>
      <c r="C41" s="1494"/>
      <c r="D41" s="1494"/>
      <c r="E41" s="1494"/>
      <c r="F41" s="1494"/>
      <c r="G41" s="1494"/>
      <c r="H41" s="1494"/>
      <c r="I41" s="1494"/>
      <c r="J41" s="1494"/>
      <c r="K41" s="1494"/>
      <c r="L41" s="1494"/>
      <c r="M41" s="1494"/>
      <c r="N41" s="1494"/>
    </row>
    <row r="42" spans="1:16" ht="15" customHeight="1">
      <c r="A42" s="1473" t="s">
        <v>639</v>
      </c>
      <c r="B42" s="1502" t="s">
        <v>922</v>
      </c>
      <c r="C42" s="1513" t="s">
        <v>923</v>
      </c>
      <c r="D42" s="1514" t="s">
        <v>699</v>
      </c>
      <c r="E42" s="1516" t="s">
        <v>914</v>
      </c>
      <c r="F42" s="1516"/>
      <c r="G42" s="1517" t="s">
        <v>915</v>
      </c>
      <c r="H42" s="1518"/>
      <c r="I42" s="1517" t="s">
        <v>916</v>
      </c>
      <c r="J42" s="1518"/>
      <c r="K42" s="1516" t="s">
        <v>917</v>
      </c>
      <c r="L42" s="1516"/>
      <c r="M42" s="1505" t="s">
        <v>924</v>
      </c>
      <c r="N42" s="1508" t="s">
        <v>925</v>
      </c>
      <c r="O42" s="1508"/>
    </row>
    <row r="43" spans="1:16" ht="18.75" customHeight="1">
      <c r="A43" s="1473"/>
      <c r="B43" s="1503"/>
      <c r="C43" s="1510"/>
      <c r="D43" s="1515"/>
      <c r="E43" s="1510" t="s">
        <v>926</v>
      </c>
      <c r="F43" s="1510"/>
      <c r="G43" s="1511" t="s">
        <v>927</v>
      </c>
      <c r="H43" s="1512"/>
      <c r="I43" s="1511" t="s">
        <v>928</v>
      </c>
      <c r="J43" s="1512"/>
      <c r="K43" s="1519" t="s">
        <v>929</v>
      </c>
      <c r="L43" s="1519"/>
      <c r="M43" s="1506"/>
      <c r="N43" s="1508"/>
      <c r="O43" s="1508"/>
    </row>
    <row r="44" spans="1:16" ht="18.75">
      <c r="A44" s="1473"/>
      <c r="B44" s="1503"/>
      <c r="C44" s="1067" t="s">
        <v>797</v>
      </c>
      <c r="D44" s="1068" t="s">
        <v>798</v>
      </c>
      <c r="E44" s="1069" t="s">
        <v>797</v>
      </c>
      <c r="F44" s="1069" t="s">
        <v>798</v>
      </c>
      <c r="G44" s="1070" t="s">
        <v>797</v>
      </c>
      <c r="H44" s="1068" t="s">
        <v>798</v>
      </c>
      <c r="I44" s="1070" t="s">
        <v>797</v>
      </c>
      <c r="J44" s="1068" t="s">
        <v>798</v>
      </c>
      <c r="K44" s="1069" t="s">
        <v>797</v>
      </c>
      <c r="L44" s="1069" t="s">
        <v>798</v>
      </c>
      <c r="M44" s="1506"/>
      <c r="N44" s="1508"/>
      <c r="O44" s="1508"/>
    </row>
    <row r="45" spans="1:16">
      <c r="A45" s="1501"/>
      <c r="B45" s="1504"/>
      <c r="C45" s="688" t="s">
        <v>22</v>
      </c>
      <c r="D45" s="689" t="s">
        <v>23</v>
      </c>
      <c r="E45" s="688" t="s">
        <v>22</v>
      </c>
      <c r="F45" s="688" t="s">
        <v>23</v>
      </c>
      <c r="G45" s="690" t="s">
        <v>22</v>
      </c>
      <c r="H45" s="689" t="s">
        <v>23</v>
      </c>
      <c r="I45" s="690" t="s">
        <v>22</v>
      </c>
      <c r="J45" s="689" t="s">
        <v>23</v>
      </c>
      <c r="K45" s="688" t="s">
        <v>22</v>
      </c>
      <c r="L45" s="688" t="s">
        <v>23</v>
      </c>
      <c r="M45" s="1507"/>
      <c r="N45" s="1509"/>
      <c r="O45" s="1508"/>
    </row>
    <row r="46" spans="1:16" ht="18.75">
      <c r="A46" s="1465" t="s">
        <v>132</v>
      </c>
      <c r="B46" s="1465"/>
      <c r="C46" s="1071">
        <f t="shared" ref="C46:C47" si="6">E46+G46+I46+K46</f>
        <v>4998</v>
      </c>
      <c r="D46" s="691">
        <f t="shared" ref="D46:D47" si="7">F46+H46+J46+L46</f>
        <v>4998</v>
      </c>
      <c r="E46" s="692">
        <f>E47+E48+E49</f>
        <v>2760</v>
      </c>
      <c r="F46" s="692">
        <f t="shared" ref="F46:L46" si="8">F47+F48+F49</f>
        <v>2583</v>
      </c>
      <c r="G46" s="693">
        <f t="shared" si="8"/>
        <v>1151</v>
      </c>
      <c r="H46" s="694">
        <f t="shared" si="8"/>
        <v>1254</v>
      </c>
      <c r="I46" s="693">
        <f t="shared" si="8"/>
        <v>549</v>
      </c>
      <c r="J46" s="694">
        <f t="shared" si="8"/>
        <v>628</v>
      </c>
      <c r="K46" s="692">
        <f t="shared" si="8"/>
        <v>538</v>
      </c>
      <c r="L46" s="692">
        <f t="shared" si="8"/>
        <v>533</v>
      </c>
      <c r="M46" s="1521" t="s">
        <v>699</v>
      </c>
      <c r="N46" s="1521"/>
      <c r="O46" s="523"/>
      <c r="P46" s="523"/>
    </row>
    <row r="47" spans="1:16" ht="18.75">
      <c r="A47" s="1222" t="s">
        <v>637</v>
      </c>
      <c r="B47" s="1242" t="s">
        <v>930</v>
      </c>
      <c r="C47" s="1071">
        <f t="shared" si="6"/>
        <v>1995</v>
      </c>
      <c r="D47" s="691">
        <f t="shared" si="7"/>
        <v>1995</v>
      </c>
      <c r="E47" s="1072">
        <v>1215</v>
      </c>
      <c r="F47" s="1072">
        <v>1165</v>
      </c>
      <c r="G47" s="695">
        <v>416</v>
      </c>
      <c r="H47" s="696">
        <v>424</v>
      </c>
      <c r="I47" s="695">
        <v>181</v>
      </c>
      <c r="J47" s="696">
        <v>219</v>
      </c>
      <c r="K47" s="1072">
        <v>183</v>
      </c>
      <c r="L47" s="1072">
        <v>187</v>
      </c>
      <c r="M47" s="832" t="s">
        <v>931</v>
      </c>
      <c r="N47" s="832" t="s">
        <v>932</v>
      </c>
    </row>
    <row r="48" spans="1:16" ht="18.75">
      <c r="A48" s="1222" t="s">
        <v>639</v>
      </c>
      <c r="B48" s="1242" t="s">
        <v>933</v>
      </c>
      <c r="C48" s="1071">
        <f>SUM(C50:C69)</f>
        <v>2766</v>
      </c>
      <c r="D48" s="691">
        <f t="shared" ref="D48:L48" si="9">SUM(D50:D69)</f>
        <v>2766</v>
      </c>
      <c r="E48" s="1072">
        <f t="shared" si="9"/>
        <v>1438</v>
      </c>
      <c r="F48" s="1072">
        <f t="shared" si="9"/>
        <v>1318</v>
      </c>
      <c r="G48" s="695">
        <f t="shared" si="9"/>
        <v>681</v>
      </c>
      <c r="H48" s="696">
        <f t="shared" si="9"/>
        <v>753</v>
      </c>
      <c r="I48" s="695">
        <f t="shared" si="9"/>
        <v>328</v>
      </c>
      <c r="J48" s="696">
        <f t="shared" si="9"/>
        <v>371</v>
      </c>
      <c r="K48" s="1072">
        <f t="shared" si="9"/>
        <v>319</v>
      </c>
      <c r="L48" s="1072">
        <f t="shared" si="9"/>
        <v>324</v>
      </c>
      <c r="M48" s="832" t="s">
        <v>934</v>
      </c>
      <c r="N48" s="832" t="s">
        <v>925</v>
      </c>
    </row>
    <row r="49" spans="1:14" ht="18.75">
      <c r="A49" s="1222" t="s">
        <v>637</v>
      </c>
      <c r="B49" s="1242" t="s">
        <v>935</v>
      </c>
      <c r="C49" s="1071">
        <f t="shared" ref="C49:C69" si="10">E49+G49+I49+K49</f>
        <v>237</v>
      </c>
      <c r="D49" s="691">
        <f t="shared" ref="D49:D69" si="11">F49+H49+J49+L49</f>
        <v>237</v>
      </c>
      <c r="E49" s="1072">
        <v>107</v>
      </c>
      <c r="F49" s="1072">
        <v>100</v>
      </c>
      <c r="G49" s="695">
        <v>54</v>
      </c>
      <c r="H49" s="696">
        <v>77</v>
      </c>
      <c r="I49" s="695">
        <v>40</v>
      </c>
      <c r="J49" s="696">
        <v>38</v>
      </c>
      <c r="K49" s="1072">
        <v>36</v>
      </c>
      <c r="L49" s="1072">
        <v>22</v>
      </c>
      <c r="M49" s="832" t="s">
        <v>936</v>
      </c>
      <c r="N49" s="832" t="s">
        <v>932</v>
      </c>
    </row>
    <row r="50" spans="1:14" ht="15.75">
      <c r="A50" s="1520" t="s">
        <v>197</v>
      </c>
      <c r="B50" s="1520"/>
      <c r="C50" s="1071">
        <f t="shared" si="10"/>
        <v>134</v>
      </c>
      <c r="D50" s="691">
        <f t="shared" si="11"/>
        <v>134</v>
      </c>
      <c r="E50" s="1074">
        <v>81</v>
      </c>
      <c r="F50" s="1074">
        <v>76</v>
      </c>
      <c r="G50" s="697">
        <v>24</v>
      </c>
      <c r="H50" s="698">
        <v>32</v>
      </c>
      <c r="I50" s="697">
        <v>15</v>
      </c>
      <c r="J50" s="698">
        <v>16</v>
      </c>
      <c r="K50" s="1074">
        <v>14</v>
      </c>
      <c r="L50" s="1074">
        <v>10</v>
      </c>
      <c r="M50" s="1073" t="s">
        <v>937</v>
      </c>
      <c r="N50" s="699"/>
    </row>
    <row r="51" spans="1:14" ht="15.75">
      <c r="A51" s="1520" t="s">
        <v>228</v>
      </c>
      <c r="B51" s="1520"/>
      <c r="C51" s="1071">
        <f t="shared" si="10"/>
        <v>271</v>
      </c>
      <c r="D51" s="691">
        <f t="shared" si="11"/>
        <v>271</v>
      </c>
      <c r="E51" s="1075">
        <v>147</v>
      </c>
      <c r="F51" s="1075">
        <v>138</v>
      </c>
      <c r="G51" s="700">
        <v>76</v>
      </c>
      <c r="H51" s="701">
        <v>81</v>
      </c>
      <c r="I51" s="700">
        <v>26</v>
      </c>
      <c r="J51" s="701">
        <v>35</v>
      </c>
      <c r="K51" s="1075">
        <v>22</v>
      </c>
      <c r="L51" s="1075">
        <v>17</v>
      </c>
      <c r="M51" s="1073" t="s">
        <v>229</v>
      </c>
      <c r="N51" s="699"/>
    </row>
    <row r="52" spans="1:14" ht="15.75">
      <c r="A52" s="1520" t="s">
        <v>262</v>
      </c>
      <c r="B52" s="1520"/>
      <c r="C52" s="1071">
        <f t="shared" si="10"/>
        <v>158</v>
      </c>
      <c r="D52" s="691">
        <f t="shared" si="11"/>
        <v>158</v>
      </c>
      <c r="E52" s="1075">
        <v>92</v>
      </c>
      <c r="F52" s="1075">
        <v>92</v>
      </c>
      <c r="G52" s="700">
        <v>35</v>
      </c>
      <c r="H52" s="701">
        <v>40</v>
      </c>
      <c r="I52" s="700">
        <v>20</v>
      </c>
      <c r="J52" s="701">
        <v>14</v>
      </c>
      <c r="K52" s="1075">
        <v>11</v>
      </c>
      <c r="L52" s="1075">
        <v>12</v>
      </c>
      <c r="M52" s="1073" t="s">
        <v>263</v>
      </c>
      <c r="N52" s="699"/>
    </row>
    <row r="53" spans="1:14" ht="15.75">
      <c r="A53" s="1520" t="s">
        <v>290</v>
      </c>
      <c r="B53" s="1520"/>
      <c r="C53" s="1071">
        <f t="shared" si="10"/>
        <v>127</v>
      </c>
      <c r="D53" s="691">
        <f t="shared" si="11"/>
        <v>127</v>
      </c>
      <c r="E53" s="1075">
        <v>63</v>
      </c>
      <c r="F53" s="1075">
        <v>57</v>
      </c>
      <c r="G53" s="700">
        <v>26</v>
      </c>
      <c r="H53" s="701">
        <v>36</v>
      </c>
      <c r="I53" s="700">
        <v>19</v>
      </c>
      <c r="J53" s="701">
        <v>20</v>
      </c>
      <c r="K53" s="1075">
        <v>19</v>
      </c>
      <c r="L53" s="1075">
        <v>14</v>
      </c>
      <c r="M53" s="1073" t="s">
        <v>291</v>
      </c>
      <c r="N53" s="699"/>
    </row>
    <row r="54" spans="1:14" ht="15.75">
      <c r="A54" s="1520" t="s">
        <v>318</v>
      </c>
      <c r="B54" s="1520"/>
      <c r="C54" s="1071">
        <f t="shared" si="10"/>
        <v>198</v>
      </c>
      <c r="D54" s="691">
        <f t="shared" si="11"/>
        <v>198</v>
      </c>
      <c r="E54" s="1075">
        <v>114</v>
      </c>
      <c r="F54" s="1075">
        <v>109</v>
      </c>
      <c r="G54" s="700">
        <v>40</v>
      </c>
      <c r="H54" s="701">
        <v>55</v>
      </c>
      <c r="I54" s="700">
        <v>28</v>
      </c>
      <c r="J54" s="701">
        <v>17</v>
      </c>
      <c r="K54" s="1075">
        <v>16</v>
      </c>
      <c r="L54" s="1075">
        <v>17</v>
      </c>
      <c r="M54" s="1073" t="s">
        <v>319</v>
      </c>
      <c r="N54" s="699"/>
    </row>
    <row r="55" spans="1:14" ht="15.75">
      <c r="A55" s="1520" t="s">
        <v>938</v>
      </c>
      <c r="B55" s="1520"/>
      <c r="C55" s="1071">
        <f t="shared" si="10"/>
        <v>100</v>
      </c>
      <c r="D55" s="691">
        <f t="shared" si="11"/>
        <v>100</v>
      </c>
      <c r="E55" s="1075">
        <v>57</v>
      </c>
      <c r="F55" s="1075">
        <v>48</v>
      </c>
      <c r="G55" s="700">
        <v>22</v>
      </c>
      <c r="H55" s="701">
        <v>32</v>
      </c>
      <c r="I55" s="700">
        <v>12</v>
      </c>
      <c r="J55" s="701">
        <v>12</v>
      </c>
      <c r="K55" s="1075">
        <v>9</v>
      </c>
      <c r="L55" s="1075">
        <v>8</v>
      </c>
      <c r="M55" s="1073" t="s">
        <v>349</v>
      </c>
      <c r="N55" s="699"/>
    </row>
    <row r="56" spans="1:14" ht="15.75">
      <c r="A56" s="1520" t="s">
        <v>939</v>
      </c>
      <c r="B56" s="1520"/>
      <c r="C56" s="1071">
        <f t="shared" si="10"/>
        <v>106</v>
      </c>
      <c r="D56" s="691">
        <f t="shared" si="11"/>
        <v>106</v>
      </c>
      <c r="E56" s="1075">
        <v>53</v>
      </c>
      <c r="F56" s="1075">
        <v>51</v>
      </c>
      <c r="G56" s="700">
        <v>25</v>
      </c>
      <c r="H56" s="701">
        <v>29</v>
      </c>
      <c r="I56" s="700">
        <v>15</v>
      </c>
      <c r="J56" s="701">
        <v>18</v>
      </c>
      <c r="K56" s="1075">
        <v>13</v>
      </c>
      <c r="L56" s="1075">
        <v>8</v>
      </c>
      <c r="M56" s="1073" t="s">
        <v>375</v>
      </c>
      <c r="N56" s="699"/>
    </row>
    <row r="57" spans="1:14" ht="15.75">
      <c r="A57" s="1520" t="s">
        <v>940</v>
      </c>
      <c r="B57" s="1520"/>
      <c r="C57" s="1071">
        <f t="shared" si="10"/>
        <v>178</v>
      </c>
      <c r="D57" s="691">
        <f t="shared" si="11"/>
        <v>178</v>
      </c>
      <c r="E57" s="1075">
        <v>97</v>
      </c>
      <c r="F57" s="1075">
        <v>90</v>
      </c>
      <c r="G57" s="700">
        <v>44</v>
      </c>
      <c r="H57" s="701">
        <v>49</v>
      </c>
      <c r="I57" s="700">
        <v>18</v>
      </c>
      <c r="J57" s="701">
        <v>22</v>
      </c>
      <c r="K57" s="1075">
        <v>19</v>
      </c>
      <c r="L57" s="1075">
        <v>17</v>
      </c>
      <c r="M57" s="1073" t="s">
        <v>387</v>
      </c>
      <c r="N57" s="699"/>
    </row>
    <row r="58" spans="1:14" ht="15.75">
      <c r="A58" s="1520" t="s">
        <v>406</v>
      </c>
      <c r="B58" s="1520"/>
      <c r="C58" s="1071">
        <f t="shared" si="10"/>
        <v>94</v>
      </c>
      <c r="D58" s="691">
        <f t="shared" si="11"/>
        <v>94</v>
      </c>
      <c r="E58" s="1075">
        <v>38</v>
      </c>
      <c r="F58" s="1075">
        <v>36</v>
      </c>
      <c r="G58" s="700">
        <v>31</v>
      </c>
      <c r="H58" s="701">
        <v>25</v>
      </c>
      <c r="I58" s="700">
        <v>11</v>
      </c>
      <c r="J58" s="701">
        <v>15</v>
      </c>
      <c r="K58" s="1075">
        <v>14</v>
      </c>
      <c r="L58" s="1075">
        <v>18</v>
      </c>
      <c r="M58" s="1073" t="s">
        <v>407</v>
      </c>
      <c r="N58" s="699"/>
    </row>
    <row r="59" spans="1:14" ht="15.75">
      <c r="A59" s="1520" t="s">
        <v>422</v>
      </c>
      <c r="B59" s="1520"/>
      <c r="C59" s="1071">
        <f t="shared" si="10"/>
        <v>111</v>
      </c>
      <c r="D59" s="691">
        <f t="shared" si="11"/>
        <v>111</v>
      </c>
      <c r="E59" s="1075">
        <v>56</v>
      </c>
      <c r="F59" s="1075">
        <v>56</v>
      </c>
      <c r="G59" s="700">
        <v>25</v>
      </c>
      <c r="H59" s="701">
        <v>29</v>
      </c>
      <c r="I59" s="700">
        <v>17</v>
      </c>
      <c r="J59" s="701">
        <v>13</v>
      </c>
      <c r="K59" s="1075">
        <v>13</v>
      </c>
      <c r="L59" s="1075">
        <v>13</v>
      </c>
      <c r="M59" s="1073" t="s">
        <v>423</v>
      </c>
      <c r="N59" s="699"/>
    </row>
    <row r="60" spans="1:14" ht="15.75">
      <c r="A60" s="1520" t="s">
        <v>441</v>
      </c>
      <c r="B60" s="1520"/>
      <c r="C60" s="1071">
        <f t="shared" si="10"/>
        <v>13</v>
      </c>
      <c r="D60" s="691">
        <f t="shared" si="11"/>
        <v>13</v>
      </c>
      <c r="E60" s="1075">
        <v>4</v>
      </c>
      <c r="F60" s="1075">
        <v>1</v>
      </c>
      <c r="G60" s="700">
        <v>4</v>
      </c>
      <c r="H60" s="701">
        <v>4</v>
      </c>
      <c r="I60" s="700">
        <v>3</v>
      </c>
      <c r="J60" s="701">
        <v>7</v>
      </c>
      <c r="K60" s="1075">
        <v>2</v>
      </c>
      <c r="L60" s="1075">
        <v>1</v>
      </c>
      <c r="M60" s="1073" t="s">
        <v>442</v>
      </c>
      <c r="N60" s="699"/>
    </row>
    <row r="61" spans="1:14" ht="15.75">
      <c r="A61" s="1520" t="s">
        <v>453</v>
      </c>
      <c r="B61" s="1520"/>
      <c r="C61" s="1071">
        <f t="shared" si="10"/>
        <v>55</v>
      </c>
      <c r="D61" s="691">
        <f t="shared" si="11"/>
        <v>55</v>
      </c>
      <c r="E61" s="1075">
        <v>26</v>
      </c>
      <c r="F61" s="1075">
        <v>23</v>
      </c>
      <c r="G61" s="700">
        <v>17</v>
      </c>
      <c r="H61" s="701">
        <v>18</v>
      </c>
      <c r="I61" s="700">
        <v>7</v>
      </c>
      <c r="J61" s="701">
        <v>7</v>
      </c>
      <c r="K61" s="1075">
        <v>5</v>
      </c>
      <c r="L61" s="1075">
        <v>7</v>
      </c>
      <c r="M61" s="1073" t="s">
        <v>454</v>
      </c>
      <c r="N61" s="699"/>
    </row>
    <row r="62" spans="1:14" ht="15.75">
      <c r="A62" s="1520" t="s">
        <v>941</v>
      </c>
      <c r="B62" s="1520"/>
      <c r="C62" s="1071">
        <f t="shared" si="10"/>
        <v>52</v>
      </c>
      <c r="D62" s="691">
        <f t="shared" si="11"/>
        <v>52</v>
      </c>
      <c r="E62" s="1075">
        <v>26</v>
      </c>
      <c r="F62" s="1075">
        <v>23</v>
      </c>
      <c r="G62" s="700">
        <v>11</v>
      </c>
      <c r="H62" s="701">
        <v>16</v>
      </c>
      <c r="I62" s="700">
        <v>7</v>
      </c>
      <c r="J62" s="701">
        <v>6</v>
      </c>
      <c r="K62" s="1075">
        <v>8</v>
      </c>
      <c r="L62" s="1075">
        <v>7</v>
      </c>
      <c r="M62" s="1073" t="s">
        <v>471</v>
      </c>
      <c r="N62" s="699"/>
    </row>
    <row r="63" spans="1:14" ht="15.75">
      <c r="A63" s="1520" t="s">
        <v>480</v>
      </c>
      <c r="B63" s="1520"/>
      <c r="C63" s="1071">
        <f t="shared" si="10"/>
        <v>67</v>
      </c>
      <c r="D63" s="691">
        <f t="shared" si="11"/>
        <v>67</v>
      </c>
      <c r="E63" s="1075">
        <v>40</v>
      </c>
      <c r="F63" s="1075">
        <v>37</v>
      </c>
      <c r="G63" s="700">
        <v>18</v>
      </c>
      <c r="H63" s="701">
        <v>17</v>
      </c>
      <c r="I63" s="700">
        <v>7</v>
      </c>
      <c r="J63" s="701">
        <v>9</v>
      </c>
      <c r="K63" s="1075">
        <v>2</v>
      </c>
      <c r="L63" s="1075">
        <v>4</v>
      </c>
      <c r="M63" s="1073" t="s">
        <v>481</v>
      </c>
      <c r="N63" s="699"/>
    </row>
    <row r="64" spans="1:14" ht="15.75">
      <c r="A64" s="1520" t="s">
        <v>494</v>
      </c>
      <c r="B64" s="1520"/>
      <c r="C64" s="1071">
        <f t="shared" si="10"/>
        <v>137</v>
      </c>
      <c r="D64" s="691">
        <f t="shared" si="11"/>
        <v>137</v>
      </c>
      <c r="E64" s="1075">
        <v>76</v>
      </c>
      <c r="F64" s="1075">
        <v>60</v>
      </c>
      <c r="G64" s="700">
        <v>29</v>
      </c>
      <c r="H64" s="701">
        <v>33</v>
      </c>
      <c r="I64" s="700">
        <v>14</v>
      </c>
      <c r="J64" s="701">
        <v>23</v>
      </c>
      <c r="K64" s="1075">
        <v>18</v>
      </c>
      <c r="L64" s="1075">
        <v>21</v>
      </c>
      <c r="M64" s="1073" t="s">
        <v>495</v>
      </c>
      <c r="N64" s="699"/>
    </row>
    <row r="65" spans="1:14" ht="15.75">
      <c r="A65" s="1520" t="s">
        <v>516</v>
      </c>
      <c r="B65" s="1520"/>
      <c r="C65" s="1071">
        <f t="shared" si="10"/>
        <v>214</v>
      </c>
      <c r="D65" s="691">
        <f t="shared" si="11"/>
        <v>214</v>
      </c>
      <c r="E65" s="1075">
        <v>93</v>
      </c>
      <c r="F65" s="1075">
        <v>84</v>
      </c>
      <c r="G65" s="700">
        <v>55</v>
      </c>
      <c r="H65" s="701">
        <v>55</v>
      </c>
      <c r="I65" s="700">
        <v>25</v>
      </c>
      <c r="J65" s="701">
        <v>25</v>
      </c>
      <c r="K65" s="1075">
        <v>41</v>
      </c>
      <c r="L65" s="1075">
        <v>50</v>
      </c>
      <c r="M65" s="1073" t="s">
        <v>517</v>
      </c>
      <c r="N65" s="699"/>
    </row>
    <row r="66" spans="1:14" ht="15.75">
      <c r="A66" s="1520" t="s">
        <v>541</v>
      </c>
      <c r="B66" s="1520"/>
      <c r="C66" s="1071">
        <f t="shared" si="10"/>
        <v>135</v>
      </c>
      <c r="D66" s="691">
        <f t="shared" si="11"/>
        <v>135</v>
      </c>
      <c r="E66" s="1075">
        <v>59</v>
      </c>
      <c r="F66" s="1075">
        <v>59</v>
      </c>
      <c r="G66" s="700">
        <v>43</v>
      </c>
      <c r="H66" s="701">
        <v>32</v>
      </c>
      <c r="I66" s="700">
        <v>21</v>
      </c>
      <c r="J66" s="701">
        <v>17</v>
      </c>
      <c r="K66" s="1075">
        <v>12</v>
      </c>
      <c r="L66" s="1075">
        <v>27</v>
      </c>
      <c r="M66" s="1073" t="s">
        <v>542</v>
      </c>
      <c r="N66" s="699"/>
    </row>
    <row r="67" spans="1:14" ht="15.75">
      <c r="A67" s="1520" t="s">
        <v>556</v>
      </c>
      <c r="B67" s="1520"/>
      <c r="C67" s="1071">
        <f t="shared" si="10"/>
        <v>177</v>
      </c>
      <c r="D67" s="691">
        <f t="shared" si="11"/>
        <v>177</v>
      </c>
      <c r="E67" s="1075">
        <v>93</v>
      </c>
      <c r="F67" s="1075">
        <v>79</v>
      </c>
      <c r="G67" s="700">
        <v>43</v>
      </c>
      <c r="H67" s="701">
        <v>51</v>
      </c>
      <c r="I67" s="700">
        <v>17</v>
      </c>
      <c r="J67" s="701">
        <v>23</v>
      </c>
      <c r="K67" s="1075">
        <v>24</v>
      </c>
      <c r="L67" s="1075">
        <v>24</v>
      </c>
      <c r="M67" s="1073" t="s">
        <v>557</v>
      </c>
      <c r="N67" s="699"/>
    </row>
    <row r="68" spans="1:14" ht="15.75">
      <c r="A68" s="1520" t="s">
        <v>576</v>
      </c>
      <c r="B68" s="1520"/>
      <c r="C68" s="1071">
        <f t="shared" si="10"/>
        <v>138</v>
      </c>
      <c r="D68" s="691">
        <f t="shared" si="11"/>
        <v>138</v>
      </c>
      <c r="E68" s="1075">
        <v>79</v>
      </c>
      <c r="F68" s="1075">
        <v>69</v>
      </c>
      <c r="G68" s="700">
        <v>34</v>
      </c>
      <c r="H68" s="701">
        <v>35</v>
      </c>
      <c r="I68" s="700">
        <v>11</v>
      </c>
      <c r="J68" s="701">
        <v>24</v>
      </c>
      <c r="K68" s="1075">
        <v>14</v>
      </c>
      <c r="L68" s="1075">
        <v>10</v>
      </c>
      <c r="M68" s="1073" t="s">
        <v>577</v>
      </c>
      <c r="N68" s="699"/>
    </row>
    <row r="69" spans="1:14" ht="15.75">
      <c r="A69" s="1522" t="s">
        <v>942</v>
      </c>
      <c r="B69" s="1522"/>
      <c r="C69" s="748">
        <f t="shared" si="10"/>
        <v>301</v>
      </c>
      <c r="D69" s="702">
        <f t="shared" si="11"/>
        <v>301</v>
      </c>
      <c r="E69" s="703">
        <v>144</v>
      </c>
      <c r="F69" s="703">
        <v>130</v>
      </c>
      <c r="G69" s="704">
        <v>79</v>
      </c>
      <c r="H69" s="705">
        <v>84</v>
      </c>
      <c r="I69" s="704">
        <v>35</v>
      </c>
      <c r="J69" s="705">
        <v>48</v>
      </c>
      <c r="K69" s="703">
        <v>43</v>
      </c>
      <c r="L69" s="703">
        <v>39</v>
      </c>
      <c r="M69" s="907" t="s">
        <v>943</v>
      </c>
      <c r="N69" s="706"/>
    </row>
    <row r="70" spans="1:14" ht="18">
      <c r="A70" s="707" t="s">
        <v>879</v>
      </c>
      <c r="M70" s="665"/>
      <c r="N70" s="607" t="s">
        <v>880</v>
      </c>
    </row>
  </sheetData>
  <mergeCells count="78">
    <mergeCell ref="A68:B68"/>
    <mergeCell ref="A69:B69"/>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6:B46"/>
    <mergeCell ref="M46:N46"/>
    <mergeCell ref="A50:B50"/>
    <mergeCell ref="A51:B51"/>
    <mergeCell ref="A52:B52"/>
    <mergeCell ref="O42:O45"/>
    <mergeCell ref="E43:F43"/>
    <mergeCell ref="G43:H43"/>
    <mergeCell ref="I43:J43"/>
    <mergeCell ref="K43:L43"/>
    <mergeCell ref="A40:N40"/>
    <mergeCell ref="A41:N41"/>
    <mergeCell ref="A42:A45"/>
    <mergeCell ref="B42:B45"/>
    <mergeCell ref="C42:C43"/>
    <mergeCell ref="D42:D43"/>
    <mergeCell ref="E42:F42"/>
    <mergeCell ref="G42:H42"/>
    <mergeCell ref="I42:J42"/>
    <mergeCell ref="K42:L42"/>
    <mergeCell ref="M42:M45"/>
    <mergeCell ref="N42:N45"/>
    <mergeCell ref="A27:B27"/>
    <mergeCell ref="A28:B28"/>
    <mergeCell ref="A29:B29"/>
    <mergeCell ref="A30:B30"/>
    <mergeCell ref="A21:B21"/>
    <mergeCell ref="A22:B22"/>
    <mergeCell ref="A23:B23"/>
    <mergeCell ref="A24:B24"/>
    <mergeCell ref="A25:B25"/>
    <mergeCell ref="A26:B26"/>
    <mergeCell ref="A20:B20"/>
    <mergeCell ref="A7:B7"/>
    <mergeCell ref="M7:N7"/>
    <mergeCell ref="A11:B11"/>
    <mergeCell ref="A12:B12"/>
    <mergeCell ref="A13:B13"/>
    <mergeCell ref="A14:B14"/>
    <mergeCell ref="A15:B15"/>
    <mergeCell ref="A16:B16"/>
    <mergeCell ref="A17:B17"/>
    <mergeCell ref="A18:B18"/>
    <mergeCell ref="A19:B19"/>
    <mergeCell ref="O3:O6"/>
    <mergeCell ref="E4:F4"/>
    <mergeCell ref="G4:H4"/>
    <mergeCell ref="I4:J4"/>
    <mergeCell ref="C3:C4"/>
    <mergeCell ref="D3:D4"/>
    <mergeCell ref="E3:F3"/>
    <mergeCell ref="G3:H3"/>
    <mergeCell ref="I3:J3"/>
    <mergeCell ref="K3:L3"/>
    <mergeCell ref="K4:L4"/>
    <mergeCell ref="A1:N1"/>
    <mergeCell ref="A2:N2"/>
    <mergeCell ref="A3:A6"/>
    <mergeCell ref="B3:B6"/>
    <mergeCell ref="M3:M6"/>
    <mergeCell ref="N3:N6"/>
  </mergeCells>
  <pageMargins left="0.7" right="0.7" top="0.75" bottom="0.75" header="0.3" footer="0.3"/>
  <ignoredErrors>
    <ignoredError sqref="C10:L10 C9:D9" formula="1"/>
    <ignoredError sqref="E9:L9" formula="1"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2:Y23"/>
  <sheetViews>
    <sheetView workbookViewId="0">
      <selection activeCell="S15" sqref="S15"/>
    </sheetView>
  </sheetViews>
  <sheetFormatPr defaultRowHeight="15"/>
  <cols>
    <col min="1" max="1" width="14.28515625" style="68" customWidth="1"/>
    <col min="2" max="2" width="16.42578125" style="68" customWidth="1"/>
    <col min="3" max="3" width="13.85546875" style="68" hidden="1" customWidth="1"/>
    <col min="4" max="4" width="15.140625" style="68" hidden="1" customWidth="1"/>
    <col min="5" max="5" width="17.28515625" style="68" hidden="1" customWidth="1"/>
    <col min="6" max="6" width="11.7109375" style="68" hidden="1" customWidth="1"/>
    <col min="7" max="8" width="15.85546875" style="68" hidden="1" customWidth="1"/>
    <col min="9" max="9" width="9" style="68" hidden="1" customWidth="1"/>
    <col min="10" max="11" width="15.42578125" style="68" hidden="1" customWidth="1"/>
    <col min="12" max="12" width="9.85546875" style="68" hidden="1" customWidth="1"/>
    <col min="13" max="14" width="15.42578125" style="68" hidden="1" customWidth="1"/>
    <col min="15" max="15" width="9.7109375" style="68" customWidth="1"/>
    <col min="16" max="16" width="16.5703125" style="68" customWidth="1"/>
    <col min="17" max="17" width="15.42578125" style="68" customWidth="1"/>
    <col min="18" max="18" width="9.7109375" style="68" customWidth="1"/>
    <col min="19" max="19" width="16.5703125" style="68" customWidth="1"/>
    <col min="20" max="20" width="15.42578125" style="68" customWidth="1"/>
    <col min="21" max="21" width="9.7109375" style="68" customWidth="1"/>
    <col min="22" max="22" width="16.5703125" style="68" customWidth="1"/>
    <col min="23" max="23" width="15.42578125" style="68" customWidth="1"/>
    <col min="24" max="24" width="18.85546875" style="68" customWidth="1"/>
    <col min="25" max="25" width="8.42578125" style="68" customWidth="1"/>
    <col min="26" max="265" width="9.140625" style="68"/>
    <col min="266" max="266" width="15" style="68" customWidth="1"/>
    <col min="267" max="267" width="14.85546875" style="68" customWidth="1"/>
    <col min="268" max="273" width="0" style="68" hidden="1" customWidth="1"/>
    <col min="274" max="279" width="15.42578125" style="68" customWidth="1"/>
    <col min="280" max="280" width="18.85546875" style="68" customWidth="1"/>
    <col min="281" max="281" width="8.42578125" style="68" customWidth="1"/>
    <col min="282" max="521" width="9.140625" style="68"/>
    <col min="522" max="522" width="15" style="68" customWidth="1"/>
    <col min="523" max="523" width="14.85546875" style="68" customWidth="1"/>
    <col min="524" max="529" width="0" style="68" hidden="1" customWidth="1"/>
    <col min="530" max="535" width="15.42578125" style="68" customWidth="1"/>
    <col min="536" max="536" width="18.85546875" style="68" customWidth="1"/>
    <col min="537" max="537" width="8.42578125" style="68" customWidth="1"/>
    <col min="538" max="777" width="9.140625" style="68"/>
    <col min="778" max="778" width="15" style="68" customWidth="1"/>
    <col min="779" max="779" width="14.85546875" style="68" customWidth="1"/>
    <col min="780" max="785" width="0" style="68" hidden="1" customWidth="1"/>
    <col min="786" max="791" width="15.42578125" style="68" customWidth="1"/>
    <col min="792" max="792" width="18.85546875" style="68" customWidth="1"/>
    <col min="793" max="793" width="8.42578125" style="68" customWidth="1"/>
    <col min="794" max="1033" width="9.140625" style="68"/>
    <col min="1034" max="1034" width="15" style="68" customWidth="1"/>
    <col min="1035" max="1035" width="14.85546875" style="68" customWidth="1"/>
    <col min="1036" max="1041" width="0" style="68" hidden="1" customWidth="1"/>
    <col min="1042" max="1047" width="15.42578125" style="68" customWidth="1"/>
    <col min="1048" max="1048" width="18.85546875" style="68" customWidth="1"/>
    <col min="1049" max="1049" width="8.42578125" style="68" customWidth="1"/>
    <col min="1050" max="1289" width="9.140625" style="68"/>
    <col min="1290" max="1290" width="15" style="68" customWidth="1"/>
    <col min="1291" max="1291" width="14.85546875" style="68" customWidth="1"/>
    <col min="1292" max="1297" width="0" style="68" hidden="1" customWidth="1"/>
    <col min="1298" max="1303" width="15.42578125" style="68" customWidth="1"/>
    <col min="1304" max="1304" width="18.85546875" style="68" customWidth="1"/>
    <col min="1305" max="1305" width="8.42578125" style="68" customWidth="1"/>
    <col min="1306" max="1545" width="9.140625" style="68"/>
    <col min="1546" max="1546" width="15" style="68" customWidth="1"/>
    <col min="1547" max="1547" width="14.85546875" style="68" customWidth="1"/>
    <col min="1548" max="1553" width="0" style="68" hidden="1" customWidth="1"/>
    <col min="1554" max="1559" width="15.42578125" style="68" customWidth="1"/>
    <col min="1560" max="1560" width="18.85546875" style="68" customWidth="1"/>
    <col min="1561" max="1561" width="8.42578125" style="68" customWidth="1"/>
    <col min="1562" max="1801" width="9.140625" style="68"/>
    <col min="1802" max="1802" width="15" style="68" customWidth="1"/>
    <col min="1803" max="1803" width="14.85546875" style="68" customWidth="1"/>
    <col min="1804" max="1809" width="0" style="68" hidden="1" customWidth="1"/>
    <col min="1810" max="1815" width="15.42578125" style="68" customWidth="1"/>
    <col min="1816" max="1816" width="18.85546875" style="68" customWidth="1"/>
    <col min="1817" max="1817" width="8.42578125" style="68" customWidth="1"/>
    <col min="1818" max="2057" width="9.140625" style="68"/>
    <col min="2058" max="2058" width="15" style="68" customWidth="1"/>
    <col min="2059" max="2059" width="14.85546875" style="68" customWidth="1"/>
    <col min="2060" max="2065" width="0" style="68" hidden="1" customWidth="1"/>
    <col min="2066" max="2071" width="15.42578125" style="68" customWidth="1"/>
    <col min="2072" max="2072" width="18.85546875" style="68" customWidth="1"/>
    <col min="2073" max="2073" width="8.42578125" style="68" customWidth="1"/>
    <col min="2074" max="2313" width="9.140625" style="68"/>
    <col min="2314" max="2314" width="15" style="68" customWidth="1"/>
    <col min="2315" max="2315" width="14.85546875" style="68" customWidth="1"/>
    <col min="2316" max="2321" width="0" style="68" hidden="1" customWidth="1"/>
    <col min="2322" max="2327" width="15.42578125" style="68" customWidth="1"/>
    <col min="2328" max="2328" width="18.85546875" style="68" customWidth="1"/>
    <col min="2329" max="2329" width="8.42578125" style="68" customWidth="1"/>
    <col min="2330" max="2569" width="9.140625" style="68"/>
    <col min="2570" max="2570" width="15" style="68" customWidth="1"/>
    <col min="2571" max="2571" width="14.85546875" style="68" customWidth="1"/>
    <col min="2572" max="2577" width="0" style="68" hidden="1" customWidth="1"/>
    <col min="2578" max="2583" width="15.42578125" style="68" customWidth="1"/>
    <col min="2584" max="2584" width="18.85546875" style="68" customWidth="1"/>
    <col min="2585" max="2585" width="8.42578125" style="68" customWidth="1"/>
    <col min="2586" max="2825" width="9.140625" style="68"/>
    <col min="2826" max="2826" width="15" style="68" customWidth="1"/>
    <col min="2827" max="2827" width="14.85546875" style="68" customWidth="1"/>
    <col min="2828" max="2833" width="0" style="68" hidden="1" customWidth="1"/>
    <col min="2834" max="2839" width="15.42578125" style="68" customWidth="1"/>
    <col min="2840" max="2840" width="18.85546875" style="68" customWidth="1"/>
    <col min="2841" max="2841" width="8.42578125" style="68" customWidth="1"/>
    <col min="2842" max="3081" width="9.140625" style="68"/>
    <col min="3082" max="3082" width="15" style="68" customWidth="1"/>
    <col min="3083" max="3083" width="14.85546875" style="68" customWidth="1"/>
    <col min="3084" max="3089" width="0" style="68" hidden="1" customWidth="1"/>
    <col min="3090" max="3095" width="15.42578125" style="68" customWidth="1"/>
    <col min="3096" max="3096" width="18.85546875" style="68" customWidth="1"/>
    <col min="3097" max="3097" width="8.42578125" style="68" customWidth="1"/>
    <col min="3098" max="3337" width="9.140625" style="68"/>
    <col min="3338" max="3338" width="15" style="68" customWidth="1"/>
    <col min="3339" max="3339" width="14.85546875" style="68" customWidth="1"/>
    <col min="3340" max="3345" width="0" style="68" hidden="1" customWidth="1"/>
    <col min="3346" max="3351" width="15.42578125" style="68" customWidth="1"/>
    <col min="3352" max="3352" width="18.85546875" style="68" customWidth="1"/>
    <col min="3353" max="3353" width="8.42578125" style="68" customWidth="1"/>
    <col min="3354" max="3593" width="9.140625" style="68"/>
    <col min="3594" max="3594" width="15" style="68" customWidth="1"/>
    <col min="3595" max="3595" width="14.85546875" style="68" customWidth="1"/>
    <col min="3596" max="3601" width="0" style="68" hidden="1" customWidth="1"/>
    <col min="3602" max="3607" width="15.42578125" style="68" customWidth="1"/>
    <col min="3608" max="3608" width="18.85546875" style="68" customWidth="1"/>
    <col min="3609" max="3609" width="8.42578125" style="68" customWidth="1"/>
    <col min="3610" max="3849" width="9.140625" style="68"/>
    <col min="3850" max="3850" width="15" style="68" customWidth="1"/>
    <col min="3851" max="3851" width="14.85546875" style="68" customWidth="1"/>
    <col min="3852" max="3857" width="0" style="68" hidden="1" customWidth="1"/>
    <col min="3858" max="3863" width="15.42578125" style="68" customWidth="1"/>
    <col min="3864" max="3864" width="18.85546875" style="68" customWidth="1"/>
    <col min="3865" max="3865" width="8.42578125" style="68" customWidth="1"/>
    <col min="3866" max="4105" width="9.140625" style="68"/>
    <col min="4106" max="4106" width="15" style="68" customWidth="1"/>
    <col min="4107" max="4107" width="14.85546875" style="68" customWidth="1"/>
    <col min="4108" max="4113" width="0" style="68" hidden="1" customWidth="1"/>
    <col min="4114" max="4119" width="15.42578125" style="68" customWidth="1"/>
    <col min="4120" max="4120" width="18.85546875" style="68" customWidth="1"/>
    <col min="4121" max="4121" width="8.42578125" style="68" customWidth="1"/>
    <col min="4122" max="4361" width="9.140625" style="68"/>
    <col min="4362" max="4362" width="15" style="68" customWidth="1"/>
    <col min="4363" max="4363" width="14.85546875" style="68" customWidth="1"/>
    <col min="4364" max="4369" width="0" style="68" hidden="1" customWidth="1"/>
    <col min="4370" max="4375" width="15.42578125" style="68" customWidth="1"/>
    <col min="4376" max="4376" width="18.85546875" style="68" customWidth="1"/>
    <col min="4377" max="4377" width="8.42578125" style="68" customWidth="1"/>
    <col min="4378" max="4617" width="9.140625" style="68"/>
    <col min="4618" max="4618" width="15" style="68" customWidth="1"/>
    <col min="4619" max="4619" width="14.85546875" style="68" customWidth="1"/>
    <col min="4620" max="4625" width="0" style="68" hidden="1" customWidth="1"/>
    <col min="4626" max="4631" width="15.42578125" style="68" customWidth="1"/>
    <col min="4632" max="4632" width="18.85546875" style="68" customWidth="1"/>
    <col min="4633" max="4633" width="8.42578125" style="68" customWidth="1"/>
    <col min="4634" max="4873" width="9.140625" style="68"/>
    <col min="4874" max="4874" width="15" style="68" customWidth="1"/>
    <col min="4875" max="4875" width="14.85546875" style="68" customWidth="1"/>
    <col min="4876" max="4881" width="0" style="68" hidden="1" customWidth="1"/>
    <col min="4882" max="4887" width="15.42578125" style="68" customWidth="1"/>
    <col min="4888" max="4888" width="18.85546875" style="68" customWidth="1"/>
    <col min="4889" max="4889" width="8.42578125" style="68" customWidth="1"/>
    <col min="4890" max="5129" width="9.140625" style="68"/>
    <col min="5130" max="5130" width="15" style="68" customWidth="1"/>
    <col min="5131" max="5131" width="14.85546875" style="68" customWidth="1"/>
    <col min="5132" max="5137" width="0" style="68" hidden="1" customWidth="1"/>
    <col min="5138" max="5143" width="15.42578125" style="68" customWidth="1"/>
    <col min="5144" max="5144" width="18.85546875" style="68" customWidth="1"/>
    <col min="5145" max="5145" width="8.42578125" style="68" customWidth="1"/>
    <col min="5146" max="5385" width="9.140625" style="68"/>
    <col min="5386" max="5386" width="15" style="68" customWidth="1"/>
    <col min="5387" max="5387" width="14.85546875" style="68" customWidth="1"/>
    <col min="5388" max="5393" width="0" style="68" hidden="1" customWidth="1"/>
    <col min="5394" max="5399" width="15.42578125" style="68" customWidth="1"/>
    <col min="5400" max="5400" width="18.85546875" style="68" customWidth="1"/>
    <col min="5401" max="5401" width="8.42578125" style="68" customWidth="1"/>
    <col min="5402" max="5641" width="9.140625" style="68"/>
    <col min="5642" max="5642" width="15" style="68" customWidth="1"/>
    <col min="5643" max="5643" width="14.85546875" style="68" customWidth="1"/>
    <col min="5644" max="5649" width="0" style="68" hidden="1" customWidth="1"/>
    <col min="5650" max="5655" width="15.42578125" style="68" customWidth="1"/>
    <col min="5656" max="5656" width="18.85546875" style="68" customWidth="1"/>
    <col min="5657" max="5657" width="8.42578125" style="68" customWidth="1"/>
    <col min="5658" max="5897" width="9.140625" style="68"/>
    <col min="5898" max="5898" width="15" style="68" customWidth="1"/>
    <col min="5899" max="5899" width="14.85546875" style="68" customWidth="1"/>
    <col min="5900" max="5905" width="0" style="68" hidden="1" customWidth="1"/>
    <col min="5906" max="5911" width="15.42578125" style="68" customWidth="1"/>
    <col min="5912" max="5912" width="18.85546875" style="68" customWidth="1"/>
    <col min="5913" max="5913" width="8.42578125" style="68" customWidth="1"/>
    <col min="5914" max="6153" width="9.140625" style="68"/>
    <col min="6154" max="6154" width="15" style="68" customWidth="1"/>
    <col min="6155" max="6155" width="14.85546875" style="68" customWidth="1"/>
    <col min="6156" max="6161" width="0" style="68" hidden="1" customWidth="1"/>
    <col min="6162" max="6167" width="15.42578125" style="68" customWidth="1"/>
    <col min="6168" max="6168" width="18.85546875" style="68" customWidth="1"/>
    <col min="6169" max="6169" width="8.42578125" style="68" customWidth="1"/>
    <col min="6170" max="6409" width="9.140625" style="68"/>
    <col min="6410" max="6410" width="15" style="68" customWidth="1"/>
    <col min="6411" max="6411" width="14.85546875" style="68" customWidth="1"/>
    <col min="6412" max="6417" width="0" style="68" hidden="1" customWidth="1"/>
    <col min="6418" max="6423" width="15.42578125" style="68" customWidth="1"/>
    <col min="6424" max="6424" width="18.85546875" style="68" customWidth="1"/>
    <col min="6425" max="6425" width="8.42578125" style="68" customWidth="1"/>
    <col min="6426" max="6665" width="9.140625" style="68"/>
    <col min="6666" max="6666" width="15" style="68" customWidth="1"/>
    <col min="6667" max="6667" width="14.85546875" style="68" customWidth="1"/>
    <col min="6668" max="6673" width="0" style="68" hidden="1" customWidth="1"/>
    <col min="6674" max="6679" width="15.42578125" style="68" customWidth="1"/>
    <col min="6680" max="6680" width="18.85546875" style="68" customWidth="1"/>
    <col min="6681" max="6681" width="8.42578125" style="68" customWidth="1"/>
    <col min="6682" max="6921" width="9.140625" style="68"/>
    <col min="6922" max="6922" width="15" style="68" customWidth="1"/>
    <col min="6923" max="6923" width="14.85546875" style="68" customWidth="1"/>
    <col min="6924" max="6929" width="0" style="68" hidden="1" customWidth="1"/>
    <col min="6930" max="6935" width="15.42578125" style="68" customWidth="1"/>
    <col min="6936" max="6936" width="18.85546875" style="68" customWidth="1"/>
    <col min="6937" max="6937" width="8.42578125" style="68" customWidth="1"/>
    <col min="6938" max="7177" width="9.140625" style="68"/>
    <col min="7178" max="7178" width="15" style="68" customWidth="1"/>
    <col min="7179" max="7179" width="14.85546875" style="68" customWidth="1"/>
    <col min="7180" max="7185" width="0" style="68" hidden="1" customWidth="1"/>
    <col min="7186" max="7191" width="15.42578125" style="68" customWidth="1"/>
    <col min="7192" max="7192" width="18.85546875" style="68" customWidth="1"/>
    <col min="7193" max="7193" width="8.42578125" style="68" customWidth="1"/>
    <col min="7194" max="7433" width="9.140625" style="68"/>
    <col min="7434" max="7434" width="15" style="68" customWidth="1"/>
    <col min="7435" max="7435" width="14.85546875" style="68" customWidth="1"/>
    <col min="7436" max="7441" width="0" style="68" hidden="1" customWidth="1"/>
    <col min="7442" max="7447" width="15.42578125" style="68" customWidth="1"/>
    <col min="7448" max="7448" width="18.85546875" style="68" customWidth="1"/>
    <col min="7449" max="7449" width="8.42578125" style="68" customWidth="1"/>
    <col min="7450" max="7689" width="9.140625" style="68"/>
    <col min="7690" max="7690" width="15" style="68" customWidth="1"/>
    <col min="7691" max="7691" width="14.85546875" style="68" customWidth="1"/>
    <col min="7692" max="7697" width="0" style="68" hidden="1" customWidth="1"/>
    <col min="7698" max="7703" width="15.42578125" style="68" customWidth="1"/>
    <col min="7704" max="7704" width="18.85546875" style="68" customWidth="1"/>
    <col min="7705" max="7705" width="8.42578125" style="68" customWidth="1"/>
    <col min="7706" max="7945" width="9.140625" style="68"/>
    <col min="7946" max="7946" width="15" style="68" customWidth="1"/>
    <col min="7947" max="7947" width="14.85546875" style="68" customWidth="1"/>
    <col min="7948" max="7953" width="0" style="68" hidden="1" customWidth="1"/>
    <col min="7954" max="7959" width="15.42578125" style="68" customWidth="1"/>
    <col min="7960" max="7960" width="18.85546875" style="68" customWidth="1"/>
    <col min="7961" max="7961" width="8.42578125" style="68" customWidth="1"/>
    <col min="7962" max="8201" width="9.140625" style="68"/>
    <col min="8202" max="8202" width="15" style="68" customWidth="1"/>
    <col min="8203" max="8203" width="14.85546875" style="68" customWidth="1"/>
    <col min="8204" max="8209" width="0" style="68" hidden="1" customWidth="1"/>
    <col min="8210" max="8215" width="15.42578125" style="68" customWidth="1"/>
    <col min="8216" max="8216" width="18.85546875" style="68" customWidth="1"/>
    <col min="8217" max="8217" width="8.42578125" style="68" customWidth="1"/>
    <col min="8218" max="8457" width="9.140625" style="68"/>
    <col min="8458" max="8458" width="15" style="68" customWidth="1"/>
    <col min="8459" max="8459" width="14.85546875" style="68" customWidth="1"/>
    <col min="8460" max="8465" width="0" style="68" hidden="1" customWidth="1"/>
    <col min="8466" max="8471" width="15.42578125" style="68" customWidth="1"/>
    <col min="8472" max="8472" width="18.85546875" style="68" customWidth="1"/>
    <col min="8473" max="8473" width="8.42578125" style="68" customWidth="1"/>
    <col min="8474" max="8713" width="9.140625" style="68"/>
    <col min="8714" max="8714" width="15" style="68" customWidth="1"/>
    <col min="8715" max="8715" width="14.85546875" style="68" customWidth="1"/>
    <col min="8716" max="8721" width="0" style="68" hidden="1" customWidth="1"/>
    <col min="8722" max="8727" width="15.42578125" style="68" customWidth="1"/>
    <col min="8728" max="8728" width="18.85546875" style="68" customWidth="1"/>
    <col min="8729" max="8729" width="8.42578125" style="68" customWidth="1"/>
    <col min="8730" max="8969" width="9.140625" style="68"/>
    <col min="8970" max="8970" width="15" style="68" customWidth="1"/>
    <col min="8971" max="8971" width="14.85546875" style="68" customWidth="1"/>
    <col min="8972" max="8977" width="0" style="68" hidden="1" customWidth="1"/>
    <col min="8978" max="8983" width="15.42578125" style="68" customWidth="1"/>
    <col min="8984" max="8984" width="18.85546875" style="68" customWidth="1"/>
    <col min="8985" max="8985" width="8.42578125" style="68" customWidth="1"/>
    <col min="8986" max="9225" width="9.140625" style="68"/>
    <col min="9226" max="9226" width="15" style="68" customWidth="1"/>
    <col min="9227" max="9227" width="14.85546875" style="68" customWidth="1"/>
    <col min="9228" max="9233" width="0" style="68" hidden="1" customWidth="1"/>
    <col min="9234" max="9239" width="15.42578125" style="68" customWidth="1"/>
    <col min="9240" max="9240" width="18.85546875" style="68" customWidth="1"/>
    <col min="9241" max="9241" width="8.42578125" style="68" customWidth="1"/>
    <col min="9242" max="9481" width="9.140625" style="68"/>
    <col min="9482" max="9482" width="15" style="68" customWidth="1"/>
    <col min="9483" max="9483" width="14.85546875" style="68" customWidth="1"/>
    <col min="9484" max="9489" width="0" style="68" hidden="1" customWidth="1"/>
    <col min="9490" max="9495" width="15.42578125" style="68" customWidth="1"/>
    <col min="9496" max="9496" width="18.85546875" style="68" customWidth="1"/>
    <col min="9497" max="9497" width="8.42578125" style="68" customWidth="1"/>
    <col min="9498" max="9737" width="9.140625" style="68"/>
    <col min="9738" max="9738" width="15" style="68" customWidth="1"/>
    <col min="9739" max="9739" width="14.85546875" style="68" customWidth="1"/>
    <col min="9740" max="9745" width="0" style="68" hidden="1" customWidth="1"/>
    <col min="9746" max="9751" width="15.42578125" style="68" customWidth="1"/>
    <col min="9752" max="9752" width="18.85546875" style="68" customWidth="1"/>
    <col min="9753" max="9753" width="8.42578125" style="68" customWidth="1"/>
    <col min="9754" max="9993" width="9.140625" style="68"/>
    <col min="9994" max="9994" width="15" style="68" customWidth="1"/>
    <col min="9995" max="9995" width="14.85546875" style="68" customWidth="1"/>
    <col min="9996" max="10001" width="0" style="68" hidden="1" customWidth="1"/>
    <col min="10002" max="10007" width="15.42578125" style="68" customWidth="1"/>
    <col min="10008" max="10008" width="18.85546875" style="68" customWidth="1"/>
    <col min="10009" max="10009" width="8.42578125" style="68" customWidth="1"/>
    <col min="10010" max="10249" width="9.140625" style="68"/>
    <col min="10250" max="10250" width="15" style="68" customWidth="1"/>
    <col min="10251" max="10251" width="14.85546875" style="68" customWidth="1"/>
    <col min="10252" max="10257" width="0" style="68" hidden="1" customWidth="1"/>
    <col min="10258" max="10263" width="15.42578125" style="68" customWidth="1"/>
    <col min="10264" max="10264" width="18.85546875" style="68" customWidth="1"/>
    <col min="10265" max="10265" width="8.42578125" style="68" customWidth="1"/>
    <col min="10266" max="10505" width="9.140625" style="68"/>
    <col min="10506" max="10506" width="15" style="68" customWidth="1"/>
    <col min="10507" max="10507" width="14.85546875" style="68" customWidth="1"/>
    <col min="10508" max="10513" width="0" style="68" hidden="1" customWidth="1"/>
    <col min="10514" max="10519" width="15.42578125" style="68" customWidth="1"/>
    <col min="10520" max="10520" width="18.85546875" style="68" customWidth="1"/>
    <col min="10521" max="10521" width="8.42578125" style="68" customWidth="1"/>
    <col min="10522" max="10761" width="9.140625" style="68"/>
    <col min="10762" max="10762" width="15" style="68" customWidth="1"/>
    <col min="10763" max="10763" width="14.85546875" style="68" customWidth="1"/>
    <col min="10764" max="10769" width="0" style="68" hidden="1" customWidth="1"/>
    <col min="10770" max="10775" width="15.42578125" style="68" customWidth="1"/>
    <col min="10776" max="10776" width="18.85546875" style="68" customWidth="1"/>
    <col min="10777" max="10777" width="8.42578125" style="68" customWidth="1"/>
    <col min="10778" max="11017" width="9.140625" style="68"/>
    <col min="11018" max="11018" width="15" style="68" customWidth="1"/>
    <col min="11019" max="11019" width="14.85546875" style="68" customWidth="1"/>
    <col min="11020" max="11025" width="0" style="68" hidden="1" customWidth="1"/>
    <col min="11026" max="11031" width="15.42578125" style="68" customWidth="1"/>
    <col min="11032" max="11032" width="18.85546875" style="68" customWidth="1"/>
    <col min="11033" max="11033" width="8.42578125" style="68" customWidth="1"/>
    <col min="11034" max="11273" width="9.140625" style="68"/>
    <col min="11274" max="11274" width="15" style="68" customWidth="1"/>
    <col min="11275" max="11275" width="14.85546875" style="68" customWidth="1"/>
    <col min="11276" max="11281" width="0" style="68" hidden="1" customWidth="1"/>
    <col min="11282" max="11287" width="15.42578125" style="68" customWidth="1"/>
    <col min="11288" max="11288" width="18.85546875" style="68" customWidth="1"/>
    <col min="11289" max="11289" width="8.42578125" style="68" customWidth="1"/>
    <col min="11290" max="11529" width="9.140625" style="68"/>
    <col min="11530" max="11530" width="15" style="68" customWidth="1"/>
    <col min="11531" max="11531" width="14.85546875" style="68" customWidth="1"/>
    <col min="11532" max="11537" width="0" style="68" hidden="1" customWidth="1"/>
    <col min="11538" max="11543" width="15.42578125" style="68" customWidth="1"/>
    <col min="11544" max="11544" width="18.85546875" style="68" customWidth="1"/>
    <col min="11545" max="11545" width="8.42578125" style="68" customWidth="1"/>
    <col min="11546" max="11785" width="9.140625" style="68"/>
    <col min="11786" max="11786" width="15" style="68" customWidth="1"/>
    <col min="11787" max="11787" width="14.85546875" style="68" customWidth="1"/>
    <col min="11788" max="11793" width="0" style="68" hidden="1" customWidth="1"/>
    <col min="11794" max="11799" width="15.42578125" style="68" customWidth="1"/>
    <col min="11800" max="11800" width="18.85546875" style="68" customWidth="1"/>
    <col min="11801" max="11801" width="8.42578125" style="68" customWidth="1"/>
    <col min="11802" max="12041" width="9.140625" style="68"/>
    <col min="12042" max="12042" width="15" style="68" customWidth="1"/>
    <col min="12043" max="12043" width="14.85546875" style="68" customWidth="1"/>
    <col min="12044" max="12049" width="0" style="68" hidden="1" customWidth="1"/>
    <col min="12050" max="12055" width="15.42578125" style="68" customWidth="1"/>
    <col min="12056" max="12056" width="18.85546875" style="68" customWidth="1"/>
    <col min="12057" max="12057" width="8.42578125" style="68" customWidth="1"/>
    <col min="12058" max="12297" width="9.140625" style="68"/>
    <col min="12298" max="12298" width="15" style="68" customWidth="1"/>
    <col min="12299" max="12299" width="14.85546875" style="68" customWidth="1"/>
    <col min="12300" max="12305" width="0" style="68" hidden="1" customWidth="1"/>
    <col min="12306" max="12311" width="15.42578125" style="68" customWidth="1"/>
    <col min="12312" max="12312" width="18.85546875" style="68" customWidth="1"/>
    <col min="12313" max="12313" width="8.42578125" style="68" customWidth="1"/>
    <col min="12314" max="12553" width="9.140625" style="68"/>
    <col min="12554" max="12554" width="15" style="68" customWidth="1"/>
    <col min="12555" max="12555" width="14.85546875" style="68" customWidth="1"/>
    <col min="12556" max="12561" width="0" style="68" hidden="1" customWidth="1"/>
    <col min="12562" max="12567" width="15.42578125" style="68" customWidth="1"/>
    <col min="12568" max="12568" width="18.85546875" style="68" customWidth="1"/>
    <col min="12569" max="12569" width="8.42578125" style="68" customWidth="1"/>
    <col min="12570" max="12809" width="9.140625" style="68"/>
    <col min="12810" max="12810" width="15" style="68" customWidth="1"/>
    <col min="12811" max="12811" width="14.85546875" style="68" customWidth="1"/>
    <col min="12812" max="12817" width="0" style="68" hidden="1" customWidth="1"/>
    <col min="12818" max="12823" width="15.42578125" style="68" customWidth="1"/>
    <col min="12824" max="12824" width="18.85546875" style="68" customWidth="1"/>
    <col min="12825" max="12825" width="8.42578125" style="68" customWidth="1"/>
    <col min="12826" max="13065" width="9.140625" style="68"/>
    <col min="13066" max="13066" width="15" style="68" customWidth="1"/>
    <col min="13067" max="13067" width="14.85546875" style="68" customWidth="1"/>
    <col min="13068" max="13073" width="0" style="68" hidden="1" customWidth="1"/>
    <col min="13074" max="13079" width="15.42578125" style="68" customWidth="1"/>
    <col min="13080" max="13080" width="18.85546875" style="68" customWidth="1"/>
    <col min="13081" max="13081" width="8.42578125" style="68" customWidth="1"/>
    <col min="13082" max="13321" width="9.140625" style="68"/>
    <col min="13322" max="13322" width="15" style="68" customWidth="1"/>
    <col min="13323" max="13323" width="14.85546875" style="68" customWidth="1"/>
    <col min="13324" max="13329" width="0" style="68" hidden="1" customWidth="1"/>
    <col min="13330" max="13335" width="15.42578125" style="68" customWidth="1"/>
    <col min="13336" max="13336" width="18.85546875" style="68" customWidth="1"/>
    <col min="13337" max="13337" width="8.42578125" style="68" customWidth="1"/>
    <col min="13338" max="13577" width="9.140625" style="68"/>
    <col min="13578" max="13578" width="15" style="68" customWidth="1"/>
    <col min="13579" max="13579" width="14.85546875" style="68" customWidth="1"/>
    <col min="13580" max="13585" width="0" style="68" hidden="1" customWidth="1"/>
    <col min="13586" max="13591" width="15.42578125" style="68" customWidth="1"/>
    <col min="13592" max="13592" width="18.85546875" style="68" customWidth="1"/>
    <col min="13593" max="13593" width="8.42578125" style="68" customWidth="1"/>
    <col min="13594" max="13833" width="9.140625" style="68"/>
    <col min="13834" max="13834" width="15" style="68" customWidth="1"/>
    <col min="13835" max="13835" width="14.85546875" style="68" customWidth="1"/>
    <col min="13836" max="13841" width="0" style="68" hidden="1" customWidth="1"/>
    <col min="13842" max="13847" width="15.42578125" style="68" customWidth="1"/>
    <col min="13848" max="13848" width="18.85546875" style="68" customWidth="1"/>
    <col min="13849" max="13849" width="8.42578125" style="68" customWidth="1"/>
    <col min="13850" max="14089" width="9.140625" style="68"/>
    <col min="14090" max="14090" width="15" style="68" customWidth="1"/>
    <col min="14091" max="14091" width="14.85546875" style="68" customWidth="1"/>
    <col min="14092" max="14097" width="0" style="68" hidden="1" customWidth="1"/>
    <col min="14098" max="14103" width="15.42578125" style="68" customWidth="1"/>
    <col min="14104" max="14104" width="18.85546875" style="68" customWidth="1"/>
    <col min="14105" max="14105" width="8.42578125" style="68" customWidth="1"/>
    <col min="14106" max="14345" width="9.140625" style="68"/>
    <col min="14346" max="14346" width="15" style="68" customWidth="1"/>
    <col min="14347" max="14347" width="14.85546875" style="68" customWidth="1"/>
    <col min="14348" max="14353" width="0" style="68" hidden="1" customWidth="1"/>
    <col min="14354" max="14359" width="15.42578125" style="68" customWidth="1"/>
    <col min="14360" max="14360" width="18.85546875" style="68" customWidth="1"/>
    <col min="14361" max="14361" width="8.42578125" style="68" customWidth="1"/>
    <col min="14362" max="14601" width="9.140625" style="68"/>
    <col min="14602" max="14602" width="15" style="68" customWidth="1"/>
    <col min="14603" max="14603" width="14.85546875" style="68" customWidth="1"/>
    <col min="14604" max="14609" width="0" style="68" hidden="1" customWidth="1"/>
    <col min="14610" max="14615" width="15.42578125" style="68" customWidth="1"/>
    <col min="14616" max="14616" width="18.85546875" style="68" customWidth="1"/>
    <col min="14617" max="14617" width="8.42578125" style="68" customWidth="1"/>
    <col min="14618" max="14857" width="9.140625" style="68"/>
    <col min="14858" max="14858" width="15" style="68" customWidth="1"/>
    <col min="14859" max="14859" width="14.85546875" style="68" customWidth="1"/>
    <col min="14860" max="14865" width="0" style="68" hidden="1" customWidth="1"/>
    <col min="14866" max="14871" width="15.42578125" style="68" customWidth="1"/>
    <col min="14872" max="14872" width="18.85546875" style="68" customWidth="1"/>
    <col min="14873" max="14873" width="8.42578125" style="68" customWidth="1"/>
    <col min="14874" max="15113" width="9.140625" style="68"/>
    <col min="15114" max="15114" width="15" style="68" customWidth="1"/>
    <col min="15115" max="15115" width="14.85546875" style="68" customWidth="1"/>
    <col min="15116" max="15121" width="0" style="68" hidden="1" customWidth="1"/>
    <col min="15122" max="15127" width="15.42578125" style="68" customWidth="1"/>
    <col min="15128" max="15128" width="18.85546875" style="68" customWidth="1"/>
    <col min="15129" max="15129" width="8.42578125" style="68" customWidth="1"/>
    <col min="15130" max="15369" width="9.140625" style="68"/>
    <col min="15370" max="15370" width="15" style="68" customWidth="1"/>
    <col min="15371" max="15371" width="14.85546875" style="68" customWidth="1"/>
    <col min="15372" max="15377" width="0" style="68" hidden="1" customWidth="1"/>
    <col min="15378" max="15383" width="15.42578125" style="68" customWidth="1"/>
    <col min="15384" max="15384" width="18.85546875" style="68" customWidth="1"/>
    <col min="15385" max="15385" width="8.42578125" style="68" customWidth="1"/>
    <col min="15386" max="15625" width="9.140625" style="68"/>
    <col min="15626" max="15626" width="15" style="68" customWidth="1"/>
    <col min="15627" max="15627" width="14.85546875" style="68" customWidth="1"/>
    <col min="15628" max="15633" width="0" style="68" hidden="1" customWidth="1"/>
    <col min="15634" max="15639" width="15.42578125" style="68" customWidth="1"/>
    <col min="15640" max="15640" width="18.85546875" style="68" customWidth="1"/>
    <col min="15641" max="15641" width="8.42578125" style="68" customWidth="1"/>
    <col min="15642" max="15881" width="9.140625" style="68"/>
    <col min="15882" max="15882" width="15" style="68" customWidth="1"/>
    <col min="15883" max="15883" width="14.85546875" style="68" customWidth="1"/>
    <col min="15884" max="15889" width="0" style="68" hidden="1" customWidth="1"/>
    <col min="15890" max="15895" width="15.42578125" style="68" customWidth="1"/>
    <col min="15896" max="15896" width="18.85546875" style="68" customWidth="1"/>
    <col min="15897" max="15897" width="8.42578125" style="68" customWidth="1"/>
    <col min="15898" max="16137" width="9.140625" style="68"/>
    <col min="16138" max="16138" width="15" style="68" customWidth="1"/>
    <col min="16139" max="16139" width="14.85546875" style="68" customWidth="1"/>
    <col min="16140" max="16145" width="0" style="68" hidden="1" customWidth="1"/>
    <col min="16146" max="16151" width="15.42578125" style="68" customWidth="1"/>
    <col min="16152" max="16152" width="18.85546875" style="68" customWidth="1"/>
    <col min="16153" max="16153" width="8.42578125" style="68" customWidth="1"/>
    <col min="16154" max="16384" width="9.140625" style="68"/>
  </cols>
  <sheetData>
    <row r="2" spans="1:25" ht="21">
      <c r="A2" s="1527" t="s">
        <v>1176</v>
      </c>
      <c r="B2" s="1527"/>
      <c r="C2" s="1527"/>
      <c r="D2" s="1527"/>
      <c r="E2" s="1527"/>
      <c r="F2" s="1527"/>
      <c r="G2" s="1527"/>
      <c r="H2" s="1527"/>
      <c r="I2" s="1527"/>
      <c r="J2" s="1527"/>
      <c r="K2" s="1527"/>
      <c r="L2" s="1527"/>
      <c r="M2" s="1527"/>
      <c r="N2" s="1527"/>
      <c r="O2" s="1527"/>
      <c r="P2" s="1527"/>
      <c r="Q2" s="1527"/>
      <c r="R2" s="1527"/>
      <c r="S2" s="1527"/>
      <c r="T2" s="1527"/>
      <c r="U2" s="1527"/>
      <c r="V2" s="1527"/>
      <c r="W2" s="1527"/>
      <c r="X2" s="1527"/>
      <c r="Y2" s="1527"/>
    </row>
    <row r="3" spans="1:25">
      <c r="A3" s="1528" t="s">
        <v>1175</v>
      </c>
      <c r="B3" s="1528"/>
      <c r="C3" s="1528"/>
      <c r="D3" s="1528"/>
      <c r="E3" s="1528"/>
      <c r="F3" s="1528"/>
      <c r="G3" s="1528"/>
      <c r="H3" s="1528"/>
      <c r="I3" s="1528"/>
      <c r="J3" s="1528"/>
      <c r="K3" s="1528"/>
      <c r="L3" s="1528"/>
      <c r="M3" s="1528"/>
      <c r="N3" s="1528"/>
      <c r="O3" s="1528"/>
      <c r="P3" s="1528"/>
      <c r="Q3" s="1528"/>
      <c r="R3" s="1528"/>
      <c r="S3" s="1528"/>
      <c r="T3" s="1528"/>
      <c r="U3" s="1528"/>
      <c r="V3" s="1528"/>
      <c r="W3" s="1528"/>
      <c r="X3" s="1528"/>
      <c r="Y3" s="1528"/>
    </row>
    <row r="4" spans="1:25" s="636" customFormat="1" ht="15" customHeight="1">
      <c r="A4" s="1529" t="s">
        <v>944</v>
      </c>
      <c r="B4" s="1529" t="s">
        <v>922</v>
      </c>
      <c r="C4" s="1526">
        <v>2015</v>
      </c>
      <c r="D4" s="1526"/>
      <c r="E4" s="1530"/>
      <c r="F4" s="1525">
        <v>2016</v>
      </c>
      <c r="G4" s="1526"/>
      <c r="H4" s="1526"/>
      <c r="I4" s="1525">
        <v>2017</v>
      </c>
      <c r="J4" s="1526"/>
      <c r="K4" s="1526"/>
      <c r="L4" s="1525">
        <v>2018</v>
      </c>
      <c r="M4" s="1526"/>
      <c r="N4" s="1526"/>
      <c r="O4" s="1525">
        <v>2019</v>
      </c>
      <c r="P4" s="1526"/>
      <c r="Q4" s="1526"/>
      <c r="R4" s="1525">
        <v>2020</v>
      </c>
      <c r="S4" s="1526"/>
      <c r="T4" s="1526"/>
      <c r="U4" s="1525">
        <v>2021</v>
      </c>
      <c r="V4" s="1526"/>
      <c r="W4" s="1526"/>
      <c r="X4" s="1531" t="s">
        <v>924</v>
      </c>
      <c r="Y4" s="1531"/>
    </row>
    <row r="5" spans="1:25" s="636" customFormat="1" ht="17.25">
      <c r="A5" s="1461"/>
      <c r="B5" s="1461"/>
      <c r="C5" s="708" t="s">
        <v>923</v>
      </c>
      <c r="D5" s="708" t="s">
        <v>945</v>
      </c>
      <c r="E5" s="709" t="s">
        <v>946</v>
      </c>
      <c r="F5" s="710" t="s">
        <v>923</v>
      </c>
      <c r="G5" s="708" t="s">
        <v>945</v>
      </c>
      <c r="H5" s="708" t="s">
        <v>946</v>
      </c>
      <c r="I5" s="710" t="s">
        <v>923</v>
      </c>
      <c r="J5" s="708" t="s">
        <v>945</v>
      </c>
      <c r="K5" s="708" t="s">
        <v>946</v>
      </c>
      <c r="L5" s="710" t="s">
        <v>923</v>
      </c>
      <c r="M5" s="708" t="s">
        <v>945</v>
      </c>
      <c r="N5" s="708" t="s">
        <v>946</v>
      </c>
      <c r="O5" s="710" t="s">
        <v>923</v>
      </c>
      <c r="P5" s="708" t="s">
        <v>1113</v>
      </c>
      <c r="Q5" s="708" t="s">
        <v>946</v>
      </c>
      <c r="R5" s="710" t="s">
        <v>923</v>
      </c>
      <c r="S5" s="708" t="s">
        <v>1113</v>
      </c>
      <c r="T5" s="708" t="s">
        <v>946</v>
      </c>
      <c r="U5" s="710" t="s">
        <v>923</v>
      </c>
      <c r="V5" s="708" t="s">
        <v>1113</v>
      </c>
      <c r="W5" s="708" t="s">
        <v>946</v>
      </c>
      <c r="X5" s="1532"/>
      <c r="Y5" s="1532"/>
    </row>
    <row r="6" spans="1:25" s="636" customFormat="1" ht="37.5">
      <c r="A6" s="1472" t="s">
        <v>947</v>
      </c>
      <c r="B6" s="1472" t="s">
        <v>948</v>
      </c>
      <c r="C6" s="1534" t="s">
        <v>699</v>
      </c>
      <c r="D6" s="832" t="s">
        <v>949</v>
      </c>
      <c r="E6" s="711" t="s">
        <v>950</v>
      </c>
      <c r="F6" s="1523" t="s">
        <v>699</v>
      </c>
      <c r="G6" s="832" t="s">
        <v>949</v>
      </c>
      <c r="H6" s="832" t="s">
        <v>950</v>
      </c>
      <c r="I6" s="1523" t="s">
        <v>699</v>
      </c>
      <c r="J6" s="832" t="s">
        <v>949</v>
      </c>
      <c r="K6" s="832" t="s">
        <v>950</v>
      </c>
      <c r="L6" s="1523" t="s">
        <v>699</v>
      </c>
      <c r="M6" s="832" t="s">
        <v>949</v>
      </c>
      <c r="N6" s="832" t="s">
        <v>950</v>
      </c>
      <c r="O6" s="1523" t="s">
        <v>699</v>
      </c>
      <c r="P6" s="832" t="s">
        <v>949</v>
      </c>
      <c r="Q6" s="832" t="s">
        <v>950</v>
      </c>
      <c r="R6" s="1523" t="s">
        <v>699</v>
      </c>
      <c r="S6" s="832" t="s">
        <v>949</v>
      </c>
      <c r="T6" s="832" t="s">
        <v>950</v>
      </c>
      <c r="U6" s="1523" t="s">
        <v>699</v>
      </c>
      <c r="V6" s="832" t="s">
        <v>949</v>
      </c>
      <c r="W6" s="832" t="s">
        <v>950</v>
      </c>
      <c r="X6" s="1532"/>
      <c r="Y6" s="1532"/>
    </row>
    <row r="7" spans="1:25" s="636" customFormat="1" ht="18.75">
      <c r="A7" s="1468"/>
      <c r="B7" s="1468"/>
      <c r="C7" s="1535"/>
      <c r="D7" s="833" t="s">
        <v>951</v>
      </c>
      <c r="E7" s="712" t="s">
        <v>952</v>
      </c>
      <c r="F7" s="1524"/>
      <c r="G7" s="833" t="s">
        <v>951</v>
      </c>
      <c r="H7" s="833" t="s">
        <v>952</v>
      </c>
      <c r="I7" s="1524"/>
      <c r="J7" s="833" t="s">
        <v>951</v>
      </c>
      <c r="K7" s="833" t="s">
        <v>952</v>
      </c>
      <c r="L7" s="1524"/>
      <c r="M7" s="833" t="s">
        <v>951</v>
      </c>
      <c r="N7" s="833" t="s">
        <v>952</v>
      </c>
      <c r="O7" s="1524"/>
      <c r="P7" s="833" t="s">
        <v>951</v>
      </c>
      <c r="Q7" s="833" t="s">
        <v>952</v>
      </c>
      <c r="R7" s="1524"/>
      <c r="S7" s="833" t="s">
        <v>951</v>
      </c>
      <c r="T7" s="833" t="s">
        <v>952</v>
      </c>
      <c r="U7" s="1524"/>
      <c r="V7" s="833" t="s">
        <v>951</v>
      </c>
      <c r="W7" s="833" t="s">
        <v>952</v>
      </c>
      <c r="X7" s="1533"/>
      <c r="Y7" s="1533"/>
    </row>
    <row r="8" spans="1:25" ht="21">
      <c r="A8" s="713" t="s">
        <v>132</v>
      </c>
      <c r="B8" s="1219" t="s">
        <v>923</v>
      </c>
      <c r="C8" s="714">
        <f>SUM(D8:E8)</f>
        <v>5763</v>
      </c>
      <c r="D8" s="715">
        <f>SUM(D9:D11)</f>
        <v>5598</v>
      </c>
      <c r="E8" s="715">
        <f>SUM(E9:E11)</f>
        <v>165</v>
      </c>
      <c r="F8" s="716">
        <f>SUM(G8:H8)</f>
        <v>5488</v>
      </c>
      <c r="G8" s="715">
        <f>SUM(G9:G11)</f>
        <v>5331</v>
      </c>
      <c r="H8" s="715">
        <f>SUM(H9:H11)</f>
        <v>157</v>
      </c>
      <c r="I8" s="716">
        <f>SUM(J8:K8)</f>
        <v>5237</v>
      </c>
      <c r="J8" s="715">
        <f>SUM(J9:J11)</f>
        <v>5079</v>
      </c>
      <c r="K8" s="715">
        <f>SUM(K9:K11)</f>
        <v>158</v>
      </c>
      <c r="L8" s="716">
        <f>SUM(M8:N8)</f>
        <v>5290</v>
      </c>
      <c r="M8" s="715">
        <f>SUM(M9:M11)</f>
        <v>5094</v>
      </c>
      <c r="N8" s="715">
        <f>SUM(N9:N11)</f>
        <v>196</v>
      </c>
      <c r="O8" s="716">
        <f>SUM(P8:Q8)</f>
        <v>5069</v>
      </c>
      <c r="P8" s="715">
        <f>SUM(P9:P11)</f>
        <v>4888</v>
      </c>
      <c r="Q8" s="715">
        <f>SUM(Q9:Q11)</f>
        <v>181</v>
      </c>
      <c r="R8" s="716">
        <f>SUM(S8:T8)</f>
        <v>4998</v>
      </c>
      <c r="S8" s="715">
        <f>SUM(S9:S11)</f>
        <v>4887</v>
      </c>
      <c r="T8" s="715">
        <f>SUM(T9:T11)</f>
        <v>111</v>
      </c>
      <c r="U8" s="716">
        <f>SUM(V8:W8)</f>
        <v>5329</v>
      </c>
      <c r="V8" s="715">
        <f>SUM(V9:V11)</f>
        <v>5163</v>
      </c>
      <c r="W8" s="715">
        <f>SUM(W9:W11)</f>
        <v>166</v>
      </c>
      <c r="X8" s="1508" t="s">
        <v>699</v>
      </c>
      <c r="Y8" s="1508"/>
    </row>
    <row r="9" spans="1:25" ht="21">
      <c r="A9" s="717" t="s">
        <v>637</v>
      </c>
      <c r="B9" s="647" t="s">
        <v>930</v>
      </c>
      <c r="C9" s="718">
        <f>SUM(D9:E9)</f>
        <v>2417</v>
      </c>
      <c r="D9" s="718">
        <v>2329</v>
      </c>
      <c r="E9" s="718">
        <v>88</v>
      </c>
      <c r="F9" s="719">
        <f>SUM(G9:H9)</f>
        <v>2304</v>
      </c>
      <c r="G9" s="718">
        <v>2223</v>
      </c>
      <c r="H9" s="718">
        <v>81</v>
      </c>
      <c r="I9" s="719">
        <f>SUM(J9:K9)</f>
        <v>2168</v>
      </c>
      <c r="J9" s="718">
        <v>2072</v>
      </c>
      <c r="K9" s="718">
        <v>96</v>
      </c>
      <c r="L9" s="719">
        <f>SUM(M9:N9)</f>
        <v>2191</v>
      </c>
      <c r="M9" s="718">
        <v>2079</v>
      </c>
      <c r="N9" s="718">
        <v>112</v>
      </c>
      <c r="O9" s="719">
        <f>SUM(P9:Q9)</f>
        <v>2055</v>
      </c>
      <c r="P9" s="718">
        <v>1976</v>
      </c>
      <c r="Q9" s="718">
        <v>79</v>
      </c>
      <c r="R9" s="719">
        <f>SUM(S9:T9)</f>
        <v>1995</v>
      </c>
      <c r="S9" s="718">
        <v>1954</v>
      </c>
      <c r="T9" s="718">
        <v>41</v>
      </c>
      <c r="U9" s="719">
        <f>SUM(V9:W9)</f>
        <v>2319</v>
      </c>
      <c r="V9" s="718">
        <v>2258</v>
      </c>
      <c r="W9" s="718">
        <v>61</v>
      </c>
      <c r="X9" s="720" t="s">
        <v>931</v>
      </c>
      <c r="Y9" s="720" t="s">
        <v>932</v>
      </c>
    </row>
    <row r="10" spans="1:25" ht="21">
      <c r="A10" s="717" t="s">
        <v>637</v>
      </c>
      <c r="B10" s="647" t="s">
        <v>935</v>
      </c>
      <c r="C10" s="718">
        <f>SUM(D10:E10)</f>
        <v>193</v>
      </c>
      <c r="D10" s="718">
        <v>193</v>
      </c>
      <c r="E10" s="718">
        <v>0</v>
      </c>
      <c r="F10" s="719">
        <f>SUM(G10:H10)</f>
        <v>0</v>
      </c>
      <c r="G10" s="718"/>
      <c r="H10" s="718"/>
      <c r="I10" s="719">
        <f>SUM(J10:K10)</f>
        <v>207</v>
      </c>
      <c r="J10" s="718">
        <v>206</v>
      </c>
      <c r="K10" s="718">
        <v>1</v>
      </c>
      <c r="L10" s="719">
        <f>SUM(M10:N10)</f>
        <v>258</v>
      </c>
      <c r="M10" s="718">
        <v>250</v>
      </c>
      <c r="N10" s="718">
        <v>8</v>
      </c>
      <c r="O10" s="719">
        <f>SUM(P10:Q10)</f>
        <v>312</v>
      </c>
      <c r="P10" s="718">
        <v>312</v>
      </c>
      <c r="Q10" s="718">
        <v>0</v>
      </c>
      <c r="R10" s="719">
        <f>SUM(S10:T10)</f>
        <v>237</v>
      </c>
      <c r="S10" s="718">
        <v>237</v>
      </c>
      <c r="T10" s="718">
        <v>0</v>
      </c>
      <c r="U10" s="719">
        <f>SUM(V10:W10)</f>
        <v>330</v>
      </c>
      <c r="V10" s="718">
        <v>326</v>
      </c>
      <c r="W10" s="718">
        <v>4</v>
      </c>
      <c r="X10" s="720" t="s">
        <v>936</v>
      </c>
      <c r="Y10" s="720" t="s">
        <v>932</v>
      </c>
    </row>
    <row r="11" spans="1:25" ht="21">
      <c r="A11" s="721" t="s">
        <v>639</v>
      </c>
      <c r="B11" s="722" t="s">
        <v>933</v>
      </c>
      <c r="C11" s="723">
        <f>SUM(D11:E11)</f>
        <v>3153</v>
      </c>
      <c r="D11" s="723">
        <v>3076</v>
      </c>
      <c r="E11" s="723">
        <v>77</v>
      </c>
      <c r="F11" s="724">
        <f>SUM(G11:H11)</f>
        <v>3184</v>
      </c>
      <c r="G11" s="723">
        <v>3108</v>
      </c>
      <c r="H11" s="723">
        <v>76</v>
      </c>
      <c r="I11" s="724">
        <f>SUM(J11:K11)</f>
        <v>2862</v>
      </c>
      <c r="J11" s="723">
        <f>3007-J10</f>
        <v>2801</v>
      </c>
      <c r="K11" s="723">
        <v>61</v>
      </c>
      <c r="L11" s="724">
        <f>SUM(M11:N11)</f>
        <v>2841</v>
      </c>
      <c r="M11" s="723">
        <v>2765</v>
      </c>
      <c r="N11" s="723">
        <v>76</v>
      </c>
      <c r="O11" s="724">
        <f>SUM(P11:Q11)</f>
        <v>2702</v>
      </c>
      <c r="P11" s="723">
        <v>2600</v>
      </c>
      <c r="Q11" s="723">
        <v>102</v>
      </c>
      <c r="R11" s="724">
        <f>SUM(S11:T11)</f>
        <v>2766</v>
      </c>
      <c r="S11" s="723">
        <v>2696</v>
      </c>
      <c r="T11" s="723">
        <v>70</v>
      </c>
      <c r="U11" s="724">
        <f>SUM(V11:W11)</f>
        <v>2680</v>
      </c>
      <c r="V11" s="723">
        <v>2579</v>
      </c>
      <c r="W11" s="723">
        <v>101</v>
      </c>
      <c r="X11" s="725" t="s">
        <v>934</v>
      </c>
      <c r="Y11" s="726" t="s">
        <v>953</v>
      </c>
    </row>
    <row r="12" spans="1:25" ht="18">
      <c r="A12" s="937" t="s">
        <v>1114</v>
      </c>
      <c r="Y12" s="607" t="s">
        <v>880</v>
      </c>
    </row>
    <row r="13" spans="1:25">
      <c r="A13" s="727" t="s">
        <v>879</v>
      </c>
      <c r="J13" s="728"/>
      <c r="K13" s="728"/>
      <c r="L13" s="715"/>
      <c r="M13" s="715"/>
      <c r="N13" s="715"/>
      <c r="O13" s="715"/>
      <c r="P13" s="715"/>
      <c r="Q13" s="715"/>
      <c r="R13" s="715"/>
      <c r="S13" s="715"/>
      <c r="T13" s="715"/>
      <c r="U13" s="715"/>
      <c r="V13" s="715"/>
      <c r="W13" s="715"/>
    </row>
    <row r="14" spans="1:25">
      <c r="I14" s="729"/>
      <c r="L14" s="718"/>
      <c r="O14" s="718"/>
      <c r="R14" s="718"/>
      <c r="U14" s="718"/>
    </row>
    <row r="15" spans="1:25">
      <c r="I15" s="729"/>
      <c r="L15" s="718"/>
      <c r="O15" s="718"/>
      <c r="R15" s="718"/>
      <c r="U15" s="718"/>
    </row>
    <row r="16" spans="1:25">
      <c r="D16" s="523"/>
      <c r="G16" s="523"/>
      <c r="I16" s="729"/>
      <c r="L16" s="718"/>
      <c r="O16" s="718"/>
      <c r="R16" s="718"/>
      <c r="U16" s="718"/>
    </row>
    <row r="23" spans="10:10">
      <c r="J23" s="728"/>
    </row>
  </sheetData>
  <mergeCells count="22">
    <mergeCell ref="X8:Y8"/>
    <mergeCell ref="A2:Y2"/>
    <mergeCell ref="A3:Y3"/>
    <mergeCell ref="A4:A5"/>
    <mergeCell ref="B4:B5"/>
    <mergeCell ref="C4:E4"/>
    <mergeCell ref="F4:H4"/>
    <mergeCell ref="I4:K4"/>
    <mergeCell ref="L4:N4"/>
    <mergeCell ref="X4:Y7"/>
    <mergeCell ref="A6:A7"/>
    <mergeCell ref="B6:B7"/>
    <mergeCell ref="C6:C7"/>
    <mergeCell ref="U4:W4"/>
    <mergeCell ref="U6:U7"/>
    <mergeCell ref="F6:F7"/>
    <mergeCell ref="I6:I7"/>
    <mergeCell ref="R4:T4"/>
    <mergeCell ref="R6:R7"/>
    <mergeCell ref="L6:L7"/>
    <mergeCell ref="O4:Q4"/>
    <mergeCell ref="O6:O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W31"/>
  <sheetViews>
    <sheetView workbookViewId="0">
      <selection activeCell="A32" sqref="A32:XFD65"/>
    </sheetView>
  </sheetViews>
  <sheetFormatPr defaultRowHeight="12.75"/>
  <cols>
    <col min="1" max="1" width="29.42578125" style="730" customWidth="1"/>
    <col min="2" max="17" width="8.7109375" style="730"/>
    <col min="18" max="18" width="7.5703125" style="730" customWidth="1"/>
    <col min="19" max="21" width="8.7109375" style="730"/>
    <col min="22" max="22" width="26" style="730" customWidth="1"/>
    <col min="23" max="260" width="8.7109375" style="730"/>
    <col min="261" max="261" width="29.42578125" style="730" customWidth="1"/>
    <col min="262" max="277" width="8.7109375" style="730"/>
    <col min="278" max="278" width="26" style="730" customWidth="1"/>
    <col min="279" max="516" width="8.7109375" style="730"/>
    <col min="517" max="517" width="29.42578125" style="730" customWidth="1"/>
    <col min="518" max="533" width="8.7109375" style="730"/>
    <col min="534" max="534" width="26" style="730" customWidth="1"/>
    <col min="535" max="772" width="8.7109375" style="730"/>
    <col min="773" max="773" width="29.42578125" style="730" customWidth="1"/>
    <col min="774" max="789" width="8.7109375" style="730"/>
    <col min="790" max="790" width="26" style="730" customWidth="1"/>
    <col min="791" max="1028" width="8.7109375" style="730"/>
    <col min="1029" max="1029" width="29.42578125" style="730" customWidth="1"/>
    <col min="1030" max="1045" width="8.7109375" style="730"/>
    <col min="1046" max="1046" width="26" style="730" customWidth="1"/>
    <col min="1047" max="1284" width="8.7109375" style="730"/>
    <col min="1285" max="1285" width="29.42578125" style="730" customWidth="1"/>
    <col min="1286" max="1301" width="8.7109375" style="730"/>
    <col min="1302" max="1302" width="26" style="730" customWidth="1"/>
    <col min="1303" max="1540" width="8.7109375" style="730"/>
    <col min="1541" max="1541" width="29.42578125" style="730" customWidth="1"/>
    <col min="1542" max="1557" width="8.7109375" style="730"/>
    <col min="1558" max="1558" width="26" style="730" customWidth="1"/>
    <col min="1559" max="1796" width="8.7109375" style="730"/>
    <col min="1797" max="1797" width="29.42578125" style="730" customWidth="1"/>
    <col min="1798" max="1813" width="8.7109375" style="730"/>
    <col min="1814" max="1814" width="26" style="730" customWidth="1"/>
    <col min="1815" max="2052" width="8.7109375" style="730"/>
    <col min="2053" max="2053" width="29.42578125" style="730" customWidth="1"/>
    <col min="2054" max="2069" width="8.7109375" style="730"/>
    <col min="2070" max="2070" width="26" style="730" customWidth="1"/>
    <col min="2071" max="2308" width="8.7109375" style="730"/>
    <col min="2309" max="2309" width="29.42578125" style="730" customWidth="1"/>
    <col min="2310" max="2325" width="8.7109375" style="730"/>
    <col min="2326" max="2326" width="26" style="730" customWidth="1"/>
    <col min="2327" max="2564" width="8.7109375" style="730"/>
    <col min="2565" max="2565" width="29.42578125" style="730" customWidth="1"/>
    <col min="2566" max="2581" width="8.7109375" style="730"/>
    <col min="2582" max="2582" width="26" style="730" customWidth="1"/>
    <col min="2583" max="2820" width="8.7109375" style="730"/>
    <col min="2821" max="2821" width="29.42578125" style="730" customWidth="1"/>
    <col min="2822" max="2837" width="8.7109375" style="730"/>
    <col min="2838" max="2838" width="26" style="730" customWidth="1"/>
    <col min="2839" max="3076" width="8.7109375" style="730"/>
    <col min="3077" max="3077" width="29.42578125" style="730" customWidth="1"/>
    <col min="3078" max="3093" width="8.7109375" style="730"/>
    <col min="3094" max="3094" width="26" style="730" customWidth="1"/>
    <col min="3095" max="3332" width="8.7109375" style="730"/>
    <col min="3333" max="3333" width="29.42578125" style="730" customWidth="1"/>
    <col min="3334" max="3349" width="8.7109375" style="730"/>
    <col min="3350" max="3350" width="26" style="730" customWidth="1"/>
    <col min="3351" max="3588" width="8.7109375" style="730"/>
    <col min="3589" max="3589" width="29.42578125" style="730" customWidth="1"/>
    <col min="3590" max="3605" width="8.7109375" style="730"/>
    <col min="3606" max="3606" width="26" style="730" customWidth="1"/>
    <col min="3607" max="3844" width="8.7109375" style="730"/>
    <col min="3845" max="3845" width="29.42578125" style="730" customWidth="1"/>
    <col min="3846" max="3861" width="8.7109375" style="730"/>
    <col min="3862" max="3862" width="26" style="730" customWidth="1"/>
    <col min="3863" max="4100" width="8.7109375" style="730"/>
    <col min="4101" max="4101" width="29.42578125" style="730" customWidth="1"/>
    <col min="4102" max="4117" width="8.7109375" style="730"/>
    <col min="4118" max="4118" width="26" style="730" customWidth="1"/>
    <col min="4119" max="4356" width="8.7109375" style="730"/>
    <col min="4357" max="4357" width="29.42578125" style="730" customWidth="1"/>
    <col min="4358" max="4373" width="8.7109375" style="730"/>
    <col min="4374" max="4374" width="26" style="730" customWidth="1"/>
    <col min="4375" max="4612" width="8.7109375" style="730"/>
    <col min="4613" max="4613" width="29.42578125" style="730" customWidth="1"/>
    <col min="4614" max="4629" width="8.7109375" style="730"/>
    <col min="4630" max="4630" width="26" style="730" customWidth="1"/>
    <col min="4631" max="4868" width="8.7109375" style="730"/>
    <col min="4869" max="4869" width="29.42578125" style="730" customWidth="1"/>
    <col min="4870" max="4885" width="8.7109375" style="730"/>
    <col min="4886" max="4886" width="26" style="730" customWidth="1"/>
    <col min="4887" max="5124" width="8.7109375" style="730"/>
    <col min="5125" max="5125" width="29.42578125" style="730" customWidth="1"/>
    <col min="5126" max="5141" width="8.7109375" style="730"/>
    <col min="5142" max="5142" width="26" style="730" customWidth="1"/>
    <col min="5143" max="5380" width="8.7109375" style="730"/>
    <col min="5381" max="5381" width="29.42578125" style="730" customWidth="1"/>
    <col min="5382" max="5397" width="8.7109375" style="730"/>
    <col min="5398" max="5398" width="26" style="730" customWidth="1"/>
    <col min="5399" max="5636" width="8.7109375" style="730"/>
    <col min="5637" max="5637" width="29.42578125" style="730" customWidth="1"/>
    <col min="5638" max="5653" width="8.7109375" style="730"/>
    <col min="5654" max="5654" width="26" style="730" customWidth="1"/>
    <col min="5655" max="5892" width="8.7109375" style="730"/>
    <col min="5893" max="5893" width="29.42578125" style="730" customWidth="1"/>
    <col min="5894" max="5909" width="8.7109375" style="730"/>
    <col min="5910" max="5910" width="26" style="730" customWidth="1"/>
    <col min="5911" max="6148" width="8.7109375" style="730"/>
    <col min="6149" max="6149" width="29.42578125" style="730" customWidth="1"/>
    <col min="6150" max="6165" width="8.7109375" style="730"/>
    <col min="6166" max="6166" width="26" style="730" customWidth="1"/>
    <col min="6167" max="6404" width="8.7109375" style="730"/>
    <col min="6405" max="6405" width="29.42578125" style="730" customWidth="1"/>
    <col min="6406" max="6421" width="8.7109375" style="730"/>
    <col min="6422" max="6422" width="26" style="730" customWidth="1"/>
    <col min="6423" max="6660" width="8.7109375" style="730"/>
    <col min="6661" max="6661" width="29.42578125" style="730" customWidth="1"/>
    <col min="6662" max="6677" width="8.7109375" style="730"/>
    <col min="6678" max="6678" width="26" style="730" customWidth="1"/>
    <col min="6679" max="6916" width="8.7109375" style="730"/>
    <col min="6917" max="6917" width="29.42578125" style="730" customWidth="1"/>
    <col min="6918" max="6933" width="8.7109375" style="730"/>
    <col min="6934" max="6934" width="26" style="730" customWidth="1"/>
    <col min="6935" max="7172" width="8.7109375" style="730"/>
    <col min="7173" max="7173" width="29.42578125" style="730" customWidth="1"/>
    <col min="7174" max="7189" width="8.7109375" style="730"/>
    <col min="7190" max="7190" width="26" style="730" customWidth="1"/>
    <col min="7191" max="7428" width="8.7109375" style="730"/>
    <col min="7429" max="7429" width="29.42578125" style="730" customWidth="1"/>
    <col min="7430" max="7445" width="8.7109375" style="730"/>
    <col min="7446" max="7446" width="26" style="730" customWidth="1"/>
    <col min="7447" max="7684" width="8.7109375" style="730"/>
    <col min="7685" max="7685" width="29.42578125" style="730" customWidth="1"/>
    <col min="7686" max="7701" width="8.7109375" style="730"/>
    <col min="7702" max="7702" width="26" style="730" customWidth="1"/>
    <col min="7703" max="7940" width="8.7109375" style="730"/>
    <col min="7941" max="7941" width="29.42578125" style="730" customWidth="1"/>
    <col min="7942" max="7957" width="8.7109375" style="730"/>
    <col min="7958" max="7958" width="26" style="730" customWidth="1"/>
    <col min="7959" max="8196" width="8.7109375" style="730"/>
    <col min="8197" max="8197" width="29.42578125" style="730" customWidth="1"/>
    <col min="8198" max="8213" width="8.7109375" style="730"/>
    <col min="8214" max="8214" width="26" style="730" customWidth="1"/>
    <col min="8215" max="8452" width="8.7109375" style="730"/>
    <col min="8453" max="8453" width="29.42578125" style="730" customWidth="1"/>
    <col min="8454" max="8469" width="8.7109375" style="730"/>
    <col min="8470" max="8470" width="26" style="730" customWidth="1"/>
    <col min="8471" max="8708" width="8.7109375" style="730"/>
    <col min="8709" max="8709" width="29.42578125" style="730" customWidth="1"/>
    <col min="8710" max="8725" width="8.7109375" style="730"/>
    <col min="8726" max="8726" width="26" style="730" customWidth="1"/>
    <col min="8727" max="8964" width="8.7109375" style="730"/>
    <col min="8965" max="8965" width="29.42578125" style="730" customWidth="1"/>
    <col min="8966" max="8981" width="8.7109375" style="730"/>
    <col min="8982" max="8982" width="26" style="730" customWidth="1"/>
    <col min="8983" max="9220" width="8.7109375" style="730"/>
    <col min="9221" max="9221" width="29.42578125" style="730" customWidth="1"/>
    <col min="9222" max="9237" width="8.7109375" style="730"/>
    <col min="9238" max="9238" width="26" style="730" customWidth="1"/>
    <col min="9239" max="9476" width="8.7109375" style="730"/>
    <col min="9477" max="9477" width="29.42578125" style="730" customWidth="1"/>
    <col min="9478" max="9493" width="8.7109375" style="730"/>
    <col min="9494" max="9494" width="26" style="730" customWidth="1"/>
    <col min="9495" max="9732" width="8.7109375" style="730"/>
    <col min="9733" max="9733" width="29.42578125" style="730" customWidth="1"/>
    <col min="9734" max="9749" width="8.7109375" style="730"/>
    <col min="9750" max="9750" width="26" style="730" customWidth="1"/>
    <col min="9751" max="9988" width="8.7109375" style="730"/>
    <col min="9989" max="9989" width="29.42578125" style="730" customWidth="1"/>
    <col min="9990" max="10005" width="8.7109375" style="730"/>
    <col min="10006" max="10006" width="26" style="730" customWidth="1"/>
    <col min="10007" max="10244" width="8.7109375" style="730"/>
    <col min="10245" max="10245" width="29.42578125" style="730" customWidth="1"/>
    <col min="10246" max="10261" width="8.7109375" style="730"/>
    <col min="10262" max="10262" width="26" style="730" customWidth="1"/>
    <col min="10263" max="10500" width="8.7109375" style="730"/>
    <col min="10501" max="10501" width="29.42578125" style="730" customWidth="1"/>
    <col min="10502" max="10517" width="8.7109375" style="730"/>
    <col min="10518" max="10518" width="26" style="730" customWidth="1"/>
    <col min="10519" max="10756" width="8.7109375" style="730"/>
    <col min="10757" max="10757" width="29.42578125" style="730" customWidth="1"/>
    <col min="10758" max="10773" width="8.7109375" style="730"/>
    <col min="10774" max="10774" width="26" style="730" customWidth="1"/>
    <col min="10775" max="11012" width="8.7109375" style="730"/>
    <col min="11013" max="11013" width="29.42578125" style="730" customWidth="1"/>
    <col min="11014" max="11029" width="8.7109375" style="730"/>
    <col min="11030" max="11030" width="26" style="730" customWidth="1"/>
    <col min="11031" max="11268" width="8.7109375" style="730"/>
    <col min="11269" max="11269" width="29.42578125" style="730" customWidth="1"/>
    <col min="11270" max="11285" width="8.7109375" style="730"/>
    <col min="11286" max="11286" width="26" style="730" customWidth="1"/>
    <col min="11287" max="11524" width="8.7109375" style="730"/>
    <col min="11525" max="11525" width="29.42578125" style="730" customWidth="1"/>
    <col min="11526" max="11541" width="8.7109375" style="730"/>
    <col min="11542" max="11542" width="26" style="730" customWidth="1"/>
    <col min="11543" max="11780" width="8.7109375" style="730"/>
    <col min="11781" max="11781" width="29.42578125" style="730" customWidth="1"/>
    <col min="11782" max="11797" width="8.7109375" style="730"/>
    <col min="11798" max="11798" width="26" style="730" customWidth="1"/>
    <col min="11799" max="12036" width="8.7109375" style="730"/>
    <col min="12037" max="12037" width="29.42578125" style="730" customWidth="1"/>
    <col min="12038" max="12053" width="8.7109375" style="730"/>
    <col min="12054" max="12054" width="26" style="730" customWidth="1"/>
    <col min="12055" max="12292" width="8.7109375" style="730"/>
    <col min="12293" max="12293" width="29.42578125" style="730" customWidth="1"/>
    <col min="12294" max="12309" width="8.7109375" style="730"/>
    <col min="12310" max="12310" width="26" style="730" customWidth="1"/>
    <col min="12311" max="12548" width="8.7109375" style="730"/>
    <col min="12549" max="12549" width="29.42578125" style="730" customWidth="1"/>
    <col min="12550" max="12565" width="8.7109375" style="730"/>
    <col min="12566" max="12566" width="26" style="730" customWidth="1"/>
    <col min="12567" max="12804" width="8.7109375" style="730"/>
    <col min="12805" max="12805" width="29.42578125" style="730" customWidth="1"/>
    <col min="12806" max="12821" width="8.7109375" style="730"/>
    <col min="12822" max="12822" width="26" style="730" customWidth="1"/>
    <col min="12823" max="13060" width="8.7109375" style="730"/>
    <col min="13061" max="13061" width="29.42578125" style="730" customWidth="1"/>
    <col min="13062" max="13077" width="8.7109375" style="730"/>
    <col min="13078" max="13078" width="26" style="730" customWidth="1"/>
    <col min="13079" max="13316" width="8.7109375" style="730"/>
    <col min="13317" max="13317" width="29.42578125" style="730" customWidth="1"/>
    <col min="13318" max="13333" width="8.7109375" style="730"/>
    <col min="13334" max="13334" width="26" style="730" customWidth="1"/>
    <col min="13335" max="13572" width="8.7109375" style="730"/>
    <col min="13573" max="13573" width="29.42578125" style="730" customWidth="1"/>
    <col min="13574" max="13589" width="8.7109375" style="730"/>
    <col min="13590" max="13590" width="26" style="730" customWidth="1"/>
    <col min="13591" max="13828" width="8.7109375" style="730"/>
    <col min="13829" max="13829" width="29.42578125" style="730" customWidth="1"/>
    <col min="13830" max="13845" width="8.7109375" style="730"/>
    <col min="13846" max="13846" width="26" style="730" customWidth="1"/>
    <col min="13847" max="14084" width="8.7109375" style="730"/>
    <col min="14085" max="14085" width="29.42578125" style="730" customWidth="1"/>
    <col min="14086" max="14101" width="8.7109375" style="730"/>
    <col min="14102" max="14102" width="26" style="730" customWidth="1"/>
    <col min="14103" max="14340" width="8.7109375" style="730"/>
    <col min="14341" max="14341" width="29.42578125" style="730" customWidth="1"/>
    <col min="14342" max="14357" width="8.7109375" style="730"/>
    <col min="14358" max="14358" width="26" style="730" customWidth="1"/>
    <col min="14359" max="14596" width="8.7109375" style="730"/>
    <col min="14597" max="14597" width="29.42578125" style="730" customWidth="1"/>
    <col min="14598" max="14613" width="8.7109375" style="730"/>
    <col min="14614" max="14614" width="26" style="730" customWidth="1"/>
    <col min="14615" max="14852" width="8.7109375" style="730"/>
    <col min="14853" max="14853" width="29.42578125" style="730" customWidth="1"/>
    <col min="14854" max="14869" width="8.7109375" style="730"/>
    <col min="14870" max="14870" width="26" style="730" customWidth="1"/>
    <col min="14871" max="15108" width="8.7109375" style="730"/>
    <col min="15109" max="15109" width="29.42578125" style="730" customWidth="1"/>
    <col min="15110" max="15125" width="8.7109375" style="730"/>
    <col min="15126" max="15126" width="26" style="730" customWidth="1"/>
    <col min="15127" max="15364" width="8.7109375" style="730"/>
    <col min="15365" max="15365" width="29.42578125" style="730" customWidth="1"/>
    <col min="15366" max="15381" width="8.7109375" style="730"/>
    <col min="15382" max="15382" width="26" style="730" customWidth="1"/>
    <col min="15383" max="15620" width="8.7109375" style="730"/>
    <col min="15621" max="15621" width="29.42578125" style="730" customWidth="1"/>
    <col min="15622" max="15637" width="8.7109375" style="730"/>
    <col min="15638" max="15638" width="26" style="730" customWidth="1"/>
    <col min="15639" max="15876" width="8.7109375" style="730"/>
    <col min="15877" max="15877" width="29.42578125" style="730" customWidth="1"/>
    <col min="15878" max="15893" width="8.7109375" style="730"/>
    <col min="15894" max="15894" width="26" style="730" customWidth="1"/>
    <col min="15895" max="16132" width="8.7109375" style="730"/>
    <col min="16133" max="16133" width="29.42578125" style="730" customWidth="1"/>
    <col min="16134" max="16149" width="8.7109375" style="730"/>
    <col min="16150" max="16150" width="26" style="730" customWidth="1"/>
    <col min="16151" max="16384" width="8.7109375" style="730"/>
  </cols>
  <sheetData>
    <row r="1" spans="1:23" ht="21">
      <c r="A1" s="1536" t="s">
        <v>1178</v>
      </c>
      <c r="B1" s="1536"/>
      <c r="C1" s="1536"/>
      <c r="D1" s="1536"/>
      <c r="E1" s="1536"/>
      <c r="F1" s="1536"/>
      <c r="G1" s="1536"/>
      <c r="H1" s="1536"/>
      <c r="I1" s="1536"/>
      <c r="J1" s="1536"/>
      <c r="K1" s="1536"/>
      <c r="L1" s="1536"/>
      <c r="M1" s="1536"/>
      <c r="N1" s="1536"/>
      <c r="O1" s="1536"/>
      <c r="P1" s="1536"/>
      <c r="Q1" s="1536"/>
      <c r="R1" s="1536"/>
      <c r="S1" s="1536"/>
      <c r="T1" s="1536"/>
      <c r="U1" s="1536"/>
      <c r="V1" s="1536"/>
      <c r="W1" s="1076"/>
    </row>
    <row r="2" spans="1:23" ht="21">
      <c r="A2" s="1537" t="s">
        <v>1177</v>
      </c>
      <c r="B2" s="1537"/>
      <c r="C2" s="1537"/>
      <c r="D2" s="1537"/>
      <c r="E2" s="1537"/>
      <c r="F2" s="1537"/>
      <c r="G2" s="1537"/>
      <c r="H2" s="1537"/>
      <c r="I2" s="1537"/>
      <c r="J2" s="1537"/>
      <c r="K2" s="1537"/>
      <c r="L2" s="1537"/>
      <c r="M2" s="1537"/>
      <c r="N2" s="1537"/>
      <c r="O2" s="1537"/>
      <c r="P2" s="1537"/>
      <c r="Q2" s="1537"/>
      <c r="R2" s="1537"/>
      <c r="S2" s="1537"/>
      <c r="T2" s="1537"/>
      <c r="U2" s="1537"/>
      <c r="V2" s="1537"/>
      <c r="W2" s="1076"/>
    </row>
    <row r="3" spans="1:23" ht="21">
      <c r="A3" s="1538" t="s">
        <v>166</v>
      </c>
      <c r="B3" s="1540" t="s">
        <v>954</v>
      </c>
      <c r="C3" s="1540"/>
      <c r="D3" s="1540"/>
      <c r="E3" s="1540"/>
      <c r="F3" s="1540"/>
      <c r="G3" s="1541" t="s">
        <v>955</v>
      </c>
      <c r="H3" s="1540"/>
      <c r="I3" s="1540"/>
      <c r="J3" s="1540"/>
      <c r="K3" s="1542"/>
      <c r="L3" s="1540" t="s">
        <v>956</v>
      </c>
      <c r="M3" s="1540"/>
      <c r="N3" s="1540"/>
      <c r="O3" s="1540"/>
      <c r="P3" s="1540"/>
      <c r="Q3" s="1543" t="s">
        <v>957</v>
      </c>
      <c r="R3" s="1544"/>
      <c r="S3" s="1544"/>
      <c r="T3" s="1544"/>
      <c r="U3" s="1544"/>
      <c r="V3" s="1545" t="s">
        <v>958</v>
      </c>
      <c r="W3" s="1076"/>
    </row>
    <row r="4" spans="1:23" ht="21">
      <c r="A4" s="1539"/>
      <c r="B4" s="1077" t="s">
        <v>1133</v>
      </c>
      <c r="C4" s="731" t="s">
        <v>1134</v>
      </c>
      <c r="D4" s="731" t="s">
        <v>1135</v>
      </c>
      <c r="E4" s="731" t="s">
        <v>1136</v>
      </c>
      <c r="F4" s="731" t="s">
        <v>1137</v>
      </c>
      <c r="G4" s="1078" t="s">
        <v>1133</v>
      </c>
      <c r="H4" s="731" t="s">
        <v>1134</v>
      </c>
      <c r="I4" s="731" t="s">
        <v>1135</v>
      </c>
      <c r="J4" s="731" t="s">
        <v>1136</v>
      </c>
      <c r="K4" s="732" t="s">
        <v>1137</v>
      </c>
      <c r="L4" s="1077" t="s">
        <v>1133</v>
      </c>
      <c r="M4" s="731" t="s">
        <v>1134</v>
      </c>
      <c r="N4" s="731" t="s">
        <v>1135</v>
      </c>
      <c r="O4" s="731" t="s">
        <v>1136</v>
      </c>
      <c r="P4" s="731" t="s">
        <v>1137</v>
      </c>
      <c r="Q4" s="733" t="s">
        <v>1133</v>
      </c>
      <c r="R4" s="731" t="s">
        <v>1134</v>
      </c>
      <c r="S4" s="731" t="s">
        <v>1135</v>
      </c>
      <c r="T4" s="731" t="s">
        <v>1136</v>
      </c>
      <c r="U4" s="731" t="s">
        <v>1137</v>
      </c>
      <c r="V4" s="1546"/>
      <c r="W4" s="1076"/>
    </row>
    <row r="5" spans="1:23" s="740" customFormat="1" ht="21">
      <c r="A5" s="734" t="s">
        <v>169</v>
      </c>
      <c r="B5" s="735">
        <f t="shared" ref="B5" si="0">SUM(B6:B8)</f>
        <v>50</v>
      </c>
      <c r="C5" s="735">
        <f>SUM(C6:C8)</f>
        <v>164</v>
      </c>
      <c r="D5" s="735">
        <f>SUM(D6:D8)</f>
        <v>774</v>
      </c>
      <c r="E5" s="735">
        <f>SUM(E6:E8)</f>
        <v>2938</v>
      </c>
      <c r="F5" s="735">
        <f t="shared" ref="F5:U5" si="1">SUM(F6:F8)</f>
        <v>1488</v>
      </c>
      <c r="G5" s="736">
        <f t="shared" si="1"/>
        <v>10</v>
      </c>
      <c r="H5" s="1079">
        <f t="shared" si="1"/>
        <v>98</v>
      </c>
      <c r="I5" s="1079">
        <f t="shared" si="1"/>
        <v>626</v>
      </c>
      <c r="J5" s="1079">
        <f t="shared" si="1"/>
        <v>2451</v>
      </c>
      <c r="K5" s="737">
        <f t="shared" si="1"/>
        <v>2229</v>
      </c>
      <c r="L5" s="1079">
        <f t="shared" si="1"/>
        <v>55</v>
      </c>
      <c r="M5" s="1079">
        <f t="shared" si="1"/>
        <v>203</v>
      </c>
      <c r="N5" s="1079">
        <f t="shared" si="1"/>
        <v>817</v>
      </c>
      <c r="O5" s="1079">
        <f t="shared" si="1"/>
        <v>1880</v>
      </c>
      <c r="P5" s="1079">
        <f t="shared" si="1"/>
        <v>287</v>
      </c>
      <c r="Q5" s="736">
        <f t="shared" si="1"/>
        <v>23</v>
      </c>
      <c r="R5" s="1079">
        <f t="shared" si="1"/>
        <v>115</v>
      </c>
      <c r="S5" s="1079">
        <f t="shared" si="1"/>
        <v>628</v>
      </c>
      <c r="T5" s="1079">
        <f t="shared" si="1"/>
        <v>1951</v>
      </c>
      <c r="U5" s="1079">
        <f t="shared" si="1"/>
        <v>525</v>
      </c>
      <c r="V5" s="738" t="s">
        <v>959</v>
      </c>
      <c r="W5" s="739"/>
    </row>
    <row r="6" spans="1:23" s="740" customFormat="1" ht="21">
      <c r="A6" s="734" t="s">
        <v>960</v>
      </c>
      <c r="B6" s="1079">
        <v>13</v>
      </c>
      <c r="C6" s="1079">
        <v>58</v>
      </c>
      <c r="D6" s="1079">
        <v>291</v>
      </c>
      <c r="E6" s="1079">
        <v>1386</v>
      </c>
      <c r="F6" s="1079">
        <v>648</v>
      </c>
      <c r="G6" s="736">
        <v>1</v>
      </c>
      <c r="H6" s="1079">
        <v>26</v>
      </c>
      <c r="I6" s="1079">
        <v>244</v>
      </c>
      <c r="J6" s="1079">
        <v>1153</v>
      </c>
      <c r="K6" s="737">
        <v>972</v>
      </c>
      <c r="L6" s="1079">
        <v>10</v>
      </c>
      <c r="M6" s="1079">
        <v>77</v>
      </c>
      <c r="N6" s="1079">
        <v>301</v>
      </c>
      <c r="O6" s="1079">
        <v>699</v>
      </c>
      <c r="P6" s="1079">
        <v>104</v>
      </c>
      <c r="Q6" s="736">
        <v>6</v>
      </c>
      <c r="R6" s="1079">
        <v>35</v>
      </c>
      <c r="S6" s="1079">
        <v>245</v>
      </c>
      <c r="T6" s="1079">
        <v>721</v>
      </c>
      <c r="U6" s="1079">
        <v>184</v>
      </c>
      <c r="V6" s="738" t="s">
        <v>932</v>
      </c>
      <c r="W6" s="739"/>
    </row>
    <row r="7" spans="1:23" s="740" customFormat="1" ht="21">
      <c r="A7" s="938" t="s">
        <v>962</v>
      </c>
      <c r="B7" s="1079">
        <v>0</v>
      </c>
      <c r="C7" s="1079">
        <v>0</v>
      </c>
      <c r="D7" s="1079">
        <v>89</v>
      </c>
      <c r="E7" s="1079">
        <v>176</v>
      </c>
      <c r="F7" s="1079">
        <v>65</v>
      </c>
      <c r="G7" s="736">
        <v>0</v>
      </c>
      <c r="H7" s="1079">
        <v>0</v>
      </c>
      <c r="I7" s="1079">
        <v>65</v>
      </c>
      <c r="J7" s="1079">
        <v>157</v>
      </c>
      <c r="K7" s="737">
        <v>108</v>
      </c>
      <c r="L7" s="1079">
        <v>0</v>
      </c>
      <c r="M7" s="1079">
        <v>0</v>
      </c>
      <c r="N7" s="1079">
        <v>95</v>
      </c>
      <c r="O7" s="1079">
        <v>125</v>
      </c>
      <c r="P7" s="1079">
        <v>27</v>
      </c>
      <c r="Q7" s="736">
        <v>0</v>
      </c>
      <c r="R7" s="1079">
        <v>0</v>
      </c>
      <c r="S7" s="1079">
        <v>52</v>
      </c>
      <c r="T7" s="1079">
        <v>153</v>
      </c>
      <c r="U7" s="1079">
        <v>42</v>
      </c>
      <c r="V7" s="742" t="s">
        <v>963</v>
      </c>
      <c r="W7" s="739"/>
    </row>
    <row r="8" spans="1:23" s="740" customFormat="1" ht="21">
      <c r="A8" s="734" t="s">
        <v>639</v>
      </c>
      <c r="B8" s="1079">
        <f>SUM(B9:B28)</f>
        <v>37</v>
      </c>
      <c r="C8" s="1079">
        <f>SUM(C9:C28)</f>
        <v>106</v>
      </c>
      <c r="D8" s="1079">
        <f>SUM(D9:D28)</f>
        <v>394</v>
      </c>
      <c r="E8" s="1079">
        <f t="shared" ref="E8:U8" si="2">SUM(E9:E28)</f>
        <v>1376</v>
      </c>
      <c r="F8" s="1079">
        <f t="shared" si="2"/>
        <v>775</v>
      </c>
      <c r="G8" s="736">
        <f t="shared" si="2"/>
        <v>9</v>
      </c>
      <c r="H8" s="1079">
        <f t="shared" si="2"/>
        <v>72</v>
      </c>
      <c r="I8" s="1079">
        <f t="shared" si="2"/>
        <v>317</v>
      </c>
      <c r="J8" s="1079">
        <f t="shared" si="2"/>
        <v>1141</v>
      </c>
      <c r="K8" s="737">
        <f t="shared" si="2"/>
        <v>1149</v>
      </c>
      <c r="L8" s="1079">
        <f t="shared" si="2"/>
        <v>45</v>
      </c>
      <c r="M8" s="1079">
        <f t="shared" si="2"/>
        <v>126</v>
      </c>
      <c r="N8" s="1079">
        <f t="shared" si="2"/>
        <v>421</v>
      </c>
      <c r="O8" s="1079">
        <f t="shared" si="2"/>
        <v>1056</v>
      </c>
      <c r="P8" s="1079">
        <f t="shared" si="2"/>
        <v>156</v>
      </c>
      <c r="Q8" s="736">
        <f t="shared" si="2"/>
        <v>17</v>
      </c>
      <c r="R8" s="1079">
        <f t="shared" si="2"/>
        <v>80</v>
      </c>
      <c r="S8" s="1079">
        <f t="shared" si="2"/>
        <v>331</v>
      </c>
      <c r="T8" s="1079">
        <f t="shared" si="2"/>
        <v>1077</v>
      </c>
      <c r="U8" s="1079">
        <f t="shared" si="2"/>
        <v>299</v>
      </c>
      <c r="V8" s="738" t="s">
        <v>961</v>
      </c>
      <c r="W8" s="739"/>
    </row>
    <row r="9" spans="1:23" s="743" customFormat="1" ht="21">
      <c r="A9" s="741" t="s">
        <v>197</v>
      </c>
      <c r="B9" s="1259">
        <v>7</v>
      </c>
      <c r="C9" s="1259">
        <v>3</v>
      </c>
      <c r="D9" s="1259">
        <v>7</v>
      </c>
      <c r="E9" s="1259">
        <v>64</v>
      </c>
      <c r="F9" s="1259">
        <v>40</v>
      </c>
      <c r="G9" s="1260">
        <v>0</v>
      </c>
      <c r="H9" s="1259">
        <v>6</v>
      </c>
      <c r="I9" s="1259">
        <v>7</v>
      </c>
      <c r="J9" s="1259">
        <v>45</v>
      </c>
      <c r="K9" s="1261">
        <v>63</v>
      </c>
      <c r="L9" s="1259">
        <v>5</v>
      </c>
      <c r="M9" s="1259">
        <v>5</v>
      </c>
      <c r="N9" s="1259">
        <v>14</v>
      </c>
      <c r="O9" s="1259">
        <v>49</v>
      </c>
      <c r="P9" s="1259">
        <v>9</v>
      </c>
      <c r="Q9" s="1260">
        <v>3</v>
      </c>
      <c r="R9" s="1259">
        <v>4</v>
      </c>
      <c r="S9" s="1259">
        <v>13</v>
      </c>
      <c r="T9" s="1259">
        <v>43</v>
      </c>
      <c r="U9" s="1259">
        <v>19</v>
      </c>
      <c r="V9" s="908" t="s">
        <v>198</v>
      </c>
      <c r="W9" s="739"/>
    </row>
    <row r="10" spans="1:23" s="743" customFormat="1" ht="21">
      <c r="A10" s="741" t="s">
        <v>228</v>
      </c>
      <c r="B10" s="1259">
        <v>2</v>
      </c>
      <c r="C10" s="1259">
        <v>1</v>
      </c>
      <c r="D10" s="1259">
        <v>36</v>
      </c>
      <c r="E10" s="1259">
        <v>120</v>
      </c>
      <c r="F10" s="1259">
        <v>83</v>
      </c>
      <c r="G10" s="1260">
        <v>0</v>
      </c>
      <c r="H10" s="1259">
        <v>2</v>
      </c>
      <c r="I10" s="1259">
        <v>26</v>
      </c>
      <c r="J10" s="1259">
        <v>98</v>
      </c>
      <c r="K10" s="1261">
        <v>116</v>
      </c>
      <c r="L10" s="1259">
        <v>4</v>
      </c>
      <c r="M10" s="1259">
        <v>3</v>
      </c>
      <c r="N10" s="1259">
        <v>47</v>
      </c>
      <c r="O10" s="1259">
        <v>84</v>
      </c>
      <c r="P10" s="1259">
        <v>20</v>
      </c>
      <c r="Q10" s="1260">
        <v>3</v>
      </c>
      <c r="R10" s="1259">
        <v>2</v>
      </c>
      <c r="S10" s="1259">
        <v>26</v>
      </c>
      <c r="T10" s="1259">
        <v>98</v>
      </c>
      <c r="U10" s="1259">
        <v>29</v>
      </c>
      <c r="V10" s="908" t="s">
        <v>229</v>
      </c>
      <c r="W10" s="739"/>
    </row>
    <row r="11" spans="1:23" s="743" customFormat="1" ht="21">
      <c r="A11" s="741" t="s">
        <v>262</v>
      </c>
      <c r="B11" s="1259">
        <v>2</v>
      </c>
      <c r="C11" s="1259">
        <v>7</v>
      </c>
      <c r="D11" s="1259">
        <v>28</v>
      </c>
      <c r="E11" s="1259">
        <v>66</v>
      </c>
      <c r="F11" s="1259">
        <v>38</v>
      </c>
      <c r="G11" s="1260">
        <v>0</v>
      </c>
      <c r="H11" s="1259">
        <v>6</v>
      </c>
      <c r="I11" s="1259">
        <v>19</v>
      </c>
      <c r="J11" s="1259">
        <v>64</v>
      </c>
      <c r="K11" s="1261">
        <v>52</v>
      </c>
      <c r="L11" s="1259">
        <v>1</v>
      </c>
      <c r="M11" s="1259">
        <v>7</v>
      </c>
      <c r="N11" s="1259">
        <v>23</v>
      </c>
      <c r="O11" s="1259">
        <v>59</v>
      </c>
      <c r="P11" s="1259">
        <v>9</v>
      </c>
      <c r="Q11" s="1260">
        <v>0</v>
      </c>
      <c r="R11" s="1259">
        <v>7</v>
      </c>
      <c r="S11" s="1259">
        <v>15</v>
      </c>
      <c r="T11" s="1259">
        <v>65</v>
      </c>
      <c r="U11" s="1259">
        <v>12</v>
      </c>
      <c r="V11" s="909" t="s">
        <v>263</v>
      </c>
      <c r="W11" s="739"/>
    </row>
    <row r="12" spans="1:23" s="743" customFormat="1" ht="21">
      <c r="A12" s="741" t="s">
        <v>290</v>
      </c>
      <c r="B12" s="115">
        <v>2</v>
      </c>
      <c r="C12" s="115">
        <v>2</v>
      </c>
      <c r="D12" s="115">
        <v>18</v>
      </c>
      <c r="E12" s="115">
        <v>85</v>
      </c>
      <c r="F12" s="115">
        <v>39</v>
      </c>
      <c r="G12" s="1260">
        <v>1</v>
      </c>
      <c r="H12" s="1259">
        <v>4</v>
      </c>
      <c r="I12" s="1259">
        <v>9</v>
      </c>
      <c r="J12" s="1259">
        <v>71</v>
      </c>
      <c r="K12" s="1261">
        <v>61</v>
      </c>
      <c r="L12" s="1259">
        <v>8</v>
      </c>
      <c r="M12" s="1259">
        <v>4</v>
      </c>
      <c r="N12" s="1259">
        <v>25</v>
      </c>
      <c r="O12" s="1259">
        <v>85</v>
      </c>
      <c r="P12" s="1259">
        <v>11</v>
      </c>
      <c r="Q12" s="1260">
        <v>1</v>
      </c>
      <c r="R12" s="1259">
        <v>9</v>
      </c>
      <c r="S12" s="1259">
        <v>17</v>
      </c>
      <c r="T12" s="1259">
        <v>80</v>
      </c>
      <c r="U12" s="1259">
        <v>26</v>
      </c>
      <c r="V12" s="908" t="s">
        <v>291</v>
      </c>
      <c r="W12" s="739"/>
    </row>
    <row r="13" spans="1:23" s="743" customFormat="1" ht="21">
      <c r="A13" s="741" t="s">
        <v>318</v>
      </c>
      <c r="B13" s="1259">
        <v>2</v>
      </c>
      <c r="C13" s="1259">
        <v>10</v>
      </c>
      <c r="D13" s="1259">
        <v>17</v>
      </c>
      <c r="E13" s="1259">
        <v>108</v>
      </c>
      <c r="F13" s="1259">
        <v>75</v>
      </c>
      <c r="G13" s="1260">
        <v>1</v>
      </c>
      <c r="H13" s="1259">
        <v>4</v>
      </c>
      <c r="I13" s="1259">
        <v>13</v>
      </c>
      <c r="J13" s="1259">
        <v>75</v>
      </c>
      <c r="K13" s="1261">
        <v>119</v>
      </c>
      <c r="L13" s="1259">
        <v>3</v>
      </c>
      <c r="M13" s="1259">
        <v>12</v>
      </c>
      <c r="N13" s="1259">
        <v>26</v>
      </c>
      <c r="O13" s="1259">
        <v>71</v>
      </c>
      <c r="P13" s="1259">
        <v>16</v>
      </c>
      <c r="Q13" s="1260">
        <v>0</v>
      </c>
      <c r="R13" s="1259">
        <v>11</v>
      </c>
      <c r="S13" s="1259">
        <v>21</v>
      </c>
      <c r="T13" s="1259">
        <v>68</v>
      </c>
      <c r="U13" s="1259">
        <v>28</v>
      </c>
      <c r="V13" s="908" t="s">
        <v>319</v>
      </c>
      <c r="W13" s="739"/>
    </row>
    <row r="14" spans="1:23" s="743" customFormat="1" ht="21">
      <c r="A14" s="741" t="s">
        <v>938</v>
      </c>
      <c r="B14" s="1259">
        <v>1</v>
      </c>
      <c r="C14" s="1259">
        <v>5</v>
      </c>
      <c r="D14" s="1259">
        <v>12</v>
      </c>
      <c r="E14" s="1259">
        <v>49</v>
      </c>
      <c r="F14" s="1259">
        <v>40</v>
      </c>
      <c r="G14" s="1260">
        <v>1</v>
      </c>
      <c r="H14" s="1259">
        <v>2</v>
      </c>
      <c r="I14" s="1259">
        <v>10</v>
      </c>
      <c r="J14" s="1259">
        <v>38</v>
      </c>
      <c r="K14" s="1261">
        <v>56</v>
      </c>
      <c r="L14" s="1259">
        <v>2</v>
      </c>
      <c r="M14" s="1259">
        <v>3</v>
      </c>
      <c r="N14" s="1259">
        <v>17</v>
      </c>
      <c r="O14" s="1259">
        <v>32</v>
      </c>
      <c r="P14" s="1259">
        <v>5</v>
      </c>
      <c r="Q14" s="1260">
        <v>1</v>
      </c>
      <c r="R14" s="1259">
        <v>2</v>
      </c>
      <c r="S14" s="1259">
        <v>9</v>
      </c>
      <c r="T14" s="1259">
        <v>35</v>
      </c>
      <c r="U14" s="1259">
        <v>12</v>
      </c>
      <c r="V14" s="909" t="s">
        <v>349</v>
      </c>
      <c r="W14" s="739"/>
    </row>
    <row r="15" spans="1:23" s="743" customFormat="1" ht="21">
      <c r="A15" s="741" t="s">
        <v>939</v>
      </c>
      <c r="B15" s="1259">
        <v>1</v>
      </c>
      <c r="C15" s="1259">
        <v>3</v>
      </c>
      <c r="D15" s="1259">
        <v>20</v>
      </c>
      <c r="E15" s="1259">
        <v>64</v>
      </c>
      <c r="F15" s="1259">
        <v>43</v>
      </c>
      <c r="G15" s="1260">
        <v>0</v>
      </c>
      <c r="H15" s="1259">
        <v>3</v>
      </c>
      <c r="I15" s="1259">
        <v>11</v>
      </c>
      <c r="J15" s="1259">
        <v>63</v>
      </c>
      <c r="K15" s="1261">
        <v>54</v>
      </c>
      <c r="L15" s="1259">
        <v>2</v>
      </c>
      <c r="M15" s="1259">
        <v>6</v>
      </c>
      <c r="N15" s="1259">
        <v>13</v>
      </c>
      <c r="O15" s="1259">
        <v>49</v>
      </c>
      <c r="P15" s="1259">
        <v>5</v>
      </c>
      <c r="Q15" s="1260">
        <v>1</v>
      </c>
      <c r="R15" s="1259">
        <v>4</v>
      </c>
      <c r="S15" s="1259">
        <v>10</v>
      </c>
      <c r="T15" s="1259">
        <v>47</v>
      </c>
      <c r="U15" s="1259">
        <v>13</v>
      </c>
      <c r="V15" s="908" t="s">
        <v>375</v>
      </c>
      <c r="W15" s="739"/>
    </row>
    <row r="16" spans="1:23" s="743" customFormat="1" ht="21">
      <c r="A16" s="741" t="s">
        <v>940</v>
      </c>
      <c r="B16" s="1259">
        <v>2</v>
      </c>
      <c r="C16" s="1259">
        <v>7</v>
      </c>
      <c r="D16" s="1259">
        <v>27</v>
      </c>
      <c r="E16" s="1259">
        <v>93</v>
      </c>
      <c r="F16" s="1259">
        <v>57</v>
      </c>
      <c r="G16" s="1260">
        <v>1</v>
      </c>
      <c r="H16" s="1259">
        <v>2</v>
      </c>
      <c r="I16" s="1259">
        <v>29</v>
      </c>
      <c r="J16" s="1259">
        <v>81</v>
      </c>
      <c r="K16" s="1261">
        <v>73</v>
      </c>
      <c r="L16" s="1259">
        <v>4</v>
      </c>
      <c r="M16" s="1259">
        <v>8</v>
      </c>
      <c r="N16" s="1259">
        <v>27</v>
      </c>
      <c r="O16" s="1259">
        <v>68</v>
      </c>
      <c r="P16" s="1259">
        <v>13</v>
      </c>
      <c r="Q16" s="1260">
        <v>2</v>
      </c>
      <c r="R16" s="1259">
        <v>1</v>
      </c>
      <c r="S16" s="1259">
        <v>21</v>
      </c>
      <c r="T16" s="1259">
        <v>73</v>
      </c>
      <c r="U16" s="1259">
        <v>23</v>
      </c>
      <c r="V16" s="908" t="s">
        <v>387</v>
      </c>
      <c r="W16" s="739"/>
    </row>
    <row r="17" spans="1:23" s="743" customFormat="1" ht="21">
      <c r="A17" s="741" t="s">
        <v>406</v>
      </c>
      <c r="B17" s="1259">
        <v>1</v>
      </c>
      <c r="C17" s="1259">
        <v>6</v>
      </c>
      <c r="D17" s="1259">
        <v>26</v>
      </c>
      <c r="E17" s="1259">
        <v>45</v>
      </c>
      <c r="F17" s="1259">
        <v>20</v>
      </c>
      <c r="G17" s="1260">
        <v>1</v>
      </c>
      <c r="H17" s="1259">
        <v>3</v>
      </c>
      <c r="I17" s="1259">
        <v>18</v>
      </c>
      <c r="J17" s="1259">
        <v>43</v>
      </c>
      <c r="K17" s="1261">
        <v>33</v>
      </c>
      <c r="L17" s="1259">
        <v>1</v>
      </c>
      <c r="M17" s="1259">
        <v>5</v>
      </c>
      <c r="N17" s="1259">
        <v>11</v>
      </c>
      <c r="O17" s="1259">
        <v>37</v>
      </c>
      <c r="P17" s="1259">
        <v>1</v>
      </c>
      <c r="Q17" s="1260">
        <v>1</v>
      </c>
      <c r="R17" s="1259">
        <v>2</v>
      </c>
      <c r="S17" s="1259">
        <v>10</v>
      </c>
      <c r="T17" s="1259">
        <v>36</v>
      </c>
      <c r="U17" s="1259">
        <v>6</v>
      </c>
      <c r="V17" s="908" t="s">
        <v>407</v>
      </c>
      <c r="W17" s="739"/>
    </row>
    <row r="18" spans="1:23" s="743" customFormat="1" ht="21">
      <c r="A18" s="741" t="s">
        <v>422</v>
      </c>
      <c r="B18" s="1259">
        <v>2</v>
      </c>
      <c r="C18" s="1259">
        <v>4</v>
      </c>
      <c r="D18" s="1259">
        <v>8</v>
      </c>
      <c r="E18" s="1259">
        <v>67</v>
      </c>
      <c r="F18" s="1259">
        <v>29</v>
      </c>
      <c r="G18" s="1260">
        <v>0</v>
      </c>
      <c r="H18" s="1259">
        <v>2</v>
      </c>
      <c r="I18" s="1259">
        <v>7</v>
      </c>
      <c r="J18" s="1259">
        <v>44</v>
      </c>
      <c r="K18" s="1261">
        <v>57</v>
      </c>
      <c r="L18" s="115">
        <v>0</v>
      </c>
      <c r="M18" s="115">
        <v>9</v>
      </c>
      <c r="N18" s="115">
        <v>14</v>
      </c>
      <c r="O18" s="115">
        <v>60</v>
      </c>
      <c r="P18" s="115">
        <v>0</v>
      </c>
      <c r="Q18" s="1262">
        <v>0</v>
      </c>
      <c r="R18" s="115">
        <v>4</v>
      </c>
      <c r="S18" s="115">
        <v>13</v>
      </c>
      <c r="T18" s="115">
        <v>51</v>
      </c>
      <c r="U18" s="115">
        <v>15</v>
      </c>
      <c r="V18" s="908" t="s">
        <v>423</v>
      </c>
      <c r="W18" s="739"/>
    </row>
    <row r="19" spans="1:23" s="743" customFormat="1" ht="21">
      <c r="A19" s="741" t="s">
        <v>441</v>
      </c>
      <c r="B19" s="1259">
        <v>0</v>
      </c>
      <c r="C19" s="1259">
        <v>0</v>
      </c>
      <c r="D19" s="1259">
        <v>1</v>
      </c>
      <c r="E19" s="1259">
        <v>11</v>
      </c>
      <c r="F19" s="1259">
        <v>2</v>
      </c>
      <c r="G19" s="1260">
        <v>0</v>
      </c>
      <c r="H19" s="1259">
        <v>0</v>
      </c>
      <c r="I19" s="1259">
        <v>0</v>
      </c>
      <c r="J19" s="1259">
        <v>8</v>
      </c>
      <c r="K19" s="1261">
        <v>6</v>
      </c>
      <c r="L19" s="1259">
        <v>0</v>
      </c>
      <c r="M19" s="1259">
        <v>0</v>
      </c>
      <c r="N19" s="1259">
        <v>1</v>
      </c>
      <c r="O19" s="1259">
        <v>8</v>
      </c>
      <c r="P19" s="1259">
        <v>1</v>
      </c>
      <c r="Q19" s="1260">
        <v>0</v>
      </c>
      <c r="R19" s="1259">
        <v>0</v>
      </c>
      <c r="S19" s="1259">
        <v>1</v>
      </c>
      <c r="T19" s="1259">
        <v>8</v>
      </c>
      <c r="U19" s="1259">
        <v>1</v>
      </c>
      <c r="V19" s="908" t="s">
        <v>442</v>
      </c>
      <c r="W19" s="739"/>
    </row>
    <row r="20" spans="1:23" s="743" customFormat="1" ht="21">
      <c r="A20" s="741" t="s">
        <v>453</v>
      </c>
      <c r="B20" s="1259">
        <v>0</v>
      </c>
      <c r="C20" s="1259">
        <v>2</v>
      </c>
      <c r="D20" s="1259">
        <v>4</v>
      </c>
      <c r="E20" s="1259">
        <v>23</v>
      </c>
      <c r="F20" s="1259">
        <v>16</v>
      </c>
      <c r="G20" s="1260">
        <v>0</v>
      </c>
      <c r="H20" s="1259">
        <v>1</v>
      </c>
      <c r="I20" s="1259">
        <v>4</v>
      </c>
      <c r="J20" s="1259">
        <v>20</v>
      </c>
      <c r="K20" s="1261">
        <v>20</v>
      </c>
      <c r="L20" s="1259">
        <v>0</v>
      </c>
      <c r="M20" s="1259">
        <v>2</v>
      </c>
      <c r="N20" s="1259">
        <v>6</v>
      </c>
      <c r="O20" s="1259">
        <v>19</v>
      </c>
      <c r="P20" s="1259">
        <v>2</v>
      </c>
      <c r="Q20" s="1260">
        <v>0</v>
      </c>
      <c r="R20" s="1259">
        <v>1</v>
      </c>
      <c r="S20" s="1259">
        <v>5</v>
      </c>
      <c r="T20" s="1259">
        <v>18</v>
      </c>
      <c r="U20" s="1259">
        <v>5</v>
      </c>
      <c r="V20" s="908" t="s">
        <v>454</v>
      </c>
      <c r="W20" s="739"/>
    </row>
    <row r="21" spans="1:23" s="743" customFormat="1" ht="21">
      <c r="A21" s="741" t="s">
        <v>941</v>
      </c>
      <c r="B21" s="1259">
        <v>2</v>
      </c>
      <c r="C21" s="1259">
        <v>1</v>
      </c>
      <c r="D21" s="1259">
        <v>6</v>
      </c>
      <c r="E21" s="1259">
        <v>30</v>
      </c>
      <c r="F21" s="1259">
        <v>16</v>
      </c>
      <c r="G21" s="1260">
        <v>0</v>
      </c>
      <c r="H21" s="1259">
        <v>3</v>
      </c>
      <c r="I21" s="1259">
        <v>1</v>
      </c>
      <c r="J21" s="1259">
        <v>27</v>
      </c>
      <c r="K21" s="1261">
        <v>24</v>
      </c>
      <c r="L21" s="1259">
        <v>1</v>
      </c>
      <c r="M21" s="1259">
        <v>2</v>
      </c>
      <c r="N21" s="1259">
        <v>4</v>
      </c>
      <c r="O21" s="1259">
        <v>15</v>
      </c>
      <c r="P21" s="1259">
        <v>1</v>
      </c>
      <c r="Q21" s="1260">
        <v>0</v>
      </c>
      <c r="R21" s="1259">
        <v>1</v>
      </c>
      <c r="S21" s="1259">
        <v>3</v>
      </c>
      <c r="T21" s="1259">
        <v>19</v>
      </c>
      <c r="U21" s="1259">
        <v>0</v>
      </c>
      <c r="V21" s="908" t="s">
        <v>471</v>
      </c>
      <c r="W21" s="739"/>
    </row>
    <row r="22" spans="1:23" s="743" customFormat="1" ht="21">
      <c r="A22" s="741" t="s">
        <v>480</v>
      </c>
      <c r="B22" s="1259">
        <v>0</v>
      </c>
      <c r="C22" s="1259">
        <v>0</v>
      </c>
      <c r="D22" s="1259">
        <v>10</v>
      </c>
      <c r="E22" s="1259">
        <v>25</v>
      </c>
      <c r="F22" s="1259">
        <v>25</v>
      </c>
      <c r="G22" s="1260">
        <v>0</v>
      </c>
      <c r="H22" s="1259">
        <v>0</v>
      </c>
      <c r="I22" s="1259">
        <v>6</v>
      </c>
      <c r="J22" s="1259">
        <v>24</v>
      </c>
      <c r="K22" s="1261">
        <v>30</v>
      </c>
      <c r="L22" s="1259">
        <v>0</v>
      </c>
      <c r="M22" s="1259">
        <v>1</v>
      </c>
      <c r="N22" s="1259">
        <v>11</v>
      </c>
      <c r="O22" s="1259">
        <v>26</v>
      </c>
      <c r="P22" s="1259">
        <v>3</v>
      </c>
      <c r="Q22" s="1260">
        <v>0</v>
      </c>
      <c r="R22" s="1259">
        <v>1</v>
      </c>
      <c r="S22" s="1259">
        <v>8</v>
      </c>
      <c r="T22" s="1259">
        <v>25</v>
      </c>
      <c r="U22" s="1259">
        <v>7</v>
      </c>
      <c r="V22" s="908" t="s">
        <v>481</v>
      </c>
      <c r="W22" s="739"/>
    </row>
    <row r="23" spans="1:23" s="743" customFormat="1" ht="21">
      <c r="A23" s="741" t="s">
        <v>494</v>
      </c>
      <c r="B23" s="1259">
        <v>2</v>
      </c>
      <c r="C23" s="1259">
        <v>4</v>
      </c>
      <c r="D23" s="1259">
        <v>19</v>
      </c>
      <c r="E23" s="1259">
        <v>62</v>
      </c>
      <c r="F23" s="1259">
        <v>35</v>
      </c>
      <c r="G23" s="1260">
        <v>1</v>
      </c>
      <c r="H23" s="1259">
        <v>4</v>
      </c>
      <c r="I23" s="1259">
        <v>13</v>
      </c>
      <c r="J23" s="1259">
        <v>56</v>
      </c>
      <c r="K23" s="1261">
        <v>48</v>
      </c>
      <c r="L23" s="1259">
        <v>2</v>
      </c>
      <c r="M23" s="1259">
        <v>4</v>
      </c>
      <c r="N23" s="1259">
        <v>22</v>
      </c>
      <c r="O23" s="1259">
        <v>42</v>
      </c>
      <c r="P23" s="1259">
        <v>6</v>
      </c>
      <c r="Q23" s="1260">
        <v>0</v>
      </c>
      <c r="R23" s="1259">
        <v>3</v>
      </c>
      <c r="S23" s="1259">
        <v>17</v>
      </c>
      <c r="T23" s="1259">
        <v>45</v>
      </c>
      <c r="U23" s="1259">
        <v>11</v>
      </c>
      <c r="V23" s="908" t="s">
        <v>495</v>
      </c>
      <c r="W23" s="739"/>
    </row>
    <row r="24" spans="1:23" s="743" customFormat="1" ht="21">
      <c r="A24" s="741" t="s">
        <v>516</v>
      </c>
      <c r="B24" s="1259">
        <v>4</v>
      </c>
      <c r="C24" s="1259">
        <v>15</v>
      </c>
      <c r="D24" s="1259">
        <v>35</v>
      </c>
      <c r="E24" s="1259">
        <v>114</v>
      </c>
      <c r="F24" s="1259">
        <v>56</v>
      </c>
      <c r="G24" s="1260">
        <v>0</v>
      </c>
      <c r="H24" s="1259">
        <v>7</v>
      </c>
      <c r="I24" s="1259">
        <v>34</v>
      </c>
      <c r="J24" s="1259">
        <v>97</v>
      </c>
      <c r="K24" s="1261">
        <v>86</v>
      </c>
      <c r="L24" s="1259">
        <v>2</v>
      </c>
      <c r="M24" s="1259">
        <v>11</v>
      </c>
      <c r="N24" s="1259">
        <v>30</v>
      </c>
      <c r="O24" s="1259">
        <v>99</v>
      </c>
      <c r="P24" s="1259">
        <v>20</v>
      </c>
      <c r="Q24" s="1260">
        <v>0</v>
      </c>
      <c r="R24" s="1259">
        <v>5</v>
      </c>
      <c r="S24" s="1259">
        <v>32</v>
      </c>
      <c r="T24" s="1259">
        <v>103</v>
      </c>
      <c r="U24" s="1259">
        <v>22</v>
      </c>
      <c r="V24" s="908" t="s">
        <v>517</v>
      </c>
      <c r="W24" s="739"/>
    </row>
    <row r="25" spans="1:23" s="743" customFormat="1" ht="21">
      <c r="A25" s="741" t="s">
        <v>541</v>
      </c>
      <c r="B25" s="1259">
        <v>4</v>
      </c>
      <c r="C25" s="1259">
        <v>4</v>
      </c>
      <c r="D25" s="1259">
        <v>14</v>
      </c>
      <c r="E25" s="1259">
        <v>53</v>
      </c>
      <c r="F25" s="1259">
        <v>33</v>
      </c>
      <c r="G25" s="1260">
        <v>0</v>
      </c>
      <c r="H25" s="1259">
        <v>7</v>
      </c>
      <c r="I25" s="1259">
        <v>10</v>
      </c>
      <c r="J25" s="1259">
        <v>45</v>
      </c>
      <c r="K25" s="1261">
        <v>46</v>
      </c>
      <c r="L25" s="1259">
        <v>3</v>
      </c>
      <c r="M25" s="1259">
        <v>6</v>
      </c>
      <c r="N25" s="1259">
        <v>20</v>
      </c>
      <c r="O25" s="1259">
        <v>38</v>
      </c>
      <c r="P25" s="1259">
        <v>6</v>
      </c>
      <c r="Q25" s="1260">
        <v>2</v>
      </c>
      <c r="R25" s="1259">
        <v>3</v>
      </c>
      <c r="S25" s="1259">
        <v>15</v>
      </c>
      <c r="T25" s="1259">
        <v>43</v>
      </c>
      <c r="U25" s="1259">
        <v>10</v>
      </c>
      <c r="V25" s="908" t="s">
        <v>542</v>
      </c>
      <c r="W25" s="739"/>
    </row>
    <row r="26" spans="1:23" s="743" customFormat="1" ht="21">
      <c r="A26" s="741" t="s">
        <v>556</v>
      </c>
      <c r="B26" s="1259">
        <v>2</v>
      </c>
      <c r="C26" s="1259">
        <v>8</v>
      </c>
      <c r="D26" s="1259">
        <v>25</v>
      </c>
      <c r="E26" s="1259">
        <v>67</v>
      </c>
      <c r="F26" s="1259">
        <v>35</v>
      </c>
      <c r="G26" s="1260">
        <v>1</v>
      </c>
      <c r="H26" s="1259">
        <v>5</v>
      </c>
      <c r="I26" s="1259">
        <v>28</v>
      </c>
      <c r="J26" s="1259">
        <v>54</v>
      </c>
      <c r="K26" s="1261">
        <v>49</v>
      </c>
      <c r="L26" s="1259">
        <v>3</v>
      </c>
      <c r="M26" s="1259">
        <v>13</v>
      </c>
      <c r="N26" s="1259">
        <v>28</v>
      </c>
      <c r="O26" s="1259">
        <v>66</v>
      </c>
      <c r="P26" s="1259">
        <v>7</v>
      </c>
      <c r="Q26" s="1260">
        <v>1</v>
      </c>
      <c r="R26" s="1259">
        <v>7</v>
      </c>
      <c r="S26" s="1259">
        <v>25</v>
      </c>
      <c r="T26" s="1259">
        <v>71</v>
      </c>
      <c r="U26" s="1259">
        <v>13</v>
      </c>
      <c r="V26" s="908" t="s">
        <v>557</v>
      </c>
      <c r="W26" s="739"/>
    </row>
    <row r="27" spans="1:23" s="743" customFormat="1" ht="21">
      <c r="A27" s="741" t="s">
        <v>576</v>
      </c>
      <c r="B27" s="1259">
        <v>0</v>
      </c>
      <c r="C27" s="1259">
        <v>12</v>
      </c>
      <c r="D27" s="1259">
        <v>22</v>
      </c>
      <c r="E27" s="1259">
        <v>65</v>
      </c>
      <c r="F27" s="1259">
        <v>44</v>
      </c>
      <c r="G27" s="1260">
        <v>1</v>
      </c>
      <c r="H27" s="1259">
        <v>4</v>
      </c>
      <c r="I27" s="1259">
        <v>25</v>
      </c>
      <c r="J27" s="1259">
        <v>56</v>
      </c>
      <c r="K27" s="1261">
        <v>57</v>
      </c>
      <c r="L27" s="1259">
        <v>1</v>
      </c>
      <c r="M27" s="1259">
        <v>9</v>
      </c>
      <c r="N27" s="1259">
        <v>22</v>
      </c>
      <c r="O27" s="1259">
        <v>54</v>
      </c>
      <c r="P27" s="1259">
        <v>15</v>
      </c>
      <c r="Q27" s="1260">
        <v>1</v>
      </c>
      <c r="R27" s="1259">
        <v>5</v>
      </c>
      <c r="S27" s="1259">
        <v>17</v>
      </c>
      <c r="T27" s="1259">
        <v>50</v>
      </c>
      <c r="U27" s="1259">
        <v>28</v>
      </c>
      <c r="V27" s="908" t="s">
        <v>577</v>
      </c>
      <c r="W27" s="739"/>
    </row>
    <row r="28" spans="1:23" s="743" customFormat="1" ht="21">
      <c r="A28" s="744" t="s">
        <v>942</v>
      </c>
      <c r="B28" s="1263">
        <v>1</v>
      </c>
      <c r="C28" s="1263">
        <v>12</v>
      </c>
      <c r="D28" s="1263">
        <v>59</v>
      </c>
      <c r="E28" s="1263">
        <v>165</v>
      </c>
      <c r="F28" s="1263">
        <v>49</v>
      </c>
      <c r="G28" s="1264">
        <v>1</v>
      </c>
      <c r="H28" s="1263">
        <v>7</v>
      </c>
      <c r="I28" s="1263">
        <v>47</v>
      </c>
      <c r="J28" s="1263">
        <v>132</v>
      </c>
      <c r="K28" s="1265">
        <v>99</v>
      </c>
      <c r="L28" s="1263">
        <v>3</v>
      </c>
      <c r="M28" s="1263">
        <v>16</v>
      </c>
      <c r="N28" s="1263">
        <v>60</v>
      </c>
      <c r="O28" s="1263">
        <v>95</v>
      </c>
      <c r="P28" s="1263">
        <v>6</v>
      </c>
      <c r="Q28" s="1264">
        <v>1</v>
      </c>
      <c r="R28" s="1263">
        <v>8</v>
      </c>
      <c r="S28" s="1263">
        <v>53</v>
      </c>
      <c r="T28" s="1263">
        <v>99</v>
      </c>
      <c r="U28" s="1263">
        <v>19</v>
      </c>
      <c r="V28" s="910" t="s">
        <v>943</v>
      </c>
      <c r="W28" s="739"/>
    </row>
    <row r="29" spans="1:23" s="743" customFormat="1" ht="17.25">
      <c r="A29" s="745" t="s">
        <v>879</v>
      </c>
      <c r="B29" s="746"/>
      <c r="C29" s="746"/>
      <c r="D29" s="746"/>
      <c r="E29" s="746"/>
      <c r="F29" s="746"/>
      <c r="G29" s="746"/>
      <c r="H29" s="746"/>
      <c r="I29" s="746"/>
      <c r="J29" s="746"/>
      <c r="K29" s="746"/>
      <c r="L29" s="746"/>
      <c r="M29" s="746"/>
      <c r="N29" s="746"/>
      <c r="O29" s="746"/>
      <c r="P29" s="746"/>
      <c r="V29" s="747" t="s">
        <v>880</v>
      </c>
    </row>
    <row r="30" spans="1:23" s="743" customFormat="1" ht="17.25">
      <c r="A30" s="745"/>
      <c r="B30" s="746"/>
      <c r="C30" s="746"/>
      <c r="D30" s="746"/>
      <c r="E30" s="746"/>
      <c r="F30" s="746"/>
      <c r="G30" s="746"/>
      <c r="H30" s="746"/>
      <c r="I30" s="746"/>
      <c r="J30" s="746"/>
      <c r="K30" s="746"/>
      <c r="L30" s="746"/>
      <c r="M30" s="746"/>
      <c r="N30" s="746"/>
      <c r="O30" s="746"/>
      <c r="P30" s="746"/>
      <c r="V30" s="747"/>
    </row>
    <row r="31" spans="1:23" s="743" customFormat="1" ht="11.25" customHeight="1"/>
  </sheetData>
  <mergeCells count="8">
    <mergeCell ref="A1:V1"/>
    <mergeCell ref="A2:V2"/>
    <mergeCell ref="A3:A4"/>
    <mergeCell ref="B3:F3"/>
    <mergeCell ref="G3:K3"/>
    <mergeCell ref="L3:P3"/>
    <mergeCell ref="Q3:U3"/>
    <mergeCell ref="V3:V4"/>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T233"/>
  <sheetViews>
    <sheetView workbookViewId="0">
      <selection activeCell="I236" sqref="I236"/>
    </sheetView>
  </sheetViews>
  <sheetFormatPr defaultColWidth="6.85546875" defaultRowHeight="12.75"/>
  <cols>
    <col min="1" max="1" width="28" style="941" customWidth="1"/>
    <col min="2" max="7" width="14.85546875" style="941" customWidth="1"/>
    <col min="8" max="16384" width="6.85546875" style="921"/>
  </cols>
  <sheetData>
    <row r="1" spans="1:7" ht="15" customHeight="1">
      <c r="A1" s="1552" t="s">
        <v>1179</v>
      </c>
      <c r="B1" s="1552"/>
      <c r="C1" s="1552"/>
      <c r="D1" s="1552"/>
      <c r="E1" s="1552"/>
      <c r="F1" s="1552"/>
      <c r="G1" s="1552"/>
    </row>
    <row r="2" spans="1:7" ht="15" customHeight="1">
      <c r="A2" s="1080"/>
      <c r="B2" s="1080"/>
      <c r="C2" s="1080"/>
      <c r="D2" s="1080"/>
      <c r="E2" s="1080"/>
      <c r="F2" s="1080"/>
      <c r="G2" s="1080"/>
    </row>
    <row r="3" spans="1:7" ht="15" customHeight="1">
      <c r="A3" s="1547" t="s">
        <v>1074</v>
      </c>
      <c r="B3" s="1549">
        <v>2019</v>
      </c>
      <c r="C3" s="1550"/>
      <c r="D3" s="1551">
        <v>2020</v>
      </c>
      <c r="E3" s="1550"/>
      <c r="F3" s="1549">
        <v>2021</v>
      </c>
      <c r="G3" s="1549"/>
    </row>
    <row r="4" spans="1:7" s="922" customFormat="1" ht="20.25" customHeight="1">
      <c r="A4" s="1548"/>
      <c r="B4" s="1081" t="s">
        <v>1075</v>
      </c>
      <c r="C4" s="1082" t="s">
        <v>1076</v>
      </c>
      <c r="D4" s="1186" t="s">
        <v>1075</v>
      </c>
      <c r="E4" s="1082" t="s">
        <v>1076</v>
      </c>
      <c r="F4" s="1081" t="s">
        <v>1075</v>
      </c>
      <c r="G4" s="1083" t="s">
        <v>1076</v>
      </c>
    </row>
    <row r="5" spans="1:7" s="923" customFormat="1" ht="15.75" customHeight="1">
      <c r="A5" s="1084" t="s">
        <v>169</v>
      </c>
      <c r="B5" s="946">
        <f t="shared" ref="B5:G5" si="0">B6+B7+B8+B24+B39+B55+B70+B87+B102+B108+B119+B129+B141+B148+B158+B165+B173+B188+B201+B212+B223+B226</f>
        <v>5069</v>
      </c>
      <c r="C5" s="1085">
        <f t="shared" si="0"/>
        <v>3550</v>
      </c>
      <c r="D5" s="1187">
        <f t="shared" si="0"/>
        <v>4998</v>
      </c>
      <c r="E5" s="1085">
        <f t="shared" si="0"/>
        <v>2984</v>
      </c>
      <c r="F5" s="1273">
        <f t="shared" si="0"/>
        <v>5414</v>
      </c>
      <c r="G5" s="1266">
        <f t="shared" si="0"/>
        <v>3242</v>
      </c>
    </row>
    <row r="6" spans="1:7" s="939" customFormat="1" ht="15.75" customHeight="1">
      <c r="A6" s="1084" t="s">
        <v>637</v>
      </c>
      <c r="B6" s="947">
        <v>2055</v>
      </c>
      <c r="C6" s="1086">
        <v>1260</v>
      </c>
      <c r="D6" s="1188">
        <v>1995</v>
      </c>
      <c r="E6" s="1086">
        <v>928</v>
      </c>
      <c r="F6" s="1274">
        <v>2396</v>
      </c>
      <c r="G6" s="1203">
        <v>1191</v>
      </c>
    </row>
    <row r="7" spans="1:7" s="939" customFormat="1" ht="15.75" customHeight="1">
      <c r="A7" s="1084" t="s">
        <v>183</v>
      </c>
      <c r="B7" s="947">
        <v>312</v>
      </c>
      <c r="C7" s="1086">
        <v>359</v>
      </c>
      <c r="D7" s="1188">
        <v>237</v>
      </c>
      <c r="E7" s="1086">
        <v>173</v>
      </c>
      <c r="F7" s="1274">
        <v>330</v>
      </c>
      <c r="G7" s="1203">
        <v>247</v>
      </c>
    </row>
    <row r="8" spans="1:7" s="924" customFormat="1">
      <c r="A8" s="1087" t="s">
        <v>197</v>
      </c>
      <c r="B8" s="769">
        <f t="shared" ref="B8:G8" si="1">SUM(B9:B22)</f>
        <v>156</v>
      </c>
      <c r="C8" s="1086">
        <f t="shared" si="1"/>
        <v>80</v>
      </c>
      <c r="D8" s="1189">
        <f t="shared" si="1"/>
        <v>134</v>
      </c>
      <c r="E8" s="1086">
        <f t="shared" si="1"/>
        <v>85</v>
      </c>
      <c r="F8" s="1267">
        <f t="shared" si="1"/>
        <v>121</v>
      </c>
      <c r="G8" s="1203">
        <f t="shared" si="1"/>
        <v>82</v>
      </c>
    </row>
    <row r="9" spans="1:7" s="924" customFormat="1">
      <c r="A9" s="943" t="s">
        <v>199</v>
      </c>
      <c r="B9" s="948">
        <v>1</v>
      </c>
      <c r="C9" s="1088">
        <v>1</v>
      </c>
      <c r="D9" s="1190">
        <v>1</v>
      </c>
      <c r="E9" s="1088">
        <v>1</v>
      </c>
      <c r="F9" s="1275">
        <v>3</v>
      </c>
      <c r="G9" s="1276">
        <v>0</v>
      </c>
    </row>
    <row r="10" spans="1:7" s="924" customFormat="1">
      <c r="A10" s="943" t="s">
        <v>201</v>
      </c>
      <c r="B10" s="948">
        <v>5</v>
      </c>
      <c r="C10" s="1088">
        <v>3</v>
      </c>
      <c r="D10" s="1190">
        <v>4</v>
      </c>
      <c r="E10" s="1088">
        <v>0</v>
      </c>
      <c r="F10" s="1275">
        <v>0</v>
      </c>
      <c r="G10" s="1276">
        <v>0</v>
      </c>
    </row>
    <row r="11" spans="1:7" s="924" customFormat="1">
      <c r="A11" s="943" t="s">
        <v>204</v>
      </c>
      <c r="B11" s="949">
        <v>2</v>
      </c>
      <c r="C11" s="1088">
        <v>0</v>
      </c>
      <c r="D11" s="1191">
        <v>3</v>
      </c>
      <c r="E11" s="1088">
        <v>1</v>
      </c>
      <c r="F11" s="1277">
        <v>1</v>
      </c>
      <c r="G11" s="1276">
        <v>0</v>
      </c>
    </row>
    <row r="12" spans="1:7" s="924" customFormat="1">
      <c r="A12" s="943" t="s">
        <v>206</v>
      </c>
      <c r="B12" s="948">
        <v>19</v>
      </c>
      <c r="C12" s="1088">
        <v>17</v>
      </c>
      <c r="D12" s="1190">
        <v>9</v>
      </c>
      <c r="E12" s="1088">
        <v>12</v>
      </c>
      <c r="F12" s="1275">
        <v>20</v>
      </c>
      <c r="G12" s="1276">
        <v>16</v>
      </c>
    </row>
    <row r="13" spans="1:7" s="924" customFormat="1">
      <c r="A13" s="943" t="s">
        <v>208</v>
      </c>
      <c r="B13" s="948">
        <v>32</v>
      </c>
      <c r="C13" s="1088">
        <v>3</v>
      </c>
      <c r="D13" s="1190">
        <v>32</v>
      </c>
      <c r="E13" s="1088">
        <v>15</v>
      </c>
      <c r="F13" s="1275">
        <v>26</v>
      </c>
      <c r="G13" s="1276">
        <v>11</v>
      </c>
    </row>
    <row r="14" spans="1:7" s="924" customFormat="1">
      <c r="A14" s="943" t="s">
        <v>210</v>
      </c>
      <c r="B14" s="948">
        <v>5</v>
      </c>
      <c r="C14" s="1088">
        <v>3</v>
      </c>
      <c r="D14" s="1190">
        <v>6</v>
      </c>
      <c r="E14" s="1088">
        <v>7</v>
      </c>
      <c r="F14" s="1275">
        <v>2</v>
      </c>
      <c r="G14" s="1276">
        <v>6</v>
      </c>
    </row>
    <row r="15" spans="1:7" s="924" customFormat="1">
      <c r="A15" s="943" t="s">
        <v>212</v>
      </c>
      <c r="B15" s="948">
        <v>10</v>
      </c>
      <c r="C15" s="1088">
        <v>4</v>
      </c>
      <c r="D15" s="1190">
        <v>4</v>
      </c>
      <c r="E15" s="1088">
        <v>1</v>
      </c>
      <c r="F15" s="1275">
        <v>9</v>
      </c>
      <c r="G15" s="1276">
        <v>4</v>
      </c>
    </row>
    <row r="16" spans="1:7" s="924" customFormat="1">
      <c r="A16" s="943" t="s">
        <v>214</v>
      </c>
      <c r="B16" s="948">
        <v>29</v>
      </c>
      <c r="C16" s="1088">
        <v>18</v>
      </c>
      <c r="D16" s="1190">
        <v>35</v>
      </c>
      <c r="E16" s="1088">
        <v>21</v>
      </c>
      <c r="F16" s="1275">
        <v>18</v>
      </c>
      <c r="G16" s="1276">
        <v>24</v>
      </c>
    </row>
    <row r="17" spans="1:9" s="924" customFormat="1">
      <c r="A17" s="943" t="s">
        <v>216</v>
      </c>
      <c r="B17" s="948">
        <v>6</v>
      </c>
      <c r="C17" s="1088">
        <v>5</v>
      </c>
      <c r="D17" s="1190">
        <v>6</v>
      </c>
      <c r="E17" s="1088">
        <v>3</v>
      </c>
      <c r="F17" s="1275">
        <v>5</v>
      </c>
      <c r="G17" s="1276">
        <v>1</v>
      </c>
    </row>
    <row r="18" spans="1:9" s="924" customFormat="1">
      <c r="A18" s="943" t="s">
        <v>218</v>
      </c>
      <c r="B18" s="948">
        <v>11</v>
      </c>
      <c r="C18" s="1088">
        <v>7</v>
      </c>
      <c r="D18" s="1190">
        <v>8</v>
      </c>
      <c r="E18" s="1088">
        <v>2</v>
      </c>
      <c r="F18" s="1275">
        <v>8</v>
      </c>
      <c r="G18" s="1276">
        <v>9</v>
      </c>
    </row>
    <row r="19" spans="1:9" s="924" customFormat="1">
      <c r="A19" s="943" t="s">
        <v>220</v>
      </c>
      <c r="B19" s="948">
        <v>3</v>
      </c>
      <c r="C19" s="1088">
        <v>0</v>
      </c>
      <c r="D19" s="1190">
        <v>4</v>
      </c>
      <c r="E19" s="1088">
        <v>0</v>
      </c>
      <c r="F19" s="1275">
        <v>3</v>
      </c>
      <c r="G19" s="1276">
        <v>0</v>
      </c>
    </row>
    <row r="20" spans="1:9" s="924" customFormat="1">
      <c r="A20" s="943" t="s">
        <v>222</v>
      </c>
      <c r="B20" s="948">
        <v>12</v>
      </c>
      <c r="C20" s="1088">
        <v>6</v>
      </c>
      <c r="D20" s="1190">
        <v>3</v>
      </c>
      <c r="E20" s="1088">
        <v>4</v>
      </c>
      <c r="F20" s="1275">
        <v>8</v>
      </c>
      <c r="G20" s="1276">
        <v>4</v>
      </c>
    </row>
    <row r="21" spans="1:9" s="924" customFormat="1">
      <c r="A21" s="943" t="s">
        <v>224</v>
      </c>
      <c r="B21" s="948">
        <v>6</v>
      </c>
      <c r="C21" s="1088">
        <v>5</v>
      </c>
      <c r="D21" s="1190">
        <v>6</v>
      </c>
      <c r="E21" s="1088">
        <v>12</v>
      </c>
      <c r="F21" s="1275">
        <v>6</v>
      </c>
      <c r="G21" s="1276">
        <v>2</v>
      </c>
    </row>
    <row r="22" spans="1:9" s="924" customFormat="1">
      <c r="A22" s="942" t="s">
        <v>226</v>
      </c>
      <c r="B22" s="950">
        <v>15</v>
      </c>
      <c r="C22" s="1089">
        <v>8</v>
      </c>
      <c r="D22" s="1192">
        <v>13</v>
      </c>
      <c r="E22" s="1089">
        <v>6</v>
      </c>
      <c r="F22" s="1278">
        <v>12</v>
      </c>
      <c r="G22" s="1279">
        <v>5</v>
      </c>
    </row>
    <row r="23" spans="1:9" s="924" customFormat="1">
      <c r="A23" s="943"/>
      <c r="B23" s="948"/>
      <c r="C23" s="1086"/>
      <c r="D23" s="1190"/>
      <c r="E23" s="1086"/>
      <c r="F23" s="1268"/>
      <c r="G23" s="1203"/>
    </row>
    <row r="24" spans="1:9" s="924" customFormat="1">
      <c r="A24" s="1087" t="s">
        <v>228</v>
      </c>
      <c r="B24" s="769">
        <f>SUM(B25:B37)</f>
        <v>256</v>
      </c>
      <c r="C24" s="1086">
        <f>SUM(C25:C37)</f>
        <v>158</v>
      </c>
      <c r="D24" s="1189">
        <v>271</v>
      </c>
      <c r="E24" s="1086">
        <f>SUM(E25:E37)</f>
        <v>170</v>
      </c>
      <c r="F24" s="1267">
        <f>SUM(F25:F37)</f>
        <v>242</v>
      </c>
      <c r="G24" s="1203">
        <f>SUM(G25:G37)</f>
        <v>158</v>
      </c>
      <c r="H24" s="1090"/>
      <c r="I24" s="1090"/>
    </row>
    <row r="25" spans="1:9" s="924" customFormat="1">
      <c r="A25" s="1091" t="s">
        <v>232</v>
      </c>
      <c r="B25" s="951">
        <v>24</v>
      </c>
      <c r="C25" s="1088">
        <v>15</v>
      </c>
      <c r="D25" s="1193">
        <v>41</v>
      </c>
      <c r="E25" s="1088">
        <v>27</v>
      </c>
      <c r="F25" s="1280">
        <v>3</v>
      </c>
      <c r="G25" s="1276">
        <v>5</v>
      </c>
    </row>
    <row r="26" spans="1:9" s="924" customFormat="1">
      <c r="A26" s="1091" t="s">
        <v>234</v>
      </c>
      <c r="B26" s="951">
        <v>1</v>
      </c>
      <c r="C26" s="1088">
        <v>3</v>
      </c>
      <c r="D26" s="1193">
        <v>2</v>
      </c>
      <c r="E26" s="1088">
        <v>0</v>
      </c>
      <c r="F26" s="1280">
        <v>14</v>
      </c>
      <c r="G26" s="1276">
        <v>11</v>
      </c>
    </row>
    <row r="27" spans="1:9" s="924" customFormat="1">
      <c r="A27" s="1091" t="s">
        <v>236</v>
      </c>
      <c r="B27" s="951">
        <v>4</v>
      </c>
      <c r="C27" s="1088">
        <v>5</v>
      </c>
      <c r="D27" s="1193">
        <v>7</v>
      </c>
      <c r="E27" s="1088">
        <v>4</v>
      </c>
      <c r="F27" s="1280">
        <v>7</v>
      </c>
      <c r="G27" s="1276">
        <v>4</v>
      </c>
    </row>
    <row r="28" spans="1:9" s="924" customFormat="1">
      <c r="A28" s="1091" t="s">
        <v>238</v>
      </c>
      <c r="B28" s="951">
        <v>2</v>
      </c>
      <c r="C28" s="1088">
        <v>3</v>
      </c>
      <c r="D28" s="1193">
        <v>1</v>
      </c>
      <c r="E28" s="1088">
        <v>3</v>
      </c>
      <c r="F28" s="1280">
        <v>14</v>
      </c>
      <c r="G28" s="1276">
        <v>10</v>
      </c>
    </row>
    <row r="29" spans="1:9" s="924" customFormat="1">
      <c r="A29" s="1091" t="s">
        <v>240</v>
      </c>
      <c r="B29" s="951">
        <v>7</v>
      </c>
      <c r="C29" s="1088">
        <v>9</v>
      </c>
      <c r="D29" s="1193">
        <v>14</v>
      </c>
      <c r="E29" s="1088">
        <v>8</v>
      </c>
      <c r="F29" s="1280">
        <v>118</v>
      </c>
      <c r="G29" s="1276">
        <v>74</v>
      </c>
    </row>
    <row r="30" spans="1:9" s="924" customFormat="1">
      <c r="A30" s="1091" t="s">
        <v>242</v>
      </c>
      <c r="B30" s="951">
        <v>2</v>
      </c>
      <c r="C30" s="1088">
        <v>3</v>
      </c>
      <c r="D30" s="1193">
        <v>4</v>
      </c>
      <c r="E30" s="1088">
        <v>5</v>
      </c>
      <c r="F30" s="1280">
        <v>10</v>
      </c>
      <c r="G30" s="1276">
        <v>1</v>
      </c>
    </row>
    <row r="31" spans="1:9" s="924" customFormat="1">
      <c r="A31" s="1091" t="s">
        <v>244</v>
      </c>
      <c r="B31" s="951">
        <v>31</v>
      </c>
      <c r="C31" s="1088">
        <v>10</v>
      </c>
      <c r="D31" s="1193">
        <v>40</v>
      </c>
      <c r="E31" s="1088">
        <v>19</v>
      </c>
      <c r="F31" s="1280">
        <v>17</v>
      </c>
      <c r="G31" s="1276">
        <v>7</v>
      </c>
    </row>
    <row r="32" spans="1:9" s="924" customFormat="1">
      <c r="A32" s="1091" t="s">
        <v>246</v>
      </c>
      <c r="B32" s="951">
        <v>6</v>
      </c>
      <c r="C32" s="1088">
        <v>5</v>
      </c>
      <c r="D32" s="1193">
        <v>2</v>
      </c>
      <c r="E32" s="1088">
        <v>4</v>
      </c>
      <c r="F32" s="1280">
        <v>6</v>
      </c>
      <c r="G32" s="1276">
        <v>8</v>
      </c>
    </row>
    <row r="33" spans="1:7" s="924" customFormat="1">
      <c r="A33" s="1091" t="s">
        <v>250</v>
      </c>
      <c r="B33" s="951">
        <v>140</v>
      </c>
      <c r="C33" s="1088">
        <v>65</v>
      </c>
      <c r="D33" s="1193">
        <v>128</v>
      </c>
      <c r="E33" s="1088">
        <v>74</v>
      </c>
      <c r="F33" s="1280">
        <v>26</v>
      </c>
      <c r="G33" s="1276">
        <v>17</v>
      </c>
    </row>
    <row r="34" spans="1:7" s="924" customFormat="1">
      <c r="A34" s="1091" t="s">
        <v>252</v>
      </c>
      <c r="B34" s="951">
        <v>15</v>
      </c>
      <c r="C34" s="1088">
        <v>14</v>
      </c>
      <c r="D34" s="1193">
        <v>10</v>
      </c>
      <c r="E34" s="1088">
        <v>6</v>
      </c>
      <c r="F34" s="1280">
        <v>6</v>
      </c>
      <c r="G34" s="1276">
        <v>0</v>
      </c>
    </row>
    <row r="35" spans="1:7" s="924" customFormat="1">
      <c r="A35" s="1091" t="s">
        <v>254</v>
      </c>
      <c r="B35" s="951">
        <v>8</v>
      </c>
      <c r="C35" s="1088">
        <v>6</v>
      </c>
      <c r="D35" s="1193">
        <v>6</v>
      </c>
      <c r="E35" s="1088">
        <v>2</v>
      </c>
      <c r="F35" s="1280">
        <v>11</v>
      </c>
      <c r="G35" s="1276">
        <v>15</v>
      </c>
    </row>
    <row r="36" spans="1:7" s="924" customFormat="1">
      <c r="A36" s="1091" t="s">
        <v>256</v>
      </c>
      <c r="B36" s="951">
        <v>4</v>
      </c>
      <c r="C36" s="1088">
        <v>6</v>
      </c>
      <c r="D36" s="1193">
        <v>4</v>
      </c>
      <c r="E36" s="1088">
        <v>7</v>
      </c>
      <c r="F36" s="1280">
        <v>1</v>
      </c>
      <c r="G36" s="1276">
        <v>4</v>
      </c>
    </row>
    <row r="37" spans="1:7" s="924" customFormat="1">
      <c r="A37" s="942" t="s">
        <v>260</v>
      </c>
      <c r="B37" s="950">
        <v>12</v>
      </c>
      <c r="C37" s="1089">
        <v>14</v>
      </c>
      <c r="D37" s="1192">
        <v>13</v>
      </c>
      <c r="E37" s="1089">
        <v>11</v>
      </c>
      <c r="F37" s="1278">
        <v>9</v>
      </c>
      <c r="G37" s="1279">
        <v>2</v>
      </c>
    </row>
    <row r="38" spans="1:7" s="924" customFormat="1">
      <c r="A38" s="1091"/>
      <c r="B38" s="951"/>
      <c r="C38" s="1086"/>
      <c r="D38" s="1193"/>
      <c r="E38" s="1086"/>
      <c r="F38" s="1269"/>
      <c r="G38" s="1203"/>
    </row>
    <row r="39" spans="1:7" s="924" customFormat="1">
      <c r="A39" s="1087" t="s">
        <v>262</v>
      </c>
      <c r="B39" s="769">
        <f t="shared" ref="B39:G39" si="2">SUM(B40:B53)</f>
        <v>152</v>
      </c>
      <c r="C39" s="1086">
        <f t="shared" si="2"/>
        <v>90</v>
      </c>
      <c r="D39" s="1189">
        <f t="shared" si="2"/>
        <v>158</v>
      </c>
      <c r="E39" s="1086">
        <f t="shared" si="2"/>
        <v>92</v>
      </c>
      <c r="F39" s="1267">
        <f t="shared" si="2"/>
        <v>141</v>
      </c>
      <c r="G39" s="1203">
        <f t="shared" si="2"/>
        <v>99</v>
      </c>
    </row>
    <row r="40" spans="1:7">
      <c r="A40" s="943" t="s">
        <v>264</v>
      </c>
      <c r="B40" s="948">
        <v>15</v>
      </c>
      <c r="C40" s="1088">
        <v>13</v>
      </c>
      <c r="D40" s="1194">
        <v>13</v>
      </c>
      <c r="E40" s="1195">
        <v>9</v>
      </c>
      <c r="F40" s="921">
        <v>14</v>
      </c>
      <c r="G40" s="921">
        <v>11</v>
      </c>
    </row>
    <row r="41" spans="1:7">
      <c r="A41" s="943" t="s">
        <v>266</v>
      </c>
      <c r="B41" s="948">
        <v>4</v>
      </c>
      <c r="C41" s="1088">
        <v>3</v>
      </c>
      <c r="D41" s="1190">
        <v>4</v>
      </c>
      <c r="E41" s="1088">
        <v>2</v>
      </c>
      <c r="F41" s="1268">
        <v>1</v>
      </c>
      <c r="G41" s="1281">
        <v>0</v>
      </c>
    </row>
    <row r="42" spans="1:7">
      <c r="A42" s="943" t="s">
        <v>268</v>
      </c>
      <c r="B42" s="948">
        <v>2</v>
      </c>
      <c r="C42" s="1088">
        <v>2</v>
      </c>
      <c r="D42" s="1190">
        <v>4</v>
      </c>
      <c r="E42" s="1088">
        <v>1</v>
      </c>
      <c r="F42" s="1268">
        <v>12</v>
      </c>
      <c r="G42" s="1281">
        <v>8</v>
      </c>
    </row>
    <row r="43" spans="1:7">
      <c r="A43" s="943" t="s">
        <v>270</v>
      </c>
      <c r="B43" s="948">
        <v>7</v>
      </c>
      <c r="C43" s="1088">
        <v>4</v>
      </c>
      <c r="D43" s="1190">
        <v>7</v>
      </c>
      <c r="E43" s="1088">
        <v>10</v>
      </c>
      <c r="F43" s="1268">
        <v>20</v>
      </c>
      <c r="G43" s="1281">
        <v>15</v>
      </c>
    </row>
    <row r="44" spans="1:7">
      <c r="A44" s="943" t="s">
        <v>272</v>
      </c>
      <c r="B44" s="948">
        <v>14</v>
      </c>
      <c r="C44" s="1088">
        <v>10</v>
      </c>
      <c r="D44" s="1190">
        <v>15</v>
      </c>
      <c r="E44" s="1088">
        <v>5</v>
      </c>
      <c r="F44" s="1268">
        <v>6</v>
      </c>
      <c r="G44" s="1281">
        <v>1</v>
      </c>
    </row>
    <row r="45" spans="1:7">
      <c r="A45" s="943" t="s">
        <v>274</v>
      </c>
      <c r="B45" s="948">
        <v>2</v>
      </c>
      <c r="C45" s="1088">
        <v>1</v>
      </c>
      <c r="D45" s="1190">
        <v>3</v>
      </c>
      <c r="E45" s="1088">
        <v>4</v>
      </c>
      <c r="F45" s="1268">
        <v>5</v>
      </c>
      <c r="G45" s="1281">
        <v>3</v>
      </c>
    </row>
    <row r="46" spans="1:7">
      <c r="A46" s="943" t="s">
        <v>276</v>
      </c>
      <c r="B46" s="948">
        <v>21</v>
      </c>
      <c r="C46" s="1088">
        <v>15</v>
      </c>
      <c r="D46" s="1190">
        <v>18</v>
      </c>
      <c r="E46" s="1088">
        <v>10</v>
      </c>
      <c r="F46" s="1268">
        <v>23</v>
      </c>
      <c r="G46" s="1281">
        <v>21</v>
      </c>
    </row>
    <row r="47" spans="1:7">
      <c r="A47" s="943" t="s">
        <v>278</v>
      </c>
      <c r="B47" s="948">
        <v>9</v>
      </c>
      <c r="C47" s="1088">
        <v>1</v>
      </c>
      <c r="D47" s="1190">
        <v>7</v>
      </c>
      <c r="E47" s="1088">
        <v>0</v>
      </c>
      <c r="F47" s="1268">
        <v>5</v>
      </c>
      <c r="G47" s="1281">
        <v>3</v>
      </c>
    </row>
    <row r="48" spans="1:7">
      <c r="A48" s="943" t="s">
        <v>280</v>
      </c>
      <c r="B48" s="948">
        <v>2</v>
      </c>
      <c r="C48" s="1088">
        <v>1</v>
      </c>
      <c r="D48" s="1190">
        <v>2</v>
      </c>
      <c r="E48" s="1088">
        <v>0</v>
      </c>
      <c r="F48" s="1268">
        <v>10</v>
      </c>
      <c r="G48" s="1281">
        <v>3</v>
      </c>
    </row>
    <row r="49" spans="1:7">
      <c r="A49" s="943" t="s">
        <v>282</v>
      </c>
      <c r="B49" s="948">
        <v>6</v>
      </c>
      <c r="C49" s="1088">
        <v>0</v>
      </c>
      <c r="D49" s="1190">
        <v>3</v>
      </c>
      <c r="E49" s="1088">
        <v>3</v>
      </c>
      <c r="F49" s="1268">
        <v>2</v>
      </c>
      <c r="G49" s="1281">
        <v>7</v>
      </c>
    </row>
    <row r="50" spans="1:7">
      <c r="A50" s="943" t="s">
        <v>284</v>
      </c>
      <c r="B50" s="948">
        <v>3</v>
      </c>
      <c r="C50" s="1088">
        <v>1</v>
      </c>
      <c r="D50" s="1190">
        <v>6</v>
      </c>
      <c r="E50" s="1088">
        <v>4</v>
      </c>
      <c r="F50" s="1268">
        <v>2</v>
      </c>
      <c r="G50" s="1281">
        <v>0</v>
      </c>
    </row>
    <row r="51" spans="1:7">
      <c r="A51" s="943" t="s">
        <v>286</v>
      </c>
      <c r="B51" s="948">
        <v>8</v>
      </c>
      <c r="C51" s="1088">
        <v>6</v>
      </c>
      <c r="D51" s="1190">
        <v>18</v>
      </c>
      <c r="E51" s="1088">
        <v>8</v>
      </c>
      <c r="F51" s="1268">
        <v>3</v>
      </c>
      <c r="G51" s="1281">
        <v>0</v>
      </c>
    </row>
    <row r="52" spans="1:7">
      <c r="A52" s="943" t="s">
        <v>288</v>
      </c>
      <c r="B52" s="948">
        <v>28</v>
      </c>
      <c r="C52" s="1088">
        <v>16</v>
      </c>
      <c r="D52" s="1190">
        <v>28</v>
      </c>
      <c r="E52" s="1088">
        <v>16</v>
      </c>
      <c r="F52" s="1268">
        <v>10</v>
      </c>
      <c r="G52" s="1281">
        <v>5</v>
      </c>
    </row>
    <row r="53" spans="1:7" ht="15">
      <c r="A53" s="942" t="s">
        <v>1115</v>
      </c>
      <c r="B53" s="950">
        <v>31</v>
      </c>
      <c r="C53" s="1089">
        <v>17</v>
      </c>
      <c r="D53" s="1192">
        <v>30</v>
      </c>
      <c r="E53" s="1089">
        <v>20</v>
      </c>
      <c r="F53" s="1282">
        <v>28</v>
      </c>
      <c r="G53" s="1283">
        <v>22</v>
      </c>
    </row>
    <row r="54" spans="1:7">
      <c r="A54" s="143"/>
      <c r="B54" s="952"/>
      <c r="C54" s="1092"/>
      <c r="D54" s="1196"/>
      <c r="E54" s="1092"/>
      <c r="F54" s="1270"/>
      <c r="G54" s="1271"/>
    </row>
    <row r="55" spans="1:7">
      <c r="A55" s="1087" t="s">
        <v>290</v>
      </c>
      <c r="B55" s="769">
        <f t="shared" ref="B55:G55" si="3">SUM(B56:B68)</f>
        <v>148</v>
      </c>
      <c r="C55" s="1086">
        <f t="shared" si="3"/>
        <v>105</v>
      </c>
      <c r="D55" s="1189">
        <f t="shared" si="3"/>
        <v>127</v>
      </c>
      <c r="E55" s="1086">
        <f t="shared" si="3"/>
        <v>101</v>
      </c>
      <c r="F55" s="1267">
        <f t="shared" si="3"/>
        <v>146</v>
      </c>
      <c r="G55" s="1203">
        <f t="shared" si="3"/>
        <v>133</v>
      </c>
    </row>
    <row r="56" spans="1:7">
      <c r="A56" s="943" t="s">
        <v>292</v>
      </c>
      <c r="B56" s="948">
        <v>7</v>
      </c>
      <c r="C56" s="1088">
        <v>3</v>
      </c>
      <c r="D56" s="1190">
        <v>1</v>
      </c>
      <c r="E56" s="1088">
        <v>4</v>
      </c>
      <c r="F56" s="1275">
        <v>4</v>
      </c>
      <c r="G56" s="1276">
        <v>2</v>
      </c>
    </row>
    <row r="57" spans="1:7">
      <c r="A57" s="943" t="s">
        <v>294</v>
      </c>
      <c r="B57" s="948">
        <v>22</v>
      </c>
      <c r="C57" s="1088">
        <v>13</v>
      </c>
      <c r="D57" s="1190">
        <v>18</v>
      </c>
      <c r="E57" s="1088">
        <v>14</v>
      </c>
      <c r="F57" s="1275">
        <v>22</v>
      </c>
      <c r="G57" s="1276">
        <v>12</v>
      </c>
    </row>
    <row r="58" spans="1:7">
      <c r="A58" s="943" t="s">
        <v>296</v>
      </c>
      <c r="B58" s="948">
        <v>4</v>
      </c>
      <c r="C58" s="1088">
        <v>9</v>
      </c>
      <c r="D58" s="1190">
        <v>5</v>
      </c>
      <c r="E58" s="1088">
        <v>2</v>
      </c>
      <c r="F58" s="1275">
        <v>9</v>
      </c>
      <c r="G58" s="1276">
        <v>7</v>
      </c>
    </row>
    <row r="59" spans="1:7">
      <c r="A59" s="943" t="s">
        <v>298</v>
      </c>
      <c r="B59" s="948">
        <v>2</v>
      </c>
      <c r="C59" s="1088">
        <v>0</v>
      </c>
      <c r="D59" s="1190">
        <v>4</v>
      </c>
      <c r="E59" s="1088">
        <v>1</v>
      </c>
      <c r="F59" s="1275">
        <v>3</v>
      </c>
      <c r="G59" s="1276">
        <v>7</v>
      </c>
    </row>
    <row r="60" spans="1:7">
      <c r="A60" s="943" t="s">
        <v>300</v>
      </c>
      <c r="B60" s="948">
        <v>16</v>
      </c>
      <c r="C60" s="1088">
        <v>8</v>
      </c>
      <c r="D60" s="1190">
        <v>11</v>
      </c>
      <c r="E60" s="1088">
        <v>10</v>
      </c>
      <c r="F60" s="1275">
        <v>8</v>
      </c>
      <c r="G60" s="1276">
        <v>9</v>
      </c>
    </row>
    <row r="61" spans="1:7">
      <c r="A61" s="943" t="s">
        <v>302</v>
      </c>
      <c r="B61" s="948">
        <v>10</v>
      </c>
      <c r="C61" s="1088">
        <v>4</v>
      </c>
      <c r="D61" s="1190">
        <v>10</v>
      </c>
      <c r="E61" s="1088">
        <v>10</v>
      </c>
      <c r="F61" s="1275">
        <v>6</v>
      </c>
      <c r="G61" s="1276">
        <v>10</v>
      </c>
    </row>
    <row r="62" spans="1:7">
      <c r="A62" s="943" t="s">
        <v>304</v>
      </c>
      <c r="B62" s="948">
        <v>9</v>
      </c>
      <c r="C62" s="1088">
        <v>6</v>
      </c>
      <c r="D62" s="1190">
        <v>6</v>
      </c>
      <c r="E62" s="1088">
        <v>2</v>
      </c>
      <c r="F62" s="1275">
        <v>8</v>
      </c>
      <c r="G62" s="1276">
        <v>3</v>
      </c>
    </row>
    <row r="63" spans="1:7">
      <c r="A63" s="943" t="s">
        <v>306</v>
      </c>
      <c r="B63" s="948">
        <v>17</v>
      </c>
      <c r="C63" s="1088">
        <v>9</v>
      </c>
      <c r="D63" s="1190">
        <v>13</v>
      </c>
      <c r="E63" s="1088">
        <v>12</v>
      </c>
      <c r="F63" s="1275">
        <v>10</v>
      </c>
      <c r="G63" s="1276">
        <v>13</v>
      </c>
    </row>
    <row r="64" spans="1:7">
      <c r="A64" s="943" t="s">
        <v>308</v>
      </c>
      <c r="B64" s="948">
        <v>5</v>
      </c>
      <c r="C64" s="1088">
        <v>2</v>
      </c>
      <c r="D64" s="1190">
        <v>2</v>
      </c>
      <c r="E64" s="1088">
        <v>2</v>
      </c>
      <c r="F64" s="1275">
        <v>4</v>
      </c>
      <c r="G64" s="1276">
        <v>5</v>
      </c>
    </row>
    <row r="65" spans="1:7">
      <c r="A65" s="943" t="s">
        <v>310</v>
      </c>
      <c r="B65" s="948">
        <v>17</v>
      </c>
      <c r="C65" s="1088">
        <v>15</v>
      </c>
      <c r="D65" s="1190">
        <v>20</v>
      </c>
      <c r="E65" s="1088">
        <v>6</v>
      </c>
      <c r="F65" s="1275">
        <v>29</v>
      </c>
      <c r="G65" s="1276">
        <v>16</v>
      </c>
    </row>
    <row r="66" spans="1:7">
      <c r="A66" s="943" t="s">
        <v>312</v>
      </c>
      <c r="B66" s="948">
        <v>15</v>
      </c>
      <c r="C66" s="1088">
        <v>12</v>
      </c>
      <c r="D66" s="1190">
        <v>13</v>
      </c>
      <c r="E66" s="1088">
        <v>15</v>
      </c>
      <c r="F66" s="1275">
        <v>16</v>
      </c>
      <c r="G66" s="1276">
        <v>17</v>
      </c>
    </row>
    <row r="67" spans="1:7">
      <c r="A67" s="943" t="s">
        <v>314</v>
      </c>
      <c r="B67" s="948">
        <v>4</v>
      </c>
      <c r="C67" s="1088">
        <v>2</v>
      </c>
      <c r="D67" s="1190">
        <v>1</v>
      </c>
      <c r="E67" s="1088">
        <v>5</v>
      </c>
      <c r="F67" s="1275">
        <v>2</v>
      </c>
      <c r="G67" s="1276">
        <v>1</v>
      </c>
    </row>
    <row r="68" spans="1:7">
      <c r="A68" s="942" t="s">
        <v>316</v>
      </c>
      <c r="B68" s="950">
        <v>20</v>
      </c>
      <c r="C68" s="1089">
        <v>22</v>
      </c>
      <c r="D68" s="1192">
        <v>23</v>
      </c>
      <c r="E68" s="1089">
        <v>18</v>
      </c>
      <c r="F68" s="1278">
        <v>25</v>
      </c>
      <c r="G68" s="1279">
        <v>31</v>
      </c>
    </row>
    <row r="69" spans="1:7">
      <c r="A69" s="943"/>
      <c r="B69" s="948"/>
      <c r="C69" s="1093"/>
      <c r="D69" s="1190"/>
      <c r="E69" s="1093"/>
      <c r="F69" s="1268"/>
      <c r="G69" s="1272"/>
    </row>
    <row r="70" spans="1:7">
      <c r="A70" s="1087" t="s">
        <v>318</v>
      </c>
      <c r="B70" s="769">
        <f t="shared" ref="B70:G70" si="4">SUM(B71:B85)</f>
        <v>193</v>
      </c>
      <c r="C70" s="1086">
        <f t="shared" si="4"/>
        <v>134</v>
      </c>
      <c r="D70" s="1189">
        <f t="shared" si="4"/>
        <v>198</v>
      </c>
      <c r="E70" s="1086">
        <f t="shared" si="4"/>
        <v>133</v>
      </c>
      <c r="F70" s="1267">
        <f t="shared" si="4"/>
        <v>212</v>
      </c>
      <c r="G70" s="1203">
        <f t="shared" si="4"/>
        <v>128</v>
      </c>
    </row>
    <row r="71" spans="1:7">
      <c r="A71" s="943" t="s">
        <v>320</v>
      </c>
      <c r="B71" s="948">
        <v>25</v>
      </c>
      <c r="C71" s="1088">
        <v>13</v>
      </c>
      <c r="D71" s="1190">
        <v>15</v>
      </c>
      <c r="E71" s="1088">
        <v>18</v>
      </c>
      <c r="F71" s="1268">
        <v>18</v>
      </c>
      <c r="G71" s="1281">
        <v>11</v>
      </c>
    </row>
    <row r="72" spans="1:7">
      <c r="A72" s="943" t="s">
        <v>322</v>
      </c>
      <c r="B72" s="948">
        <v>6</v>
      </c>
      <c r="C72" s="1088">
        <v>4</v>
      </c>
      <c r="D72" s="1190">
        <v>5</v>
      </c>
      <c r="E72" s="1088">
        <v>6</v>
      </c>
      <c r="F72" s="1268">
        <v>4</v>
      </c>
      <c r="G72" s="1281">
        <v>5</v>
      </c>
    </row>
    <row r="73" spans="1:7">
      <c r="A73" s="943" t="s">
        <v>324</v>
      </c>
      <c r="B73" s="948">
        <v>5</v>
      </c>
      <c r="C73" s="1088">
        <v>8</v>
      </c>
      <c r="D73" s="1190">
        <v>8</v>
      </c>
      <c r="E73" s="1088">
        <v>11</v>
      </c>
      <c r="F73" s="1268">
        <v>7</v>
      </c>
      <c r="G73" s="1281">
        <v>3</v>
      </c>
    </row>
    <row r="74" spans="1:7">
      <c r="A74" s="943" t="s">
        <v>326</v>
      </c>
      <c r="B74" s="948">
        <v>1</v>
      </c>
      <c r="C74" s="1088">
        <v>0</v>
      </c>
      <c r="D74" s="1190">
        <v>1</v>
      </c>
      <c r="E74" s="1088">
        <v>1</v>
      </c>
      <c r="F74" s="1268">
        <v>4</v>
      </c>
      <c r="G74" s="1281">
        <v>1</v>
      </c>
    </row>
    <row r="75" spans="1:7">
      <c r="A75" s="943" t="s">
        <v>328</v>
      </c>
      <c r="B75" s="948">
        <v>11</v>
      </c>
      <c r="C75" s="1088">
        <v>6</v>
      </c>
      <c r="D75" s="1190">
        <v>18</v>
      </c>
      <c r="E75" s="1088">
        <v>14</v>
      </c>
      <c r="F75" s="1268">
        <v>11</v>
      </c>
      <c r="G75" s="1281">
        <v>13</v>
      </c>
    </row>
    <row r="76" spans="1:7">
      <c r="A76" s="943" t="s">
        <v>1077</v>
      </c>
      <c r="B76" s="948">
        <v>50</v>
      </c>
      <c r="C76" s="1088">
        <v>38</v>
      </c>
      <c r="D76" s="1190">
        <v>51</v>
      </c>
      <c r="E76" s="1088">
        <v>28</v>
      </c>
      <c r="F76" s="1268">
        <v>15</v>
      </c>
      <c r="G76" s="1281">
        <v>8</v>
      </c>
    </row>
    <row r="77" spans="1:7">
      <c r="A77" s="943" t="s">
        <v>330</v>
      </c>
      <c r="B77" s="948">
        <v>9</v>
      </c>
      <c r="C77" s="1088">
        <v>3</v>
      </c>
      <c r="D77" s="1190">
        <v>10</v>
      </c>
      <c r="E77" s="1088">
        <v>3</v>
      </c>
      <c r="F77" s="1268">
        <v>53</v>
      </c>
      <c r="G77" s="1281">
        <v>39</v>
      </c>
    </row>
    <row r="78" spans="1:7">
      <c r="A78" s="943" t="s">
        <v>332</v>
      </c>
      <c r="B78" s="948">
        <v>8</v>
      </c>
      <c r="C78" s="1088">
        <v>5</v>
      </c>
      <c r="D78" s="1190">
        <v>7</v>
      </c>
      <c r="E78" s="1088">
        <v>3</v>
      </c>
      <c r="F78" s="1268">
        <v>8</v>
      </c>
      <c r="G78" s="1281">
        <v>6</v>
      </c>
    </row>
    <row r="79" spans="1:7">
      <c r="A79" s="943" t="s">
        <v>334</v>
      </c>
      <c r="B79" s="948">
        <v>6</v>
      </c>
      <c r="C79" s="1088">
        <v>0</v>
      </c>
      <c r="D79" s="1190">
        <v>5</v>
      </c>
      <c r="E79" s="1088">
        <v>1</v>
      </c>
      <c r="F79" s="1268">
        <v>7</v>
      </c>
      <c r="G79" s="1281">
        <v>6</v>
      </c>
    </row>
    <row r="80" spans="1:7">
      <c r="A80" s="943" t="s">
        <v>336</v>
      </c>
      <c r="B80" s="948">
        <v>19</v>
      </c>
      <c r="C80" s="1088">
        <v>19</v>
      </c>
      <c r="D80" s="1190">
        <v>22</v>
      </c>
      <c r="E80" s="1088">
        <v>14</v>
      </c>
      <c r="F80" s="1268">
        <v>11</v>
      </c>
      <c r="G80" s="1281">
        <v>4</v>
      </c>
    </row>
    <row r="81" spans="1:7">
      <c r="A81" s="943" t="s">
        <v>338</v>
      </c>
      <c r="B81" s="948">
        <v>16</v>
      </c>
      <c r="C81" s="1088">
        <v>8</v>
      </c>
      <c r="D81" s="1190">
        <v>13</v>
      </c>
      <c r="E81" s="1088">
        <v>10</v>
      </c>
      <c r="F81" s="1268">
        <v>27</v>
      </c>
      <c r="G81" s="1281">
        <v>12</v>
      </c>
    </row>
    <row r="82" spans="1:7">
      <c r="A82" s="943" t="s">
        <v>340</v>
      </c>
      <c r="B82" s="948">
        <v>4</v>
      </c>
      <c r="C82" s="1088">
        <v>2</v>
      </c>
      <c r="D82" s="1190">
        <v>5</v>
      </c>
      <c r="E82" s="1088">
        <v>1</v>
      </c>
      <c r="F82" s="1268">
        <v>16</v>
      </c>
      <c r="G82" s="1281">
        <v>7</v>
      </c>
    </row>
    <row r="83" spans="1:7">
      <c r="A83" s="943" t="s">
        <v>342</v>
      </c>
      <c r="B83" s="948">
        <v>23</v>
      </c>
      <c r="C83" s="1088">
        <v>19</v>
      </c>
      <c r="D83" s="1190">
        <v>15</v>
      </c>
      <c r="E83" s="1088">
        <v>12</v>
      </c>
      <c r="F83" s="1268">
        <v>8</v>
      </c>
      <c r="G83" s="1281">
        <v>0</v>
      </c>
    </row>
    <row r="84" spans="1:7">
      <c r="A84" s="943" t="s">
        <v>344</v>
      </c>
      <c r="B84" s="948">
        <v>0</v>
      </c>
      <c r="C84" s="1088">
        <v>1</v>
      </c>
      <c r="D84" s="1190">
        <v>7</v>
      </c>
      <c r="E84" s="1088">
        <v>0</v>
      </c>
      <c r="F84" s="1268">
        <v>18</v>
      </c>
      <c r="G84" s="1281">
        <v>9</v>
      </c>
    </row>
    <row r="85" spans="1:7">
      <c r="A85" s="942" t="s">
        <v>346</v>
      </c>
      <c r="B85" s="950">
        <v>10</v>
      </c>
      <c r="C85" s="1089">
        <v>8</v>
      </c>
      <c r="D85" s="1192">
        <v>16</v>
      </c>
      <c r="E85" s="1089">
        <v>11</v>
      </c>
      <c r="F85" s="1282">
        <v>5</v>
      </c>
      <c r="G85" s="1283">
        <v>4</v>
      </c>
    </row>
    <row r="86" spans="1:7">
      <c r="A86" s="943"/>
      <c r="B86" s="948"/>
      <c r="C86" s="1086"/>
      <c r="D86" s="1190"/>
      <c r="E86" s="1086"/>
      <c r="F86" s="1268"/>
      <c r="G86" s="1203"/>
    </row>
    <row r="87" spans="1:7">
      <c r="A87" s="1087" t="s">
        <v>348</v>
      </c>
      <c r="B87" s="769">
        <f t="shared" ref="B87:G87" si="5">SUM(B88:B100)</f>
        <v>94</v>
      </c>
      <c r="C87" s="1086">
        <f t="shared" si="5"/>
        <v>70</v>
      </c>
      <c r="D87" s="1189">
        <f t="shared" si="5"/>
        <v>100</v>
      </c>
      <c r="E87" s="1086">
        <f t="shared" si="5"/>
        <v>74</v>
      </c>
      <c r="F87" s="1267">
        <f t="shared" si="5"/>
        <v>107</v>
      </c>
      <c r="G87" s="1203">
        <f t="shared" si="5"/>
        <v>59</v>
      </c>
    </row>
    <row r="88" spans="1:7">
      <c r="A88" s="943" t="s">
        <v>350</v>
      </c>
      <c r="B88" s="948">
        <v>3</v>
      </c>
      <c r="C88" s="1094">
        <v>0</v>
      </c>
      <c r="D88" s="1190">
        <v>3</v>
      </c>
      <c r="E88" s="1094">
        <v>0</v>
      </c>
      <c r="F88" s="1268">
        <v>1</v>
      </c>
      <c r="G88" s="1204">
        <v>0</v>
      </c>
    </row>
    <row r="89" spans="1:7">
      <c r="A89" s="943" t="s">
        <v>352</v>
      </c>
      <c r="B89" s="948">
        <v>3</v>
      </c>
      <c r="C89" s="1094">
        <v>3</v>
      </c>
      <c r="D89" s="1190">
        <v>3</v>
      </c>
      <c r="E89" s="1094">
        <v>6</v>
      </c>
      <c r="F89" s="1268">
        <v>7</v>
      </c>
      <c r="G89" s="1204">
        <v>6</v>
      </c>
    </row>
    <row r="90" spans="1:7">
      <c r="A90" s="943" t="s">
        <v>354</v>
      </c>
      <c r="B90" s="948">
        <v>6</v>
      </c>
      <c r="C90" s="1094">
        <v>0</v>
      </c>
      <c r="D90" s="1190">
        <v>11</v>
      </c>
      <c r="E90" s="1094">
        <v>6</v>
      </c>
      <c r="F90" s="1268">
        <v>9</v>
      </c>
      <c r="G90" s="1204">
        <v>4</v>
      </c>
    </row>
    <row r="91" spans="1:7">
      <c r="A91" s="943" t="s">
        <v>356</v>
      </c>
      <c r="B91" s="948">
        <v>3</v>
      </c>
      <c r="C91" s="1094">
        <v>1</v>
      </c>
      <c r="D91" s="1190">
        <v>6</v>
      </c>
      <c r="E91" s="1094">
        <v>2</v>
      </c>
      <c r="F91" s="1268">
        <v>6</v>
      </c>
      <c r="G91" s="1204">
        <v>0</v>
      </c>
    </row>
    <row r="92" spans="1:7">
      <c r="A92" s="943" t="s">
        <v>358</v>
      </c>
      <c r="B92" s="948">
        <v>6</v>
      </c>
      <c r="C92" s="1094">
        <v>4</v>
      </c>
      <c r="D92" s="1190">
        <v>1</v>
      </c>
      <c r="E92" s="1094">
        <v>4</v>
      </c>
      <c r="F92" s="1268">
        <v>4</v>
      </c>
      <c r="G92" s="1204">
        <v>4</v>
      </c>
    </row>
    <row r="93" spans="1:7">
      <c r="A93" s="943" t="s">
        <v>360</v>
      </c>
      <c r="B93" s="948">
        <v>17</v>
      </c>
      <c r="C93" s="1094">
        <v>15</v>
      </c>
      <c r="D93" s="1190">
        <v>8</v>
      </c>
      <c r="E93" s="1094">
        <v>10</v>
      </c>
      <c r="F93" s="1268">
        <v>13</v>
      </c>
      <c r="G93" s="1204">
        <v>6</v>
      </c>
    </row>
    <row r="94" spans="1:7">
      <c r="A94" s="943" t="s">
        <v>362</v>
      </c>
      <c r="B94" s="948">
        <v>7</v>
      </c>
      <c r="C94" s="1094">
        <v>8</v>
      </c>
      <c r="D94" s="1190">
        <v>7</v>
      </c>
      <c r="E94" s="1094">
        <v>3</v>
      </c>
      <c r="F94" s="1268">
        <v>2</v>
      </c>
      <c r="G94" s="1204">
        <v>5</v>
      </c>
    </row>
    <row r="95" spans="1:7">
      <c r="A95" s="943" t="s">
        <v>364</v>
      </c>
      <c r="B95" s="948">
        <v>19</v>
      </c>
      <c r="C95" s="1094">
        <v>15</v>
      </c>
      <c r="D95" s="1190">
        <v>23</v>
      </c>
      <c r="E95" s="1094">
        <v>17</v>
      </c>
      <c r="F95" s="1268">
        <v>26</v>
      </c>
      <c r="G95" s="1204">
        <v>14</v>
      </c>
    </row>
    <row r="96" spans="1:7">
      <c r="A96" s="943" t="s">
        <v>366</v>
      </c>
      <c r="B96" s="948">
        <v>12</v>
      </c>
      <c r="C96" s="1094">
        <v>9</v>
      </c>
      <c r="D96" s="1190">
        <v>18</v>
      </c>
      <c r="E96" s="1094">
        <v>12</v>
      </c>
      <c r="F96" s="1268">
        <v>13</v>
      </c>
      <c r="G96" s="1204">
        <v>7</v>
      </c>
    </row>
    <row r="97" spans="1:7">
      <c r="A97" s="943" t="s">
        <v>368</v>
      </c>
      <c r="B97" s="948">
        <v>8</v>
      </c>
      <c r="C97" s="1094">
        <v>3</v>
      </c>
      <c r="D97" s="1190">
        <v>11</v>
      </c>
      <c r="E97" s="1094">
        <v>4</v>
      </c>
      <c r="F97" s="1268">
        <v>9</v>
      </c>
      <c r="G97" s="1204">
        <v>3</v>
      </c>
    </row>
    <row r="98" spans="1:7">
      <c r="A98" s="943" t="s">
        <v>370</v>
      </c>
      <c r="B98" s="948">
        <v>3</v>
      </c>
      <c r="C98" s="1094">
        <v>6</v>
      </c>
      <c r="D98" s="1190">
        <v>5</v>
      </c>
      <c r="E98" s="1094">
        <v>3</v>
      </c>
      <c r="F98" s="1268">
        <v>2</v>
      </c>
      <c r="G98" s="1204">
        <v>3</v>
      </c>
    </row>
    <row r="99" spans="1:7">
      <c r="A99" s="943" t="s">
        <v>372</v>
      </c>
      <c r="B99" s="948">
        <v>3</v>
      </c>
      <c r="C99" s="1094">
        <v>1</v>
      </c>
      <c r="D99" s="1190">
        <v>1</v>
      </c>
      <c r="E99" s="1094">
        <v>4</v>
      </c>
      <c r="F99" s="1268">
        <v>2</v>
      </c>
      <c r="G99" s="1204">
        <v>0</v>
      </c>
    </row>
    <row r="100" spans="1:7">
      <c r="A100" s="942" t="s">
        <v>268</v>
      </c>
      <c r="B100" s="950">
        <v>4</v>
      </c>
      <c r="C100" s="1095">
        <v>5</v>
      </c>
      <c r="D100" s="1192">
        <v>3</v>
      </c>
      <c r="E100" s="1095">
        <v>3</v>
      </c>
      <c r="F100" s="1282">
        <v>13</v>
      </c>
      <c r="G100" s="1284">
        <v>7</v>
      </c>
    </row>
    <row r="101" spans="1:7">
      <c r="A101" s="943"/>
      <c r="B101" s="948"/>
      <c r="C101" s="1094"/>
      <c r="D101" s="1190"/>
      <c r="E101" s="1094"/>
      <c r="F101" s="1268"/>
      <c r="G101" s="1204"/>
    </row>
    <row r="102" spans="1:7">
      <c r="A102" s="1087" t="s">
        <v>374</v>
      </c>
      <c r="B102" s="769">
        <f t="shared" ref="B102:G102" si="6">SUM(B103:B106)</f>
        <v>119</v>
      </c>
      <c r="C102" s="1086">
        <f t="shared" si="6"/>
        <v>93</v>
      </c>
      <c r="D102" s="1189">
        <f t="shared" si="6"/>
        <v>106</v>
      </c>
      <c r="E102" s="1086">
        <f t="shared" si="6"/>
        <v>84</v>
      </c>
      <c r="F102" s="1267">
        <f t="shared" si="6"/>
        <v>131</v>
      </c>
      <c r="G102" s="1203">
        <f t="shared" si="6"/>
        <v>75</v>
      </c>
    </row>
    <row r="103" spans="1:7">
      <c r="A103" s="943" t="s">
        <v>376</v>
      </c>
      <c r="B103" s="948">
        <v>21</v>
      </c>
      <c r="C103" s="1094">
        <v>28</v>
      </c>
      <c r="D103" s="1190">
        <v>31</v>
      </c>
      <c r="E103" s="1094">
        <v>28</v>
      </c>
      <c r="F103" s="1275">
        <v>13</v>
      </c>
      <c r="G103" s="1285">
        <v>2</v>
      </c>
    </row>
    <row r="104" spans="1:7">
      <c r="A104" s="943" t="s">
        <v>378</v>
      </c>
      <c r="B104" s="948">
        <v>67</v>
      </c>
      <c r="C104" s="1094">
        <v>48</v>
      </c>
      <c r="D104" s="1190">
        <v>63</v>
      </c>
      <c r="E104" s="1094">
        <v>43</v>
      </c>
      <c r="F104" s="1275">
        <v>40</v>
      </c>
      <c r="G104" s="1285">
        <v>26</v>
      </c>
    </row>
    <row r="105" spans="1:7">
      <c r="A105" s="943" t="s">
        <v>380</v>
      </c>
      <c r="B105" s="948">
        <v>23</v>
      </c>
      <c r="C105" s="1094">
        <v>14</v>
      </c>
      <c r="D105" s="1190">
        <v>8</v>
      </c>
      <c r="E105" s="1094">
        <v>8</v>
      </c>
      <c r="F105" s="1275">
        <v>20</v>
      </c>
      <c r="G105" s="1285">
        <v>6</v>
      </c>
    </row>
    <row r="106" spans="1:7">
      <c r="A106" s="942" t="s">
        <v>382</v>
      </c>
      <c r="B106" s="950">
        <v>8</v>
      </c>
      <c r="C106" s="1095">
        <v>3</v>
      </c>
      <c r="D106" s="1192">
        <v>4</v>
      </c>
      <c r="E106" s="1095">
        <v>5</v>
      </c>
      <c r="F106" s="1278">
        <v>58</v>
      </c>
      <c r="G106" s="1286">
        <v>41</v>
      </c>
    </row>
    <row r="107" spans="1:7">
      <c r="A107" s="943"/>
      <c r="B107" s="948"/>
      <c r="C107" s="1094"/>
      <c r="D107" s="1190"/>
      <c r="E107" s="1094"/>
      <c r="F107" s="1268"/>
      <c r="G107" s="1204"/>
    </row>
    <row r="108" spans="1:7" s="940" customFormat="1">
      <c r="A108" s="1087" t="s">
        <v>386</v>
      </c>
      <c r="B108" s="769">
        <f t="shared" ref="B108:F108" si="7">SUM(B109:B117)</f>
        <v>201</v>
      </c>
      <c r="C108" s="1086">
        <f t="shared" si="7"/>
        <v>146</v>
      </c>
      <c r="D108" s="1189">
        <f t="shared" si="7"/>
        <v>178</v>
      </c>
      <c r="E108" s="1086">
        <f t="shared" si="7"/>
        <v>114</v>
      </c>
      <c r="F108" s="1267">
        <f t="shared" si="7"/>
        <v>186</v>
      </c>
      <c r="G108" s="1203">
        <f>SUM(G109:G117)</f>
        <v>120</v>
      </c>
    </row>
    <row r="109" spans="1:7">
      <c r="A109" s="943" t="s">
        <v>388</v>
      </c>
      <c r="B109" s="948">
        <v>36</v>
      </c>
      <c r="C109" s="1094">
        <v>24</v>
      </c>
      <c r="D109" s="1190">
        <v>41</v>
      </c>
      <c r="E109" s="1094">
        <v>22</v>
      </c>
      <c r="F109" s="1268">
        <v>33</v>
      </c>
      <c r="G109" s="1204">
        <v>34</v>
      </c>
    </row>
    <row r="110" spans="1:7">
      <c r="A110" s="943" t="s">
        <v>390</v>
      </c>
      <c r="B110" s="948">
        <v>5</v>
      </c>
      <c r="C110" s="1094">
        <v>7</v>
      </c>
      <c r="D110" s="1190">
        <v>18</v>
      </c>
      <c r="E110" s="1094">
        <v>5</v>
      </c>
      <c r="F110" s="1268">
        <v>17</v>
      </c>
      <c r="G110" s="1204">
        <v>6</v>
      </c>
    </row>
    <row r="111" spans="1:7">
      <c r="A111" s="943" t="s">
        <v>392</v>
      </c>
      <c r="B111" s="948">
        <v>19</v>
      </c>
      <c r="C111" s="1094">
        <v>12</v>
      </c>
      <c r="D111" s="1190">
        <v>13</v>
      </c>
      <c r="E111" s="1094">
        <v>14</v>
      </c>
      <c r="F111" s="1268">
        <v>15</v>
      </c>
      <c r="G111" s="1204">
        <v>8</v>
      </c>
    </row>
    <row r="112" spans="1:7">
      <c r="A112" s="943" t="s">
        <v>394</v>
      </c>
      <c r="B112" s="948">
        <v>14</v>
      </c>
      <c r="C112" s="1094">
        <v>8</v>
      </c>
      <c r="D112" s="1190">
        <v>7</v>
      </c>
      <c r="E112" s="1094">
        <v>9</v>
      </c>
      <c r="F112" s="1268">
        <v>7</v>
      </c>
      <c r="G112" s="1204">
        <v>6</v>
      </c>
    </row>
    <row r="113" spans="1:11">
      <c r="A113" s="943" t="s">
        <v>396</v>
      </c>
      <c r="B113" s="948">
        <v>18</v>
      </c>
      <c r="C113" s="1094">
        <v>9</v>
      </c>
      <c r="D113" s="1190">
        <v>10</v>
      </c>
      <c r="E113" s="1094">
        <v>10</v>
      </c>
      <c r="F113" s="1268">
        <v>7</v>
      </c>
      <c r="G113" s="1204">
        <v>5</v>
      </c>
    </row>
    <row r="114" spans="1:11">
      <c r="A114" s="943" t="s">
        <v>398</v>
      </c>
      <c r="B114" s="948">
        <v>25</v>
      </c>
      <c r="C114" s="1094">
        <v>20</v>
      </c>
      <c r="D114" s="1190">
        <v>15</v>
      </c>
      <c r="E114" s="1094">
        <v>4</v>
      </c>
      <c r="F114" s="1268">
        <v>24</v>
      </c>
      <c r="G114" s="1204">
        <v>13</v>
      </c>
    </row>
    <row r="115" spans="1:11">
      <c r="A115" s="943" t="s">
        <v>400</v>
      </c>
      <c r="B115" s="948">
        <v>10</v>
      </c>
      <c r="C115" s="1094">
        <v>11</v>
      </c>
      <c r="D115" s="1190">
        <v>6</v>
      </c>
      <c r="E115" s="1094">
        <v>12</v>
      </c>
      <c r="F115" s="1268">
        <v>47</v>
      </c>
      <c r="G115" s="1204">
        <v>3</v>
      </c>
    </row>
    <row r="116" spans="1:11">
      <c r="A116" s="943" t="s">
        <v>402</v>
      </c>
      <c r="B116" s="948">
        <v>45</v>
      </c>
      <c r="C116" s="1094">
        <v>29</v>
      </c>
      <c r="D116" s="1190">
        <v>42</v>
      </c>
      <c r="E116" s="1094">
        <v>24</v>
      </c>
      <c r="F116" s="1268">
        <v>30</v>
      </c>
      <c r="G116" s="1204">
        <v>27</v>
      </c>
    </row>
    <row r="117" spans="1:11">
      <c r="A117" s="942" t="s">
        <v>404</v>
      </c>
      <c r="B117" s="950">
        <v>29</v>
      </c>
      <c r="C117" s="1095">
        <v>26</v>
      </c>
      <c r="D117" s="1192">
        <v>26</v>
      </c>
      <c r="E117" s="1095">
        <v>14</v>
      </c>
      <c r="F117" s="1282">
        <v>6</v>
      </c>
      <c r="G117" s="1284">
        <v>18</v>
      </c>
    </row>
    <row r="118" spans="1:11">
      <c r="A118" s="943"/>
      <c r="B118" s="948"/>
      <c r="C118" s="1086"/>
      <c r="D118" s="1190"/>
      <c r="E118" s="1086"/>
      <c r="F118" s="1268"/>
      <c r="G118" s="1203"/>
    </row>
    <row r="119" spans="1:11">
      <c r="A119" s="1087" t="s">
        <v>406</v>
      </c>
      <c r="B119" s="769">
        <f t="shared" ref="B119:G119" si="8">SUM(B120:B127)</f>
        <v>103</v>
      </c>
      <c r="C119" s="1086">
        <f t="shared" si="8"/>
        <v>91</v>
      </c>
      <c r="D119" s="1189">
        <f t="shared" si="8"/>
        <v>94</v>
      </c>
      <c r="E119" s="1086">
        <f t="shared" si="8"/>
        <v>68</v>
      </c>
      <c r="F119" s="1267">
        <f t="shared" si="8"/>
        <v>98</v>
      </c>
      <c r="G119" s="1203">
        <f t="shared" si="8"/>
        <v>55</v>
      </c>
    </row>
    <row r="120" spans="1:11">
      <c r="A120" s="943" t="s">
        <v>408</v>
      </c>
      <c r="B120" s="948">
        <v>21</v>
      </c>
      <c r="C120" s="1094">
        <v>19</v>
      </c>
      <c r="D120" s="1190">
        <v>26</v>
      </c>
      <c r="E120" s="1094">
        <v>18</v>
      </c>
      <c r="F120" s="1275">
        <v>30</v>
      </c>
      <c r="G120" s="1285">
        <v>17</v>
      </c>
    </row>
    <row r="121" spans="1:11">
      <c r="A121" s="943" t="s">
        <v>410</v>
      </c>
      <c r="B121" s="948">
        <v>12</v>
      </c>
      <c r="C121" s="1094">
        <v>12</v>
      </c>
      <c r="D121" s="1190">
        <v>18</v>
      </c>
      <c r="E121" s="1094">
        <v>11</v>
      </c>
      <c r="F121" s="1275">
        <v>19</v>
      </c>
      <c r="G121" s="1285">
        <v>8</v>
      </c>
    </row>
    <row r="122" spans="1:11">
      <c r="A122" s="943" t="s">
        <v>412</v>
      </c>
      <c r="B122" s="948">
        <v>12</v>
      </c>
      <c r="C122" s="1094">
        <v>12</v>
      </c>
      <c r="D122" s="1190">
        <v>14</v>
      </c>
      <c r="E122" s="1094">
        <v>11</v>
      </c>
      <c r="F122" s="1275">
        <v>19</v>
      </c>
      <c r="G122" s="1285">
        <v>9</v>
      </c>
    </row>
    <row r="123" spans="1:11">
      <c r="A123" s="943" t="s">
        <v>414</v>
      </c>
      <c r="B123" s="948">
        <v>16</v>
      </c>
      <c r="C123" s="1094">
        <v>18</v>
      </c>
      <c r="D123" s="1190">
        <v>18</v>
      </c>
      <c r="E123" s="1094">
        <v>7</v>
      </c>
      <c r="F123" s="1275">
        <v>8</v>
      </c>
      <c r="G123" s="1285">
        <v>6</v>
      </c>
    </row>
    <row r="124" spans="1:11">
      <c r="A124" s="1091" t="s">
        <v>416</v>
      </c>
      <c r="B124" s="951">
        <v>16</v>
      </c>
      <c r="C124" s="1094">
        <v>12</v>
      </c>
      <c r="D124" s="1193">
        <v>8</v>
      </c>
      <c r="E124" s="1094">
        <v>3</v>
      </c>
      <c r="F124" s="1280">
        <v>8</v>
      </c>
      <c r="G124" s="1285">
        <v>3</v>
      </c>
    </row>
    <row r="125" spans="1:11">
      <c r="A125" s="943" t="s">
        <v>418</v>
      </c>
      <c r="B125" s="948">
        <v>10</v>
      </c>
      <c r="C125" s="1094">
        <v>3</v>
      </c>
      <c r="D125" s="1190">
        <v>3</v>
      </c>
      <c r="E125" s="1094">
        <v>10</v>
      </c>
      <c r="F125" s="1275">
        <v>6</v>
      </c>
      <c r="G125" s="1285">
        <v>1</v>
      </c>
    </row>
    <row r="126" spans="1:11">
      <c r="A126" s="943" t="s">
        <v>362</v>
      </c>
      <c r="B126" s="948">
        <v>6</v>
      </c>
      <c r="C126" s="1094">
        <v>12</v>
      </c>
      <c r="D126" s="1190">
        <v>3</v>
      </c>
      <c r="E126" s="1094">
        <v>4</v>
      </c>
      <c r="F126" s="1275">
        <v>7</v>
      </c>
      <c r="G126" s="1285">
        <v>6</v>
      </c>
      <c r="K126" s="924"/>
    </row>
    <row r="127" spans="1:11">
      <c r="A127" s="942" t="s">
        <v>420</v>
      </c>
      <c r="B127" s="950">
        <v>10</v>
      </c>
      <c r="C127" s="1095">
        <v>3</v>
      </c>
      <c r="D127" s="1192">
        <v>4</v>
      </c>
      <c r="E127" s="1095">
        <v>4</v>
      </c>
      <c r="F127" s="1278">
        <v>1</v>
      </c>
      <c r="G127" s="1286">
        <v>5</v>
      </c>
      <c r="K127" s="924"/>
    </row>
    <row r="128" spans="1:11">
      <c r="A128" s="943"/>
      <c r="B128" s="948"/>
      <c r="C128" s="1086"/>
      <c r="D128" s="1190"/>
      <c r="E128" s="1086"/>
      <c r="F128" s="1268"/>
      <c r="G128" s="1203"/>
      <c r="K128" s="924"/>
    </row>
    <row r="129" spans="1:11">
      <c r="A129" s="1087" t="s">
        <v>422</v>
      </c>
      <c r="B129" s="769">
        <f t="shared" ref="B129:G129" si="9">SUM(B130:B139)</f>
        <v>97</v>
      </c>
      <c r="C129" s="1086">
        <f t="shared" si="9"/>
        <v>80</v>
      </c>
      <c r="D129" s="1189">
        <f t="shared" si="9"/>
        <v>111</v>
      </c>
      <c r="E129" s="1086">
        <f t="shared" si="9"/>
        <v>80</v>
      </c>
      <c r="F129" s="1267">
        <f t="shared" si="9"/>
        <v>110</v>
      </c>
      <c r="G129" s="1203">
        <f t="shared" si="9"/>
        <v>83</v>
      </c>
      <c r="K129" s="924"/>
    </row>
    <row r="130" spans="1:11">
      <c r="A130" s="943" t="s">
        <v>424</v>
      </c>
      <c r="B130" s="948">
        <v>1</v>
      </c>
      <c r="C130" s="1094">
        <v>2</v>
      </c>
      <c r="D130" s="1190">
        <v>6</v>
      </c>
      <c r="E130" s="1094">
        <v>8</v>
      </c>
      <c r="F130" s="1275">
        <v>3</v>
      </c>
      <c r="G130" s="1285">
        <v>2</v>
      </c>
      <c r="K130" s="924"/>
    </row>
    <row r="131" spans="1:11">
      <c r="A131" s="943" t="s">
        <v>426</v>
      </c>
      <c r="B131" s="948">
        <v>11</v>
      </c>
      <c r="C131" s="1094">
        <v>3</v>
      </c>
      <c r="D131" s="1190">
        <v>8</v>
      </c>
      <c r="E131" s="1094">
        <v>4</v>
      </c>
      <c r="F131" s="1275">
        <v>2</v>
      </c>
      <c r="G131" s="1285">
        <v>5</v>
      </c>
      <c r="K131" s="924"/>
    </row>
    <row r="132" spans="1:11">
      <c r="A132" s="943" t="s">
        <v>428</v>
      </c>
      <c r="B132" s="948">
        <v>2</v>
      </c>
      <c r="C132" s="1094">
        <v>4</v>
      </c>
      <c r="D132" s="1190">
        <v>7</v>
      </c>
      <c r="E132" s="1094">
        <v>7</v>
      </c>
      <c r="F132" s="1275">
        <v>5</v>
      </c>
      <c r="G132" s="1285">
        <v>7</v>
      </c>
      <c r="K132" s="924"/>
    </row>
    <row r="133" spans="1:11">
      <c r="A133" s="943" t="s">
        <v>429</v>
      </c>
      <c r="B133" s="948">
        <v>18</v>
      </c>
      <c r="C133" s="1094">
        <v>15</v>
      </c>
      <c r="D133" s="1190">
        <v>26</v>
      </c>
      <c r="E133" s="1094">
        <v>17</v>
      </c>
      <c r="F133" s="1275">
        <v>32</v>
      </c>
      <c r="G133" s="1285">
        <v>19</v>
      </c>
      <c r="K133" s="924"/>
    </row>
    <row r="134" spans="1:11">
      <c r="A134" s="943" t="s">
        <v>431</v>
      </c>
      <c r="B134" s="948">
        <v>7</v>
      </c>
      <c r="C134" s="1094">
        <v>2</v>
      </c>
      <c r="D134" s="1190">
        <v>1</v>
      </c>
      <c r="E134" s="1094">
        <v>0</v>
      </c>
      <c r="F134" s="1275">
        <v>6</v>
      </c>
      <c r="G134" s="1285">
        <v>3</v>
      </c>
      <c r="K134" s="924"/>
    </row>
    <row r="135" spans="1:11">
      <c r="A135" s="1091" t="s">
        <v>433</v>
      </c>
      <c r="B135" s="951">
        <v>7</v>
      </c>
      <c r="C135" s="1094">
        <v>10</v>
      </c>
      <c r="D135" s="1193">
        <v>11</v>
      </c>
      <c r="E135" s="1094">
        <v>6</v>
      </c>
      <c r="F135" s="1280">
        <v>9</v>
      </c>
      <c r="G135" s="1285">
        <v>15</v>
      </c>
      <c r="K135" s="924"/>
    </row>
    <row r="136" spans="1:11">
      <c r="A136" s="1091" t="s">
        <v>435</v>
      </c>
      <c r="B136" s="951">
        <v>6</v>
      </c>
      <c r="C136" s="1094">
        <v>8</v>
      </c>
      <c r="D136" s="1193">
        <v>7</v>
      </c>
      <c r="E136" s="1094">
        <v>5</v>
      </c>
      <c r="F136" s="1280">
        <v>5</v>
      </c>
      <c r="G136" s="1285">
        <v>3</v>
      </c>
      <c r="K136" s="924"/>
    </row>
    <row r="137" spans="1:11">
      <c r="A137" s="943" t="s">
        <v>437</v>
      </c>
      <c r="B137" s="948">
        <v>15</v>
      </c>
      <c r="C137" s="1094">
        <v>11</v>
      </c>
      <c r="D137" s="1190">
        <v>11</v>
      </c>
      <c r="E137" s="1094">
        <v>12</v>
      </c>
      <c r="F137" s="1275">
        <v>16</v>
      </c>
      <c r="G137" s="1285">
        <v>3</v>
      </c>
      <c r="K137" s="924"/>
    </row>
    <row r="138" spans="1:11">
      <c r="A138" s="943" t="s">
        <v>214</v>
      </c>
      <c r="B138" s="948">
        <v>2</v>
      </c>
      <c r="C138" s="1094">
        <v>0</v>
      </c>
      <c r="D138" s="1190">
        <v>0</v>
      </c>
      <c r="E138" s="1094">
        <v>1</v>
      </c>
      <c r="F138" s="1275">
        <v>0</v>
      </c>
      <c r="G138" s="1285">
        <v>1</v>
      </c>
      <c r="K138" s="924"/>
    </row>
    <row r="139" spans="1:11">
      <c r="A139" s="942" t="s">
        <v>439</v>
      </c>
      <c r="B139" s="950">
        <v>28</v>
      </c>
      <c r="C139" s="1095">
        <v>25</v>
      </c>
      <c r="D139" s="1192">
        <v>34</v>
      </c>
      <c r="E139" s="1095">
        <v>20</v>
      </c>
      <c r="F139" s="1278">
        <v>32</v>
      </c>
      <c r="G139" s="1286">
        <v>25</v>
      </c>
      <c r="K139" s="924"/>
    </row>
    <row r="140" spans="1:11">
      <c r="A140" s="943"/>
      <c r="B140" s="948"/>
      <c r="C140" s="1086"/>
      <c r="D140" s="1190"/>
      <c r="E140" s="1086"/>
      <c r="F140" s="1268"/>
      <c r="G140" s="1203"/>
      <c r="K140" s="924"/>
    </row>
    <row r="141" spans="1:11">
      <c r="A141" s="1087" t="s">
        <v>441</v>
      </c>
      <c r="B141" s="769">
        <f t="shared" ref="B141:G141" si="10">SUM(B142:B146)</f>
        <v>11</v>
      </c>
      <c r="C141" s="1086">
        <f t="shared" si="10"/>
        <v>14</v>
      </c>
      <c r="D141" s="1189">
        <f t="shared" si="10"/>
        <v>13</v>
      </c>
      <c r="E141" s="1086">
        <f t="shared" si="10"/>
        <v>12</v>
      </c>
      <c r="F141" s="1267">
        <f t="shared" si="10"/>
        <v>14</v>
      </c>
      <c r="G141" s="1203">
        <f t="shared" si="10"/>
        <v>10</v>
      </c>
    </row>
    <row r="142" spans="1:11">
      <c r="A142" s="943" t="s">
        <v>443</v>
      </c>
      <c r="B142" s="948">
        <v>1</v>
      </c>
      <c r="C142" s="1094">
        <v>4</v>
      </c>
      <c r="D142" s="1190">
        <v>3</v>
      </c>
      <c r="E142" s="1094">
        <v>4</v>
      </c>
      <c r="F142" s="1268">
        <v>5</v>
      </c>
      <c r="G142" s="1204">
        <v>3</v>
      </c>
    </row>
    <row r="143" spans="1:11">
      <c r="A143" s="943" t="s">
        <v>445</v>
      </c>
      <c r="B143" s="948">
        <v>0</v>
      </c>
      <c r="C143" s="1094">
        <v>1</v>
      </c>
      <c r="D143" s="1190">
        <v>1</v>
      </c>
      <c r="E143" s="1094">
        <v>1</v>
      </c>
      <c r="F143" s="1268">
        <v>0</v>
      </c>
      <c r="G143" s="1204">
        <v>1</v>
      </c>
    </row>
    <row r="144" spans="1:11">
      <c r="A144" s="943" t="s">
        <v>447</v>
      </c>
      <c r="B144" s="948">
        <v>2</v>
      </c>
      <c r="C144" s="1094">
        <v>2</v>
      </c>
      <c r="D144" s="1190">
        <v>2</v>
      </c>
      <c r="E144" s="1094">
        <v>4</v>
      </c>
      <c r="F144" s="1268">
        <v>2</v>
      </c>
      <c r="G144" s="1204">
        <v>1</v>
      </c>
    </row>
    <row r="145" spans="1:7">
      <c r="A145" s="943" t="s">
        <v>449</v>
      </c>
      <c r="B145" s="948">
        <v>7</v>
      </c>
      <c r="C145" s="1094">
        <v>7</v>
      </c>
      <c r="D145" s="1190">
        <v>7</v>
      </c>
      <c r="E145" s="1094">
        <v>2</v>
      </c>
      <c r="F145" s="1268">
        <v>7</v>
      </c>
      <c r="G145" s="1204">
        <v>5</v>
      </c>
    </row>
    <row r="146" spans="1:7">
      <c r="A146" s="942" t="s">
        <v>451</v>
      </c>
      <c r="B146" s="950">
        <v>1</v>
      </c>
      <c r="C146" s="1095">
        <v>0</v>
      </c>
      <c r="D146" s="1192">
        <v>0</v>
      </c>
      <c r="E146" s="1095">
        <v>1</v>
      </c>
      <c r="F146" s="1282">
        <v>0</v>
      </c>
      <c r="G146" s="1284">
        <v>0</v>
      </c>
    </row>
    <row r="147" spans="1:7">
      <c r="A147" s="943"/>
      <c r="B147" s="948"/>
      <c r="C147" s="1086"/>
      <c r="D147" s="1190"/>
      <c r="E147" s="1086"/>
      <c r="F147" s="1268"/>
      <c r="G147" s="1203"/>
    </row>
    <row r="148" spans="1:7">
      <c r="A148" s="1084" t="s">
        <v>453</v>
      </c>
      <c r="B148" s="769">
        <f t="shared" ref="B148:G148" si="11">SUM(B149:B156)</f>
        <v>61</v>
      </c>
      <c r="C148" s="1086">
        <f t="shared" si="11"/>
        <v>41</v>
      </c>
      <c r="D148" s="1189">
        <f t="shared" si="11"/>
        <v>55</v>
      </c>
      <c r="E148" s="1086">
        <f t="shared" si="11"/>
        <v>46</v>
      </c>
      <c r="F148" s="1267">
        <f t="shared" si="11"/>
        <v>45</v>
      </c>
      <c r="G148" s="1203">
        <f t="shared" si="11"/>
        <v>29</v>
      </c>
    </row>
    <row r="149" spans="1:7">
      <c r="A149" s="943" t="s">
        <v>455</v>
      </c>
      <c r="B149" s="948">
        <v>1</v>
      </c>
      <c r="C149" s="1094">
        <v>0</v>
      </c>
      <c r="D149" s="1190">
        <v>1</v>
      </c>
      <c r="E149" s="1094">
        <v>0</v>
      </c>
      <c r="F149" s="1268">
        <v>0</v>
      </c>
      <c r="G149" s="1204">
        <v>1</v>
      </c>
    </row>
    <row r="150" spans="1:7">
      <c r="A150" s="943" t="s">
        <v>458</v>
      </c>
      <c r="B150" s="948">
        <v>3</v>
      </c>
      <c r="C150" s="1094">
        <v>1</v>
      </c>
      <c r="D150" s="1190">
        <v>3</v>
      </c>
      <c r="E150" s="1094">
        <v>5</v>
      </c>
      <c r="F150" s="1268">
        <v>3</v>
      </c>
      <c r="G150" s="1204">
        <v>1</v>
      </c>
    </row>
    <row r="151" spans="1:7">
      <c r="A151" s="943" t="s">
        <v>460</v>
      </c>
      <c r="B151" s="948">
        <v>19</v>
      </c>
      <c r="C151" s="1094">
        <v>19</v>
      </c>
      <c r="D151" s="1190">
        <v>22</v>
      </c>
      <c r="E151" s="1094">
        <v>12</v>
      </c>
      <c r="F151" s="1268">
        <v>12</v>
      </c>
      <c r="G151" s="1204">
        <v>13</v>
      </c>
    </row>
    <row r="152" spans="1:7">
      <c r="A152" s="943" t="s">
        <v>462</v>
      </c>
      <c r="B152" s="948">
        <v>14</v>
      </c>
      <c r="C152" s="1094">
        <v>11</v>
      </c>
      <c r="D152" s="1190">
        <v>8</v>
      </c>
      <c r="E152" s="1094">
        <v>8</v>
      </c>
      <c r="F152" s="1268">
        <v>3</v>
      </c>
      <c r="G152" s="1204">
        <v>3</v>
      </c>
    </row>
    <row r="153" spans="1:7">
      <c r="A153" s="943" t="s">
        <v>464</v>
      </c>
      <c r="B153" s="948">
        <v>5</v>
      </c>
      <c r="C153" s="1094">
        <v>3</v>
      </c>
      <c r="D153" s="1190">
        <v>9</v>
      </c>
      <c r="E153" s="1094">
        <v>3</v>
      </c>
      <c r="F153" s="1268">
        <v>14</v>
      </c>
      <c r="G153" s="1204">
        <v>4</v>
      </c>
    </row>
    <row r="154" spans="1:7">
      <c r="A154" s="943" t="s">
        <v>466</v>
      </c>
      <c r="B154" s="948">
        <v>10</v>
      </c>
      <c r="C154" s="1094">
        <v>3</v>
      </c>
      <c r="D154" s="1190">
        <v>7</v>
      </c>
      <c r="E154" s="1094">
        <v>12</v>
      </c>
      <c r="F154" s="1268">
        <v>4</v>
      </c>
      <c r="G154" s="1204">
        <v>0</v>
      </c>
    </row>
    <row r="155" spans="1:7">
      <c r="A155" s="943" t="s">
        <v>468</v>
      </c>
      <c r="B155" s="948">
        <v>6</v>
      </c>
      <c r="C155" s="1094">
        <v>2</v>
      </c>
      <c r="D155" s="1190">
        <v>5</v>
      </c>
      <c r="E155" s="1094">
        <v>3</v>
      </c>
      <c r="F155" s="1268">
        <v>3</v>
      </c>
      <c r="G155" s="1204">
        <v>3</v>
      </c>
    </row>
    <row r="156" spans="1:7">
      <c r="A156" s="942" t="s">
        <v>336</v>
      </c>
      <c r="B156" s="950">
        <v>3</v>
      </c>
      <c r="C156" s="1095">
        <v>2</v>
      </c>
      <c r="D156" s="1192">
        <v>0</v>
      </c>
      <c r="E156" s="1095">
        <v>3</v>
      </c>
      <c r="F156" s="1282">
        <v>6</v>
      </c>
      <c r="G156" s="1284">
        <v>4</v>
      </c>
    </row>
    <row r="157" spans="1:7">
      <c r="A157" s="943"/>
      <c r="B157" s="948"/>
      <c r="C157" s="1086"/>
      <c r="D157" s="1190"/>
      <c r="E157" s="1086"/>
      <c r="F157" s="1268"/>
      <c r="G157" s="1203"/>
    </row>
    <row r="158" spans="1:7">
      <c r="A158" s="1087" t="s">
        <v>470</v>
      </c>
      <c r="B158" s="769">
        <f t="shared" ref="B158:G158" si="12">SUM(B159:B163)</f>
        <v>56</v>
      </c>
      <c r="C158" s="1086">
        <f t="shared" si="12"/>
        <v>34</v>
      </c>
      <c r="D158" s="1189">
        <f t="shared" si="12"/>
        <v>52</v>
      </c>
      <c r="E158" s="1086">
        <f t="shared" si="12"/>
        <v>34</v>
      </c>
      <c r="F158" s="1267">
        <f t="shared" si="12"/>
        <v>55</v>
      </c>
      <c r="G158" s="1203">
        <f t="shared" si="12"/>
        <v>23</v>
      </c>
    </row>
    <row r="159" spans="1:7">
      <c r="A159" s="943" t="s">
        <v>472</v>
      </c>
      <c r="B159" s="948">
        <v>18</v>
      </c>
      <c r="C159" s="1094">
        <v>16</v>
      </c>
      <c r="D159" s="1190">
        <v>10</v>
      </c>
      <c r="E159" s="1094">
        <v>11</v>
      </c>
      <c r="F159" s="1268">
        <v>14</v>
      </c>
      <c r="G159" s="1204">
        <v>9</v>
      </c>
    </row>
    <row r="160" spans="1:7">
      <c r="A160" s="943" t="s">
        <v>474</v>
      </c>
      <c r="B160" s="948">
        <v>10</v>
      </c>
      <c r="C160" s="1094">
        <v>4</v>
      </c>
      <c r="D160" s="1190">
        <v>13</v>
      </c>
      <c r="E160" s="1094">
        <v>10</v>
      </c>
      <c r="F160" s="1268">
        <v>9</v>
      </c>
      <c r="G160" s="1204">
        <v>8</v>
      </c>
    </row>
    <row r="161" spans="1:7">
      <c r="A161" s="943" t="s">
        <v>308</v>
      </c>
      <c r="B161" s="948">
        <v>3</v>
      </c>
      <c r="C161" s="1094">
        <v>5</v>
      </c>
      <c r="D161" s="1190">
        <v>4</v>
      </c>
      <c r="E161" s="1094">
        <v>2</v>
      </c>
      <c r="F161" s="1268">
        <v>6</v>
      </c>
      <c r="G161" s="1204">
        <v>1</v>
      </c>
    </row>
    <row r="162" spans="1:7">
      <c r="A162" s="943" t="s">
        <v>476</v>
      </c>
      <c r="B162" s="948">
        <v>2</v>
      </c>
      <c r="C162" s="1094">
        <v>4</v>
      </c>
      <c r="D162" s="1190">
        <v>2</v>
      </c>
      <c r="E162" s="1094">
        <v>4</v>
      </c>
      <c r="F162" s="1268">
        <v>4</v>
      </c>
      <c r="G162" s="1204">
        <v>1</v>
      </c>
    </row>
    <row r="163" spans="1:7">
      <c r="A163" s="942" t="s">
        <v>478</v>
      </c>
      <c r="B163" s="950">
        <v>23</v>
      </c>
      <c r="C163" s="1095">
        <v>5</v>
      </c>
      <c r="D163" s="1192">
        <v>23</v>
      </c>
      <c r="E163" s="1095">
        <v>7</v>
      </c>
      <c r="F163" s="1282">
        <v>22</v>
      </c>
      <c r="G163" s="1284">
        <v>4</v>
      </c>
    </row>
    <row r="164" spans="1:7">
      <c r="A164" s="163"/>
      <c r="B164" s="769"/>
      <c r="C164" s="1086"/>
      <c r="D164" s="1189"/>
      <c r="E164" s="1086"/>
      <c r="F164" s="1267"/>
      <c r="G164" s="1203"/>
    </row>
    <row r="165" spans="1:7">
      <c r="A165" s="1087" t="s">
        <v>480</v>
      </c>
      <c r="B165" s="769">
        <f t="shared" ref="B165:G165" si="13">SUM(B166:B171)</f>
        <v>55</v>
      </c>
      <c r="C165" s="1086">
        <f t="shared" si="13"/>
        <v>43</v>
      </c>
      <c r="D165" s="1189">
        <f t="shared" si="13"/>
        <v>67</v>
      </c>
      <c r="E165" s="1086">
        <f t="shared" si="13"/>
        <v>27</v>
      </c>
      <c r="F165" s="1267">
        <f t="shared" si="13"/>
        <v>60</v>
      </c>
      <c r="G165" s="1203">
        <f t="shared" si="13"/>
        <v>41</v>
      </c>
    </row>
    <row r="166" spans="1:7">
      <c r="A166" s="943" t="s">
        <v>342</v>
      </c>
      <c r="B166" s="948">
        <v>6</v>
      </c>
      <c r="C166" s="1094">
        <v>8</v>
      </c>
      <c r="D166" s="1190">
        <v>10</v>
      </c>
      <c r="E166" s="1094">
        <v>2</v>
      </c>
      <c r="F166" s="1268">
        <v>28</v>
      </c>
      <c r="G166" s="1204">
        <v>19</v>
      </c>
    </row>
    <row r="167" spans="1:7">
      <c r="A167" s="943" t="s">
        <v>482</v>
      </c>
      <c r="B167" s="948">
        <v>6</v>
      </c>
      <c r="C167" s="1094">
        <v>4</v>
      </c>
      <c r="D167" s="1190">
        <v>6</v>
      </c>
      <c r="E167" s="1094">
        <v>2</v>
      </c>
      <c r="F167" s="1268">
        <v>4</v>
      </c>
      <c r="G167" s="1204">
        <v>3</v>
      </c>
    </row>
    <row r="168" spans="1:7">
      <c r="A168" s="943" t="s">
        <v>484</v>
      </c>
      <c r="B168" s="948">
        <v>1</v>
      </c>
      <c r="C168" s="1094">
        <v>0</v>
      </c>
      <c r="D168" s="1190">
        <v>1</v>
      </c>
      <c r="E168" s="1094">
        <v>3</v>
      </c>
      <c r="F168" s="1268">
        <v>3</v>
      </c>
      <c r="G168" s="1204">
        <v>3</v>
      </c>
    </row>
    <row r="169" spans="1:7">
      <c r="A169" s="943" t="s">
        <v>486</v>
      </c>
      <c r="B169" s="948">
        <v>7</v>
      </c>
      <c r="C169" s="1094">
        <v>5</v>
      </c>
      <c r="D169" s="1190">
        <v>11</v>
      </c>
      <c r="E169" s="1094">
        <v>4</v>
      </c>
      <c r="F169" s="1268">
        <v>9</v>
      </c>
      <c r="G169" s="1204">
        <v>3</v>
      </c>
    </row>
    <row r="170" spans="1:7">
      <c r="A170" s="943" t="s">
        <v>490</v>
      </c>
      <c r="B170" s="948">
        <v>11</v>
      </c>
      <c r="C170" s="1094">
        <v>5</v>
      </c>
      <c r="D170" s="1190">
        <v>9</v>
      </c>
      <c r="E170" s="1094">
        <v>5</v>
      </c>
      <c r="F170" s="1268">
        <v>10</v>
      </c>
      <c r="G170" s="1204">
        <v>5</v>
      </c>
    </row>
    <row r="171" spans="1:7">
      <c r="A171" s="942" t="s">
        <v>492</v>
      </c>
      <c r="B171" s="950">
        <v>24</v>
      </c>
      <c r="C171" s="1095">
        <v>21</v>
      </c>
      <c r="D171" s="1192">
        <v>30</v>
      </c>
      <c r="E171" s="1095">
        <v>11</v>
      </c>
      <c r="F171" s="1282">
        <v>6</v>
      </c>
      <c r="G171" s="1284">
        <v>8</v>
      </c>
    </row>
    <row r="172" spans="1:7">
      <c r="A172" s="943"/>
      <c r="B172" s="948"/>
      <c r="C172" s="1086"/>
      <c r="D172" s="1190"/>
      <c r="E172" s="1086"/>
      <c r="F172" s="1268"/>
      <c r="G172" s="1203"/>
    </row>
    <row r="173" spans="1:7">
      <c r="A173" s="1087" t="s">
        <v>494</v>
      </c>
      <c r="B173" s="769">
        <f t="shared" ref="B173:G173" si="14">SUM(B174:B186)</f>
        <v>132</v>
      </c>
      <c r="C173" s="1086">
        <f t="shared" si="14"/>
        <v>96</v>
      </c>
      <c r="D173" s="1189">
        <f t="shared" si="14"/>
        <v>137</v>
      </c>
      <c r="E173" s="1086">
        <f t="shared" si="14"/>
        <v>74</v>
      </c>
      <c r="F173" s="1267">
        <f t="shared" si="14"/>
        <v>122</v>
      </c>
      <c r="G173" s="1203">
        <f t="shared" si="14"/>
        <v>76</v>
      </c>
    </row>
    <row r="174" spans="1:7">
      <c r="A174" s="943" t="s">
        <v>496</v>
      </c>
      <c r="B174" s="948">
        <v>3</v>
      </c>
      <c r="C174" s="1094">
        <v>3</v>
      </c>
      <c r="D174" s="1190">
        <v>5</v>
      </c>
      <c r="E174" s="1094">
        <v>3</v>
      </c>
      <c r="F174" s="1268">
        <v>3</v>
      </c>
      <c r="G174" s="1204">
        <v>4</v>
      </c>
    </row>
    <row r="175" spans="1:7">
      <c r="A175" s="943" t="s">
        <v>1078</v>
      </c>
      <c r="B175" s="948">
        <v>6</v>
      </c>
      <c r="C175" s="1094">
        <v>9</v>
      </c>
      <c r="D175" s="1190">
        <v>10</v>
      </c>
      <c r="E175" s="1094">
        <v>7</v>
      </c>
      <c r="F175" s="1268">
        <v>13</v>
      </c>
      <c r="G175" s="1204">
        <v>5</v>
      </c>
    </row>
    <row r="176" spans="1:7">
      <c r="A176" s="943" t="s">
        <v>498</v>
      </c>
      <c r="B176" s="948">
        <v>27</v>
      </c>
      <c r="C176" s="1094">
        <v>14</v>
      </c>
      <c r="D176" s="1190">
        <v>16</v>
      </c>
      <c r="E176" s="1094">
        <v>10</v>
      </c>
      <c r="F176" s="1268">
        <v>18</v>
      </c>
      <c r="G176" s="1204">
        <v>9</v>
      </c>
    </row>
    <row r="177" spans="1:7">
      <c r="A177" s="943" t="s">
        <v>500</v>
      </c>
      <c r="B177" s="948">
        <v>7</v>
      </c>
      <c r="C177" s="1094">
        <v>5</v>
      </c>
      <c r="D177" s="1190">
        <v>10</v>
      </c>
      <c r="E177" s="1094">
        <v>6</v>
      </c>
      <c r="F177" s="1268">
        <v>9</v>
      </c>
      <c r="G177" s="1204">
        <v>11</v>
      </c>
    </row>
    <row r="178" spans="1:7">
      <c r="A178" s="943" t="s">
        <v>404</v>
      </c>
      <c r="B178" s="948">
        <v>13</v>
      </c>
      <c r="C178" s="1094">
        <v>9</v>
      </c>
      <c r="D178" s="1190">
        <v>12</v>
      </c>
      <c r="E178" s="1094">
        <v>5</v>
      </c>
      <c r="F178" s="1268">
        <v>11</v>
      </c>
      <c r="G178" s="1204">
        <v>4</v>
      </c>
    </row>
    <row r="179" spans="1:7">
      <c r="A179" s="943" t="s">
        <v>502</v>
      </c>
      <c r="B179" s="948">
        <v>4</v>
      </c>
      <c r="C179" s="1094">
        <v>6</v>
      </c>
      <c r="D179" s="1190">
        <v>1</v>
      </c>
      <c r="E179" s="1094">
        <v>5</v>
      </c>
      <c r="F179" s="1268">
        <v>3</v>
      </c>
      <c r="G179" s="1204">
        <v>7</v>
      </c>
    </row>
    <row r="180" spans="1:7">
      <c r="A180" s="943" t="s">
        <v>504</v>
      </c>
      <c r="B180" s="948">
        <v>6</v>
      </c>
      <c r="C180" s="1094">
        <v>3</v>
      </c>
      <c r="D180" s="1190">
        <v>5</v>
      </c>
      <c r="E180" s="1094">
        <v>3</v>
      </c>
      <c r="F180" s="1268">
        <v>5</v>
      </c>
      <c r="G180" s="1204">
        <v>1</v>
      </c>
    </row>
    <row r="181" spans="1:7">
      <c r="A181" s="943" t="s">
        <v>506</v>
      </c>
      <c r="B181" s="948">
        <v>24</v>
      </c>
      <c r="C181" s="1094">
        <v>14</v>
      </c>
      <c r="D181" s="1190">
        <v>28</v>
      </c>
      <c r="E181" s="1094">
        <v>13</v>
      </c>
      <c r="F181" s="1268">
        <v>18</v>
      </c>
      <c r="G181" s="1204">
        <v>4</v>
      </c>
    </row>
    <row r="182" spans="1:7">
      <c r="A182" s="943" t="s">
        <v>508</v>
      </c>
      <c r="B182" s="948">
        <v>4</v>
      </c>
      <c r="C182" s="1094">
        <v>4</v>
      </c>
      <c r="D182" s="1190">
        <v>7</v>
      </c>
      <c r="E182" s="1094">
        <v>5</v>
      </c>
      <c r="F182" s="1268">
        <v>0</v>
      </c>
      <c r="G182" s="1204">
        <v>17</v>
      </c>
    </row>
    <row r="183" spans="1:7">
      <c r="A183" s="943" t="s">
        <v>510</v>
      </c>
      <c r="B183" s="948">
        <v>18</v>
      </c>
      <c r="C183" s="1094">
        <v>9</v>
      </c>
      <c r="D183" s="1190">
        <v>21</v>
      </c>
      <c r="E183" s="1094">
        <v>6</v>
      </c>
      <c r="F183" s="1268">
        <v>11</v>
      </c>
      <c r="G183" s="1204">
        <v>0</v>
      </c>
    </row>
    <row r="184" spans="1:7">
      <c r="A184" s="943" t="s">
        <v>512</v>
      </c>
      <c r="B184" s="948">
        <v>9</v>
      </c>
      <c r="C184" s="1094">
        <v>7</v>
      </c>
      <c r="D184" s="1190">
        <v>11</v>
      </c>
      <c r="E184" s="1094">
        <v>4</v>
      </c>
      <c r="F184" s="1268">
        <v>18</v>
      </c>
      <c r="G184" s="1204">
        <v>7</v>
      </c>
    </row>
    <row r="185" spans="1:7">
      <c r="A185" s="943" t="s">
        <v>514</v>
      </c>
      <c r="B185" s="948">
        <v>5</v>
      </c>
      <c r="C185" s="1094">
        <v>9</v>
      </c>
      <c r="D185" s="1190">
        <v>9</v>
      </c>
      <c r="E185" s="1094">
        <v>6</v>
      </c>
      <c r="F185" s="1268">
        <v>9</v>
      </c>
      <c r="G185" s="1204">
        <v>6</v>
      </c>
    </row>
    <row r="186" spans="1:7">
      <c r="A186" s="942" t="s">
        <v>426</v>
      </c>
      <c r="B186" s="950">
        <v>6</v>
      </c>
      <c r="C186" s="1095">
        <v>4</v>
      </c>
      <c r="D186" s="1192">
        <v>2</v>
      </c>
      <c r="E186" s="1095">
        <v>1</v>
      </c>
      <c r="F186" s="1287">
        <v>4</v>
      </c>
      <c r="G186" s="1284">
        <v>1</v>
      </c>
    </row>
    <row r="187" spans="1:7">
      <c r="A187" s="943"/>
      <c r="B187" s="948"/>
      <c r="C187" s="1086"/>
      <c r="D187" s="1190"/>
      <c r="E187" s="1086"/>
      <c r="F187" s="1268"/>
      <c r="G187" s="1203"/>
    </row>
    <row r="188" spans="1:7">
      <c r="A188" s="1087" t="s">
        <v>516</v>
      </c>
      <c r="B188" s="769">
        <f t="shared" ref="B188:G188" si="15">SUM(B189:B199)</f>
        <v>185</v>
      </c>
      <c r="C188" s="1086">
        <f t="shared" si="15"/>
        <v>163</v>
      </c>
      <c r="D188" s="1189">
        <f t="shared" si="15"/>
        <v>214</v>
      </c>
      <c r="E188" s="1086">
        <f t="shared" si="15"/>
        <v>158</v>
      </c>
      <c r="F188" s="1267">
        <f t="shared" si="15"/>
        <v>224</v>
      </c>
      <c r="G188" s="1203">
        <f t="shared" si="15"/>
        <v>162</v>
      </c>
    </row>
    <row r="189" spans="1:7">
      <c r="A189" s="943" t="s">
        <v>518</v>
      </c>
      <c r="B189" s="948">
        <v>8</v>
      </c>
      <c r="C189" s="1094">
        <v>1</v>
      </c>
      <c r="D189" s="1190">
        <v>9</v>
      </c>
      <c r="E189" s="1094">
        <v>4</v>
      </c>
      <c r="F189" s="1268">
        <v>26</v>
      </c>
      <c r="G189" s="1204">
        <v>12</v>
      </c>
    </row>
    <row r="190" spans="1:7">
      <c r="A190" s="943" t="s">
        <v>520</v>
      </c>
      <c r="B190" s="948">
        <v>17</v>
      </c>
      <c r="C190" s="1094">
        <v>12</v>
      </c>
      <c r="D190" s="1190">
        <v>12</v>
      </c>
      <c r="E190" s="1094">
        <v>12</v>
      </c>
      <c r="F190" s="1268">
        <v>30</v>
      </c>
      <c r="G190" s="1204">
        <v>39</v>
      </c>
    </row>
    <row r="191" spans="1:7">
      <c r="A191" s="943" t="s">
        <v>522</v>
      </c>
      <c r="B191" s="948">
        <v>10</v>
      </c>
      <c r="C191" s="1094">
        <v>9</v>
      </c>
      <c r="D191" s="1190">
        <v>7</v>
      </c>
      <c r="E191" s="1094">
        <v>5</v>
      </c>
      <c r="F191" s="1268">
        <v>12</v>
      </c>
      <c r="G191" s="1204">
        <v>5</v>
      </c>
    </row>
    <row r="192" spans="1:7">
      <c r="A192" s="943" t="s">
        <v>524</v>
      </c>
      <c r="B192" s="948">
        <v>1</v>
      </c>
      <c r="C192" s="1094">
        <v>2</v>
      </c>
      <c r="D192" s="1190">
        <v>3</v>
      </c>
      <c r="E192" s="1094">
        <v>2</v>
      </c>
      <c r="F192" s="1268">
        <v>11</v>
      </c>
      <c r="G192" s="1204">
        <v>7</v>
      </c>
    </row>
    <row r="193" spans="1:10">
      <c r="A193" s="943" t="s">
        <v>527</v>
      </c>
      <c r="B193" s="948">
        <v>54</v>
      </c>
      <c r="C193" s="1094">
        <v>49</v>
      </c>
      <c r="D193" s="1190">
        <v>55</v>
      </c>
      <c r="E193" s="1094">
        <v>47</v>
      </c>
      <c r="F193" s="1268">
        <v>29</v>
      </c>
      <c r="G193" s="1204">
        <v>24</v>
      </c>
      <c r="J193" s="924"/>
    </row>
    <row r="194" spans="1:10">
      <c r="A194" s="943" t="s">
        <v>529</v>
      </c>
      <c r="B194" s="948">
        <v>17</v>
      </c>
      <c r="C194" s="1094">
        <v>16</v>
      </c>
      <c r="D194" s="1190">
        <v>14</v>
      </c>
      <c r="E194" s="1094">
        <v>15</v>
      </c>
      <c r="F194" s="1268">
        <v>4</v>
      </c>
      <c r="G194" s="1204">
        <v>7</v>
      </c>
      <c r="J194" s="924"/>
    </row>
    <row r="195" spans="1:10">
      <c r="A195" s="943" t="s">
        <v>531</v>
      </c>
      <c r="B195" s="948">
        <v>28</v>
      </c>
      <c r="C195" s="1094">
        <v>21</v>
      </c>
      <c r="D195" s="1190">
        <v>45</v>
      </c>
      <c r="E195" s="1094">
        <v>36</v>
      </c>
      <c r="F195" s="1268">
        <v>11</v>
      </c>
      <c r="G195" s="1204">
        <v>4</v>
      </c>
    </row>
    <row r="196" spans="1:10">
      <c r="A196" s="943" t="s">
        <v>535</v>
      </c>
      <c r="B196" s="948">
        <v>22</v>
      </c>
      <c r="C196" s="1094">
        <v>16</v>
      </c>
      <c r="D196" s="1190">
        <v>10</v>
      </c>
      <c r="E196" s="1094">
        <v>12</v>
      </c>
      <c r="F196" s="1268">
        <v>3</v>
      </c>
      <c r="G196" s="1204">
        <v>2</v>
      </c>
    </row>
    <row r="197" spans="1:10">
      <c r="A197" s="943" t="s">
        <v>537</v>
      </c>
      <c r="B197" s="948">
        <v>17</v>
      </c>
      <c r="C197" s="1094">
        <v>15</v>
      </c>
      <c r="D197" s="1190">
        <v>36</v>
      </c>
      <c r="E197" s="1094">
        <v>17</v>
      </c>
      <c r="F197" s="1268">
        <v>13</v>
      </c>
      <c r="G197" s="1204">
        <v>1</v>
      </c>
    </row>
    <row r="198" spans="1:10">
      <c r="A198" s="943" t="s">
        <v>539</v>
      </c>
      <c r="B198" s="948">
        <v>7</v>
      </c>
      <c r="C198" s="1094">
        <v>15</v>
      </c>
      <c r="D198" s="1190">
        <v>15</v>
      </c>
      <c r="E198" s="1094">
        <v>5</v>
      </c>
      <c r="F198" s="1268">
        <v>8</v>
      </c>
      <c r="G198" s="1204">
        <v>5</v>
      </c>
    </row>
    <row r="199" spans="1:10">
      <c r="A199" s="942" t="s">
        <v>1079</v>
      </c>
      <c r="B199" s="950">
        <v>4</v>
      </c>
      <c r="C199" s="1095">
        <v>7</v>
      </c>
      <c r="D199" s="1192">
        <v>8</v>
      </c>
      <c r="E199" s="1095">
        <v>3</v>
      </c>
      <c r="F199" s="1282">
        <v>77</v>
      </c>
      <c r="G199" s="1284">
        <v>56</v>
      </c>
    </row>
    <row r="200" spans="1:10">
      <c r="A200" s="943"/>
      <c r="B200" s="948"/>
      <c r="C200" s="1086"/>
      <c r="D200" s="1190"/>
      <c r="E200" s="1086"/>
      <c r="F200" s="1268"/>
      <c r="G200" s="1203"/>
    </row>
    <row r="201" spans="1:10">
      <c r="A201" s="1087" t="s">
        <v>541</v>
      </c>
      <c r="B201" s="769">
        <f t="shared" ref="B201:G201" si="16">SUM(B202:B210)</f>
        <v>116</v>
      </c>
      <c r="C201" s="1086">
        <f t="shared" si="16"/>
        <v>93</v>
      </c>
      <c r="D201" s="1189">
        <f t="shared" si="16"/>
        <v>135</v>
      </c>
      <c r="E201" s="1086">
        <f t="shared" si="16"/>
        <v>83</v>
      </c>
      <c r="F201" s="1267">
        <f t="shared" si="16"/>
        <v>108</v>
      </c>
      <c r="G201" s="1203">
        <f t="shared" si="16"/>
        <v>73</v>
      </c>
    </row>
    <row r="202" spans="1:10">
      <c r="A202" s="943" t="s">
        <v>543</v>
      </c>
      <c r="B202" s="948">
        <v>5</v>
      </c>
      <c r="C202" s="1094">
        <v>6</v>
      </c>
      <c r="D202" s="1190">
        <v>3</v>
      </c>
      <c r="E202" s="1094">
        <v>4</v>
      </c>
      <c r="F202" s="1268">
        <v>35</v>
      </c>
      <c r="G202" s="1204">
        <v>16</v>
      </c>
    </row>
    <row r="203" spans="1:10">
      <c r="A203" s="943" t="s">
        <v>545</v>
      </c>
      <c r="B203" s="948">
        <v>33</v>
      </c>
      <c r="C203" s="1094">
        <v>27</v>
      </c>
      <c r="D203" s="1190">
        <v>48</v>
      </c>
      <c r="E203" s="1094">
        <v>28</v>
      </c>
      <c r="F203" s="1268">
        <v>25</v>
      </c>
      <c r="G203" s="1204">
        <v>17</v>
      </c>
    </row>
    <row r="204" spans="1:10">
      <c r="A204" s="943" t="s">
        <v>535</v>
      </c>
      <c r="B204" s="948">
        <v>21</v>
      </c>
      <c r="C204" s="1094">
        <v>14</v>
      </c>
      <c r="D204" s="1190">
        <v>20</v>
      </c>
      <c r="E204" s="1094">
        <v>18</v>
      </c>
      <c r="F204" s="1268">
        <v>6</v>
      </c>
      <c r="G204" s="1204">
        <v>5</v>
      </c>
    </row>
    <row r="205" spans="1:10">
      <c r="A205" s="943" t="s">
        <v>478</v>
      </c>
      <c r="B205" s="948">
        <v>7</v>
      </c>
      <c r="C205" s="1094">
        <v>8</v>
      </c>
      <c r="D205" s="1190">
        <v>13</v>
      </c>
      <c r="E205" s="1094">
        <v>6</v>
      </c>
      <c r="F205" s="1268">
        <v>6</v>
      </c>
      <c r="G205" s="1204">
        <v>11</v>
      </c>
    </row>
    <row r="206" spans="1:10">
      <c r="A206" s="943" t="s">
        <v>546</v>
      </c>
      <c r="B206" s="948">
        <v>16</v>
      </c>
      <c r="C206" s="1094">
        <v>7</v>
      </c>
      <c r="D206" s="1190">
        <v>12</v>
      </c>
      <c r="E206" s="1094">
        <v>6</v>
      </c>
      <c r="F206" s="1268">
        <v>4</v>
      </c>
      <c r="G206" s="1204">
        <v>6</v>
      </c>
    </row>
    <row r="207" spans="1:10">
      <c r="A207" s="943" t="s">
        <v>548</v>
      </c>
      <c r="B207" s="948">
        <v>5</v>
      </c>
      <c r="C207" s="1094">
        <v>3</v>
      </c>
      <c r="D207" s="1190">
        <v>3</v>
      </c>
      <c r="E207" s="1094">
        <v>1</v>
      </c>
      <c r="F207" s="1268">
        <v>4</v>
      </c>
      <c r="G207" s="1204">
        <v>1</v>
      </c>
    </row>
    <row r="208" spans="1:10">
      <c r="A208" s="943" t="s">
        <v>550</v>
      </c>
      <c r="B208" s="948">
        <v>1</v>
      </c>
      <c r="C208" s="1094">
        <v>3</v>
      </c>
      <c r="D208" s="1190">
        <v>4</v>
      </c>
      <c r="E208" s="1094">
        <v>4</v>
      </c>
      <c r="F208" s="1268">
        <v>21</v>
      </c>
      <c r="G208" s="1204">
        <v>7</v>
      </c>
    </row>
    <row r="209" spans="1:7">
      <c r="A209" s="943" t="s">
        <v>552</v>
      </c>
      <c r="B209" s="948">
        <v>18</v>
      </c>
      <c r="C209" s="1094">
        <v>17</v>
      </c>
      <c r="D209" s="1190">
        <v>30</v>
      </c>
      <c r="E209" s="1094">
        <v>9</v>
      </c>
      <c r="F209" s="1268">
        <v>2</v>
      </c>
      <c r="G209" s="1204">
        <v>6</v>
      </c>
    </row>
    <row r="210" spans="1:7">
      <c r="A210" s="942" t="s">
        <v>554</v>
      </c>
      <c r="B210" s="950">
        <v>10</v>
      </c>
      <c r="C210" s="1095">
        <v>8</v>
      </c>
      <c r="D210" s="1192">
        <v>2</v>
      </c>
      <c r="E210" s="1095">
        <v>7</v>
      </c>
      <c r="F210" s="1282">
        <v>5</v>
      </c>
      <c r="G210" s="1284">
        <v>4</v>
      </c>
    </row>
    <row r="211" spans="1:7">
      <c r="A211" s="943"/>
      <c r="B211" s="948"/>
      <c r="C211" s="1086"/>
      <c r="D211" s="1190"/>
      <c r="E211" s="1086"/>
      <c r="F211" s="1268"/>
      <c r="G211" s="1203"/>
    </row>
    <row r="212" spans="1:7">
      <c r="A212" s="1087" t="s">
        <v>556</v>
      </c>
      <c r="B212" s="769">
        <f t="shared" ref="B212:G212" si="17">SUM(B213:B221)</f>
        <v>159</v>
      </c>
      <c r="C212" s="1086">
        <f t="shared" si="17"/>
        <v>109</v>
      </c>
      <c r="D212" s="1189">
        <f t="shared" si="17"/>
        <v>177</v>
      </c>
      <c r="E212" s="1086">
        <f t="shared" si="17"/>
        <v>120</v>
      </c>
      <c r="F212" s="1267">
        <f t="shared" si="17"/>
        <v>137</v>
      </c>
      <c r="G212" s="1203">
        <f t="shared" si="17"/>
        <v>117</v>
      </c>
    </row>
    <row r="213" spans="1:7">
      <c r="A213" s="943" t="s">
        <v>558</v>
      </c>
      <c r="B213" s="948">
        <v>9</v>
      </c>
      <c r="C213" s="1094">
        <v>7</v>
      </c>
      <c r="D213" s="1190">
        <v>5</v>
      </c>
      <c r="E213" s="1094">
        <v>7</v>
      </c>
      <c r="F213" s="1268">
        <v>5</v>
      </c>
      <c r="G213" s="1204">
        <v>11</v>
      </c>
    </row>
    <row r="214" spans="1:7">
      <c r="A214" s="943" t="s">
        <v>560</v>
      </c>
      <c r="B214" s="948">
        <v>13</v>
      </c>
      <c r="C214" s="1094">
        <v>5</v>
      </c>
      <c r="D214" s="1190">
        <v>15</v>
      </c>
      <c r="E214" s="1094">
        <v>10</v>
      </c>
      <c r="F214" s="1268">
        <v>14</v>
      </c>
      <c r="G214" s="1204">
        <v>9</v>
      </c>
    </row>
    <row r="215" spans="1:7">
      <c r="A215" s="943" t="s">
        <v>562</v>
      </c>
      <c r="B215" s="948">
        <v>3</v>
      </c>
      <c r="C215" s="1094">
        <v>10</v>
      </c>
      <c r="D215" s="1190">
        <v>11</v>
      </c>
      <c r="E215" s="1094">
        <v>9</v>
      </c>
      <c r="F215" s="1268">
        <v>5</v>
      </c>
      <c r="G215" s="1204">
        <v>4</v>
      </c>
    </row>
    <row r="216" spans="1:7">
      <c r="A216" s="943" t="s">
        <v>564</v>
      </c>
      <c r="B216" s="948">
        <v>17</v>
      </c>
      <c r="C216" s="1094">
        <v>22</v>
      </c>
      <c r="D216" s="1190">
        <v>29</v>
      </c>
      <c r="E216" s="1094">
        <v>13</v>
      </c>
      <c r="F216" s="1268">
        <v>20</v>
      </c>
      <c r="G216" s="1204">
        <v>11</v>
      </c>
    </row>
    <row r="217" spans="1:7">
      <c r="A217" s="943" t="s">
        <v>566</v>
      </c>
      <c r="B217" s="948">
        <v>3</v>
      </c>
      <c r="C217" s="1094">
        <v>1</v>
      </c>
      <c r="D217" s="1190">
        <v>8</v>
      </c>
      <c r="E217" s="1094">
        <v>6</v>
      </c>
      <c r="F217" s="1268">
        <v>6</v>
      </c>
      <c r="G217" s="1204">
        <v>5</v>
      </c>
    </row>
    <row r="218" spans="1:7">
      <c r="A218" s="943" t="s">
        <v>322</v>
      </c>
      <c r="B218" s="948">
        <v>7</v>
      </c>
      <c r="C218" s="1094">
        <v>8</v>
      </c>
      <c r="D218" s="1190">
        <v>18</v>
      </c>
      <c r="E218" s="1094">
        <v>8</v>
      </c>
      <c r="F218" s="1268">
        <v>13</v>
      </c>
      <c r="G218" s="1204">
        <v>13</v>
      </c>
    </row>
    <row r="219" spans="1:7">
      <c r="A219" s="943" t="s">
        <v>568</v>
      </c>
      <c r="B219" s="948">
        <v>0</v>
      </c>
      <c r="C219" s="1094">
        <v>2</v>
      </c>
      <c r="D219" s="1190">
        <v>5</v>
      </c>
      <c r="E219" s="1094">
        <v>4</v>
      </c>
      <c r="F219" s="1268">
        <v>2</v>
      </c>
      <c r="G219" s="1204">
        <v>7</v>
      </c>
    </row>
    <row r="220" spans="1:7">
      <c r="A220" s="943" t="s">
        <v>570</v>
      </c>
      <c r="B220" s="948">
        <v>19</v>
      </c>
      <c r="C220" s="1094">
        <v>12</v>
      </c>
      <c r="D220" s="1190">
        <v>16</v>
      </c>
      <c r="E220" s="1094">
        <v>7</v>
      </c>
      <c r="F220" s="1268">
        <v>11</v>
      </c>
      <c r="G220" s="1204">
        <v>11</v>
      </c>
    </row>
    <row r="221" spans="1:7">
      <c r="A221" s="942" t="s">
        <v>445</v>
      </c>
      <c r="B221" s="950">
        <v>88</v>
      </c>
      <c r="C221" s="1095">
        <v>42</v>
      </c>
      <c r="D221" s="1192">
        <v>70</v>
      </c>
      <c r="E221" s="1095">
        <v>56</v>
      </c>
      <c r="F221" s="1282">
        <v>61</v>
      </c>
      <c r="G221" s="1284">
        <v>46</v>
      </c>
    </row>
    <row r="222" spans="1:7">
      <c r="A222" s="943"/>
      <c r="B222" s="948"/>
      <c r="C222" s="1086"/>
      <c r="D222" s="1190"/>
      <c r="E222" s="1086"/>
      <c r="F222" s="1268"/>
      <c r="G222" s="1203"/>
    </row>
    <row r="223" spans="1:7">
      <c r="A223" s="1087" t="s">
        <v>576</v>
      </c>
      <c r="B223" s="947">
        <v>136</v>
      </c>
      <c r="C223" s="1086">
        <v>85</v>
      </c>
      <c r="D223" s="1188">
        <f>D224</f>
        <v>138</v>
      </c>
      <c r="E223" s="1086">
        <f>E224</f>
        <v>101</v>
      </c>
      <c r="F223" s="1274">
        <f>F224</f>
        <v>143</v>
      </c>
      <c r="G223" s="1203">
        <f>G224</f>
        <v>101</v>
      </c>
    </row>
    <row r="224" spans="1:7">
      <c r="A224" s="942" t="s">
        <v>578</v>
      </c>
      <c r="B224" s="950">
        <v>136</v>
      </c>
      <c r="C224" s="1095">
        <v>85</v>
      </c>
      <c r="D224" s="1192">
        <v>138</v>
      </c>
      <c r="E224" s="1095">
        <v>101</v>
      </c>
      <c r="F224" s="1282">
        <v>143</v>
      </c>
      <c r="G224" s="1284">
        <v>101</v>
      </c>
    </row>
    <row r="225" spans="1:20">
      <c r="A225" s="943"/>
      <c r="B225" s="948"/>
      <c r="C225" s="1086"/>
      <c r="D225" s="1190"/>
      <c r="E225" s="1086"/>
      <c r="F225" s="1268"/>
      <c r="G225" s="1203"/>
    </row>
    <row r="226" spans="1:20">
      <c r="A226" s="1087" t="s">
        <v>580</v>
      </c>
      <c r="B226" s="769">
        <f t="shared" ref="B226:G226" si="18">SUM(B227:B232)</f>
        <v>272</v>
      </c>
      <c r="C226" s="1086">
        <f t="shared" si="18"/>
        <v>206</v>
      </c>
      <c r="D226" s="1189">
        <f t="shared" si="18"/>
        <v>301</v>
      </c>
      <c r="E226" s="1086">
        <f t="shared" si="18"/>
        <v>227</v>
      </c>
      <c r="F226" s="1267">
        <f t="shared" si="18"/>
        <v>286</v>
      </c>
      <c r="G226" s="1203">
        <f t="shared" si="18"/>
        <v>180</v>
      </c>
    </row>
    <row r="227" spans="1:20">
      <c r="A227" s="943" t="s">
        <v>342</v>
      </c>
      <c r="B227" s="948">
        <v>24</v>
      </c>
      <c r="C227" s="1094">
        <v>24</v>
      </c>
      <c r="D227" s="1190">
        <v>40</v>
      </c>
      <c r="E227" s="1094">
        <v>26</v>
      </c>
      <c r="F227" s="1268">
        <v>22</v>
      </c>
      <c r="G227" s="1204">
        <v>18</v>
      </c>
    </row>
    <row r="228" spans="1:20">
      <c r="A228" s="943" t="s">
        <v>537</v>
      </c>
      <c r="B228" s="948">
        <v>138</v>
      </c>
      <c r="C228" s="1094">
        <v>94</v>
      </c>
      <c r="D228" s="1190">
        <v>158</v>
      </c>
      <c r="E228" s="1094">
        <v>100</v>
      </c>
      <c r="F228" s="1268">
        <v>164</v>
      </c>
      <c r="G228" s="1204">
        <v>80</v>
      </c>
    </row>
    <row r="229" spans="1:20">
      <c r="A229" s="943" t="s">
        <v>582</v>
      </c>
      <c r="B229" s="948">
        <v>40</v>
      </c>
      <c r="C229" s="1094">
        <v>21</v>
      </c>
      <c r="D229" s="1190">
        <v>33</v>
      </c>
      <c r="E229" s="1094">
        <v>32</v>
      </c>
      <c r="F229" s="1268">
        <v>28</v>
      </c>
      <c r="G229" s="1204">
        <v>23</v>
      </c>
    </row>
    <row r="230" spans="1:20">
      <c r="A230" s="943" t="s">
        <v>270</v>
      </c>
      <c r="B230" s="948">
        <v>42</v>
      </c>
      <c r="C230" s="1094">
        <v>34</v>
      </c>
      <c r="D230" s="1190">
        <v>43</v>
      </c>
      <c r="E230" s="1094">
        <v>43</v>
      </c>
      <c r="F230" s="1268">
        <v>44</v>
      </c>
      <c r="G230" s="1204">
        <v>39</v>
      </c>
    </row>
    <row r="231" spans="1:20">
      <c r="A231" s="943" t="s">
        <v>584</v>
      </c>
      <c r="B231" s="948">
        <v>19</v>
      </c>
      <c r="C231" s="1094">
        <v>24</v>
      </c>
      <c r="D231" s="1190">
        <v>19</v>
      </c>
      <c r="E231" s="1094">
        <v>16</v>
      </c>
      <c r="F231" s="1268">
        <v>15</v>
      </c>
      <c r="G231" s="1204">
        <v>12</v>
      </c>
    </row>
    <row r="232" spans="1:20">
      <c r="A232" s="944" t="s">
        <v>586</v>
      </c>
      <c r="B232" s="953">
        <v>9</v>
      </c>
      <c r="C232" s="1096">
        <v>9</v>
      </c>
      <c r="D232" s="1197">
        <v>8</v>
      </c>
      <c r="E232" s="1096">
        <v>10</v>
      </c>
      <c r="F232" s="1288">
        <v>13</v>
      </c>
      <c r="G232" s="1205">
        <v>8</v>
      </c>
    </row>
    <row r="233" spans="1:20" ht="15">
      <c r="A233" s="945" t="s">
        <v>879</v>
      </c>
      <c r="B233" s="954"/>
      <c r="C233" s="954"/>
      <c r="D233" s="954"/>
      <c r="E233" s="954"/>
      <c r="F233" s="954"/>
      <c r="G233" s="954"/>
      <c r="H233" s="68"/>
      <c r="I233" s="68"/>
      <c r="J233" s="68"/>
      <c r="K233" s="68"/>
      <c r="L233" s="68"/>
      <c r="M233" s="68"/>
      <c r="N233" s="68"/>
      <c r="O233" s="68"/>
      <c r="P233" s="68"/>
      <c r="Q233" s="68"/>
      <c r="R233" s="68"/>
      <c r="S233" s="68"/>
      <c r="T233" s="68"/>
    </row>
  </sheetData>
  <mergeCells count="5">
    <mergeCell ref="A3:A4"/>
    <mergeCell ref="B3:C3"/>
    <mergeCell ref="D3:E3"/>
    <mergeCell ref="F3:G3"/>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vt:i4>
      </vt:variant>
    </vt:vector>
  </HeadingPairs>
  <TitlesOfParts>
    <vt:vector size="31" baseType="lpstr">
      <vt:lpstr>3.1</vt:lpstr>
      <vt:lpstr>3.2</vt:lpstr>
      <vt:lpstr>3.3</vt:lpstr>
      <vt:lpstr>3.4</vt:lpstr>
      <vt:lpstr>3.5</vt:lpstr>
      <vt:lpstr>3.6</vt:lpstr>
      <vt:lpstr>3.7</vt:lpstr>
      <vt:lpstr>3.8</vt:lpstr>
      <vt:lpstr>3.9</vt:lpstr>
      <vt:lpstr>3.10</vt:lpstr>
      <vt:lpstr>3.11</vt:lpstr>
      <vt:lpstr>3.12</vt:lpstr>
      <vt:lpstr>3.13</vt:lpstr>
      <vt:lpstr>3.14</vt:lpstr>
      <vt:lpstr>3.15</vt:lpstr>
      <vt:lpstr>3.16</vt:lpstr>
      <vt:lpstr>3.17</vt:lpstr>
      <vt:lpstr>3.18</vt:lpstr>
      <vt:lpstr>3.19</vt:lpstr>
      <vt:lpstr>3.20</vt:lpstr>
      <vt:lpstr>3.21</vt:lpstr>
      <vt:lpstr>3.22</vt:lpstr>
      <vt:lpstr>3.23</vt:lpstr>
      <vt:lpstr>3.24</vt:lpstr>
      <vt:lpstr>3.25</vt:lpstr>
      <vt:lpstr>'3.1'!Print_Area</vt:lpstr>
      <vt:lpstr>'3.4'!Print_Area</vt:lpstr>
      <vt:lpstr>'3.5'!Print_Area</vt:lpstr>
      <vt:lpstr>'3.6'!Print_Area</vt:lpstr>
      <vt:lpstr>'3.7'!Print_Area</vt:lpstr>
      <vt:lpstr>'3.9'!Print_Area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2019-07-22T06:02:33Z</dcterms:created>
  <dcterms:modified xsi:type="dcterms:W3CDTF">2023-01-23T08:31:38Z</dcterms:modified>
</cp:coreProperties>
</file>