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BFA7BD0F-F9FB-4522-A9CB-EA32EEA5EB62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2" sheetId="2" r:id="rId1"/>
  </sheets>
  <externalReferences>
    <externalReference r:id="rId2"/>
    <externalReference r:id="rId3"/>
    <externalReference r:id="rId4"/>
  </externalReferences>
  <definedNames>
    <definedName name="_xlnm.Print_Area" localSheetId="0">'3.2'!$A$1:$Q$64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94" i="2" l="1"/>
  <c r="BG96" i="2" s="1"/>
  <c r="BF94" i="2"/>
  <c r="BE93" i="2"/>
  <c r="BE92" i="2"/>
  <c r="BE91" i="2"/>
  <c r="BE90" i="2"/>
  <c r="BE89" i="2"/>
  <c r="BE88" i="2"/>
  <c r="BE87" i="2"/>
  <c r="BE86" i="2"/>
  <c r="BE85" i="2"/>
  <c r="BE84" i="2"/>
  <c r="BE83" i="2"/>
  <c r="BE82" i="2"/>
  <c r="BE81" i="2"/>
  <c r="BG80" i="2"/>
  <c r="BE80" i="2" s="1"/>
  <c r="BF80" i="2"/>
  <c r="BG79" i="2"/>
  <c r="BE79" i="2" s="1"/>
  <c r="BF79" i="2"/>
  <c r="BG72" i="2"/>
  <c r="BE72" i="2" s="1"/>
  <c r="BF72" i="2"/>
  <c r="BE71" i="2"/>
  <c r="BE70" i="2"/>
  <c r="BE69" i="2"/>
  <c r="BE68" i="2"/>
  <c r="BE67" i="2"/>
  <c r="BE66" i="2"/>
  <c r="BE65" i="2"/>
  <c r="BE64" i="2"/>
  <c r="BE63" i="2"/>
  <c r="BE62" i="2"/>
  <c r="BE61" i="2"/>
  <c r="BE60" i="2"/>
  <c r="BE59" i="2"/>
  <c r="BG58" i="2"/>
  <c r="BE58" i="2" s="1"/>
  <c r="BF58" i="2"/>
  <c r="BG57" i="2"/>
  <c r="BE57" i="2" s="1"/>
  <c r="BF57" i="2"/>
  <c r="BG55" i="2"/>
  <c r="BG47" i="2"/>
  <c r="BE47" i="2" s="1"/>
  <c r="BF47" i="2"/>
  <c r="BE46" i="2"/>
  <c r="BE45" i="2"/>
  <c r="BE44" i="2"/>
  <c r="BE43" i="2"/>
  <c r="BE42" i="2"/>
  <c r="BE41" i="2"/>
  <c r="BE40" i="2"/>
  <c r="BE39" i="2"/>
  <c r="BE38" i="2"/>
  <c r="BE37" i="2"/>
  <c r="BE36" i="2"/>
  <c r="BE35" i="2"/>
  <c r="BE34" i="2"/>
  <c r="BG33" i="2"/>
  <c r="BE33" i="2" s="1"/>
  <c r="BF33" i="2"/>
  <c r="BG32" i="2"/>
  <c r="BE32" i="2" s="1"/>
  <c r="BF32" i="2"/>
  <c r="N32" i="2"/>
  <c r="N31" i="2"/>
  <c r="N30" i="2"/>
  <c r="N29" i="2"/>
  <c r="N28" i="2"/>
  <c r="N27" i="2"/>
  <c r="N26" i="2"/>
  <c r="N25" i="2"/>
  <c r="N24" i="2"/>
  <c r="BG23" i="2"/>
  <c r="BE23" i="2" s="1"/>
  <c r="BF23" i="2"/>
  <c r="N23" i="2"/>
  <c r="BE22" i="2"/>
  <c r="N22" i="2"/>
  <c r="BE21" i="2"/>
  <c r="N21" i="2"/>
  <c r="BE20" i="2"/>
  <c r="N20" i="2"/>
  <c r="BE19" i="2"/>
  <c r="N19" i="2"/>
  <c r="BE18" i="2"/>
  <c r="N18" i="2"/>
  <c r="BE17" i="2"/>
  <c r="N17" i="2"/>
  <c r="BE16" i="2"/>
  <c r="N16" i="2"/>
  <c r="BE15" i="2"/>
  <c r="N15" i="2"/>
  <c r="BE14" i="2"/>
  <c r="N14" i="2"/>
  <c r="BE13" i="2"/>
  <c r="N13" i="2"/>
  <c r="BE12" i="2"/>
  <c r="N12" i="2"/>
  <c r="BE11" i="2"/>
  <c r="N11" i="2"/>
  <c r="BE10" i="2"/>
  <c r="N10" i="2"/>
  <c r="BG9" i="2"/>
  <c r="BE9" i="2" s="1"/>
  <c r="BF9" i="2"/>
  <c r="BG8" i="2"/>
  <c r="BE8" i="2" s="1"/>
  <c r="BF8" i="2"/>
  <c r="P8" i="2"/>
  <c r="O8" i="2"/>
  <c r="H8" i="2"/>
  <c r="G8" i="2"/>
  <c r="F8" i="2"/>
  <c r="D8" i="2"/>
  <c r="C8" i="2"/>
  <c r="B8" i="2"/>
  <c r="BE94" i="2" l="1"/>
  <c r="N8" i="2"/>
</calcChain>
</file>

<file path=xl/sharedStrings.xml><?xml version="1.0" encoding="utf-8"?>
<sst xmlns="http://schemas.openxmlformats.org/spreadsheetml/2006/main" count="136" uniqueCount="49">
  <si>
    <t>cscnijed</t>
  </si>
  <si>
    <t>cnehirif</t>
  </si>
  <si>
    <t>cnehcnwa</t>
  </si>
  <si>
    <t>Both Sexes</t>
  </si>
  <si>
    <t>Male</t>
  </si>
  <si>
    <t>Female</t>
  </si>
  <si>
    <t xml:space="preserve"> 2014 idwa 2006 ، 2000 ,1995 cnunemihOb ,cnutog egcscnij iaWaWrufurumua IdWbWa egcnihevid : 3.2 ulwvWt</t>
  </si>
  <si>
    <t>Table 3.2 : TOTAL MALDIVIAN POPULATION BY AGE AND SEX, CENSUS, 1995, 2000,  2006 AND 2014</t>
  </si>
  <si>
    <t>1995 Census</t>
  </si>
  <si>
    <t>1995 cnunemihOb</t>
  </si>
  <si>
    <t>2000 Census</t>
  </si>
  <si>
    <t>2000 cnunemihOb</t>
  </si>
  <si>
    <t>2006 Census</t>
  </si>
  <si>
    <t>2006 cnunemihOb</t>
  </si>
  <si>
    <t>2014 Census</t>
  </si>
  <si>
    <t>2014 cnunemihOb</t>
  </si>
  <si>
    <t>Wrufurumua</t>
  </si>
  <si>
    <t>Age group</t>
  </si>
  <si>
    <t>wlcmuj</t>
  </si>
  <si>
    <t>Total</t>
  </si>
  <si>
    <t>0-4</t>
  </si>
  <si>
    <t xml:space="preserve">cSwdcnurwhwa 1 </t>
  </si>
  <si>
    <t>5 - 9</t>
  </si>
  <si>
    <t>Less than 1 year</t>
  </si>
  <si>
    <t>10 - 14</t>
  </si>
  <si>
    <t>1 - 4</t>
  </si>
  <si>
    <t>15 - 19</t>
  </si>
  <si>
    <t>5</t>
  </si>
  <si>
    <t>20 - 24</t>
  </si>
  <si>
    <t>6 - 9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</si>
  <si>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</si>
  <si>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</si>
  <si>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</si>
  <si>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</si>
  <si>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</si>
  <si>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</si>
  <si>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</si>
  <si>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</si>
  <si>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</si>
  <si>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</si>
  <si>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75+</t>
  </si>
  <si>
    <t>75 - 79</t>
  </si>
  <si>
    <t>80 - 84</t>
  </si>
  <si>
    <t>85 - 89</t>
  </si>
  <si>
    <t>90 - 94</t>
  </si>
  <si>
    <t>95 years and over</t>
  </si>
  <si>
    <t>Age not stated</t>
  </si>
  <si>
    <t>Source: Maldives Bureau of Statistics</t>
  </si>
  <si>
    <t>މައުލޫމާތު ދެއްވި ފަރާތް: މޯލްޑިވްސް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</si>
</sst>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1" formatCode="_-* #,##0\ _ރ_._-;_-* #,##0\ _ރ_.\-;_-* &quot;-&quot;??\ _ރ_.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A_Randhoo"/>
    </font>
    <font>
      <b/>
      <sz val="9"/>
      <name val="Arial"/>
      <family val="2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1"/>
      <name val="Arial"/>
      <family val="2"/>
    </font>
    <font>
      <sz val="10"/>
      <name val="Calibri"/>
      <family val="2"/>
    </font>
    <font>
      <sz val="10"/>
      <name val="A_Randhoo"/>
    </font>
    <font>
      <sz val="11"/>
      <name val="Courier"/>
      <family val="3"/>
    </font>
    <font>
      <sz val="7"/>
      <name val="Arial"/>
      <family val="2"/>
    </font>
    <font>
      <b/>
      <sz val="8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A_Faseyha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26">
    <xf numFmtId="0" fontId="0" fillId="0" borderId="0"/>
    <xf numFmtId="167" fontId="2" fillId="0" borderId="0"/>
    <xf numFmtId="0" fontId="13" fillId="0" borderId="0"/>
    <xf numFmtId="0" fontId="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9">
    <xf numFmtId="0" fontId="0" fillId="0" borderId="0" xfId="0"/>
    <xf numFmtId="167" fontId="3" fillId="2" borderId="0" xfId="1" applyFont="1" applyFill="1"/>
    <xf numFmtId="167" fontId="11" fillId="2" borderId="0" xfId="1" applyFont="1" applyFill="1" applyAlignment="1">
      <alignment horizontal="left" vertical="center"/>
    </xf>
    <xf numFmtId="2" fontId="12" fillId="2" borderId="0" xfId="1" applyNumberFormat="1" applyFont="1" applyFill="1" applyAlignment="1" applyProtection="1">
      <alignment vertical="center"/>
      <protection locked="0"/>
    </xf>
    <xf numFmtId="3" fontId="14" fillId="2" borderId="0" xfId="2" applyNumberFormat="1" applyFont="1" applyFill="1" applyAlignment="1">
      <alignment horizontal="right" vertical="center"/>
    </xf>
    <xf numFmtId="0" fontId="15" fillId="2" borderId="0" xfId="2" applyFont="1" applyFill="1"/>
    <xf numFmtId="37" fontId="9" fillId="2" borderId="0" xfId="1" applyNumberFormat="1" applyFont="1" applyFill="1" applyAlignment="1" applyProtection="1">
      <alignment horizontal="right" vertical="center"/>
      <protection locked="0"/>
    </xf>
    <xf numFmtId="4" fontId="9" fillId="2" borderId="0" xfId="1" applyNumberFormat="1" applyFont="1" applyFill="1" applyAlignment="1" applyProtection="1">
      <alignment horizontal="right" vertical="center"/>
      <protection locked="0"/>
    </xf>
    <xf numFmtId="167" fontId="3" fillId="2" borderId="0" xfId="1" applyFont="1" applyFill="1" applyAlignment="1">
      <alignment horizontal="right" vertical="center"/>
    </xf>
    <xf numFmtId="49" fontId="9" fillId="2" borderId="0" xfId="3" applyNumberFormat="1" applyFont="1" applyFill="1" applyAlignment="1">
      <alignment horizontal="center"/>
    </xf>
    <xf numFmtId="3" fontId="9" fillId="2" borderId="0" xfId="3" applyNumberFormat="1" applyFont="1" applyFill="1"/>
    <xf numFmtId="0" fontId="3" fillId="2" borderId="0" xfId="3" applyFill="1" applyAlignment="1">
      <alignment horizontal="centerContinuous" vertical="center"/>
    </xf>
    <xf numFmtId="0" fontId="3" fillId="2" borderId="0" xfId="3" applyFill="1"/>
    <xf numFmtId="0" fontId="3" fillId="2" borderId="1" xfId="3" applyFill="1" applyBorder="1"/>
    <xf numFmtId="0" fontId="5" fillId="2" borderId="0" xfId="3" applyFont="1" applyFill="1"/>
    <xf numFmtId="0" fontId="16" fillId="2" borderId="3" xfId="3" applyFont="1" applyFill="1" applyBorder="1" applyAlignment="1">
      <alignment horizontal="centerContinuous" vertical="center"/>
    </xf>
    <xf numFmtId="0" fontId="9" fillId="2" borderId="3" xfId="3" applyFont="1" applyFill="1" applyBorder="1" applyAlignment="1">
      <alignment horizontal="left" vertical="center"/>
    </xf>
    <xf numFmtId="0" fontId="6" fillId="2" borderId="0" xfId="3" applyFont="1" applyFill="1" applyAlignment="1">
      <alignment horizontal="center" vertical="center"/>
    </xf>
    <xf numFmtId="0" fontId="13" fillId="2" borderId="3" xfId="3" applyFont="1" applyFill="1" applyBorder="1"/>
    <xf numFmtId="0" fontId="4" fillId="2" borderId="1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right"/>
    </xf>
    <xf numFmtId="3" fontId="3" fillId="2" borderId="0" xfId="3" applyNumberFormat="1" applyFill="1"/>
    <xf numFmtId="0" fontId="8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vertical="center"/>
    </xf>
    <xf numFmtId="0" fontId="9" fillId="2" borderId="0" xfId="3" applyFont="1" applyFill="1"/>
    <xf numFmtId="0" fontId="13" fillId="2" borderId="0" xfId="3" applyFont="1" applyFill="1"/>
    <xf numFmtId="0" fontId="16" fillId="2" borderId="0" xfId="3" applyFont="1" applyFill="1" applyAlignment="1">
      <alignment horizontal="center"/>
    </xf>
    <xf numFmtId="3" fontId="4" fillId="2" borderId="0" xfId="3" applyNumberFormat="1" applyFont="1" applyFill="1"/>
    <xf numFmtId="3" fontId="4" fillId="2" borderId="0" xfId="0" applyNumberFormat="1" applyFont="1" applyFill="1"/>
    <xf numFmtId="0" fontId="17" fillId="2" borderId="0" xfId="3" applyFont="1" applyFill="1"/>
    <xf numFmtId="49" fontId="18" fillId="2" borderId="0" xfId="3" applyNumberFormat="1" applyFont="1" applyFill="1" applyAlignment="1">
      <alignment horizontal="center"/>
    </xf>
    <xf numFmtId="167" fontId="9" fillId="2" borderId="0" xfId="1" applyFont="1" applyFill="1"/>
    <xf numFmtId="0" fontId="19" fillId="2" borderId="0" xfId="3" applyFont="1" applyFill="1" applyAlignment="1">
      <alignment horizontal="center" vertical="center"/>
    </xf>
    <xf numFmtId="3" fontId="17" fillId="2" borderId="0" xfId="3" applyNumberFormat="1" applyFont="1" applyFill="1"/>
    <xf numFmtId="3" fontId="17" fillId="2" borderId="0" xfId="0" applyNumberFormat="1" applyFont="1" applyFill="1"/>
    <xf numFmtId="0" fontId="18" fillId="2" borderId="0" xfId="3" applyFont="1" applyFill="1" applyAlignment="1">
      <alignment horizontal="center" vertical="top"/>
    </xf>
    <xf numFmtId="3" fontId="10" fillId="2" borderId="0" xfId="3" applyNumberFormat="1" applyFont="1" applyFill="1" applyAlignment="1">
      <alignment horizontal="right" vertical="center"/>
    </xf>
    <xf numFmtId="3" fontId="10" fillId="2" borderId="0" xfId="0" applyNumberFormat="1" applyFont="1" applyFill="1" applyAlignment="1">
      <alignment horizontal="right" vertical="center"/>
    </xf>
    <xf numFmtId="0" fontId="17" fillId="2" borderId="0" xfId="3" applyFont="1" applyFill="1" applyAlignment="1">
      <alignment horizontal="right" vertical="center"/>
    </xf>
    <xf numFmtId="0" fontId="13" fillId="2" borderId="0" xfId="3" applyFont="1" applyFill="1" applyAlignment="1">
      <alignment vertical="top"/>
    </xf>
    <xf numFmtId="0" fontId="3" fillId="2" borderId="0" xfId="3" applyFill="1" applyAlignment="1">
      <alignment vertical="top"/>
    </xf>
    <xf numFmtId="0" fontId="4" fillId="2" borderId="0" xfId="2" applyFont="1" applyFill="1" applyAlignment="1">
      <alignment horizontal="left" indent="1"/>
    </xf>
    <xf numFmtId="3" fontId="4" fillId="2" borderId="0" xfId="2" applyNumberFormat="1" applyFont="1" applyFill="1" applyAlignment="1">
      <alignment horizontal="right" indent="1"/>
    </xf>
    <xf numFmtId="0" fontId="10" fillId="2" borderId="0" xfId="4" applyFont="1" applyFill="1"/>
    <xf numFmtId="0" fontId="10" fillId="2" borderId="0" xfId="2" quotePrefix="1" applyFont="1" applyFill="1" applyAlignment="1">
      <alignment horizontal="left" indent="2"/>
    </xf>
    <xf numFmtId="3" fontId="10" fillId="2" borderId="0" xfId="2" applyNumberFormat="1" applyFont="1" applyFill="1" applyAlignment="1">
      <alignment horizontal="right" indent="1"/>
    </xf>
    <xf numFmtId="3" fontId="10" fillId="2" borderId="0" xfId="2" applyNumberFormat="1" applyFont="1" applyFill="1"/>
    <xf numFmtId="171" fontId="15" fillId="2" borderId="0" xfId="5" applyNumberFormat="1" applyFont="1" applyFill="1" applyBorder="1"/>
    <xf numFmtId="167" fontId="20" fillId="2" borderId="0" xfId="1" applyFont="1" applyFill="1" applyAlignment="1">
      <alignment horizontal="right" vertical="center"/>
    </xf>
    <xf numFmtId="0" fontId="10" fillId="2" borderId="0" xfId="3" applyFont="1" applyFill="1" applyAlignment="1">
      <alignment horizontal="right" vertical="center"/>
    </xf>
    <xf numFmtId="0" fontId="18" fillId="2" borderId="1" xfId="3" applyFont="1" applyFill="1" applyBorder="1" applyAlignment="1">
      <alignment horizontal="center"/>
    </xf>
    <xf numFmtId="0" fontId="10" fillId="2" borderId="1" xfId="3" applyFont="1" applyFill="1" applyBorder="1" applyAlignment="1">
      <alignment horizontal="right" vertical="center"/>
    </xf>
    <xf numFmtId="3" fontId="10" fillId="2" borderId="1" xfId="3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horizontal="right" vertical="center"/>
    </xf>
    <xf numFmtId="167" fontId="20" fillId="2" borderId="1" xfId="1" applyFont="1" applyFill="1" applyBorder="1" applyAlignment="1">
      <alignment horizontal="right" vertical="center"/>
    </xf>
    <xf numFmtId="0" fontId="3" fillId="2" borderId="2" xfId="3" applyFill="1" applyBorder="1"/>
    <xf numFmtId="167" fontId="2" fillId="2" borderId="0" xfId="1" applyFill="1"/>
    <xf numFmtId="0" fontId="9" fillId="2" borderId="0" xfId="3" applyFont="1" applyFill="1" applyAlignment="1">
      <alignment vertical="center"/>
    </xf>
    <xf numFmtId="49" fontId="9" fillId="2" borderId="0" xfId="1" applyNumberFormat="1" applyFont="1" applyFill="1" applyAlignment="1">
      <alignment horizontal="right" vertical="center"/>
    </xf>
    <xf numFmtId="167" fontId="21" fillId="2" borderId="0" xfId="1" applyFont="1" applyFill="1" applyAlignment="1">
      <alignment horizontal="right" vertical="center"/>
    </xf>
    <xf numFmtId="37" fontId="7" fillId="2" borderId="0" xfId="1" applyNumberFormat="1" applyFont="1" applyFill="1" applyAlignment="1">
      <alignment horizontal="right" vertical="center"/>
    </xf>
    <xf numFmtId="167" fontId="5" fillId="2" borderId="0" xfId="1" applyFont="1" applyFill="1" applyAlignment="1">
      <alignment horizontal="right" vertical="center"/>
    </xf>
    <xf numFmtId="0" fontId="22" fillId="2" borderId="0" xfId="0" applyFont="1" applyFill="1" applyAlignment="1">
      <alignment horizontal="center" vertical="center" readingOrder="1"/>
    </xf>
    <xf numFmtId="0" fontId="24" fillId="2" borderId="0" xfId="3" applyFont="1" applyFill="1" applyAlignment="1">
      <alignment horizontal="right" vertical="center"/>
    </xf>
    <xf numFmtId="0" fontId="24" fillId="2" borderId="0" xfId="3" applyFont="1" applyFill="1" applyAlignment="1">
      <alignment horizontal="center" vertical="center"/>
    </xf>
    <xf numFmtId="0" fontId="25" fillId="2" borderId="0" xfId="3" applyFont="1" applyFill="1"/>
    <xf numFmtId="0" fontId="24" fillId="2" borderId="3" xfId="3" applyFont="1" applyFill="1" applyBorder="1" applyAlignment="1">
      <alignment horizontal="right" vertical="center"/>
    </xf>
    <xf numFmtId="0" fontId="24" fillId="2" borderId="0" xfId="3" applyFont="1" applyFill="1" applyAlignment="1">
      <alignment horizontal="center" vertical="center"/>
    </xf>
    <xf numFmtId="0" fontId="4" fillId="2" borderId="0" xfId="3" applyFont="1" applyFill="1" applyAlignment="1">
      <alignment horizontal="center" vertical="center"/>
    </xf>
  </cellXfs>
  <cellStyles count="26">
    <cellStyle name="1" xfId="15" xr:uid="{00000000-0005-0000-0000-000000000000}"/>
    <cellStyle name="Comma 2" xfId="14" xr:uid="{00000000-0005-0000-0000-000002000000}"/>
    <cellStyle name="Comma 2 2" xfId="24" xr:uid="{00000000-0005-0000-0000-000003000000}"/>
    <cellStyle name="Comma 3" xfId="7" xr:uid="{00000000-0005-0000-0000-000004000000}"/>
    <cellStyle name="Comma 3 2" xfId="17" xr:uid="{00000000-0005-0000-0000-000005000000}"/>
    <cellStyle name="Comma 3 3" xfId="25" xr:uid="{00000000-0005-0000-0000-000006000000}"/>
    <cellStyle name="Comma 4" xfId="5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8" xr:uid="{00000000-0005-0000-0000-00000E000000}"/>
    <cellStyle name="Normal 2" xfId="6" xr:uid="{00000000-0005-0000-0000-00000F000000}"/>
    <cellStyle name="Normal 2 2" xfId="21" xr:uid="{00000000-0005-0000-0000-000010000000}"/>
    <cellStyle name="Normal 20" xfId="4" xr:uid="{00000000-0005-0000-0000-000011000000}"/>
    <cellStyle name="Normal 20 2" xfId="19" xr:uid="{00000000-0005-0000-0000-000012000000}"/>
    <cellStyle name="Normal 3" xfId="13" xr:uid="{00000000-0005-0000-0000-000013000000}"/>
    <cellStyle name="Normal 32" xfId="9" xr:uid="{00000000-0005-0000-0000-000014000000}"/>
    <cellStyle name="Normal 32 2" xfId="22" xr:uid="{00000000-0005-0000-0000-000015000000}"/>
    <cellStyle name="Normal 4" xfId="12" xr:uid="{00000000-0005-0000-0000-000016000000}"/>
    <cellStyle name="Normal 44" xfId="10" xr:uid="{00000000-0005-0000-0000-000017000000}"/>
    <cellStyle name="Normal 44 2" xfId="23" xr:uid="{00000000-0005-0000-0000-000018000000}"/>
    <cellStyle name="Normal 48" xfId="11" xr:uid="{00000000-0005-0000-0000-000019000000}"/>
    <cellStyle name="Normal 5" xfId="2" xr:uid="{00000000-0005-0000-0000-00001A000000}"/>
    <cellStyle name="Normal 5 2" xfId="18" xr:uid="{00000000-0005-0000-0000-00001B000000}"/>
    <cellStyle name="Normal_3 Population." xfId="1" xr:uid="{00000000-0005-0000-0000-00001D000000}"/>
    <cellStyle name="Normal_II-14(Population)" xfId="3" xr:uid="{00000000-0005-0000-0000-000020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1995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'3.2'!$BF$7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DDDD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'3.2'!$BD$8:$BD$23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'3.2'!$BF$8:$BF$23</c:f>
              <c:numCache>
                <c:formatCode>#,##0</c:formatCode>
                <c:ptCount val="16"/>
                <c:pt idx="0">
                  <c:v>17859</c:v>
                </c:pt>
                <c:pt idx="1">
                  <c:v>19919</c:v>
                </c:pt>
                <c:pt idx="2">
                  <c:v>17584</c:v>
                </c:pt>
                <c:pt idx="3">
                  <c:v>12562</c:v>
                </c:pt>
                <c:pt idx="4">
                  <c:v>11077</c:v>
                </c:pt>
                <c:pt idx="5">
                  <c:v>9389</c:v>
                </c:pt>
                <c:pt idx="6">
                  <c:v>7785</c:v>
                </c:pt>
                <c:pt idx="7">
                  <c:v>6317</c:v>
                </c:pt>
                <c:pt idx="8">
                  <c:v>3297</c:v>
                </c:pt>
                <c:pt idx="9">
                  <c:v>3215</c:v>
                </c:pt>
                <c:pt idx="10">
                  <c:v>3042</c:v>
                </c:pt>
                <c:pt idx="11">
                  <c:v>2722</c:v>
                </c:pt>
                <c:pt idx="12">
                  <c:v>2284</c:v>
                </c:pt>
                <c:pt idx="13">
                  <c:v>1304</c:v>
                </c:pt>
                <c:pt idx="14">
                  <c:v>822</c:v>
                </c:pt>
                <c:pt idx="15">
                  <c:v>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9-409C-846C-416F5A6AA65A}"/>
            </c:ext>
          </c:extLst>
        </c:ser>
        <c:ser>
          <c:idx val="1"/>
          <c:order val="1"/>
          <c:tx>
            <c:strRef>
              <c:f>'3.2'!$BE$7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0000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'3.2'!$BD$8:$BD$23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'3.2'!$BE$8:$BE$23</c:f>
              <c:numCache>
                <c:formatCode>General_)</c:formatCode>
                <c:ptCount val="16"/>
                <c:pt idx="0">
                  <c:v>-19113</c:v>
                </c:pt>
                <c:pt idx="1">
                  <c:v>-20840</c:v>
                </c:pt>
                <c:pt idx="2">
                  <c:v>-18286</c:v>
                </c:pt>
                <c:pt idx="3">
                  <c:v>-12343</c:v>
                </c:pt>
                <c:pt idx="4">
                  <c:v>-9944</c:v>
                </c:pt>
                <c:pt idx="5">
                  <c:v>-8802</c:v>
                </c:pt>
                <c:pt idx="6">
                  <c:v>-7579</c:v>
                </c:pt>
                <c:pt idx="7">
                  <c:v>-6315</c:v>
                </c:pt>
                <c:pt idx="8">
                  <c:v>-3625</c:v>
                </c:pt>
                <c:pt idx="9">
                  <c:v>-3369</c:v>
                </c:pt>
                <c:pt idx="10">
                  <c:v>-3205</c:v>
                </c:pt>
                <c:pt idx="11">
                  <c:v>-3240</c:v>
                </c:pt>
                <c:pt idx="12">
                  <c:v>-3010</c:v>
                </c:pt>
                <c:pt idx="13">
                  <c:v>-1897</c:v>
                </c:pt>
                <c:pt idx="14">
                  <c:v>-1279</c:v>
                </c:pt>
                <c:pt idx="15">
                  <c:v>-1384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9-409C-846C-416F5A6A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5714656"/>
        <c:axId val="385716224"/>
      </c:barChart>
      <c:dateAx>
        <c:axId val="385714656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6224"/>
        <c:crosses val="autoZero"/>
        <c:auto val="0"/>
        <c:lblOffset val="100"/>
        <c:baseTimeUnit val="days"/>
      </c:dateAx>
      <c:valAx>
        <c:axId val="385716224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4656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1995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[1]Sheet1!$B$61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[1]Sheet1!$B$62:$B$77</c:f>
              <c:numCache>
                <c:formatCode>General</c:formatCode>
                <c:ptCount val="16"/>
                <c:pt idx="0">
                  <c:v>19113</c:v>
                </c:pt>
                <c:pt idx="1">
                  <c:v>20840</c:v>
                </c:pt>
                <c:pt idx="2">
                  <c:v>18286</c:v>
                </c:pt>
                <c:pt idx="3">
                  <c:v>12343</c:v>
                </c:pt>
                <c:pt idx="4">
                  <c:v>9944</c:v>
                </c:pt>
                <c:pt idx="5">
                  <c:v>8802</c:v>
                </c:pt>
                <c:pt idx="6">
                  <c:v>7579</c:v>
                </c:pt>
                <c:pt idx="7">
                  <c:v>6315</c:v>
                </c:pt>
                <c:pt idx="8">
                  <c:v>3625</c:v>
                </c:pt>
                <c:pt idx="9">
                  <c:v>3369</c:v>
                </c:pt>
                <c:pt idx="10">
                  <c:v>3205</c:v>
                </c:pt>
                <c:pt idx="11">
                  <c:v>3240</c:v>
                </c:pt>
                <c:pt idx="12">
                  <c:v>3010</c:v>
                </c:pt>
                <c:pt idx="13">
                  <c:v>1897</c:v>
                </c:pt>
                <c:pt idx="14">
                  <c:v>1279</c:v>
                </c:pt>
                <c:pt idx="15">
                  <c:v>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3-4F0C-89FF-081E252C2486}"/>
            </c:ext>
          </c:extLst>
        </c:ser>
        <c:ser>
          <c:idx val="1"/>
          <c:order val="1"/>
          <c:tx>
            <c:strRef>
              <c:f>[1]Sheet1!$C$61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[1]Sheet1!$C$62:$C$77</c:f>
              <c:numCache>
                <c:formatCode>General</c:formatCode>
                <c:ptCount val="16"/>
                <c:pt idx="0">
                  <c:v>-17859</c:v>
                </c:pt>
                <c:pt idx="1">
                  <c:v>-19919</c:v>
                </c:pt>
                <c:pt idx="2">
                  <c:v>-17584</c:v>
                </c:pt>
                <c:pt idx="3">
                  <c:v>-12562</c:v>
                </c:pt>
                <c:pt idx="4">
                  <c:v>-11077</c:v>
                </c:pt>
                <c:pt idx="5">
                  <c:v>-9389</c:v>
                </c:pt>
                <c:pt idx="6">
                  <c:v>-7785</c:v>
                </c:pt>
                <c:pt idx="7">
                  <c:v>-6317</c:v>
                </c:pt>
                <c:pt idx="8">
                  <c:v>-3297</c:v>
                </c:pt>
                <c:pt idx="9">
                  <c:v>-3215</c:v>
                </c:pt>
                <c:pt idx="10">
                  <c:v>-3042</c:v>
                </c:pt>
                <c:pt idx="11">
                  <c:v>-2722</c:v>
                </c:pt>
                <c:pt idx="12">
                  <c:v>-2284</c:v>
                </c:pt>
                <c:pt idx="13">
                  <c:v>-1304</c:v>
                </c:pt>
                <c:pt idx="14">
                  <c:v>-822</c:v>
                </c:pt>
                <c:pt idx="15">
                  <c:v>-862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3-4F0C-89FF-081E252C2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85717400"/>
        <c:axId val="385718968"/>
      </c:barChart>
      <c:catAx>
        <c:axId val="385717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5718968"/>
        <c:crosses val="autoZero"/>
        <c:auto val="1"/>
        <c:lblAlgn val="ctr"/>
        <c:lblOffset val="100"/>
        <c:tickLblSkip val="9"/>
        <c:tickMarkSkip val="1"/>
        <c:noMultiLvlLbl val="0"/>
      </c:catAx>
      <c:valAx>
        <c:axId val="385718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57174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[1]Sheet1!$B$87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[1]Sheet1!$B$88:$B$103</c:f>
              <c:numCache>
                <c:formatCode>General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8-4F64-8B0C-E4D03F6886A9}"/>
            </c:ext>
          </c:extLst>
        </c:ser>
        <c:ser>
          <c:idx val="1"/>
          <c:order val="1"/>
          <c:tx>
            <c:strRef>
              <c:f>[1]Sheet1!$C$87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[1]Sheet1!$C$88:$C$103</c:f>
              <c:numCache>
                <c:formatCode>General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8-4F64-8B0C-E4D03F68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497988848"/>
        <c:axId val="497992376"/>
      </c:barChart>
      <c:catAx>
        <c:axId val="497988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-60000" vert="horz"/>
              <a:lstStyle/>
              <a:p>
                <a:pPr algn="ctr"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7992376"/>
        <c:crossesAt val="0"/>
        <c:auto val="0"/>
        <c:lblAlgn val="ctr"/>
        <c:lblOffset val="100"/>
        <c:tickLblSkip val="2"/>
        <c:tickMarkSkip val="1"/>
        <c:noMultiLvlLbl val="0"/>
      </c:catAx>
      <c:valAx>
        <c:axId val="497992376"/>
        <c:scaling>
          <c:orientation val="minMax"/>
          <c:max val="30000"/>
          <c:min val="-30000"/>
        </c:scaling>
        <c:delete val="0"/>
        <c:axPos val="b"/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7988848"/>
        <c:crosses val="autoZero"/>
        <c:crossBetween val="between"/>
        <c:majorUnit val="10000"/>
        <c:minorUnit val="2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2014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'3.2'!$BF$78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DDDD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'3.2'!$BD$79:$BD$94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'3.2'!$BF$79:$BF$94</c:f>
              <c:numCache>
                <c:formatCode>#,##0</c:formatCode>
                <c:ptCount val="16"/>
                <c:pt idx="0">
                  <c:v>17223</c:v>
                </c:pt>
                <c:pt idx="1">
                  <c:v>15616</c:v>
                </c:pt>
                <c:pt idx="2">
                  <c:v>12787</c:v>
                </c:pt>
                <c:pt idx="3">
                  <c:v>15461</c:v>
                </c:pt>
                <c:pt idx="4">
                  <c:v>18537</c:v>
                </c:pt>
                <c:pt idx="5">
                  <c:v>19738</c:v>
                </c:pt>
                <c:pt idx="6">
                  <c:v>15868</c:v>
                </c:pt>
                <c:pt idx="7">
                  <c:v>11518</c:v>
                </c:pt>
                <c:pt idx="8">
                  <c:v>10064</c:v>
                </c:pt>
                <c:pt idx="9">
                  <c:v>8795</c:v>
                </c:pt>
                <c:pt idx="10">
                  <c:v>7405</c:v>
                </c:pt>
                <c:pt idx="11">
                  <c:v>5672</c:v>
                </c:pt>
                <c:pt idx="12">
                  <c:v>2922</c:v>
                </c:pt>
                <c:pt idx="13">
                  <c:v>2426</c:v>
                </c:pt>
                <c:pt idx="14">
                  <c:v>2372</c:v>
                </c:pt>
                <c:pt idx="15">
                  <c:v>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BD-4796-9A8F-2B78C860658C}"/>
            </c:ext>
          </c:extLst>
        </c:ser>
        <c:ser>
          <c:idx val="2"/>
          <c:order val="1"/>
          <c:tx>
            <c:strRef>
              <c:f>'3.2'!$BE$78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0000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'3.2'!$BD$79:$BD$94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'3.2'!$BE$79:$BE$94</c:f>
              <c:numCache>
                <c:formatCode>General_)</c:formatCode>
                <c:ptCount val="16"/>
                <c:pt idx="0">
                  <c:v>-18863</c:v>
                </c:pt>
                <c:pt idx="1">
                  <c:v>-16364</c:v>
                </c:pt>
                <c:pt idx="2">
                  <c:v>-13571</c:v>
                </c:pt>
                <c:pt idx="3">
                  <c:v>-15922</c:v>
                </c:pt>
                <c:pt idx="4">
                  <c:v>-19349</c:v>
                </c:pt>
                <c:pt idx="5">
                  <c:v>-19451</c:v>
                </c:pt>
                <c:pt idx="6">
                  <c:v>-15494</c:v>
                </c:pt>
                <c:pt idx="7">
                  <c:v>-11386</c:v>
                </c:pt>
                <c:pt idx="8">
                  <c:v>-9811</c:v>
                </c:pt>
                <c:pt idx="9">
                  <c:v>-8784</c:v>
                </c:pt>
                <c:pt idx="10">
                  <c:v>-7645</c:v>
                </c:pt>
                <c:pt idx="11">
                  <c:v>-6031</c:v>
                </c:pt>
                <c:pt idx="12">
                  <c:v>-3327</c:v>
                </c:pt>
                <c:pt idx="13">
                  <c:v>-2445</c:v>
                </c:pt>
                <c:pt idx="14">
                  <c:v>-2471</c:v>
                </c:pt>
                <c:pt idx="15">
                  <c:v>-3752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BD-4796-9A8F-2B78C860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92731112"/>
        <c:axId val="392734640"/>
      </c:barChart>
      <c:dateAx>
        <c:axId val="392731112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4640"/>
        <c:crosses val="autoZero"/>
        <c:auto val="0"/>
        <c:lblOffset val="100"/>
        <c:baseTimeUnit val="days"/>
      </c:dateAx>
      <c:valAx>
        <c:axId val="392734640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1112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'3.2'!$BF$31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DDDD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'3.2'!$BD$32:$BD$47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'3.2'!$BF$32:$BF$47</c:f>
              <c:numCache>
                <c:formatCode>#,##0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18-44E6-BB45-19C88B456203}"/>
            </c:ext>
          </c:extLst>
        </c:ser>
        <c:ser>
          <c:idx val="0"/>
          <c:order val="1"/>
          <c:tx>
            <c:strRef>
              <c:f>'3.2'!$BE$31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0000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'3.2'!$BD$32:$BD$47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'3.2'!$BE$32:$BE$47</c:f>
              <c:numCache>
                <c:formatCode>General_)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8-44E6-BB45-19C88B456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92732288"/>
        <c:axId val="343053784"/>
      </c:barChart>
      <c:dateAx>
        <c:axId val="392732288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3053784"/>
        <c:crosses val="autoZero"/>
        <c:auto val="0"/>
        <c:lblOffset val="100"/>
        <c:baseTimeUnit val="days"/>
      </c:dateAx>
      <c:valAx>
        <c:axId val="343053784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2288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2006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'3.2'!$BF$56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DDDD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'3.2'!$BD$57:$BD$72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'3.2'!$BF$57:$BF$72</c:f>
              <c:numCache>
                <c:formatCode>#,##0</c:formatCode>
                <c:ptCount val="16"/>
                <c:pt idx="0">
                  <c:v>12809</c:v>
                </c:pt>
                <c:pt idx="1">
                  <c:v>14515</c:v>
                </c:pt>
                <c:pt idx="2">
                  <c:v>17888</c:v>
                </c:pt>
                <c:pt idx="3">
                  <c:v>19749</c:v>
                </c:pt>
                <c:pt idx="4">
                  <c:v>17876</c:v>
                </c:pt>
                <c:pt idx="5">
                  <c:v>12666</c:v>
                </c:pt>
                <c:pt idx="6">
                  <c:v>10613</c:v>
                </c:pt>
                <c:pt idx="7">
                  <c:v>9394</c:v>
                </c:pt>
                <c:pt idx="8">
                  <c:v>8043</c:v>
                </c:pt>
                <c:pt idx="9">
                  <c:v>6697</c:v>
                </c:pt>
                <c:pt idx="10">
                  <c:v>3789</c:v>
                </c:pt>
                <c:pt idx="11">
                  <c:v>2813</c:v>
                </c:pt>
                <c:pt idx="12">
                  <c:v>2714</c:v>
                </c:pt>
                <c:pt idx="13">
                  <c:v>2664</c:v>
                </c:pt>
                <c:pt idx="14">
                  <c:v>1853</c:v>
                </c:pt>
                <c:pt idx="15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6-4915-B2C7-EE0CC8C75F93}"/>
            </c:ext>
          </c:extLst>
        </c:ser>
        <c:ser>
          <c:idx val="1"/>
          <c:order val="1"/>
          <c:tx>
            <c:strRef>
              <c:f>'3.2'!$BE$56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'3.2'!$BD$57:$BD$72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'3.2'!$BE$57:$BE$72</c:f>
              <c:numCache>
                <c:formatCode>General_)</c:formatCode>
                <c:ptCount val="16"/>
                <c:pt idx="0">
                  <c:v>-13362</c:v>
                </c:pt>
                <c:pt idx="1">
                  <c:v>-15352</c:v>
                </c:pt>
                <c:pt idx="2">
                  <c:v>-19111</c:v>
                </c:pt>
                <c:pt idx="3">
                  <c:v>-20155</c:v>
                </c:pt>
                <c:pt idx="4">
                  <c:v>-16933</c:v>
                </c:pt>
                <c:pt idx="5">
                  <c:v>-11915</c:v>
                </c:pt>
                <c:pt idx="6">
                  <c:v>-10022</c:v>
                </c:pt>
                <c:pt idx="7">
                  <c:v>-8780</c:v>
                </c:pt>
                <c:pt idx="8">
                  <c:v>-7828</c:v>
                </c:pt>
                <c:pt idx="9">
                  <c:v>-6872</c:v>
                </c:pt>
                <c:pt idx="10">
                  <c:v>-4147</c:v>
                </c:pt>
                <c:pt idx="11">
                  <c:v>-3046</c:v>
                </c:pt>
                <c:pt idx="12">
                  <c:v>-2852</c:v>
                </c:pt>
                <c:pt idx="13">
                  <c:v>-3014</c:v>
                </c:pt>
                <c:pt idx="14">
                  <c:v>-2333</c:v>
                </c:pt>
                <c:pt idx="15">
                  <c:v>-2443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6-4915-B2C7-EE0CC8C7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6716128"/>
        <c:axId val="496722008"/>
      </c:barChart>
      <c:dateAx>
        <c:axId val="496716128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008"/>
        <c:crosses val="autoZero"/>
        <c:auto val="0"/>
        <c:lblOffset val="100"/>
        <c:baseTimeUnit val="days"/>
      </c:dateAx>
      <c:valAx>
        <c:axId val="496722008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6128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33</xdr:row>
      <xdr:rowOff>171450</xdr:rowOff>
    </xdr:from>
    <xdr:to>
      <xdr:col>6</xdr:col>
      <xdr:colOff>447675</xdr:colOff>
      <xdr:row>46</xdr:row>
      <xdr:rowOff>114300</xdr:rowOff>
    </xdr:to>
    <xdr:graphicFrame macro="">
      <xdr:nvGraphicFramePr>
        <xdr:cNvPr id="2" name="Chart 1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352425</xdr:colOff>
      <xdr:row>33</xdr:row>
      <xdr:rowOff>0</xdr:rowOff>
    </xdr:from>
    <xdr:to>
      <xdr:col>7</xdr:col>
      <xdr:colOff>457200</xdr:colOff>
      <xdr:row>33</xdr:row>
      <xdr:rowOff>28575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067300" y="7058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171450</xdr:colOff>
      <xdr:row>26</xdr:row>
      <xdr:rowOff>0</xdr:rowOff>
    </xdr:from>
    <xdr:to>
      <xdr:col>18</xdr:col>
      <xdr:colOff>266700</xdr:colOff>
      <xdr:row>26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1677650" y="5467350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95250</xdr:colOff>
      <xdr:row>33</xdr:row>
      <xdr:rowOff>38100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38225" y="7058025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228600</xdr:colOff>
      <xdr:row>33</xdr:row>
      <xdr:rowOff>0</xdr:rowOff>
    </xdr:from>
    <xdr:to>
      <xdr:col>11</xdr:col>
      <xdr:colOff>247650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628650</xdr:colOff>
      <xdr:row>26</xdr:row>
      <xdr:rowOff>0</xdr:rowOff>
    </xdr:from>
    <xdr:to>
      <xdr:col>46</xdr:col>
      <xdr:colOff>457200</xdr:colOff>
      <xdr:row>26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160235</xdr:colOff>
      <xdr:row>61</xdr:row>
      <xdr:rowOff>80117</xdr:rowOff>
    </xdr:from>
    <xdr:to>
      <xdr:col>13</xdr:col>
      <xdr:colOff>49025</xdr:colOff>
      <xdr:row>62</xdr:row>
      <xdr:rowOff>63033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6399110" y="12157817"/>
          <a:ext cx="1450890" cy="17341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700" b="1"/>
            <a:t>Population in Thousands</a:t>
          </a:r>
        </a:p>
      </xdr:txBody>
    </xdr:sp>
    <xdr:clientData/>
  </xdr:twoCellAnchor>
  <xdr:twoCellAnchor>
    <xdr:from>
      <xdr:col>2</xdr:col>
      <xdr:colOff>70036</xdr:colOff>
      <xdr:row>45</xdr:row>
      <xdr:rowOff>161084</xdr:rowOff>
    </xdr:from>
    <xdr:to>
      <xdr:col>3</xdr:col>
      <xdr:colOff>581306</xdr:colOff>
      <xdr:row>46</xdr:row>
      <xdr:rowOff>105054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832161" y="9514634"/>
          <a:ext cx="1235170" cy="134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700"/>
        </a:p>
      </xdr:txBody>
    </xdr:sp>
    <xdr:clientData/>
  </xdr:twoCellAnchor>
  <xdr:twoCellAnchor>
    <xdr:from>
      <xdr:col>10</xdr:col>
      <xdr:colOff>70572</xdr:colOff>
      <xdr:row>45</xdr:row>
      <xdr:rowOff>141784</xdr:rowOff>
    </xdr:from>
    <xdr:to>
      <xdr:col>12</xdr:col>
      <xdr:colOff>91584</xdr:colOff>
      <xdr:row>46</xdr:row>
      <xdr:rowOff>138149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309447" y="9495334"/>
          <a:ext cx="1392612" cy="186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400"/>
        </a:p>
      </xdr:txBody>
    </xdr:sp>
    <xdr:clientData/>
  </xdr:twoCellAnchor>
  <xdr:twoCellAnchor>
    <xdr:from>
      <xdr:col>7</xdr:col>
      <xdr:colOff>57150</xdr:colOff>
      <xdr:row>49</xdr:row>
      <xdr:rowOff>0</xdr:rowOff>
    </xdr:from>
    <xdr:to>
      <xdr:col>14</xdr:col>
      <xdr:colOff>295275</xdr:colOff>
      <xdr:row>62</xdr:row>
      <xdr:rowOff>142875</xdr:rowOff>
    </xdr:to>
    <xdr:graphicFrame macro="">
      <xdr:nvGraphicFramePr>
        <xdr:cNvPr id="13" name="Chart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19050</xdr:colOff>
      <xdr:row>34</xdr:row>
      <xdr:rowOff>9525</xdr:rowOff>
    </xdr:from>
    <xdr:to>
      <xdr:col>14</xdr:col>
      <xdr:colOff>257175</xdr:colOff>
      <xdr:row>46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476250</xdr:colOff>
      <xdr:row>48</xdr:row>
      <xdr:rowOff>133350</xdr:rowOff>
    </xdr:from>
    <xdr:to>
      <xdr:col>6</xdr:col>
      <xdr:colOff>428625</xdr:colOff>
      <xdr:row>62</xdr:row>
      <xdr:rowOff>161925</xdr:rowOff>
    </xdr:to>
    <xdr:graphicFrame macro="">
      <xdr:nvGraphicFramePr>
        <xdr:cNvPr id="15" name="Chart 1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383463</xdr:colOff>
      <xdr:row>61</xdr:row>
      <xdr:rowOff>139589</xdr:rowOff>
    </xdr:from>
    <xdr:to>
      <xdr:col>4</xdr:col>
      <xdr:colOff>94429</xdr:colOff>
      <xdr:row>62</xdr:row>
      <xdr:rowOff>181960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2144767" y="12189535"/>
          <a:ext cx="1156138" cy="231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G96"/>
  <sheetViews>
    <sheetView tabSelected="1" zoomScale="89" zoomScaleNormal="89" workbookViewId="0">
      <selection activeCell="Z12" sqref="Z12"/>
    </sheetView>
  </sheetViews>
  <sheetFormatPr defaultRowHeight="12.75" x14ac:dyDescent="0.2"/>
  <cols>
    <col min="1" max="1" width="15.5703125" style="12" customWidth="1"/>
    <col min="2" max="4" width="10.85546875" style="12" customWidth="1"/>
    <col min="5" max="5" width="2.28515625" style="12" customWidth="1"/>
    <col min="6" max="8" width="10.140625" style="12" customWidth="1"/>
    <col min="9" max="9" width="2.42578125" style="12" customWidth="1"/>
    <col min="10" max="12" width="10.28515625" style="12" customWidth="1"/>
    <col min="13" max="13" width="2.85546875" style="12" customWidth="1"/>
    <col min="14" max="16" width="10.42578125" style="12" customWidth="1"/>
    <col min="17" max="18" width="12.140625" style="12" customWidth="1"/>
    <col min="19" max="19" width="11.85546875" style="12" bestFit="1" customWidth="1"/>
    <col min="20" max="43" width="11.85546875" style="12" customWidth="1"/>
    <col min="44" max="45" width="10.5703125" style="12" bestFit="1" customWidth="1"/>
    <col min="46" max="46" width="11.85546875" style="12" bestFit="1" customWidth="1"/>
    <col min="47" max="47" width="10.5703125" style="12" bestFit="1" customWidth="1"/>
    <col min="48" max="49" width="10.5703125" style="12" customWidth="1"/>
    <col min="50" max="57" width="9.140625" style="12"/>
    <col min="58" max="58" width="10.85546875" style="12" customWidth="1"/>
    <col min="59" max="280" width="9.140625" style="12"/>
    <col min="281" max="281" width="15.5703125" style="12" customWidth="1"/>
    <col min="282" max="284" width="10.85546875" style="12" customWidth="1"/>
    <col min="285" max="285" width="2.28515625" style="12" customWidth="1"/>
    <col min="286" max="288" width="10.140625" style="12" customWidth="1"/>
    <col min="289" max="289" width="2.42578125" style="12" customWidth="1"/>
    <col min="290" max="292" width="10.28515625" style="12" customWidth="1"/>
    <col min="293" max="293" width="2.85546875" style="12" customWidth="1"/>
    <col min="294" max="296" width="10.42578125" style="12" customWidth="1"/>
    <col min="297" max="298" width="12.140625" style="12" customWidth="1"/>
    <col min="299" max="299" width="11.85546875" style="12" bestFit="1" customWidth="1"/>
    <col min="300" max="301" width="10.5703125" style="12" bestFit="1" customWidth="1"/>
    <col min="302" max="302" width="11.85546875" style="12" bestFit="1" customWidth="1"/>
    <col min="303" max="303" width="10.5703125" style="12" bestFit="1" customWidth="1"/>
    <col min="304" max="305" width="10.5703125" style="12" customWidth="1"/>
    <col min="306" max="313" width="9.140625" style="12"/>
    <col min="314" max="314" width="10.85546875" style="12" customWidth="1"/>
    <col min="315" max="536" width="9.140625" style="12"/>
    <col min="537" max="537" width="15.5703125" style="12" customWidth="1"/>
    <col min="538" max="540" width="10.85546875" style="12" customWidth="1"/>
    <col min="541" max="541" width="2.28515625" style="12" customWidth="1"/>
    <col min="542" max="544" width="10.140625" style="12" customWidth="1"/>
    <col min="545" max="545" width="2.42578125" style="12" customWidth="1"/>
    <col min="546" max="548" width="10.28515625" style="12" customWidth="1"/>
    <col min="549" max="549" width="2.85546875" style="12" customWidth="1"/>
    <col min="550" max="552" width="10.42578125" style="12" customWidth="1"/>
    <col min="553" max="554" width="12.140625" style="12" customWidth="1"/>
    <col min="555" max="555" width="11.85546875" style="12" bestFit="1" customWidth="1"/>
    <col min="556" max="557" width="10.5703125" style="12" bestFit="1" customWidth="1"/>
    <col min="558" max="558" width="11.85546875" style="12" bestFit="1" customWidth="1"/>
    <col min="559" max="559" width="10.5703125" style="12" bestFit="1" customWidth="1"/>
    <col min="560" max="561" width="10.5703125" style="12" customWidth="1"/>
    <col min="562" max="569" width="9.140625" style="12"/>
    <col min="570" max="570" width="10.85546875" style="12" customWidth="1"/>
    <col min="571" max="792" width="9.140625" style="12"/>
    <col min="793" max="793" width="15.5703125" style="12" customWidth="1"/>
    <col min="794" max="796" width="10.85546875" style="12" customWidth="1"/>
    <col min="797" max="797" width="2.28515625" style="12" customWidth="1"/>
    <col min="798" max="800" width="10.140625" style="12" customWidth="1"/>
    <col min="801" max="801" width="2.42578125" style="12" customWidth="1"/>
    <col min="802" max="804" width="10.28515625" style="12" customWidth="1"/>
    <col min="805" max="805" width="2.85546875" style="12" customWidth="1"/>
    <col min="806" max="808" width="10.42578125" style="12" customWidth="1"/>
    <col min="809" max="810" width="12.140625" style="12" customWidth="1"/>
    <col min="811" max="811" width="11.85546875" style="12" bestFit="1" customWidth="1"/>
    <col min="812" max="813" width="10.5703125" style="12" bestFit="1" customWidth="1"/>
    <col min="814" max="814" width="11.85546875" style="12" bestFit="1" customWidth="1"/>
    <col min="815" max="815" width="10.5703125" style="12" bestFit="1" customWidth="1"/>
    <col min="816" max="817" width="10.5703125" style="12" customWidth="1"/>
    <col min="818" max="825" width="9.140625" style="12"/>
    <col min="826" max="826" width="10.85546875" style="12" customWidth="1"/>
    <col min="827" max="1048" width="9.140625" style="12"/>
    <col min="1049" max="1049" width="15.5703125" style="12" customWidth="1"/>
    <col min="1050" max="1052" width="10.85546875" style="12" customWidth="1"/>
    <col min="1053" max="1053" width="2.28515625" style="12" customWidth="1"/>
    <col min="1054" max="1056" width="10.140625" style="12" customWidth="1"/>
    <col min="1057" max="1057" width="2.42578125" style="12" customWidth="1"/>
    <col min="1058" max="1060" width="10.28515625" style="12" customWidth="1"/>
    <col min="1061" max="1061" width="2.85546875" style="12" customWidth="1"/>
    <col min="1062" max="1064" width="10.42578125" style="12" customWidth="1"/>
    <col min="1065" max="1066" width="12.140625" style="12" customWidth="1"/>
    <col min="1067" max="1067" width="11.85546875" style="12" bestFit="1" customWidth="1"/>
    <col min="1068" max="1069" width="10.5703125" style="12" bestFit="1" customWidth="1"/>
    <col min="1070" max="1070" width="11.85546875" style="12" bestFit="1" customWidth="1"/>
    <col min="1071" max="1071" width="10.5703125" style="12" bestFit="1" customWidth="1"/>
    <col min="1072" max="1073" width="10.5703125" style="12" customWidth="1"/>
    <col min="1074" max="1081" width="9.140625" style="12"/>
    <col min="1082" max="1082" width="10.85546875" style="12" customWidth="1"/>
    <col min="1083" max="1304" width="9.140625" style="12"/>
    <col min="1305" max="1305" width="15.5703125" style="12" customWidth="1"/>
    <col min="1306" max="1308" width="10.85546875" style="12" customWidth="1"/>
    <col min="1309" max="1309" width="2.28515625" style="12" customWidth="1"/>
    <col min="1310" max="1312" width="10.140625" style="12" customWidth="1"/>
    <col min="1313" max="1313" width="2.42578125" style="12" customWidth="1"/>
    <col min="1314" max="1316" width="10.28515625" style="12" customWidth="1"/>
    <col min="1317" max="1317" width="2.85546875" style="12" customWidth="1"/>
    <col min="1318" max="1320" width="10.42578125" style="12" customWidth="1"/>
    <col min="1321" max="1322" width="12.140625" style="12" customWidth="1"/>
    <col min="1323" max="1323" width="11.85546875" style="12" bestFit="1" customWidth="1"/>
    <col min="1324" max="1325" width="10.5703125" style="12" bestFit="1" customWidth="1"/>
    <col min="1326" max="1326" width="11.85546875" style="12" bestFit="1" customWidth="1"/>
    <col min="1327" max="1327" width="10.5703125" style="12" bestFit="1" customWidth="1"/>
    <col min="1328" max="1329" width="10.5703125" style="12" customWidth="1"/>
    <col min="1330" max="1337" width="9.140625" style="12"/>
    <col min="1338" max="1338" width="10.85546875" style="12" customWidth="1"/>
    <col min="1339" max="1560" width="9.140625" style="12"/>
    <col min="1561" max="1561" width="15.5703125" style="12" customWidth="1"/>
    <col min="1562" max="1564" width="10.85546875" style="12" customWidth="1"/>
    <col min="1565" max="1565" width="2.28515625" style="12" customWidth="1"/>
    <col min="1566" max="1568" width="10.140625" style="12" customWidth="1"/>
    <col min="1569" max="1569" width="2.42578125" style="12" customWidth="1"/>
    <col min="1570" max="1572" width="10.28515625" style="12" customWidth="1"/>
    <col min="1573" max="1573" width="2.85546875" style="12" customWidth="1"/>
    <col min="1574" max="1576" width="10.42578125" style="12" customWidth="1"/>
    <col min="1577" max="1578" width="12.140625" style="12" customWidth="1"/>
    <col min="1579" max="1579" width="11.85546875" style="12" bestFit="1" customWidth="1"/>
    <col min="1580" max="1581" width="10.5703125" style="12" bestFit="1" customWidth="1"/>
    <col min="1582" max="1582" width="11.85546875" style="12" bestFit="1" customWidth="1"/>
    <col min="1583" max="1583" width="10.5703125" style="12" bestFit="1" customWidth="1"/>
    <col min="1584" max="1585" width="10.5703125" style="12" customWidth="1"/>
    <col min="1586" max="1593" width="9.140625" style="12"/>
    <col min="1594" max="1594" width="10.85546875" style="12" customWidth="1"/>
    <col min="1595" max="1816" width="9.140625" style="12"/>
    <col min="1817" max="1817" width="15.5703125" style="12" customWidth="1"/>
    <col min="1818" max="1820" width="10.85546875" style="12" customWidth="1"/>
    <col min="1821" max="1821" width="2.28515625" style="12" customWidth="1"/>
    <col min="1822" max="1824" width="10.140625" style="12" customWidth="1"/>
    <col min="1825" max="1825" width="2.42578125" style="12" customWidth="1"/>
    <col min="1826" max="1828" width="10.28515625" style="12" customWidth="1"/>
    <col min="1829" max="1829" width="2.85546875" style="12" customWidth="1"/>
    <col min="1830" max="1832" width="10.42578125" style="12" customWidth="1"/>
    <col min="1833" max="1834" width="12.140625" style="12" customWidth="1"/>
    <col min="1835" max="1835" width="11.85546875" style="12" bestFit="1" customWidth="1"/>
    <col min="1836" max="1837" width="10.5703125" style="12" bestFit="1" customWidth="1"/>
    <col min="1838" max="1838" width="11.85546875" style="12" bestFit="1" customWidth="1"/>
    <col min="1839" max="1839" width="10.5703125" style="12" bestFit="1" customWidth="1"/>
    <col min="1840" max="1841" width="10.5703125" style="12" customWidth="1"/>
    <col min="1842" max="1849" width="9.140625" style="12"/>
    <col min="1850" max="1850" width="10.85546875" style="12" customWidth="1"/>
    <col min="1851" max="2072" width="9.140625" style="12"/>
    <col min="2073" max="2073" width="15.5703125" style="12" customWidth="1"/>
    <col min="2074" max="2076" width="10.85546875" style="12" customWidth="1"/>
    <col min="2077" max="2077" width="2.28515625" style="12" customWidth="1"/>
    <col min="2078" max="2080" width="10.140625" style="12" customWidth="1"/>
    <col min="2081" max="2081" width="2.42578125" style="12" customWidth="1"/>
    <col min="2082" max="2084" width="10.28515625" style="12" customWidth="1"/>
    <col min="2085" max="2085" width="2.85546875" style="12" customWidth="1"/>
    <col min="2086" max="2088" width="10.42578125" style="12" customWidth="1"/>
    <col min="2089" max="2090" width="12.140625" style="12" customWidth="1"/>
    <col min="2091" max="2091" width="11.85546875" style="12" bestFit="1" customWidth="1"/>
    <col min="2092" max="2093" width="10.5703125" style="12" bestFit="1" customWidth="1"/>
    <col min="2094" max="2094" width="11.85546875" style="12" bestFit="1" customWidth="1"/>
    <col min="2095" max="2095" width="10.5703125" style="12" bestFit="1" customWidth="1"/>
    <col min="2096" max="2097" width="10.5703125" style="12" customWidth="1"/>
    <col min="2098" max="2105" width="9.140625" style="12"/>
    <col min="2106" max="2106" width="10.85546875" style="12" customWidth="1"/>
    <col min="2107" max="2328" width="9.140625" style="12"/>
    <col min="2329" max="2329" width="15.5703125" style="12" customWidth="1"/>
    <col min="2330" max="2332" width="10.85546875" style="12" customWidth="1"/>
    <col min="2333" max="2333" width="2.28515625" style="12" customWidth="1"/>
    <col min="2334" max="2336" width="10.140625" style="12" customWidth="1"/>
    <col min="2337" max="2337" width="2.42578125" style="12" customWidth="1"/>
    <col min="2338" max="2340" width="10.28515625" style="12" customWidth="1"/>
    <col min="2341" max="2341" width="2.85546875" style="12" customWidth="1"/>
    <col min="2342" max="2344" width="10.42578125" style="12" customWidth="1"/>
    <col min="2345" max="2346" width="12.140625" style="12" customWidth="1"/>
    <col min="2347" max="2347" width="11.85546875" style="12" bestFit="1" customWidth="1"/>
    <col min="2348" max="2349" width="10.5703125" style="12" bestFit="1" customWidth="1"/>
    <col min="2350" max="2350" width="11.85546875" style="12" bestFit="1" customWidth="1"/>
    <col min="2351" max="2351" width="10.5703125" style="12" bestFit="1" customWidth="1"/>
    <col min="2352" max="2353" width="10.5703125" style="12" customWidth="1"/>
    <col min="2354" max="2361" width="9.140625" style="12"/>
    <col min="2362" max="2362" width="10.85546875" style="12" customWidth="1"/>
    <col min="2363" max="2584" width="9.140625" style="12"/>
    <col min="2585" max="2585" width="15.5703125" style="12" customWidth="1"/>
    <col min="2586" max="2588" width="10.85546875" style="12" customWidth="1"/>
    <col min="2589" max="2589" width="2.28515625" style="12" customWidth="1"/>
    <col min="2590" max="2592" width="10.140625" style="12" customWidth="1"/>
    <col min="2593" max="2593" width="2.42578125" style="12" customWidth="1"/>
    <col min="2594" max="2596" width="10.28515625" style="12" customWidth="1"/>
    <col min="2597" max="2597" width="2.85546875" style="12" customWidth="1"/>
    <col min="2598" max="2600" width="10.42578125" style="12" customWidth="1"/>
    <col min="2601" max="2602" width="12.140625" style="12" customWidth="1"/>
    <col min="2603" max="2603" width="11.85546875" style="12" bestFit="1" customWidth="1"/>
    <col min="2604" max="2605" width="10.5703125" style="12" bestFit="1" customWidth="1"/>
    <col min="2606" max="2606" width="11.85546875" style="12" bestFit="1" customWidth="1"/>
    <col min="2607" max="2607" width="10.5703125" style="12" bestFit="1" customWidth="1"/>
    <col min="2608" max="2609" width="10.5703125" style="12" customWidth="1"/>
    <col min="2610" max="2617" width="9.140625" style="12"/>
    <col min="2618" max="2618" width="10.85546875" style="12" customWidth="1"/>
    <col min="2619" max="2840" width="9.140625" style="12"/>
    <col min="2841" max="2841" width="15.5703125" style="12" customWidth="1"/>
    <col min="2842" max="2844" width="10.85546875" style="12" customWidth="1"/>
    <col min="2845" max="2845" width="2.28515625" style="12" customWidth="1"/>
    <col min="2846" max="2848" width="10.140625" style="12" customWidth="1"/>
    <col min="2849" max="2849" width="2.42578125" style="12" customWidth="1"/>
    <col min="2850" max="2852" width="10.28515625" style="12" customWidth="1"/>
    <col min="2853" max="2853" width="2.85546875" style="12" customWidth="1"/>
    <col min="2854" max="2856" width="10.42578125" style="12" customWidth="1"/>
    <col min="2857" max="2858" width="12.140625" style="12" customWidth="1"/>
    <col min="2859" max="2859" width="11.85546875" style="12" bestFit="1" customWidth="1"/>
    <col min="2860" max="2861" width="10.5703125" style="12" bestFit="1" customWidth="1"/>
    <col min="2862" max="2862" width="11.85546875" style="12" bestFit="1" customWidth="1"/>
    <col min="2863" max="2863" width="10.5703125" style="12" bestFit="1" customWidth="1"/>
    <col min="2864" max="2865" width="10.5703125" style="12" customWidth="1"/>
    <col min="2866" max="2873" width="9.140625" style="12"/>
    <col min="2874" max="2874" width="10.85546875" style="12" customWidth="1"/>
    <col min="2875" max="3096" width="9.140625" style="12"/>
    <col min="3097" max="3097" width="15.5703125" style="12" customWidth="1"/>
    <col min="3098" max="3100" width="10.85546875" style="12" customWidth="1"/>
    <col min="3101" max="3101" width="2.28515625" style="12" customWidth="1"/>
    <col min="3102" max="3104" width="10.140625" style="12" customWidth="1"/>
    <col min="3105" max="3105" width="2.42578125" style="12" customWidth="1"/>
    <col min="3106" max="3108" width="10.28515625" style="12" customWidth="1"/>
    <col min="3109" max="3109" width="2.85546875" style="12" customWidth="1"/>
    <col min="3110" max="3112" width="10.42578125" style="12" customWidth="1"/>
    <col min="3113" max="3114" width="12.140625" style="12" customWidth="1"/>
    <col min="3115" max="3115" width="11.85546875" style="12" bestFit="1" customWidth="1"/>
    <col min="3116" max="3117" width="10.5703125" style="12" bestFit="1" customWidth="1"/>
    <col min="3118" max="3118" width="11.85546875" style="12" bestFit="1" customWidth="1"/>
    <col min="3119" max="3119" width="10.5703125" style="12" bestFit="1" customWidth="1"/>
    <col min="3120" max="3121" width="10.5703125" style="12" customWidth="1"/>
    <col min="3122" max="3129" width="9.140625" style="12"/>
    <col min="3130" max="3130" width="10.85546875" style="12" customWidth="1"/>
    <col min="3131" max="3352" width="9.140625" style="12"/>
    <col min="3353" max="3353" width="15.5703125" style="12" customWidth="1"/>
    <col min="3354" max="3356" width="10.85546875" style="12" customWidth="1"/>
    <col min="3357" max="3357" width="2.28515625" style="12" customWidth="1"/>
    <col min="3358" max="3360" width="10.140625" style="12" customWidth="1"/>
    <col min="3361" max="3361" width="2.42578125" style="12" customWidth="1"/>
    <col min="3362" max="3364" width="10.28515625" style="12" customWidth="1"/>
    <col min="3365" max="3365" width="2.85546875" style="12" customWidth="1"/>
    <col min="3366" max="3368" width="10.42578125" style="12" customWidth="1"/>
    <col min="3369" max="3370" width="12.140625" style="12" customWidth="1"/>
    <col min="3371" max="3371" width="11.85546875" style="12" bestFit="1" customWidth="1"/>
    <col min="3372" max="3373" width="10.5703125" style="12" bestFit="1" customWidth="1"/>
    <col min="3374" max="3374" width="11.85546875" style="12" bestFit="1" customWidth="1"/>
    <col min="3375" max="3375" width="10.5703125" style="12" bestFit="1" customWidth="1"/>
    <col min="3376" max="3377" width="10.5703125" style="12" customWidth="1"/>
    <col min="3378" max="3385" width="9.140625" style="12"/>
    <col min="3386" max="3386" width="10.85546875" style="12" customWidth="1"/>
    <col min="3387" max="3608" width="9.140625" style="12"/>
    <col min="3609" max="3609" width="15.5703125" style="12" customWidth="1"/>
    <col min="3610" max="3612" width="10.85546875" style="12" customWidth="1"/>
    <col min="3613" max="3613" width="2.28515625" style="12" customWidth="1"/>
    <col min="3614" max="3616" width="10.140625" style="12" customWidth="1"/>
    <col min="3617" max="3617" width="2.42578125" style="12" customWidth="1"/>
    <col min="3618" max="3620" width="10.28515625" style="12" customWidth="1"/>
    <col min="3621" max="3621" width="2.85546875" style="12" customWidth="1"/>
    <col min="3622" max="3624" width="10.42578125" style="12" customWidth="1"/>
    <col min="3625" max="3626" width="12.140625" style="12" customWidth="1"/>
    <col min="3627" max="3627" width="11.85546875" style="12" bestFit="1" customWidth="1"/>
    <col min="3628" max="3629" width="10.5703125" style="12" bestFit="1" customWidth="1"/>
    <col min="3630" max="3630" width="11.85546875" style="12" bestFit="1" customWidth="1"/>
    <col min="3631" max="3631" width="10.5703125" style="12" bestFit="1" customWidth="1"/>
    <col min="3632" max="3633" width="10.5703125" style="12" customWidth="1"/>
    <col min="3634" max="3641" width="9.140625" style="12"/>
    <col min="3642" max="3642" width="10.85546875" style="12" customWidth="1"/>
    <col min="3643" max="3864" width="9.140625" style="12"/>
    <col min="3865" max="3865" width="15.5703125" style="12" customWidth="1"/>
    <col min="3866" max="3868" width="10.85546875" style="12" customWidth="1"/>
    <col min="3869" max="3869" width="2.28515625" style="12" customWidth="1"/>
    <col min="3870" max="3872" width="10.140625" style="12" customWidth="1"/>
    <col min="3873" max="3873" width="2.42578125" style="12" customWidth="1"/>
    <col min="3874" max="3876" width="10.28515625" style="12" customWidth="1"/>
    <col min="3877" max="3877" width="2.85546875" style="12" customWidth="1"/>
    <col min="3878" max="3880" width="10.42578125" style="12" customWidth="1"/>
    <col min="3881" max="3882" width="12.140625" style="12" customWidth="1"/>
    <col min="3883" max="3883" width="11.85546875" style="12" bestFit="1" customWidth="1"/>
    <col min="3884" max="3885" width="10.5703125" style="12" bestFit="1" customWidth="1"/>
    <col min="3886" max="3886" width="11.85546875" style="12" bestFit="1" customWidth="1"/>
    <col min="3887" max="3887" width="10.5703125" style="12" bestFit="1" customWidth="1"/>
    <col min="3888" max="3889" width="10.5703125" style="12" customWidth="1"/>
    <col min="3890" max="3897" width="9.140625" style="12"/>
    <col min="3898" max="3898" width="10.85546875" style="12" customWidth="1"/>
    <col min="3899" max="4120" width="9.140625" style="12"/>
    <col min="4121" max="4121" width="15.5703125" style="12" customWidth="1"/>
    <col min="4122" max="4124" width="10.85546875" style="12" customWidth="1"/>
    <col min="4125" max="4125" width="2.28515625" style="12" customWidth="1"/>
    <col min="4126" max="4128" width="10.140625" style="12" customWidth="1"/>
    <col min="4129" max="4129" width="2.42578125" style="12" customWidth="1"/>
    <col min="4130" max="4132" width="10.28515625" style="12" customWidth="1"/>
    <col min="4133" max="4133" width="2.85546875" style="12" customWidth="1"/>
    <col min="4134" max="4136" width="10.42578125" style="12" customWidth="1"/>
    <col min="4137" max="4138" width="12.140625" style="12" customWidth="1"/>
    <col min="4139" max="4139" width="11.85546875" style="12" bestFit="1" customWidth="1"/>
    <col min="4140" max="4141" width="10.5703125" style="12" bestFit="1" customWidth="1"/>
    <col min="4142" max="4142" width="11.85546875" style="12" bestFit="1" customWidth="1"/>
    <col min="4143" max="4143" width="10.5703125" style="12" bestFit="1" customWidth="1"/>
    <col min="4144" max="4145" width="10.5703125" style="12" customWidth="1"/>
    <col min="4146" max="4153" width="9.140625" style="12"/>
    <col min="4154" max="4154" width="10.85546875" style="12" customWidth="1"/>
    <col min="4155" max="4376" width="9.140625" style="12"/>
    <col min="4377" max="4377" width="15.5703125" style="12" customWidth="1"/>
    <col min="4378" max="4380" width="10.85546875" style="12" customWidth="1"/>
    <col min="4381" max="4381" width="2.28515625" style="12" customWidth="1"/>
    <col min="4382" max="4384" width="10.140625" style="12" customWidth="1"/>
    <col min="4385" max="4385" width="2.42578125" style="12" customWidth="1"/>
    <col min="4386" max="4388" width="10.28515625" style="12" customWidth="1"/>
    <col min="4389" max="4389" width="2.85546875" style="12" customWidth="1"/>
    <col min="4390" max="4392" width="10.42578125" style="12" customWidth="1"/>
    <col min="4393" max="4394" width="12.140625" style="12" customWidth="1"/>
    <col min="4395" max="4395" width="11.85546875" style="12" bestFit="1" customWidth="1"/>
    <col min="4396" max="4397" width="10.5703125" style="12" bestFit="1" customWidth="1"/>
    <col min="4398" max="4398" width="11.85546875" style="12" bestFit="1" customWidth="1"/>
    <col min="4399" max="4399" width="10.5703125" style="12" bestFit="1" customWidth="1"/>
    <col min="4400" max="4401" width="10.5703125" style="12" customWidth="1"/>
    <col min="4402" max="4409" width="9.140625" style="12"/>
    <col min="4410" max="4410" width="10.85546875" style="12" customWidth="1"/>
    <col min="4411" max="4632" width="9.140625" style="12"/>
    <col min="4633" max="4633" width="15.5703125" style="12" customWidth="1"/>
    <col min="4634" max="4636" width="10.85546875" style="12" customWidth="1"/>
    <col min="4637" max="4637" width="2.28515625" style="12" customWidth="1"/>
    <col min="4638" max="4640" width="10.140625" style="12" customWidth="1"/>
    <col min="4641" max="4641" width="2.42578125" style="12" customWidth="1"/>
    <col min="4642" max="4644" width="10.28515625" style="12" customWidth="1"/>
    <col min="4645" max="4645" width="2.85546875" style="12" customWidth="1"/>
    <col min="4646" max="4648" width="10.42578125" style="12" customWidth="1"/>
    <col min="4649" max="4650" width="12.140625" style="12" customWidth="1"/>
    <col min="4651" max="4651" width="11.85546875" style="12" bestFit="1" customWidth="1"/>
    <col min="4652" max="4653" width="10.5703125" style="12" bestFit="1" customWidth="1"/>
    <col min="4654" max="4654" width="11.85546875" style="12" bestFit="1" customWidth="1"/>
    <col min="4655" max="4655" width="10.5703125" style="12" bestFit="1" customWidth="1"/>
    <col min="4656" max="4657" width="10.5703125" style="12" customWidth="1"/>
    <col min="4658" max="4665" width="9.140625" style="12"/>
    <col min="4666" max="4666" width="10.85546875" style="12" customWidth="1"/>
    <col min="4667" max="4888" width="9.140625" style="12"/>
    <col min="4889" max="4889" width="15.5703125" style="12" customWidth="1"/>
    <col min="4890" max="4892" width="10.85546875" style="12" customWidth="1"/>
    <col min="4893" max="4893" width="2.28515625" style="12" customWidth="1"/>
    <col min="4894" max="4896" width="10.140625" style="12" customWidth="1"/>
    <col min="4897" max="4897" width="2.42578125" style="12" customWidth="1"/>
    <col min="4898" max="4900" width="10.28515625" style="12" customWidth="1"/>
    <col min="4901" max="4901" width="2.85546875" style="12" customWidth="1"/>
    <col min="4902" max="4904" width="10.42578125" style="12" customWidth="1"/>
    <col min="4905" max="4906" width="12.140625" style="12" customWidth="1"/>
    <col min="4907" max="4907" width="11.85546875" style="12" bestFit="1" customWidth="1"/>
    <col min="4908" max="4909" width="10.5703125" style="12" bestFit="1" customWidth="1"/>
    <col min="4910" max="4910" width="11.85546875" style="12" bestFit="1" customWidth="1"/>
    <col min="4911" max="4911" width="10.5703125" style="12" bestFit="1" customWidth="1"/>
    <col min="4912" max="4913" width="10.5703125" style="12" customWidth="1"/>
    <col min="4914" max="4921" width="9.140625" style="12"/>
    <col min="4922" max="4922" width="10.85546875" style="12" customWidth="1"/>
    <col min="4923" max="5144" width="9.140625" style="12"/>
    <col min="5145" max="5145" width="15.5703125" style="12" customWidth="1"/>
    <col min="5146" max="5148" width="10.85546875" style="12" customWidth="1"/>
    <col min="5149" max="5149" width="2.28515625" style="12" customWidth="1"/>
    <col min="5150" max="5152" width="10.140625" style="12" customWidth="1"/>
    <col min="5153" max="5153" width="2.42578125" style="12" customWidth="1"/>
    <col min="5154" max="5156" width="10.28515625" style="12" customWidth="1"/>
    <col min="5157" max="5157" width="2.85546875" style="12" customWidth="1"/>
    <col min="5158" max="5160" width="10.42578125" style="12" customWidth="1"/>
    <col min="5161" max="5162" width="12.140625" style="12" customWidth="1"/>
    <col min="5163" max="5163" width="11.85546875" style="12" bestFit="1" customWidth="1"/>
    <col min="5164" max="5165" width="10.5703125" style="12" bestFit="1" customWidth="1"/>
    <col min="5166" max="5166" width="11.85546875" style="12" bestFit="1" customWidth="1"/>
    <col min="5167" max="5167" width="10.5703125" style="12" bestFit="1" customWidth="1"/>
    <col min="5168" max="5169" width="10.5703125" style="12" customWidth="1"/>
    <col min="5170" max="5177" width="9.140625" style="12"/>
    <col min="5178" max="5178" width="10.85546875" style="12" customWidth="1"/>
    <col min="5179" max="5400" width="9.140625" style="12"/>
    <col min="5401" max="5401" width="15.5703125" style="12" customWidth="1"/>
    <col min="5402" max="5404" width="10.85546875" style="12" customWidth="1"/>
    <col min="5405" max="5405" width="2.28515625" style="12" customWidth="1"/>
    <col min="5406" max="5408" width="10.140625" style="12" customWidth="1"/>
    <col min="5409" max="5409" width="2.42578125" style="12" customWidth="1"/>
    <col min="5410" max="5412" width="10.28515625" style="12" customWidth="1"/>
    <col min="5413" max="5413" width="2.85546875" style="12" customWidth="1"/>
    <col min="5414" max="5416" width="10.42578125" style="12" customWidth="1"/>
    <col min="5417" max="5418" width="12.140625" style="12" customWidth="1"/>
    <col min="5419" max="5419" width="11.85546875" style="12" bestFit="1" customWidth="1"/>
    <col min="5420" max="5421" width="10.5703125" style="12" bestFit="1" customWidth="1"/>
    <col min="5422" max="5422" width="11.85546875" style="12" bestFit="1" customWidth="1"/>
    <col min="5423" max="5423" width="10.5703125" style="12" bestFit="1" customWidth="1"/>
    <col min="5424" max="5425" width="10.5703125" style="12" customWidth="1"/>
    <col min="5426" max="5433" width="9.140625" style="12"/>
    <col min="5434" max="5434" width="10.85546875" style="12" customWidth="1"/>
    <col min="5435" max="5656" width="9.140625" style="12"/>
    <col min="5657" max="5657" width="15.5703125" style="12" customWidth="1"/>
    <col min="5658" max="5660" width="10.85546875" style="12" customWidth="1"/>
    <col min="5661" max="5661" width="2.28515625" style="12" customWidth="1"/>
    <col min="5662" max="5664" width="10.140625" style="12" customWidth="1"/>
    <col min="5665" max="5665" width="2.42578125" style="12" customWidth="1"/>
    <col min="5666" max="5668" width="10.28515625" style="12" customWidth="1"/>
    <col min="5669" max="5669" width="2.85546875" style="12" customWidth="1"/>
    <col min="5670" max="5672" width="10.42578125" style="12" customWidth="1"/>
    <col min="5673" max="5674" width="12.140625" style="12" customWidth="1"/>
    <col min="5675" max="5675" width="11.85546875" style="12" bestFit="1" customWidth="1"/>
    <col min="5676" max="5677" width="10.5703125" style="12" bestFit="1" customWidth="1"/>
    <col min="5678" max="5678" width="11.85546875" style="12" bestFit="1" customWidth="1"/>
    <col min="5679" max="5679" width="10.5703125" style="12" bestFit="1" customWidth="1"/>
    <col min="5680" max="5681" width="10.5703125" style="12" customWidth="1"/>
    <col min="5682" max="5689" width="9.140625" style="12"/>
    <col min="5690" max="5690" width="10.85546875" style="12" customWidth="1"/>
    <col min="5691" max="5912" width="9.140625" style="12"/>
    <col min="5913" max="5913" width="15.5703125" style="12" customWidth="1"/>
    <col min="5914" max="5916" width="10.85546875" style="12" customWidth="1"/>
    <col min="5917" max="5917" width="2.28515625" style="12" customWidth="1"/>
    <col min="5918" max="5920" width="10.140625" style="12" customWidth="1"/>
    <col min="5921" max="5921" width="2.42578125" style="12" customWidth="1"/>
    <col min="5922" max="5924" width="10.28515625" style="12" customWidth="1"/>
    <col min="5925" max="5925" width="2.85546875" style="12" customWidth="1"/>
    <col min="5926" max="5928" width="10.42578125" style="12" customWidth="1"/>
    <col min="5929" max="5930" width="12.140625" style="12" customWidth="1"/>
    <col min="5931" max="5931" width="11.85546875" style="12" bestFit="1" customWidth="1"/>
    <col min="5932" max="5933" width="10.5703125" style="12" bestFit="1" customWidth="1"/>
    <col min="5934" max="5934" width="11.85546875" style="12" bestFit="1" customWidth="1"/>
    <col min="5935" max="5935" width="10.5703125" style="12" bestFit="1" customWidth="1"/>
    <col min="5936" max="5937" width="10.5703125" style="12" customWidth="1"/>
    <col min="5938" max="5945" width="9.140625" style="12"/>
    <col min="5946" max="5946" width="10.85546875" style="12" customWidth="1"/>
    <col min="5947" max="6168" width="9.140625" style="12"/>
    <col min="6169" max="6169" width="15.5703125" style="12" customWidth="1"/>
    <col min="6170" max="6172" width="10.85546875" style="12" customWidth="1"/>
    <col min="6173" max="6173" width="2.28515625" style="12" customWidth="1"/>
    <col min="6174" max="6176" width="10.140625" style="12" customWidth="1"/>
    <col min="6177" max="6177" width="2.42578125" style="12" customWidth="1"/>
    <col min="6178" max="6180" width="10.28515625" style="12" customWidth="1"/>
    <col min="6181" max="6181" width="2.85546875" style="12" customWidth="1"/>
    <col min="6182" max="6184" width="10.42578125" style="12" customWidth="1"/>
    <col min="6185" max="6186" width="12.140625" style="12" customWidth="1"/>
    <col min="6187" max="6187" width="11.85546875" style="12" bestFit="1" customWidth="1"/>
    <col min="6188" max="6189" width="10.5703125" style="12" bestFit="1" customWidth="1"/>
    <col min="6190" max="6190" width="11.85546875" style="12" bestFit="1" customWidth="1"/>
    <col min="6191" max="6191" width="10.5703125" style="12" bestFit="1" customWidth="1"/>
    <col min="6192" max="6193" width="10.5703125" style="12" customWidth="1"/>
    <col min="6194" max="6201" width="9.140625" style="12"/>
    <col min="6202" max="6202" width="10.85546875" style="12" customWidth="1"/>
    <col min="6203" max="6424" width="9.140625" style="12"/>
    <col min="6425" max="6425" width="15.5703125" style="12" customWidth="1"/>
    <col min="6426" max="6428" width="10.85546875" style="12" customWidth="1"/>
    <col min="6429" max="6429" width="2.28515625" style="12" customWidth="1"/>
    <col min="6430" max="6432" width="10.140625" style="12" customWidth="1"/>
    <col min="6433" max="6433" width="2.42578125" style="12" customWidth="1"/>
    <col min="6434" max="6436" width="10.28515625" style="12" customWidth="1"/>
    <col min="6437" max="6437" width="2.85546875" style="12" customWidth="1"/>
    <col min="6438" max="6440" width="10.42578125" style="12" customWidth="1"/>
    <col min="6441" max="6442" width="12.140625" style="12" customWidth="1"/>
    <col min="6443" max="6443" width="11.85546875" style="12" bestFit="1" customWidth="1"/>
    <col min="6444" max="6445" width="10.5703125" style="12" bestFit="1" customWidth="1"/>
    <col min="6446" max="6446" width="11.85546875" style="12" bestFit="1" customWidth="1"/>
    <col min="6447" max="6447" width="10.5703125" style="12" bestFit="1" customWidth="1"/>
    <col min="6448" max="6449" width="10.5703125" style="12" customWidth="1"/>
    <col min="6450" max="6457" width="9.140625" style="12"/>
    <col min="6458" max="6458" width="10.85546875" style="12" customWidth="1"/>
    <col min="6459" max="6680" width="9.140625" style="12"/>
    <col min="6681" max="6681" width="15.5703125" style="12" customWidth="1"/>
    <col min="6682" max="6684" width="10.85546875" style="12" customWidth="1"/>
    <col min="6685" max="6685" width="2.28515625" style="12" customWidth="1"/>
    <col min="6686" max="6688" width="10.140625" style="12" customWidth="1"/>
    <col min="6689" max="6689" width="2.42578125" style="12" customWidth="1"/>
    <col min="6690" max="6692" width="10.28515625" style="12" customWidth="1"/>
    <col min="6693" max="6693" width="2.85546875" style="12" customWidth="1"/>
    <col min="6694" max="6696" width="10.42578125" style="12" customWidth="1"/>
    <col min="6697" max="6698" width="12.140625" style="12" customWidth="1"/>
    <col min="6699" max="6699" width="11.85546875" style="12" bestFit="1" customWidth="1"/>
    <col min="6700" max="6701" width="10.5703125" style="12" bestFit="1" customWidth="1"/>
    <col min="6702" max="6702" width="11.85546875" style="12" bestFit="1" customWidth="1"/>
    <col min="6703" max="6703" width="10.5703125" style="12" bestFit="1" customWidth="1"/>
    <col min="6704" max="6705" width="10.5703125" style="12" customWidth="1"/>
    <col min="6706" max="6713" width="9.140625" style="12"/>
    <col min="6714" max="6714" width="10.85546875" style="12" customWidth="1"/>
    <col min="6715" max="6936" width="9.140625" style="12"/>
    <col min="6937" max="6937" width="15.5703125" style="12" customWidth="1"/>
    <col min="6938" max="6940" width="10.85546875" style="12" customWidth="1"/>
    <col min="6941" max="6941" width="2.28515625" style="12" customWidth="1"/>
    <col min="6942" max="6944" width="10.140625" style="12" customWidth="1"/>
    <col min="6945" max="6945" width="2.42578125" style="12" customWidth="1"/>
    <col min="6946" max="6948" width="10.28515625" style="12" customWidth="1"/>
    <col min="6949" max="6949" width="2.85546875" style="12" customWidth="1"/>
    <col min="6950" max="6952" width="10.42578125" style="12" customWidth="1"/>
    <col min="6953" max="6954" width="12.140625" style="12" customWidth="1"/>
    <col min="6955" max="6955" width="11.85546875" style="12" bestFit="1" customWidth="1"/>
    <col min="6956" max="6957" width="10.5703125" style="12" bestFit="1" customWidth="1"/>
    <col min="6958" max="6958" width="11.85546875" style="12" bestFit="1" customWidth="1"/>
    <col min="6959" max="6959" width="10.5703125" style="12" bestFit="1" customWidth="1"/>
    <col min="6960" max="6961" width="10.5703125" style="12" customWidth="1"/>
    <col min="6962" max="6969" width="9.140625" style="12"/>
    <col min="6970" max="6970" width="10.85546875" style="12" customWidth="1"/>
    <col min="6971" max="7192" width="9.140625" style="12"/>
    <col min="7193" max="7193" width="15.5703125" style="12" customWidth="1"/>
    <col min="7194" max="7196" width="10.85546875" style="12" customWidth="1"/>
    <col min="7197" max="7197" width="2.28515625" style="12" customWidth="1"/>
    <col min="7198" max="7200" width="10.140625" style="12" customWidth="1"/>
    <col min="7201" max="7201" width="2.42578125" style="12" customWidth="1"/>
    <col min="7202" max="7204" width="10.28515625" style="12" customWidth="1"/>
    <col min="7205" max="7205" width="2.85546875" style="12" customWidth="1"/>
    <col min="7206" max="7208" width="10.42578125" style="12" customWidth="1"/>
    <col min="7209" max="7210" width="12.140625" style="12" customWidth="1"/>
    <col min="7211" max="7211" width="11.85546875" style="12" bestFit="1" customWidth="1"/>
    <col min="7212" max="7213" width="10.5703125" style="12" bestFit="1" customWidth="1"/>
    <col min="7214" max="7214" width="11.85546875" style="12" bestFit="1" customWidth="1"/>
    <col min="7215" max="7215" width="10.5703125" style="12" bestFit="1" customWidth="1"/>
    <col min="7216" max="7217" width="10.5703125" style="12" customWidth="1"/>
    <col min="7218" max="7225" width="9.140625" style="12"/>
    <col min="7226" max="7226" width="10.85546875" style="12" customWidth="1"/>
    <col min="7227" max="7448" width="9.140625" style="12"/>
    <col min="7449" max="7449" width="15.5703125" style="12" customWidth="1"/>
    <col min="7450" max="7452" width="10.85546875" style="12" customWidth="1"/>
    <col min="7453" max="7453" width="2.28515625" style="12" customWidth="1"/>
    <col min="7454" max="7456" width="10.140625" style="12" customWidth="1"/>
    <col min="7457" max="7457" width="2.42578125" style="12" customWidth="1"/>
    <col min="7458" max="7460" width="10.28515625" style="12" customWidth="1"/>
    <col min="7461" max="7461" width="2.85546875" style="12" customWidth="1"/>
    <col min="7462" max="7464" width="10.42578125" style="12" customWidth="1"/>
    <col min="7465" max="7466" width="12.140625" style="12" customWidth="1"/>
    <col min="7467" max="7467" width="11.85546875" style="12" bestFit="1" customWidth="1"/>
    <col min="7468" max="7469" width="10.5703125" style="12" bestFit="1" customWidth="1"/>
    <col min="7470" max="7470" width="11.85546875" style="12" bestFit="1" customWidth="1"/>
    <col min="7471" max="7471" width="10.5703125" style="12" bestFit="1" customWidth="1"/>
    <col min="7472" max="7473" width="10.5703125" style="12" customWidth="1"/>
    <col min="7474" max="7481" width="9.140625" style="12"/>
    <col min="7482" max="7482" width="10.85546875" style="12" customWidth="1"/>
    <col min="7483" max="7704" width="9.140625" style="12"/>
    <col min="7705" max="7705" width="15.5703125" style="12" customWidth="1"/>
    <col min="7706" max="7708" width="10.85546875" style="12" customWidth="1"/>
    <col min="7709" max="7709" width="2.28515625" style="12" customWidth="1"/>
    <col min="7710" max="7712" width="10.140625" style="12" customWidth="1"/>
    <col min="7713" max="7713" width="2.42578125" style="12" customWidth="1"/>
    <col min="7714" max="7716" width="10.28515625" style="12" customWidth="1"/>
    <col min="7717" max="7717" width="2.85546875" style="12" customWidth="1"/>
    <col min="7718" max="7720" width="10.42578125" style="12" customWidth="1"/>
    <col min="7721" max="7722" width="12.140625" style="12" customWidth="1"/>
    <col min="7723" max="7723" width="11.85546875" style="12" bestFit="1" customWidth="1"/>
    <col min="7724" max="7725" width="10.5703125" style="12" bestFit="1" customWidth="1"/>
    <col min="7726" max="7726" width="11.85546875" style="12" bestFit="1" customWidth="1"/>
    <col min="7727" max="7727" width="10.5703125" style="12" bestFit="1" customWidth="1"/>
    <col min="7728" max="7729" width="10.5703125" style="12" customWidth="1"/>
    <col min="7730" max="7737" width="9.140625" style="12"/>
    <col min="7738" max="7738" width="10.85546875" style="12" customWidth="1"/>
    <col min="7739" max="7960" width="9.140625" style="12"/>
    <col min="7961" max="7961" width="15.5703125" style="12" customWidth="1"/>
    <col min="7962" max="7964" width="10.85546875" style="12" customWidth="1"/>
    <col min="7965" max="7965" width="2.28515625" style="12" customWidth="1"/>
    <col min="7966" max="7968" width="10.140625" style="12" customWidth="1"/>
    <col min="7969" max="7969" width="2.42578125" style="12" customWidth="1"/>
    <col min="7970" max="7972" width="10.28515625" style="12" customWidth="1"/>
    <col min="7973" max="7973" width="2.85546875" style="12" customWidth="1"/>
    <col min="7974" max="7976" width="10.42578125" style="12" customWidth="1"/>
    <col min="7977" max="7978" width="12.140625" style="12" customWidth="1"/>
    <col min="7979" max="7979" width="11.85546875" style="12" bestFit="1" customWidth="1"/>
    <col min="7980" max="7981" width="10.5703125" style="12" bestFit="1" customWidth="1"/>
    <col min="7982" max="7982" width="11.85546875" style="12" bestFit="1" customWidth="1"/>
    <col min="7983" max="7983" width="10.5703125" style="12" bestFit="1" customWidth="1"/>
    <col min="7984" max="7985" width="10.5703125" style="12" customWidth="1"/>
    <col min="7986" max="7993" width="9.140625" style="12"/>
    <col min="7994" max="7994" width="10.85546875" style="12" customWidth="1"/>
    <col min="7995" max="8216" width="9.140625" style="12"/>
    <col min="8217" max="8217" width="15.5703125" style="12" customWidth="1"/>
    <col min="8218" max="8220" width="10.85546875" style="12" customWidth="1"/>
    <col min="8221" max="8221" width="2.28515625" style="12" customWidth="1"/>
    <col min="8222" max="8224" width="10.140625" style="12" customWidth="1"/>
    <col min="8225" max="8225" width="2.42578125" style="12" customWidth="1"/>
    <col min="8226" max="8228" width="10.28515625" style="12" customWidth="1"/>
    <col min="8229" max="8229" width="2.85546875" style="12" customWidth="1"/>
    <col min="8230" max="8232" width="10.42578125" style="12" customWidth="1"/>
    <col min="8233" max="8234" width="12.140625" style="12" customWidth="1"/>
    <col min="8235" max="8235" width="11.85546875" style="12" bestFit="1" customWidth="1"/>
    <col min="8236" max="8237" width="10.5703125" style="12" bestFit="1" customWidth="1"/>
    <col min="8238" max="8238" width="11.85546875" style="12" bestFit="1" customWidth="1"/>
    <col min="8239" max="8239" width="10.5703125" style="12" bestFit="1" customWidth="1"/>
    <col min="8240" max="8241" width="10.5703125" style="12" customWidth="1"/>
    <col min="8242" max="8249" width="9.140625" style="12"/>
    <col min="8250" max="8250" width="10.85546875" style="12" customWidth="1"/>
    <col min="8251" max="8472" width="9.140625" style="12"/>
    <col min="8473" max="8473" width="15.5703125" style="12" customWidth="1"/>
    <col min="8474" max="8476" width="10.85546875" style="12" customWidth="1"/>
    <col min="8477" max="8477" width="2.28515625" style="12" customWidth="1"/>
    <col min="8478" max="8480" width="10.140625" style="12" customWidth="1"/>
    <col min="8481" max="8481" width="2.42578125" style="12" customWidth="1"/>
    <col min="8482" max="8484" width="10.28515625" style="12" customWidth="1"/>
    <col min="8485" max="8485" width="2.85546875" style="12" customWidth="1"/>
    <col min="8486" max="8488" width="10.42578125" style="12" customWidth="1"/>
    <col min="8489" max="8490" width="12.140625" style="12" customWidth="1"/>
    <col min="8491" max="8491" width="11.85546875" style="12" bestFit="1" customWidth="1"/>
    <col min="8492" max="8493" width="10.5703125" style="12" bestFit="1" customWidth="1"/>
    <col min="8494" max="8494" width="11.85546875" style="12" bestFit="1" customWidth="1"/>
    <col min="8495" max="8495" width="10.5703125" style="12" bestFit="1" customWidth="1"/>
    <col min="8496" max="8497" width="10.5703125" style="12" customWidth="1"/>
    <col min="8498" max="8505" width="9.140625" style="12"/>
    <col min="8506" max="8506" width="10.85546875" style="12" customWidth="1"/>
    <col min="8507" max="8728" width="9.140625" style="12"/>
    <col min="8729" max="8729" width="15.5703125" style="12" customWidth="1"/>
    <col min="8730" max="8732" width="10.85546875" style="12" customWidth="1"/>
    <col min="8733" max="8733" width="2.28515625" style="12" customWidth="1"/>
    <col min="8734" max="8736" width="10.140625" style="12" customWidth="1"/>
    <col min="8737" max="8737" width="2.42578125" style="12" customWidth="1"/>
    <col min="8738" max="8740" width="10.28515625" style="12" customWidth="1"/>
    <col min="8741" max="8741" width="2.85546875" style="12" customWidth="1"/>
    <col min="8742" max="8744" width="10.42578125" style="12" customWidth="1"/>
    <col min="8745" max="8746" width="12.140625" style="12" customWidth="1"/>
    <col min="8747" max="8747" width="11.85546875" style="12" bestFit="1" customWidth="1"/>
    <col min="8748" max="8749" width="10.5703125" style="12" bestFit="1" customWidth="1"/>
    <col min="8750" max="8750" width="11.85546875" style="12" bestFit="1" customWidth="1"/>
    <col min="8751" max="8751" width="10.5703125" style="12" bestFit="1" customWidth="1"/>
    <col min="8752" max="8753" width="10.5703125" style="12" customWidth="1"/>
    <col min="8754" max="8761" width="9.140625" style="12"/>
    <col min="8762" max="8762" width="10.85546875" style="12" customWidth="1"/>
    <col min="8763" max="8984" width="9.140625" style="12"/>
    <col min="8985" max="8985" width="15.5703125" style="12" customWidth="1"/>
    <col min="8986" max="8988" width="10.85546875" style="12" customWidth="1"/>
    <col min="8989" max="8989" width="2.28515625" style="12" customWidth="1"/>
    <col min="8990" max="8992" width="10.140625" style="12" customWidth="1"/>
    <col min="8993" max="8993" width="2.42578125" style="12" customWidth="1"/>
    <col min="8994" max="8996" width="10.28515625" style="12" customWidth="1"/>
    <col min="8997" max="8997" width="2.85546875" style="12" customWidth="1"/>
    <col min="8998" max="9000" width="10.42578125" style="12" customWidth="1"/>
    <col min="9001" max="9002" width="12.140625" style="12" customWidth="1"/>
    <col min="9003" max="9003" width="11.85546875" style="12" bestFit="1" customWidth="1"/>
    <col min="9004" max="9005" width="10.5703125" style="12" bestFit="1" customWidth="1"/>
    <col min="9006" max="9006" width="11.85546875" style="12" bestFit="1" customWidth="1"/>
    <col min="9007" max="9007" width="10.5703125" style="12" bestFit="1" customWidth="1"/>
    <col min="9008" max="9009" width="10.5703125" style="12" customWidth="1"/>
    <col min="9010" max="9017" width="9.140625" style="12"/>
    <col min="9018" max="9018" width="10.85546875" style="12" customWidth="1"/>
    <col min="9019" max="9240" width="9.140625" style="12"/>
    <col min="9241" max="9241" width="15.5703125" style="12" customWidth="1"/>
    <col min="9242" max="9244" width="10.85546875" style="12" customWidth="1"/>
    <col min="9245" max="9245" width="2.28515625" style="12" customWidth="1"/>
    <col min="9246" max="9248" width="10.140625" style="12" customWidth="1"/>
    <col min="9249" max="9249" width="2.42578125" style="12" customWidth="1"/>
    <col min="9250" max="9252" width="10.28515625" style="12" customWidth="1"/>
    <col min="9253" max="9253" width="2.85546875" style="12" customWidth="1"/>
    <col min="9254" max="9256" width="10.42578125" style="12" customWidth="1"/>
    <col min="9257" max="9258" width="12.140625" style="12" customWidth="1"/>
    <col min="9259" max="9259" width="11.85546875" style="12" bestFit="1" customWidth="1"/>
    <col min="9260" max="9261" width="10.5703125" style="12" bestFit="1" customWidth="1"/>
    <col min="9262" max="9262" width="11.85546875" style="12" bestFit="1" customWidth="1"/>
    <col min="9263" max="9263" width="10.5703125" style="12" bestFit="1" customWidth="1"/>
    <col min="9264" max="9265" width="10.5703125" style="12" customWidth="1"/>
    <col min="9266" max="9273" width="9.140625" style="12"/>
    <col min="9274" max="9274" width="10.85546875" style="12" customWidth="1"/>
    <col min="9275" max="9496" width="9.140625" style="12"/>
    <col min="9497" max="9497" width="15.5703125" style="12" customWidth="1"/>
    <col min="9498" max="9500" width="10.85546875" style="12" customWidth="1"/>
    <col min="9501" max="9501" width="2.28515625" style="12" customWidth="1"/>
    <col min="9502" max="9504" width="10.140625" style="12" customWidth="1"/>
    <col min="9505" max="9505" width="2.42578125" style="12" customWidth="1"/>
    <col min="9506" max="9508" width="10.28515625" style="12" customWidth="1"/>
    <col min="9509" max="9509" width="2.85546875" style="12" customWidth="1"/>
    <col min="9510" max="9512" width="10.42578125" style="12" customWidth="1"/>
    <col min="9513" max="9514" width="12.140625" style="12" customWidth="1"/>
    <col min="9515" max="9515" width="11.85546875" style="12" bestFit="1" customWidth="1"/>
    <col min="9516" max="9517" width="10.5703125" style="12" bestFit="1" customWidth="1"/>
    <col min="9518" max="9518" width="11.85546875" style="12" bestFit="1" customWidth="1"/>
    <col min="9519" max="9519" width="10.5703125" style="12" bestFit="1" customWidth="1"/>
    <col min="9520" max="9521" width="10.5703125" style="12" customWidth="1"/>
    <col min="9522" max="9529" width="9.140625" style="12"/>
    <col min="9530" max="9530" width="10.85546875" style="12" customWidth="1"/>
    <col min="9531" max="9752" width="9.140625" style="12"/>
    <col min="9753" max="9753" width="15.5703125" style="12" customWidth="1"/>
    <col min="9754" max="9756" width="10.85546875" style="12" customWidth="1"/>
    <col min="9757" max="9757" width="2.28515625" style="12" customWidth="1"/>
    <col min="9758" max="9760" width="10.140625" style="12" customWidth="1"/>
    <col min="9761" max="9761" width="2.42578125" style="12" customWidth="1"/>
    <col min="9762" max="9764" width="10.28515625" style="12" customWidth="1"/>
    <col min="9765" max="9765" width="2.85546875" style="12" customWidth="1"/>
    <col min="9766" max="9768" width="10.42578125" style="12" customWidth="1"/>
    <col min="9769" max="9770" width="12.140625" style="12" customWidth="1"/>
    <col min="9771" max="9771" width="11.85546875" style="12" bestFit="1" customWidth="1"/>
    <col min="9772" max="9773" width="10.5703125" style="12" bestFit="1" customWidth="1"/>
    <col min="9774" max="9774" width="11.85546875" style="12" bestFit="1" customWidth="1"/>
    <col min="9775" max="9775" width="10.5703125" style="12" bestFit="1" customWidth="1"/>
    <col min="9776" max="9777" width="10.5703125" style="12" customWidth="1"/>
    <col min="9778" max="9785" width="9.140625" style="12"/>
    <col min="9786" max="9786" width="10.85546875" style="12" customWidth="1"/>
    <col min="9787" max="10008" width="9.140625" style="12"/>
    <col min="10009" max="10009" width="15.5703125" style="12" customWidth="1"/>
    <col min="10010" max="10012" width="10.85546875" style="12" customWidth="1"/>
    <col min="10013" max="10013" width="2.28515625" style="12" customWidth="1"/>
    <col min="10014" max="10016" width="10.140625" style="12" customWidth="1"/>
    <col min="10017" max="10017" width="2.42578125" style="12" customWidth="1"/>
    <col min="10018" max="10020" width="10.28515625" style="12" customWidth="1"/>
    <col min="10021" max="10021" width="2.85546875" style="12" customWidth="1"/>
    <col min="10022" max="10024" width="10.42578125" style="12" customWidth="1"/>
    <col min="10025" max="10026" width="12.140625" style="12" customWidth="1"/>
    <col min="10027" max="10027" width="11.85546875" style="12" bestFit="1" customWidth="1"/>
    <col min="10028" max="10029" width="10.5703125" style="12" bestFit="1" customWidth="1"/>
    <col min="10030" max="10030" width="11.85546875" style="12" bestFit="1" customWidth="1"/>
    <col min="10031" max="10031" width="10.5703125" style="12" bestFit="1" customWidth="1"/>
    <col min="10032" max="10033" width="10.5703125" style="12" customWidth="1"/>
    <col min="10034" max="10041" width="9.140625" style="12"/>
    <col min="10042" max="10042" width="10.85546875" style="12" customWidth="1"/>
    <col min="10043" max="10264" width="9.140625" style="12"/>
    <col min="10265" max="10265" width="15.5703125" style="12" customWidth="1"/>
    <col min="10266" max="10268" width="10.85546875" style="12" customWidth="1"/>
    <col min="10269" max="10269" width="2.28515625" style="12" customWidth="1"/>
    <col min="10270" max="10272" width="10.140625" style="12" customWidth="1"/>
    <col min="10273" max="10273" width="2.42578125" style="12" customWidth="1"/>
    <col min="10274" max="10276" width="10.28515625" style="12" customWidth="1"/>
    <col min="10277" max="10277" width="2.85546875" style="12" customWidth="1"/>
    <col min="10278" max="10280" width="10.42578125" style="12" customWidth="1"/>
    <col min="10281" max="10282" width="12.140625" style="12" customWidth="1"/>
    <col min="10283" max="10283" width="11.85546875" style="12" bestFit="1" customWidth="1"/>
    <col min="10284" max="10285" width="10.5703125" style="12" bestFit="1" customWidth="1"/>
    <col min="10286" max="10286" width="11.85546875" style="12" bestFit="1" customWidth="1"/>
    <col min="10287" max="10287" width="10.5703125" style="12" bestFit="1" customWidth="1"/>
    <col min="10288" max="10289" width="10.5703125" style="12" customWidth="1"/>
    <col min="10290" max="10297" width="9.140625" style="12"/>
    <col min="10298" max="10298" width="10.85546875" style="12" customWidth="1"/>
    <col min="10299" max="10520" width="9.140625" style="12"/>
    <col min="10521" max="10521" width="15.5703125" style="12" customWidth="1"/>
    <col min="10522" max="10524" width="10.85546875" style="12" customWidth="1"/>
    <col min="10525" max="10525" width="2.28515625" style="12" customWidth="1"/>
    <col min="10526" max="10528" width="10.140625" style="12" customWidth="1"/>
    <col min="10529" max="10529" width="2.42578125" style="12" customWidth="1"/>
    <col min="10530" max="10532" width="10.28515625" style="12" customWidth="1"/>
    <col min="10533" max="10533" width="2.85546875" style="12" customWidth="1"/>
    <col min="10534" max="10536" width="10.42578125" style="12" customWidth="1"/>
    <col min="10537" max="10538" width="12.140625" style="12" customWidth="1"/>
    <col min="10539" max="10539" width="11.85546875" style="12" bestFit="1" customWidth="1"/>
    <col min="10540" max="10541" width="10.5703125" style="12" bestFit="1" customWidth="1"/>
    <col min="10542" max="10542" width="11.85546875" style="12" bestFit="1" customWidth="1"/>
    <col min="10543" max="10543" width="10.5703125" style="12" bestFit="1" customWidth="1"/>
    <col min="10544" max="10545" width="10.5703125" style="12" customWidth="1"/>
    <col min="10546" max="10553" width="9.140625" style="12"/>
    <col min="10554" max="10554" width="10.85546875" style="12" customWidth="1"/>
    <col min="10555" max="10776" width="9.140625" style="12"/>
    <col min="10777" max="10777" width="15.5703125" style="12" customWidth="1"/>
    <col min="10778" max="10780" width="10.85546875" style="12" customWidth="1"/>
    <col min="10781" max="10781" width="2.28515625" style="12" customWidth="1"/>
    <col min="10782" max="10784" width="10.140625" style="12" customWidth="1"/>
    <col min="10785" max="10785" width="2.42578125" style="12" customWidth="1"/>
    <col min="10786" max="10788" width="10.28515625" style="12" customWidth="1"/>
    <col min="10789" max="10789" width="2.85546875" style="12" customWidth="1"/>
    <col min="10790" max="10792" width="10.42578125" style="12" customWidth="1"/>
    <col min="10793" max="10794" width="12.140625" style="12" customWidth="1"/>
    <col min="10795" max="10795" width="11.85546875" style="12" bestFit="1" customWidth="1"/>
    <col min="10796" max="10797" width="10.5703125" style="12" bestFit="1" customWidth="1"/>
    <col min="10798" max="10798" width="11.85546875" style="12" bestFit="1" customWidth="1"/>
    <col min="10799" max="10799" width="10.5703125" style="12" bestFit="1" customWidth="1"/>
    <col min="10800" max="10801" width="10.5703125" style="12" customWidth="1"/>
    <col min="10802" max="10809" width="9.140625" style="12"/>
    <col min="10810" max="10810" width="10.85546875" style="12" customWidth="1"/>
    <col min="10811" max="11032" width="9.140625" style="12"/>
    <col min="11033" max="11033" width="15.5703125" style="12" customWidth="1"/>
    <col min="11034" max="11036" width="10.85546875" style="12" customWidth="1"/>
    <col min="11037" max="11037" width="2.28515625" style="12" customWidth="1"/>
    <col min="11038" max="11040" width="10.140625" style="12" customWidth="1"/>
    <col min="11041" max="11041" width="2.42578125" style="12" customWidth="1"/>
    <col min="11042" max="11044" width="10.28515625" style="12" customWidth="1"/>
    <col min="11045" max="11045" width="2.85546875" style="12" customWidth="1"/>
    <col min="11046" max="11048" width="10.42578125" style="12" customWidth="1"/>
    <col min="11049" max="11050" width="12.140625" style="12" customWidth="1"/>
    <col min="11051" max="11051" width="11.85546875" style="12" bestFit="1" customWidth="1"/>
    <col min="11052" max="11053" width="10.5703125" style="12" bestFit="1" customWidth="1"/>
    <col min="11054" max="11054" width="11.85546875" style="12" bestFit="1" customWidth="1"/>
    <col min="11055" max="11055" width="10.5703125" style="12" bestFit="1" customWidth="1"/>
    <col min="11056" max="11057" width="10.5703125" style="12" customWidth="1"/>
    <col min="11058" max="11065" width="9.140625" style="12"/>
    <col min="11066" max="11066" width="10.85546875" style="12" customWidth="1"/>
    <col min="11067" max="11288" width="9.140625" style="12"/>
    <col min="11289" max="11289" width="15.5703125" style="12" customWidth="1"/>
    <col min="11290" max="11292" width="10.85546875" style="12" customWidth="1"/>
    <col min="11293" max="11293" width="2.28515625" style="12" customWidth="1"/>
    <col min="11294" max="11296" width="10.140625" style="12" customWidth="1"/>
    <col min="11297" max="11297" width="2.42578125" style="12" customWidth="1"/>
    <col min="11298" max="11300" width="10.28515625" style="12" customWidth="1"/>
    <col min="11301" max="11301" width="2.85546875" style="12" customWidth="1"/>
    <col min="11302" max="11304" width="10.42578125" style="12" customWidth="1"/>
    <col min="11305" max="11306" width="12.140625" style="12" customWidth="1"/>
    <col min="11307" max="11307" width="11.85546875" style="12" bestFit="1" customWidth="1"/>
    <col min="11308" max="11309" width="10.5703125" style="12" bestFit="1" customWidth="1"/>
    <col min="11310" max="11310" width="11.85546875" style="12" bestFit="1" customWidth="1"/>
    <col min="11311" max="11311" width="10.5703125" style="12" bestFit="1" customWidth="1"/>
    <col min="11312" max="11313" width="10.5703125" style="12" customWidth="1"/>
    <col min="11314" max="11321" width="9.140625" style="12"/>
    <col min="11322" max="11322" width="10.85546875" style="12" customWidth="1"/>
    <col min="11323" max="11544" width="9.140625" style="12"/>
    <col min="11545" max="11545" width="15.5703125" style="12" customWidth="1"/>
    <col min="11546" max="11548" width="10.85546875" style="12" customWidth="1"/>
    <col min="11549" max="11549" width="2.28515625" style="12" customWidth="1"/>
    <col min="11550" max="11552" width="10.140625" style="12" customWidth="1"/>
    <col min="11553" max="11553" width="2.42578125" style="12" customWidth="1"/>
    <col min="11554" max="11556" width="10.28515625" style="12" customWidth="1"/>
    <col min="11557" max="11557" width="2.85546875" style="12" customWidth="1"/>
    <col min="11558" max="11560" width="10.42578125" style="12" customWidth="1"/>
    <col min="11561" max="11562" width="12.140625" style="12" customWidth="1"/>
    <col min="11563" max="11563" width="11.85546875" style="12" bestFit="1" customWidth="1"/>
    <col min="11564" max="11565" width="10.5703125" style="12" bestFit="1" customWidth="1"/>
    <col min="11566" max="11566" width="11.85546875" style="12" bestFit="1" customWidth="1"/>
    <col min="11567" max="11567" width="10.5703125" style="12" bestFit="1" customWidth="1"/>
    <col min="11568" max="11569" width="10.5703125" style="12" customWidth="1"/>
    <col min="11570" max="11577" width="9.140625" style="12"/>
    <col min="11578" max="11578" width="10.85546875" style="12" customWidth="1"/>
    <col min="11579" max="11800" width="9.140625" style="12"/>
    <col min="11801" max="11801" width="15.5703125" style="12" customWidth="1"/>
    <col min="11802" max="11804" width="10.85546875" style="12" customWidth="1"/>
    <col min="11805" max="11805" width="2.28515625" style="12" customWidth="1"/>
    <col min="11806" max="11808" width="10.140625" style="12" customWidth="1"/>
    <col min="11809" max="11809" width="2.42578125" style="12" customWidth="1"/>
    <col min="11810" max="11812" width="10.28515625" style="12" customWidth="1"/>
    <col min="11813" max="11813" width="2.85546875" style="12" customWidth="1"/>
    <col min="11814" max="11816" width="10.42578125" style="12" customWidth="1"/>
    <col min="11817" max="11818" width="12.140625" style="12" customWidth="1"/>
    <col min="11819" max="11819" width="11.85546875" style="12" bestFit="1" customWidth="1"/>
    <col min="11820" max="11821" width="10.5703125" style="12" bestFit="1" customWidth="1"/>
    <col min="11822" max="11822" width="11.85546875" style="12" bestFit="1" customWidth="1"/>
    <col min="11823" max="11823" width="10.5703125" style="12" bestFit="1" customWidth="1"/>
    <col min="11824" max="11825" width="10.5703125" style="12" customWidth="1"/>
    <col min="11826" max="11833" width="9.140625" style="12"/>
    <col min="11834" max="11834" width="10.85546875" style="12" customWidth="1"/>
    <col min="11835" max="12056" width="9.140625" style="12"/>
    <col min="12057" max="12057" width="15.5703125" style="12" customWidth="1"/>
    <col min="12058" max="12060" width="10.85546875" style="12" customWidth="1"/>
    <col min="12061" max="12061" width="2.28515625" style="12" customWidth="1"/>
    <col min="12062" max="12064" width="10.140625" style="12" customWidth="1"/>
    <col min="12065" max="12065" width="2.42578125" style="12" customWidth="1"/>
    <col min="12066" max="12068" width="10.28515625" style="12" customWidth="1"/>
    <col min="12069" max="12069" width="2.85546875" style="12" customWidth="1"/>
    <col min="12070" max="12072" width="10.42578125" style="12" customWidth="1"/>
    <col min="12073" max="12074" width="12.140625" style="12" customWidth="1"/>
    <col min="12075" max="12075" width="11.85546875" style="12" bestFit="1" customWidth="1"/>
    <col min="12076" max="12077" width="10.5703125" style="12" bestFit="1" customWidth="1"/>
    <col min="12078" max="12078" width="11.85546875" style="12" bestFit="1" customWidth="1"/>
    <col min="12079" max="12079" width="10.5703125" style="12" bestFit="1" customWidth="1"/>
    <col min="12080" max="12081" width="10.5703125" style="12" customWidth="1"/>
    <col min="12082" max="12089" width="9.140625" style="12"/>
    <col min="12090" max="12090" width="10.85546875" style="12" customWidth="1"/>
    <col min="12091" max="12312" width="9.140625" style="12"/>
    <col min="12313" max="12313" width="15.5703125" style="12" customWidth="1"/>
    <col min="12314" max="12316" width="10.85546875" style="12" customWidth="1"/>
    <col min="12317" max="12317" width="2.28515625" style="12" customWidth="1"/>
    <col min="12318" max="12320" width="10.140625" style="12" customWidth="1"/>
    <col min="12321" max="12321" width="2.42578125" style="12" customWidth="1"/>
    <col min="12322" max="12324" width="10.28515625" style="12" customWidth="1"/>
    <col min="12325" max="12325" width="2.85546875" style="12" customWidth="1"/>
    <col min="12326" max="12328" width="10.42578125" style="12" customWidth="1"/>
    <col min="12329" max="12330" width="12.140625" style="12" customWidth="1"/>
    <col min="12331" max="12331" width="11.85546875" style="12" bestFit="1" customWidth="1"/>
    <col min="12332" max="12333" width="10.5703125" style="12" bestFit="1" customWidth="1"/>
    <col min="12334" max="12334" width="11.85546875" style="12" bestFit="1" customWidth="1"/>
    <col min="12335" max="12335" width="10.5703125" style="12" bestFit="1" customWidth="1"/>
    <col min="12336" max="12337" width="10.5703125" style="12" customWidth="1"/>
    <col min="12338" max="12345" width="9.140625" style="12"/>
    <col min="12346" max="12346" width="10.85546875" style="12" customWidth="1"/>
    <col min="12347" max="12568" width="9.140625" style="12"/>
    <col min="12569" max="12569" width="15.5703125" style="12" customWidth="1"/>
    <col min="12570" max="12572" width="10.85546875" style="12" customWidth="1"/>
    <col min="12573" max="12573" width="2.28515625" style="12" customWidth="1"/>
    <col min="12574" max="12576" width="10.140625" style="12" customWidth="1"/>
    <col min="12577" max="12577" width="2.42578125" style="12" customWidth="1"/>
    <col min="12578" max="12580" width="10.28515625" style="12" customWidth="1"/>
    <col min="12581" max="12581" width="2.85546875" style="12" customWidth="1"/>
    <col min="12582" max="12584" width="10.42578125" style="12" customWidth="1"/>
    <col min="12585" max="12586" width="12.140625" style="12" customWidth="1"/>
    <col min="12587" max="12587" width="11.85546875" style="12" bestFit="1" customWidth="1"/>
    <col min="12588" max="12589" width="10.5703125" style="12" bestFit="1" customWidth="1"/>
    <col min="12590" max="12590" width="11.85546875" style="12" bestFit="1" customWidth="1"/>
    <col min="12591" max="12591" width="10.5703125" style="12" bestFit="1" customWidth="1"/>
    <col min="12592" max="12593" width="10.5703125" style="12" customWidth="1"/>
    <col min="12594" max="12601" width="9.140625" style="12"/>
    <col min="12602" max="12602" width="10.85546875" style="12" customWidth="1"/>
    <col min="12603" max="12824" width="9.140625" style="12"/>
    <col min="12825" max="12825" width="15.5703125" style="12" customWidth="1"/>
    <col min="12826" max="12828" width="10.85546875" style="12" customWidth="1"/>
    <col min="12829" max="12829" width="2.28515625" style="12" customWidth="1"/>
    <col min="12830" max="12832" width="10.140625" style="12" customWidth="1"/>
    <col min="12833" max="12833" width="2.42578125" style="12" customWidth="1"/>
    <col min="12834" max="12836" width="10.28515625" style="12" customWidth="1"/>
    <col min="12837" max="12837" width="2.85546875" style="12" customWidth="1"/>
    <col min="12838" max="12840" width="10.42578125" style="12" customWidth="1"/>
    <col min="12841" max="12842" width="12.140625" style="12" customWidth="1"/>
    <col min="12843" max="12843" width="11.85546875" style="12" bestFit="1" customWidth="1"/>
    <col min="12844" max="12845" width="10.5703125" style="12" bestFit="1" customWidth="1"/>
    <col min="12846" max="12846" width="11.85546875" style="12" bestFit="1" customWidth="1"/>
    <col min="12847" max="12847" width="10.5703125" style="12" bestFit="1" customWidth="1"/>
    <col min="12848" max="12849" width="10.5703125" style="12" customWidth="1"/>
    <col min="12850" max="12857" width="9.140625" style="12"/>
    <col min="12858" max="12858" width="10.85546875" style="12" customWidth="1"/>
    <col min="12859" max="13080" width="9.140625" style="12"/>
    <col min="13081" max="13081" width="15.5703125" style="12" customWidth="1"/>
    <col min="13082" max="13084" width="10.85546875" style="12" customWidth="1"/>
    <col min="13085" max="13085" width="2.28515625" style="12" customWidth="1"/>
    <col min="13086" max="13088" width="10.140625" style="12" customWidth="1"/>
    <col min="13089" max="13089" width="2.42578125" style="12" customWidth="1"/>
    <col min="13090" max="13092" width="10.28515625" style="12" customWidth="1"/>
    <col min="13093" max="13093" width="2.85546875" style="12" customWidth="1"/>
    <col min="13094" max="13096" width="10.42578125" style="12" customWidth="1"/>
    <col min="13097" max="13098" width="12.140625" style="12" customWidth="1"/>
    <col min="13099" max="13099" width="11.85546875" style="12" bestFit="1" customWidth="1"/>
    <col min="13100" max="13101" width="10.5703125" style="12" bestFit="1" customWidth="1"/>
    <col min="13102" max="13102" width="11.85546875" style="12" bestFit="1" customWidth="1"/>
    <col min="13103" max="13103" width="10.5703125" style="12" bestFit="1" customWidth="1"/>
    <col min="13104" max="13105" width="10.5703125" style="12" customWidth="1"/>
    <col min="13106" max="13113" width="9.140625" style="12"/>
    <col min="13114" max="13114" width="10.85546875" style="12" customWidth="1"/>
    <col min="13115" max="13336" width="9.140625" style="12"/>
    <col min="13337" max="13337" width="15.5703125" style="12" customWidth="1"/>
    <col min="13338" max="13340" width="10.85546875" style="12" customWidth="1"/>
    <col min="13341" max="13341" width="2.28515625" style="12" customWidth="1"/>
    <col min="13342" max="13344" width="10.140625" style="12" customWidth="1"/>
    <col min="13345" max="13345" width="2.42578125" style="12" customWidth="1"/>
    <col min="13346" max="13348" width="10.28515625" style="12" customWidth="1"/>
    <col min="13349" max="13349" width="2.85546875" style="12" customWidth="1"/>
    <col min="13350" max="13352" width="10.42578125" style="12" customWidth="1"/>
    <col min="13353" max="13354" width="12.140625" style="12" customWidth="1"/>
    <col min="13355" max="13355" width="11.85546875" style="12" bestFit="1" customWidth="1"/>
    <col min="13356" max="13357" width="10.5703125" style="12" bestFit="1" customWidth="1"/>
    <col min="13358" max="13358" width="11.85546875" style="12" bestFit="1" customWidth="1"/>
    <col min="13359" max="13359" width="10.5703125" style="12" bestFit="1" customWidth="1"/>
    <col min="13360" max="13361" width="10.5703125" style="12" customWidth="1"/>
    <col min="13362" max="13369" width="9.140625" style="12"/>
    <col min="13370" max="13370" width="10.85546875" style="12" customWidth="1"/>
    <col min="13371" max="13592" width="9.140625" style="12"/>
    <col min="13593" max="13593" width="15.5703125" style="12" customWidth="1"/>
    <col min="13594" max="13596" width="10.85546875" style="12" customWidth="1"/>
    <col min="13597" max="13597" width="2.28515625" style="12" customWidth="1"/>
    <col min="13598" max="13600" width="10.140625" style="12" customWidth="1"/>
    <col min="13601" max="13601" width="2.42578125" style="12" customWidth="1"/>
    <col min="13602" max="13604" width="10.28515625" style="12" customWidth="1"/>
    <col min="13605" max="13605" width="2.85546875" style="12" customWidth="1"/>
    <col min="13606" max="13608" width="10.42578125" style="12" customWidth="1"/>
    <col min="13609" max="13610" width="12.140625" style="12" customWidth="1"/>
    <col min="13611" max="13611" width="11.85546875" style="12" bestFit="1" customWidth="1"/>
    <col min="13612" max="13613" width="10.5703125" style="12" bestFit="1" customWidth="1"/>
    <col min="13614" max="13614" width="11.85546875" style="12" bestFit="1" customWidth="1"/>
    <col min="13615" max="13615" width="10.5703125" style="12" bestFit="1" customWidth="1"/>
    <col min="13616" max="13617" width="10.5703125" style="12" customWidth="1"/>
    <col min="13618" max="13625" width="9.140625" style="12"/>
    <col min="13626" max="13626" width="10.85546875" style="12" customWidth="1"/>
    <col min="13627" max="13848" width="9.140625" style="12"/>
    <col min="13849" max="13849" width="15.5703125" style="12" customWidth="1"/>
    <col min="13850" max="13852" width="10.85546875" style="12" customWidth="1"/>
    <col min="13853" max="13853" width="2.28515625" style="12" customWidth="1"/>
    <col min="13854" max="13856" width="10.140625" style="12" customWidth="1"/>
    <col min="13857" max="13857" width="2.42578125" style="12" customWidth="1"/>
    <col min="13858" max="13860" width="10.28515625" style="12" customWidth="1"/>
    <col min="13861" max="13861" width="2.85546875" style="12" customWidth="1"/>
    <col min="13862" max="13864" width="10.42578125" style="12" customWidth="1"/>
    <col min="13865" max="13866" width="12.140625" style="12" customWidth="1"/>
    <col min="13867" max="13867" width="11.85546875" style="12" bestFit="1" customWidth="1"/>
    <col min="13868" max="13869" width="10.5703125" style="12" bestFit="1" customWidth="1"/>
    <col min="13870" max="13870" width="11.85546875" style="12" bestFit="1" customWidth="1"/>
    <col min="13871" max="13871" width="10.5703125" style="12" bestFit="1" customWidth="1"/>
    <col min="13872" max="13873" width="10.5703125" style="12" customWidth="1"/>
    <col min="13874" max="13881" width="9.140625" style="12"/>
    <col min="13882" max="13882" width="10.85546875" style="12" customWidth="1"/>
    <col min="13883" max="14104" width="9.140625" style="12"/>
    <col min="14105" max="14105" width="15.5703125" style="12" customWidth="1"/>
    <col min="14106" max="14108" width="10.85546875" style="12" customWidth="1"/>
    <col min="14109" max="14109" width="2.28515625" style="12" customWidth="1"/>
    <col min="14110" max="14112" width="10.140625" style="12" customWidth="1"/>
    <col min="14113" max="14113" width="2.42578125" style="12" customWidth="1"/>
    <col min="14114" max="14116" width="10.28515625" style="12" customWidth="1"/>
    <col min="14117" max="14117" width="2.85546875" style="12" customWidth="1"/>
    <col min="14118" max="14120" width="10.42578125" style="12" customWidth="1"/>
    <col min="14121" max="14122" width="12.140625" style="12" customWidth="1"/>
    <col min="14123" max="14123" width="11.85546875" style="12" bestFit="1" customWidth="1"/>
    <col min="14124" max="14125" width="10.5703125" style="12" bestFit="1" customWidth="1"/>
    <col min="14126" max="14126" width="11.85546875" style="12" bestFit="1" customWidth="1"/>
    <col min="14127" max="14127" width="10.5703125" style="12" bestFit="1" customWidth="1"/>
    <col min="14128" max="14129" width="10.5703125" style="12" customWidth="1"/>
    <col min="14130" max="14137" width="9.140625" style="12"/>
    <col min="14138" max="14138" width="10.85546875" style="12" customWidth="1"/>
    <col min="14139" max="14360" width="9.140625" style="12"/>
    <col min="14361" max="14361" width="15.5703125" style="12" customWidth="1"/>
    <col min="14362" max="14364" width="10.85546875" style="12" customWidth="1"/>
    <col min="14365" max="14365" width="2.28515625" style="12" customWidth="1"/>
    <col min="14366" max="14368" width="10.140625" style="12" customWidth="1"/>
    <col min="14369" max="14369" width="2.42578125" style="12" customWidth="1"/>
    <col min="14370" max="14372" width="10.28515625" style="12" customWidth="1"/>
    <col min="14373" max="14373" width="2.85546875" style="12" customWidth="1"/>
    <col min="14374" max="14376" width="10.42578125" style="12" customWidth="1"/>
    <col min="14377" max="14378" width="12.140625" style="12" customWidth="1"/>
    <col min="14379" max="14379" width="11.85546875" style="12" bestFit="1" customWidth="1"/>
    <col min="14380" max="14381" width="10.5703125" style="12" bestFit="1" customWidth="1"/>
    <col min="14382" max="14382" width="11.85546875" style="12" bestFit="1" customWidth="1"/>
    <col min="14383" max="14383" width="10.5703125" style="12" bestFit="1" customWidth="1"/>
    <col min="14384" max="14385" width="10.5703125" style="12" customWidth="1"/>
    <col min="14386" max="14393" width="9.140625" style="12"/>
    <col min="14394" max="14394" width="10.85546875" style="12" customWidth="1"/>
    <col min="14395" max="14616" width="9.140625" style="12"/>
    <col min="14617" max="14617" width="15.5703125" style="12" customWidth="1"/>
    <col min="14618" max="14620" width="10.85546875" style="12" customWidth="1"/>
    <col min="14621" max="14621" width="2.28515625" style="12" customWidth="1"/>
    <col min="14622" max="14624" width="10.140625" style="12" customWidth="1"/>
    <col min="14625" max="14625" width="2.42578125" style="12" customWidth="1"/>
    <col min="14626" max="14628" width="10.28515625" style="12" customWidth="1"/>
    <col min="14629" max="14629" width="2.85546875" style="12" customWidth="1"/>
    <col min="14630" max="14632" width="10.42578125" style="12" customWidth="1"/>
    <col min="14633" max="14634" width="12.140625" style="12" customWidth="1"/>
    <col min="14635" max="14635" width="11.85546875" style="12" bestFit="1" customWidth="1"/>
    <col min="14636" max="14637" width="10.5703125" style="12" bestFit="1" customWidth="1"/>
    <col min="14638" max="14638" width="11.85546875" style="12" bestFit="1" customWidth="1"/>
    <col min="14639" max="14639" width="10.5703125" style="12" bestFit="1" customWidth="1"/>
    <col min="14640" max="14641" width="10.5703125" style="12" customWidth="1"/>
    <col min="14642" max="14649" width="9.140625" style="12"/>
    <col min="14650" max="14650" width="10.85546875" style="12" customWidth="1"/>
    <col min="14651" max="14872" width="9.140625" style="12"/>
    <col min="14873" max="14873" width="15.5703125" style="12" customWidth="1"/>
    <col min="14874" max="14876" width="10.85546875" style="12" customWidth="1"/>
    <col min="14877" max="14877" width="2.28515625" style="12" customWidth="1"/>
    <col min="14878" max="14880" width="10.140625" style="12" customWidth="1"/>
    <col min="14881" max="14881" width="2.42578125" style="12" customWidth="1"/>
    <col min="14882" max="14884" width="10.28515625" style="12" customWidth="1"/>
    <col min="14885" max="14885" width="2.85546875" style="12" customWidth="1"/>
    <col min="14886" max="14888" width="10.42578125" style="12" customWidth="1"/>
    <col min="14889" max="14890" width="12.140625" style="12" customWidth="1"/>
    <col min="14891" max="14891" width="11.85546875" style="12" bestFit="1" customWidth="1"/>
    <col min="14892" max="14893" width="10.5703125" style="12" bestFit="1" customWidth="1"/>
    <col min="14894" max="14894" width="11.85546875" style="12" bestFit="1" customWidth="1"/>
    <col min="14895" max="14895" width="10.5703125" style="12" bestFit="1" customWidth="1"/>
    <col min="14896" max="14897" width="10.5703125" style="12" customWidth="1"/>
    <col min="14898" max="14905" width="9.140625" style="12"/>
    <col min="14906" max="14906" width="10.85546875" style="12" customWidth="1"/>
    <col min="14907" max="15128" width="9.140625" style="12"/>
    <col min="15129" max="15129" width="15.5703125" style="12" customWidth="1"/>
    <col min="15130" max="15132" width="10.85546875" style="12" customWidth="1"/>
    <col min="15133" max="15133" width="2.28515625" style="12" customWidth="1"/>
    <col min="15134" max="15136" width="10.140625" style="12" customWidth="1"/>
    <col min="15137" max="15137" width="2.42578125" style="12" customWidth="1"/>
    <col min="15138" max="15140" width="10.28515625" style="12" customWidth="1"/>
    <col min="15141" max="15141" width="2.85546875" style="12" customWidth="1"/>
    <col min="15142" max="15144" width="10.42578125" style="12" customWidth="1"/>
    <col min="15145" max="15146" width="12.140625" style="12" customWidth="1"/>
    <col min="15147" max="15147" width="11.85546875" style="12" bestFit="1" customWidth="1"/>
    <col min="15148" max="15149" width="10.5703125" style="12" bestFit="1" customWidth="1"/>
    <col min="15150" max="15150" width="11.85546875" style="12" bestFit="1" customWidth="1"/>
    <col min="15151" max="15151" width="10.5703125" style="12" bestFit="1" customWidth="1"/>
    <col min="15152" max="15153" width="10.5703125" style="12" customWidth="1"/>
    <col min="15154" max="15161" width="9.140625" style="12"/>
    <col min="15162" max="15162" width="10.85546875" style="12" customWidth="1"/>
    <col min="15163" max="15384" width="9.140625" style="12"/>
    <col min="15385" max="15385" width="15.5703125" style="12" customWidth="1"/>
    <col min="15386" max="15388" width="10.85546875" style="12" customWidth="1"/>
    <col min="15389" max="15389" width="2.28515625" style="12" customWidth="1"/>
    <col min="15390" max="15392" width="10.140625" style="12" customWidth="1"/>
    <col min="15393" max="15393" width="2.42578125" style="12" customWidth="1"/>
    <col min="15394" max="15396" width="10.28515625" style="12" customWidth="1"/>
    <col min="15397" max="15397" width="2.85546875" style="12" customWidth="1"/>
    <col min="15398" max="15400" width="10.42578125" style="12" customWidth="1"/>
    <col min="15401" max="15402" width="12.140625" style="12" customWidth="1"/>
    <col min="15403" max="15403" width="11.85546875" style="12" bestFit="1" customWidth="1"/>
    <col min="15404" max="15405" width="10.5703125" style="12" bestFit="1" customWidth="1"/>
    <col min="15406" max="15406" width="11.85546875" style="12" bestFit="1" customWidth="1"/>
    <col min="15407" max="15407" width="10.5703125" style="12" bestFit="1" customWidth="1"/>
    <col min="15408" max="15409" width="10.5703125" style="12" customWidth="1"/>
    <col min="15410" max="15417" width="9.140625" style="12"/>
    <col min="15418" max="15418" width="10.85546875" style="12" customWidth="1"/>
    <col min="15419" max="15640" width="9.140625" style="12"/>
    <col min="15641" max="15641" width="15.5703125" style="12" customWidth="1"/>
    <col min="15642" max="15644" width="10.85546875" style="12" customWidth="1"/>
    <col min="15645" max="15645" width="2.28515625" style="12" customWidth="1"/>
    <col min="15646" max="15648" width="10.140625" style="12" customWidth="1"/>
    <col min="15649" max="15649" width="2.42578125" style="12" customWidth="1"/>
    <col min="15650" max="15652" width="10.28515625" style="12" customWidth="1"/>
    <col min="15653" max="15653" width="2.85546875" style="12" customWidth="1"/>
    <col min="15654" max="15656" width="10.42578125" style="12" customWidth="1"/>
    <col min="15657" max="15658" width="12.140625" style="12" customWidth="1"/>
    <col min="15659" max="15659" width="11.85546875" style="12" bestFit="1" customWidth="1"/>
    <col min="15660" max="15661" width="10.5703125" style="12" bestFit="1" customWidth="1"/>
    <col min="15662" max="15662" width="11.85546875" style="12" bestFit="1" customWidth="1"/>
    <col min="15663" max="15663" width="10.5703125" style="12" bestFit="1" customWidth="1"/>
    <col min="15664" max="15665" width="10.5703125" style="12" customWidth="1"/>
    <col min="15666" max="15673" width="9.140625" style="12"/>
    <col min="15674" max="15674" width="10.85546875" style="12" customWidth="1"/>
    <col min="15675" max="15896" width="9.140625" style="12"/>
    <col min="15897" max="15897" width="15.5703125" style="12" customWidth="1"/>
    <col min="15898" max="15900" width="10.85546875" style="12" customWidth="1"/>
    <col min="15901" max="15901" width="2.28515625" style="12" customWidth="1"/>
    <col min="15902" max="15904" width="10.140625" style="12" customWidth="1"/>
    <col min="15905" max="15905" width="2.42578125" style="12" customWidth="1"/>
    <col min="15906" max="15908" width="10.28515625" style="12" customWidth="1"/>
    <col min="15909" max="15909" width="2.85546875" style="12" customWidth="1"/>
    <col min="15910" max="15912" width="10.42578125" style="12" customWidth="1"/>
    <col min="15913" max="15914" width="12.140625" style="12" customWidth="1"/>
    <col min="15915" max="15915" width="11.85546875" style="12" bestFit="1" customWidth="1"/>
    <col min="15916" max="15917" width="10.5703125" style="12" bestFit="1" customWidth="1"/>
    <col min="15918" max="15918" width="11.85546875" style="12" bestFit="1" customWidth="1"/>
    <col min="15919" max="15919" width="10.5703125" style="12" bestFit="1" customWidth="1"/>
    <col min="15920" max="15921" width="10.5703125" style="12" customWidth="1"/>
    <col min="15922" max="15929" width="9.140625" style="12"/>
    <col min="15930" max="15930" width="10.85546875" style="12" customWidth="1"/>
    <col min="15931" max="16152" width="9.140625" style="12"/>
    <col min="16153" max="16153" width="15.5703125" style="12" customWidth="1"/>
    <col min="16154" max="16156" width="10.85546875" style="12" customWidth="1"/>
    <col min="16157" max="16157" width="2.28515625" style="12" customWidth="1"/>
    <col min="16158" max="16160" width="10.140625" style="12" customWidth="1"/>
    <col min="16161" max="16161" width="2.42578125" style="12" customWidth="1"/>
    <col min="16162" max="16164" width="10.28515625" style="12" customWidth="1"/>
    <col min="16165" max="16165" width="2.85546875" style="12" customWidth="1"/>
    <col min="16166" max="16168" width="10.42578125" style="12" customWidth="1"/>
    <col min="16169" max="16170" width="12.140625" style="12" customWidth="1"/>
    <col min="16171" max="16171" width="11.85546875" style="12" bestFit="1" customWidth="1"/>
    <col min="16172" max="16173" width="10.5703125" style="12" bestFit="1" customWidth="1"/>
    <col min="16174" max="16174" width="11.85546875" style="12" bestFit="1" customWidth="1"/>
    <col min="16175" max="16175" width="10.5703125" style="12" bestFit="1" customWidth="1"/>
    <col min="16176" max="16177" width="10.5703125" style="12" customWidth="1"/>
    <col min="16178" max="16185" width="9.140625" style="12"/>
    <col min="16186" max="16186" width="10.85546875" style="12" customWidth="1"/>
    <col min="16187" max="16384" width="9.140625" style="12"/>
  </cols>
  <sheetData>
    <row r="1" spans="1:59" ht="17.25" customHeight="1" x14ac:dyDescent="0.2">
      <c r="A1" s="67" t="s">
        <v>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11"/>
    </row>
    <row r="2" spans="1:59" ht="17.25" customHeight="1" x14ac:dyDescent="0.2">
      <c r="A2" s="68" t="s">
        <v>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11"/>
    </row>
    <row r="3" spans="1:59" ht="5.25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59" ht="17.25" customHeight="1" x14ac:dyDescent="0.2">
      <c r="A4" s="14"/>
      <c r="B4" s="15" t="s">
        <v>8</v>
      </c>
      <c r="C4" s="16"/>
      <c r="D4" s="66" t="s">
        <v>9</v>
      </c>
      <c r="E4" s="17"/>
      <c r="F4" s="15" t="s">
        <v>10</v>
      </c>
      <c r="G4" s="18"/>
      <c r="H4" s="66" t="s">
        <v>11</v>
      </c>
      <c r="I4" s="17"/>
      <c r="J4" s="15" t="s">
        <v>12</v>
      </c>
      <c r="K4" s="18"/>
      <c r="L4" s="66" t="s">
        <v>13</v>
      </c>
      <c r="N4" s="15" t="s">
        <v>14</v>
      </c>
      <c r="O4" s="18"/>
      <c r="P4" s="66" t="s">
        <v>15</v>
      </c>
      <c r="BD4" s="12">
        <v>1995</v>
      </c>
    </row>
    <row r="5" spans="1:59" ht="17.25" customHeight="1" x14ac:dyDescent="0.4">
      <c r="A5" s="64" t="s">
        <v>16</v>
      </c>
      <c r="B5" s="63" t="s">
        <v>0</v>
      </c>
      <c r="C5" s="63" t="s">
        <v>1</v>
      </c>
      <c r="D5" s="63" t="s">
        <v>2</v>
      </c>
      <c r="E5" s="64"/>
      <c r="F5" s="63" t="s">
        <v>0</v>
      </c>
      <c r="G5" s="63" t="s">
        <v>1</v>
      </c>
      <c r="H5" s="63" t="s">
        <v>2</v>
      </c>
      <c r="I5" s="63"/>
      <c r="J5" s="63" t="s">
        <v>0</v>
      </c>
      <c r="K5" s="63" t="s">
        <v>1</v>
      </c>
      <c r="L5" s="63" t="s">
        <v>2</v>
      </c>
      <c r="M5" s="65"/>
      <c r="N5" s="63" t="s">
        <v>0</v>
      </c>
      <c r="O5" s="63" t="s">
        <v>1</v>
      </c>
      <c r="P5" s="63" t="s">
        <v>2</v>
      </c>
    </row>
    <row r="6" spans="1:59" ht="16.5" customHeight="1" x14ac:dyDescent="0.25">
      <c r="A6" s="19" t="s">
        <v>17</v>
      </c>
      <c r="B6" s="20" t="s">
        <v>3</v>
      </c>
      <c r="C6" s="20" t="s">
        <v>4</v>
      </c>
      <c r="D6" s="20" t="s">
        <v>5</v>
      </c>
      <c r="E6" s="19"/>
      <c r="F6" s="20" t="s">
        <v>3</v>
      </c>
      <c r="G6" s="20" t="s">
        <v>4</v>
      </c>
      <c r="H6" s="20" t="s">
        <v>5</v>
      </c>
      <c r="I6" s="20"/>
      <c r="J6" s="20" t="s">
        <v>3</v>
      </c>
      <c r="K6" s="20" t="s">
        <v>4</v>
      </c>
      <c r="L6" s="20" t="s">
        <v>5</v>
      </c>
      <c r="M6" s="13"/>
      <c r="N6" s="20" t="s">
        <v>3</v>
      </c>
      <c r="O6" s="20" t="s">
        <v>4</v>
      </c>
      <c r="P6" s="20" t="s">
        <v>5</v>
      </c>
      <c r="BG6" s="21"/>
    </row>
    <row r="7" spans="1:59" ht="15" customHeight="1" x14ac:dyDescent="0.2">
      <c r="A7" s="22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  <c r="N7" s="23"/>
      <c r="O7" s="23"/>
      <c r="P7" s="23"/>
      <c r="BE7" s="25" t="s">
        <v>4</v>
      </c>
      <c r="BF7" s="25" t="s">
        <v>5</v>
      </c>
    </row>
    <row r="8" spans="1:59" ht="15" customHeight="1" x14ac:dyDescent="0.25">
      <c r="A8" s="26" t="s">
        <v>19</v>
      </c>
      <c r="B8" s="27">
        <f>SUM(B10:B32)</f>
        <v>244814</v>
      </c>
      <c r="C8" s="27">
        <f>SUM(C10:C32)</f>
        <v>124622</v>
      </c>
      <c r="D8" s="27">
        <f>SUM(D10:D32)</f>
        <v>120192</v>
      </c>
      <c r="E8" s="27"/>
      <c r="F8" s="27">
        <f>SUM(F10:F32)</f>
        <v>270101</v>
      </c>
      <c r="G8" s="27">
        <f>SUM(G10:G32)</f>
        <v>137200</v>
      </c>
      <c r="H8" s="27">
        <f>SUM(H10:H32)</f>
        <v>132901</v>
      </c>
      <c r="I8" s="27"/>
      <c r="J8" s="28">
        <v>298968</v>
      </c>
      <c r="K8" s="28">
        <v>151459</v>
      </c>
      <c r="L8" s="28">
        <v>147509</v>
      </c>
      <c r="M8" s="29"/>
      <c r="N8" s="28">
        <f>O8+P8</f>
        <v>344023</v>
      </c>
      <c r="O8" s="28">
        <f>SUM(O10:O32)</f>
        <v>174666</v>
      </c>
      <c r="P8" s="28">
        <f>SUM(P10:P32)</f>
        <v>169357</v>
      </c>
      <c r="Q8" s="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BD8" s="30" t="s">
        <v>20</v>
      </c>
      <c r="BE8" s="31">
        <f>-1*BG8</f>
        <v>-19113</v>
      </c>
      <c r="BF8" s="21">
        <f>D10+D11</f>
        <v>17859</v>
      </c>
      <c r="BG8" s="21">
        <f>C10+C11</f>
        <v>19113</v>
      </c>
    </row>
    <row r="9" spans="1:59" ht="10.5" customHeight="1" x14ac:dyDescent="0.2">
      <c r="A9" s="32" t="s">
        <v>21</v>
      </c>
      <c r="B9" s="33"/>
      <c r="C9" s="33"/>
      <c r="D9" s="33"/>
      <c r="E9" s="33"/>
      <c r="F9" s="33"/>
      <c r="G9" s="33"/>
      <c r="H9" s="33"/>
      <c r="I9" s="33"/>
      <c r="J9" s="34"/>
      <c r="K9" s="34"/>
      <c r="L9" s="34"/>
      <c r="M9" s="29"/>
      <c r="N9" s="34"/>
      <c r="O9" s="34"/>
      <c r="P9" s="34"/>
      <c r="BD9" s="30" t="s">
        <v>22</v>
      </c>
      <c r="BE9" s="31">
        <f t="shared" ref="BE9:BE23" si="0">-1*BG9</f>
        <v>-20840</v>
      </c>
      <c r="BF9" s="21">
        <f>D12+D13</f>
        <v>19919</v>
      </c>
      <c r="BG9" s="21">
        <f>C12+C13</f>
        <v>20840</v>
      </c>
    </row>
    <row r="10" spans="1:59" s="40" customFormat="1" ht="11.25" customHeight="1" x14ac:dyDescent="0.2">
      <c r="A10" s="35" t="s">
        <v>23</v>
      </c>
      <c r="B10" s="36">
        <v>7044</v>
      </c>
      <c r="C10" s="36">
        <v>3593</v>
      </c>
      <c r="D10" s="36">
        <v>3451</v>
      </c>
      <c r="E10" s="36"/>
      <c r="F10" s="36">
        <v>5515</v>
      </c>
      <c r="G10" s="36">
        <v>2780</v>
      </c>
      <c r="H10" s="36">
        <v>2735</v>
      </c>
      <c r="I10" s="36"/>
      <c r="J10" s="37">
        <v>5462</v>
      </c>
      <c r="K10" s="37">
        <v>2777</v>
      </c>
      <c r="L10" s="37">
        <v>2685</v>
      </c>
      <c r="M10" s="38"/>
      <c r="N10" s="37">
        <f>O10+P10</f>
        <v>7017</v>
      </c>
      <c r="O10" s="37">
        <v>3634</v>
      </c>
      <c r="P10" s="37">
        <v>3383</v>
      </c>
      <c r="Q10" s="39"/>
      <c r="BD10" s="30" t="s">
        <v>24</v>
      </c>
      <c r="BE10" s="31">
        <f t="shared" si="0"/>
        <v>-18286</v>
      </c>
      <c r="BF10" s="36">
        <v>17584</v>
      </c>
      <c r="BG10" s="36">
        <v>18286</v>
      </c>
    </row>
    <row r="11" spans="1:59" ht="18" customHeight="1" x14ac:dyDescent="0.25">
      <c r="A11" s="30" t="s">
        <v>25</v>
      </c>
      <c r="B11" s="36">
        <v>29928</v>
      </c>
      <c r="C11" s="36">
        <v>15520</v>
      </c>
      <c r="D11" s="36">
        <v>14408</v>
      </c>
      <c r="E11" s="36"/>
      <c r="F11" s="36">
        <v>25397</v>
      </c>
      <c r="G11" s="36">
        <v>12919</v>
      </c>
      <c r="H11" s="36">
        <v>12478</v>
      </c>
      <c r="I11" s="36"/>
      <c r="J11" s="37">
        <v>20709</v>
      </c>
      <c r="K11" s="37">
        <v>10585</v>
      </c>
      <c r="L11" s="37">
        <v>10124</v>
      </c>
      <c r="M11" s="38"/>
      <c r="N11" s="37">
        <f t="shared" ref="N11:N32" si="1">O11+P11</f>
        <v>29069</v>
      </c>
      <c r="O11" s="37">
        <v>15229</v>
      </c>
      <c r="P11" s="37">
        <v>13840</v>
      </c>
      <c r="R11" s="41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BD11" s="30" t="s">
        <v>26</v>
      </c>
      <c r="BE11" s="31">
        <f t="shared" si="0"/>
        <v>-12343</v>
      </c>
      <c r="BF11" s="36">
        <v>12562</v>
      </c>
      <c r="BG11" s="36">
        <v>12343</v>
      </c>
    </row>
    <row r="12" spans="1:59" ht="18" customHeight="1" x14ac:dyDescent="0.25">
      <c r="A12" s="30" t="s">
        <v>27</v>
      </c>
      <c r="B12" s="36">
        <v>8625</v>
      </c>
      <c r="C12" s="36">
        <v>4375</v>
      </c>
      <c r="D12" s="36">
        <v>4250</v>
      </c>
      <c r="E12" s="36"/>
      <c r="F12" s="36">
        <v>7114</v>
      </c>
      <c r="G12" s="36">
        <v>3572</v>
      </c>
      <c r="H12" s="36">
        <v>3542</v>
      </c>
      <c r="I12" s="36"/>
      <c r="J12" s="37">
        <v>5514</v>
      </c>
      <c r="K12" s="37">
        <v>2849</v>
      </c>
      <c r="L12" s="37">
        <v>2665</v>
      </c>
      <c r="M12" s="38"/>
      <c r="N12" s="37">
        <f t="shared" si="1"/>
        <v>7302</v>
      </c>
      <c r="O12" s="37">
        <v>3680</v>
      </c>
      <c r="P12" s="37">
        <v>3622</v>
      </c>
      <c r="Q12" s="43"/>
      <c r="R12" s="44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6"/>
      <c r="AU12" s="46"/>
      <c r="AV12" s="46"/>
      <c r="AW12" s="46"/>
      <c r="AX12" s="46"/>
      <c r="BD12" s="30" t="s">
        <v>28</v>
      </c>
      <c r="BE12" s="31">
        <f t="shared" si="0"/>
        <v>-9944</v>
      </c>
      <c r="BF12" s="36">
        <v>11077</v>
      </c>
      <c r="BG12" s="36">
        <v>9944</v>
      </c>
    </row>
    <row r="13" spans="1:59" ht="18" customHeight="1" x14ac:dyDescent="0.25">
      <c r="A13" s="30" t="s">
        <v>29</v>
      </c>
      <c r="B13" s="36">
        <v>32134</v>
      </c>
      <c r="C13" s="36">
        <v>16465</v>
      </c>
      <c r="D13" s="36">
        <v>15669</v>
      </c>
      <c r="E13" s="36"/>
      <c r="F13" s="36">
        <v>30813</v>
      </c>
      <c r="G13" s="36">
        <v>15764</v>
      </c>
      <c r="H13" s="36">
        <v>15049</v>
      </c>
      <c r="I13" s="36"/>
      <c r="J13" s="37">
        <v>24353</v>
      </c>
      <c r="K13" s="37">
        <v>12503</v>
      </c>
      <c r="L13" s="37">
        <v>11850</v>
      </c>
      <c r="M13" s="38"/>
      <c r="N13" s="37">
        <f t="shared" si="1"/>
        <v>24678</v>
      </c>
      <c r="O13" s="37">
        <v>12684</v>
      </c>
      <c r="P13" s="37">
        <v>11994</v>
      </c>
      <c r="Q13" s="43"/>
      <c r="R13" s="44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6"/>
      <c r="AU13" s="46"/>
      <c r="AV13" s="46"/>
      <c r="AW13" s="46"/>
      <c r="AX13" s="46"/>
      <c r="BD13" s="30" t="s">
        <v>30</v>
      </c>
      <c r="BE13" s="31">
        <f t="shared" si="0"/>
        <v>-8802</v>
      </c>
      <c r="BF13" s="36">
        <v>9389</v>
      </c>
      <c r="BG13" s="36">
        <v>8802</v>
      </c>
    </row>
    <row r="14" spans="1:59" ht="18" customHeight="1" x14ac:dyDescent="0.25">
      <c r="A14" s="30" t="s">
        <v>24</v>
      </c>
      <c r="B14" s="36">
        <v>35870</v>
      </c>
      <c r="C14" s="36">
        <v>18286</v>
      </c>
      <c r="D14" s="36">
        <v>17584</v>
      </c>
      <c r="E14" s="36"/>
      <c r="F14" s="36">
        <v>41089</v>
      </c>
      <c r="G14" s="36">
        <v>20897</v>
      </c>
      <c r="H14" s="36">
        <v>20192</v>
      </c>
      <c r="I14" s="36"/>
      <c r="J14" s="37">
        <v>36999</v>
      </c>
      <c r="K14" s="37">
        <v>19111</v>
      </c>
      <c r="L14" s="37">
        <v>17888</v>
      </c>
      <c r="M14" s="38"/>
      <c r="N14" s="37">
        <f t="shared" si="1"/>
        <v>26358</v>
      </c>
      <c r="O14" s="37">
        <v>13571</v>
      </c>
      <c r="P14" s="37">
        <v>12787</v>
      </c>
      <c r="Q14" s="43"/>
      <c r="R14" s="47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BD14" s="30" t="s">
        <v>31</v>
      </c>
      <c r="BE14" s="31">
        <f t="shared" si="0"/>
        <v>-7579</v>
      </c>
      <c r="BF14" s="36">
        <v>7785</v>
      </c>
      <c r="BG14" s="36">
        <v>7579</v>
      </c>
    </row>
    <row r="15" spans="1:59" ht="18" customHeight="1" x14ac:dyDescent="0.25">
      <c r="A15" s="30" t="s">
        <v>26</v>
      </c>
      <c r="B15" s="36">
        <v>24905</v>
      </c>
      <c r="C15" s="36">
        <v>12343</v>
      </c>
      <c r="D15" s="36">
        <v>12562</v>
      </c>
      <c r="E15" s="36"/>
      <c r="F15" s="36">
        <v>33266</v>
      </c>
      <c r="G15" s="36">
        <v>16590</v>
      </c>
      <c r="H15" s="36">
        <v>16676</v>
      </c>
      <c r="I15" s="36"/>
      <c r="J15" s="37">
        <v>39904</v>
      </c>
      <c r="K15" s="37">
        <v>20155</v>
      </c>
      <c r="L15" s="37">
        <v>19749</v>
      </c>
      <c r="M15" s="38"/>
      <c r="N15" s="37">
        <f t="shared" si="1"/>
        <v>31383</v>
      </c>
      <c r="O15" s="37">
        <v>15922</v>
      </c>
      <c r="P15" s="37">
        <v>15461</v>
      </c>
      <c r="Q15" s="43"/>
      <c r="R15" s="47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BD15" s="30" t="s">
        <v>32</v>
      </c>
      <c r="BE15" s="31">
        <f t="shared" si="0"/>
        <v>-6315</v>
      </c>
      <c r="BF15" s="36">
        <v>6317</v>
      </c>
      <c r="BG15" s="36">
        <v>6315</v>
      </c>
    </row>
    <row r="16" spans="1:59" ht="18" customHeight="1" x14ac:dyDescent="0.25">
      <c r="A16" s="30" t="s">
        <v>28</v>
      </c>
      <c r="B16" s="36">
        <v>21021</v>
      </c>
      <c r="C16" s="36">
        <v>9944</v>
      </c>
      <c r="D16" s="36">
        <v>11077</v>
      </c>
      <c r="E16" s="36"/>
      <c r="F16" s="36">
        <v>23514</v>
      </c>
      <c r="G16" s="36">
        <v>11620</v>
      </c>
      <c r="H16" s="36">
        <v>11894</v>
      </c>
      <c r="I16" s="36"/>
      <c r="J16" s="37">
        <v>34809</v>
      </c>
      <c r="K16" s="37">
        <v>16933</v>
      </c>
      <c r="L16" s="37">
        <v>17876</v>
      </c>
      <c r="M16" s="38"/>
      <c r="N16" s="37">
        <f t="shared" si="1"/>
        <v>37886</v>
      </c>
      <c r="O16" s="37">
        <v>19349</v>
      </c>
      <c r="P16" s="37">
        <v>18537</v>
      </c>
      <c r="Q16" s="43"/>
      <c r="R16" s="47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BD16" s="30" t="s">
        <v>33</v>
      </c>
      <c r="BE16" s="31">
        <f t="shared" si="0"/>
        <v>-3625</v>
      </c>
      <c r="BF16" s="36">
        <v>3297</v>
      </c>
      <c r="BG16" s="36">
        <v>3625</v>
      </c>
    </row>
    <row r="17" spans="1:59" ht="18" customHeight="1" x14ac:dyDescent="0.25">
      <c r="A17" s="30" t="s">
        <v>30</v>
      </c>
      <c r="B17" s="36">
        <v>18191</v>
      </c>
      <c r="C17" s="36">
        <v>8802</v>
      </c>
      <c r="D17" s="36">
        <v>9389</v>
      </c>
      <c r="E17" s="36"/>
      <c r="F17" s="36">
        <v>20090</v>
      </c>
      <c r="G17" s="36">
        <v>9805</v>
      </c>
      <c r="H17" s="36">
        <v>10285</v>
      </c>
      <c r="I17" s="36"/>
      <c r="J17" s="37">
        <v>24581</v>
      </c>
      <c r="K17" s="37">
        <v>11915</v>
      </c>
      <c r="L17" s="37">
        <v>12666</v>
      </c>
      <c r="M17" s="38"/>
      <c r="N17" s="37">
        <f t="shared" si="1"/>
        <v>39189</v>
      </c>
      <c r="O17" s="37">
        <v>19451</v>
      </c>
      <c r="P17" s="37">
        <v>19738</v>
      </c>
      <c r="Q17" s="43"/>
      <c r="R17" s="47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BD17" s="30" t="s">
        <v>34</v>
      </c>
      <c r="BE17" s="31">
        <f t="shared" si="0"/>
        <v>-3369</v>
      </c>
      <c r="BF17" s="36">
        <v>3215</v>
      </c>
      <c r="BG17" s="36">
        <v>3369</v>
      </c>
    </row>
    <row r="18" spans="1:59" ht="18" customHeight="1" x14ac:dyDescent="0.25">
      <c r="A18" s="30" t="s">
        <v>31</v>
      </c>
      <c r="B18" s="36">
        <v>15364</v>
      </c>
      <c r="C18" s="36">
        <v>7579</v>
      </c>
      <c r="D18" s="36">
        <v>7785</v>
      </c>
      <c r="E18" s="36"/>
      <c r="F18" s="36">
        <v>18161</v>
      </c>
      <c r="G18" s="36">
        <v>8890</v>
      </c>
      <c r="H18" s="36">
        <v>9271</v>
      </c>
      <c r="I18" s="36"/>
      <c r="J18" s="37">
        <v>20635</v>
      </c>
      <c r="K18" s="37">
        <v>10022</v>
      </c>
      <c r="L18" s="37">
        <v>10613</v>
      </c>
      <c r="M18" s="38"/>
      <c r="N18" s="37">
        <f t="shared" si="1"/>
        <v>31362</v>
      </c>
      <c r="O18" s="37">
        <v>15494</v>
      </c>
      <c r="P18" s="37">
        <v>15868</v>
      </c>
      <c r="Q18" s="43"/>
      <c r="R18" s="47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BD18" s="30" t="s">
        <v>35</v>
      </c>
      <c r="BE18" s="31">
        <f t="shared" si="0"/>
        <v>-3205</v>
      </c>
      <c r="BF18" s="36">
        <v>3042</v>
      </c>
      <c r="BG18" s="36">
        <v>3205</v>
      </c>
    </row>
    <row r="19" spans="1:59" ht="18" customHeight="1" x14ac:dyDescent="0.25">
      <c r="A19" s="30" t="s">
        <v>32</v>
      </c>
      <c r="B19" s="36">
        <v>12632</v>
      </c>
      <c r="C19" s="36">
        <v>6315</v>
      </c>
      <c r="D19" s="36">
        <v>6317</v>
      </c>
      <c r="E19" s="36"/>
      <c r="F19" s="36">
        <v>15699</v>
      </c>
      <c r="G19" s="36">
        <v>7828</v>
      </c>
      <c r="H19" s="36">
        <v>7871</v>
      </c>
      <c r="I19" s="36"/>
      <c r="J19" s="37">
        <v>18174</v>
      </c>
      <c r="K19" s="37">
        <v>8780</v>
      </c>
      <c r="L19" s="37">
        <v>9394</v>
      </c>
      <c r="M19" s="38"/>
      <c r="N19" s="37">
        <f t="shared" si="1"/>
        <v>22904</v>
      </c>
      <c r="O19" s="37">
        <v>11386</v>
      </c>
      <c r="P19" s="37">
        <v>11518</v>
      </c>
      <c r="Q19" s="43"/>
      <c r="R19" s="47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BD19" s="30" t="s">
        <v>36</v>
      </c>
      <c r="BE19" s="31">
        <f t="shared" si="0"/>
        <v>-3240</v>
      </c>
      <c r="BF19" s="36">
        <v>2722</v>
      </c>
      <c r="BG19" s="36">
        <v>3240</v>
      </c>
    </row>
    <row r="20" spans="1:59" ht="18" customHeight="1" x14ac:dyDescent="0.25">
      <c r="A20" s="30" t="s">
        <v>33</v>
      </c>
      <c r="B20" s="36">
        <v>6922</v>
      </c>
      <c r="C20" s="36">
        <v>3625</v>
      </c>
      <c r="D20" s="36">
        <v>3297</v>
      </c>
      <c r="E20" s="36"/>
      <c r="F20" s="36">
        <v>12402</v>
      </c>
      <c r="G20" s="36">
        <v>6272</v>
      </c>
      <c r="H20" s="36">
        <v>6130</v>
      </c>
      <c r="I20" s="36"/>
      <c r="J20" s="37">
        <v>15871</v>
      </c>
      <c r="K20" s="37">
        <v>7828</v>
      </c>
      <c r="L20" s="37">
        <v>8043</v>
      </c>
      <c r="M20" s="38"/>
      <c r="N20" s="37">
        <f t="shared" si="1"/>
        <v>19875</v>
      </c>
      <c r="O20" s="37">
        <v>9811</v>
      </c>
      <c r="P20" s="37">
        <v>10064</v>
      </c>
      <c r="Q20" s="43"/>
      <c r="R20" s="47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BD20" s="30" t="s">
        <v>37</v>
      </c>
      <c r="BE20" s="31">
        <f t="shared" si="0"/>
        <v>-3010</v>
      </c>
      <c r="BF20" s="36">
        <v>2284</v>
      </c>
      <c r="BG20" s="36">
        <v>3010</v>
      </c>
    </row>
    <row r="21" spans="1:59" ht="18" customHeight="1" x14ac:dyDescent="0.25">
      <c r="A21" s="30" t="s">
        <v>34</v>
      </c>
      <c r="B21" s="36">
        <v>6584</v>
      </c>
      <c r="C21" s="36">
        <v>3369</v>
      </c>
      <c r="D21" s="36">
        <v>3215</v>
      </c>
      <c r="E21" s="36"/>
      <c r="F21" s="36">
        <v>7461</v>
      </c>
      <c r="G21" s="36">
        <v>3977</v>
      </c>
      <c r="H21" s="36">
        <v>3484</v>
      </c>
      <c r="I21" s="36"/>
      <c r="J21" s="37">
        <v>13569</v>
      </c>
      <c r="K21" s="37">
        <v>6872</v>
      </c>
      <c r="L21" s="37">
        <v>6697</v>
      </c>
      <c r="M21" s="38"/>
      <c r="N21" s="37">
        <f t="shared" si="1"/>
        <v>17579</v>
      </c>
      <c r="O21" s="37">
        <v>8784</v>
      </c>
      <c r="P21" s="37">
        <v>8795</v>
      </c>
      <c r="Q21" s="43"/>
      <c r="R21" s="47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BD21" s="30" t="s">
        <v>38</v>
      </c>
      <c r="BE21" s="31">
        <f t="shared" si="0"/>
        <v>-1897</v>
      </c>
      <c r="BF21" s="36">
        <v>1304</v>
      </c>
      <c r="BG21" s="36">
        <v>1897</v>
      </c>
    </row>
    <row r="22" spans="1:59" ht="18" customHeight="1" x14ac:dyDescent="0.25">
      <c r="A22" s="30" t="s">
        <v>35</v>
      </c>
      <c r="B22" s="36">
        <v>6247</v>
      </c>
      <c r="C22" s="36">
        <v>3205</v>
      </c>
      <c r="D22" s="36">
        <v>3042</v>
      </c>
      <c r="E22" s="36"/>
      <c r="F22" s="36">
        <v>5967</v>
      </c>
      <c r="G22" s="36">
        <v>3051</v>
      </c>
      <c r="H22" s="36">
        <v>2916</v>
      </c>
      <c r="I22" s="36"/>
      <c r="J22" s="37">
        <v>7936</v>
      </c>
      <c r="K22" s="37">
        <v>4147</v>
      </c>
      <c r="L22" s="37">
        <v>3789</v>
      </c>
      <c r="M22" s="38"/>
      <c r="N22" s="37">
        <f t="shared" si="1"/>
        <v>15050</v>
      </c>
      <c r="O22" s="37">
        <v>7645</v>
      </c>
      <c r="P22" s="37">
        <v>7405</v>
      </c>
      <c r="Q22" s="43"/>
      <c r="R22" s="47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BD22" s="30" t="s">
        <v>39</v>
      </c>
      <c r="BE22" s="31">
        <f t="shared" si="0"/>
        <v>-1279</v>
      </c>
      <c r="BF22" s="36">
        <v>822</v>
      </c>
      <c r="BG22" s="36">
        <v>1279</v>
      </c>
    </row>
    <row r="23" spans="1:59" ht="18" customHeight="1" x14ac:dyDescent="0.25">
      <c r="A23" s="30" t="s">
        <v>36</v>
      </c>
      <c r="B23" s="36">
        <v>5962</v>
      </c>
      <c r="C23" s="36">
        <v>3240</v>
      </c>
      <c r="D23" s="36">
        <v>2722</v>
      </c>
      <c r="E23" s="36"/>
      <c r="F23" s="36">
        <v>5996</v>
      </c>
      <c r="G23" s="36">
        <v>3131</v>
      </c>
      <c r="H23" s="36">
        <v>2865</v>
      </c>
      <c r="I23" s="36"/>
      <c r="J23" s="37">
        <v>5859</v>
      </c>
      <c r="K23" s="37">
        <v>3046</v>
      </c>
      <c r="L23" s="37">
        <v>2813</v>
      </c>
      <c r="M23" s="38"/>
      <c r="N23" s="37">
        <f t="shared" si="1"/>
        <v>11703</v>
      </c>
      <c r="O23" s="37">
        <v>6031</v>
      </c>
      <c r="P23" s="37">
        <v>5672</v>
      </c>
      <c r="Q23" s="43"/>
      <c r="R23" s="47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BD23" s="30" t="s">
        <v>40</v>
      </c>
      <c r="BE23" s="31">
        <f t="shared" si="0"/>
        <v>-1384</v>
      </c>
      <c r="BF23" s="21">
        <f>D27+D28+D29+D30+D31</f>
        <v>862</v>
      </c>
      <c r="BG23" s="21">
        <f>C27+C28+C29+C30+C31</f>
        <v>1384</v>
      </c>
    </row>
    <row r="24" spans="1:59" ht="18" customHeight="1" x14ac:dyDescent="0.25">
      <c r="A24" s="30" t="s">
        <v>37</v>
      </c>
      <c r="B24" s="36">
        <v>5294</v>
      </c>
      <c r="C24" s="36">
        <v>3010</v>
      </c>
      <c r="D24" s="36">
        <v>2284</v>
      </c>
      <c r="E24" s="36"/>
      <c r="F24" s="36">
        <v>6312</v>
      </c>
      <c r="G24" s="36">
        <v>3370</v>
      </c>
      <c r="H24" s="36">
        <v>2942</v>
      </c>
      <c r="I24" s="36"/>
      <c r="J24" s="37">
        <v>5566</v>
      </c>
      <c r="K24" s="37">
        <v>2852</v>
      </c>
      <c r="L24" s="37">
        <v>2714</v>
      </c>
      <c r="M24" s="38"/>
      <c r="N24" s="37">
        <f t="shared" si="1"/>
        <v>6249</v>
      </c>
      <c r="O24" s="37">
        <v>3327</v>
      </c>
      <c r="P24" s="37">
        <v>2922</v>
      </c>
      <c r="Q24" s="43"/>
      <c r="R24" s="47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BD24" s="30"/>
      <c r="BE24" s="30"/>
      <c r="BF24" s="30"/>
    </row>
    <row r="25" spans="1:59" ht="18" customHeight="1" x14ac:dyDescent="0.25">
      <c r="A25" s="30" t="s">
        <v>38</v>
      </c>
      <c r="B25" s="36">
        <v>3201</v>
      </c>
      <c r="C25" s="36">
        <v>1897</v>
      </c>
      <c r="D25" s="36">
        <v>1304</v>
      </c>
      <c r="E25" s="36"/>
      <c r="F25" s="36">
        <v>4611</v>
      </c>
      <c r="G25" s="36">
        <v>2650</v>
      </c>
      <c r="H25" s="36">
        <v>1961</v>
      </c>
      <c r="I25" s="36"/>
      <c r="J25" s="37">
        <v>5678</v>
      </c>
      <c r="K25" s="37">
        <v>3014</v>
      </c>
      <c r="L25" s="37">
        <v>2664</v>
      </c>
      <c r="M25" s="38"/>
      <c r="N25" s="37">
        <f t="shared" si="1"/>
        <v>4871</v>
      </c>
      <c r="O25" s="37">
        <v>2445</v>
      </c>
      <c r="P25" s="37">
        <v>2426</v>
      </c>
      <c r="Q25" s="43"/>
      <c r="R25" s="47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</row>
    <row r="26" spans="1:59" ht="18" customHeight="1" x14ac:dyDescent="0.25">
      <c r="A26" s="30" t="s">
        <v>39</v>
      </c>
      <c r="B26" s="36">
        <v>2101</v>
      </c>
      <c r="C26" s="36">
        <v>1279</v>
      </c>
      <c r="D26" s="36">
        <v>822</v>
      </c>
      <c r="E26" s="36"/>
      <c r="F26" s="36">
        <v>2873</v>
      </c>
      <c r="G26" s="36">
        <v>1737</v>
      </c>
      <c r="H26" s="36">
        <v>1136</v>
      </c>
      <c r="I26" s="36"/>
      <c r="J26" s="37">
        <v>4186</v>
      </c>
      <c r="K26" s="37">
        <v>2333</v>
      </c>
      <c r="L26" s="37">
        <v>1853</v>
      </c>
      <c r="M26" s="38"/>
      <c r="N26" s="37">
        <f t="shared" si="1"/>
        <v>4843</v>
      </c>
      <c r="O26" s="37">
        <v>2471</v>
      </c>
      <c r="P26" s="37">
        <v>2372</v>
      </c>
      <c r="Q26" s="43"/>
      <c r="R26" s="47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</row>
    <row r="27" spans="1:59" ht="18" customHeight="1" x14ac:dyDescent="0.25">
      <c r="A27" s="30" t="s">
        <v>41</v>
      </c>
      <c r="B27" s="36">
        <v>968</v>
      </c>
      <c r="C27" s="36">
        <v>617</v>
      </c>
      <c r="D27" s="36">
        <v>351</v>
      </c>
      <c r="E27" s="36"/>
      <c r="F27" s="36">
        <v>1410</v>
      </c>
      <c r="G27" s="36">
        <v>859</v>
      </c>
      <c r="H27" s="36">
        <v>551</v>
      </c>
      <c r="I27" s="36"/>
      <c r="J27" s="37">
        <v>2377</v>
      </c>
      <c r="K27" s="37">
        <v>1444</v>
      </c>
      <c r="L27" s="37">
        <v>933</v>
      </c>
      <c r="M27" s="48"/>
      <c r="N27" s="37">
        <f t="shared" si="1"/>
        <v>3723</v>
      </c>
      <c r="O27" s="37">
        <v>1968</v>
      </c>
      <c r="P27" s="37">
        <v>1755</v>
      </c>
      <c r="Q27" s="43"/>
      <c r="R27" s="47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</row>
    <row r="28" spans="1:59" ht="18" customHeight="1" x14ac:dyDescent="0.25">
      <c r="A28" s="30" t="s">
        <v>42</v>
      </c>
      <c r="B28" s="36">
        <v>695</v>
      </c>
      <c r="C28" s="36">
        <v>394</v>
      </c>
      <c r="D28" s="36">
        <v>301</v>
      </c>
      <c r="E28" s="36"/>
      <c r="F28" s="36">
        <v>679</v>
      </c>
      <c r="G28" s="36">
        <v>407</v>
      </c>
      <c r="H28" s="36">
        <v>272</v>
      </c>
      <c r="I28" s="36"/>
      <c r="J28" s="37">
        <v>1064</v>
      </c>
      <c r="K28" s="37">
        <v>617</v>
      </c>
      <c r="L28" s="37">
        <v>447</v>
      </c>
      <c r="M28" s="48"/>
      <c r="N28" s="37">
        <f t="shared" si="1"/>
        <v>1949</v>
      </c>
      <c r="O28" s="37">
        <v>1155</v>
      </c>
      <c r="P28" s="37">
        <v>794</v>
      </c>
      <c r="Q28" s="43"/>
      <c r="R28" s="47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BD28" s="12">
        <v>2000</v>
      </c>
    </row>
    <row r="29" spans="1:59" ht="18" customHeight="1" x14ac:dyDescent="0.25">
      <c r="A29" s="30" t="s">
        <v>43</v>
      </c>
      <c r="B29" s="36">
        <v>326</v>
      </c>
      <c r="C29" s="36">
        <v>220</v>
      </c>
      <c r="D29" s="36">
        <v>106</v>
      </c>
      <c r="E29" s="36"/>
      <c r="F29" s="36">
        <v>284</v>
      </c>
      <c r="G29" s="36">
        <v>162</v>
      </c>
      <c r="H29" s="36">
        <v>122</v>
      </c>
      <c r="I29" s="36"/>
      <c r="J29" s="37">
        <v>396</v>
      </c>
      <c r="K29" s="37">
        <v>241</v>
      </c>
      <c r="L29" s="37">
        <v>155</v>
      </c>
      <c r="M29" s="48"/>
      <c r="N29" s="37">
        <f t="shared" si="1"/>
        <v>725</v>
      </c>
      <c r="O29" s="37">
        <v>442</v>
      </c>
      <c r="P29" s="37">
        <v>283</v>
      </c>
      <c r="Q29" s="43"/>
      <c r="R29" s="47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</row>
    <row r="30" spans="1:59" ht="18" customHeight="1" x14ac:dyDescent="0.25">
      <c r="A30" s="30" t="s">
        <v>44</v>
      </c>
      <c r="B30" s="36">
        <v>163</v>
      </c>
      <c r="C30" s="36">
        <v>86</v>
      </c>
      <c r="D30" s="36">
        <v>77</v>
      </c>
      <c r="E30" s="36"/>
      <c r="F30" s="36">
        <v>96</v>
      </c>
      <c r="G30" s="36">
        <v>59</v>
      </c>
      <c r="H30" s="36">
        <v>37</v>
      </c>
      <c r="I30" s="36"/>
      <c r="J30" s="37">
        <v>159</v>
      </c>
      <c r="K30" s="37">
        <v>89</v>
      </c>
      <c r="L30" s="37">
        <v>70</v>
      </c>
      <c r="M30" s="48"/>
      <c r="N30" s="37">
        <f t="shared" si="1"/>
        <v>225</v>
      </c>
      <c r="O30" s="37">
        <v>140</v>
      </c>
      <c r="P30" s="37">
        <v>85</v>
      </c>
      <c r="Q30" s="43"/>
      <c r="R30" s="47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BG30" s="21"/>
    </row>
    <row r="31" spans="1:59" ht="18" customHeight="1" x14ac:dyDescent="0.25">
      <c r="A31" s="30" t="s">
        <v>45</v>
      </c>
      <c r="B31" s="49">
        <v>94</v>
      </c>
      <c r="C31" s="49">
        <v>67</v>
      </c>
      <c r="D31" s="49">
        <v>27</v>
      </c>
      <c r="E31" s="49"/>
      <c r="F31" s="36">
        <v>76</v>
      </c>
      <c r="G31" s="36">
        <v>45</v>
      </c>
      <c r="H31" s="36">
        <v>31</v>
      </c>
      <c r="I31" s="36"/>
      <c r="J31" s="37">
        <v>84</v>
      </c>
      <c r="K31" s="37">
        <v>52</v>
      </c>
      <c r="L31" s="37">
        <v>32</v>
      </c>
      <c r="M31" s="48"/>
      <c r="N31" s="37">
        <f t="shared" si="1"/>
        <v>83</v>
      </c>
      <c r="O31" s="37">
        <v>47</v>
      </c>
      <c r="P31" s="37">
        <v>36</v>
      </c>
      <c r="Q31" s="43"/>
      <c r="R31" s="47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BE31" s="25" t="s">
        <v>4</v>
      </c>
      <c r="BF31" s="25" t="s">
        <v>5</v>
      </c>
    </row>
    <row r="32" spans="1:59" ht="18" customHeight="1" x14ac:dyDescent="0.25">
      <c r="A32" s="50" t="s">
        <v>46</v>
      </c>
      <c r="B32" s="51">
        <v>543</v>
      </c>
      <c r="C32" s="51">
        <v>391</v>
      </c>
      <c r="D32" s="51">
        <v>152</v>
      </c>
      <c r="E32" s="51"/>
      <c r="F32" s="52">
        <v>1276</v>
      </c>
      <c r="G32" s="52">
        <v>815</v>
      </c>
      <c r="H32" s="52">
        <v>461</v>
      </c>
      <c r="I32" s="52"/>
      <c r="J32" s="53">
        <v>5083</v>
      </c>
      <c r="K32" s="53">
        <v>3294</v>
      </c>
      <c r="L32" s="53">
        <v>1789</v>
      </c>
      <c r="M32" s="54"/>
      <c r="N32" s="37">
        <f t="shared" si="1"/>
        <v>0</v>
      </c>
      <c r="O32" s="53">
        <v>0</v>
      </c>
      <c r="P32" s="53">
        <v>0</v>
      </c>
      <c r="Q32" s="43"/>
      <c r="R32" s="47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BD32" s="30" t="s">
        <v>20</v>
      </c>
      <c r="BE32" s="31">
        <f>-1*BG32</f>
        <v>-15699</v>
      </c>
      <c r="BF32" s="21">
        <f>H10+H11</f>
        <v>15213</v>
      </c>
      <c r="BG32" s="21">
        <f>G10+G11</f>
        <v>15699</v>
      </c>
    </row>
    <row r="33" spans="1:59" ht="19.5" customHeight="1" x14ac:dyDescent="0.2">
      <c r="A33" s="2" t="s">
        <v>47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3"/>
      <c r="N33" s="55"/>
      <c r="O33" s="55"/>
      <c r="P33" s="3" t="s">
        <v>48</v>
      </c>
      <c r="Q33" s="9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30"/>
      <c r="AV33" s="30"/>
      <c r="AW33" s="30"/>
      <c r="BD33" s="30" t="s">
        <v>22</v>
      </c>
      <c r="BE33" s="31">
        <f t="shared" ref="BE33:BE47" si="2">-1*BG33</f>
        <v>-19336</v>
      </c>
      <c r="BF33" s="21">
        <f>H12+H13</f>
        <v>18591</v>
      </c>
      <c r="BG33" s="21">
        <f>G12+G13</f>
        <v>19336</v>
      </c>
    </row>
    <row r="34" spans="1:59" ht="15.75" x14ac:dyDescent="0.2">
      <c r="A34" s="56"/>
      <c r="B34" s="32"/>
      <c r="C34" s="56"/>
      <c r="D34" s="56"/>
      <c r="E34" s="56"/>
      <c r="F34" s="10"/>
      <c r="G34" s="10"/>
      <c r="H34" s="10"/>
      <c r="I34" s="10"/>
      <c r="J34" s="10"/>
      <c r="K34" s="10"/>
      <c r="L34" s="56"/>
      <c r="M34" s="56"/>
      <c r="N34" s="10"/>
      <c r="O34" s="10"/>
      <c r="P34" s="56"/>
      <c r="Q34" s="9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30"/>
      <c r="AV34" s="30"/>
      <c r="AW34" s="30"/>
      <c r="BD34" s="30" t="s">
        <v>24</v>
      </c>
      <c r="BE34" s="31">
        <f t="shared" si="2"/>
        <v>-20897</v>
      </c>
      <c r="BF34" s="36">
        <v>20192</v>
      </c>
      <c r="BG34" s="36">
        <v>20897</v>
      </c>
    </row>
    <row r="35" spans="1:59" ht="15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9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30"/>
      <c r="AV35" s="30"/>
      <c r="AW35" s="30"/>
      <c r="BD35" s="30" t="s">
        <v>26</v>
      </c>
      <c r="BE35" s="31">
        <f t="shared" si="2"/>
        <v>-16590</v>
      </c>
      <c r="BF35" s="36">
        <v>16676</v>
      </c>
      <c r="BG35" s="36">
        <v>16590</v>
      </c>
    </row>
    <row r="36" spans="1:59" ht="15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9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30"/>
      <c r="AV36" s="30"/>
      <c r="AW36" s="30"/>
      <c r="BD36" s="30" t="s">
        <v>28</v>
      </c>
      <c r="BE36" s="31">
        <f t="shared" si="2"/>
        <v>-11620</v>
      </c>
      <c r="BF36" s="36">
        <v>11894</v>
      </c>
      <c r="BG36" s="36">
        <v>11620</v>
      </c>
    </row>
    <row r="37" spans="1:59" ht="15" x14ac:dyDescent="0.2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9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BD37" s="30" t="s">
        <v>30</v>
      </c>
      <c r="BE37" s="31">
        <f t="shared" si="2"/>
        <v>-9805</v>
      </c>
      <c r="BF37" s="36">
        <v>10285</v>
      </c>
      <c r="BG37" s="36">
        <v>9805</v>
      </c>
    </row>
    <row r="38" spans="1:59" ht="15" x14ac:dyDescent="0.2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9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BD38" s="30" t="s">
        <v>31</v>
      </c>
      <c r="BE38" s="31">
        <f t="shared" si="2"/>
        <v>-8890</v>
      </c>
      <c r="BF38" s="36">
        <v>9271</v>
      </c>
      <c r="BG38" s="36">
        <v>8890</v>
      </c>
    </row>
    <row r="39" spans="1:59" ht="15" x14ac:dyDescent="0.2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9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BD39" s="30" t="s">
        <v>32</v>
      </c>
      <c r="BE39" s="31">
        <f t="shared" si="2"/>
        <v>-7828</v>
      </c>
      <c r="BF39" s="36">
        <v>7871</v>
      </c>
      <c r="BG39" s="36">
        <v>7828</v>
      </c>
    </row>
    <row r="40" spans="1:59" ht="15" x14ac:dyDescent="0.2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9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BD40" s="30" t="s">
        <v>33</v>
      </c>
      <c r="BE40" s="31">
        <f t="shared" si="2"/>
        <v>-6272</v>
      </c>
      <c r="BF40" s="36">
        <v>6130</v>
      </c>
      <c r="BG40" s="36">
        <v>6272</v>
      </c>
    </row>
    <row r="41" spans="1:59" ht="15" x14ac:dyDescent="0.2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9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BD41" s="30" t="s">
        <v>34</v>
      </c>
      <c r="BE41" s="31">
        <f t="shared" si="2"/>
        <v>-3977</v>
      </c>
      <c r="BF41" s="36">
        <v>3484</v>
      </c>
      <c r="BG41" s="36">
        <v>3977</v>
      </c>
    </row>
    <row r="42" spans="1:59" ht="15" x14ac:dyDescent="0.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9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BD42" s="30" t="s">
        <v>35</v>
      </c>
      <c r="BE42" s="31">
        <f t="shared" si="2"/>
        <v>-3051</v>
      </c>
      <c r="BF42" s="36">
        <v>2916</v>
      </c>
      <c r="BG42" s="36">
        <v>3051</v>
      </c>
    </row>
    <row r="43" spans="1:59" ht="15" x14ac:dyDescent="0.2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9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BD43" s="30" t="s">
        <v>36</v>
      </c>
      <c r="BE43" s="31">
        <f t="shared" si="2"/>
        <v>-3131</v>
      </c>
      <c r="BF43" s="36">
        <v>2865</v>
      </c>
      <c r="BG43" s="36">
        <v>3131</v>
      </c>
    </row>
    <row r="44" spans="1:59" ht="15" x14ac:dyDescent="0.2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9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BD44" s="30" t="s">
        <v>37</v>
      </c>
      <c r="BE44" s="31">
        <f t="shared" si="2"/>
        <v>-3370</v>
      </c>
      <c r="BF44" s="36">
        <v>2942</v>
      </c>
      <c r="BG44" s="36">
        <v>3370</v>
      </c>
    </row>
    <row r="45" spans="1:59" ht="15" x14ac:dyDescent="0.2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9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BD45" s="30" t="s">
        <v>38</v>
      </c>
      <c r="BE45" s="31">
        <f t="shared" si="2"/>
        <v>-2650</v>
      </c>
      <c r="BF45" s="36">
        <v>1961</v>
      </c>
      <c r="BG45" s="36">
        <v>2650</v>
      </c>
    </row>
    <row r="46" spans="1:59" ht="15" x14ac:dyDescent="0.2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9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BD46" s="30" t="s">
        <v>39</v>
      </c>
      <c r="BE46" s="31">
        <f t="shared" si="2"/>
        <v>-1737</v>
      </c>
      <c r="BF46" s="36">
        <v>1136</v>
      </c>
      <c r="BG46" s="36">
        <v>1737</v>
      </c>
    </row>
    <row r="47" spans="1:59" x14ac:dyDescent="0.2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9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BD47" s="30" t="s">
        <v>40</v>
      </c>
      <c r="BE47" s="31">
        <f t="shared" si="2"/>
        <v>-1532</v>
      </c>
      <c r="BF47" s="21">
        <f>H27+H28+H29+H30+H31</f>
        <v>1013</v>
      </c>
      <c r="BG47" s="21">
        <f>G27+G28+G29+G30+G31</f>
        <v>1532</v>
      </c>
    </row>
    <row r="48" spans="1:59" x14ac:dyDescent="0.2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BD48" s="30"/>
      <c r="BE48" s="30"/>
      <c r="BF48" s="30"/>
    </row>
    <row r="49" spans="1:59" x14ac:dyDescent="0.2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</row>
    <row r="50" spans="1:59" x14ac:dyDescent="0.2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</row>
    <row r="51" spans="1:59" x14ac:dyDescent="0.2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</row>
    <row r="52" spans="1:59" s="57" customFormat="1" ht="14.25" customHeight="1" x14ac:dyDescent="0.1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N52" s="56"/>
      <c r="O52" s="56"/>
      <c r="P52" s="56"/>
    </row>
    <row r="53" spans="1:59" x14ac:dyDescent="0.2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N53" s="56"/>
      <c r="O53" s="56"/>
      <c r="P53" s="56"/>
      <c r="BD53" s="12">
        <v>2006</v>
      </c>
    </row>
    <row r="54" spans="1:59" x14ac:dyDescent="0.2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N54" s="56"/>
      <c r="O54" s="56"/>
      <c r="P54" s="56"/>
    </row>
    <row r="55" spans="1:59" x14ac:dyDescent="0.2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N55" s="56"/>
      <c r="O55" s="56"/>
      <c r="P55" s="56"/>
      <c r="BG55" s="21">
        <f>AU50+AU51</f>
        <v>0</v>
      </c>
    </row>
    <row r="56" spans="1:59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N56" s="56"/>
      <c r="O56" s="56"/>
      <c r="P56" s="56"/>
      <c r="BE56" s="25" t="s">
        <v>4</v>
      </c>
      <c r="BF56" s="25" t="s">
        <v>5</v>
      </c>
    </row>
    <row r="57" spans="1:59" x14ac:dyDescent="0.2">
      <c r="B57" s="56"/>
      <c r="C57" s="56"/>
      <c r="D57" s="56"/>
      <c r="E57" s="56"/>
      <c r="F57" s="56"/>
      <c r="G57" s="56"/>
      <c r="H57" s="56"/>
      <c r="I57" s="56"/>
      <c r="J57" s="56"/>
      <c r="K57" s="56"/>
      <c r="N57" s="56"/>
      <c r="O57" s="56"/>
      <c r="BD57" s="30" t="s">
        <v>20</v>
      </c>
      <c r="BE57" s="31">
        <f>-1*BG57</f>
        <v>-13362</v>
      </c>
      <c r="BF57" s="21">
        <f>L10+L11</f>
        <v>12809</v>
      </c>
      <c r="BG57" s="21">
        <f>K10+K11</f>
        <v>13362</v>
      </c>
    </row>
    <row r="58" spans="1:59" s="1" customFormat="1" x14ac:dyDescent="0.2">
      <c r="B58" s="58"/>
      <c r="C58" s="58"/>
      <c r="D58" s="59"/>
      <c r="E58" s="60"/>
      <c r="F58" s="6"/>
      <c r="G58" s="6"/>
      <c r="H58" s="61"/>
      <c r="I58" s="6"/>
      <c r="J58" s="7"/>
      <c r="K58" s="7"/>
      <c r="L58" s="8"/>
      <c r="N58" s="7"/>
      <c r="O58" s="7"/>
      <c r="P58" s="8"/>
      <c r="BD58" s="30" t="s">
        <v>22</v>
      </c>
      <c r="BE58" s="31">
        <f t="shared" ref="BE58:BE72" si="3">-1*BG58</f>
        <v>-15352</v>
      </c>
      <c r="BF58" s="21">
        <f>L12+L13</f>
        <v>14515</v>
      </c>
      <c r="BG58" s="21">
        <f>K12+K13</f>
        <v>15352</v>
      </c>
    </row>
    <row r="59" spans="1:59" ht="15" x14ac:dyDescent="0.2">
      <c r="A59" s="57"/>
      <c r="BD59" s="30" t="s">
        <v>24</v>
      </c>
      <c r="BE59" s="31">
        <f t="shared" si="3"/>
        <v>-19111</v>
      </c>
      <c r="BF59" s="37">
        <v>17888</v>
      </c>
      <c r="BG59" s="37">
        <v>19111</v>
      </c>
    </row>
    <row r="60" spans="1:59" ht="15" x14ac:dyDescent="0.2">
      <c r="BD60" s="30" t="s">
        <v>26</v>
      </c>
      <c r="BE60" s="31">
        <f t="shared" si="3"/>
        <v>-20155</v>
      </c>
      <c r="BF60" s="37">
        <v>19749</v>
      </c>
      <c r="BG60" s="37">
        <v>20155</v>
      </c>
    </row>
    <row r="61" spans="1:59" ht="15" x14ac:dyDescent="0.2">
      <c r="BD61" s="30" t="s">
        <v>28</v>
      </c>
      <c r="BE61" s="31">
        <f t="shared" si="3"/>
        <v>-16933</v>
      </c>
      <c r="BF61" s="37">
        <v>17876</v>
      </c>
      <c r="BG61" s="37">
        <v>16933</v>
      </c>
    </row>
    <row r="62" spans="1:59" ht="15" x14ac:dyDescent="0.2">
      <c r="BD62" s="30" t="s">
        <v>30</v>
      </c>
      <c r="BE62" s="31">
        <f t="shared" si="3"/>
        <v>-11915</v>
      </c>
      <c r="BF62" s="37">
        <v>12666</v>
      </c>
      <c r="BG62" s="37">
        <v>11915</v>
      </c>
    </row>
    <row r="63" spans="1:59" ht="15" x14ac:dyDescent="0.2">
      <c r="BD63" s="30" t="s">
        <v>31</v>
      </c>
      <c r="BE63" s="31">
        <f t="shared" si="3"/>
        <v>-10022</v>
      </c>
      <c r="BF63" s="37">
        <v>10613</v>
      </c>
      <c r="BG63" s="37">
        <v>10022</v>
      </c>
    </row>
    <row r="64" spans="1:59" ht="15" x14ac:dyDescent="0.2">
      <c r="BD64" s="30" t="s">
        <v>32</v>
      </c>
      <c r="BE64" s="31">
        <f t="shared" si="3"/>
        <v>-8780</v>
      </c>
      <c r="BF64" s="37">
        <v>9394</v>
      </c>
      <c r="BG64" s="37">
        <v>8780</v>
      </c>
    </row>
    <row r="65" spans="7:59" ht="15" x14ac:dyDescent="0.2">
      <c r="BD65" s="30" t="s">
        <v>33</v>
      </c>
      <c r="BE65" s="31">
        <f t="shared" si="3"/>
        <v>-7828</v>
      </c>
      <c r="BF65" s="37">
        <v>8043</v>
      </c>
      <c r="BG65" s="37">
        <v>7828</v>
      </c>
    </row>
    <row r="66" spans="7:59" ht="15" x14ac:dyDescent="0.2">
      <c r="G66" s="62"/>
      <c r="BD66" s="30" t="s">
        <v>34</v>
      </c>
      <c r="BE66" s="31">
        <f t="shared" si="3"/>
        <v>-6872</v>
      </c>
      <c r="BF66" s="37">
        <v>6697</v>
      </c>
      <c r="BG66" s="37">
        <v>6872</v>
      </c>
    </row>
    <row r="67" spans="7:59" ht="15" x14ac:dyDescent="0.2">
      <c r="BD67" s="30" t="s">
        <v>35</v>
      </c>
      <c r="BE67" s="31">
        <f t="shared" si="3"/>
        <v>-4147</v>
      </c>
      <c r="BF67" s="37">
        <v>3789</v>
      </c>
      <c r="BG67" s="37">
        <v>4147</v>
      </c>
    </row>
    <row r="68" spans="7:59" ht="15" x14ac:dyDescent="0.2">
      <c r="BD68" s="30" t="s">
        <v>36</v>
      </c>
      <c r="BE68" s="31">
        <f t="shared" si="3"/>
        <v>-3046</v>
      </c>
      <c r="BF68" s="37">
        <v>2813</v>
      </c>
      <c r="BG68" s="37">
        <v>3046</v>
      </c>
    </row>
    <row r="69" spans="7:59" ht="15" x14ac:dyDescent="0.2">
      <c r="BD69" s="30" t="s">
        <v>37</v>
      </c>
      <c r="BE69" s="31">
        <f t="shared" si="3"/>
        <v>-2852</v>
      </c>
      <c r="BF69" s="37">
        <v>2714</v>
      </c>
      <c r="BG69" s="37">
        <v>2852</v>
      </c>
    </row>
    <row r="70" spans="7:59" ht="15" x14ac:dyDescent="0.2">
      <c r="BD70" s="30" t="s">
        <v>38</v>
      </c>
      <c r="BE70" s="31">
        <f t="shared" si="3"/>
        <v>-3014</v>
      </c>
      <c r="BF70" s="37">
        <v>2664</v>
      </c>
      <c r="BG70" s="37">
        <v>3014</v>
      </c>
    </row>
    <row r="71" spans="7:59" ht="15" x14ac:dyDescent="0.2">
      <c r="BD71" s="30" t="s">
        <v>39</v>
      </c>
      <c r="BE71" s="31">
        <f t="shared" si="3"/>
        <v>-2333</v>
      </c>
      <c r="BF71" s="37">
        <v>1853</v>
      </c>
      <c r="BG71" s="37">
        <v>2333</v>
      </c>
    </row>
    <row r="72" spans="7:59" x14ac:dyDescent="0.2">
      <c r="BD72" s="30" t="s">
        <v>40</v>
      </c>
      <c r="BE72" s="31">
        <f t="shared" si="3"/>
        <v>-2443</v>
      </c>
      <c r="BF72" s="21">
        <f>L27+L28+L29+L30+L31</f>
        <v>1637</v>
      </c>
      <c r="BG72" s="21">
        <f>K27+K28+K29+K30+K31</f>
        <v>2443</v>
      </c>
    </row>
    <row r="73" spans="7:59" x14ac:dyDescent="0.2">
      <c r="BD73" s="30"/>
      <c r="BE73" s="30"/>
      <c r="BF73" s="30"/>
    </row>
    <row r="76" spans="7:59" x14ac:dyDescent="0.2">
      <c r="BD76" s="12">
        <v>2014</v>
      </c>
    </row>
    <row r="77" spans="7:59" x14ac:dyDescent="0.2">
      <c r="BG77" s="21"/>
    </row>
    <row r="78" spans="7:59" x14ac:dyDescent="0.2">
      <c r="BE78" s="25" t="s">
        <v>4</v>
      </c>
      <c r="BF78" s="25" t="s">
        <v>5</v>
      </c>
    </row>
    <row r="79" spans="7:59" x14ac:dyDescent="0.2">
      <c r="BD79" s="30" t="s">
        <v>20</v>
      </c>
      <c r="BE79" s="31">
        <f>-1*BG79</f>
        <v>-18863</v>
      </c>
      <c r="BF79" s="21">
        <f>P10+P11</f>
        <v>17223</v>
      </c>
      <c r="BG79" s="21">
        <f>O10+O11</f>
        <v>18863</v>
      </c>
    </row>
    <row r="80" spans="7:59" x14ac:dyDescent="0.2">
      <c r="BD80" s="30" t="s">
        <v>22</v>
      </c>
      <c r="BE80" s="31">
        <f t="shared" ref="BE80:BE94" si="4">-1*BG80</f>
        <v>-16364</v>
      </c>
      <c r="BF80" s="21">
        <f>P12+P13</f>
        <v>15616</v>
      </c>
      <c r="BG80" s="21">
        <f>O12+O13</f>
        <v>16364</v>
      </c>
    </row>
    <row r="81" spans="56:59" ht="15" x14ac:dyDescent="0.2">
      <c r="BD81" s="30" t="s">
        <v>24</v>
      </c>
      <c r="BE81" s="31">
        <f t="shared" si="4"/>
        <v>-13571</v>
      </c>
      <c r="BF81" s="37">
        <v>12787</v>
      </c>
      <c r="BG81" s="37">
        <v>13571</v>
      </c>
    </row>
    <row r="82" spans="56:59" ht="15" x14ac:dyDescent="0.2">
      <c r="BD82" s="30" t="s">
        <v>26</v>
      </c>
      <c r="BE82" s="31">
        <f t="shared" si="4"/>
        <v>-15922</v>
      </c>
      <c r="BF82" s="37">
        <v>15461</v>
      </c>
      <c r="BG82" s="37">
        <v>15922</v>
      </c>
    </row>
    <row r="83" spans="56:59" ht="15" x14ac:dyDescent="0.2">
      <c r="BD83" s="30" t="s">
        <v>28</v>
      </c>
      <c r="BE83" s="31">
        <f t="shared" si="4"/>
        <v>-19349</v>
      </c>
      <c r="BF83" s="37">
        <v>18537</v>
      </c>
      <c r="BG83" s="37">
        <v>19349</v>
      </c>
    </row>
    <row r="84" spans="56:59" ht="15" x14ac:dyDescent="0.2">
      <c r="BD84" s="30" t="s">
        <v>30</v>
      </c>
      <c r="BE84" s="31">
        <f t="shared" si="4"/>
        <v>-19451</v>
      </c>
      <c r="BF84" s="37">
        <v>19738</v>
      </c>
      <c r="BG84" s="37">
        <v>19451</v>
      </c>
    </row>
    <row r="85" spans="56:59" ht="15" x14ac:dyDescent="0.2">
      <c r="BD85" s="30" t="s">
        <v>31</v>
      </c>
      <c r="BE85" s="31">
        <f t="shared" si="4"/>
        <v>-15494</v>
      </c>
      <c r="BF85" s="37">
        <v>15868</v>
      </c>
      <c r="BG85" s="37">
        <v>15494</v>
      </c>
    </row>
    <row r="86" spans="56:59" ht="15" x14ac:dyDescent="0.2">
      <c r="BD86" s="30" t="s">
        <v>32</v>
      </c>
      <c r="BE86" s="31">
        <f t="shared" si="4"/>
        <v>-11386</v>
      </c>
      <c r="BF86" s="37">
        <v>11518</v>
      </c>
      <c r="BG86" s="37">
        <v>11386</v>
      </c>
    </row>
    <row r="87" spans="56:59" ht="15" x14ac:dyDescent="0.2">
      <c r="BD87" s="30" t="s">
        <v>33</v>
      </c>
      <c r="BE87" s="31">
        <f t="shared" si="4"/>
        <v>-9811</v>
      </c>
      <c r="BF87" s="37">
        <v>10064</v>
      </c>
      <c r="BG87" s="37">
        <v>9811</v>
      </c>
    </row>
    <row r="88" spans="56:59" ht="15" x14ac:dyDescent="0.2">
      <c r="BD88" s="30" t="s">
        <v>34</v>
      </c>
      <c r="BE88" s="31">
        <f t="shared" si="4"/>
        <v>-8784</v>
      </c>
      <c r="BF88" s="37">
        <v>8795</v>
      </c>
      <c r="BG88" s="37">
        <v>8784</v>
      </c>
    </row>
    <row r="89" spans="56:59" ht="15" x14ac:dyDescent="0.2">
      <c r="BD89" s="30" t="s">
        <v>35</v>
      </c>
      <c r="BE89" s="31">
        <f t="shared" si="4"/>
        <v>-7645</v>
      </c>
      <c r="BF89" s="37">
        <v>7405</v>
      </c>
      <c r="BG89" s="37">
        <v>7645</v>
      </c>
    </row>
    <row r="90" spans="56:59" ht="15" x14ac:dyDescent="0.2">
      <c r="BD90" s="30" t="s">
        <v>36</v>
      </c>
      <c r="BE90" s="31">
        <f t="shared" si="4"/>
        <v>-6031</v>
      </c>
      <c r="BF90" s="37">
        <v>5672</v>
      </c>
      <c r="BG90" s="37">
        <v>6031</v>
      </c>
    </row>
    <row r="91" spans="56:59" ht="15" x14ac:dyDescent="0.2">
      <c r="BD91" s="30" t="s">
        <v>37</v>
      </c>
      <c r="BE91" s="31">
        <f t="shared" si="4"/>
        <v>-3327</v>
      </c>
      <c r="BF91" s="37">
        <v>2922</v>
      </c>
      <c r="BG91" s="37">
        <v>3327</v>
      </c>
    </row>
    <row r="92" spans="56:59" ht="15" x14ac:dyDescent="0.2">
      <c r="BD92" s="30" t="s">
        <v>38</v>
      </c>
      <c r="BE92" s="31">
        <f t="shared" si="4"/>
        <v>-2445</v>
      </c>
      <c r="BF92" s="37">
        <v>2426</v>
      </c>
      <c r="BG92" s="37">
        <v>2445</v>
      </c>
    </row>
    <row r="93" spans="56:59" ht="15" x14ac:dyDescent="0.2">
      <c r="BD93" s="30" t="s">
        <v>39</v>
      </c>
      <c r="BE93" s="31">
        <f t="shared" si="4"/>
        <v>-2471</v>
      </c>
      <c r="BF93" s="37">
        <v>2372</v>
      </c>
      <c r="BG93" s="37">
        <v>2471</v>
      </c>
    </row>
    <row r="94" spans="56:59" x14ac:dyDescent="0.2">
      <c r="BD94" s="30" t="s">
        <v>40</v>
      </c>
      <c r="BE94" s="31">
        <f t="shared" si="4"/>
        <v>-3752</v>
      </c>
      <c r="BF94" s="21">
        <f>P27+P28+P29+P30+P31+P32</f>
        <v>2953</v>
      </c>
      <c r="BG94" s="21">
        <f>O27+O28+O29+O30+O31+O32</f>
        <v>3752</v>
      </c>
    </row>
    <row r="96" spans="56:59" x14ac:dyDescent="0.2">
      <c r="BG96" s="21">
        <f>SUM(BG92:BG94)</f>
        <v>8668</v>
      </c>
    </row>
  </sheetData>
  <mergeCells count="2">
    <mergeCell ref="A1:P1"/>
    <mergeCell ref="A2:P2"/>
  </mergeCells>
  <pageMargins left="0.7" right="0.7" top="0.75" bottom="0.75" header="0.3" footer="0.3"/>
  <pageSetup paperSize="9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</vt:lpstr>
      <vt:lpstr>'3.2'!Print_Area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2023-01-23T09:07:27Z</cp:lastPrinted>
  <dcterms:created xsi:type="dcterms:W3CDTF">2019-07-22T06:02:33Z</dcterms:created>
  <dcterms:modified xsi:type="dcterms:W3CDTF">2023-01-23T09:07:37Z</dcterms:modified>
</cp:coreProperties>
</file>