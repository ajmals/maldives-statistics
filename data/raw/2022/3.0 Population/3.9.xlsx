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opulation\"/>
    </mc:Choice>
  </mc:AlternateContent>
  <xr:revisionPtr revIDLastSave="0" documentId="13_ncr:1_{47ED1E07-9482-4083-B2FF-158F860B9424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9" sheetId="8" r:id="rId1"/>
  </sheets>
  <externalReferences>
    <externalReference r:id="rId2"/>
    <externalReference r:id="rId3"/>
    <externalReference r:id="rId4"/>
  </externalReferences>
  <definedNames>
    <definedName name="_xlnm.Print_Area" localSheetId="0">'3.9'!$A$1:$T$43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6" i="8" l="1"/>
  <c r="Q16" i="8"/>
  <c r="R15" i="8"/>
  <c r="Q15" i="8"/>
  <c r="P12" i="8" l="1"/>
  <c r="P11" i="8"/>
  <c r="P10" i="8"/>
  <c r="S9" i="8"/>
  <c r="R9" i="8"/>
  <c r="Q9" i="8"/>
  <c r="P7" i="8"/>
  <c r="P6" i="8"/>
  <c r="S5" i="8"/>
  <c r="R5" i="8"/>
  <c r="Q5" i="8"/>
  <c r="P9" i="8" l="1"/>
  <c r="Q14" i="8"/>
  <c r="AQ21" i="8" s="1"/>
  <c r="R14" i="8"/>
  <c r="AQ22" i="8" s="1"/>
  <c r="P5" i="8"/>
  <c r="P14" i="8" l="1"/>
  <c r="N9" i="8"/>
  <c r="O9" i="8"/>
  <c r="M9" i="8"/>
  <c r="L10" i="8"/>
  <c r="L11" i="8"/>
  <c r="L12" i="8"/>
  <c r="L6" i="8"/>
  <c r="L7" i="8"/>
  <c r="O5" i="8"/>
  <c r="N5" i="8"/>
  <c r="M5" i="8"/>
  <c r="L9" i="8" l="1"/>
  <c r="M14" i="8"/>
  <c r="AP21" i="8" s="1"/>
  <c r="N14" i="8"/>
  <c r="AP22" i="8" s="1"/>
  <c r="L5" i="8"/>
  <c r="L14" i="8" l="1"/>
  <c r="G5" i="8"/>
  <c r="F5" i="8"/>
  <c r="E5" i="8"/>
  <c r="G9" i="8"/>
  <c r="F9" i="8"/>
  <c r="E9" i="8"/>
  <c r="D12" i="8"/>
  <c r="D8" i="8"/>
  <c r="E14" i="8" l="1"/>
  <c r="F14" i="8"/>
  <c r="D9" i="8"/>
  <c r="H8" i="8" l="1"/>
  <c r="J16" i="8"/>
  <c r="I16" i="8"/>
  <c r="J15" i="8"/>
  <c r="I15" i="8"/>
  <c r="H11" i="8"/>
  <c r="H10" i="8"/>
  <c r="K9" i="8"/>
  <c r="J9" i="8"/>
  <c r="I9" i="8"/>
  <c r="H9" i="8"/>
  <c r="H7" i="8"/>
  <c r="H6" i="8"/>
  <c r="K5" i="8"/>
  <c r="J5" i="8"/>
  <c r="I5" i="8"/>
  <c r="H15" i="8" l="1"/>
  <c r="H16" i="8"/>
  <c r="H5" i="8"/>
  <c r="H14" i="8" s="1"/>
  <c r="I14" i="8"/>
  <c r="AO21" i="8" s="1"/>
  <c r="J14" i="8"/>
  <c r="AO22" i="8" s="1"/>
  <c r="D11" i="8" l="1"/>
  <c r="F16" i="8" l="1"/>
  <c r="E16" i="8"/>
  <c r="F15" i="8"/>
  <c r="E15" i="8"/>
  <c r="D10" i="8"/>
  <c r="D7" i="8"/>
  <c r="D6" i="8"/>
  <c r="D5" i="8" l="1"/>
  <c r="AN22" i="8"/>
  <c r="D16" i="8"/>
  <c r="D15" i="8"/>
  <c r="AN21" i="8"/>
  <c r="D14" i="8" l="1"/>
</calcChain>
</file>

<file path=xl/sharedStrings.xml><?xml version="1.0" encoding="utf-8"?>
<sst xmlns="http://schemas.openxmlformats.org/spreadsheetml/2006/main" count="73" uniqueCount="29">
  <si>
    <t>Republic</t>
  </si>
  <si>
    <t>-</t>
  </si>
  <si>
    <t>Male'</t>
  </si>
  <si>
    <t>Atolls</t>
  </si>
  <si>
    <r>
      <rPr>
        <b/>
        <i/>
        <sz val="10"/>
        <rFont val="Calibri"/>
        <family val="2"/>
      </rPr>
      <t>Source:</t>
    </r>
    <r>
      <rPr>
        <i/>
        <sz val="10"/>
        <rFont val="Calibri"/>
        <family val="2"/>
      </rPr>
      <t xml:space="preserve"> Ministry of Health </t>
    </r>
  </si>
  <si>
    <t xml:space="preserve">މިނިސްޓްރީ އޮފް ހެލްތު </t>
  </si>
  <si>
    <t>Particulars</t>
  </si>
  <si>
    <t>clIBcfwt</t>
  </si>
  <si>
    <t>Abroad</t>
  </si>
  <si>
    <r>
      <t xml:space="preserve">     Live Births </t>
    </r>
    <r>
      <rPr>
        <b/>
        <vertAlign val="superscript"/>
        <sz val="10"/>
        <rFont val="Calibri"/>
        <family val="2"/>
      </rPr>
      <t>1_/</t>
    </r>
  </si>
  <si>
    <t xml:space="preserve"> 1- / cniduk ibitiriduriaivcnwfua   </t>
  </si>
  <si>
    <t xml:space="preserve">     Male</t>
  </si>
  <si>
    <t xml:space="preserve">cnehirif     </t>
  </si>
  <si>
    <t xml:space="preserve">     Female</t>
  </si>
  <si>
    <t xml:space="preserve">cnehcnwa     </t>
  </si>
  <si>
    <t>Infant Deaths</t>
  </si>
  <si>
    <t xml:space="preserve">cnidukwDukivurwm   </t>
  </si>
  <si>
    <t xml:space="preserve">  -uriaivcnwfua ) cTErWvurwm cnidukwDuk   </t>
  </si>
  <si>
    <t xml:space="preserve">( cSokctwbcsin cSwkwjcauk / 000 emcnok iruhirid   </t>
  </si>
  <si>
    <t>Not stated</t>
  </si>
  <si>
    <t>Infant Mortality Rate  (IMR)</t>
  </si>
  <si>
    <t>('000) Live Births</t>
  </si>
  <si>
    <r>
      <rPr>
        <sz val="2"/>
        <rFont val="Faruma"/>
      </rPr>
      <t>ނ</t>
    </r>
    <r>
      <rPr>
        <sz val="10"/>
        <rFont val="Faruma"/>
      </rPr>
      <t xml:space="preserve"> 2021 ވަނަ އަހަރުގެ މައުލޫމާތު ރިވައިޒުކުރަމުންދާތީވެ މިއަދަދުތަކަށް ބަދަލުއައުން އެކަށީގެންވެއެވެ. </t>
    </r>
  </si>
  <si>
    <r>
      <t>2021</t>
    </r>
    <r>
      <rPr>
        <b/>
        <vertAlign val="superscript"/>
        <sz val="9"/>
        <rFont val="Calibri"/>
        <family val="2"/>
      </rPr>
      <t>1_/</t>
    </r>
  </si>
  <si>
    <t>2021 figures are tentative and is expected to change</t>
  </si>
  <si>
    <t xml:space="preserve">Note:  1_/ Data includes Maldivians and foreigners, but excluded deaths occurred abroad </t>
  </si>
  <si>
    <t>ނޯޓް: ޖުމްލައިގެތެރޭގައި ރާއްޖޭގައި އުފަންވި ދިވެހީން އަދި ބިދޭސީން ހިމެނޭނެއެވެ. ނަމަވެސް ރާއްޖެއިން ބޭރުގައި އުފަންވި އަދި މަރުވި  ކުދިން ނުހިމެނޭނެއެވެ.</t>
  </si>
  <si>
    <t>2021-2018 ,cnidukwDukivurwm iaWncnidukwDuk ibitirid uriaivcnwfua  : 3.9  ulwvWt</t>
  </si>
  <si>
    <t>Table 3.9 :  LIVE BIRTHS AND INFANT DEATHS, 2018 - 2021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</si>
</sst>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  <numFmt numFmtId="174" formatCode="_(* #,##0_);_(* \(#,##0\);_(* &quot;-&quot;??_);_(@_)"/>
    <numFmt numFmtId="178" formatCode="_(* #,##0.0_);_(* \(#,##0.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Courier"/>
      <family val="3"/>
    </font>
    <font>
      <sz val="8"/>
      <name val="Arial"/>
      <family val="2"/>
    </font>
    <font>
      <sz val="9"/>
      <name val="Faruma"/>
    </font>
    <font>
      <sz val="10"/>
      <name val="Arial"/>
      <family val="2"/>
    </font>
    <font>
      <i/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_Randhoo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name val="Calibri"/>
      <family val="2"/>
    </font>
    <font>
      <sz val="9"/>
      <name val="Calibri"/>
      <family val="2"/>
    </font>
    <font>
      <b/>
      <sz val="10"/>
      <name val="Calibri"/>
      <family val="2"/>
      <scheme val="minor"/>
    </font>
    <font>
      <sz val="11"/>
      <name val="Faruma"/>
    </font>
    <font>
      <b/>
      <i/>
      <sz val="10"/>
      <name val="Calibri"/>
      <family val="2"/>
    </font>
    <font>
      <sz val="10"/>
      <name val="Faruma"/>
    </font>
    <font>
      <b/>
      <vertAlign val="superscript"/>
      <sz val="10"/>
      <name val="Calibri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Comic Sans MS"/>
      <family val="4"/>
    </font>
    <font>
      <sz val="10"/>
      <name val="Calibri"/>
      <family val="2"/>
      <scheme val="minor"/>
    </font>
    <font>
      <b/>
      <sz val="10"/>
      <name val="A_Faseyha"/>
    </font>
    <font>
      <sz val="10"/>
      <name val="A_Faseyha"/>
    </font>
    <font>
      <b/>
      <vertAlign val="superscript"/>
      <sz val="9"/>
      <name val="Calibri"/>
      <family val="2"/>
    </font>
    <font>
      <i/>
      <sz val="10"/>
      <name val="Calibri"/>
      <family val="2"/>
      <scheme val="minor"/>
    </font>
    <font>
      <sz val="2"/>
      <name val="Faruma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27">
    <xf numFmtId="0" fontId="0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8" fillId="0" borderId="0"/>
    <xf numFmtId="0" fontId="11" fillId="0" borderId="0"/>
    <xf numFmtId="0" fontId="11" fillId="0" borderId="0"/>
    <xf numFmtId="0" fontId="1" fillId="0" borderId="0"/>
    <xf numFmtId="167" fontId="2" fillId="0" borderId="0"/>
    <xf numFmtId="167" fontId="2" fillId="0" borderId="0"/>
    <xf numFmtId="0" fontId="11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96">
    <xf numFmtId="0" fontId="0" fillId="0" borderId="0" xfId="0"/>
    <xf numFmtId="167" fontId="2" fillId="3" borderId="0" xfId="11" applyFill="1"/>
    <xf numFmtId="167" fontId="14" fillId="3" borderId="0" xfId="11" applyFont="1" applyFill="1"/>
    <xf numFmtId="167" fontId="22" fillId="2" borderId="0" xfId="10" applyFont="1" applyFill="1" applyAlignment="1" applyProtection="1">
      <alignment horizontal="right" vertical="center"/>
      <protection hidden="1"/>
    </xf>
    <xf numFmtId="3" fontId="26" fillId="3" borderId="0" xfId="10" applyNumberFormat="1" applyFont="1" applyFill="1" applyAlignment="1">
      <alignment horizontal="right" vertical="center"/>
    </xf>
    <xf numFmtId="3" fontId="27" fillId="3" borderId="0" xfId="10" applyNumberFormat="1" applyFont="1" applyFill="1" applyAlignment="1">
      <alignment horizontal="right" vertical="center"/>
    </xf>
    <xf numFmtId="1" fontId="27" fillId="3" borderId="0" xfId="10" applyNumberFormat="1" applyFont="1" applyFill="1" applyAlignment="1">
      <alignment horizontal="right" vertical="center"/>
    </xf>
    <xf numFmtId="3" fontId="27" fillId="3" borderId="0" xfId="10" applyNumberFormat="1" applyFont="1" applyFill="1" applyAlignment="1" applyProtection="1">
      <alignment horizontal="right" vertical="center"/>
      <protection locked="0"/>
    </xf>
    <xf numFmtId="1" fontId="26" fillId="3" borderId="0" xfId="10" applyNumberFormat="1" applyFont="1" applyFill="1" applyAlignment="1">
      <alignment horizontal="right" vertical="center"/>
    </xf>
    <xf numFmtId="167" fontId="11" fillId="3" borderId="0" xfId="11" applyFont="1" applyFill="1"/>
    <xf numFmtId="167" fontId="19" fillId="3" borderId="0" xfId="11" applyFont="1" applyFill="1" applyAlignment="1">
      <alignment horizontal="center" vertical="center"/>
    </xf>
    <xf numFmtId="167" fontId="19" fillId="3" borderId="4" xfId="11" applyFont="1" applyFill="1" applyBorder="1" applyAlignment="1">
      <alignment horizontal="center" vertical="center"/>
    </xf>
    <xf numFmtId="167" fontId="5" fillId="3" borderId="0" xfId="11" applyFont="1" applyFill="1" applyAlignment="1">
      <alignment vertical="center"/>
    </xf>
    <xf numFmtId="167" fontId="19" fillId="3" borderId="1" xfId="11" applyFont="1" applyFill="1" applyBorder="1" applyAlignment="1">
      <alignment horizontal="right" vertical="top"/>
    </xf>
    <xf numFmtId="167" fontId="19" fillId="3" borderId="8" xfId="11" applyFont="1" applyFill="1" applyBorder="1" applyAlignment="1">
      <alignment horizontal="right" vertical="center"/>
    </xf>
    <xf numFmtId="167" fontId="19" fillId="3" borderId="9" xfId="11" applyFont="1" applyFill="1" applyBorder="1" applyAlignment="1">
      <alignment horizontal="right" vertical="center"/>
    </xf>
    <xf numFmtId="1" fontId="13" fillId="3" borderId="0" xfId="11" applyNumberFormat="1" applyFont="1" applyFill="1" applyAlignment="1">
      <alignment vertical="center"/>
    </xf>
    <xf numFmtId="3" fontId="19" fillId="3" borderId="0" xfId="0" applyNumberFormat="1" applyFont="1" applyFill="1" applyAlignment="1">
      <alignment horizontal="right" vertical="center"/>
    </xf>
    <xf numFmtId="3" fontId="13" fillId="3" borderId="0" xfId="0" applyNumberFormat="1" applyFont="1" applyFill="1" applyAlignment="1">
      <alignment horizontal="right" vertical="center"/>
    </xf>
    <xf numFmtId="1" fontId="5" fillId="3" borderId="0" xfId="11" applyNumberFormat="1" applyFont="1" applyFill="1" applyAlignment="1">
      <alignment horizontal="center" vertical="center"/>
    </xf>
    <xf numFmtId="1" fontId="14" fillId="3" borderId="0" xfId="11" applyNumberFormat="1" applyFont="1" applyFill="1" applyAlignment="1">
      <alignment horizontal="left" vertical="center"/>
    </xf>
    <xf numFmtId="174" fontId="20" fillId="3" borderId="0" xfId="5" applyNumberFormat="1" applyFont="1" applyFill="1" applyAlignment="1">
      <alignment horizontal="right" vertical="center"/>
    </xf>
    <xf numFmtId="174" fontId="14" fillId="3" borderId="0" xfId="5" applyNumberFormat="1" applyFont="1" applyFill="1" applyAlignment="1">
      <alignment horizontal="right" vertical="center"/>
    </xf>
    <xf numFmtId="1" fontId="11" fillId="3" borderId="0" xfId="11" applyNumberFormat="1" applyFont="1" applyFill="1" applyAlignment="1">
      <alignment horizontal="center" vertical="center"/>
    </xf>
    <xf numFmtId="3" fontId="19" fillId="3" borderId="0" xfId="10" applyNumberFormat="1" applyFont="1" applyFill="1" applyAlignment="1">
      <alignment horizontal="right" vertical="center"/>
    </xf>
    <xf numFmtId="3" fontId="13" fillId="3" borderId="0" xfId="10" applyNumberFormat="1" applyFont="1" applyFill="1" applyAlignment="1">
      <alignment horizontal="right" vertical="center"/>
    </xf>
    <xf numFmtId="3" fontId="20" fillId="3" borderId="0" xfId="10" applyNumberFormat="1" applyFont="1" applyFill="1" applyAlignment="1" applyProtection="1">
      <alignment horizontal="right" vertical="center"/>
      <protection locked="0"/>
    </xf>
    <xf numFmtId="3" fontId="14" fillId="3" borderId="0" xfId="10" applyNumberFormat="1" applyFont="1" applyFill="1" applyAlignment="1" applyProtection="1">
      <alignment horizontal="right" vertical="center"/>
      <protection locked="0"/>
    </xf>
    <xf numFmtId="1" fontId="19" fillId="3" borderId="0" xfId="10" applyNumberFormat="1" applyFont="1" applyFill="1" applyAlignment="1">
      <alignment horizontal="right" vertical="center"/>
    </xf>
    <xf numFmtId="1" fontId="13" fillId="3" borderId="0" xfId="10" applyNumberFormat="1" applyFont="1" applyFill="1" applyAlignment="1">
      <alignment horizontal="right" vertical="center"/>
    </xf>
    <xf numFmtId="1" fontId="13" fillId="3" borderId="0" xfId="11" applyNumberFormat="1" applyFont="1" applyFill="1" applyAlignment="1">
      <alignment horizontal="left" vertical="center"/>
    </xf>
    <xf numFmtId="49" fontId="13" fillId="3" borderId="0" xfId="10" applyNumberFormat="1" applyFont="1" applyFill="1" applyAlignment="1">
      <alignment horizontal="right" vertical="center"/>
    </xf>
    <xf numFmtId="1" fontId="20" fillId="3" borderId="0" xfId="10" applyNumberFormat="1" applyFont="1" applyFill="1" applyAlignment="1">
      <alignment horizontal="right" vertical="center"/>
    </xf>
    <xf numFmtId="49" fontId="14" fillId="3" borderId="0" xfId="10" applyNumberFormat="1" applyFont="1" applyFill="1" applyAlignment="1">
      <alignment horizontal="right" vertical="center"/>
    </xf>
    <xf numFmtId="1" fontId="16" fillId="3" borderId="0" xfId="10" applyNumberFormat="1" applyFont="1" applyFill="1" applyAlignment="1">
      <alignment horizontal="right" vertical="center"/>
    </xf>
    <xf numFmtId="1" fontId="14" fillId="3" borderId="1" xfId="11" applyNumberFormat="1" applyFont="1" applyFill="1" applyBorder="1" applyAlignment="1">
      <alignment horizontal="left" vertical="center"/>
    </xf>
    <xf numFmtId="1" fontId="20" fillId="3" borderId="1" xfId="10" applyNumberFormat="1" applyFont="1" applyFill="1" applyBorder="1" applyAlignment="1">
      <alignment horizontal="right" vertical="center"/>
    </xf>
    <xf numFmtId="49" fontId="14" fillId="3" borderId="1" xfId="10" applyNumberFormat="1" applyFont="1" applyFill="1" applyBorder="1" applyAlignment="1">
      <alignment horizontal="right" vertical="center"/>
    </xf>
    <xf numFmtId="167" fontId="10" fillId="3" borderId="0" xfId="10" applyFont="1" applyFill="1" applyAlignment="1" applyProtection="1">
      <alignment vertical="center"/>
      <protection hidden="1"/>
    </xf>
    <xf numFmtId="167" fontId="7" fillId="3" borderId="0" xfId="11" applyFont="1" applyFill="1" applyAlignment="1">
      <alignment vertical="center"/>
    </xf>
    <xf numFmtId="167" fontId="8" fillId="3" borderId="0" xfId="11" applyFont="1" applyFill="1" applyAlignment="1">
      <alignment vertical="center"/>
    </xf>
    <xf numFmtId="167" fontId="15" fillId="3" borderId="0" xfId="11" applyFont="1" applyFill="1" applyAlignment="1">
      <alignment vertical="center"/>
    </xf>
    <xf numFmtId="167" fontId="11" fillId="3" borderId="0" xfId="11" applyFont="1" applyFill="1" applyAlignment="1">
      <alignment vertical="center"/>
    </xf>
    <xf numFmtId="167" fontId="9" fillId="3" borderId="0" xfId="11" applyFont="1" applyFill="1"/>
    <xf numFmtId="0" fontId="11" fillId="3" borderId="0" xfId="12" applyFill="1"/>
    <xf numFmtId="1" fontId="7" fillId="3" borderId="0" xfId="11" applyNumberFormat="1" applyFont="1" applyFill="1" applyAlignment="1">
      <alignment horizontal="right" vertical="center"/>
    </xf>
    <xf numFmtId="1" fontId="11" fillId="3" borderId="0" xfId="11" applyNumberFormat="1" applyFont="1" applyFill="1"/>
    <xf numFmtId="1" fontId="11" fillId="3" borderId="0" xfId="12" applyNumberFormat="1" applyFill="1"/>
    <xf numFmtId="167" fontId="28" fillId="3" borderId="0" xfId="11" applyFont="1" applyFill="1"/>
    <xf numFmtId="3" fontId="21" fillId="3" borderId="0" xfId="0" applyNumberFormat="1" applyFont="1" applyFill="1" applyAlignment="1">
      <alignment horizontal="right" vertical="center"/>
    </xf>
    <xf numFmtId="3" fontId="21" fillId="3" borderId="2" xfId="0" applyNumberFormat="1" applyFont="1" applyFill="1" applyBorder="1" applyAlignment="1">
      <alignment horizontal="right" vertical="center"/>
    </xf>
    <xf numFmtId="1" fontId="30" fillId="3" borderId="0" xfId="10" applyNumberFormat="1" applyFont="1" applyFill="1" applyAlignment="1">
      <alignment horizontal="right" vertical="center"/>
    </xf>
    <xf numFmtId="1" fontId="31" fillId="3" borderId="0" xfId="10" applyNumberFormat="1" applyFont="1" applyFill="1" applyAlignment="1">
      <alignment horizontal="right" vertical="center"/>
    </xf>
    <xf numFmtId="1" fontId="31" fillId="3" borderId="1" xfId="10" applyNumberFormat="1" applyFont="1" applyFill="1" applyBorder="1" applyAlignment="1">
      <alignment horizontal="right" vertical="center"/>
    </xf>
    <xf numFmtId="1" fontId="6" fillId="3" borderId="0" xfId="10" applyNumberFormat="1" applyFont="1" applyFill="1" applyAlignment="1">
      <alignment vertical="center"/>
    </xf>
    <xf numFmtId="3" fontId="29" fillId="3" borderId="2" xfId="10" applyNumberFormat="1" applyFont="1" applyFill="1" applyBorder="1" applyAlignment="1">
      <alignment horizontal="right" vertical="center"/>
    </xf>
    <xf numFmtId="178" fontId="16" fillId="3" borderId="2" xfId="15" applyNumberFormat="1" applyFont="1" applyFill="1" applyBorder="1" applyAlignment="1">
      <alignment horizontal="right" vertical="center"/>
    </xf>
    <xf numFmtId="178" fontId="16" fillId="3" borderId="0" xfId="15" applyNumberFormat="1" applyFont="1" applyFill="1" applyBorder="1" applyAlignment="1">
      <alignment horizontal="right" vertical="center"/>
    </xf>
    <xf numFmtId="178" fontId="16" fillId="3" borderId="5" xfId="15" applyNumberFormat="1" applyFont="1" applyFill="1" applyBorder="1" applyAlignment="1">
      <alignment horizontal="right" vertical="center"/>
    </xf>
    <xf numFmtId="1" fontId="17" fillId="3" borderId="0" xfId="15" applyNumberFormat="1" applyFont="1" applyFill="1" applyBorder="1" applyAlignment="1">
      <alignment horizontal="right" vertical="center"/>
    </xf>
    <xf numFmtId="3" fontId="17" fillId="3" borderId="2" xfId="15" applyNumberFormat="1" applyFont="1" applyFill="1" applyBorder="1" applyAlignment="1">
      <alignment horizontal="right" vertical="center"/>
    </xf>
    <xf numFmtId="3" fontId="17" fillId="3" borderId="0" xfId="15" applyNumberFormat="1" applyFont="1" applyFill="1" applyBorder="1" applyAlignment="1">
      <alignment horizontal="right" vertical="center"/>
    </xf>
    <xf numFmtId="3" fontId="21" fillId="3" borderId="2" xfId="10" applyNumberFormat="1" applyFont="1" applyFill="1" applyBorder="1" applyAlignment="1">
      <alignment horizontal="right" vertical="center"/>
    </xf>
    <xf numFmtId="3" fontId="21" fillId="3" borderId="0" xfId="10" applyNumberFormat="1" applyFont="1" applyFill="1" applyAlignment="1">
      <alignment horizontal="right" vertical="center"/>
    </xf>
    <xf numFmtId="3" fontId="29" fillId="3" borderId="2" xfId="10" applyNumberFormat="1" applyFont="1" applyFill="1" applyBorder="1" applyAlignment="1" applyProtection="1">
      <alignment horizontal="right" vertical="center"/>
      <protection locked="0"/>
    </xf>
    <xf numFmtId="174" fontId="17" fillId="3" borderId="0" xfId="15" applyNumberFormat="1" applyFont="1" applyFill="1" applyBorder="1" applyAlignment="1">
      <alignment horizontal="right" vertical="center"/>
    </xf>
    <xf numFmtId="1" fontId="17" fillId="3" borderId="5" xfId="15" applyNumberFormat="1" applyFont="1" applyFill="1" applyBorder="1" applyAlignment="1">
      <alignment horizontal="right" vertical="center"/>
    </xf>
    <xf numFmtId="1" fontId="21" fillId="3" borderId="2" xfId="10" applyNumberFormat="1" applyFont="1" applyFill="1" applyBorder="1" applyAlignment="1">
      <alignment horizontal="right" vertical="center"/>
    </xf>
    <xf numFmtId="1" fontId="21" fillId="3" borderId="0" xfId="10" applyNumberFormat="1" applyFont="1" applyFill="1" applyAlignment="1">
      <alignment horizontal="right" vertical="center"/>
    </xf>
    <xf numFmtId="1" fontId="29" fillId="3" borderId="2" xfId="10" applyNumberFormat="1" applyFont="1" applyFill="1" applyBorder="1" applyAlignment="1">
      <alignment horizontal="right" vertical="center"/>
    </xf>
    <xf numFmtId="1" fontId="29" fillId="3" borderId="0" xfId="10" applyNumberFormat="1" applyFont="1" applyFill="1" applyAlignment="1">
      <alignment horizontal="right" vertical="center"/>
    </xf>
    <xf numFmtId="1" fontId="29" fillId="3" borderId="3" xfId="10" applyNumberFormat="1" applyFont="1" applyFill="1" applyBorder="1" applyAlignment="1">
      <alignment horizontal="right" vertical="center"/>
    </xf>
    <xf numFmtId="1" fontId="29" fillId="3" borderId="1" xfId="10" applyNumberFormat="1" applyFont="1" applyFill="1" applyBorder="1" applyAlignment="1">
      <alignment horizontal="right" vertical="center"/>
    </xf>
    <xf numFmtId="178" fontId="16" fillId="3" borderId="7" xfId="15" applyNumberFormat="1" applyFont="1" applyFill="1" applyBorder="1" applyAlignment="1">
      <alignment horizontal="right" vertical="center"/>
    </xf>
    <xf numFmtId="178" fontId="16" fillId="3" borderId="1" xfId="15" applyNumberFormat="1" applyFont="1" applyFill="1" applyBorder="1" applyAlignment="1">
      <alignment horizontal="right" vertical="center"/>
    </xf>
    <xf numFmtId="3" fontId="29" fillId="3" borderId="0" xfId="10" applyNumberFormat="1" applyFont="1" applyFill="1" applyAlignment="1">
      <alignment horizontal="right" vertical="center"/>
    </xf>
    <xf numFmtId="3" fontId="29" fillId="3" borderId="0" xfId="10" applyNumberFormat="1" applyFont="1" applyFill="1" applyAlignment="1" applyProtection="1">
      <alignment horizontal="right" vertical="center"/>
      <protection locked="0"/>
    </xf>
    <xf numFmtId="1" fontId="13" fillId="3" borderId="0" xfId="11" applyNumberFormat="1" applyFont="1" applyFill="1" applyAlignment="1">
      <alignment horizontal="left" vertical="center" indent="2"/>
    </xf>
    <xf numFmtId="167" fontId="12" fillId="3" borderId="0" xfId="10" applyFont="1" applyFill="1" applyAlignment="1">
      <alignment vertical="center"/>
    </xf>
    <xf numFmtId="167" fontId="33" fillId="3" borderId="0" xfId="10" applyFont="1" applyFill="1" applyAlignment="1">
      <alignment horizontal="left" vertical="center" indent="4"/>
    </xf>
    <xf numFmtId="167" fontId="12" fillId="3" borderId="0" xfId="0" applyNumberFormat="1" applyFont="1" applyFill="1" applyAlignment="1">
      <alignment horizontal="left" vertical="center"/>
    </xf>
    <xf numFmtId="167" fontId="24" fillId="3" borderId="0" xfId="10" applyFont="1" applyFill="1" applyAlignment="1" applyProtection="1">
      <alignment horizontal="right" vertical="center"/>
      <protection hidden="1"/>
    </xf>
    <xf numFmtId="167" fontId="24" fillId="2" borderId="0" xfId="10" applyFont="1" applyFill="1" applyAlignment="1" applyProtection="1">
      <alignment horizontal="right" vertical="center" indent="1"/>
      <protection hidden="1"/>
    </xf>
    <xf numFmtId="3" fontId="29" fillId="4" borderId="0" xfId="10" applyNumberFormat="1" applyFont="1" applyFill="1" applyAlignment="1">
      <alignment horizontal="right" vertical="center"/>
    </xf>
    <xf numFmtId="3" fontId="29" fillId="4" borderId="0" xfId="10" applyNumberFormat="1" applyFont="1" applyFill="1" applyAlignment="1" applyProtection="1">
      <alignment horizontal="right" vertical="center"/>
      <protection locked="0"/>
    </xf>
    <xf numFmtId="178" fontId="16" fillId="4" borderId="0" xfId="15" applyNumberFormat="1" applyFont="1" applyFill="1" applyBorder="1" applyAlignment="1">
      <alignment horizontal="right" vertical="center"/>
    </xf>
    <xf numFmtId="178" fontId="16" fillId="4" borderId="1" xfId="15" applyNumberFormat="1" applyFont="1" applyFill="1" applyBorder="1" applyAlignment="1">
      <alignment horizontal="right" vertical="center"/>
    </xf>
    <xf numFmtId="167" fontId="30" fillId="3" borderId="0" xfId="10" applyFont="1" applyFill="1" applyAlignment="1">
      <alignment horizontal="right" vertical="center"/>
    </xf>
    <xf numFmtId="167" fontId="30" fillId="3" borderId="1" xfId="10" applyFont="1" applyFill="1" applyBorder="1" applyAlignment="1">
      <alignment horizontal="right" vertical="center"/>
    </xf>
    <xf numFmtId="1" fontId="26" fillId="3" borderId="0" xfId="10" applyNumberFormat="1" applyFont="1" applyFill="1" applyAlignment="1">
      <alignment horizontal="center" vertical="center"/>
    </xf>
    <xf numFmtId="167" fontId="30" fillId="3" borderId="0" xfId="10" applyFont="1" applyFill="1" applyAlignment="1">
      <alignment horizontal="center" vertical="center" wrapText="1"/>
    </xf>
    <xf numFmtId="167" fontId="4" fillId="3" borderId="1" xfId="11" applyFont="1" applyFill="1" applyBorder="1" applyAlignment="1">
      <alignment horizontal="center" vertical="center"/>
    </xf>
    <xf numFmtId="167" fontId="13" fillId="3" borderId="0" xfId="11" applyFont="1" applyFill="1" applyAlignment="1">
      <alignment horizontal="left" vertical="center"/>
    </xf>
    <xf numFmtId="167" fontId="13" fillId="3" borderId="1" xfId="11" applyFont="1" applyFill="1" applyBorder="1" applyAlignment="1">
      <alignment horizontal="left" vertical="center"/>
    </xf>
    <xf numFmtId="167" fontId="19" fillId="3" borderId="4" xfId="11" applyFont="1" applyFill="1" applyBorder="1" applyAlignment="1">
      <alignment horizontal="center" vertical="center"/>
    </xf>
    <xf numFmtId="167" fontId="19" fillId="3" borderId="6" xfId="11" applyFont="1" applyFill="1" applyBorder="1" applyAlignment="1">
      <alignment horizontal="center" vertical="center"/>
    </xf>
  </cellXfs>
  <cellStyles count="27">
    <cellStyle name="1" xfId="16" xr:uid="{00000000-0005-0000-0000-000000000000}"/>
    <cellStyle name="Comma" xfId="15" builtinId="3"/>
    <cellStyle name="Comma 2" xfId="14" xr:uid="{00000000-0005-0000-0000-000002000000}"/>
    <cellStyle name="Comma 2 2" xfId="25" xr:uid="{00000000-0005-0000-0000-000003000000}"/>
    <cellStyle name="Comma 3" xfId="5" xr:uid="{00000000-0005-0000-0000-000004000000}"/>
    <cellStyle name="Comma 3 2" xfId="18" xr:uid="{00000000-0005-0000-0000-000005000000}"/>
    <cellStyle name="Comma 3 3" xfId="26" xr:uid="{00000000-0005-0000-0000-000006000000}"/>
    <cellStyle name="Comma 4" xfId="3" xr:uid="{00000000-0005-0000-0000-000007000000}"/>
    <cellStyle name="Comma 4 2" xfId="21" xr:uid="{00000000-0005-0000-0000-000008000000}"/>
    <cellStyle name="Comma 7" xfId="17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2" xr:uid="{00000000-0005-0000-0000-000010000000}"/>
    <cellStyle name="Normal 20" xfId="2" xr:uid="{00000000-0005-0000-0000-000011000000}"/>
    <cellStyle name="Normal 20 2" xfId="20" xr:uid="{00000000-0005-0000-0000-000012000000}"/>
    <cellStyle name="Normal 3" xfId="13" xr:uid="{00000000-0005-0000-0000-000013000000}"/>
    <cellStyle name="Normal 32" xfId="7" xr:uid="{00000000-0005-0000-0000-000014000000}"/>
    <cellStyle name="Normal 32 2" xfId="23" xr:uid="{00000000-0005-0000-0000-000015000000}"/>
    <cellStyle name="Normal 4" xfId="10" xr:uid="{00000000-0005-0000-0000-000016000000}"/>
    <cellStyle name="Normal 44" xfId="8" xr:uid="{00000000-0005-0000-0000-000017000000}"/>
    <cellStyle name="Normal 44 2" xfId="24" xr:uid="{00000000-0005-0000-0000-000018000000}"/>
    <cellStyle name="Normal 48" xfId="9" xr:uid="{00000000-0005-0000-0000-000019000000}"/>
    <cellStyle name="Normal 5" xfId="1" xr:uid="{00000000-0005-0000-0000-00001A000000}"/>
    <cellStyle name="Normal 5 2" xfId="19" xr:uid="{00000000-0005-0000-0000-00001B000000}"/>
    <cellStyle name="Normal_fig7" xfId="12" xr:uid="{00000000-0005-0000-0000-00001E000000}"/>
    <cellStyle name="Normal_Stat Year Book 2007 tables" xfId="11" xr:uid="{00000000-0005-0000-0000-000024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945117971364692E-2"/>
          <c:y val="0.14806549537179739"/>
          <c:w val="0.93207094822359482"/>
          <c:h val="0.728619011591522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'3.9'!$Y$21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numRef>
              <c:f>'3.9'!$AG$20:$AQ$20</c:f>
              <c:numCache>
                <c:formatCode>General</c:formatCode>
                <c:ptCount val="11"/>
                <c:pt idx="0" formatCode="General_)">
                  <c:v>2011</c:v>
                </c:pt>
                <c:pt idx="1">
                  <c:v>2012</c:v>
                </c:pt>
                <c:pt idx="2" formatCode="General_)">
                  <c:v>2013</c:v>
                </c:pt>
                <c:pt idx="3" formatCode="General_)">
                  <c:v>2014</c:v>
                </c:pt>
                <c:pt idx="4">
                  <c:v>2015</c:v>
                </c:pt>
                <c:pt idx="5" formatCode="General_)">
                  <c:v>2016</c:v>
                </c:pt>
                <c:pt idx="6" formatCode="General_)">
                  <c:v>2017</c:v>
                </c:pt>
                <c:pt idx="7" formatCode="General_)">
                  <c:v>2018</c:v>
                </c:pt>
                <c:pt idx="8" formatCode="General_)">
                  <c:v>2019</c:v>
                </c:pt>
                <c:pt idx="9" formatCode="General_)">
                  <c:v>2020</c:v>
                </c:pt>
                <c:pt idx="10" formatCode="General_)">
                  <c:v>2021</c:v>
                </c:pt>
              </c:numCache>
            </c:numRef>
          </c:cat>
          <c:val>
            <c:numRef>
              <c:f>'3.9'!$AG$21:$AQ$21</c:f>
              <c:numCache>
                <c:formatCode>0</c:formatCode>
                <c:ptCount val="11"/>
                <c:pt idx="0">
                  <c:v>10</c:v>
                </c:pt>
                <c:pt idx="1">
                  <c:v>10</c:v>
                </c:pt>
                <c:pt idx="2">
                  <c:v>5.1085568326947639</c:v>
                </c:pt>
                <c:pt idx="3">
                  <c:v>8.4388185654008439</c:v>
                </c:pt>
                <c:pt idx="4">
                  <c:v>9.7949886104783594</c:v>
                </c:pt>
                <c:pt idx="5">
                  <c:v>8.2063305978898011</c:v>
                </c:pt>
                <c:pt idx="6">
                  <c:v>10.526315789473683</c:v>
                </c:pt>
                <c:pt idx="7">
                  <c:v>7.5029308323563892</c:v>
                </c:pt>
                <c:pt idx="8">
                  <c:v>5.6417489421720735</c:v>
                </c:pt>
                <c:pt idx="9">
                  <c:v>11.424944462075532</c:v>
                </c:pt>
                <c:pt idx="10">
                  <c:v>24.13036665622062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2-430D-A178-ABC8C9D55230}"/>
            </c:ext>
          </c:extLst>
        </c:ser>
        <c:ser>
          <c:idx val="1"/>
          <c:order val="1"/>
          <c:tx>
            <c:strRef>
              <c:f>'3.9'!$Y$22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FFDDDD"/>
            </a:solidFill>
          </c:spPr>
          <c:invertIfNegative val="1"/>
          <c:cat>
            <c:numRef>
              <c:f>'3.9'!$AG$20:$AQ$20</c:f>
              <c:numCache>
                <c:formatCode>General</c:formatCode>
                <c:ptCount val="11"/>
                <c:pt idx="0" formatCode="General_)">
                  <c:v>2011</c:v>
                </c:pt>
                <c:pt idx="1">
                  <c:v>2012</c:v>
                </c:pt>
                <c:pt idx="2" formatCode="General_)">
                  <c:v>2013</c:v>
                </c:pt>
                <c:pt idx="3" formatCode="General_)">
                  <c:v>2014</c:v>
                </c:pt>
                <c:pt idx="4">
                  <c:v>2015</c:v>
                </c:pt>
                <c:pt idx="5" formatCode="General_)">
                  <c:v>2016</c:v>
                </c:pt>
                <c:pt idx="6" formatCode="General_)">
                  <c:v>2017</c:v>
                </c:pt>
                <c:pt idx="7" formatCode="General_)">
                  <c:v>2018</c:v>
                </c:pt>
                <c:pt idx="8" formatCode="General_)">
                  <c:v>2019</c:v>
                </c:pt>
                <c:pt idx="9" formatCode="General_)">
                  <c:v>2020</c:v>
                </c:pt>
                <c:pt idx="10" formatCode="General_)">
                  <c:v>2021</c:v>
                </c:pt>
              </c:numCache>
            </c:numRef>
          </c:cat>
          <c:val>
            <c:numRef>
              <c:f>'3.9'!$AG$22:$AQ$22</c:f>
              <c:numCache>
                <c:formatCode>0</c:formatCode>
                <c:ptCount val="11"/>
                <c:pt idx="0">
                  <c:v>6</c:v>
                </c:pt>
                <c:pt idx="1">
                  <c:v>7</c:v>
                </c:pt>
                <c:pt idx="2">
                  <c:v>6.9060773480662982</c:v>
                </c:pt>
                <c:pt idx="3">
                  <c:v>4.6296296296296298</c:v>
                </c:pt>
                <c:pt idx="4">
                  <c:v>5.84795321637427</c:v>
                </c:pt>
                <c:pt idx="5">
                  <c:v>6.5207265952491849</c:v>
                </c:pt>
                <c:pt idx="6">
                  <c:v>6.381039197812215</c:v>
                </c:pt>
                <c:pt idx="7">
                  <c:v>5.8852378616969103</c:v>
                </c:pt>
                <c:pt idx="8">
                  <c:v>4.3431053203040175</c:v>
                </c:pt>
                <c:pt idx="9">
                  <c:v>2.2816166883963493</c:v>
                </c:pt>
                <c:pt idx="10">
                  <c:v>7.3448402497245686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0022-430D-A178-ABC8C9D55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"/>
        <c:axId val="496720832"/>
        <c:axId val="497990808"/>
      </c:barChart>
      <c:catAx>
        <c:axId val="496720832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79908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7990808"/>
        <c:scaling>
          <c:orientation val="minMax"/>
        </c:scaling>
        <c:delete val="0"/>
        <c:axPos val="l"/>
        <c:majorGridlines>
          <c:spPr>
            <a:ln>
              <a:solidFill>
                <a:srgbClr val="EDDBC9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5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50"/>
                  <a:t>Per '000 Live Births</a:t>
                </a:r>
              </a:p>
            </c:rich>
          </c:tx>
          <c:layout>
            <c:manualLayout>
              <c:xMode val="edge"/>
              <c:yMode val="edge"/>
              <c:x val="5.5661626367500524E-3"/>
              <c:y val="5.9941528661230509E-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0832"/>
        <c:crosses val="autoZero"/>
        <c:crossBetween val="between"/>
        <c:majorUnit val="4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egendEntry>
        <c:idx val="0"/>
        <c:txPr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71191484764910251"/>
          <c:y val="0.21603305142761481"/>
          <c:w val="0.15962417343074728"/>
          <c:h val="8.6840499273348623E-2"/>
        </c:manualLayout>
      </c:layout>
      <c:overlay val="0"/>
      <c:txPr>
        <a:bodyPr/>
        <a:lstStyle/>
        <a:p>
          <a:pPr>
            <a:defRPr sz="14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19</xdr:row>
      <xdr:rowOff>123824</xdr:rowOff>
    </xdr:from>
    <xdr:to>
      <xdr:col>19</xdr:col>
      <xdr:colOff>676275</xdr:colOff>
      <xdr:row>42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0.20432</cdr:x>
      <cdr:y>0.02673</cdr:y>
    </cdr:from>
    <cdr:to>
      <cdr:x>0.82671</cdr:x>
      <cdr:y>0.11388</cdr:y>
    </cdr:to>
    <cdr:sp macro="" textlink="">
      <cdr:nvSpPr>
        <cdr:cNvPr id="3789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72045" y="71782"/>
          <a:ext cx="4484172" cy="2340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3.12: Infant mortality rate, 2011 - 2021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AQ31"/>
  <sheetViews>
    <sheetView tabSelected="1" view="pageBreakPreview" zoomScale="96" zoomScaleNormal="68" zoomScaleSheetLayoutView="96" workbookViewId="0">
      <selection activeCell="V35" sqref="V35"/>
    </sheetView>
  </sheetViews>
  <sheetFormatPr defaultColWidth="17.85546875" defaultRowHeight="16.5" customHeight="1" x14ac:dyDescent="0.2"/>
  <cols>
    <col min="1" max="1" width="21.7109375" style="9" customWidth="1"/>
    <col min="2" max="2" width="1.7109375" style="9" customWidth="1"/>
    <col min="3" max="3" width="0.85546875" style="9" customWidth="1"/>
    <col min="4" max="18" width="8.7109375" style="9" customWidth="1"/>
    <col min="19" max="19" width="8.7109375" style="9" hidden="1" customWidth="1"/>
    <col min="20" max="20" width="45.140625" style="9" customWidth="1"/>
    <col min="21" max="24" width="17.85546875" style="9"/>
    <col min="25" max="33" width="5.42578125" style="9" customWidth="1"/>
    <col min="34" max="38" width="6" style="9" customWidth="1"/>
    <col min="39" max="39" width="6.85546875" style="9" customWidth="1"/>
    <col min="40" max="40" width="5.42578125" style="9" customWidth="1"/>
    <col min="41" max="41" width="6.5703125" style="9" customWidth="1"/>
    <col min="42" max="43" width="7.140625" style="9" customWidth="1"/>
    <col min="44" max="235" width="17.85546875" style="9"/>
    <col min="236" max="236" width="18.7109375" style="9" customWidth="1"/>
    <col min="237" max="237" width="1.7109375" style="9" customWidth="1"/>
    <col min="238" max="238" width="0.85546875" style="9" customWidth="1"/>
    <col min="239" max="259" width="0" style="9" hidden="1" customWidth="1"/>
    <col min="260" max="271" width="8.7109375" style="9" customWidth="1"/>
    <col min="272" max="275" width="0" style="9" hidden="1" customWidth="1"/>
    <col min="276" max="276" width="45.140625" style="9" customWidth="1"/>
    <col min="277" max="280" width="17.85546875" style="9"/>
    <col min="281" max="289" width="5.42578125" style="9" customWidth="1"/>
    <col min="290" max="294" width="6" style="9" customWidth="1"/>
    <col min="295" max="295" width="6.85546875" style="9" customWidth="1"/>
    <col min="296" max="296" width="5.42578125" style="9" customWidth="1"/>
    <col min="297" max="491" width="17.85546875" style="9"/>
    <col min="492" max="492" width="18.7109375" style="9" customWidth="1"/>
    <col min="493" max="493" width="1.7109375" style="9" customWidth="1"/>
    <col min="494" max="494" width="0.85546875" style="9" customWidth="1"/>
    <col min="495" max="515" width="0" style="9" hidden="1" customWidth="1"/>
    <col min="516" max="527" width="8.7109375" style="9" customWidth="1"/>
    <col min="528" max="531" width="0" style="9" hidden="1" customWidth="1"/>
    <col min="532" max="532" width="45.140625" style="9" customWidth="1"/>
    <col min="533" max="536" width="17.85546875" style="9"/>
    <col min="537" max="545" width="5.42578125" style="9" customWidth="1"/>
    <col min="546" max="550" width="6" style="9" customWidth="1"/>
    <col min="551" max="551" width="6.85546875" style="9" customWidth="1"/>
    <col min="552" max="552" width="5.42578125" style="9" customWidth="1"/>
    <col min="553" max="747" width="17.85546875" style="9"/>
    <col min="748" max="748" width="18.7109375" style="9" customWidth="1"/>
    <col min="749" max="749" width="1.7109375" style="9" customWidth="1"/>
    <col min="750" max="750" width="0.85546875" style="9" customWidth="1"/>
    <col min="751" max="771" width="0" style="9" hidden="1" customWidth="1"/>
    <col min="772" max="783" width="8.7109375" style="9" customWidth="1"/>
    <col min="784" max="787" width="0" style="9" hidden="1" customWidth="1"/>
    <col min="788" max="788" width="45.140625" style="9" customWidth="1"/>
    <col min="789" max="792" width="17.85546875" style="9"/>
    <col min="793" max="801" width="5.42578125" style="9" customWidth="1"/>
    <col min="802" max="806" width="6" style="9" customWidth="1"/>
    <col min="807" max="807" width="6.85546875" style="9" customWidth="1"/>
    <col min="808" max="808" width="5.42578125" style="9" customWidth="1"/>
    <col min="809" max="1003" width="17.85546875" style="9"/>
    <col min="1004" max="1004" width="18.7109375" style="9" customWidth="1"/>
    <col min="1005" max="1005" width="1.7109375" style="9" customWidth="1"/>
    <col min="1006" max="1006" width="0.85546875" style="9" customWidth="1"/>
    <col min="1007" max="1027" width="0" style="9" hidden="1" customWidth="1"/>
    <col min="1028" max="1039" width="8.7109375" style="9" customWidth="1"/>
    <col min="1040" max="1043" width="0" style="9" hidden="1" customWidth="1"/>
    <col min="1044" max="1044" width="45.140625" style="9" customWidth="1"/>
    <col min="1045" max="1048" width="17.85546875" style="9"/>
    <col min="1049" max="1057" width="5.42578125" style="9" customWidth="1"/>
    <col min="1058" max="1062" width="6" style="9" customWidth="1"/>
    <col min="1063" max="1063" width="6.85546875" style="9" customWidth="1"/>
    <col min="1064" max="1064" width="5.42578125" style="9" customWidth="1"/>
    <col min="1065" max="1259" width="17.85546875" style="9"/>
    <col min="1260" max="1260" width="18.7109375" style="9" customWidth="1"/>
    <col min="1261" max="1261" width="1.7109375" style="9" customWidth="1"/>
    <col min="1262" max="1262" width="0.85546875" style="9" customWidth="1"/>
    <col min="1263" max="1283" width="0" style="9" hidden="1" customWidth="1"/>
    <col min="1284" max="1295" width="8.7109375" style="9" customWidth="1"/>
    <col min="1296" max="1299" width="0" style="9" hidden="1" customWidth="1"/>
    <col min="1300" max="1300" width="45.140625" style="9" customWidth="1"/>
    <col min="1301" max="1304" width="17.85546875" style="9"/>
    <col min="1305" max="1313" width="5.42578125" style="9" customWidth="1"/>
    <col min="1314" max="1318" width="6" style="9" customWidth="1"/>
    <col min="1319" max="1319" width="6.85546875" style="9" customWidth="1"/>
    <col min="1320" max="1320" width="5.42578125" style="9" customWidth="1"/>
    <col min="1321" max="1515" width="17.85546875" style="9"/>
    <col min="1516" max="1516" width="18.7109375" style="9" customWidth="1"/>
    <col min="1517" max="1517" width="1.7109375" style="9" customWidth="1"/>
    <col min="1518" max="1518" width="0.85546875" style="9" customWidth="1"/>
    <col min="1519" max="1539" width="0" style="9" hidden="1" customWidth="1"/>
    <col min="1540" max="1551" width="8.7109375" style="9" customWidth="1"/>
    <col min="1552" max="1555" width="0" style="9" hidden="1" customWidth="1"/>
    <col min="1556" max="1556" width="45.140625" style="9" customWidth="1"/>
    <col min="1557" max="1560" width="17.85546875" style="9"/>
    <col min="1561" max="1569" width="5.42578125" style="9" customWidth="1"/>
    <col min="1570" max="1574" width="6" style="9" customWidth="1"/>
    <col min="1575" max="1575" width="6.85546875" style="9" customWidth="1"/>
    <col min="1576" max="1576" width="5.42578125" style="9" customWidth="1"/>
    <col min="1577" max="1771" width="17.85546875" style="9"/>
    <col min="1772" max="1772" width="18.7109375" style="9" customWidth="1"/>
    <col min="1773" max="1773" width="1.7109375" style="9" customWidth="1"/>
    <col min="1774" max="1774" width="0.85546875" style="9" customWidth="1"/>
    <col min="1775" max="1795" width="0" style="9" hidden="1" customWidth="1"/>
    <col min="1796" max="1807" width="8.7109375" style="9" customWidth="1"/>
    <col min="1808" max="1811" width="0" style="9" hidden="1" customWidth="1"/>
    <col min="1812" max="1812" width="45.140625" style="9" customWidth="1"/>
    <col min="1813" max="1816" width="17.85546875" style="9"/>
    <col min="1817" max="1825" width="5.42578125" style="9" customWidth="1"/>
    <col min="1826" max="1830" width="6" style="9" customWidth="1"/>
    <col min="1831" max="1831" width="6.85546875" style="9" customWidth="1"/>
    <col min="1832" max="1832" width="5.42578125" style="9" customWidth="1"/>
    <col min="1833" max="2027" width="17.85546875" style="9"/>
    <col min="2028" max="2028" width="18.7109375" style="9" customWidth="1"/>
    <col min="2029" max="2029" width="1.7109375" style="9" customWidth="1"/>
    <col min="2030" max="2030" width="0.85546875" style="9" customWidth="1"/>
    <col min="2031" max="2051" width="0" style="9" hidden="1" customWidth="1"/>
    <col min="2052" max="2063" width="8.7109375" style="9" customWidth="1"/>
    <col min="2064" max="2067" width="0" style="9" hidden="1" customWidth="1"/>
    <col min="2068" max="2068" width="45.140625" style="9" customWidth="1"/>
    <col min="2069" max="2072" width="17.85546875" style="9"/>
    <col min="2073" max="2081" width="5.42578125" style="9" customWidth="1"/>
    <col min="2082" max="2086" width="6" style="9" customWidth="1"/>
    <col min="2087" max="2087" width="6.85546875" style="9" customWidth="1"/>
    <col min="2088" max="2088" width="5.42578125" style="9" customWidth="1"/>
    <col min="2089" max="2283" width="17.85546875" style="9"/>
    <col min="2284" max="2284" width="18.7109375" style="9" customWidth="1"/>
    <col min="2285" max="2285" width="1.7109375" style="9" customWidth="1"/>
    <col min="2286" max="2286" width="0.85546875" style="9" customWidth="1"/>
    <col min="2287" max="2307" width="0" style="9" hidden="1" customWidth="1"/>
    <col min="2308" max="2319" width="8.7109375" style="9" customWidth="1"/>
    <col min="2320" max="2323" width="0" style="9" hidden="1" customWidth="1"/>
    <col min="2324" max="2324" width="45.140625" style="9" customWidth="1"/>
    <col min="2325" max="2328" width="17.85546875" style="9"/>
    <col min="2329" max="2337" width="5.42578125" style="9" customWidth="1"/>
    <col min="2338" max="2342" width="6" style="9" customWidth="1"/>
    <col min="2343" max="2343" width="6.85546875" style="9" customWidth="1"/>
    <col min="2344" max="2344" width="5.42578125" style="9" customWidth="1"/>
    <col min="2345" max="2539" width="17.85546875" style="9"/>
    <col min="2540" max="2540" width="18.7109375" style="9" customWidth="1"/>
    <col min="2541" max="2541" width="1.7109375" style="9" customWidth="1"/>
    <col min="2542" max="2542" width="0.85546875" style="9" customWidth="1"/>
    <col min="2543" max="2563" width="0" style="9" hidden="1" customWidth="1"/>
    <col min="2564" max="2575" width="8.7109375" style="9" customWidth="1"/>
    <col min="2576" max="2579" width="0" style="9" hidden="1" customWidth="1"/>
    <col min="2580" max="2580" width="45.140625" style="9" customWidth="1"/>
    <col min="2581" max="2584" width="17.85546875" style="9"/>
    <col min="2585" max="2593" width="5.42578125" style="9" customWidth="1"/>
    <col min="2594" max="2598" width="6" style="9" customWidth="1"/>
    <col min="2599" max="2599" width="6.85546875" style="9" customWidth="1"/>
    <col min="2600" max="2600" width="5.42578125" style="9" customWidth="1"/>
    <col min="2601" max="2795" width="17.85546875" style="9"/>
    <col min="2796" max="2796" width="18.7109375" style="9" customWidth="1"/>
    <col min="2797" max="2797" width="1.7109375" style="9" customWidth="1"/>
    <col min="2798" max="2798" width="0.85546875" style="9" customWidth="1"/>
    <col min="2799" max="2819" width="0" style="9" hidden="1" customWidth="1"/>
    <col min="2820" max="2831" width="8.7109375" style="9" customWidth="1"/>
    <col min="2832" max="2835" width="0" style="9" hidden="1" customWidth="1"/>
    <col min="2836" max="2836" width="45.140625" style="9" customWidth="1"/>
    <col min="2837" max="2840" width="17.85546875" style="9"/>
    <col min="2841" max="2849" width="5.42578125" style="9" customWidth="1"/>
    <col min="2850" max="2854" width="6" style="9" customWidth="1"/>
    <col min="2855" max="2855" width="6.85546875" style="9" customWidth="1"/>
    <col min="2856" max="2856" width="5.42578125" style="9" customWidth="1"/>
    <col min="2857" max="3051" width="17.85546875" style="9"/>
    <col min="3052" max="3052" width="18.7109375" style="9" customWidth="1"/>
    <col min="3053" max="3053" width="1.7109375" style="9" customWidth="1"/>
    <col min="3054" max="3054" width="0.85546875" style="9" customWidth="1"/>
    <col min="3055" max="3075" width="0" style="9" hidden="1" customWidth="1"/>
    <col min="3076" max="3087" width="8.7109375" style="9" customWidth="1"/>
    <col min="3088" max="3091" width="0" style="9" hidden="1" customWidth="1"/>
    <col min="3092" max="3092" width="45.140625" style="9" customWidth="1"/>
    <col min="3093" max="3096" width="17.85546875" style="9"/>
    <col min="3097" max="3105" width="5.42578125" style="9" customWidth="1"/>
    <col min="3106" max="3110" width="6" style="9" customWidth="1"/>
    <col min="3111" max="3111" width="6.85546875" style="9" customWidth="1"/>
    <col min="3112" max="3112" width="5.42578125" style="9" customWidth="1"/>
    <col min="3113" max="3307" width="17.85546875" style="9"/>
    <col min="3308" max="3308" width="18.7109375" style="9" customWidth="1"/>
    <col min="3309" max="3309" width="1.7109375" style="9" customWidth="1"/>
    <col min="3310" max="3310" width="0.85546875" style="9" customWidth="1"/>
    <col min="3311" max="3331" width="0" style="9" hidden="1" customWidth="1"/>
    <col min="3332" max="3343" width="8.7109375" style="9" customWidth="1"/>
    <col min="3344" max="3347" width="0" style="9" hidden="1" customWidth="1"/>
    <col min="3348" max="3348" width="45.140625" style="9" customWidth="1"/>
    <col min="3349" max="3352" width="17.85546875" style="9"/>
    <col min="3353" max="3361" width="5.42578125" style="9" customWidth="1"/>
    <col min="3362" max="3366" width="6" style="9" customWidth="1"/>
    <col min="3367" max="3367" width="6.85546875" style="9" customWidth="1"/>
    <col min="3368" max="3368" width="5.42578125" style="9" customWidth="1"/>
    <col min="3369" max="3563" width="17.85546875" style="9"/>
    <col min="3564" max="3564" width="18.7109375" style="9" customWidth="1"/>
    <col min="3565" max="3565" width="1.7109375" style="9" customWidth="1"/>
    <col min="3566" max="3566" width="0.85546875" style="9" customWidth="1"/>
    <col min="3567" max="3587" width="0" style="9" hidden="1" customWidth="1"/>
    <col min="3588" max="3599" width="8.7109375" style="9" customWidth="1"/>
    <col min="3600" max="3603" width="0" style="9" hidden="1" customWidth="1"/>
    <col min="3604" max="3604" width="45.140625" style="9" customWidth="1"/>
    <col min="3605" max="3608" width="17.85546875" style="9"/>
    <col min="3609" max="3617" width="5.42578125" style="9" customWidth="1"/>
    <col min="3618" max="3622" width="6" style="9" customWidth="1"/>
    <col min="3623" max="3623" width="6.85546875" style="9" customWidth="1"/>
    <col min="3624" max="3624" width="5.42578125" style="9" customWidth="1"/>
    <col min="3625" max="3819" width="17.85546875" style="9"/>
    <col min="3820" max="3820" width="18.7109375" style="9" customWidth="1"/>
    <col min="3821" max="3821" width="1.7109375" style="9" customWidth="1"/>
    <col min="3822" max="3822" width="0.85546875" style="9" customWidth="1"/>
    <col min="3823" max="3843" width="0" style="9" hidden="1" customWidth="1"/>
    <col min="3844" max="3855" width="8.7109375" style="9" customWidth="1"/>
    <col min="3856" max="3859" width="0" style="9" hidden="1" customWidth="1"/>
    <col min="3860" max="3860" width="45.140625" style="9" customWidth="1"/>
    <col min="3861" max="3864" width="17.85546875" style="9"/>
    <col min="3865" max="3873" width="5.42578125" style="9" customWidth="1"/>
    <col min="3874" max="3878" width="6" style="9" customWidth="1"/>
    <col min="3879" max="3879" width="6.85546875" style="9" customWidth="1"/>
    <col min="3880" max="3880" width="5.42578125" style="9" customWidth="1"/>
    <col min="3881" max="4075" width="17.85546875" style="9"/>
    <col min="4076" max="4076" width="18.7109375" style="9" customWidth="1"/>
    <col min="4077" max="4077" width="1.7109375" style="9" customWidth="1"/>
    <col min="4078" max="4078" width="0.85546875" style="9" customWidth="1"/>
    <col min="4079" max="4099" width="0" style="9" hidden="1" customWidth="1"/>
    <col min="4100" max="4111" width="8.7109375" style="9" customWidth="1"/>
    <col min="4112" max="4115" width="0" style="9" hidden="1" customWidth="1"/>
    <col min="4116" max="4116" width="45.140625" style="9" customWidth="1"/>
    <col min="4117" max="4120" width="17.85546875" style="9"/>
    <col min="4121" max="4129" width="5.42578125" style="9" customWidth="1"/>
    <col min="4130" max="4134" width="6" style="9" customWidth="1"/>
    <col min="4135" max="4135" width="6.85546875" style="9" customWidth="1"/>
    <col min="4136" max="4136" width="5.42578125" style="9" customWidth="1"/>
    <col min="4137" max="4331" width="17.85546875" style="9"/>
    <col min="4332" max="4332" width="18.7109375" style="9" customWidth="1"/>
    <col min="4333" max="4333" width="1.7109375" style="9" customWidth="1"/>
    <col min="4334" max="4334" width="0.85546875" style="9" customWidth="1"/>
    <col min="4335" max="4355" width="0" style="9" hidden="1" customWidth="1"/>
    <col min="4356" max="4367" width="8.7109375" style="9" customWidth="1"/>
    <col min="4368" max="4371" width="0" style="9" hidden="1" customWidth="1"/>
    <col min="4372" max="4372" width="45.140625" style="9" customWidth="1"/>
    <col min="4373" max="4376" width="17.85546875" style="9"/>
    <col min="4377" max="4385" width="5.42578125" style="9" customWidth="1"/>
    <col min="4386" max="4390" width="6" style="9" customWidth="1"/>
    <col min="4391" max="4391" width="6.85546875" style="9" customWidth="1"/>
    <col min="4392" max="4392" width="5.42578125" style="9" customWidth="1"/>
    <col min="4393" max="4587" width="17.85546875" style="9"/>
    <col min="4588" max="4588" width="18.7109375" style="9" customWidth="1"/>
    <col min="4589" max="4589" width="1.7109375" style="9" customWidth="1"/>
    <col min="4590" max="4590" width="0.85546875" style="9" customWidth="1"/>
    <col min="4591" max="4611" width="0" style="9" hidden="1" customWidth="1"/>
    <col min="4612" max="4623" width="8.7109375" style="9" customWidth="1"/>
    <col min="4624" max="4627" width="0" style="9" hidden="1" customWidth="1"/>
    <col min="4628" max="4628" width="45.140625" style="9" customWidth="1"/>
    <col min="4629" max="4632" width="17.85546875" style="9"/>
    <col min="4633" max="4641" width="5.42578125" style="9" customWidth="1"/>
    <col min="4642" max="4646" width="6" style="9" customWidth="1"/>
    <col min="4647" max="4647" width="6.85546875" style="9" customWidth="1"/>
    <col min="4648" max="4648" width="5.42578125" style="9" customWidth="1"/>
    <col min="4649" max="4843" width="17.85546875" style="9"/>
    <col min="4844" max="4844" width="18.7109375" style="9" customWidth="1"/>
    <col min="4845" max="4845" width="1.7109375" style="9" customWidth="1"/>
    <col min="4846" max="4846" width="0.85546875" style="9" customWidth="1"/>
    <col min="4847" max="4867" width="0" style="9" hidden="1" customWidth="1"/>
    <col min="4868" max="4879" width="8.7109375" style="9" customWidth="1"/>
    <col min="4880" max="4883" width="0" style="9" hidden="1" customWidth="1"/>
    <col min="4884" max="4884" width="45.140625" style="9" customWidth="1"/>
    <col min="4885" max="4888" width="17.85546875" style="9"/>
    <col min="4889" max="4897" width="5.42578125" style="9" customWidth="1"/>
    <col min="4898" max="4902" width="6" style="9" customWidth="1"/>
    <col min="4903" max="4903" width="6.85546875" style="9" customWidth="1"/>
    <col min="4904" max="4904" width="5.42578125" style="9" customWidth="1"/>
    <col min="4905" max="5099" width="17.85546875" style="9"/>
    <col min="5100" max="5100" width="18.7109375" style="9" customWidth="1"/>
    <col min="5101" max="5101" width="1.7109375" style="9" customWidth="1"/>
    <col min="5102" max="5102" width="0.85546875" style="9" customWidth="1"/>
    <col min="5103" max="5123" width="0" style="9" hidden="1" customWidth="1"/>
    <col min="5124" max="5135" width="8.7109375" style="9" customWidth="1"/>
    <col min="5136" max="5139" width="0" style="9" hidden="1" customWidth="1"/>
    <col min="5140" max="5140" width="45.140625" style="9" customWidth="1"/>
    <col min="5141" max="5144" width="17.85546875" style="9"/>
    <col min="5145" max="5153" width="5.42578125" style="9" customWidth="1"/>
    <col min="5154" max="5158" width="6" style="9" customWidth="1"/>
    <col min="5159" max="5159" width="6.85546875" style="9" customWidth="1"/>
    <col min="5160" max="5160" width="5.42578125" style="9" customWidth="1"/>
    <col min="5161" max="5355" width="17.85546875" style="9"/>
    <col min="5356" max="5356" width="18.7109375" style="9" customWidth="1"/>
    <col min="5357" max="5357" width="1.7109375" style="9" customWidth="1"/>
    <col min="5358" max="5358" width="0.85546875" style="9" customWidth="1"/>
    <col min="5359" max="5379" width="0" style="9" hidden="1" customWidth="1"/>
    <col min="5380" max="5391" width="8.7109375" style="9" customWidth="1"/>
    <col min="5392" max="5395" width="0" style="9" hidden="1" customWidth="1"/>
    <col min="5396" max="5396" width="45.140625" style="9" customWidth="1"/>
    <col min="5397" max="5400" width="17.85546875" style="9"/>
    <col min="5401" max="5409" width="5.42578125" style="9" customWidth="1"/>
    <col min="5410" max="5414" width="6" style="9" customWidth="1"/>
    <col min="5415" max="5415" width="6.85546875" style="9" customWidth="1"/>
    <col min="5416" max="5416" width="5.42578125" style="9" customWidth="1"/>
    <col min="5417" max="5611" width="17.85546875" style="9"/>
    <col min="5612" max="5612" width="18.7109375" style="9" customWidth="1"/>
    <col min="5613" max="5613" width="1.7109375" style="9" customWidth="1"/>
    <col min="5614" max="5614" width="0.85546875" style="9" customWidth="1"/>
    <col min="5615" max="5635" width="0" style="9" hidden="1" customWidth="1"/>
    <col min="5636" max="5647" width="8.7109375" style="9" customWidth="1"/>
    <col min="5648" max="5651" width="0" style="9" hidden="1" customWidth="1"/>
    <col min="5652" max="5652" width="45.140625" style="9" customWidth="1"/>
    <col min="5653" max="5656" width="17.85546875" style="9"/>
    <col min="5657" max="5665" width="5.42578125" style="9" customWidth="1"/>
    <col min="5666" max="5670" width="6" style="9" customWidth="1"/>
    <col min="5671" max="5671" width="6.85546875" style="9" customWidth="1"/>
    <col min="5672" max="5672" width="5.42578125" style="9" customWidth="1"/>
    <col min="5673" max="5867" width="17.85546875" style="9"/>
    <col min="5868" max="5868" width="18.7109375" style="9" customWidth="1"/>
    <col min="5869" max="5869" width="1.7109375" style="9" customWidth="1"/>
    <col min="5870" max="5870" width="0.85546875" style="9" customWidth="1"/>
    <col min="5871" max="5891" width="0" style="9" hidden="1" customWidth="1"/>
    <col min="5892" max="5903" width="8.7109375" style="9" customWidth="1"/>
    <col min="5904" max="5907" width="0" style="9" hidden="1" customWidth="1"/>
    <col min="5908" max="5908" width="45.140625" style="9" customWidth="1"/>
    <col min="5909" max="5912" width="17.85546875" style="9"/>
    <col min="5913" max="5921" width="5.42578125" style="9" customWidth="1"/>
    <col min="5922" max="5926" width="6" style="9" customWidth="1"/>
    <col min="5927" max="5927" width="6.85546875" style="9" customWidth="1"/>
    <col min="5928" max="5928" width="5.42578125" style="9" customWidth="1"/>
    <col min="5929" max="6123" width="17.85546875" style="9"/>
    <col min="6124" max="6124" width="18.7109375" style="9" customWidth="1"/>
    <col min="6125" max="6125" width="1.7109375" style="9" customWidth="1"/>
    <col min="6126" max="6126" width="0.85546875" style="9" customWidth="1"/>
    <col min="6127" max="6147" width="0" style="9" hidden="1" customWidth="1"/>
    <col min="6148" max="6159" width="8.7109375" style="9" customWidth="1"/>
    <col min="6160" max="6163" width="0" style="9" hidden="1" customWidth="1"/>
    <col min="6164" max="6164" width="45.140625" style="9" customWidth="1"/>
    <col min="6165" max="6168" width="17.85546875" style="9"/>
    <col min="6169" max="6177" width="5.42578125" style="9" customWidth="1"/>
    <col min="6178" max="6182" width="6" style="9" customWidth="1"/>
    <col min="6183" max="6183" width="6.85546875" style="9" customWidth="1"/>
    <col min="6184" max="6184" width="5.42578125" style="9" customWidth="1"/>
    <col min="6185" max="6379" width="17.85546875" style="9"/>
    <col min="6380" max="6380" width="18.7109375" style="9" customWidth="1"/>
    <col min="6381" max="6381" width="1.7109375" style="9" customWidth="1"/>
    <col min="6382" max="6382" width="0.85546875" style="9" customWidth="1"/>
    <col min="6383" max="6403" width="0" style="9" hidden="1" customWidth="1"/>
    <col min="6404" max="6415" width="8.7109375" style="9" customWidth="1"/>
    <col min="6416" max="6419" width="0" style="9" hidden="1" customWidth="1"/>
    <col min="6420" max="6420" width="45.140625" style="9" customWidth="1"/>
    <col min="6421" max="6424" width="17.85546875" style="9"/>
    <col min="6425" max="6433" width="5.42578125" style="9" customWidth="1"/>
    <col min="6434" max="6438" width="6" style="9" customWidth="1"/>
    <col min="6439" max="6439" width="6.85546875" style="9" customWidth="1"/>
    <col min="6440" max="6440" width="5.42578125" style="9" customWidth="1"/>
    <col min="6441" max="6635" width="17.85546875" style="9"/>
    <col min="6636" max="6636" width="18.7109375" style="9" customWidth="1"/>
    <col min="6637" max="6637" width="1.7109375" style="9" customWidth="1"/>
    <col min="6638" max="6638" width="0.85546875" style="9" customWidth="1"/>
    <col min="6639" max="6659" width="0" style="9" hidden="1" customWidth="1"/>
    <col min="6660" max="6671" width="8.7109375" style="9" customWidth="1"/>
    <col min="6672" max="6675" width="0" style="9" hidden="1" customWidth="1"/>
    <col min="6676" max="6676" width="45.140625" style="9" customWidth="1"/>
    <col min="6677" max="6680" width="17.85546875" style="9"/>
    <col min="6681" max="6689" width="5.42578125" style="9" customWidth="1"/>
    <col min="6690" max="6694" width="6" style="9" customWidth="1"/>
    <col min="6695" max="6695" width="6.85546875" style="9" customWidth="1"/>
    <col min="6696" max="6696" width="5.42578125" style="9" customWidth="1"/>
    <col min="6697" max="6891" width="17.85546875" style="9"/>
    <col min="6892" max="6892" width="18.7109375" style="9" customWidth="1"/>
    <col min="6893" max="6893" width="1.7109375" style="9" customWidth="1"/>
    <col min="6894" max="6894" width="0.85546875" style="9" customWidth="1"/>
    <col min="6895" max="6915" width="0" style="9" hidden="1" customWidth="1"/>
    <col min="6916" max="6927" width="8.7109375" style="9" customWidth="1"/>
    <col min="6928" max="6931" width="0" style="9" hidden="1" customWidth="1"/>
    <col min="6932" max="6932" width="45.140625" style="9" customWidth="1"/>
    <col min="6933" max="6936" width="17.85546875" style="9"/>
    <col min="6937" max="6945" width="5.42578125" style="9" customWidth="1"/>
    <col min="6946" max="6950" width="6" style="9" customWidth="1"/>
    <col min="6951" max="6951" width="6.85546875" style="9" customWidth="1"/>
    <col min="6952" max="6952" width="5.42578125" style="9" customWidth="1"/>
    <col min="6953" max="7147" width="17.85546875" style="9"/>
    <col min="7148" max="7148" width="18.7109375" style="9" customWidth="1"/>
    <col min="7149" max="7149" width="1.7109375" style="9" customWidth="1"/>
    <col min="7150" max="7150" width="0.85546875" style="9" customWidth="1"/>
    <col min="7151" max="7171" width="0" style="9" hidden="1" customWidth="1"/>
    <col min="7172" max="7183" width="8.7109375" style="9" customWidth="1"/>
    <col min="7184" max="7187" width="0" style="9" hidden="1" customWidth="1"/>
    <col min="7188" max="7188" width="45.140625" style="9" customWidth="1"/>
    <col min="7189" max="7192" width="17.85546875" style="9"/>
    <col min="7193" max="7201" width="5.42578125" style="9" customWidth="1"/>
    <col min="7202" max="7206" width="6" style="9" customWidth="1"/>
    <col min="7207" max="7207" width="6.85546875" style="9" customWidth="1"/>
    <col min="7208" max="7208" width="5.42578125" style="9" customWidth="1"/>
    <col min="7209" max="7403" width="17.85546875" style="9"/>
    <col min="7404" max="7404" width="18.7109375" style="9" customWidth="1"/>
    <col min="7405" max="7405" width="1.7109375" style="9" customWidth="1"/>
    <col min="7406" max="7406" width="0.85546875" style="9" customWidth="1"/>
    <col min="7407" max="7427" width="0" style="9" hidden="1" customWidth="1"/>
    <col min="7428" max="7439" width="8.7109375" style="9" customWidth="1"/>
    <col min="7440" max="7443" width="0" style="9" hidden="1" customWidth="1"/>
    <col min="7444" max="7444" width="45.140625" style="9" customWidth="1"/>
    <col min="7445" max="7448" width="17.85546875" style="9"/>
    <col min="7449" max="7457" width="5.42578125" style="9" customWidth="1"/>
    <col min="7458" max="7462" width="6" style="9" customWidth="1"/>
    <col min="7463" max="7463" width="6.85546875" style="9" customWidth="1"/>
    <col min="7464" max="7464" width="5.42578125" style="9" customWidth="1"/>
    <col min="7465" max="7659" width="17.85546875" style="9"/>
    <col min="7660" max="7660" width="18.7109375" style="9" customWidth="1"/>
    <col min="7661" max="7661" width="1.7109375" style="9" customWidth="1"/>
    <col min="7662" max="7662" width="0.85546875" style="9" customWidth="1"/>
    <col min="7663" max="7683" width="0" style="9" hidden="1" customWidth="1"/>
    <col min="7684" max="7695" width="8.7109375" style="9" customWidth="1"/>
    <col min="7696" max="7699" width="0" style="9" hidden="1" customWidth="1"/>
    <col min="7700" max="7700" width="45.140625" style="9" customWidth="1"/>
    <col min="7701" max="7704" width="17.85546875" style="9"/>
    <col min="7705" max="7713" width="5.42578125" style="9" customWidth="1"/>
    <col min="7714" max="7718" width="6" style="9" customWidth="1"/>
    <col min="7719" max="7719" width="6.85546875" style="9" customWidth="1"/>
    <col min="7720" max="7720" width="5.42578125" style="9" customWidth="1"/>
    <col min="7721" max="7915" width="17.85546875" style="9"/>
    <col min="7916" max="7916" width="18.7109375" style="9" customWidth="1"/>
    <col min="7917" max="7917" width="1.7109375" style="9" customWidth="1"/>
    <col min="7918" max="7918" width="0.85546875" style="9" customWidth="1"/>
    <col min="7919" max="7939" width="0" style="9" hidden="1" customWidth="1"/>
    <col min="7940" max="7951" width="8.7109375" style="9" customWidth="1"/>
    <col min="7952" max="7955" width="0" style="9" hidden="1" customWidth="1"/>
    <col min="7956" max="7956" width="45.140625" style="9" customWidth="1"/>
    <col min="7957" max="7960" width="17.85546875" style="9"/>
    <col min="7961" max="7969" width="5.42578125" style="9" customWidth="1"/>
    <col min="7970" max="7974" width="6" style="9" customWidth="1"/>
    <col min="7975" max="7975" width="6.85546875" style="9" customWidth="1"/>
    <col min="7976" max="7976" width="5.42578125" style="9" customWidth="1"/>
    <col min="7977" max="8171" width="17.85546875" style="9"/>
    <col min="8172" max="8172" width="18.7109375" style="9" customWidth="1"/>
    <col min="8173" max="8173" width="1.7109375" style="9" customWidth="1"/>
    <col min="8174" max="8174" width="0.85546875" style="9" customWidth="1"/>
    <col min="8175" max="8195" width="0" style="9" hidden="1" customWidth="1"/>
    <col min="8196" max="8207" width="8.7109375" style="9" customWidth="1"/>
    <col min="8208" max="8211" width="0" style="9" hidden="1" customWidth="1"/>
    <col min="8212" max="8212" width="45.140625" style="9" customWidth="1"/>
    <col min="8213" max="8216" width="17.85546875" style="9"/>
    <col min="8217" max="8225" width="5.42578125" style="9" customWidth="1"/>
    <col min="8226" max="8230" width="6" style="9" customWidth="1"/>
    <col min="8231" max="8231" width="6.85546875" style="9" customWidth="1"/>
    <col min="8232" max="8232" width="5.42578125" style="9" customWidth="1"/>
    <col min="8233" max="8427" width="17.85546875" style="9"/>
    <col min="8428" max="8428" width="18.7109375" style="9" customWidth="1"/>
    <col min="8429" max="8429" width="1.7109375" style="9" customWidth="1"/>
    <col min="8430" max="8430" width="0.85546875" style="9" customWidth="1"/>
    <col min="8431" max="8451" width="0" style="9" hidden="1" customWidth="1"/>
    <col min="8452" max="8463" width="8.7109375" style="9" customWidth="1"/>
    <col min="8464" max="8467" width="0" style="9" hidden="1" customWidth="1"/>
    <col min="8468" max="8468" width="45.140625" style="9" customWidth="1"/>
    <col min="8469" max="8472" width="17.85546875" style="9"/>
    <col min="8473" max="8481" width="5.42578125" style="9" customWidth="1"/>
    <col min="8482" max="8486" width="6" style="9" customWidth="1"/>
    <col min="8487" max="8487" width="6.85546875" style="9" customWidth="1"/>
    <col min="8488" max="8488" width="5.42578125" style="9" customWidth="1"/>
    <col min="8489" max="8683" width="17.85546875" style="9"/>
    <col min="8684" max="8684" width="18.7109375" style="9" customWidth="1"/>
    <col min="8685" max="8685" width="1.7109375" style="9" customWidth="1"/>
    <col min="8686" max="8686" width="0.85546875" style="9" customWidth="1"/>
    <col min="8687" max="8707" width="0" style="9" hidden="1" customWidth="1"/>
    <col min="8708" max="8719" width="8.7109375" style="9" customWidth="1"/>
    <col min="8720" max="8723" width="0" style="9" hidden="1" customWidth="1"/>
    <col min="8724" max="8724" width="45.140625" style="9" customWidth="1"/>
    <col min="8725" max="8728" width="17.85546875" style="9"/>
    <col min="8729" max="8737" width="5.42578125" style="9" customWidth="1"/>
    <col min="8738" max="8742" width="6" style="9" customWidth="1"/>
    <col min="8743" max="8743" width="6.85546875" style="9" customWidth="1"/>
    <col min="8744" max="8744" width="5.42578125" style="9" customWidth="1"/>
    <col min="8745" max="8939" width="17.85546875" style="9"/>
    <col min="8940" max="8940" width="18.7109375" style="9" customWidth="1"/>
    <col min="8941" max="8941" width="1.7109375" style="9" customWidth="1"/>
    <col min="8942" max="8942" width="0.85546875" style="9" customWidth="1"/>
    <col min="8943" max="8963" width="0" style="9" hidden="1" customWidth="1"/>
    <col min="8964" max="8975" width="8.7109375" style="9" customWidth="1"/>
    <col min="8976" max="8979" width="0" style="9" hidden="1" customWidth="1"/>
    <col min="8980" max="8980" width="45.140625" style="9" customWidth="1"/>
    <col min="8981" max="8984" width="17.85546875" style="9"/>
    <col min="8985" max="8993" width="5.42578125" style="9" customWidth="1"/>
    <col min="8994" max="8998" width="6" style="9" customWidth="1"/>
    <col min="8999" max="8999" width="6.85546875" style="9" customWidth="1"/>
    <col min="9000" max="9000" width="5.42578125" style="9" customWidth="1"/>
    <col min="9001" max="9195" width="17.85546875" style="9"/>
    <col min="9196" max="9196" width="18.7109375" style="9" customWidth="1"/>
    <col min="9197" max="9197" width="1.7109375" style="9" customWidth="1"/>
    <col min="9198" max="9198" width="0.85546875" style="9" customWidth="1"/>
    <col min="9199" max="9219" width="0" style="9" hidden="1" customWidth="1"/>
    <col min="9220" max="9231" width="8.7109375" style="9" customWidth="1"/>
    <col min="9232" max="9235" width="0" style="9" hidden="1" customWidth="1"/>
    <col min="9236" max="9236" width="45.140625" style="9" customWidth="1"/>
    <col min="9237" max="9240" width="17.85546875" style="9"/>
    <col min="9241" max="9249" width="5.42578125" style="9" customWidth="1"/>
    <col min="9250" max="9254" width="6" style="9" customWidth="1"/>
    <col min="9255" max="9255" width="6.85546875" style="9" customWidth="1"/>
    <col min="9256" max="9256" width="5.42578125" style="9" customWidth="1"/>
    <col min="9257" max="9451" width="17.85546875" style="9"/>
    <col min="9452" max="9452" width="18.7109375" style="9" customWidth="1"/>
    <col min="9453" max="9453" width="1.7109375" style="9" customWidth="1"/>
    <col min="9454" max="9454" width="0.85546875" style="9" customWidth="1"/>
    <col min="9455" max="9475" width="0" style="9" hidden="1" customWidth="1"/>
    <col min="9476" max="9487" width="8.7109375" style="9" customWidth="1"/>
    <col min="9488" max="9491" width="0" style="9" hidden="1" customWidth="1"/>
    <col min="9492" max="9492" width="45.140625" style="9" customWidth="1"/>
    <col min="9493" max="9496" width="17.85546875" style="9"/>
    <col min="9497" max="9505" width="5.42578125" style="9" customWidth="1"/>
    <col min="9506" max="9510" width="6" style="9" customWidth="1"/>
    <col min="9511" max="9511" width="6.85546875" style="9" customWidth="1"/>
    <col min="9512" max="9512" width="5.42578125" style="9" customWidth="1"/>
    <col min="9513" max="9707" width="17.85546875" style="9"/>
    <col min="9708" max="9708" width="18.7109375" style="9" customWidth="1"/>
    <col min="9709" max="9709" width="1.7109375" style="9" customWidth="1"/>
    <col min="9710" max="9710" width="0.85546875" style="9" customWidth="1"/>
    <col min="9711" max="9731" width="0" style="9" hidden="1" customWidth="1"/>
    <col min="9732" max="9743" width="8.7109375" style="9" customWidth="1"/>
    <col min="9744" max="9747" width="0" style="9" hidden="1" customWidth="1"/>
    <col min="9748" max="9748" width="45.140625" style="9" customWidth="1"/>
    <col min="9749" max="9752" width="17.85546875" style="9"/>
    <col min="9753" max="9761" width="5.42578125" style="9" customWidth="1"/>
    <col min="9762" max="9766" width="6" style="9" customWidth="1"/>
    <col min="9767" max="9767" width="6.85546875" style="9" customWidth="1"/>
    <col min="9768" max="9768" width="5.42578125" style="9" customWidth="1"/>
    <col min="9769" max="9963" width="17.85546875" style="9"/>
    <col min="9964" max="9964" width="18.7109375" style="9" customWidth="1"/>
    <col min="9965" max="9965" width="1.7109375" style="9" customWidth="1"/>
    <col min="9966" max="9966" width="0.85546875" style="9" customWidth="1"/>
    <col min="9967" max="9987" width="0" style="9" hidden="1" customWidth="1"/>
    <col min="9988" max="9999" width="8.7109375" style="9" customWidth="1"/>
    <col min="10000" max="10003" width="0" style="9" hidden="1" customWidth="1"/>
    <col min="10004" max="10004" width="45.140625" style="9" customWidth="1"/>
    <col min="10005" max="10008" width="17.85546875" style="9"/>
    <col min="10009" max="10017" width="5.42578125" style="9" customWidth="1"/>
    <col min="10018" max="10022" width="6" style="9" customWidth="1"/>
    <col min="10023" max="10023" width="6.85546875" style="9" customWidth="1"/>
    <col min="10024" max="10024" width="5.42578125" style="9" customWidth="1"/>
    <col min="10025" max="10219" width="17.85546875" style="9"/>
    <col min="10220" max="10220" width="18.7109375" style="9" customWidth="1"/>
    <col min="10221" max="10221" width="1.7109375" style="9" customWidth="1"/>
    <col min="10222" max="10222" width="0.85546875" style="9" customWidth="1"/>
    <col min="10223" max="10243" width="0" style="9" hidden="1" customWidth="1"/>
    <col min="10244" max="10255" width="8.7109375" style="9" customWidth="1"/>
    <col min="10256" max="10259" width="0" style="9" hidden="1" customWidth="1"/>
    <col min="10260" max="10260" width="45.140625" style="9" customWidth="1"/>
    <col min="10261" max="10264" width="17.85546875" style="9"/>
    <col min="10265" max="10273" width="5.42578125" style="9" customWidth="1"/>
    <col min="10274" max="10278" width="6" style="9" customWidth="1"/>
    <col min="10279" max="10279" width="6.85546875" style="9" customWidth="1"/>
    <col min="10280" max="10280" width="5.42578125" style="9" customWidth="1"/>
    <col min="10281" max="10475" width="17.85546875" style="9"/>
    <col min="10476" max="10476" width="18.7109375" style="9" customWidth="1"/>
    <col min="10477" max="10477" width="1.7109375" style="9" customWidth="1"/>
    <col min="10478" max="10478" width="0.85546875" style="9" customWidth="1"/>
    <col min="10479" max="10499" width="0" style="9" hidden="1" customWidth="1"/>
    <col min="10500" max="10511" width="8.7109375" style="9" customWidth="1"/>
    <col min="10512" max="10515" width="0" style="9" hidden="1" customWidth="1"/>
    <col min="10516" max="10516" width="45.140625" style="9" customWidth="1"/>
    <col min="10517" max="10520" width="17.85546875" style="9"/>
    <col min="10521" max="10529" width="5.42578125" style="9" customWidth="1"/>
    <col min="10530" max="10534" width="6" style="9" customWidth="1"/>
    <col min="10535" max="10535" width="6.85546875" style="9" customWidth="1"/>
    <col min="10536" max="10536" width="5.42578125" style="9" customWidth="1"/>
    <col min="10537" max="10731" width="17.85546875" style="9"/>
    <col min="10732" max="10732" width="18.7109375" style="9" customWidth="1"/>
    <col min="10733" max="10733" width="1.7109375" style="9" customWidth="1"/>
    <col min="10734" max="10734" width="0.85546875" style="9" customWidth="1"/>
    <col min="10735" max="10755" width="0" style="9" hidden="1" customWidth="1"/>
    <col min="10756" max="10767" width="8.7109375" style="9" customWidth="1"/>
    <col min="10768" max="10771" width="0" style="9" hidden="1" customWidth="1"/>
    <col min="10772" max="10772" width="45.140625" style="9" customWidth="1"/>
    <col min="10773" max="10776" width="17.85546875" style="9"/>
    <col min="10777" max="10785" width="5.42578125" style="9" customWidth="1"/>
    <col min="10786" max="10790" width="6" style="9" customWidth="1"/>
    <col min="10791" max="10791" width="6.85546875" style="9" customWidth="1"/>
    <col min="10792" max="10792" width="5.42578125" style="9" customWidth="1"/>
    <col min="10793" max="10987" width="17.85546875" style="9"/>
    <col min="10988" max="10988" width="18.7109375" style="9" customWidth="1"/>
    <col min="10989" max="10989" width="1.7109375" style="9" customWidth="1"/>
    <col min="10990" max="10990" width="0.85546875" style="9" customWidth="1"/>
    <col min="10991" max="11011" width="0" style="9" hidden="1" customWidth="1"/>
    <col min="11012" max="11023" width="8.7109375" style="9" customWidth="1"/>
    <col min="11024" max="11027" width="0" style="9" hidden="1" customWidth="1"/>
    <col min="11028" max="11028" width="45.140625" style="9" customWidth="1"/>
    <col min="11029" max="11032" width="17.85546875" style="9"/>
    <col min="11033" max="11041" width="5.42578125" style="9" customWidth="1"/>
    <col min="11042" max="11046" width="6" style="9" customWidth="1"/>
    <col min="11047" max="11047" width="6.85546875" style="9" customWidth="1"/>
    <col min="11048" max="11048" width="5.42578125" style="9" customWidth="1"/>
    <col min="11049" max="11243" width="17.85546875" style="9"/>
    <col min="11244" max="11244" width="18.7109375" style="9" customWidth="1"/>
    <col min="11245" max="11245" width="1.7109375" style="9" customWidth="1"/>
    <col min="11246" max="11246" width="0.85546875" style="9" customWidth="1"/>
    <col min="11247" max="11267" width="0" style="9" hidden="1" customWidth="1"/>
    <col min="11268" max="11279" width="8.7109375" style="9" customWidth="1"/>
    <col min="11280" max="11283" width="0" style="9" hidden="1" customWidth="1"/>
    <col min="11284" max="11284" width="45.140625" style="9" customWidth="1"/>
    <col min="11285" max="11288" width="17.85546875" style="9"/>
    <col min="11289" max="11297" width="5.42578125" style="9" customWidth="1"/>
    <col min="11298" max="11302" width="6" style="9" customWidth="1"/>
    <col min="11303" max="11303" width="6.85546875" style="9" customWidth="1"/>
    <col min="11304" max="11304" width="5.42578125" style="9" customWidth="1"/>
    <col min="11305" max="11499" width="17.85546875" style="9"/>
    <col min="11500" max="11500" width="18.7109375" style="9" customWidth="1"/>
    <col min="11501" max="11501" width="1.7109375" style="9" customWidth="1"/>
    <col min="11502" max="11502" width="0.85546875" style="9" customWidth="1"/>
    <col min="11503" max="11523" width="0" style="9" hidden="1" customWidth="1"/>
    <col min="11524" max="11535" width="8.7109375" style="9" customWidth="1"/>
    <col min="11536" max="11539" width="0" style="9" hidden="1" customWidth="1"/>
    <col min="11540" max="11540" width="45.140625" style="9" customWidth="1"/>
    <col min="11541" max="11544" width="17.85546875" style="9"/>
    <col min="11545" max="11553" width="5.42578125" style="9" customWidth="1"/>
    <col min="11554" max="11558" width="6" style="9" customWidth="1"/>
    <col min="11559" max="11559" width="6.85546875" style="9" customWidth="1"/>
    <col min="11560" max="11560" width="5.42578125" style="9" customWidth="1"/>
    <col min="11561" max="11755" width="17.85546875" style="9"/>
    <col min="11756" max="11756" width="18.7109375" style="9" customWidth="1"/>
    <col min="11757" max="11757" width="1.7109375" style="9" customWidth="1"/>
    <col min="11758" max="11758" width="0.85546875" style="9" customWidth="1"/>
    <col min="11759" max="11779" width="0" style="9" hidden="1" customWidth="1"/>
    <col min="11780" max="11791" width="8.7109375" style="9" customWidth="1"/>
    <col min="11792" max="11795" width="0" style="9" hidden="1" customWidth="1"/>
    <col min="11796" max="11796" width="45.140625" style="9" customWidth="1"/>
    <col min="11797" max="11800" width="17.85546875" style="9"/>
    <col min="11801" max="11809" width="5.42578125" style="9" customWidth="1"/>
    <col min="11810" max="11814" width="6" style="9" customWidth="1"/>
    <col min="11815" max="11815" width="6.85546875" style="9" customWidth="1"/>
    <col min="11816" max="11816" width="5.42578125" style="9" customWidth="1"/>
    <col min="11817" max="12011" width="17.85546875" style="9"/>
    <col min="12012" max="12012" width="18.7109375" style="9" customWidth="1"/>
    <col min="12013" max="12013" width="1.7109375" style="9" customWidth="1"/>
    <col min="12014" max="12014" width="0.85546875" style="9" customWidth="1"/>
    <col min="12015" max="12035" width="0" style="9" hidden="1" customWidth="1"/>
    <col min="12036" max="12047" width="8.7109375" style="9" customWidth="1"/>
    <col min="12048" max="12051" width="0" style="9" hidden="1" customWidth="1"/>
    <col min="12052" max="12052" width="45.140625" style="9" customWidth="1"/>
    <col min="12053" max="12056" width="17.85546875" style="9"/>
    <col min="12057" max="12065" width="5.42578125" style="9" customWidth="1"/>
    <col min="12066" max="12070" width="6" style="9" customWidth="1"/>
    <col min="12071" max="12071" width="6.85546875" style="9" customWidth="1"/>
    <col min="12072" max="12072" width="5.42578125" style="9" customWidth="1"/>
    <col min="12073" max="12267" width="17.85546875" style="9"/>
    <col min="12268" max="12268" width="18.7109375" style="9" customWidth="1"/>
    <col min="12269" max="12269" width="1.7109375" style="9" customWidth="1"/>
    <col min="12270" max="12270" width="0.85546875" style="9" customWidth="1"/>
    <col min="12271" max="12291" width="0" style="9" hidden="1" customWidth="1"/>
    <col min="12292" max="12303" width="8.7109375" style="9" customWidth="1"/>
    <col min="12304" max="12307" width="0" style="9" hidden="1" customWidth="1"/>
    <col min="12308" max="12308" width="45.140625" style="9" customWidth="1"/>
    <col min="12309" max="12312" width="17.85546875" style="9"/>
    <col min="12313" max="12321" width="5.42578125" style="9" customWidth="1"/>
    <col min="12322" max="12326" width="6" style="9" customWidth="1"/>
    <col min="12327" max="12327" width="6.85546875" style="9" customWidth="1"/>
    <col min="12328" max="12328" width="5.42578125" style="9" customWidth="1"/>
    <col min="12329" max="12523" width="17.85546875" style="9"/>
    <col min="12524" max="12524" width="18.7109375" style="9" customWidth="1"/>
    <col min="12525" max="12525" width="1.7109375" style="9" customWidth="1"/>
    <col min="12526" max="12526" width="0.85546875" style="9" customWidth="1"/>
    <col min="12527" max="12547" width="0" style="9" hidden="1" customWidth="1"/>
    <col min="12548" max="12559" width="8.7109375" style="9" customWidth="1"/>
    <col min="12560" max="12563" width="0" style="9" hidden="1" customWidth="1"/>
    <col min="12564" max="12564" width="45.140625" style="9" customWidth="1"/>
    <col min="12565" max="12568" width="17.85546875" style="9"/>
    <col min="12569" max="12577" width="5.42578125" style="9" customWidth="1"/>
    <col min="12578" max="12582" width="6" style="9" customWidth="1"/>
    <col min="12583" max="12583" width="6.85546875" style="9" customWidth="1"/>
    <col min="12584" max="12584" width="5.42578125" style="9" customWidth="1"/>
    <col min="12585" max="12779" width="17.85546875" style="9"/>
    <col min="12780" max="12780" width="18.7109375" style="9" customWidth="1"/>
    <col min="12781" max="12781" width="1.7109375" style="9" customWidth="1"/>
    <col min="12782" max="12782" width="0.85546875" style="9" customWidth="1"/>
    <col min="12783" max="12803" width="0" style="9" hidden="1" customWidth="1"/>
    <col min="12804" max="12815" width="8.7109375" style="9" customWidth="1"/>
    <col min="12816" max="12819" width="0" style="9" hidden="1" customWidth="1"/>
    <col min="12820" max="12820" width="45.140625" style="9" customWidth="1"/>
    <col min="12821" max="12824" width="17.85546875" style="9"/>
    <col min="12825" max="12833" width="5.42578125" style="9" customWidth="1"/>
    <col min="12834" max="12838" width="6" style="9" customWidth="1"/>
    <col min="12839" max="12839" width="6.85546875" style="9" customWidth="1"/>
    <col min="12840" max="12840" width="5.42578125" style="9" customWidth="1"/>
    <col min="12841" max="13035" width="17.85546875" style="9"/>
    <col min="13036" max="13036" width="18.7109375" style="9" customWidth="1"/>
    <col min="13037" max="13037" width="1.7109375" style="9" customWidth="1"/>
    <col min="13038" max="13038" width="0.85546875" style="9" customWidth="1"/>
    <col min="13039" max="13059" width="0" style="9" hidden="1" customWidth="1"/>
    <col min="13060" max="13071" width="8.7109375" style="9" customWidth="1"/>
    <col min="13072" max="13075" width="0" style="9" hidden="1" customWidth="1"/>
    <col min="13076" max="13076" width="45.140625" style="9" customWidth="1"/>
    <col min="13077" max="13080" width="17.85546875" style="9"/>
    <col min="13081" max="13089" width="5.42578125" style="9" customWidth="1"/>
    <col min="13090" max="13094" width="6" style="9" customWidth="1"/>
    <col min="13095" max="13095" width="6.85546875" style="9" customWidth="1"/>
    <col min="13096" max="13096" width="5.42578125" style="9" customWidth="1"/>
    <col min="13097" max="13291" width="17.85546875" style="9"/>
    <col min="13292" max="13292" width="18.7109375" style="9" customWidth="1"/>
    <col min="13293" max="13293" width="1.7109375" style="9" customWidth="1"/>
    <col min="13294" max="13294" width="0.85546875" style="9" customWidth="1"/>
    <col min="13295" max="13315" width="0" style="9" hidden="1" customWidth="1"/>
    <col min="13316" max="13327" width="8.7109375" style="9" customWidth="1"/>
    <col min="13328" max="13331" width="0" style="9" hidden="1" customWidth="1"/>
    <col min="13332" max="13332" width="45.140625" style="9" customWidth="1"/>
    <col min="13333" max="13336" width="17.85546875" style="9"/>
    <col min="13337" max="13345" width="5.42578125" style="9" customWidth="1"/>
    <col min="13346" max="13350" width="6" style="9" customWidth="1"/>
    <col min="13351" max="13351" width="6.85546875" style="9" customWidth="1"/>
    <col min="13352" max="13352" width="5.42578125" style="9" customWidth="1"/>
    <col min="13353" max="13547" width="17.85546875" style="9"/>
    <col min="13548" max="13548" width="18.7109375" style="9" customWidth="1"/>
    <col min="13549" max="13549" width="1.7109375" style="9" customWidth="1"/>
    <col min="13550" max="13550" width="0.85546875" style="9" customWidth="1"/>
    <col min="13551" max="13571" width="0" style="9" hidden="1" customWidth="1"/>
    <col min="13572" max="13583" width="8.7109375" style="9" customWidth="1"/>
    <col min="13584" max="13587" width="0" style="9" hidden="1" customWidth="1"/>
    <col min="13588" max="13588" width="45.140625" style="9" customWidth="1"/>
    <col min="13589" max="13592" width="17.85546875" style="9"/>
    <col min="13593" max="13601" width="5.42578125" style="9" customWidth="1"/>
    <col min="13602" max="13606" width="6" style="9" customWidth="1"/>
    <col min="13607" max="13607" width="6.85546875" style="9" customWidth="1"/>
    <col min="13608" max="13608" width="5.42578125" style="9" customWidth="1"/>
    <col min="13609" max="13803" width="17.85546875" style="9"/>
    <col min="13804" max="13804" width="18.7109375" style="9" customWidth="1"/>
    <col min="13805" max="13805" width="1.7109375" style="9" customWidth="1"/>
    <col min="13806" max="13806" width="0.85546875" style="9" customWidth="1"/>
    <col min="13807" max="13827" width="0" style="9" hidden="1" customWidth="1"/>
    <col min="13828" max="13839" width="8.7109375" style="9" customWidth="1"/>
    <col min="13840" max="13843" width="0" style="9" hidden="1" customWidth="1"/>
    <col min="13844" max="13844" width="45.140625" style="9" customWidth="1"/>
    <col min="13845" max="13848" width="17.85546875" style="9"/>
    <col min="13849" max="13857" width="5.42578125" style="9" customWidth="1"/>
    <col min="13858" max="13862" width="6" style="9" customWidth="1"/>
    <col min="13863" max="13863" width="6.85546875" style="9" customWidth="1"/>
    <col min="13864" max="13864" width="5.42578125" style="9" customWidth="1"/>
    <col min="13865" max="14059" width="17.85546875" style="9"/>
    <col min="14060" max="14060" width="18.7109375" style="9" customWidth="1"/>
    <col min="14061" max="14061" width="1.7109375" style="9" customWidth="1"/>
    <col min="14062" max="14062" width="0.85546875" style="9" customWidth="1"/>
    <col min="14063" max="14083" width="0" style="9" hidden="1" customWidth="1"/>
    <col min="14084" max="14095" width="8.7109375" style="9" customWidth="1"/>
    <col min="14096" max="14099" width="0" style="9" hidden="1" customWidth="1"/>
    <col min="14100" max="14100" width="45.140625" style="9" customWidth="1"/>
    <col min="14101" max="14104" width="17.85546875" style="9"/>
    <col min="14105" max="14113" width="5.42578125" style="9" customWidth="1"/>
    <col min="14114" max="14118" width="6" style="9" customWidth="1"/>
    <col min="14119" max="14119" width="6.85546875" style="9" customWidth="1"/>
    <col min="14120" max="14120" width="5.42578125" style="9" customWidth="1"/>
    <col min="14121" max="14315" width="17.85546875" style="9"/>
    <col min="14316" max="14316" width="18.7109375" style="9" customWidth="1"/>
    <col min="14317" max="14317" width="1.7109375" style="9" customWidth="1"/>
    <col min="14318" max="14318" width="0.85546875" style="9" customWidth="1"/>
    <col min="14319" max="14339" width="0" style="9" hidden="1" customWidth="1"/>
    <col min="14340" max="14351" width="8.7109375" style="9" customWidth="1"/>
    <col min="14352" max="14355" width="0" style="9" hidden="1" customWidth="1"/>
    <col min="14356" max="14356" width="45.140625" style="9" customWidth="1"/>
    <col min="14357" max="14360" width="17.85546875" style="9"/>
    <col min="14361" max="14369" width="5.42578125" style="9" customWidth="1"/>
    <col min="14370" max="14374" width="6" style="9" customWidth="1"/>
    <col min="14375" max="14375" width="6.85546875" style="9" customWidth="1"/>
    <col min="14376" max="14376" width="5.42578125" style="9" customWidth="1"/>
    <col min="14377" max="14571" width="17.85546875" style="9"/>
    <col min="14572" max="14572" width="18.7109375" style="9" customWidth="1"/>
    <col min="14573" max="14573" width="1.7109375" style="9" customWidth="1"/>
    <col min="14574" max="14574" width="0.85546875" style="9" customWidth="1"/>
    <col min="14575" max="14595" width="0" style="9" hidden="1" customWidth="1"/>
    <col min="14596" max="14607" width="8.7109375" style="9" customWidth="1"/>
    <col min="14608" max="14611" width="0" style="9" hidden="1" customWidth="1"/>
    <col min="14612" max="14612" width="45.140625" style="9" customWidth="1"/>
    <col min="14613" max="14616" width="17.85546875" style="9"/>
    <col min="14617" max="14625" width="5.42578125" style="9" customWidth="1"/>
    <col min="14626" max="14630" width="6" style="9" customWidth="1"/>
    <col min="14631" max="14631" width="6.85546875" style="9" customWidth="1"/>
    <col min="14632" max="14632" width="5.42578125" style="9" customWidth="1"/>
    <col min="14633" max="14827" width="17.85546875" style="9"/>
    <col min="14828" max="14828" width="18.7109375" style="9" customWidth="1"/>
    <col min="14829" max="14829" width="1.7109375" style="9" customWidth="1"/>
    <col min="14830" max="14830" width="0.85546875" style="9" customWidth="1"/>
    <col min="14831" max="14851" width="0" style="9" hidden="1" customWidth="1"/>
    <col min="14852" max="14863" width="8.7109375" style="9" customWidth="1"/>
    <col min="14864" max="14867" width="0" style="9" hidden="1" customWidth="1"/>
    <col min="14868" max="14868" width="45.140625" style="9" customWidth="1"/>
    <col min="14869" max="14872" width="17.85546875" style="9"/>
    <col min="14873" max="14881" width="5.42578125" style="9" customWidth="1"/>
    <col min="14882" max="14886" width="6" style="9" customWidth="1"/>
    <col min="14887" max="14887" width="6.85546875" style="9" customWidth="1"/>
    <col min="14888" max="14888" width="5.42578125" style="9" customWidth="1"/>
    <col min="14889" max="15083" width="17.85546875" style="9"/>
    <col min="15084" max="15084" width="18.7109375" style="9" customWidth="1"/>
    <col min="15085" max="15085" width="1.7109375" style="9" customWidth="1"/>
    <col min="15086" max="15086" width="0.85546875" style="9" customWidth="1"/>
    <col min="15087" max="15107" width="0" style="9" hidden="1" customWidth="1"/>
    <col min="15108" max="15119" width="8.7109375" style="9" customWidth="1"/>
    <col min="15120" max="15123" width="0" style="9" hidden="1" customWidth="1"/>
    <col min="15124" max="15124" width="45.140625" style="9" customWidth="1"/>
    <col min="15125" max="15128" width="17.85546875" style="9"/>
    <col min="15129" max="15137" width="5.42578125" style="9" customWidth="1"/>
    <col min="15138" max="15142" width="6" style="9" customWidth="1"/>
    <col min="15143" max="15143" width="6.85546875" style="9" customWidth="1"/>
    <col min="15144" max="15144" width="5.42578125" style="9" customWidth="1"/>
    <col min="15145" max="15339" width="17.85546875" style="9"/>
    <col min="15340" max="15340" width="18.7109375" style="9" customWidth="1"/>
    <col min="15341" max="15341" width="1.7109375" style="9" customWidth="1"/>
    <col min="15342" max="15342" width="0.85546875" style="9" customWidth="1"/>
    <col min="15343" max="15363" width="0" style="9" hidden="1" customWidth="1"/>
    <col min="15364" max="15375" width="8.7109375" style="9" customWidth="1"/>
    <col min="15376" max="15379" width="0" style="9" hidden="1" customWidth="1"/>
    <col min="15380" max="15380" width="45.140625" style="9" customWidth="1"/>
    <col min="15381" max="15384" width="17.85546875" style="9"/>
    <col min="15385" max="15393" width="5.42578125" style="9" customWidth="1"/>
    <col min="15394" max="15398" width="6" style="9" customWidth="1"/>
    <col min="15399" max="15399" width="6.85546875" style="9" customWidth="1"/>
    <col min="15400" max="15400" width="5.42578125" style="9" customWidth="1"/>
    <col min="15401" max="15595" width="17.85546875" style="9"/>
    <col min="15596" max="15596" width="18.7109375" style="9" customWidth="1"/>
    <col min="15597" max="15597" width="1.7109375" style="9" customWidth="1"/>
    <col min="15598" max="15598" width="0.85546875" style="9" customWidth="1"/>
    <col min="15599" max="15619" width="0" style="9" hidden="1" customWidth="1"/>
    <col min="15620" max="15631" width="8.7109375" style="9" customWidth="1"/>
    <col min="15632" max="15635" width="0" style="9" hidden="1" customWidth="1"/>
    <col min="15636" max="15636" width="45.140625" style="9" customWidth="1"/>
    <col min="15637" max="15640" width="17.85546875" style="9"/>
    <col min="15641" max="15649" width="5.42578125" style="9" customWidth="1"/>
    <col min="15650" max="15654" width="6" style="9" customWidth="1"/>
    <col min="15655" max="15655" width="6.85546875" style="9" customWidth="1"/>
    <col min="15656" max="15656" width="5.42578125" style="9" customWidth="1"/>
    <col min="15657" max="15851" width="17.85546875" style="9"/>
    <col min="15852" max="15852" width="18.7109375" style="9" customWidth="1"/>
    <col min="15853" max="15853" width="1.7109375" style="9" customWidth="1"/>
    <col min="15854" max="15854" width="0.85546875" style="9" customWidth="1"/>
    <col min="15855" max="15875" width="0" style="9" hidden="1" customWidth="1"/>
    <col min="15876" max="15887" width="8.7109375" style="9" customWidth="1"/>
    <col min="15888" max="15891" width="0" style="9" hidden="1" customWidth="1"/>
    <col min="15892" max="15892" width="45.140625" style="9" customWidth="1"/>
    <col min="15893" max="15896" width="17.85546875" style="9"/>
    <col min="15897" max="15905" width="5.42578125" style="9" customWidth="1"/>
    <col min="15906" max="15910" width="6" style="9" customWidth="1"/>
    <col min="15911" max="15911" width="6.85546875" style="9" customWidth="1"/>
    <col min="15912" max="15912" width="5.42578125" style="9" customWidth="1"/>
    <col min="15913" max="16107" width="17.85546875" style="9"/>
    <col min="16108" max="16108" width="18.7109375" style="9" customWidth="1"/>
    <col min="16109" max="16109" width="1.7109375" style="9" customWidth="1"/>
    <col min="16110" max="16110" width="0.85546875" style="9" customWidth="1"/>
    <col min="16111" max="16131" width="0" style="9" hidden="1" customWidth="1"/>
    <col min="16132" max="16143" width="8.7109375" style="9" customWidth="1"/>
    <col min="16144" max="16147" width="0" style="9" hidden="1" customWidth="1"/>
    <col min="16148" max="16148" width="45.140625" style="9" customWidth="1"/>
    <col min="16149" max="16152" width="17.85546875" style="9"/>
    <col min="16153" max="16161" width="5.42578125" style="9" customWidth="1"/>
    <col min="16162" max="16166" width="6" style="9" customWidth="1"/>
    <col min="16167" max="16167" width="6.85546875" style="9" customWidth="1"/>
    <col min="16168" max="16168" width="5.42578125" style="9" customWidth="1"/>
    <col min="16169" max="16384" width="17.85546875" style="9"/>
  </cols>
  <sheetData>
    <row r="1" spans="1:24" ht="15.75" x14ac:dyDescent="0.2">
      <c r="A1" s="90" t="s">
        <v>27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</row>
    <row r="2" spans="1:24" ht="21.75" customHeight="1" x14ac:dyDescent="0.2">
      <c r="A2" s="91" t="s">
        <v>28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</row>
    <row r="3" spans="1:24" s="12" customFormat="1" ht="15" customHeight="1" x14ac:dyDescent="0.25">
      <c r="A3" s="92" t="s">
        <v>6</v>
      </c>
      <c r="B3" s="10"/>
      <c r="C3" s="11"/>
      <c r="D3" s="95">
        <v>2018</v>
      </c>
      <c r="E3" s="94"/>
      <c r="F3" s="94"/>
      <c r="G3" s="94"/>
      <c r="H3" s="95">
        <v>2019</v>
      </c>
      <c r="I3" s="94"/>
      <c r="J3" s="94"/>
      <c r="K3" s="94"/>
      <c r="L3" s="95">
        <v>2020</v>
      </c>
      <c r="M3" s="94"/>
      <c r="N3" s="94"/>
      <c r="O3" s="94"/>
      <c r="P3" s="95" t="s">
        <v>23</v>
      </c>
      <c r="Q3" s="94"/>
      <c r="R3" s="94"/>
      <c r="S3" s="94"/>
      <c r="T3" s="87" t="s">
        <v>7</v>
      </c>
    </row>
    <row r="4" spans="1:24" s="12" customFormat="1" ht="21" customHeight="1" x14ac:dyDescent="0.25">
      <c r="A4" s="93"/>
      <c r="B4" s="13"/>
      <c r="C4" s="13"/>
      <c r="D4" s="15" t="s">
        <v>0</v>
      </c>
      <c r="E4" s="14" t="s">
        <v>2</v>
      </c>
      <c r="F4" s="14" t="s">
        <v>3</v>
      </c>
      <c r="G4" s="14" t="s">
        <v>8</v>
      </c>
      <c r="H4" s="15" t="s">
        <v>0</v>
      </c>
      <c r="I4" s="14" t="s">
        <v>2</v>
      </c>
      <c r="J4" s="14" t="s">
        <v>3</v>
      </c>
      <c r="K4" s="14" t="s">
        <v>8</v>
      </c>
      <c r="L4" s="15" t="s">
        <v>0</v>
      </c>
      <c r="M4" s="14" t="s">
        <v>2</v>
      </c>
      <c r="N4" s="14" t="s">
        <v>3</v>
      </c>
      <c r="O4" s="14" t="s">
        <v>8</v>
      </c>
      <c r="P4" s="15" t="s">
        <v>0</v>
      </c>
      <c r="Q4" s="14" t="s">
        <v>2</v>
      </c>
      <c r="R4" s="14" t="s">
        <v>3</v>
      </c>
      <c r="S4" s="14" t="s">
        <v>8</v>
      </c>
      <c r="T4" s="88"/>
    </row>
    <row r="5" spans="1:24" s="19" customFormat="1" ht="15.75" x14ac:dyDescent="0.25">
      <c r="A5" s="16" t="s">
        <v>9</v>
      </c>
      <c r="B5" s="17"/>
      <c r="C5" s="18"/>
      <c r="D5" s="50">
        <f>SUM(E5:G5)</f>
        <v>6564</v>
      </c>
      <c r="E5" s="49">
        <f>SUM(E6:E8)</f>
        <v>4265</v>
      </c>
      <c r="F5" s="49">
        <f>SUM(F6:F8)</f>
        <v>2039</v>
      </c>
      <c r="G5" s="49">
        <f>SUM(G6:G8)</f>
        <v>260</v>
      </c>
      <c r="H5" s="50">
        <f>SUM(I5:K5)</f>
        <v>6127</v>
      </c>
      <c r="I5" s="49">
        <f>SUM(I6:I7)</f>
        <v>4254</v>
      </c>
      <c r="J5" s="49">
        <f>SUM(J6:J8)</f>
        <v>1842</v>
      </c>
      <c r="K5" s="49">
        <f>SUM(K6:K7)</f>
        <v>31</v>
      </c>
      <c r="L5" s="50">
        <f>SUM(M5:O5)</f>
        <v>6293</v>
      </c>
      <c r="M5" s="49">
        <f>SUM(M6:M7)</f>
        <v>3151</v>
      </c>
      <c r="N5" s="49">
        <f>SUM(N6:N8)</f>
        <v>3068</v>
      </c>
      <c r="O5" s="49">
        <f>SUM(O6:O7)</f>
        <v>74</v>
      </c>
      <c r="P5" s="50">
        <f>SUM(Q5:S5)</f>
        <v>5914</v>
      </c>
      <c r="Q5" s="49">
        <f>SUM(Q6:Q7)</f>
        <v>3191</v>
      </c>
      <c r="R5" s="49">
        <f>SUM(R6:R8)</f>
        <v>2723</v>
      </c>
      <c r="S5" s="49">
        <f>SUM(S6:S7)</f>
        <v>0</v>
      </c>
      <c r="T5" s="51" t="s">
        <v>10</v>
      </c>
      <c r="U5" s="4"/>
      <c r="V5" s="4"/>
      <c r="W5" s="4"/>
      <c r="X5" s="4"/>
    </row>
    <row r="6" spans="1:24" s="23" customFormat="1" ht="15.75" x14ac:dyDescent="0.25">
      <c r="A6" s="20" t="s">
        <v>11</v>
      </c>
      <c r="B6" s="21"/>
      <c r="C6" s="22"/>
      <c r="D6" s="55">
        <f t="shared" ref="D6:D10" si="0">SUM(E6:G6)</f>
        <v>3411</v>
      </c>
      <c r="E6" s="75">
        <v>2229</v>
      </c>
      <c r="F6" s="75">
        <v>1039</v>
      </c>
      <c r="G6" s="75">
        <v>143</v>
      </c>
      <c r="H6" s="55">
        <f>SUM(I6:K6)</f>
        <v>3088</v>
      </c>
      <c r="I6" s="75">
        <v>2151</v>
      </c>
      <c r="J6" s="75">
        <v>922</v>
      </c>
      <c r="K6" s="75">
        <v>15</v>
      </c>
      <c r="L6" s="55">
        <f>SUM(M6:O6)</f>
        <v>3204</v>
      </c>
      <c r="M6" s="75">
        <v>1590</v>
      </c>
      <c r="N6" s="75">
        <v>1580</v>
      </c>
      <c r="O6" s="75">
        <v>34</v>
      </c>
      <c r="P6" s="55">
        <f>SUM(Q6:S6)</f>
        <v>2951</v>
      </c>
      <c r="Q6" s="75">
        <v>1584</v>
      </c>
      <c r="R6" s="75">
        <v>1367</v>
      </c>
      <c r="S6" s="83">
        <v>0</v>
      </c>
      <c r="T6" s="52" t="s">
        <v>12</v>
      </c>
      <c r="U6" s="4"/>
      <c r="V6" s="5"/>
      <c r="W6" s="5"/>
      <c r="X6" s="5"/>
    </row>
    <row r="7" spans="1:24" s="23" customFormat="1" ht="15.75" x14ac:dyDescent="0.25">
      <c r="A7" s="20" t="s">
        <v>13</v>
      </c>
      <c r="B7" s="21"/>
      <c r="C7" s="22"/>
      <c r="D7" s="55">
        <f t="shared" si="0"/>
        <v>3152</v>
      </c>
      <c r="E7" s="75">
        <v>2035</v>
      </c>
      <c r="F7" s="75">
        <v>1000</v>
      </c>
      <c r="G7" s="75">
        <v>117</v>
      </c>
      <c r="H7" s="55">
        <f>SUM(I7:K7)</f>
        <v>3038</v>
      </c>
      <c r="I7" s="75">
        <v>2103</v>
      </c>
      <c r="J7" s="75">
        <v>919</v>
      </c>
      <c r="K7" s="75">
        <v>16</v>
      </c>
      <c r="L7" s="55">
        <f>SUM(M7:O7)</f>
        <v>3089</v>
      </c>
      <c r="M7" s="75">
        <v>1561</v>
      </c>
      <c r="N7" s="75">
        <v>1488</v>
      </c>
      <c r="O7" s="75">
        <v>40</v>
      </c>
      <c r="P7" s="55">
        <f>SUM(Q7:S7)</f>
        <v>2963</v>
      </c>
      <c r="Q7" s="75">
        <v>1607</v>
      </c>
      <c r="R7" s="75">
        <v>1356</v>
      </c>
      <c r="S7" s="83"/>
      <c r="T7" s="52" t="s">
        <v>14</v>
      </c>
      <c r="U7" s="4"/>
      <c r="V7" s="5"/>
      <c r="W7" s="5"/>
      <c r="X7" s="5"/>
    </row>
    <row r="8" spans="1:24" s="23" customFormat="1" ht="15.75" x14ac:dyDescent="0.25">
      <c r="A8" s="20" t="s">
        <v>19</v>
      </c>
      <c r="B8" s="21"/>
      <c r="C8" s="22"/>
      <c r="D8" s="55">
        <f t="shared" si="0"/>
        <v>1</v>
      </c>
      <c r="E8" s="75">
        <v>1</v>
      </c>
      <c r="F8" s="75">
        <v>0</v>
      </c>
      <c r="G8" s="59">
        <v>0</v>
      </c>
      <c r="H8" s="60">
        <f>SUM(I8:K8)</f>
        <v>1</v>
      </c>
      <c r="I8" s="61">
        <v>0</v>
      </c>
      <c r="J8" s="61">
        <v>1</v>
      </c>
      <c r="K8" s="61">
        <v>0</v>
      </c>
      <c r="L8" s="60" t="s">
        <v>1</v>
      </c>
      <c r="M8" s="61" t="s">
        <v>1</v>
      </c>
      <c r="N8" s="61" t="s">
        <v>1</v>
      </c>
      <c r="O8" s="61" t="s">
        <v>1</v>
      </c>
      <c r="P8" s="60" t="s">
        <v>1</v>
      </c>
      <c r="Q8" s="61" t="s">
        <v>1</v>
      </c>
      <c r="R8" s="61" t="s">
        <v>1</v>
      </c>
      <c r="S8" s="61" t="s">
        <v>1</v>
      </c>
      <c r="T8" s="52"/>
      <c r="U8" s="4"/>
      <c r="V8" s="5"/>
      <c r="W8" s="5"/>
      <c r="X8" s="5"/>
    </row>
    <row r="9" spans="1:24" s="19" customFormat="1" ht="15.75" x14ac:dyDescent="0.25">
      <c r="A9" s="77" t="s">
        <v>15</v>
      </c>
      <c r="B9" s="24"/>
      <c r="C9" s="25"/>
      <c r="D9" s="62">
        <f>SUM(E9:G9)</f>
        <v>46</v>
      </c>
      <c r="E9" s="63">
        <f>SUM(E10:E12)</f>
        <v>32</v>
      </c>
      <c r="F9" s="63">
        <f>SUM(F10:F12)</f>
        <v>12</v>
      </c>
      <c r="G9" s="63">
        <f>SUM(G10:G12)</f>
        <v>2</v>
      </c>
      <c r="H9" s="62">
        <f>SUM(I11:K11)</f>
        <v>20</v>
      </c>
      <c r="I9" s="63">
        <f>SUM(I10:I11)</f>
        <v>24</v>
      </c>
      <c r="J9" s="63">
        <f>SUM(J10:J11)</f>
        <v>8</v>
      </c>
      <c r="K9" s="63">
        <f>SUM(K10:K11)</f>
        <v>11</v>
      </c>
      <c r="L9" s="62">
        <f>SUM(M9:O9)</f>
        <v>45</v>
      </c>
      <c r="M9" s="63">
        <f>SUM(M10:M12)</f>
        <v>36</v>
      </c>
      <c r="N9" s="63">
        <f t="shared" ref="N9:O9" si="1">SUM(N10:N12)</f>
        <v>7</v>
      </c>
      <c r="O9" s="63">
        <f t="shared" si="1"/>
        <v>2</v>
      </c>
      <c r="P9" s="62">
        <f>SUM(Q9:S9)</f>
        <v>97</v>
      </c>
      <c r="Q9" s="63">
        <f>SUM(Q10:Q12)</f>
        <v>77</v>
      </c>
      <c r="R9" s="63">
        <f t="shared" ref="R9:S9" si="2">SUM(R10:R12)</f>
        <v>20</v>
      </c>
      <c r="S9" s="63">
        <f t="shared" si="2"/>
        <v>0</v>
      </c>
      <c r="T9" s="51" t="s">
        <v>16</v>
      </c>
      <c r="U9" s="4"/>
      <c r="V9" s="6"/>
      <c r="W9" s="6"/>
      <c r="X9" s="6"/>
    </row>
    <row r="10" spans="1:24" s="19" customFormat="1" ht="15.75" x14ac:dyDescent="0.25">
      <c r="A10" s="20" t="s">
        <v>11</v>
      </c>
      <c r="B10" s="26"/>
      <c r="C10" s="27"/>
      <c r="D10" s="64">
        <f t="shared" si="0"/>
        <v>24</v>
      </c>
      <c r="E10" s="76">
        <v>19</v>
      </c>
      <c r="F10" s="76">
        <v>4</v>
      </c>
      <c r="G10" s="76">
        <v>1</v>
      </c>
      <c r="H10" s="64">
        <f>SUM(I10:K10)</f>
        <v>23</v>
      </c>
      <c r="I10" s="76">
        <v>11</v>
      </c>
      <c r="J10" s="76">
        <v>4</v>
      </c>
      <c r="K10" s="76">
        <v>8</v>
      </c>
      <c r="L10" s="64">
        <f t="shared" ref="L10:L12" si="3">SUM(M10:O10)</f>
        <v>12</v>
      </c>
      <c r="M10" s="76">
        <v>9</v>
      </c>
      <c r="N10" s="76">
        <v>2</v>
      </c>
      <c r="O10" s="76">
        <v>1</v>
      </c>
      <c r="P10" s="64">
        <f t="shared" ref="P10:P12" si="4">SUM(Q10:S10)</f>
        <v>60</v>
      </c>
      <c r="Q10" s="76">
        <v>46</v>
      </c>
      <c r="R10" s="76">
        <v>14</v>
      </c>
      <c r="S10" s="84">
        <v>0</v>
      </c>
      <c r="T10" s="52" t="s">
        <v>12</v>
      </c>
      <c r="U10" s="4"/>
      <c r="V10" s="4"/>
      <c r="W10" s="4"/>
      <c r="X10" s="4"/>
    </row>
    <row r="11" spans="1:24" s="19" customFormat="1" ht="15.75" x14ac:dyDescent="0.25">
      <c r="A11" s="20" t="s">
        <v>13</v>
      </c>
      <c r="B11" s="26"/>
      <c r="C11" s="27"/>
      <c r="D11" s="64">
        <f>SUM(E11:G11)</f>
        <v>21</v>
      </c>
      <c r="E11" s="76">
        <v>13</v>
      </c>
      <c r="F11" s="76">
        <v>7</v>
      </c>
      <c r="G11" s="76">
        <v>1</v>
      </c>
      <c r="H11" s="64">
        <f>SUM(K14:K14)</f>
        <v>0</v>
      </c>
      <c r="I11" s="76">
        <v>13</v>
      </c>
      <c r="J11" s="76">
        <v>4</v>
      </c>
      <c r="K11" s="76">
        <v>3</v>
      </c>
      <c r="L11" s="64">
        <f t="shared" si="3"/>
        <v>11</v>
      </c>
      <c r="M11" s="76">
        <v>10</v>
      </c>
      <c r="N11" s="76">
        <v>0</v>
      </c>
      <c r="O11" s="76">
        <v>1</v>
      </c>
      <c r="P11" s="64">
        <f t="shared" si="4"/>
        <v>35</v>
      </c>
      <c r="Q11" s="76">
        <v>31</v>
      </c>
      <c r="R11" s="76">
        <v>4</v>
      </c>
      <c r="S11" s="84">
        <v>0</v>
      </c>
      <c r="T11" s="52" t="s">
        <v>14</v>
      </c>
      <c r="U11" s="4"/>
      <c r="V11" s="7"/>
      <c r="W11" s="7"/>
      <c r="X11" s="7"/>
    </row>
    <row r="12" spans="1:24" s="19" customFormat="1" ht="15.75" x14ac:dyDescent="0.25">
      <c r="A12" s="20" t="s">
        <v>19</v>
      </c>
      <c r="B12" s="26"/>
      <c r="C12" s="27"/>
      <c r="D12" s="64">
        <f>SUM(E12:G12)</f>
        <v>1</v>
      </c>
      <c r="E12" s="59">
        <v>0</v>
      </c>
      <c r="F12" s="65">
        <v>1</v>
      </c>
      <c r="G12" s="66">
        <v>0</v>
      </c>
      <c r="H12" s="56" t="s">
        <v>1</v>
      </c>
      <c r="I12" s="57" t="s">
        <v>1</v>
      </c>
      <c r="J12" s="57" t="s">
        <v>1</v>
      </c>
      <c r="K12" s="57" t="s">
        <v>1</v>
      </c>
      <c r="L12" s="64">
        <f t="shared" si="3"/>
        <v>22</v>
      </c>
      <c r="M12" s="76">
        <v>17</v>
      </c>
      <c r="N12" s="76">
        <v>5</v>
      </c>
      <c r="O12" s="76">
        <v>0</v>
      </c>
      <c r="P12" s="64">
        <f t="shared" si="4"/>
        <v>2</v>
      </c>
      <c r="Q12" s="76">
        <v>0</v>
      </c>
      <c r="R12" s="76">
        <v>2</v>
      </c>
      <c r="S12" s="84">
        <v>0</v>
      </c>
      <c r="T12" s="52"/>
      <c r="U12" s="4"/>
      <c r="V12" s="7"/>
      <c r="W12" s="7"/>
      <c r="X12" s="7"/>
    </row>
    <row r="13" spans="1:24" s="19" customFormat="1" ht="15.75" x14ac:dyDescent="0.25">
      <c r="A13" s="30" t="s">
        <v>20</v>
      </c>
      <c r="B13" s="28"/>
      <c r="C13" s="29"/>
      <c r="D13" s="67"/>
      <c r="E13" s="68"/>
      <c r="F13" s="68"/>
      <c r="G13" s="68"/>
      <c r="H13" s="67"/>
      <c r="I13" s="68"/>
      <c r="J13" s="68"/>
      <c r="K13" s="68"/>
      <c r="L13" s="67"/>
      <c r="M13" s="68"/>
      <c r="N13" s="68"/>
      <c r="O13" s="68"/>
      <c r="P13" s="67"/>
      <c r="Q13" s="68"/>
      <c r="R13" s="68"/>
      <c r="S13" s="68"/>
      <c r="T13" s="51" t="s">
        <v>17</v>
      </c>
      <c r="U13" s="4"/>
      <c r="V13" s="7"/>
      <c r="W13" s="7"/>
      <c r="X13" s="7"/>
    </row>
    <row r="14" spans="1:24" s="19" customFormat="1" ht="15.75" x14ac:dyDescent="0.25">
      <c r="A14" s="30" t="s">
        <v>21</v>
      </c>
      <c r="B14" s="28"/>
      <c r="C14" s="31"/>
      <c r="D14" s="67">
        <f t="shared" ref="D14:F16" si="5">D9/D5*1000</f>
        <v>7.0079219987812307</v>
      </c>
      <c r="E14" s="68">
        <f t="shared" si="5"/>
        <v>7.5029308323563892</v>
      </c>
      <c r="F14" s="68">
        <f t="shared" si="5"/>
        <v>5.8852378616969103</v>
      </c>
      <c r="G14" s="58" t="s">
        <v>1</v>
      </c>
      <c r="H14" s="67">
        <f t="shared" ref="H14:N16" si="6">H9/H5*1000</f>
        <v>3.2642402480822592</v>
      </c>
      <c r="I14" s="68">
        <f t="shared" si="6"/>
        <v>5.6417489421720735</v>
      </c>
      <c r="J14" s="68">
        <f t="shared" si="6"/>
        <v>4.3431053203040175</v>
      </c>
      <c r="K14" s="57" t="s">
        <v>1</v>
      </c>
      <c r="L14" s="67">
        <f t="shared" si="6"/>
        <v>7.1508024789448585</v>
      </c>
      <c r="M14" s="68">
        <f t="shared" si="6"/>
        <v>11.424944462075532</v>
      </c>
      <c r="N14" s="68">
        <f t="shared" si="6"/>
        <v>2.2816166883963493</v>
      </c>
      <c r="O14" s="57" t="s">
        <v>1</v>
      </c>
      <c r="P14" s="67">
        <f t="shared" ref="P14:R16" si="7">P9/P5*1000</f>
        <v>16.401758539059859</v>
      </c>
      <c r="Q14" s="68">
        <f t="shared" si="7"/>
        <v>24.13036665622062</v>
      </c>
      <c r="R14" s="68">
        <f t="shared" si="7"/>
        <v>7.3448402497245686</v>
      </c>
      <c r="S14" s="57" t="s">
        <v>1</v>
      </c>
      <c r="T14" s="51" t="s">
        <v>18</v>
      </c>
      <c r="U14" s="8"/>
      <c r="V14" s="8"/>
      <c r="W14" s="8"/>
      <c r="X14" s="8"/>
    </row>
    <row r="15" spans="1:24" s="23" customFormat="1" ht="15.75" x14ac:dyDescent="0.25">
      <c r="A15" s="20" t="s">
        <v>11</v>
      </c>
      <c r="B15" s="32"/>
      <c r="C15" s="33"/>
      <c r="D15" s="69">
        <f t="shared" si="5"/>
        <v>7.0360598065083559</v>
      </c>
      <c r="E15" s="70">
        <f t="shared" si="5"/>
        <v>8.5240017945266935</v>
      </c>
      <c r="F15" s="70">
        <f t="shared" si="5"/>
        <v>3.8498556304138596</v>
      </c>
      <c r="G15" s="58" t="s">
        <v>1</v>
      </c>
      <c r="H15" s="69">
        <f t="shared" si="6"/>
        <v>7.4481865284974091</v>
      </c>
      <c r="I15" s="70">
        <f t="shared" si="6"/>
        <v>5.1139005113900513</v>
      </c>
      <c r="J15" s="70">
        <f t="shared" si="6"/>
        <v>4.3383947939262475</v>
      </c>
      <c r="K15" s="57" t="s">
        <v>1</v>
      </c>
      <c r="L15" s="69">
        <v>3.7453183520599249</v>
      </c>
      <c r="M15" s="70">
        <v>5.6603773584905657</v>
      </c>
      <c r="N15" s="70">
        <v>1.2658227848101267</v>
      </c>
      <c r="O15" s="57" t="s">
        <v>1</v>
      </c>
      <c r="P15" s="69">
        <v>3.7453183520599249</v>
      </c>
      <c r="Q15" s="70">
        <f t="shared" si="7"/>
        <v>29.040404040404042</v>
      </c>
      <c r="R15" s="70">
        <f t="shared" si="7"/>
        <v>10.241404535479152</v>
      </c>
      <c r="S15" s="85"/>
      <c r="T15" s="52" t="s">
        <v>12</v>
      </c>
      <c r="U15" s="34"/>
      <c r="V15" s="8"/>
      <c r="W15" s="8"/>
      <c r="X15" s="89"/>
    </row>
    <row r="16" spans="1:24" s="23" customFormat="1" ht="15.75" x14ac:dyDescent="0.25">
      <c r="A16" s="35" t="s">
        <v>13</v>
      </c>
      <c r="B16" s="36"/>
      <c r="C16" s="37"/>
      <c r="D16" s="71">
        <f t="shared" si="5"/>
        <v>6.6624365482233499</v>
      </c>
      <c r="E16" s="72">
        <f t="shared" si="5"/>
        <v>6.3882063882063882</v>
      </c>
      <c r="F16" s="72">
        <f t="shared" si="5"/>
        <v>7</v>
      </c>
      <c r="G16" s="73" t="s">
        <v>1</v>
      </c>
      <c r="H16" s="71">
        <f t="shared" si="6"/>
        <v>0</v>
      </c>
      <c r="I16" s="72">
        <f t="shared" si="6"/>
        <v>6.1816452686638135</v>
      </c>
      <c r="J16" s="72">
        <f t="shared" si="6"/>
        <v>4.3525571273122958</v>
      </c>
      <c r="K16" s="74" t="s">
        <v>1</v>
      </c>
      <c r="L16" s="71">
        <v>3.5610229847847199</v>
      </c>
      <c r="M16" s="72">
        <v>6.4061499039077514</v>
      </c>
      <c r="N16" s="72">
        <v>0</v>
      </c>
      <c r="O16" s="74" t="s">
        <v>1</v>
      </c>
      <c r="P16" s="71">
        <v>3.5610229847847199</v>
      </c>
      <c r="Q16" s="72">
        <f t="shared" si="7"/>
        <v>19.290603609209708</v>
      </c>
      <c r="R16" s="72">
        <f t="shared" si="7"/>
        <v>2.9498525073746311</v>
      </c>
      <c r="S16" s="86"/>
      <c r="T16" s="53" t="s">
        <v>14</v>
      </c>
      <c r="U16" s="8"/>
      <c r="V16" s="8"/>
      <c r="W16" s="8"/>
      <c r="X16" s="89"/>
    </row>
    <row r="17" spans="1:43" s="39" customFormat="1" ht="18.75" x14ac:dyDescent="0.25">
      <c r="A17" s="78" t="s">
        <v>25</v>
      </c>
      <c r="B17" s="38"/>
      <c r="C17" s="38"/>
      <c r="K17" s="54"/>
      <c r="O17" s="54"/>
      <c r="S17" s="54"/>
      <c r="T17" s="81" t="s">
        <v>26</v>
      </c>
      <c r="U17" s="8"/>
      <c r="V17" s="8"/>
      <c r="W17" s="8"/>
      <c r="X17" s="89"/>
      <c r="Y17" s="40"/>
      <c r="Z17" s="40"/>
      <c r="AA17" s="40"/>
      <c r="AB17" s="40"/>
    </row>
    <row r="18" spans="1:43" s="42" customFormat="1" ht="18.75" x14ac:dyDescent="0.25">
      <c r="A18" s="79" t="s">
        <v>24</v>
      </c>
      <c r="B18" s="41"/>
      <c r="C18" s="41"/>
      <c r="T18" s="82" t="s">
        <v>22</v>
      </c>
      <c r="U18" s="41"/>
      <c r="V18" s="41"/>
      <c r="W18" s="41"/>
      <c r="X18" s="41"/>
    </row>
    <row r="19" spans="1:43" ht="21" x14ac:dyDescent="0.2">
      <c r="A19" s="80" t="s">
        <v>4</v>
      </c>
      <c r="T19" s="3" t="s">
        <v>5</v>
      </c>
    </row>
    <row r="20" spans="1:43" ht="12.75" x14ac:dyDescent="0.2">
      <c r="A20" s="2"/>
      <c r="T20" s="43"/>
      <c r="Y20" s="44"/>
      <c r="Z20" s="44">
        <v>2004</v>
      </c>
      <c r="AA20" s="44">
        <v>2005</v>
      </c>
      <c r="AB20" s="44">
        <v>2006</v>
      </c>
      <c r="AC20" s="44">
        <v>2007</v>
      </c>
      <c r="AD20" s="44">
        <v>2008</v>
      </c>
      <c r="AE20" s="44">
        <v>2009</v>
      </c>
      <c r="AF20" s="9">
        <v>2010</v>
      </c>
      <c r="AG20" s="9">
        <v>2011</v>
      </c>
      <c r="AH20" s="44">
        <v>2012</v>
      </c>
      <c r="AI20" s="9">
        <v>2013</v>
      </c>
      <c r="AJ20" s="9">
        <v>2014</v>
      </c>
      <c r="AK20" s="44">
        <v>2015</v>
      </c>
      <c r="AL20" s="9">
        <v>2016</v>
      </c>
      <c r="AM20" s="9">
        <v>2017</v>
      </c>
      <c r="AN20" s="9">
        <v>2018</v>
      </c>
      <c r="AO20" s="9">
        <v>2019</v>
      </c>
      <c r="AP20" s="9">
        <v>2020</v>
      </c>
      <c r="AQ20" s="9">
        <v>2021</v>
      </c>
    </row>
    <row r="21" spans="1:43" ht="12.75" x14ac:dyDescent="0.2">
      <c r="Y21" s="44" t="s">
        <v>2</v>
      </c>
      <c r="Z21" s="45">
        <v>10</v>
      </c>
      <c r="AA21" s="46">
        <v>12</v>
      </c>
      <c r="AB21" s="46">
        <v>13</v>
      </c>
      <c r="AC21" s="46">
        <v>9.0820629257216989</v>
      </c>
      <c r="AD21" s="46">
        <v>12</v>
      </c>
      <c r="AE21" s="46">
        <v>14</v>
      </c>
      <c r="AF21" s="46">
        <v>11</v>
      </c>
      <c r="AG21" s="28">
        <v>10</v>
      </c>
      <c r="AH21" s="28">
        <v>10</v>
      </c>
      <c r="AI21" s="46">
        <v>5.1085568326947639</v>
      </c>
      <c r="AJ21" s="46">
        <v>8.4388185654008439</v>
      </c>
      <c r="AK21" s="46">
        <v>9.7949886104783594</v>
      </c>
      <c r="AL21" s="46">
        <v>8.2063305978898011</v>
      </c>
      <c r="AM21" s="46">
        <v>10.526315789473683</v>
      </c>
      <c r="AN21" s="46">
        <f>E14</f>
        <v>7.5029308323563892</v>
      </c>
      <c r="AO21" s="46">
        <f>I14</f>
        <v>5.6417489421720735</v>
      </c>
      <c r="AP21" s="46">
        <f>M14</f>
        <v>11.424944462075532</v>
      </c>
      <c r="AQ21" s="46">
        <f>Q14</f>
        <v>24.13036665622062</v>
      </c>
    </row>
    <row r="22" spans="1:43" ht="12.75" x14ac:dyDescent="0.2">
      <c r="Y22" s="44" t="s">
        <v>3</v>
      </c>
      <c r="Z22" s="47">
        <v>18</v>
      </c>
      <c r="AA22" s="46">
        <v>12</v>
      </c>
      <c r="AB22" s="46">
        <v>18</v>
      </c>
      <c r="AC22" s="46">
        <v>10.900745840504877</v>
      </c>
      <c r="AD22" s="46">
        <v>10</v>
      </c>
      <c r="AE22" s="46">
        <v>8</v>
      </c>
      <c r="AF22" s="46">
        <v>10</v>
      </c>
      <c r="AG22" s="28">
        <v>6</v>
      </c>
      <c r="AH22" s="28">
        <v>7</v>
      </c>
      <c r="AI22" s="46">
        <v>6.9060773480662982</v>
      </c>
      <c r="AJ22" s="46">
        <v>4.6296296296296298</v>
      </c>
      <c r="AK22" s="46">
        <v>5.84795321637427</v>
      </c>
      <c r="AL22" s="46">
        <v>6.5207265952491849</v>
      </c>
      <c r="AM22" s="46">
        <v>6.381039197812215</v>
      </c>
      <c r="AN22" s="46">
        <f>F14</f>
        <v>5.8852378616969103</v>
      </c>
      <c r="AO22" s="46">
        <f>J14</f>
        <v>4.3431053203040175</v>
      </c>
      <c r="AP22" s="46">
        <f>N14</f>
        <v>2.2816166883963493</v>
      </c>
      <c r="AQ22" s="46">
        <f>R14</f>
        <v>7.3448402497245686</v>
      </c>
    </row>
    <row r="23" spans="1:43" ht="12.75" x14ac:dyDescent="0.2">
      <c r="AL23" s="46"/>
    </row>
    <row r="24" spans="1:43" ht="16.5" customHeight="1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AC24" s="48"/>
    </row>
    <row r="25" spans="1:43" ht="16.5" customHeight="1" x14ac:dyDescent="0.3">
      <c r="AC25" s="48"/>
    </row>
    <row r="26" spans="1:43" ht="16.5" customHeight="1" x14ac:dyDescent="0.3">
      <c r="U26" s="44"/>
      <c r="V26" s="44"/>
      <c r="W26" s="44"/>
      <c r="X26" s="44"/>
      <c r="Y26" s="44"/>
      <c r="Z26" s="44"/>
      <c r="AA26" s="44"/>
      <c r="AB26" s="46"/>
      <c r="AC26" s="48"/>
    </row>
    <row r="27" spans="1:43" ht="16.5" customHeight="1" x14ac:dyDescent="0.3">
      <c r="AC27" s="48"/>
    </row>
    <row r="28" spans="1:43" ht="16.5" customHeight="1" x14ac:dyDescent="0.3">
      <c r="AC28" s="48"/>
    </row>
    <row r="29" spans="1:43" ht="16.5" customHeight="1" x14ac:dyDescent="0.3">
      <c r="AC29" s="48"/>
    </row>
    <row r="30" spans="1:43" ht="16.5" customHeight="1" x14ac:dyDescent="0.3">
      <c r="AC30" s="48"/>
    </row>
    <row r="31" spans="1:43" ht="16.5" customHeight="1" x14ac:dyDescent="0.3">
      <c r="AB31" s="48"/>
      <c r="AC31" s="48"/>
    </row>
  </sheetData>
  <mergeCells count="9">
    <mergeCell ref="T3:T4"/>
    <mergeCell ref="X15:X17"/>
    <mergeCell ref="A1:T1"/>
    <mergeCell ref="A2:T2"/>
    <mergeCell ref="A3:A4"/>
    <mergeCell ref="D3:G3"/>
    <mergeCell ref="H3:K3"/>
    <mergeCell ref="L3:O3"/>
    <mergeCell ref="P3:S3"/>
  </mergeCells>
  <pageMargins left="0.7" right="0.7" top="0.75" bottom="0.75" header="0.3" footer="0.3"/>
  <pageSetup paperSize="9" scale="37" orientation="portrait" r:id="rId1"/>
  <colBreaks count="1" manualBreakCount="1">
    <brk id="20" max="42" man="1"/>
  </colBreaks>
  <ignoredErrors>
    <ignoredError sqref="R5 D7:R8 D9:R9 D14:R16 D13:R13 D5:H5 D6:H6 P6:R6 P5:Q5" formula="1"/>
    <ignoredError sqref="D10:R11 D12:R12" formula="1" unlockedFormula="1"/>
    <ignoredError sqref="I5:O5 I6:O6" formula="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3.9</vt:lpstr>
      <vt:lpstr>'3.9'!Print_Area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2023-01-24T04:27:09Z</cp:lastPrinted>
  <dcterms:created xsi:type="dcterms:W3CDTF">2019-07-22T06:02:33Z</dcterms:created>
  <dcterms:modified xsi:type="dcterms:W3CDTF">2023-01-24T04:27:19Z</dcterms:modified>
</cp:coreProperties>
</file>