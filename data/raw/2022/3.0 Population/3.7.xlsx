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3E576A19-7B80-48E1-A3ED-8B477B401F85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7" sheetId="7" r:id="rId1"/>
  </sheets>
  <externalReferences>
    <externalReference r:id="rId2"/>
    <externalReference r:id="rId3"/>
    <externalReference r:id="rId4"/>
  </externalReferences>
  <definedNames>
    <definedName name="_xlnm.Print_Area" localSheetId="0">'3.7'!$A$1:$J$44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35" i="7" l="1"/>
  <c r="CH36" i="7"/>
  <c r="CH37" i="7"/>
  <c r="CH38" i="7"/>
  <c r="CH39" i="7"/>
  <c r="CH40" i="7"/>
  <c r="CH41" i="7"/>
  <c r="CH42" i="7"/>
  <c r="CH43" i="7"/>
  <c r="CH44" i="7"/>
  <c r="CH45" i="7"/>
  <c r="CH34" i="7"/>
  <c r="BX35" i="7"/>
  <c r="BX36" i="7"/>
  <c r="BX37" i="7"/>
  <c r="BX38" i="7"/>
  <c r="BX39" i="7"/>
  <c r="BX40" i="7"/>
  <c r="BX41" i="7"/>
  <c r="BX42" i="7"/>
  <c r="BX43" i="7"/>
  <c r="BX44" i="7"/>
  <c r="BX45" i="7"/>
  <c r="BX34" i="7"/>
  <c r="G18" i="7" l="1"/>
  <c r="G17" i="7"/>
  <c r="G16" i="7"/>
  <c r="G15" i="7"/>
  <c r="G14" i="7"/>
  <c r="G13" i="7"/>
  <c r="G12" i="7"/>
  <c r="G11" i="7"/>
  <c r="G10" i="7"/>
  <c r="G9" i="7"/>
  <c r="G8" i="7"/>
  <c r="G7" i="7"/>
  <c r="F6" i="7"/>
  <c r="E6" i="7"/>
  <c r="G6" i="7" l="1"/>
  <c r="CG35" i="7" l="1"/>
  <c r="CG36" i="7"/>
  <c r="CG37" i="7"/>
  <c r="CG38" i="7"/>
  <c r="CG39" i="7"/>
  <c r="CG40" i="7"/>
  <c r="CG41" i="7"/>
  <c r="CG42" i="7"/>
  <c r="CG43" i="7"/>
  <c r="CG44" i="7"/>
  <c r="CG45" i="7"/>
  <c r="CG34" i="7"/>
  <c r="BW35" i="7"/>
  <c r="BW36" i="7"/>
  <c r="BW37" i="7"/>
  <c r="BW38" i="7"/>
  <c r="BW39" i="7"/>
  <c r="BW40" i="7"/>
  <c r="BW41" i="7"/>
  <c r="BW42" i="7"/>
  <c r="BW43" i="7"/>
  <c r="BW44" i="7"/>
  <c r="BW45" i="7"/>
  <c r="BW34" i="7"/>
  <c r="D18" i="7" l="1"/>
  <c r="D17" i="7"/>
  <c r="D16" i="7"/>
  <c r="D15" i="7"/>
  <c r="D14" i="7"/>
  <c r="D13" i="7"/>
  <c r="D12" i="7"/>
  <c r="D11" i="7"/>
  <c r="D10" i="7"/>
  <c r="D9" i="7"/>
  <c r="D8" i="7"/>
  <c r="D7" i="7"/>
  <c r="C6" i="7"/>
  <c r="B6" i="7"/>
  <c r="D6" i="7" l="1"/>
  <c r="CF34" i="7" l="1"/>
  <c r="CE34" i="7"/>
  <c r="BV34" i="7"/>
  <c r="BU34" i="7"/>
  <c r="BU35" i="7" l="1"/>
  <c r="BV35" i="7"/>
  <c r="BU36" i="7"/>
  <c r="BV36" i="7"/>
  <c r="BU37" i="7"/>
  <c r="BV37" i="7"/>
  <c r="BU38" i="7"/>
  <c r="BV38" i="7"/>
  <c r="BU39" i="7"/>
  <c r="BV39" i="7"/>
  <c r="BU40" i="7"/>
  <c r="BV40" i="7"/>
  <c r="BU41" i="7"/>
  <c r="BV41" i="7"/>
  <c r="BU42" i="7"/>
  <c r="BV42" i="7"/>
  <c r="BU43" i="7"/>
  <c r="BV43" i="7"/>
  <c r="BU44" i="7"/>
  <c r="BV44" i="7"/>
  <c r="BU45" i="7"/>
  <c r="BV45" i="7"/>
  <c r="CF35" i="7"/>
  <c r="CF36" i="7"/>
  <c r="CF37" i="7"/>
  <c r="CF38" i="7"/>
  <c r="CF39" i="7"/>
  <c r="CF40" i="7"/>
  <c r="CF41" i="7"/>
  <c r="CF42" i="7"/>
  <c r="CF43" i="7"/>
  <c r="CF44" i="7"/>
  <c r="CF45" i="7"/>
  <c r="CE35" i="7"/>
  <c r="CE36" i="7"/>
  <c r="CE37" i="7"/>
  <c r="CE38" i="7"/>
  <c r="CE39" i="7"/>
  <c r="CE40" i="7"/>
  <c r="CE41" i="7"/>
  <c r="CE42" i="7"/>
  <c r="CE43" i="7"/>
  <c r="CE44" i="7"/>
  <c r="CE45" i="7"/>
  <c r="CD43" i="7" l="1"/>
  <c r="CC43" i="7"/>
  <c r="CB43" i="7"/>
  <c r="BT45" i="7" l="1"/>
  <c r="BS45" i="7"/>
  <c r="BT44" i="7"/>
  <c r="BS44" i="7"/>
  <c r="BT43" i="7"/>
  <c r="BS43" i="7"/>
  <c r="BT42" i="7"/>
  <c r="BS42" i="7"/>
  <c r="BT41" i="7"/>
  <c r="BS41" i="7"/>
  <c r="BT40" i="7"/>
  <c r="BS40" i="7"/>
  <c r="BT39" i="7"/>
  <c r="BS39" i="7"/>
  <c r="BT38" i="7"/>
  <c r="BS38" i="7"/>
  <c r="BT37" i="7"/>
  <c r="BS37" i="7"/>
  <c r="BT36" i="7"/>
  <c r="BS36" i="7"/>
  <c r="BT35" i="7"/>
  <c r="BS35" i="7"/>
  <c r="BT34" i="7"/>
  <c r="BS34" i="7"/>
  <c r="CD45" i="7"/>
  <c r="CC45" i="7"/>
  <c r="CD44" i="7"/>
  <c r="CC44" i="7"/>
  <c r="CD42" i="7"/>
  <c r="CC42" i="7"/>
  <c r="CD41" i="7"/>
  <c r="CC41" i="7"/>
  <c r="CD40" i="7"/>
  <c r="CC40" i="7"/>
  <c r="CD39" i="7"/>
  <c r="CC39" i="7"/>
  <c r="CD38" i="7"/>
  <c r="CC38" i="7"/>
  <c r="CD37" i="7"/>
  <c r="CC37" i="7"/>
  <c r="CD36" i="7"/>
  <c r="CC36" i="7"/>
  <c r="CD35" i="7"/>
  <c r="CC35" i="7"/>
  <c r="CD34" i="7"/>
  <c r="CC34" i="7"/>
</calcChain>
</file>

<file path=xl/sharedStrings.xml><?xml version="1.0" encoding="utf-8"?>
<sst xmlns="http://schemas.openxmlformats.org/spreadsheetml/2006/main" count="77" uniqueCount="56">
  <si>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</si>
  <si>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</si>
  <si>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</si>
  <si>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</si>
  <si>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</si>
  <si>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</si>
  <si>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</si>
  <si>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</si>
  <si>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</si>
  <si>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</si>
  <si>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</si>
  <si>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</si>
  <si>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</si>
  <si>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</si>
  <si>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</si>
  <si>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</si>
  <si>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</si>
  <si>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</si>
  <si>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</si>
  <si>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</si>
  <si>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</si>
  <si>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</si>
  <si>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</si>
  <si>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</si>
  <si>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</si>
  <si>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</si>
  <si>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</si>
  <si>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</si>
  <si>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</si>
  <si>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</si>
  <si>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</si>
  <si>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</si>
  <si>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</si>
  <si>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</si>
  <si>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</si>
  <si>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</si>
  <si>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</si>
  <si>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</si>
  <si>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</si>
  <si>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</si>
  <si>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</si>
  <si>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</si>
  <si>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</si>
  <si>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t>Nov</t>
  </si>
  <si>
    <t>Dec</t>
  </si>
  <si>
    <t xml:space="preserve">Note: </t>
  </si>
  <si>
    <t xml:space="preserve">Source: Ministry of Health </t>
  </si>
  <si>
    <t xml:space="preserve">މަޢުލޫމާތު ދެއްވީ: މިނިސްޓްރީ އޮފް ހެލްތު </t>
  </si>
  <si>
    <t>ނޯޓް:</t>
  </si>
  <si>
    <r>
      <t>2021</t>
    </r>
    <r>
      <rPr>
        <b/>
        <vertAlign val="superscript"/>
        <sz val="11"/>
        <rFont val="Calibri"/>
        <family val="2"/>
      </rPr>
      <t>1_/</t>
    </r>
  </si>
  <si>
    <t>Table 3.7 :  MONTHLY RECORDS OF BIRTHS AND DEATHS, 2020 - 2021</t>
  </si>
  <si>
    <t>2021 - 2020 ,cniduk iaWncnuhImivurwm ,iaWncniduk ivcnwfua uhwmcswmikea : 3.7 ulwvWt</t>
  </si>
  <si>
    <t xml:space="preserve">        1_/: 2021 figures are tentative and is expected to change</t>
  </si>
  <si>
    <r>
      <rPr>
        <sz val="1"/>
        <rFont val="Faruma"/>
      </rPr>
      <t>ނ</t>
    </r>
    <r>
      <rPr>
        <sz val="8"/>
        <rFont val="Faruma"/>
      </rPr>
      <t xml:space="preserve">2021 ވަނަ އަހަރުގެ މައުލޫމާތު ރިވައިޒުކުރަމުންދާތީވެ މިއަދަދުތަކަށް ބަދަލުއައުން އެކަށީގެންވެއެވެ. </t>
    </r>
  </si>
  <si>
    <t xml:space="preserve">އުފަންވި ކުދިންނާއި މަރުވި މީހުން / ކުދިންގެ ތެރޭގައި ރާއްޖޭގައި އުފަންވި އަދި މަރުވި ބިދޭސީން ހިމެނޭނެއެވެ. ނަމަވެސް ރާއްޖޭން ބޭރުގައި އުފަންވި / މަރުވި ދިވެހީން ނުހިމެނޭނެއެވެ. </t>
  </si>
  <si>
    <t xml:space="preserve">Data includes Maldivians and foreigners, but excluded birth &amp; deaths occurred abroad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</si>
</sst>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sz val="10"/>
      <name val="Faruma"/>
    </font>
    <font>
      <sz val="10"/>
      <name val="Calibri"/>
      <family val="2"/>
      <scheme val="minor"/>
    </font>
    <font>
      <sz val="8"/>
      <name val="Faruma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3">
    <xf numFmtId="0" fontId="0" fillId="0" borderId="0" xfId="0"/>
    <xf numFmtId="0" fontId="0" fillId="3" borderId="0" xfId="0" applyFill="1"/>
    <xf numFmtId="167" fontId="2" fillId="2" borderId="0" xfId="11" applyFill="1"/>
    <xf numFmtId="167" fontId="2" fillId="3" borderId="0" xfId="11" applyFill="1"/>
    <xf numFmtId="167" fontId="2" fillId="3" borderId="0" xfId="11" applyFill="1" applyAlignment="1">
      <alignment horizontal="right"/>
    </xf>
    <xf numFmtId="167" fontId="5" fillId="2" borderId="0" xfId="11" applyFont="1" applyFill="1" applyAlignment="1" applyProtection="1">
      <alignment horizontal="left" vertical="center"/>
      <protection hidden="1"/>
    </xf>
    <xf numFmtId="167" fontId="5" fillId="2" borderId="2" xfId="11" applyFont="1" applyFill="1" applyBorder="1" applyAlignment="1" applyProtection="1">
      <alignment horizontal="center" vertical="center"/>
      <protection hidden="1"/>
    </xf>
    <xf numFmtId="167" fontId="13" fillId="2" borderId="0" xfId="11" applyFont="1" applyFill="1"/>
    <xf numFmtId="167" fontId="13" fillId="3" borderId="0" xfId="11" applyFont="1" applyFill="1"/>
    <xf numFmtId="167" fontId="13" fillId="3" borderId="0" xfId="11" applyFont="1" applyFill="1" applyAlignment="1">
      <alignment horizontal="right"/>
    </xf>
    <xf numFmtId="167" fontId="5" fillId="2" borderId="1" xfId="11" applyFont="1" applyFill="1" applyBorder="1" applyAlignment="1" applyProtection="1">
      <alignment horizontal="left" vertical="center"/>
      <protection hidden="1"/>
    </xf>
    <xf numFmtId="167" fontId="5" fillId="2" borderId="4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 wrapText="1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167" fontId="6" fillId="2" borderId="0" xfId="11" applyFont="1" applyFill="1"/>
    <xf numFmtId="167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Alignment="1" applyProtection="1">
      <alignment vertical="center"/>
      <protection hidden="1"/>
    </xf>
    <xf numFmtId="167" fontId="18" fillId="2" borderId="0" xfId="10" applyFont="1" applyFill="1" applyAlignment="1" applyProtection="1">
      <alignment horizontal="right" vertical="center" indent="1"/>
      <protection hidden="1"/>
    </xf>
    <xf numFmtId="167" fontId="19" fillId="3" borderId="0" xfId="11" applyFont="1" applyFill="1" applyAlignment="1">
      <alignment horizontal="right"/>
    </xf>
    <xf numFmtId="167" fontId="2" fillId="3" borderId="7" xfId="11" applyFill="1" applyBorder="1" applyAlignment="1">
      <alignment horizontal="center" vertical="center"/>
    </xf>
    <xf numFmtId="167" fontId="13" fillId="3" borderId="7" xfId="11" applyFont="1" applyFill="1" applyBorder="1" applyAlignment="1" applyProtection="1">
      <alignment horizontal="center" vertical="center"/>
      <protection hidden="1"/>
    </xf>
    <xf numFmtId="3" fontId="13" fillId="3" borderId="7" xfId="0" applyNumberFormat="1" applyFont="1" applyFill="1" applyBorder="1" applyAlignment="1" applyProtection="1">
      <alignment horizontal="center" vertical="center"/>
      <protection hidden="1"/>
    </xf>
    <xf numFmtId="167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167" fontId="18" fillId="2" borderId="1" xfId="10" applyFont="1" applyFill="1" applyBorder="1" applyAlignment="1" applyProtection="1">
      <alignment horizontal="right" vertical="center" indent="1"/>
      <protection hidden="1"/>
    </xf>
    <xf numFmtId="167" fontId="2" fillId="2" borderId="0" xfId="11" applyFill="1" applyAlignment="1">
      <alignment horizontal="center" vertical="center"/>
    </xf>
    <xf numFmtId="167" fontId="21" fillId="2" borderId="0" xfId="11" applyFont="1" applyFill="1"/>
    <xf numFmtId="3" fontId="8" fillId="2" borderId="0" xfId="10" applyNumberFormat="1" applyFont="1" applyFill="1" applyAlignment="1" applyProtection="1">
      <alignment vertical="center"/>
      <protection hidden="1"/>
    </xf>
    <xf numFmtId="3" fontId="8" fillId="2" borderId="0" xfId="0" applyNumberFormat="1" applyFont="1" applyFill="1" applyAlignment="1" applyProtection="1">
      <alignment vertical="center"/>
      <protection hidden="1"/>
    </xf>
    <xf numFmtId="167" fontId="16" fillId="2" borderId="0" xfId="11" applyFont="1" applyFill="1" applyAlignment="1" applyProtection="1">
      <alignment horizontal="left" vertical="center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3" fontId="16" fillId="3" borderId="0" xfId="0" applyNumberFormat="1" applyFont="1" applyFill="1" applyAlignment="1" applyProtection="1">
      <alignment vertical="center"/>
      <protection hidden="1"/>
    </xf>
    <xf numFmtId="167" fontId="20" fillId="2" borderId="0" xfId="11" applyFont="1" applyFill="1" applyAlignment="1">
      <alignment horizontal="center" vertical="center"/>
    </xf>
    <xf numFmtId="167" fontId="17" fillId="2" borderId="0" xfId="11" applyFont="1" applyFill="1" applyAlignment="1" applyProtection="1">
      <alignment horizontal="left" vertical="center"/>
      <protection hidden="1"/>
    </xf>
    <xf numFmtId="167" fontId="20" fillId="3" borderId="0" xfId="11" applyFont="1" applyFill="1" applyAlignment="1">
      <alignment horizontal="center" vertical="center"/>
    </xf>
    <xf numFmtId="167" fontId="7" fillId="2" borderId="0" xfId="10" applyFont="1" applyFill="1" applyAlignment="1" applyProtection="1">
      <alignment horizontal="right" vertical="center"/>
      <protection hidden="1"/>
    </xf>
    <xf numFmtId="167" fontId="16" fillId="2" borderId="0" xfId="11" applyFont="1" applyFill="1" applyAlignment="1" applyProtection="1">
      <alignment horizontal="right"/>
      <protection hidden="1"/>
    </xf>
    <xf numFmtId="167" fontId="16" fillId="2" borderId="0" xfId="11" applyFont="1" applyFill="1" applyAlignment="1" applyProtection="1">
      <alignment horizontal="right" wrapText="1"/>
      <protection hidden="1"/>
    </xf>
    <xf numFmtId="3" fontId="17" fillId="2" borderId="0" xfId="0" applyNumberFormat="1" applyFont="1" applyFill="1" applyAlignment="1" applyProtection="1">
      <alignment vertical="center"/>
      <protection hidden="1"/>
    </xf>
    <xf numFmtId="167" fontId="16" fillId="3" borderId="0" xfId="11" applyFont="1" applyFill="1" applyAlignment="1" applyProtection="1">
      <alignment horizontal="right" vertical="center"/>
      <protection hidden="1"/>
    </xf>
    <xf numFmtId="167" fontId="17" fillId="3" borderId="0" xfId="11" applyFont="1" applyFill="1" applyAlignment="1" applyProtection="1">
      <alignment horizontal="right" vertical="center"/>
      <protection hidden="1"/>
    </xf>
    <xf numFmtId="167" fontId="25" fillId="2" borderId="0" xfId="11" applyFont="1" applyFill="1" applyAlignment="1" applyProtection="1">
      <alignment horizontal="left" vertical="center"/>
      <protection hidden="1"/>
    </xf>
    <xf numFmtId="167" fontId="25" fillId="2" borderId="3" xfId="10" applyFont="1" applyFill="1" applyBorder="1" applyAlignment="1" applyProtection="1">
      <alignment horizontal="right" vertical="center"/>
      <protection hidden="1"/>
    </xf>
    <xf numFmtId="167" fontId="25" fillId="2" borderId="0" xfId="10" applyFont="1" applyFill="1" applyAlignment="1" applyProtection="1">
      <alignment horizontal="right" vertical="center"/>
      <protection hidden="1"/>
    </xf>
    <xf numFmtId="167" fontId="24" fillId="2" borderId="0" xfId="11" applyFont="1" applyFill="1"/>
    <xf numFmtId="167" fontId="24" fillId="3" borderId="0" xfId="11" applyFont="1" applyFill="1"/>
    <xf numFmtId="167" fontId="24" fillId="3" borderId="0" xfId="11" applyFont="1" applyFill="1" applyAlignment="1">
      <alignment horizontal="right"/>
    </xf>
    <xf numFmtId="167" fontId="28" fillId="2" borderId="0" xfId="11" applyFont="1" applyFill="1" applyAlignment="1" applyProtection="1">
      <alignment vertical="center"/>
      <protection hidden="1"/>
    </xf>
    <xf numFmtId="3" fontId="9" fillId="3" borderId="0" xfId="0" applyNumberFormat="1" applyFont="1" applyFill="1" applyAlignment="1" applyProtection="1">
      <alignment vertical="center"/>
      <protection hidden="1"/>
    </xf>
    <xf numFmtId="167" fontId="2" fillId="2" borderId="1" xfId="11" applyFill="1" applyBorder="1"/>
    <xf numFmtId="167" fontId="22" fillId="2" borderId="0" xfId="11" applyFont="1" applyFill="1" applyAlignment="1">
      <alignment vertical="center"/>
    </xf>
    <xf numFmtId="167" fontId="10" fillId="2" borderId="0" xfId="0" applyNumberFormat="1" applyFont="1" applyFill="1" applyAlignment="1">
      <alignment horizontal="left" vertical="center"/>
    </xf>
    <xf numFmtId="0" fontId="0" fillId="3" borderId="4" xfId="0" applyFill="1" applyBorder="1"/>
    <xf numFmtId="0" fontId="0" fillId="3" borderId="3" xfId="0" applyFill="1" applyBorder="1"/>
    <xf numFmtId="0" fontId="0" fillId="3" borderId="1" xfId="0" applyFill="1" applyBorder="1"/>
    <xf numFmtId="167" fontId="10" fillId="2" borderId="0" xfId="11" applyFont="1" applyFill="1" applyAlignment="1" applyProtection="1">
      <alignment vertical="center"/>
      <protection hidden="1"/>
    </xf>
    <xf numFmtId="167" fontId="23" fillId="2" borderId="0" xfId="10" applyFont="1" applyFill="1" applyAlignment="1" applyProtection="1">
      <alignment horizontal="right" vertical="center" indent="1"/>
      <protection hidden="1"/>
    </xf>
    <xf numFmtId="167" fontId="2" fillId="2" borderId="0" xfId="11" applyFill="1" applyAlignment="1">
      <alignment vertical="center"/>
    </xf>
    <xf numFmtId="167" fontId="23" fillId="2" borderId="0" xfId="10" applyFont="1" applyFill="1" applyAlignment="1" applyProtection="1">
      <alignment horizontal="right" vertical="center"/>
      <protection hidden="1"/>
    </xf>
    <xf numFmtId="167" fontId="26" fillId="2" borderId="0" xfId="10" applyFont="1" applyFill="1" applyAlignment="1" applyProtection="1">
      <alignment horizontal="center"/>
      <protection hidden="1"/>
    </xf>
    <xf numFmtId="167" fontId="4" fillId="2" borderId="1" xfId="11" applyFont="1" applyFill="1" applyBorder="1" applyAlignment="1" applyProtection="1">
      <alignment horizontal="center" vertical="center"/>
      <protection hidden="1"/>
    </xf>
    <xf numFmtId="167" fontId="5" fillId="2" borderId="6" xfId="11" applyFont="1" applyFill="1" applyBorder="1" applyAlignment="1" applyProtection="1">
      <alignment horizontal="center" vertical="center"/>
      <protection hidden="1"/>
    </xf>
    <xf numFmtId="167" fontId="5" fillId="2" borderId="5" xfId="11" applyFont="1" applyFill="1" applyBorder="1" applyAlignment="1" applyProtection="1">
      <alignment horizontal="center" vertical="center"/>
      <protection hidden="1"/>
    </xf>
    <xf numFmtId="167" fontId="23" fillId="2" borderId="0" xfId="10" applyFont="1" applyFill="1" applyAlignment="1" applyProtection="1">
      <alignment horizontal="right" vertical="center" wrapText="1"/>
      <protection hidden="1"/>
    </xf>
    <xf numFmtId="167" fontId="6" fillId="2" borderId="2" xfId="11" applyFont="1" applyFill="1" applyBorder="1" applyAlignment="1">
      <alignment horizontal="center" vertical="center"/>
    </xf>
    <xf numFmtId="167" fontId="6" fillId="2" borderId="0" xfId="11" applyFont="1" applyFill="1" applyAlignment="1">
      <alignment horizontal="center" vertical="center"/>
    </xf>
    <xf numFmtId="167" fontId="6" fillId="2" borderId="1" xfId="11" applyFont="1" applyFill="1" applyBorder="1" applyAlignment="1">
      <alignment horizontal="center" vertical="center"/>
    </xf>
    <xf numFmtId="167" fontId="12" fillId="2" borderId="0" xfId="11" applyFont="1" applyFill="1" applyAlignment="1" applyProtection="1">
      <alignment horizontal="center" vertical="center"/>
      <protection hidden="1"/>
    </xf>
    <xf numFmtId="167" fontId="14" fillId="3" borderId="0" xfId="0" applyNumberFormat="1" applyFont="1" applyFill="1" applyAlignment="1">
      <alignment horizontal="left" vertical="center" wrapText="1" indent="2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3.10: Monthly records of Births, 201</a:t>
            </a:r>
            <a:r>
              <a:rPr lang="dv-MV" sz="900"/>
              <a:t>9</a:t>
            </a:r>
            <a:r>
              <a:rPr lang="en-US" sz="900" baseline="0"/>
              <a:t> - 202</a:t>
            </a:r>
            <a:r>
              <a:rPr lang="dv-MV" sz="900" baseline="0"/>
              <a:t>1</a:t>
            </a:r>
            <a:endParaRPr lang="en-US" sz="900"/>
          </a:p>
        </c:rich>
      </c:tx>
      <c:layout>
        <c:manualLayout>
          <c:xMode val="edge"/>
          <c:yMode val="edge"/>
          <c:x val="0.16711475519337382"/>
          <c:y val="5.02412448679627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'3.7'!$CF$33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AFAF"/>
            </a:solidFill>
          </c:spPr>
          <c:invertIfNegative val="0"/>
          <c:cat>
            <c:strRef>
              <c:f>'3.7'!$CA$34:$CA$45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'3.7'!$CF$34:$CF$45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'3.7'!$CG$33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DDDD"/>
            </a:solidFill>
          </c:spPr>
          <c:invertIfNegative val="0"/>
          <c:cat>
            <c:strRef>
              <c:f>'3.7'!$CA$34:$CA$45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'3.7'!$CG$34:$CG$45</c:f>
              <c:numCache>
                <c:formatCode>#,##0</c:formatCode>
                <c:ptCount val="12"/>
                <c:pt idx="0">
                  <c:v>540</c:v>
                </c:pt>
                <c:pt idx="1">
                  <c:v>548</c:v>
                </c:pt>
                <c:pt idx="2">
                  <c:v>485</c:v>
                </c:pt>
                <c:pt idx="3">
                  <c:v>541</c:v>
                </c:pt>
                <c:pt idx="4">
                  <c:v>492</c:v>
                </c:pt>
                <c:pt idx="5">
                  <c:v>462</c:v>
                </c:pt>
                <c:pt idx="6">
                  <c:v>522</c:v>
                </c:pt>
                <c:pt idx="7">
                  <c:v>508</c:v>
                </c:pt>
                <c:pt idx="8">
                  <c:v>573</c:v>
                </c:pt>
                <c:pt idx="9">
                  <c:v>514</c:v>
                </c:pt>
                <c:pt idx="10">
                  <c:v>540</c:v>
                </c:pt>
                <c:pt idx="11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'3.7'!$CH$33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'3.7'!$CA$34:$CA$45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'3.7'!$CH$34:$CH$45</c:f>
              <c:numCache>
                <c:formatCode>#,##0</c:formatCode>
                <c:ptCount val="12"/>
                <c:pt idx="0">
                  <c:v>444</c:v>
                </c:pt>
                <c:pt idx="1">
                  <c:v>423</c:v>
                </c:pt>
                <c:pt idx="2">
                  <c:v>545</c:v>
                </c:pt>
                <c:pt idx="3">
                  <c:v>534</c:v>
                </c:pt>
                <c:pt idx="4">
                  <c:v>516</c:v>
                </c:pt>
                <c:pt idx="5">
                  <c:v>482</c:v>
                </c:pt>
                <c:pt idx="6">
                  <c:v>507</c:v>
                </c:pt>
                <c:pt idx="7">
                  <c:v>543</c:v>
                </c:pt>
                <c:pt idx="8">
                  <c:v>502</c:v>
                </c:pt>
                <c:pt idx="9">
                  <c:v>524</c:v>
                </c:pt>
                <c:pt idx="10">
                  <c:v>448</c:v>
                </c:pt>
                <c:pt idx="11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96720048"/>
        <c:axId val="496718480"/>
      </c:barChart>
      <c:catAx>
        <c:axId val="496720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8480"/>
        <c:crosses val="autoZero"/>
        <c:auto val="1"/>
        <c:lblAlgn val="ctr"/>
        <c:lblOffset val="100"/>
        <c:noMultiLvlLbl val="0"/>
      </c:catAx>
      <c:valAx>
        <c:axId val="496718480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048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28342743126040038"/>
          <c:h val="7.5629366865978584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3.11: Monthly records of Deaths, 201</a:t>
            </a:r>
            <a:r>
              <a:rPr lang="dv-MV" sz="900"/>
              <a:t>9</a:t>
            </a:r>
            <a:r>
              <a:rPr lang="en-US" sz="900"/>
              <a:t>-202</a:t>
            </a:r>
            <a:r>
              <a:rPr lang="dv-MV" sz="900"/>
              <a:t>1</a:t>
            </a:r>
            <a:endParaRPr lang="en-US" sz="900"/>
          </a:p>
        </c:rich>
      </c:tx>
      <c:layout>
        <c:manualLayout>
          <c:xMode val="edge"/>
          <c:yMode val="edge"/>
          <c:x val="0.20458641267167924"/>
          <c:y val="4.5986801916905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871987059981E-2"/>
          <c:y val="0.17302976344478774"/>
          <c:w val="0.87732294567058045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'3.7'!$BV$33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AFAF"/>
            </a:solidFill>
          </c:spPr>
          <c:invertIfNegative val="0"/>
          <c:cat>
            <c:strRef>
              <c:f>'3.7'!$BQ$34:$BQ$45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'3.7'!$BV$34:$BV$45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'3.7'!$BW$33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DDDD"/>
            </a:solidFill>
          </c:spPr>
          <c:invertIfNegative val="0"/>
          <c:cat>
            <c:strRef>
              <c:f>'3.7'!$BQ$34:$BQ$45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'3.7'!$BW$34:$BW$45</c:f>
              <c:numCache>
                <c:formatCode>#,##0</c:formatCode>
                <c:ptCount val="12"/>
                <c:pt idx="0">
                  <c:v>114</c:v>
                </c:pt>
                <c:pt idx="1">
                  <c:v>96</c:v>
                </c:pt>
                <c:pt idx="2">
                  <c:v>109</c:v>
                </c:pt>
                <c:pt idx="3">
                  <c:v>91</c:v>
                </c:pt>
                <c:pt idx="4">
                  <c:v>109</c:v>
                </c:pt>
                <c:pt idx="5">
                  <c:v>91</c:v>
                </c:pt>
                <c:pt idx="6">
                  <c:v>115</c:v>
                </c:pt>
                <c:pt idx="7">
                  <c:v>129</c:v>
                </c:pt>
                <c:pt idx="8">
                  <c:v>112</c:v>
                </c:pt>
                <c:pt idx="9">
                  <c:v>103</c:v>
                </c:pt>
                <c:pt idx="10">
                  <c:v>110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'3.7'!$BX$33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'3.7'!$BQ$34:$BQ$45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'3.7'!$BX$34:$BX$45</c:f>
              <c:numCache>
                <c:formatCode>#,##0</c:formatCode>
                <c:ptCount val="12"/>
                <c:pt idx="0">
                  <c:v>146</c:v>
                </c:pt>
                <c:pt idx="1">
                  <c:v>142</c:v>
                </c:pt>
                <c:pt idx="2">
                  <c:v>127</c:v>
                </c:pt>
                <c:pt idx="3">
                  <c:v>145</c:v>
                </c:pt>
                <c:pt idx="4">
                  <c:v>191</c:v>
                </c:pt>
                <c:pt idx="5">
                  <c:v>161</c:v>
                </c:pt>
                <c:pt idx="6">
                  <c:v>93</c:v>
                </c:pt>
                <c:pt idx="7">
                  <c:v>70</c:v>
                </c:pt>
                <c:pt idx="8">
                  <c:v>70</c:v>
                </c:pt>
                <c:pt idx="9">
                  <c:v>80</c:v>
                </c:pt>
                <c:pt idx="10">
                  <c:v>146</c:v>
                </c:pt>
                <c:pt idx="1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96719264"/>
        <c:axId val="496721224"/>
      </c:barChart>
      <c:catAx>
        <c:axId val="49671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1224"/>
        <c:crosses val="autoZero"/>
        <c:auto val="1"/>
        <c:lblAlgn val="ctr"/>
        <c:lblOffset val="100"/>
        <c:noMultiLvlLbl val="0"/>
      </c:catAx>
      <c:valAx>
        <c:axId val="496721224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1990220440386748E-3"/>
              <c:y val="0.3784112296508236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9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90649429187515"/>
          <c:y val="0.2067182086129839"/>
          <c:w val="0.24221491520683805"/>
          <c:h val="7.9750508570877801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851741</xdr:colOff>
      <xdr:row>22</xdr:row>
      <xdr:rowOff>40221</xdr:rowOff>
    </xdr:from>
    <xdr:to>
      <xdr:col>8</xdr:col>
      <xdr:colOff>593766</xdr:colOff>
      <xdr:row>33</xdr:row>
      <xdr:rowOff>24804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849858</xdr:colOff>
      <xdr:row>33</xdr:row>
      <xdr:rowOff>121424</xdr:rowOff>
    </xdr:from>
    <xdr:to>
      <xdr:col>8</xdr:col>
      <xdr:colOff>606136</xdr:colOff>
      <xdr:row>42</xdr:row>
      <xdr:rowOff>223242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H59"/>
  <sheetViews>
    <sheetView tabSelected="1" topLeftCell="A28" zoomScale="154" zoomScaleNormal="154" zoomScaleSheetLayoutView="124" workbookViewId="0">
      <selection activeCell="O11" sqref="O11"/>
    </sheetView>
  </sheetViews>
  <sheetFormatPr defaultColWidth="10.28515625" defaultRowHeight="18.75" x14ac:dyDescent="0.5"/>
  <cols>
    <col min="1" max="1" width="14" style="2" customWidth="1"/>
    <col min="2" max="4" width="12.7109375" style="2" customWidth="1"/>
    <col min="5" max="6" width="11.5703125" style="2" customWidth="1"/>
    <col min="7" max="7" width="9.42578125" style="2" customWidth="1"/>
    <col min="8" max="8" width="9.42578125" style="2" hidden="1" customWidth="1"/>
    <col min="9" max="9" width="16.42578125" style="30" customWidth="1"/>
    <col min="10" max="10" width="2.140625" style="2" customWidth="1"/>
    <col min="11" max="11" width="14.5703125" style="2" customWidth="1"/>
    <col min="12" max="14" width="10.42578125" style="2" customWidth="1"/>
    <col min="15" max="21" width="2.85546875" style="2" customWidth="1"/>
    <col min="22" max="43" width="9.28515625" style="2" customWidth="1"/>
    <col min="44" max="64" width="2.85546875" style="2" customWidth="1"/>
    <col min="65" max="67" width="10.28515625" style="2"/>
    <col min="68" max="68" width="10.28515625" style="3"/>
    <col min="69" max="69" width="10.28515625" style="4"/>
    <col min="70" max="72" width="10.28515625" style="3"/>
    <col min="73" max="259" width="10.28515625" style="2"/>
    <col min="260" max="260" width="14" style="2" customWidth="1"/>
    <col min="261" max="272" width="0" style="2" hidden="1" customWidth="1"/>
    <col min="273" max="281" width="11.5703125" style="2" customWidth="1"/>
    <col min="282" max="284" width="0" style="2" hidden="1" customWidth="1"/>
    <col min="285" max="285" width="10.140625" style="2" customWidth="1"/>
    <col min="286" max="286" width="8.85546875" style="2" customWidth="1"/>
    <col min="287" max="287" width="2.140625" style="2" customWidth="1"/>
    <col min="288" max="288" width="14.5703125" style="2" customWidth="1"/>
    <col min="289" max="291" width="10.42578125" style="2" customWidth="1"/>
    <col min="292" max="320" width="2.85546875" style="2" customWidth="1"/>
    <col min="321" max="515" width="10.28515625" style="2"/>
    <col min="516" max="516" width="14" style="2" customWidth="1"/>
    <col min="517" max="528" width="0" style="2" hidden="1" customWidth="1"/>
    <col min="529" max="537" width="11.5703125" style="2" customWidth="1"/>
    <col min="538" max="540" width="0" style="2" hidden="1" customWidth="1"/>
    <col min="541" max="541" width="10.140625" style="2" customWidth="1"/>
    <col min="542" max="542" width="8.85546875" style="2" customWidth="1"/>
    <col min="543" max="543" width="2.140625" style="2" customWidth="1"/>
    <col min="544" max="544" width="14.5703125" style="2" customWidth="1"/>
    <col min="545" max="547" width="10.42578125" style="2" customWidth="1"/>
    <col min="548" max="576" width="2.85546875" style="2" customWidth="1"/>
    <col min="577" max="771" width="10.28515625" style="2"/>
    <col min="772" max="772" width="14" style="2" customWidth="1"/>
    <col min="773" max="784" width="0" style="2" hidden="1" customWidth="1"/>
    <col min="785" max="793" width="11.5703125" style="2" customWidth="1"/>
    <col min="794" max="796" width="0" style="2" hidden="1" customWidth="1"/>
    <col min="797" max="797" width="10.140625" style="2" customWidth="1"/>
    <col min="798" max="798" width="8.85546875" style="2" customWidth="1"/>
    <col min="799" max="799" width="2.140625" style="2" customWidth="1"/>
    <col min="800" max="800" width="14.5703125" style="2" customWidth="1"/>
    <col min="801" max="803" width="10.42578125" style="2" customWidth="1"/>
    <col min="804" max="832" width="2.85546875" style="2" customWidth="1"/>
    <col min="833" max="1027" width="10.28515625" style="2"/>
    <col min="1028" max="1028" width="14" style="2" customWidth="1"/>
    <col min="1029" max="1040" width="0" style="2" hidden="1" customWidth="1"/>
    <col min="1041" max="1049" width="11.5703125" style="2" customWidth="1"/>
    <col min="1050" max="1052" width="0" style="2" hidden="1" customWidth="1"/>
    <col min="1053" max="1053" width="10.140625" style="2" customWidth="1"/>
    <col min="1054" max="1054" width="8.85546875" style="2" customWidth="1"/>
    <col min="1055" max="1055" width="2.140625" style="2" customWidth="1"/>
    <col min="1056" max="1056" width="14.5703125" style="2" customWidth="1"/>
    <col min="1057" max="1059" width="10.42578125" style="2" customWidth="1"/>
    <col min="1060" max="1088" width="2.85546875" style="2" customWidth="1"/>
    <col min="1089" max="1283" width="10.28515625" style="2"/>
    <col min="1284" max="1284" width="14" style="2" customWidth="1"/>
    <col min="1285" max="1296" width="0" style="2" hidden="1" customWidth="1"/>
    <col min="1297" max="1305" width="11.5703125" style="2" customWidth="1"/>
    <col min="1306" max="1308" width="0" style="2" hidden="1" customWidth="1"/>
    <col min="1309" max="1309" width="10.140625" style="2" customWidth="1"/>
    <col min="1310" max="1310" width="8.85546875" style="2" customWidth="1"/>
    <col min="1311" max="1311" width="2.140625" style="2" customWidth="1"/>
    <col min="1312" max="1312" width="14.5703125" style="2" customWidth="1"/>
    <col min="1313" max="1315" width="10.42578125" style="2" customWidth="1"/>
    <col min="1316" max="1344" width="2.85546875" style="2" customWidth="1"/>
    <col min="1345" max="1539" width="10.28515625" style="2"/>
    <col min="1540" max="1540" width="14" style="2" customWidth="1"/>
    <col min="1541" max="1552" width="0" style="2" hidden="1" customWidth="1"/>
    <col min="1553" max="1561" width="11.5703125" style="2" customWidth="1"/>
    <col min="1562" max="1564" width="0" style="2" hidden="1" customWidth="1"/>
    <col min="1565" max="1565" width="10.140625" style="2" customWidth="1"/>
    <col min="1566" max="1566" width="8.85546875" style="2" customWidth="1"/>
    <col min="1567" max="1567" width="2.140625" style="2" customWidth="1"/>
    <col min="1568" max="1568" width="14.5703125" style="2" customWidth="1"/>
    <col min="1569" max="1571" width="10.42578125" style="2" customWidth="1"/>
    <col min="1572" max="1600" width="2.85546875" style="2" customWidth="1"/>
    <col min="1601" max="1795" width="10.28515625" style="2"/>
    <col min="1796" max="1796" width="14" style="2" customWidth="1"/>
    <col min="1797" max="1808" width="0" style="2" hidden="1" customWidth="1"/>
    <col min="1809" max="1817" width="11.5703125" style="2" customWidth="1"/>
    <col min="1818" max="1820" width="0" style="2" hidden="1" customWidth="1"/>
    <col min="1821" max="1821" width="10.140625" style="2" customWidth="1"/>
    <col min="1822" max="1822" width="8.85546875" style="2" customWidth="1"/>
    <col min="1823" max="1823" width="2.140625" style="2" customWidth="1"/>
    <col min="1824" max="1824" width="14.5703125" style="2" customWidth="1"/>
    <col min="1825" max="1827" width="10.42578125" style="2" customWidth="1"/>
    <col min="1828" max="1856" width="2.85546875" style="2" customWidth="1"/>
    <col min="1857" max="2051" width="10.28515625" style="2"/>
    <col min="2052" max="2052" width="14" style="2" customWidth="1"/>
    <col min="2053" max="2064" width="0" style="2" hidden="1" customWidth="1"/>
    <col min="2065" max="2073" width="11.5703125" style="2" customWidth="1"/>
    <col min="2074" max="2076" width="0" style="2" hidden="1" customWidth="1"/>
    <col min="2077" max="2077" width="10.140625" style="2" customWidth="1"/>
    <col min="2078" max="2078" width="8.85546875" style="2" customWidth="1"/>
    <col min="2079" max="2079" width="2.140625" style="2" customWidth="1"/>
    <col min="2080" max="2080" width="14.5703125" style="2" customWidth="1"/>
    <col min="2081" max="2083" width="10.42578125" style="2" customWidth="1"/>
    <col min="2084" max="2112" width="2.85546875" style="2" customWidth="1"/>
    <col min="2113" max="2307" width="10.28515625" style="2"/>
    <col min="2308" max="2308" width="14" style="2" customWidth="1"/>
    <col min="2309" max="2320" width="0" style="2" hidden="1" customWidth="1"/>
    <col min="2321" max="2329" width="11.5703125" style="2" customWidth="1"/>
    <col min="2330" max="2332" width="0" style="2" hidden="1" customWidth="1"/>
    <col min="2333" max="2333" width="10.140625" style="2" customWidth="1"/>
    <col min="2334" max="2334" width="8.85546875" style="2" customWidth="1"/>
    <col min="2335" max="2335" width="2.140625" style="2" customWidth="1"/>
    <col min="2336" max="2336" width="14.5703125" style="2" customWidth="1"/>
    <col min="2337" max="2339" width="10.42578125" style="2" customWidth="1"/>
    <col min="2340" max="2368" width="2.85546875" style="2" customWidth="1"/>
    <col min="2369" max="2563" width="10.28515625" style="2"/>
    <col min="2564" max="2564" width="14" style="2" customWidth="1"/>
    <col min="2565" max="2576" width="0" style="2" hidden="1" customWidth="1"/>
    <col min="2577" max="2585" width="11.5703125" style="2" customWidth="1"/>
    <col min="2586" max="2588" width="0" style="2" hidden="1" customWidth="1"/>
    <col min="2589" max="2589" width="10.140625" style="2" customWidth="1"/>
    <col min="2590" max="2590" width="8.85546875" style="2" customWidth="1"/>
    <col min="2591" max="2591" width="2.140625" style="2" customWidth="1"/>
    <col min="2592" max="2592" width="14.5703125" style="2" customWidth="1"/>
    <col min="2593" max="2595" width="10.42578125" style="2" customWidth="1"/>
    <col min="2596" max="2624" width="2.85546875" style="2" customWidth="1"/>
    <col min="2625" max="2819" width="10.28515625" style="2"/>
    <col min="2820" max="2820" width="14" style="2" customWidth="1"/>
    <col min="2821" max="2832" width="0" style="2" hidden="1" customWidth="1"/>
    <col min="2833" max="2841" width="11.5703125" style="2" customWidth="1"/>
    <col min="2842" max="2844" width="0" style="2" hidden="1" customWidth="1"/>
    <col min="2845" max="2845" width="10.140625" style="2" customWidth="1"/>
    <col min="2846" max="2846" width="8.85546875" style="2" customWidth="1"/>
    <col min="2847" max="2847" width="2.140625" style="2" customWidth="1"/>
    <col min="2848" max="2848" width="14.5703125" style="2" customWidth="1"/>
    <col min="2849" max="2851" width="10.42578125" style="2" customWidth="1"/>
    <col min="2852" max="2880" width="2.85546875" style="2" customWidth="1"/>
    <col min="2881" max="3075" width="10.28515625" style="2"/>
    <col min="3076" max="3076" width="14" style="2" customWidth="1"/>
    <col min="3077" max="3088" width="0" style="2" hidden="1" customWidth="1"/>
    <col min="3089" max="3097" width="11.5703125" style="2" customWidth="1"/>
    <col min="3098" max="3100" width="0" style="2" hidden="1" customWidth="1"/>
    <col min="3101" max="3101" width="10.140625" style="2" customWidth="1"/>
    <col min="3102" max="3102" width="8.85546875" style="2" customWidth="1"/>
    <col min="3103" max="3103" width="2.140625" style="2" customWidth="1"/>
    <col min="3104" max="3104" width="14.5703125" style="2" customWidth="1"/>
    <col min="3105" max="3107" width="10.42578125" style="2" customWidth="1"/>
    <col min="3108" max="3136" width="2.85546875" style="2" customWidth="1"/>
    <col min="3137" max="3331" width="10.28515625" style="2"/>
    <col min="3332" max="3332" width="14" style="2" customWidth="1"/>
    <col min="3333" max="3344" width="0" style="2" hidden="1" customWidth="1"/>
    <col min="3345" max="3353" width="11.5703125" style="2" customWidth="1"/>
    <col min="3354" max="3356" width="0" style="2" hidden="1" customWidth="1"/>
    <col min="3357" max="3357" width="10.140625" style="2" customWidth="1"/>
    <col min="3358" max="3358" width="8.85546875" style="2" customWidth="1"/>
    <col min="3359" max="3359" width="2.140625" style="2" customWidth="1"/>
    <col min="3360" max="3360" width="14.5703125" style="2" customWidth="1"/>
    <col min="3361" max="3363" width="10.42578125" style="2" customWidth="1"/>
    <col min="3364" max="3392" width="2.85546875" style="2" customWidth="1"/>
    <col min="3393" max="3587" width="10.28515625" style="2"/>
    <col min="3588" max="3588" width="14" style="2" customWidth="1"/>
    <col min="3589" max="3600" width="0" style="2" hidden="1" customWidth="1"/>
    <col min="3601" max="3609" width="11.5703125" style="2" customWidth="1"/>
    <col min="3610" max="3612" width="0" style="2" hidden="1" customWidth="1"/>
    <col min="3613" max="3613" width="10.140625" style="2" customWidth="1"/>
    <col min="3614" max="3614" width="8.85546875" style="2" customWidth="1"/>
    <col min="3615" max="3615" width="2.140625" style="2" customWidth="1"/>
    <col min="3616" max="3616" width="14.5703125" style="2" customWidth="1"/>
    <col min="3617" max="3619" width="10.42578125" style="2" customWidth="1"/>
    <col min="3620" max="3648" width="2.85546875" style="2" customWidth="1"/>
    <col min="3649" max="3843" width="10.28515625" style="2"/>
    <col min="3844" max="3844" width="14" style="2" customWidth="1"/>
    <col min="3845" max="3856" width="0" style="2" hidden="1" customWidth="1"/>
    <col min="3857" max="3865" width="11.5703125" style="2" customWidth="1"/>
    <col min="3866" max="3868" width="0" style="2" hidden="1" customWidth="1"/>
    <col min="3869" max="3869" width="10.140625" style="2" customWidth="1"/>
    <col min="3870" max="3870" width="8.85546875" style="2" customWidth="1"/>
    <col min="3871" max="3871" width="2.140625" style="2" customWidth="1"/>
    <col min="3872" max="3872" width="14.5703125" style="2" customWidth="1"/>
    <col min="3873" max="3875" width="10.42578125" style="2" customWidth="1"/>
    <col min="3876" max="3904" width="2.85546875" style="2" customWidth="1"/>
    <col min="3905" max="4099" width="10.28515625" style="2"/>
    <col min="4100" max="4100" width="14" style="2" customWidth="1"/>
    <col min="4101" max="4112" width="0" style="2" hidden="1" customWidth="1"/>
    <col min="4113" max="4121" width="11.5703125" style="2" customWidth="1"/>
    <col min="4122" max="4124" width="0" style="2" hidden="1" customWidth="1"/>
    <col min="4125" max="4125" width="10.140625" style="2" customWidth="1"/>
    <col min="4126" max="4126" width="8.85546875" style="2" customWidth="1"/>
    <col min="4127" max="4127" width="2.140625" style="2" customWidth="1"/>
    <col min="4128" max="4128" width="14.5703125" style="2" customWidth="1"/>
    <col min="4129" max="4131" width="10.42578125" style="2" customWidth="1"/>
    <col min="4132" max="4160" width="2.85546875" style="2" customWidth="1"/>
    <col min="4161" max="4355" width="10.28515625" style="2"/>
    <col min="4356" max="4356" width="14" style="2" customWidth="1"/>
    <col min="4357" max="4368" width="0" style="2" hidden="1" customWidth="1"/>
    <col min="4369" max="4377" width="11.5703125" style="2" customWidth="1"/>
    <col min="4378" max="4380" width="0" style="2" hidden="1" customWidth="1"/>
    <col min="4381" max="4381" width="10.140625" style="2" customWidth="1"/>
    <col min="4382" max="4382" width="8.85546875" style="2" customWidth="1"/>
    <col min="4383" max="4383" width="2.140625" style="2" customWidth="1"/>
    <col min="4384" max="4384" width="14.5703125" style="2" customWidth="1"/>
    <col min="4385" max="4387" width="10.42578125" style="2" customWidth="1"/>
    <col min="4388" max="4416" width="2.85546875" style="2" customWidth="1"/>
    <col min="4417" max="4611" width="10.28515625" style="2"/>
    <col min="4612" max="4612" width="14" style="2" customWidth="1"/>
    <col min="4613" max="4624" width="0" style="2" hidden="1" customWidth="1"/>
    <col min="4625" max="4633" width="11.5703125" style="2" customWidth="1"/>
    <col min="4634" max="4636" width="0" style="2" hidden="1" customWidth="1"/>
    <col min="4637" max="4637" width="10.140625" style="2" customWidth="1"/>
    <col min="4638" max="4638" width="8.85546875" style="2" customWidth="1"/>
    <col min="4639" max="4639" width="2.140625" style="2" customWidth="1"/>
    <col min="4640" max="4640" width="14.5703125" style="2" customWidth="1"/>
    <col min="4641" max="4643" width="10.42578125" style="2" customWidth="1"/>
    <col min="4644" max="4672" width="2.85546875" style="2" customWidth="1"/>
    <col min="4673" max="4867" width="10.28515625" style="2"/>
    <col min="4868" max="4868" width="14" style="2" customWidth="1"/>
    <col min="4869" max="4880" width="0" style="2" hidden="1" customWidth="1"/>
    <col min="4881" max="4889" width="11.5703125" style="2" customWidth="1"/>
    <col min="4890" max="4892" width="0" style="2" hidden="1" customWidth="1"/>
    <col min="4893" max="4893" width="10.140625" style="2" customWidth="1"/>
    <col min="4894" max="4894" width="8.85546875" style="2" customWidth="1"/>
    <col min="4895" max="4895" width="2.140625" style="2" customWidth="1"/>
    <col min="4896" max="4896" width="14.5703125" style="2" customWidth="1"/>
    <col min="4897" max="4899" width="10.42578125" style="2" customWidth="1"/>
    <col min="4900" max="4928" width="2.85546875" style="2" customWidth="1"/>
    <col min="4929" max="5123" width="10.28515625" style="2"/>
    <col min="5124" max="5124" width="14" style="2" customWidth="1"/>
    <col min="5125" max="5136" width="0" style="2" hidden="1" customWidth="1"/>
    <col min="5137" max="5145" width="11.5703125" style="2" customWidth="1"/>
    <col min="5146" max="5148" width="0" style="2" hidden="1" customWidth="1"/>
    <col min="5149" max="5149" width="10.140625" style="2" customWidth="1"/>
    <col min="5150" max="5150" width="8.85546875" style="2" customWidth="1"/>
    <col min="5151" max="5151" width="2.140625" style="2" customWidth="1"/>
    <col min="5152" max="5152" width="14.5703125" style="2" customWidth="1"/>
    <col min="5153" max="5155" width="10.42578125" style="2" customWidth="1"/>
    <col min="5156" max="5184" width="2.85546875" style="2" customWidth="1"/>
    <col min="5185" max="5379" width="10.28515625" style="2"/>
    <col min="5380" max="5380" width="14" style="2" customWidth="1"/>
    <col min="5381" max="5392" width="0" style="2" hidden="1" customWidth="1"/>
    <col min="5393" max="5401" width="11.5703125" style="2" customWidth="1"/>
    <col min="5402" max="5404" width="0" style="2" hidden="1" customWidth="1"/>
    <col min="5405" max="5405" width="10.140625" style="2" customWidth="1"/>
    <col min="5406" max="5406" width="8.85546875" style="2" customWidth="1"/>
    <col min="5407" max="5407" width="2.140625" style="2" customWidth="1"/>
    <col min="5408" max="5408" width="14.5703125" style="2" customWidth="1"/>
    <col min="5409" max="5411" width="10.42578125" style="2" customWidth="1"/>
    <col min="5412" max="5440" width="2.85546875" style="2" customWidth="1"/>
    <col min="5441" max="5635" width="10.28515625" style="2"/>
    <col min="5636" max="5636" width="14" style="2" customWidth="1"/>
    <col min="5637" max="5648" width="0" style="2" hidden="1" customWidth="1"/>
    <col min="5649" max="5657" width="11.5703125" style="2" customWidth="1"/>
    <col min="5658" max="5660" width="0" style="2" hidden="1" customWidth="1"/>
    <col min="5661" max="5661" width="10.140625" style="2" customWidth="1"/>
    <col min="5662" max="5662" width="8.85546875" style="2" customWidth="1"/>
    <col min="5663" max="5663" width="2.140625" style="2" customWidth="1"/>
    <col min="5664" max="5664" width="14.5703125" style="2" customWidth="1"/>
    <col min="5665" max="5667" width="10.42578125" style="2" customWidth="1"/>
    <col min="5668" max="5696" width="2.85546875" style="2" customWidth="1"/>
    <col min="5697" max="5891" width="10.28515625" style="2"/>
    <col min="5892" max="5892" width="14" style="2" customWidth="1"/>
    <col min="5893" max="5904" width="0" style="2" hidden="1" customWidth="1"/>
    <col min="5905" max="5913" width="11.5703125" style="2" customWidth="1"/>
    <col min="5914" max="5916" width="0" style="2" hidden="1" customWidth="1"/>
    <col min="5917" max="5917" width="10.140625" style="2" customWidth="1"/>
    <col min="5918" max="5918" width="8.85546875" style="2" customWidth="1"/>
    <col min="5919" max="5919" width="2.140625" style="2" customWidth="1"/>
    <col min="5920" max="5920" width="14.5703125" style="2" customWidth="1"/>
    <col min="5921" max="5923" width="10.42578125" style="2" customWidth="1"/>
    <col min="5924" max="5952" width="2.85546875" style="2" customWidth="1"/>
    <col min="5953" max="6147" width="10.28515625" style="2"/>
    <col min="6148" max="6148" width="14" style="2" customWidth="1"/>
    <col min="6149" max="6160" width="0" style="2" hidden="1" customWidth="1"/>
    <col min="6161" max="6169" width="11.5703125" style="2" customWidth="1"/>
    <col min="6170" max="6172" width="0" style="2" hidden="1" customWidth="1"/>
    <col min="6173" max="6173" width="10.140625" style="2" customWidth="1"/>
    <col min="6174" max="6174" width="8.85546875" style="2" customWidth="1"/>
    <col min="6175" max="6175" width="2.140625" style="2" customWidth="1"/>
    <col min="6176" max="6176" width="14.5703125" style="2" customWidth="1"/>
    <col min="6177" max="6179" width="10.42578125" style="2" customWidth="1"/>
    <col min="6180" max="6208" width="2.85546875" style="2" customWidth="1"/>
    <col min="6209" max="6403" width="10.28515625" style="2"/>
    <col min="6404" max="6404" width="14" style="2" customWidth="1"/>
    <col min="6405" max="6416" width="0" style="2" hidden="1" customWidth="1"/>
    <col min="6417" max="6425" width="11.5703125" style="2" customWidth="1"/>
    <col min="6426" max="6428" width="0" style="2" hidden="1" customWidth="1"/>
    <col min="6429" max="6429" width="10.140625" style="2" customWidth="1"/>
    <col min="6430" max="6430" width="8.85546875" style="2" customWidth="1"/>
    <col min="6431" max="6431" width="2.140625" style="2" customWidth="1"/>
    <col min="6432" max="6432" width="14.5703125" style="2" customWidth="1"/>
    <col min="6433" max="6435" width="10.42578125" style="2" customWidth="1"/>
    <col min="6436" max="6464" width="2.85546875" style="2" customWidth="1"/>
    <col min="6465" max="6659" width="10.28515625" style="2"/>
    <col min="6660" max="6660" width="14" style="2" customWidth="1"/>
    <col min="6661" max="6672" width="0" style="2" hidden="1" customWidth="1"/>
    <col min="6673" max="6681" width="11.5703125" style="2" customWidth="1"/>
    <col min="6682" max="6684" width="0" style="2" hidden="1" customWidth="1"/>
    <col min="6685" max="6685" width="10.140625" style="2" customWidth="1"/>
    <col min="6686" max="6686" width="8.85546875" style="2" customWidth="1"/>
    <col min="6687" max="6687" width="2.140625" style="2" customWidth="1"/>
    <col min="6688" max="6688" width="14.5703125" style="2" customWidth="1"/>
    <col min="6689" max="6691" width="10.42578125" style="2" customWidth="1"/>
    <col min="6692" max="6720" width="2.85546875" style="2" customWidth="1"/>
    <col min="6721" max="6915" width="10.28515625" style="2"/>
    <col min="6916" max="6916" width="14" style="2" customWidth="1"/>
    <col min="6917" max="6928" width="0" style="2" hidden="1" customWidth="1"/>
    <col min="6929" max="6937" width="11.5703125" style="2" customWidth="1"/>
    <col min="6938" max="6940" width="0" style="2" hidden="1" customWidth="1"/>
    <col min="6941" max="6941" width="10.140625" style="2" customWidth="1"/>
    <col min="6942" max="6942" width="8.85546875" style="2" customWidth="1"/>
    <col min="6943" max="6943" width="2.140625" style="2" customWidth="1"/>
    <col min="6944" max="6944" width="14.5703125" style="2" customWidth="1"/>
    <col min="6945" max="6947" width="10.42578125" style="2" customWidth="1"/>
    <col min="6948" max="6976" width="2.85546875" style="2" customWidth="1"/>
    <col min="6977" max="7171" width="10.28515625" style="2"/>
    <col min="7172" max="7172" width="14" style="2" customWidth="1"/>
    <col min="7173" max="7184" width="0" style="2" hidden="1" customWidth="1"/>
    <col min="7185" max="7193" width="11.5703125" style="2" customWidth="1"/>
    <col min="7194" max="7196" width="0" style="2" hidden="1" customWidth="1"/>
    <col min="7197" max="7197" width="10.140625" style="2" customWidth="1"/>
    <col min="7198" max="7198" width="8.85546875" style="2" customWidth="1"/>
    <col min="7199" max="7199" width="2.140625" style="2" customWidth="1"/>
    <col min="7200" max="7200" width="14.5703125" style="2" customWidth="1"/>
    <col min="7201" max="7203" width="10.42578125" style="2" customWidth="1"/>
    <col min="7204" max="7232" width="2.85546875" style="2" customWidth="1"/>
    <col min="7233" max="7427" width="10.28515625" style="2"/>
    <col min="7428" max="7428" width="14" style="2" customWidth="1"/>
    <col min="7429" max="7440" width="0" style="2" hidden="1" customWidth="1"/>
    <col min="7441" max="7449" width="11.5703125" style="2" customWidth="1"/>
    <col min="7450" max="7452" width="0" style="2" hidden="1" customWidth="1"/>
    <col min="7453" max="7453" width="10.140625" style="2" customWidth="1"/>
    <col min="7454" max="7454" width="8.85546875" style="2" customWidth="1"/>
    <col min="7455" max="7455" width="2.140625" style="2" customWidth="1"/>
    <col min="7456" max="7456" width="14.5703125" style="2" customWidth="1"/>
    <col min="7457" max="7459" width="10.42578125" style="2" customWidth="1"/>
    <col min="7460" max="7488" width="2.85546875" style="2" customWidth="1"/>
    <col min="7489" max="7683" width="10.28515625" style="2"/>
    <col min="7684" max="7684" width="14" style="2" customWidth="1"/>
    <col min="7685" max="7696" width="0" style="2" hidden="1" customWidth="1"/>
    <col min="7697" max="7705" width="11.5703125" style="2" customWidth="1"/>
    <col min="7706" max="7708" width="0" style="2" hidden="1" customWidth="1"/>
    <col min="7709" max="7709" width="10.140625" style="2" customWidth="1"/>
    <col min="7710" max="7710" width="8.85546875" style="2" customWidth="1"/>
    <col min="7711" max="7711" width="2.140625" style="2" customWidth="1"/>
    <col min="7712" max="7712" width="14.5703125" style="2" customWidth="1"/>
    <col min="7713" max="7715" width="10.42578125" style="2" customWidth="1"/>
    <col min="7716" max="7744" width="2.85546875" style="2" customWidth="1"/>
    <col min="7745" max="7939" width="10.28515625" style="2"/>
    <col min="7940" max="7940" width="14" style="2" customWidth="1"/>
    <col min="7941" max="7952" width="0" style="2" hidden="1" customWidth="1"/>
    <col min="7953" max="7961" width="11.5703125" style="2" customWidth="1"/>
    <col min="7962" max="7964" width="0" style="2" hidden="1" customWidth="1"/>
    <col min="7965" max="7965" width="10.140625" style="2" customWidth="1"/>
    <col min="7966" max="7966" width="8.85546875" style="2" customWidth="1"/>
    <col min="7967" max="7967" width="2.140625" style="2" customWidth="1"/>
    <col min="7968" max="7968" width="14.5703125" style="2" customWidth="1"/>
    <col min="7969" max="7971" width="10.42578125" style="2" customWidth="1"/>
    <col min="7972" max="8000" width="2.85546875" style="2" customWidth="1"/>
    <col min="8001" max="8195" width="10.28515625" style="2"/>
    <col min="8196" max="8196" width="14" style="2" customWidth="1"/>
    <col min="8197" max="8208" width="0" style="2" hidden="1" customWidth="1"/>
    <col min="8209" max="8217" width="11.5703125" style="2" customWidth="1"/>
    <col min="8218" max="8220" width="0" style="2" hidden="1" customWidth="1"/>
    <col min="8221" max="8221" width="10.140625" style="2" customWidth="1"/>
    <col min="8222" max="8222" width="8.85546875" style="2" customWidth="1"/>
    <col min="8223" max="8223" width="2.140625" style="2" customWidth="1"/>
    <col min="8224" max="8224" width="14.5703125" style="2" customWidth="1"/>
    <col min="8225" max="8227" width="10.42578125" style="2" customWidth="1"/>
    <col min="8228" max="8256" width="2.85546875" style="2" customWidth="1"/>
    <col min="8257" max="8451" width="10.28515625" style="2"/>
    <col min="8452" max="8452" width="14" style="2" customWidth="1"/>
    <col min="8453" max="8464" width="0" style="2" hidden="1" customWidth="1"/>
    <col min="8465" max="8473" width="11.5703125" style="2" customWidth="1"/>
    <col min="8474" max="8476" width="0" style="2" hidden="1" customWidth="1"/>
    <col min="8477" max="8477" width="10.140625" style="2" customWidth="1"/>
    <col min="8478" max="8478" width="8.85546875" style="2" customWidth="1"/>
    <col min="8479" max="8479" width="2.140625" style="2" customWidth="1"/>
    <col min="8480" max="8480" width="14.5703125" style="2" customWidth="1"/>
    <col min="8481" max="8483" width="10.42578125" style="2" customWidth="1"/>
    <col min="8484" max="8512" width="2.85546875" style="2" customWidth="1"/>
    <col min="8513" max="8707" width="10.28515625" style="2"/>
    <col min="8708" max="8708" width="14" style="2" customWidth="1"/>
    <col min="8709" max="8720" width="0" style="2" hidden="1" customWidth="1"/>
    <col min="8721" max="8729" width="11.5703125" style="2" customWidth="1"/>
    <col min="8730" max="8732" width="0" style="2" hidden="1" customWidth="1"/>
    <col min="8733" max="8733" width="10.140625" style="2" customWidth="1"/>
    <col min="8734" max="8734" width="8.85546875" style="2" customWidth="1"/>
    <col min="8735" max="8735" width="2.140625" style="2" customWidth="1"/>
    <col min="8736" max="8736" width="14.5703125" style="2" customWidth="1"/>
    <col min="8737" max="8739" width="10.42578125" style="2" customWidth="1"/>
    <col min="8740" max="8768" width="2.85546875" style="2" customWidth="1"/>
    <col min="8769" max="8963" width="10.28515625" style="2"/>
    <col min="8964" max="8964" width="14" style="2" customWidth="1"/>
    <col min="8965" max="8976" width="0" style="2" hidden="1" customWidth="1"/>
    <col min="8977" max="8985" width="11.5703125" style="2" customWidth="1"/>
    <col min="8986" max="8988" width="0" style="2" hidden="1" customWidth="1"/>
    <col min="8989" max="8989" width="10.140625" style="2" customWidth="1"/>
    <col min="8990" max="8990" width="8.85546875" style="2" customWidth="1"/>
    <col min="8991" max="8991" width="2.140625" style="2" customWidth="1"/>
    <col min="8992" max="8992" width="14.5703125" style="2" customWidth="1"/>
    <col min="8993" max="8995" width="10.42578125" style="2" customWidth="1"/>
    <col min="8996" max="9024" width="2.85546875" style="2" customWidth="1"/>
    <col min="9025" max="9219" width="10.28515625" style="2"/>
    <col min="9220" max="9220" width="14" style="2" customWidth="1"/>
    <col min="9221" max="9232" width="0" style="2" hidden="1" customWidth="1"/>
    <col min="9233" max="9241" width="11.5703125" style="2" customWidth="1"/>
    <col min="9242" max="9244" width="0" style="2" hidden="1" customWidth="1"/>
    <col min="9245" max="9245" width="10.140625" style="2" customWidth="1"/>
    <col min="9246" max="9246" width="8.85546875" style="2" customWidth="1"/>
    <col min="9247" max="9247" width="2.140625" style="2" customWidth="1"/>
    <col min="9248" max="9248" width="14.5703125" style="2" customWidth="1"/>
    <col min="9249" max="9251" width="10.42578125" style="2" customWidth="1"/>
    <col min="9252" max="9280" width="2.85546875" style="2" customWidth="1"/>
    <col min="9281" max="9475" width="10.28515625" style="2"/>
    <col min="9476" max="9476" width="14" style="2" customWidth="1"/>
    <col min="9477" max="9488" width="0" style="2" hidden="1" customWidth="1"/>
    <col min="9489" max="9497" width="11.5703125" style="2" customWidth="1"/>
    <col min="9498" max="9500" width="0" style="2" hidden="1" customWidth="1"/>
    <col min="9501" max="9501" width="10.140625" style="2" customWidth="1"/>
    <col min="9502" max="9502" width="8.85546875" style="2" customWidth="1"/>
    <col min="9503" max="9503" width="2.140625" style="2" customWidth="1"/>
    <col min="9504" max="9504" width="14.5703125" style="2" customWidth="1"/>
    <col min="9505" max="9507" width="10.42578125" style="2" customWidth="1"/>
    <col min="9508" max="9536" width="2.85546875" style="2" customWidth="1"/>
    <col min="9537" max="9731" width="10.28515625" style="2"/>
    <col min="9732" max="9732" width="14" style="2" customWidth="1"/>
    <col min="9733" max="9744" width="0" style="2" hidden="1" customWidth="1"/>
    <col min="9745" max="9753" width="11.5703125" style="2" customWidth="1"/>
    <col min="9754" max="9756" width="0" style="2" hidden="1" customWidth="1"/>
    <col min="9757" max="9757" width="10.140625" style="2" customWidth="1"/>
    <col min="9758" max="9758" width="8.85546875" style="2" customWidth="1"/>
    <col min="9759" max="9759" width="2.140625" style="2" customWidth="1"/>
    <col min="9760" max="9760" width="14.5703125" style="2" customWidth="1"/>
    <col min="9761" max="9763" width="10.42578125" style="2" customWidth="1"/>
    <col min="9764" max="9792" width="2.85546875" style="2" customWidth="1"/>
    <col min="9793" max="9987" width="10.28515625" style="2"/>
    <col min="9988" max="9988" width="14" style="2" customWidth="1"/>
    <col min="9989" max="10000" width="0" style="2" hidden="1" customWidth="1"/>
    <col min="10001" max="10009" width="11.5703125" style="2" customWidth="1"/>
    <col min="10010" max="10012" width="0" style="2" hidden="1" customWidth="1"/>
    <col min="10013" max="10013" width="10.140625" style="2" customWidth="1"/>
    <col min="10014" max="10014" width="8.85546875" style="2" customWidth="1"/>
    <col min="10015" max="10015" width="2.140625" style="2" customWidth="1"/>
    <col min="10016" max="10016" width="14.5703125" style="2" customWidth="1"/>
    <col min="10017" max="10019" width="10.42578125" style="2" customWidth="1"/>
    <col min="10020" max="10048" width="2.85546875" style="2" customWidth="1"/>
    <col min="10049" max="10243" width="10.28515625" style="2"/>
    <col min="10244" max="10244" width="14" style="2" customWidth="1"/>
    <col min="10245" max="10256" width="0" style="2" hidden="1" customWidth="1"/>
    <col min="10257" max="10265" width="11.5703125" style="2" customWidth="1"/>
    <col min="10266" max="10268" width="0" style="2" hidden="1" customWidth="1"/>
    <col min="10269" max="10269" width="10.140625" style="2" customWidth="1"/>
    <col min="10270" max="10270" width="8.85546875" style="2" customWidth="1"/>
    <col min="10271" max="10271" width="2.140625" style="2" customWidth="1"/>
    <col min="10272" max="10272" width="14.5703125" style="2" customWidth="1"/>
    <col min="10273" max="10275" width="10.42578125" style="2" customWidth="1"/>
    <col min="10276" max="10304" width="2.85546875" style="2" customWidth="1"/>
    <col min="10305" max="10499" width="10.28515625" style="2"/>
    <col min="10500" max="10500" width="14" style="2" customWidth="1"/>
    <col min="10501" max="10512" width="0" style="2" hidden="1" customWidth="1"/>
    <col min="10513" max="10521" width="11.5703125" style="2" customWidth="1"/>
    <col min="10522" max="10524" width="0" style="2" hidden="1" customWidth="1"/>
    <col min="10525" max="10525" width="10.140625" style="2" customWidth="1"/>
    <col min="10526" max="10526" width="8.85546875" style="2" customWidth="1"/>
    <col min="10527" max="10527" width="2.140625" style="2" customWidth="1"/>
    <col min="10528" max="10528" width="14.5703125" style="2" customWidth="1"/>
    <col min="10529" max="10531" width="10.42578125" style="2" customWidth="1"/>
    <col min="10532" max="10560" width="2.85546875" style="2" customWidth="1"/>
    <col min="10561" max="10755" width="10.28515625" style="2"/>
    <col min="10756" max="10756" width="14" style="2" customWidth="1"/>
    <col min="10757" max="10768" width="0" style="2" hidden="1" customWidth="1"/>
    <col min="10769" max="10777" width="11.5703125" style="2" customWidth="1"/>
    <col min="10778" max="10780" width="0" style="2" hidden="1" customWidth="1"/>
    <col min="10781" max="10781" width="10.140625" style="2" customWidth="1"/>
    <col min="10782" max="10782" width="8.85546875" style="2" customWidth="1"/>
    <col min="10783" max="10783" width="2.140625" style="2" customWidth="1"/>
    <col min="10784" max="10784" width="14.5703125" style="2" customWidth="1"/>
    <col min="10785" max="10787" width="10.42578125" style="2" customWidth="1"/>
    <col min="10788" max="10816" width="2.85546875" style="2" customWidth="1"/>
    <col min="10817" max="11011" width="10.28515625" style="2"/>
    <col min="11012" max="11012" width="14" style="2" customWidth="1"/>
    <col min="11013" max="11024" width="0" style="2" hidden="1" customWidth="1"/>
    <col min="11025" max="11033" width="11.5703125" style="2" customWidth="1"/>
    <col min="11034" max="11036" width="0" style="2" hidden="1" customWidth="1"/>
    <col min="11037" max="11037" width="10.140625" style="2" customWidth="1"/>
    <col min="11038" max="11038" width="8.85546875" style="2" customWidth="1"/>
    <col min="11039" max="11039" width="2.140625" style="2" customWidth="1"/>
    <col min="11040" max="11040" width="14.5703125" style="2" customWidth="1"/>
    <col min="11041" max="11043" width="10.42578125" style="2" customWidth="1"/>
    <col min="11044" max="11072" width="2.85546875" style="2" customWidth="1"/>
    <col min="11073" max="11267" width="10.28515625" style="2"/>
    <col min="11268" max="11268" width="14" style="2" customWidth="1"/>
    <col min="11269" max="11280" width="0" style="2" hidden="1" customWidth="1"/>
    <col min="11281" max="11289" width="11.5703125" style="2" customWidth="1"/>
    <col min="11290" max="11292" width="0" style="2" hidden="1" customWidth="1"/>
    <col min="11293" max="11293" width="10.140625" style="2" customWidth="1"/>
    <col min="11294" max="11294" width="8.85546875" style="2" customWidth="1"/>
    <col min="11295" max="11295" width="2.140625" style="2" customWidth="1"/>
    <col min="11296" max="11296" width="14.5703125" style="2" customWidth="1"/>
    <col min="11297" max="11299" width="10.42578125" style="2" customWidth="1"/>
    <col min="11300" max="11328" width="2.85546875" style="2" customWidth="1"/>
    <col min="11329" max="11523" width="10.28515625" style="2"/>
    <col min="11524" max="11524" width="14" style="2" customWidth="1"/>
    <col min="11525" max="11536" width="0" style="2" hidden="1" customWidth="1"/>
    <col min="11537" max="11545" width="11.5703125" style="2" customWidth="1"/>
    <col min="11546" max="11548" width="0" style="2" hidden="1" customWidth="1"/>
    <col min="11549" max="11549" width="10.140625" style="2" customWidth="1"/>
    <col min="11550" max="11550" width="8.85546875" style="2" customWidth="1"/>
    <col min="11551" max="11551" width="2.140625" style="2" customWidth="1"/>
    <col min="11552" max="11552" width="14.5703125" style="2" customWidth="1"/>
    <col min="11553" max="11555" width="10.42578125" style="2" customWidth="1"/>
    <col min="11556" max="11584" width="2.85546875" style="2" customWidth="1"/>
    <col min="11585" max="11779" width="10.28515625" style="2"/>
    <col min="11780" max="11780" width="14" style="2" customWidth="1"/>
    <col min="11781" max="11792" width="0" style="2" hidden="1" customWidth="1"/>
    <col min="11793" max="11801" width="11.5703125" style="2" customWidth="1"/>
    <col min="11802" max="11804" width="0" style="2" hidden="1" customWidth="1"/>
    <col min="11805" max="11805" width="10.140625" style="2" customWidth="1"/>
    <col min="11806" max="11806" width="8.85546875" style="2" customWidth="1"/>
    <col min="11807" max="11807" width="2.140625" style="2" customWidth="1"/>
    <col min="11808" max="11808" width="14.5703125" style="2" customWidth="1"/>
    <col min="11809" max="11811" width="10.42578125" style="2" customWidth="1"/>
    <col min="11812" max="11840" width="2.85546875" style="2" customWidth="1"/>
    <col min="11841" max="12035" width="10.28515625" style="2"/>
    <col min="12036" max="12036" width="14" style="2" customWidth="1"/>
    <col min="12037" max="12048" width="0" style="2" hidden="1" customWidth="1"/>
    <col min="12049" max="12057" width="11.5703125" style="2" customWidth="1"/>
    <col min="12058" max="12060" width="0" style="2" hidden="1" customWidth="1"/>
    <col min="12061" max="12061" width="10.140625" style="2" customWidth="1"/>
    <col min="12062" max="12062" width="8.85546875" style="2" customWidth="1"/>
    <col min="12063" max="12063" width="2.140625" style="2" customWidth="1"/>
    <col min="12064" max="12064" width="14.5703125" style="2" customWidth="1"/>
    <col min="12065" max="12067" width="10.42578125" style="2" customWidth="1"/>
    <col min="12068" max="12096" width="2.85546875" style="2" customWidth="1"/>
    <col min="12097" max="12291" width="10.28515625" style="2"/>
    <col min="12292" max="12292" width="14" style="2" customWidth="1"/>
    <col min="12293" max="12304" width="0" style="2" hidden="1" customWidth="1"/>
    <col min="12305" max="12313" width="11.5703125" style="2" customWidth="1"/>
    <col min="12314" max="12316" width="0" style="2" hidden="1" customWidth="1"/>
    <col min="12317" max="12317" width="10.140625" style="2" customWidth="1"/>
    <col min="12318" max="12318" width="8.85546875" style="2" customWidth="1"/>
    <col min="12319" max="12319" width="2.140625" style="2" customWidth="1"/>
    <col min="12320" max="12320" width="14.5703125" style="2" customWidth="1"/>
    <col min="12321" max="12323" width="10.42578125" style="2" customWidth="1"/>
    <col min="12324" max="12352" width="2.85546875" style="2" customWidth="1"/>
    <col min="12353" max="12547" width="10.28515625" style="2"/>
    <col min="12548" max="12548" width="14" style="2" customWidth="1"/>
    <col min="12549" max="12560" width="0" style="2" hidden="1" customWidth="1"/>
    <col min="12561" max="12569" width="11.5703125" style="2" customWidth="1"/>
    <col min="12570" max="12572" width="0" style="2" hidden="1" customWidth="1"/>
    <col min="12573" max="12573" width="10.140625" style="2" customWidth="1"/>
    <col min="12574" max="12574" width="8.85546875" style="2" customWidth="1"/>
    <col min="12575" max="12575" width="2.140625" style="2" customWidth="1"/>
    <col min="12576" max="12576" width="14.5703125" style="2" customWidth="1"/>
    <col min="12577" max="12579" width="10.42578125" style="2" customWidth="1"/>
    <col min="12580" max="12608" width="2.85546875" style="2" customWidth="1"/>
    <col min="12609" max="12803" width="10.28515625" style="2"/>
    <col min="12804" max="12804" width="14" style="2" customWidth="1"/>
    <col min="12805" max="12816" width="0" style="2" hidden="1" customWidth="1"/>
    <col min="12817" max="12825" width="11.5703125" style="2" customWidth="1"/>
    <col min="12826" max="12828" width="0" style="2" hidden="1" customWidth="1"/>
    <col min="12829" max="12829" width="10.140625" style="2" customWidth="1"/>
    <col min="12830" max="12830" width="8.85546875" style="2" customWidth="1"/>
    <col min="12831" max="12831" width="2.140625" style="2" customWidth="1"/>
    <col min="12832" max="12832" width="14.5703125" style="2" customWidth="1"/>
    <col min="12833" max="12835" width="10.42578125" style="2" customWidth="1"/>
    <col min="12836" max="12864" width="2.85546875" style="2" customWidth="1"/>
    <col min="12865" max="13059" width="10.28515625" style="2"/>
    <col min="13060" max="13060" width="14" style="2" customWidth="1"/>
    <col min="13061" max="13072" width="0" style="2" hidden="1" customWidth="1"/>
    <col min="13073" max="13081" width="11.5703125" style="2" customWidth="1"/>
    <col min="13082" max="13084" width="0" style="2" hidden="1" customWidth="1"/>
    <col min="13085" max="13085" width="10.140625" style="2" customWidth="1"/>
    <col min="13086" max="13086" width="8.85546875" style="2" customWidth="1"/>
    <col min="13087" max="13087" width="2.140625" style="2" customWidth="1"/>
    <col min="13088" max="13088" width="14.5703125" style="2" customWidth="1"/>
    <col min="13089" max="13091" width="10.42578125" style="2" customWidth="1"/>
    <col min="13092" max="13120" width="2.85546875" style="2" customWidth="1"/>
    <col min="13121" max="13315" width="10.28515625" style="2"/>
    <col min="13316" max="13316" width="14" style="2" customWidth="1"/>
    <col min="13317" max="13328" width="0" style="2" hidden="1" customWidth="1"/>
    <col min="13329" max="13337" width="11.5703125" style="2" customWidth="1"/>
    <col min="13338" max="13340" width="0" style="2" hidden="1" customWidth="1"/>
    <col min="13341" max="13341" width="10.140625" style="2" customWidth="1"/>
    <col min="13342" max="13342" width="8.85546875" style="2" customWidth="1"/>
    <col min="13343" max="13343" width="2.140625" style="2" customWidth="1"/>
    <col min="13344" max="13344" width="14.5703125" style="2" customWidth="1"/>
    <col min="13345" max="13347" width="10.42578125" style="2" customWidth="1"/>
    <col min="13348" max="13376" width="2.85546875" style="2" customWidth="1"/>
    <col min="13377" max="13571" width="10.28515625" style="2"/>
    <col min="13572" max="13572" width="14" style="2" customWidth="1"/>
    <col min="13573" max="13584" width="0" style="2" hidden="1" customWidth="1"/>
    <col min="13585" max="13593" width="11.5703125" style="2" customWidth="1"/>
    <col min="13594" max="13596" width="0" style="2" hidden="1" customWidth="1"/>
    <col min="13597" max="13597" width="10.140625" style="2" customWidth="1"/>
    <col min="13598" max="13598" width="8.85546875" style="2" customWidth="1"/>
    <col min="13599" max="13599" width="2.140625" style="2" customWidth="1"/>
    <col min="13600" max="13600" width="14.5703125" style="2" customWidth="1"/>
    <col min="13601" max="13603" width="10.42578125" style="2" customWidth="1"/>
    <col min="13604" max="13632" width="2.85546875" style="2" customWidth="1"/>
    <col min="13633" max="13827" width="10.28515625" style="2"/>
    <col min="13828" max="13828" width="14" style="2" customWidth="1"/>
    <col min="13829" max="13840" width="0" style="2" hidden="1" customWidth="1"/>
    <col min="13841" max="13849" width="11.5703125" style="2" customWidth="1"/>
    <col min="13850" max="13852" width="0" style="2" hidden="1" customWidth="1"/>
    <col min="13853" max="13853" width="10.140625" style="2" customWidth="1"/>
    <col min="13854" max="13854" width="8.85546875" style="2" customWidth="1"/>
    <col min="13855" max="13855" width="2.140625" style="2" customWidth="1"/>
    <col min="13856" max="13856" width="14.5703125" style="2" customWidth="1"/>
    <col min="13857" max="13859" width="10.42578125" style="2" customWidth="1"/>
    <col min="13860" max="13888" width="2.85546875" style="2" customWidth="1"/>
    <col min="13889" max="14083" width="10.28515625" style="2"/>
    <col min="14084" max="14084" width="14" style="2" customWidth="1"/>
    <col min="14085" max="14096" width="0" style="2" hidden="1" customWidth="1"/>
    <col min="14097" max="14105" width="11.5703125" style="2" customWidth="1"/>
    <col min="14106" max="14108" width="0" style="2" hidden="1" customWidth="1"/>
    <col min="14109" max="14109" width="10.140625" style="2" customWidth="1"/>
    <col min="14110" max="14110" width="8.85546875" style="2" customWidth="1"/>
    <col min="14111" max="14111" width="2.140625" style="2" customWidth="1"/>
    <col min="14112" max="14112" width="14.5703125" style="2" customWidth="1"/>
    <col min="14113" max="14115" width="10.42578125" style="2" customWidth="1"/>
    <col min="14116" max="14144" width="2.85546875" style="2" customWidth="1"/>
    <col min="14145" max="14339" width="10.28515625" style="2"/>
    <col min="14340" max="14340" width="14" style="2" customWidth="1"/>
    <col min="14341" max="14352" width="0" style="2" hidden="1" customWidth="1"/>
    <col min="14353" max="14361" width="11.5703125" style="2" customWidth="1"/>
    <col min="14362" max="14364" width="0" style="2" hidden="1" customWidth="1"/>
    <col min="14365" max="14365" width="10.140625" style="2" customWidth="1"/>
    <col min="14366" max="14366" width="8.85546875" style="2" customWidth="1"/>
    <col min="14367" max="14367" width="2.140625" style="2" customWidth="1"/>
    <col min="14368" max="14368" width="14.5703125" style="2" customWidth="1"/>
    <col min="14369" max="14371" width="10.42578125" style="2" customWidth="1"/>
    <col min="14372" max="14400" width="2.85546875" style="2" customWidth="1"/>
    <col min="14401" max="14595" width="10.28515625" style="2"/>
    <col min="14596" max="14596" width="14" style="2" customWidth="1"/>
    <col min="14597" max="14608" width="0" style="2" hidden="1" customWidth="1"/>
    <col min="14609" max="14617" width="11.5703125" style="2" customWidth="1"/>
    <col min="14618" max="14620" width="0" style="2" hidden="1" customWidth="1"/>
    <col min="14621" max="14621" width="10.140625" style="2" customWidth="1"/>
    <col min="14622" max="14622" width="8.85546875" style="2" customWidth="1"/>
    <col min="14623" max="14623" width="2.140625" style="2" customWidth="1"/>
    <col min="14624" max="14624" width="14.5703125" style="2" customWidth="1"/>
    <col min="14625" max="14627" width="10.42578125" style="2" customWidth="1"/>
    <col min="14628" max="14656" width="2.85546875" style="2" customWidth="1"/>
    <col min="14657" max="14851" width="10.28515625" style="2"/>
    <col min="14852" max="14852" width="14" style="2" customWidth="1"/>
    <col min="14853" max="14864" width="0" style="2" hidden="1" customWidth="1"/>
    <col min="14865" max="14873" width="11.5703125" style="2" customWidth="1"/>
    <col min="14874" max="14876" width="0" style="2" hidden="1" customWidth="1"/>
    <col min="14877" max="14877" width="10.140625" style="2" customWidth="1"/>
    <col min="14878" max="14878" width="8.85546875" style="2" customWidth="1"/>
    <col min="14879" max="14879" width="2.140625" style="2" customWidth="1"/>
    <col min="14880" max="14880" width="14.5703125" style="2" customWidth="1"/>
    <col min="14881" max="14883" width="10.42578125" style="2" customWidth="1"/>
    <col min="14884" max="14912" width="2.85546875" style="2" customWidth="1"/>
    <col min="14913" max="15107" width="10.28515625" style="2"/>
    <col min="15108" max="15108" width="14" style="2" customWidth="1"/>
    <col min="15109" max="15120" width="0" style="2" hidden="1" customWidth="1"/>
    <col min="15121" max="15129" width="11.5703125" style="2" customWidth="1"/>
    <col min="15130" max="15132" width="0" style="2" hidden="1" customWidth="1"/>
    <col min="15133" max="15133" width="10.140625" style="2" customWidth="1"/>
    <col min="15134" max="15134" width="8.85546875" style="2" customWidth="1"/>
    <col min="15135" max="15135" width="2.140625" style="2" customWidth="1"/>
    <col min="15136" max="15136" width="14.5703125" style="2" customWidth="1"/>
    <col min="15137" max="15139" width="10.42578125" style="2" customWidth="1"/>
    <col min="15140" max="15168" width="2.85546875" style="2" customWidth="1"/>
    <col min="15169" max="15363" width="10.28515625" style="2"/>
    <col min="15364" max="15364" width="14" style="2" customWidth="1"/>
    <col min="15365" max="15376" width="0" style="2" hidden="1" customWidth="1"/>
    <col min="15377" max="15385" width="11.5703125" style="2" customWidth="1"/>
    <col min="15386" max="15388" width="0" style="2" hidden="1" customWidth="1"/>
    <col min="15389" max="15389" width="10.140625" style="2" customWidth="1"/>
    <col min="15390" max="15390" width="8.85546875" style="2" customWidth="1"/>
    <col min="15391" max="15391" width="2.140625" style="2" customWidth="1"/>
    <col min="15392" max="15392" width="14.5703125" style="2" customWidth="1"/>
    <col min="15393" max="15395" width="10.42578125" style="2" customWidth="1"/>
    <col min="15396" max="15424" width="2.85546875" style="2" customWidth="1"/>
    <col min="15425" max="15619" width="10.28515625" style="2"/>
    <col min="15620" max="15620" width="14" style="2" customWidth="1"/>
    <col min="15621" max="15632" width="0" style="2" hidden="1" customWidth="1"/>
    <col min="15633" max="15641" width="11.5703125" style="2" customWidth="1"/>
    <col min="15642" max="15644" width="0" style="2" hidden="1" customWidth="1"/>
    <col min="15645" max="15645" width="10.140625" style="2" customWidth="1"/>
    <col min="15646" max="15646" width="8.85546875" style="2" customWidth="1"/>
    <col min="15647" max="15647" width="2.140625" style="2" customWidth="1"/>
    <col min="15648" max="15648" width="14.5703125" style="2" customWidth="1"/>
    <col min="15649" max="15651" width="10.42578125" style="2" customWidth="1"/>
    <col min="15652" max="15680" width="2.85546875" style="2" customWidth="1"/>
    <col min="15681" max="15875" width="10.28515625" style="2"/>
    <col min="15876" max="15876" width="14" style="2" customWidth="1"/>
    <col min="15877" max="15888" width="0" style="2" hidden="1" customWidth="1"/>
    <col min="15889" max="15897" width="11.5703125" style="2" customWidth="1"/>
    <col min="15898" max="15900" width="0" style="2" hidden="1" customWidth="1"/>
    <col min="15901" max="15901" width="10.140625" style="2" customWidth="1"/>
    <col min="15902" max="15902" width="8.85546875" style="2" customWidth="1"/>
    <col min="15903" max="15903" width="2.140625" style="2" customWidth="1"/>
    <col min="15904" max="15904" width="14.5703125" style="2" customWidth="1"/>
    <col min="15905" max="15907" width="10.42578125" style="2" customWidth="1"/>
    <col min="15908" max="15936" width="2.85546875" style="2" customWidth="1"/>
    <col min="15937" max="16131" width="10.28515625" style="2"/>
    <col min="16132" max="16132" width="14" style="2" customWidth="1"/>
    <col min="16133" max="16144" width="0" style="2" hidden="1" customWidth="1"/>
    <col min="16145" max="16153" width="11.5703125" style="2" customWidth="1"/>
    <col min="16154" max="16156" width="0" style="2" hidden="1" customWidth="1"/>
    <col min="16157" max="16157" width="10.140625" style="2" customWidth="1"/>
    <col min="16158" max="16158" width="8.85546875" style="2" customWidth="1"/>
    <col min="16159" max="16159" width="2.140625" style="2" customWidth="1"/>
    <col min="16160" max="16160" width="14.5703125" style="2" customWidth="1"/>
    <col min="16161" max="16163" width="10.42578125" style="2" customWidth="1"/>
    <col min="16164" max="16192" width="2.85546875" style="2" customWidth="1"/>
    <col min="16193" max="16384" width="10.28515625" style="2"/>
  </cols>
  <sheetData>
    <row r="1" spans="1:72" ht="20.25" customHeight="1" x14ac:dyDescent="0.45">
      <c r="A1" s="63" t="s">
        <v>51</v>
      </c>
      <c r="B1" s="63"/>
      <c r="C1" s="63"/>
      <c r="D1" s="63"/>
      <c r="E1" s="63"/>
      <c r="F1" s="63"/>
      <c r="G1" s="63"/>
      <c r="H1" s="63"/>
      <c r="I1" s="63"/>
    </row>
    <row r="2" spans="1:72" ht="18" customHeight="1" x14ac:dyDescent="0.15">
      <c r="A2" s="64" t="s">
        <v>50</v>
      </c>
      <c r="B2" s="64"/>
      <c r="C2" s="64"/>
      <c r="D2" s="64"/>
      <c r="E2" s="64"/>
      <c r="F2" s="64"/>
      <c r="G2" s="64"/>
      <c r="H2" s="64"/>
      <c r="I2" s="64"/>
    </row>
    <row r="3" spans="1:72" s="7" customFormat="1" ht="15.75" customHeight="1" x14ac:dyDescent="0.2">
      <c r="A3" s="5"/>
      <c r="B3" s="65">
        <v>2020</v>
      </c>
      <c r="C3" s="66"/>
      <c r="D3" s="66"/>
      <c r="E3" s="65" t="s">
        <v>49</v>
      </c>
      <c r="F3" s="66"/>
      <c r="G3" s="66"/>
      <c r="H3" s="6"/>
      <c r="I3" s="68" t="s">
        <v>2</v>
      </c>
      <c r="BP3" s="8"/>
      <c r="BQ3" s="9"/>
      <c r="BR3" s="8"/>
      <c r="BS3" s="8"/>
      <c r="BT3" s="8"/>
    </row>
    <row r="4" spans="1:72" s="48" customFormat="1" ht="21.75" customHeight="1" x14ac:dyDescent="0.4">
      <c r="A4" s="45"/>
      <c r="B4" s="46" t="s">
        <v>3</v>
      </c>
      <c r="C4" s="47" t="s">
        <v>4</v>
      </c>
      <c r="D4" s="47" t="s">
        <v>5</v>
      </c>
      <c r="E4" s="46" t="s">
        <v>3</v>
      </c>
      <c r="F4" s="47" t="s">
        <v>4</v>
      </c>
      <c r="G4" s="47" t="s">
        <v>5</v>
      </c>
      <c r="H4" s="47"/>
      <c r="I4" s="69"/>
      <c r="BP4" s="49"/>
      <c r="BQ4" s="50"/>
      <c r="BR4" s="49"/>
      <c r="BS4" s="49"/>
      <c r="BT4" s="49"/>
    </row>
    <row r="5" spans="1:72" ht="25.5" customHeight="1" x14ac:dyDescent="0.25">
      <c r="A5" s="10" t="s">
        <v>6</v>
      </c>
      <c r="B5" s="11" t="s">
        <v>7</v>
      </c>
      <c r="C5" s="12" t="s">
        <v>8</v>
      </c>
      <c r="D5" s="13" t="s">
        <v>9</v>
      </c>
      <c r="E5" s="11" t="s">
        <v>7</v>
      </c>
      <c r="F5" s="12" t="s">
        <v>8</v>
      </c>
      <c r="G5" s="13" t="s">
        <v>9</v>
      </c>
      <c r="H5" s="13"/>
      <c r="I5" s="70"/>
    </row>
    <row r="6" spans="1:72" ht="18.75" customHeight="1" x14ac:dyDescent="0.55000000000000004">
      <c r="A6" s="5" t="s">
        <v>1</v>
      </c>
      <c r="B6" s="14">
        <f t="shared" ref="B6:D6" si="0">SUM(B7:B18)</f>
        <v>6293</v>
      </c>
      <c r="C6" s="15">
        <f t="shared" si="0"/>
        <v>1275</v>
      </c>
      <c r="D6" s="15">
        <f t="shared" si="0"/>
        <v>5018</v>
      </c>
      <c r="E6" s="14">
        <f t="shared" ref="E6:G6" si="1">SUM(E7:E18)</f>
        <v>5914</v>
      </c>
      <c r="F6" s="15">
        <f t="shared" si="1"/>
        <v>1552</v>
      </c>
      <c r="G6" s="15">
        <f t="shared" si="1"/>
        <v>4362</v>
      </c>
      <c r="H6" s="15"/>
      <c r="I6" s="16" t="s">
        <v>10</v>
      </c>
    </row>
    <row r="7" spans="1:72" ht="18.75" customHeight="1" x14ac:dyDescent="0.25">
      <c r="A7" s="17" t="s">
        <v>11</v>
      </c>
      <c r="B7" s="18">
        <v>540</v>
      </c>
      <c r="C7" s="19">
        <v>114</v>
      </c>
      <c r="D7" s="19">
        <f t="shared" ref="D7:D18" si="2">B7-C7</f>
        <v>426</v>
      </c>
      <c r="E7" s="57">
        <v>444</v>
      </c>
      <c r="F7" s="1">
        <v>146</v>
      </c>
      <c r="G7" s="19">
        <f t="shared" ref="G7:G18" si="3">E7-F7</f>
        <v>298</v>
      </c>
      <c r="H7" s="19"/>
      <c r="I7" s="20" t="s">
        <v>12</v>
      </c>
    </row>
    <row r="8" spans="1:72" ht="18.75" customHeight="1" x14ac:dyDescent="0.25">
      <c r="A8" s="17" t="s">
        <v>13</v>
      </c>
      <c r="B8" s="18">
        <v>548</v>
      </c>
      <c r="C8" s="19">
        <v>96</v>
      </c>
      <c r="D8" s="19">
        <f t="shared" si="2"/>
        <v>452</v>
      </c>
      <c r="E8" s="57">
        <v>423</v>
      </c>
      <c r="F8" s="1">
        <v>142</v>
      </c>
      <c r="G8" s="19">
        <f t="shared" si="3"/>
        <v>281</v>
      </c>
      <c r="H8" s="19"/>
      <c r="I8" s="20" t="s">
        <v>14</v>
      </c>
    </row>
    <row r="9" spans="1:72" ht="18.75" customHeight="1" x14ac:dyDescent="0.25">
      <c r="A9" s="17" t="s">
        <v>15</v>
      </c>
      <c r="B9" s="18">
        <v>485</v>
      </c>
      <c r="C9" s="19">
        <v>109</v>
      </c>
      <c r="D9" s="19">
        <f t="shared" si="2"/>
        <v>376</v>
      </c>
      <c r="E9" s="57">
        <v>545</v>
      </c>
      <c r="F9" s="1">
        <v>127</v>
      </c>
      <c r="G9" s="19">
        <f t="shared" si="3"/>
        <v>418</v>
      </c>
      <c r="H9" s="19"/>
      <c r="I9" s="20" t="s">
        <v>16</v>
      </c>
    </row>
    <row r="10" spans="1:72" ht="18.75" customHeight="1" x14ac:dyDescent="0.25">
      <c r="A10" s="17" t="s">
        <v>17</v>
      </c>
      <c r="B10" s="18">
        <v>541</v>
      </c>
      <c r="C10" s="19">
        <v>91</v>
      </c>
      <c r="D10" s="19">
        <f t="shared" si="2"/>
        <v>450</v>
      </c>
      <c r="E10" s="57">
        <v>534</v>
      </c>
      <c r="F10" s="1">
        <v>145</v>
      </c>
      <c r="G10" s="19">
        <f t="shared" si="3"/>
        <v>389</v>
      </c>
      <c r="H10" s="19"/>
      <c r="I10" s="20" t="s">
        <v>18</v>
      </c>
    </row>
    <row r="11" spans="1:72" ht="18.75" customHeight="1" x14ac:dyDescent="0.25">
      <c r="A11" s="17" t="s">
        <v>20</v>
      </c>
      <c r="B11" s="18">
        <v>492</v>
      </c>
      <c r="C11" s="19">
        <v>109</v>
      </c>
      <c r="D11" s="19">
        <f t="shared" si="2"/>
        <v>383</v>
      </c>
      <c r="E11" s="57">
        <v>516</v>
      </c>
      <c r="F11" s="1">
        <v>191</v>
      </c>
      <c r="G11" s="19">
        <f t="shared" si="3"/>
        <v>325</v>
      </c>
      <c r="H11" s="19"/>
      <c r="I11" s="20" t="s">
        <v>21</v>
      </c>
    </row>
    <row r="12" spans="1:72" ht="18.75" customHeight="1" x14ac:dyDescent="0.25">
      <c r="A12" s="17" t="s">
        <v>23</v>
      </c>
      <c r="B12" s="18">
        <v>462</v>
      </c>
      <c r="C12" s="19">
        <v>91</v>
      </c>
      <c r="D12" s="19">
        <f t="shared" si="2"/>
        <v>371</v>
      </c>
      <c r="E12" s="57">
        <v>482</v>
      </c>
      <c r="F12" s="1">
        <v>161</v>
      </c>
      <c r="G12" s="19">
        <f t="shared" si="3"/>
        <v>321</v>
      </c>
      <c r="H12" s="19"/>
      <c r="I12" s="20" t="s">
        <v>24</v>
      </c>
    </row>
    <row r="13" spans="1:72" ht="18.75" customHeight="1" x14ac:dyDescent="0.25">
      <c r="A13" s="17" t="s">
        <v>26</v>
      </c>
      <c r="B13" s="18">
        <v>522</v>
      </c>
      <c r="C13" s="19">
        <v>115</v>
      </c>
      <c r="D13" s="19">
        <f t="shared" si="2"/>
        <v>407</v>
      </c>
      <c r="E13" s="57">
        <v>507</v>
      </c>
      <c r="F13" s="1">
        <v>93</v>
      </c>
      <c r="G13" s="19">
        <f t="shared" si="3"/>
        <v>414</v>
      </c>
      <c r="H13" s="19"/>
      <c r="I13" s="20" t="s">
        <v>27</v>
      </c>
    </row>
    <row r="14" spans="1:72" ht="18.75" customHeight="1" x14ac:dyDescent="0.25">
      <c r="A14" s="17" t="s">
        <v>29</v>
      </c>
      <c r="B14" s="18">
        <v>508</v>
      </c>
      <c r="C14" s="19">
        <v>129</v>
      </c>
      <c r="D14" s="19">
        <f t="shared" si="2"/>
        <v>379</v>
      </c>
      <c r="E14" s="57">
        <v>543</v>
      </c>
      <c r="F14" s="1">
        <v>70</v>
      </c>
      <c r="G14" s="19">
        <f t="shared" si="3"/>
        <v>473</v>
      </c>
      <c r="H14" s="19"/>
      <c r="I14" s="20" t="s">
        <v>30</v>
      </c>
    </row>
    <row r="15" spans="1:72" ht="18.75" customHeight="1" x14ac:dyDescent="0.25">
      <c r="A15" s="17" t="s">
        <v>31</v>
      </c>
      <c r="B15" s="18">
        <v>573</v>
      </c>
      <c r="C15" s="19">
        <v>112</v>
      </c>
      <c r="D15" s="19">
        <f t="shared" si="2"/>
        <v>461</v>
      </c>
      <c r="E15" s="57">
        <v>502</v>
      </c>
      <c r="F15" s="1">
        <v>70</v>
      </c>
      <c r="G15" s="19">
        <f t="shared" si="3"/>
        <v>432</v>
      </c>
      <c r="H15" s="19"/>
      <c r="I15" s="20" t="s">
        <v>32</v>
      </c>
    </row>
    <row r="16" spans="1:72" ht="18.75" customHeight="1" x14ac:dyDescent="0.25">
      <c r="A16" s="17" t="s">
        <v>0</v>
      </c>
      <c r="B16" s="18">
        <v>514</v>
      </c>
      <c r="C16" s="19">
        <v>103</v>
      </c>
      <c r="D16" s="19">
        <f t="shared" si="2"/>
        <v>411</v>
      </c>
      <c r="E16" s="57">
        <v>524</v>
      </c>
      <c r="F16" s="1">
        <v>80</v>
      </c>
      <c r="G16" s="19">
        <f t="shared" si="3"/>
        <v>444</v>
      </c>
      <c r="H16" s="19"/>
      <c r="I16" s="20" t="s">
        <v>34</v>
      </c>
      <c r="BP16" s="2"/>
      <c r="BQ16" s="2"/>
      <c r="BR16" s="2"/>
      <c r="BS16" s="2"/>
      <c r="BT16" s="2"/>
    </row>
    <row r="17" spans="1:82" ht="18.75" customHeight="1" x14ac:dyDescent="0.25">
      <c r="A17" s="17" t="s">
        <v>36</v>
      </c>
      <c r="B17" s="18">
        <v>540</v>
      </c>
      <c r="C17" s="19">
        <v>110</v>
      </c>
      <c r="D17" s="19">
        <f t="shared" si="2"/>
        <v>430</v>
      </c>
      <c r="E17" s="57">
        <v>448</v>
      </c>
      <c r="F17" s="1">
        <v>146</v>
      </c>
      <c r="G17" s="19">
        <f t="shared" si="3"/>
        <v>302</v>
      </c>
      <c r="H17" s="19"/>
      <c r="I17" s="20" t="s">
        <v>37</v>
      </c>
    </row>
    <row r="18" spans="1:82" ht="18.75" customHeight="1" x14ac:dyDescent="0.25">
      <c r="A18" s="25" t="s">
        <v>39</v>
      </c>
      <c r="B18" s="26">
        <v>568</v>
      </c>
      <c r="C18" s="27">
        <v>96</v>
      </c>
      <c r="D18" s="27">
        <f t="shared" si="2"/>
        <v>472</v>
      </c>
      <c r="E18" s="56">
        <v>446</v>
      </c>
      <c r="F18" s="58">
        <v>181</v>
      </c>
      <c r="G18" s="27">
        <f t="shared" si="3"/>
        <v>265</v>
      </c>
      <c r="H18" s="27"/>
      <c r="I18" s="28" t="s">
        <v>40</v>
      </c>
      <c r="J18" s="53"/>
      <c r="BP18" s="2"/>
      <c r="BQ18" s="2"/>
      <c r="BR18" s="2"/>
      <c r="BS18" s="2"/>
      <c r="BT18" s="2"/>
    </row>
    <row r="19" spans="1:82" ht="21.75" customHeight="1" x14ac:dyDescent="0.15">
      <c r="A19" s="51" t="s">
        <v>45</v>
      </c>
      <c r="B19" s="52"/>
      <c r="C19" s="52"/>
      <c r="D19" s="52"/>
      <c r="E19" s="52"/>
      <c r="F19" s="52"/>
      <c r="G19" s="52"/>
      <c r="H19" s="52"/>
      <c r="I19" s="2"/>
      <c r="J19" s="20" t="s">
        <v>48</v>
      </c>
      <c r="BP19" s="2"/>
      <c r="BQ19" s="2"/>
      <c r="BR19" s="2"/>
      <c r="BS19" s="2"/>
      <c r="BT19" s="2"/>
    </row>
    <row r="20" spans="1:82" ht="17.25" customHeight="1" x14ac:dyDescent="0.15">
      <c r="A20" s="59" t="s">
        <v>52</v>
      </c>
      <c r="B20" s="52"/>
      <c r="C20" s="52"/>
      <c r="D20" s="52"/>
      <c r="E20" s="52"/>
      <c r="F20" s="52"/>
      <c r="G20" s="52"/>
      <c r="H20" s="52"/>
      <c r="I20" s="60" t="s">
        <v>53</v>
      </c>
      <c r="J20" s="54"/>
      <c r="BP20" s="2"/>
      <c r="BQ20" s="2"/>
      <c r="BR20" s="2"/>
      <c r="BS20" s="2"/>
      <c r="BT20" s="2"/>
    </row>
    <row r="21" spans="1:82" s="29" customFormat="1" ht="30" customHeight="1" x14ac:dyDescent="0.25">
      <c r="A21" s="72" t="s">
        <v>55</v>
      </c>
      <c r="B21" s="72"/>
      <c r="C21" s="72"/>
      <c r="D21" s="72"/>
      <c r="E21" s="67" t="s">
        <v>54</v>
      </c>
      <c r="F21" s="67"/>
      <c r="G21" s="67"/>
      <c r="H21" s="67"/>
      <c r="I21" s="67"/>
      <c r="L21" s="61"/>
      <c r="M21" s="61"/>
      <c r="N21" s="61"/>
    </row>
    <row r="22" spans="1:82" ht="16.5" x14ac:dyDescent="0.15">
      <c r="A22" s="55" t="s">
        <v>46</v>
      </c>
      <c r="I22" s="62" t="s">
        <v>47</v>
      </c>
      <c r="J22" s="31"/>
      <c r="K22" s="31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P22" s="2"/>
      <c r="BQ22" s="2"/>
      <c r="BR22" s="2"/>
      <c r="BS22" s="2"/>
      <c r="BT22" s="2"/>
    </row>
    <row r="23" spans="1:82" x14ac:dyDescent="0.5">
      <c r="J23" s="31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P23" s="2"/>
      <c r="BQ23" s="2"/>
      <c r="BR23" s="2"/>
      <c r="BS23" s="2"/>
      <c r="BT23" s="2"/>
    </row>
    <row r="24" spans="1:82" x14ac:dyDescent="0.5">
      <c r="J24" s="31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</row>
    <row r="25" spans="1:82" x14ac:dyDescent="0.5">
      <c r="J25" s="31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</row>
    <row r="26" spans="1:82" x14ac:dyDescent="0.5">
      <c r="J26" s="31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</row>
    <row r="29" spans="1:82" ht="12" x14ac:dyDescent="0.15">
      <c r="I29" s="2"/>
    </row>
    <row r="30" spans="1:82" ht="12" x14ac:dyDescent="0.15">
      <c r="A30" s="33"/>
      <c r="I30" s="2"/>
      <c r="BQ30" s="21" t="s">
        <v>8</v>
      </c>
    </row>
    <row r="31" spans="1:82" ht="12" x14ac:dyDescent="0.15">
      <c r="I31" s="2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4"/>
      <c r="BN31" s="34"/>
      <c r="BO31" s="34"/>
      <c r="BP31" s="35"/>
    </row>
    <row r="32" spans="1:82" ht="12" x14ac:dyDescent="0.15">
      <c r="A32" s="36"/>
      <c r="I32" s="2"/>
      <c r="BX32" s="3"/>
      <c r="CA32" s="21" t="s">
        <v>7</v>
      </c>
      <c r="CB32" s="3"/>
      <c r="CC32" s="3"/>
      <c r="CD32" s="3"/>
    </row>
    <row r="33" spans="1:86" s="36" customFormat="1" ht="12" x14ac:dyDescent="0.25">
      <c r="A33" s="37"/>
      <c r="BP33" s="38"/>
      <c r="BQ33" s="22"/>
      <c r="BR33" s="22">
        <v>2015</v>
      </c>
      <c r="BS33" s="22">
        <v>2016</v>
      </c>
      <c r="BT33" s="22">
        <v>2017</v>
      </c>
      <c r="BU33" s="22">
        <v>2018</v>
      </c>
      <c r="BV33" s="22">
        <v>2019</v>
      </c>
      <c r="BW33" s="22">
        <v>2020</v>
      </c>
      <c r="BX33" s="22">
        <v>2021</v>
      </c>
      <c r="CA33" s="22"/>
      <c r="CB33" s="22">
        <v>2015</v>
      </c>
      <c r="CC33" s="22">
        <v>2016</v>
      </c>
      <c r="CD33" s="22">
        <v>2017</v>
      </c>
      <c r="CE33" s="22">
        <v>2018</v>
      </c>
      <c r="CF33" s="22">
        <v>2019</v>
      </c>
      <c r="CG33" s="22">
        <v>2020</v>
      </c>
      <c r="CH33" s="22">
        <v>2021</v>
      </c>
    </row>
    <row r="34" spans="1:86" ht="12.75" x14ac:dyDescent="0.15">
      <c r="A34" s="37"/>
      <c r="I34" s="2"/>
      <c r="BQ34" s="23" t="s">
        <v>19</v>
      </c>
      <c r="BR34" s="24">
        <v>94</v>
      </c>
      <c r="BS34" s="24" t="e">
        <f>#REF!</f>
        <v>#REF!</v>
      </c>
      <c r="BT34" s="24" t="e">
        <f>#REF!</f>
        <v>#REF!</v>
      </c>
      <c r="BU34" s="24" t="e">
        <f>#REF!</f>
        <v>#REF!</v>
      </c>
      <c r="BV34" s="24" t="e">
        <f>#REF!</f>
        <v>#REF!</v>
      </c>
      <c r="BW34" s="24">
        <f>C7</f>
        <v>114</v>
      </c>
      <c r="BX34" s="24">
        <f>F7</f>
        <v>146</v>
      </c>
      <c r="CA34" s="23" t="s">
        <v>19</v>
      </c>
      <c r="CB34" s="24">
        <v>517</v>
      </c>
      <c r="CC34" s="24" t="e">
        <f>#REF!</f>
        <v>#REF!</v>
      </c>
      <c r="CD34" s="24" t="e">
        <f>#REF!</f>
        <v>#REF!</v>
      </c>
      <c r="CE34" s="24" t="e">
        <f>#REF!</f>
        <v>#REF!</v>
      </c>
      <c r="CF34" s="24" t="e">
        <f>#REF!</f>
        <v>#REF!</v>
      </c>
      <c r="CG34" s="24">
        <f t="shared" ref="CG34:CG45" si="4">B7</f>
        <v>540</v>
      </c>
      <c r="CH34" s="24">
        <f>E7</f>
        <v>444</v>
      </c>
    </row>
    <row r="35" spans="1:86" ht="12.75" x14ac:dyDescent="0.15">
      <c r="A35" s="37"/>
      <c r="I35" s="2"/>
      <c r="BQ35" s="23" t="s">
        <v>22</v>
      </c>
      <c r="BR35" s="24">
        <v>91</v>
      </c>
      <c r="BS35" s="24" t="e">
        <f>#REF!</f>
        <v>#REF!</v>
      </c>
      <c r="BT35" s="24" t="e">
        <f>#REF!</f>
        <v>#REF!</v>
      </c>
      <c r="BU35" s="24" t="e">
        <f>#REF!</f>
        <v>#REF!</v>
      </c>
      <c r="BV35" s="24" t="e">
        <f>#REF!</f>
        <v>#REF!</v>
      </c>
      <c r="BW35" s="24">
        <f t="shared" ref="BW35:BW45" si="5">C8</f>
        <v>96</v>
      </c>
      <c r="BX35" s="24">
        <f t="shared" ref="BX35:BX45" si="6">F8</f>
        <v>142</v>
      </c>
      <c r="CA35" s="23" t="s">
        <v>22</v>
      </c>
      <c r="CB35" s="24">
        <v>496</v>
      </c>
      <c r="CC35" s="24" t="e">
        <f>#REF!</f>
        <v>#REF!</v>
      </c>
      <c r="CD35" s="24" t="e">
        <f>#REF!</f>
        <v>#REF!</v>
      </c>
      <c r="CE35" s="24" t="e">
        <f>#REF!</f>
        <v>#REF!</v>
      </c>
      <c r="CF35" s="24" t="e">
        <f>#REF!</f>
        <v>#REF!</v>
      </c>
      <c r="CG35" s="24">
        <f t="shared" si="4"/>
        <v>548</v>
      </c>
      <c r="CH35" s="24">
        <f t="shared" ref="CH35:CH45" si="7">E8</f>
        <v>423</v>
      </c>
    </row>
    <row r="36" spans="1:86" ht="8.25" customHeight="1" x14ac:dyDescent="0.15">
      <c r="A36" s="37"/>
      <c r="I36" s="2"/>
      <c r="BQ36" s="23" t="s">
        <v>25</v>
      </c>
      <c r="BR36" s="24">
        <v>107</v>
      </c>
      <c r="BS36" s="24" t="e">
        <f>#REF!</f>
        <v>#REF!</v>
      </c>
      <c r="BT36" s="24" t="e">
        <f>#REF!</f>
        <v>#REF!</v>
      </c>
      <c r="BU36" s="24" t="e">
        <f>#REF!</f>
        <v>#REF!</v>
      </c>
      <c r="BV36" s="24" t="e">
        <f>#REF!</f>
        <v>#REF!</v>
      </c>
      <c r="BW36" s="24">
        <f t="shared" si="5"/>
        <v>109</v>
      </c>
      <c r="BX36" s="24">
        <f t="shared" si="6"/>
        <v>127</v>
      </c>
      <c r="CA36" s="23" t="s">
        <v>25</v>
      </c>
      <c r="CB36" s="24">
        <v>538</v>
      </c>
      <c r="CC36" s="24" t="e">
        <f>#REF!</f>
        <v>#REF!</v>
      </c>
      <c r="CD36" s="24" t="e">
        <f>#REF!</f>
        <v>#REF!</v>
      </c>
      <c r="CE36" s="24" t="e">
        <f>#REF!</f>
        <v>#REF!</v>
      </c>
      <c r="CF36" s="24" t="e">
        <f>#REF!</f>
        <v>#REF!</v>
      </c>
      <c r="CG36" s="24">
        <f t="shared" si="4"/>
        <v>485</v>
      </c>
      <c r="CH36" s="24">
        <f t="shared" si="7"/>
        <v>545</v>
      </c>
    </row>
    <row r="37" spans="1:86" x14ac:dyDescent="0.5">
      <c r="A37" s="37"/>
      <c r="B37" s="71"/>
      <c r="C37" s="71"/>
      <c r="D37" s="71"/>
      <c r="E37" s="71"/>
      <c r="F37" s="71"/>
      <c r="G37" s="71"/>
      <c r="H37" s="71"/>
      <c r="BQ37" s="23" t="s">
        <v>28</v>
      </c>
      <c r="BR37" s="24">
        <v>114</v>
      </c>
      <c r="BS37" s="24" t="e">
        <f>#REF!</f>
        <v>#REF!</v>
      </c>
      <c r="BT37" s="24" t="e">
        <f>#REF!</f>
        <v>#REF!</v>
      </c>
      <c r="BU37" s="24" t="e">
        <f>#REF!</f>
        <v>#REF!</v>
      </c>
      <c r="BV37" s="24" t="e">
        <f>#REF!</f>
        <v>#REF!</v>
      </c>
      <c r="BW37" s="24">
        <f t="shared" si="5"/>
        <v>91</v>
      </c>
      <c r="BX37" s="24">
        <f t="shared" si="6"/>
        <v>145</v>
      </c>
      <c r="CA37" s="23" t="s">
        <v>28</v>
      </c>
      <c r="CB37" s="24">
        <v>599</v>
      </c>
      <c r="CC37" s="24" t="e">
        <f>#REF!</f>
        <v>#REF!</v>
      </c>
      <c r="CD37" s="24" t="e">
        <f>#REF!</f>
        <v>#REF!</v>
      </c>
      <c r="CE37" s="24" t="e">
        <f>#REF!</f>
        <v>#REF!</v>
      </c>
      <c r="CF37" s="24" t="e">
        <f>#REF!</f>
        <v>#REF!</v>
      </c>
      <c r="CG37" s="24">
        <f t="shared" si="4"/>
        <v>541</v>
      </c>
      <c r="CH37" s="24">
        <f t="shared" si="7"/>
        <v>534</v>
      </c>
    </row>
    <row r="38" spans="1:86" x14ac:dyDescent="0.5">
      <c r="A38" s="37"/>
      <c r="B38" s="39"/>
      <c r="C38" s="39"/>
      <c r="D38" s="39"/>
      <c r="E38" s="39"/>
      <c r="F38" s="39"/>
      <c r="G38" s="39"/>
      <c r="H38" s="39"/>
      <c r="BQ38" s="23" t="s">
        <v>20</v>
      </c>
      <c r="BR38" s="24">
        <v>87</v>
      </c>
      <c r="BS38" s="24" t="e">
        <f>#REF!</f>
        <v>#REF!</v>
      </c>
      <c r="BT38" s="24" t="e">
        <f>#REF!</f>
        <v>#REF!</v>
      </c>
      <c r="BU38" s="24" t="e">
        <f>#REF!</f>
        <v>#REF!</v>
      </c>
      <c r="BV38" s="24" t="e">
        <f>#REF!</f>
        <v>#REF!</v>
      </c>
      <c r="BW38" s="24">
        <f t="shared" si="5"/>
        <v>109</v>
      </c>
      <c r="BX38" s="24">
        <f t="shared" si="6"/>
        <v>191</v>
      </c>
      <c r="CA38" s="23" t="s">
        <v>20</v>
      </c>
      <c r="CB38" s="24">
        <v>635</v>
      </c>
      <c r="CC38" s="24" t="e">
        <f>#REF!</f>
        <v>#REF!</v>
      </c>
      <c r="CD38" s="24" t="e">
        <f>#REF!</f>
        <v>#REF!</v>
      </c>
      <c r="CE38" s="24" t="e">
        <f>#REF!</f>
        <v>#REF!</v>
      </c>
      <c r="CF38" s="24" t="e">
        <f>#REF!</f>
        <v>#REF!</v>
      </c>
      <c r="CG38" s="24">
        <f t="shared" si="4"/>
        <v>492</v>
      </c>
      <c r="CH38" s="24">
        <f t="shared" si="7"/>
        <v>516</v>
      </c>
    </row>
    <row r="39" spans="1:86" x14ac:dyDescent="0.5">
      <c r="A39" s="37"/>
      <c r="B39" s="41"/>
      <c r="C39" s="40"/>
      <c r="D39" s="40"/>
      <c r="E39" s="41"/>
      <c r="F39" s="40"/>
      <c r="G39" s="40"/>
      <c r="H39" s="40"/>
      <c r="BQ39" s="23" t="s">
        <v>33</v>
      </c>
      <c r="BR39" s="24">
        <v>88</v>
      </c>
      <c r="BS39" s="24" t="e">
        <f>#REF!</f>
        <v>#REF!</v>
      </c>
      <c r="BT39" s="24" t="e">
        <f>#REF!</f>
        <v>#REF!</v>
      </c>
      <c r="BU39" s="24" t="e">
        <f>#REF!</f>
        <v>#REF!</v>
      </c>
      <c r="BV39" s="24" t="e">
        <f>#REF!</f>
        <v>#REF!</v>
      </c>
      <c r="BW39" s="24">
        <f t="shared" si="5"/>
        <v>91</v>
      </c>
      <c r="BX39" s="24">
        <f t="shared" si="6"/>
        <v>161</v>
      </c>
      <c r="CA39" s="23" t="s">
        <v>33</v>
      </c>
      <c r="CB39" s="24">
        <v>601</v>
      </c>
      <c r="CC39" s="24" t="e">
        <f>#REF!</f>
        <v>#REF!</v>
      </c>
      <c r="CD39" s="24" t="e">
        <f>#REF!</f>
        <v>#REF!</v>
      </c>
      <c r="CE39" s="24" t="e">
        <f>#REF!</f>
        <v>#REF!</v>
      </c>
      <c r="CF39" s="24" t="e">
        <f>#REF!</f>
        <v>#REF!</v>
      </c>
      <c r="CG39" s="24">
        <f t="shared" si="4"/>
        <v>462</v>
      </c>
      <c r="CH39" s="24">
        <f t="shared" si="7"/>
        <v>482</v>
      </c>
    </row>
    <row r="40" spans="1:86" x14ac:dyDescent="0.5">
      <c r="A40" s="37"/>
      <c r="B40" s="34"/>
      <c r="C40" s="34"/>
      <c r="D40" s="34"/>
      <c r="E40" s="34"/>
      <c r="F40" s="34"/>
      <c r="G40" s="34"/>
      <c r="H40" s="34"/>
      <c r="BQ40" s="23" t="s">
        <v>35</v>
      </c>
      <c r="BR40" s="24">
        <v>73</v>
      </c>
      <c r="BS40" s="24" t="e">
        <f>#REF!</f>
        <v>#REF!</v>
      </c>
      <c r="BT40" s="24" t="e">
        <f>#REF!</f>
        <v>#REF!</v>
      </c>
      <c r="BU40" s="24" t="e">
        <f>#REF!</f>
        <v>#REF!</v>
      </c>
      <c r="BV40" s="24" t="e">
        <f>#REF!</f>
        <v>#REF!</v>
      </c>
      <c r="BW40" s="24">
        <f t="shared" si="5"/>
        <v>115</v>
      </c>
      <c r="BX40" s="24">
        <f t="shared" si="6"/>
        <v>93</v>
      </c>
      <c r="CA40" s="23" t="s">
        <v>35</v>
      </c>
      <c r="CB40" s="24">
        <v>574</v>
      </c>
      <c r="CC40" s="24" t="e">
        <f>#REF!</f>
        <v>#REF!</v>
      </c>
      <c r="CD40" s="24" t="e">
        <f>#REF!</f>
        <v>#REF!</v>
      </c>
      <c r="CE40" s="24" t="e">
        <f>#REF!</f>
        <v>#REF!</v>
      </c>
      <c r="CF40" s="24" t="e">
        <f>#REF!</f>
        <v>#REF!</v>
      </c>
      <c r="CG40" s="24">
        <f t="shared" si="4"/>
        <v>522</v>
      </c>
      <c r="CH40" s="24">
        <f t="shared" si="7"/>
        <v>507</v>
      </c>
    </row>
    <row r="41" spans="1:86" x14ac:dyDescent="0.5">
      <c r="A41" s="37"/>
      <c r="B41" s="42"/>
      <c r="C41" s="42"/>
      <c r="D41" s="42"/>
      <c r="E41" s="42"/>
      <c r="F41" s="42"/>
      <c r="G41" s="42"/>
      <c r="H41" s="42"/>
      <c r="BQ41" s="23" t="s">
        <v>38</v>
      </c>
      <c r="BR41" s="24">
        <v>91</v>
      </c>
      <c r="BS41" s="24" t="e">
        <f>#REF!</f>
        <v>#REF!</v>
      </c>
      <c r="BT41" s="24" t="e">
        <f>#REF!</f>
        <v>#REF!</v>
      </c>
      <c r="BU41" s="24" t="e">
        <f>#REF!</f>
        <v>#REF!</v>
      </c>
      <c r="BV41" s="24" t="e">
        <f>#REF!</f>
        <v>#REF!</v>
      </c>
      <c r="BW41" s="24">
        <f t="shared" si="5"/>
        <v>129</v>
      </c>
      <c r="BX41" s="24">
        <f t="shared" si="6"/>
        <v>70</v>
      </c>
      <c r="CA41" s="23" t="s">
        <v>38</v>
      </c>
      <c r="CB41" s="24">
        <v>585</v>
      </c>
      <c r="CC41" s="24" t="e">
        <f>#REF!</f>
        <v>#REF!</v>
      </c>
      <c r="CD41" s="24" t="e">
        <f>#REF!</f>
        <v>#REF!</v>
      </c>
      <c r="CE41" s="24" t="e">
        <f>#REF!</f>
        <v>#REF!</v>
      </c>
      <c r="CF41" s="24" t="e">
        <f>#REF!</f>
        <v>#REF!</v>
      </c>
      <c r="CG41" s="24">
        <f t="shared" si="4"/>
        <v>508</v>
      </c>
      <c r="CH41" s="24">
        <f t="shared" si="7"/>
        <v>543</v>
      </c>
    </row>
    <row r="42" spans="1:86" x14ac:dyDescent="0.5">
      <c r="A42" s="37"/>
      <c r="B42" s="42"/>
      <c r="C42" s="42"/>
      <c r="D42" s="42"/>
      <c r="E42" s="42"/>
      <c r="F42" s="42"/>
      <c r="G42" s="42"/>
      <c r="H42" s="42"/>
      <c r="BQ42" s="23" t="s">
        <v>41</v>
      </c>
      <c r="BR42" s="24">
        <v>92</v>
      </c>
      <c r="BS42" s="24" t="e">
        <f>#REF!</f>
        <v>#REF!</v>
      </c>
      <c r="BT42" s="24" t="e">
        <f>#REF!</f>
        <v>#REF!</v>
      </c>
      <c r="BU42" s="24" t="e">
        <f>#REF!</f>
        <v>#REF!</v>
      </c>
      <c r="BV42" s="24" t="e">
        <f>#REF!</f>
        <v>#REF!</v>
      </c>
      <c r="BW42" s="24">
        <f t="shared" si="5"/>
        <v>112</v>
      </c>
      <c r="BX42" s="24">
        <f t="shared" si="6"/>
        <v>70</v>
      </c>
      <c r="CA42" s="23" t="s">
        <v>41</v>
      </c>
      <c r="CB42" s="24">
        <v>647</v>
      </c>
      <c r="CC42" s="24" t="e">
        <f>#REF!</f>
        <v>#REF!</v>
      </c>
      <c r="CD42" s="24" t="e">
        <f>#REF!</f>
        <v>#REF!</v>
      </c>
      <c r="CE42" s="24" t="e">
        <f>#REF!</f>
        <v>#REF!</v>
      </c>
      <c r="CF42" s="24" t="e">
        <f>#REF!</f>
        <v>#REF!</v>
      </c>
      <c r="CG42" s="24">
        <f t="shared" si="4"/>
        <v>573</v>
      </c>
      <c r="CH42" s="24">
        <f t="shared" si="7"/>
        <v>502</v>
      </c>
    </row>
    <row r="43" spans="1:86" x14ac:dyDescent="0.5">
      <c r="A43" s="37"/>
      <c r="B43" s="42"/>
      <c r="C43" s="42"/>
      <c r="D43" s="42"/>
      <c r="E43" s="42"/>
      <c r="F43" s="42"/>
      <c r="G43" s="42"/>
      <c r="H43" s="42"/>
      <c r="BQ43" s="23" t="s">
        <v>42</v>
      </c>
      <c r="BR43" s="24">
        <v>97</v>
      </c>
      <c r="BS43" s="24" t="e">
        <f>#REF!</f>
        <v>#REF!</v>
      </c>
      <c r="BT43" s="24" t="e">
        <f>#REF!</f>
        <v>#REF!</v>
      </c>
      <c r="BU43" s="24" t="e">
        <f>#REF!</f>
        <v>#REF!</v>
      </c>
      <c r="BV43" s="24" t="e">
        <f>#REF!</f>
        <v>#REF!</v>
      </c>
      <c r="BW43" s="24">
        <f t="shared" si="5"/>
        <v>103</v>
      </c>
      <c r="BX43" s="24">
        <f t="shared" si="6"/>
        <v>80</v>
      </c>
      <c r="CA43" s="23" t="s">
        <v>42</v>
      </c>
      <c r="CB43" s="24" t="e">
        <f>#REF!</f>
        <v>#REF!</v>
      </c>
      <c r="CC43" s="24" t="e">
        <f>#REF!</f>
        <v>#REF!</v>
      </c>
      <c r="CD43" s="24" t="e">
        <f>#REF!</f>
        <v>#REF!</v>
      </c>
      <c r="CE43" s="24" t="e">
        <f>#REF!</f>
        <v>#REF!</v>
      </c>
      <c r="CF43" s="24" t="e">
        <f>#REF!</f>
        <v>#REF!</v>
      </c>
      <c r="CG43" s="24">
        <f t="shared" si="4"/>
        <v>514</v>
      </c>
      <c r="CH43" s="24">
        <f t="shared" si="7"/>
        <v>524</v>
      </c>
    </row>
    <row r="44" spans="1:86" x14ac:dyDescent="0.5">
      <c r="A44" s="37"/>
      <c r="B44" s="42"/>
      <c r="C44" s="42"/>
      <c r="D44" s="42"/>
      <c r="E44" s="42"/>
      <c r="F44" s="42"/>
      <c r="G44" s="42"/>
      <c r="H44" s="42"/>
      <c r="BQ44" s="23" t="s">
        <v>43</v>
      </c>
      <c r="BR44" s="24">
        <v>98</v>
      </c>
      <c r="BS44" s="24" t="e">
        <f>#REF!</f>
        <v>#REF!</v>
      </c>
      <c r="BT44" s="24" t="e">
        <f>#REF!</f>
        <v>#REF!</v>
      </c>
      <c r="BU44" s="24" t="e">
        <f>#REF!</f>
        <v>#REF!</v>
      </c>
      <c r="BV44" s="24" t="e">
        <f>#REF!</f>
        <v>#REF!</v>
      </c>
      <c r="BW44" s="24">
        <f t="shared" si="5"/>
        <v>110</v>
      </c>
      <c r="BX44" s="24">
        <f t="shared" si="6"/>
        <v>146</v>
      </c>
      <c r="CA44" s="23" t="s">
        <v>43</v>
      </c>
      <c r="CB44" s="24">
        <v>626</v>
      </c>
      <c r="CC44" s="24" t="e">
        <f>#REF!</f>
        <v>#REF!</v>
      </c>
      <c r="CD44" s="24" t="e">
        <f>#REF!</f>
        <v>#REF!</v>
      </c>
      <c r="CE44" s="24" t="e">
        <f>#REF!</f>
        <v>#REF!</v>
      </c>
      <c r="CF44" s="24" t="e">
        <f>#REF!</f>
        <v>#REF!</v>
      </c>
      <c r="CG44" s="24">
        <f t="shared" si="4"/>
        <v>540</v>
      </c>
      <c r="CH44" s="24">
        <f t="shared" si="7"/>
        <v>448</v>
      </c>
    </row>
    <row r="45" spans="1:86" x14ac:dyDescent="0.5">
      <c r="B45" s="42"/>
      <c r="C45" s="42"/>
      <c r="D45" s="42"/>
      <c r="E45" s="42"/>
      <c r="F45" s="42"/>
      <c r="G45" s="42"/>
      <c r="H45" s="42"/>
      <c r="BQ45" s="23" t="s">
        <v>44</v>
      </c>
      <c r="BR45" s="24">
        <v>98</v>
      </c>
      <c r="BS45" s="24" t="e">
        <f>#REF!</f>
        <v>#REF!</v>
      </c>
      <c r="BT45" s="24" t="e">
        <f>#REF!</f>
        <v>#REF!</v>
      </c>
      <c r="BU45" s="24" t="e">
        <f>#REF!</f>
        <v>#REF!</v>
      </c>
      <c r="BV45" s="24" t="e">
        <f>#REF!</f>
        <v>#REF!</v>
      </c>
      <c r="BW45" s="24">
        <f t="shared" si="5"/>
        <v>96</v>
      </c>
      <c r="BX45" s="24">
        <f t="shared" si="6"/>
        <v>181</v>
      </c>
      <c r="CA45" s="23" t="s">
        <v>44</v>
      </c>
      <c r="CB45" s="24">
        <v>540</v>
      </c>
      <c r="CC45" s="24" t="e">
        <f>#REF!</f>
        <v>#REF!</v>
      </c>
      <c r="CD45" s="24" t="e">
        <f>#REF!</f>
        <v>#REF!</v>
      </c>
      <c r="CE45" s="24" t="e">
        <f>#REF!</f>
        <v>#REF!</v>
      </c>
      <c r="CF45" s="24" t="e">
        <f>#REF!</f>
        <v>#REF!</v>
      </c>
      <c r="CG45" s="24">
        <f t="shared" si="4"/>
        <v>568</v>
      </c>
      <c r="CH45" s="24">
        <f t="shared" si="7"/>
        <v>446</v>
      </c>
    </row>
    <row r="46" spans="1:86" x14ac:dyDescent="0.5">
      <c r="B46" s="42"/>
      <c r="C46" s="42"/>
      <c r="D46" s="42"/>
      <c r="E46" s="42"/>
      <c r="F46" s="42"/>
      <c r="G46" s="42"/>
      <c r="H46" s="42"/>
      <c r="BX46" s="3"/>
      <c r="BY46" s="4"/>
      <c r="BZ46" s="3"/>
      <c r="CA46" s="3"/>
      <c r="CB46" s="3"/>
    </row>
    <row r="47" spans="1:86" x14ac:dyDescent="0.5">
      <c r="B47" s="42"/>
      <c r="C47" s="42"/>
      <c r="D47" s="42"/>
      <c r="E47" s="42"/>
      <c r="F47" s="42"/>
      <c r="G47" s="42"/>
      <c r="H47" s="42"/>
      <c r="BQ47" s="43"/>
    </row>
    <row r="48" spans="1:86" x14ac:dyDescent="0.5">
      <c r="B48" s="42"/>
      <c r="C48" s="42"/>
      <c r="D48" s="42"/>
      <c r="E48" s="42"/>
      <c r="F48" s="42"/>
      <c r="G48" s="42"/>
      <c r="H48" s="42"/>
      <c r="BQ48" s="44"/>
    </row>
    <row r="49" spans="2:69" x14ac:dyDescent="0.5">
      <c r="B49" s="42"/>
      <c r="C49" s="42"/>
      <c r="D49" s="42"/>
      <c r="E49" s="42"/>
      <c r="F49" s="42"/>
      <c r="G49" s="42"/>
      <c r="H49" s="42"/>
      <c r="BQ49" s="44"/>
    </row>
    <row r="50" spans="2:69" x14ac:dyDescent="0.5">
      <c r="B50" s="42"/>
      <c r="C50" s="42"/>
      <c r="D50" s="42"/>
      <c r="E50" s="42"/>
      <c r="F50" s="42"/>
      <c r="G50" s="42"/>
      <c r="H50" s="42"/>
      <c r="BQ50" s="44"/>
    </row>
    <row r="51" spans="2:69" x14ac:dyDescent="0.5">
      <c r="B51" s="42"/>
      <c r="C51" s="42"/>
      <c r="D51" s="42"/>
      <c r="E51" s="42"/>
      <c r="F51" s="42"/>
      <c r="G51" s="42"/>
      <c r="H51" s="42"/>
      <c r="BQ51" s="44"/>
    </row>
    <row r="52" spans="2:69" x14ac:dyDescent="0.5">
      <c r="B52" s="42"/>
      <c r="C52" s="42"/>
      <c r="D52" s="42"/>
      <c r="E52" s="42"/>
      <c r="F52" s="42"/>
      <c r="G52" s="42"/>
      <c r="H52" s="42"/>
      <c r="BQ52" s="44"/>
    </row>
    <row r="53" spans="2:69" x14ac:dyDescent="0.5">
      <c r="BQ53" s="44"/>
    </row>
    <row r="54" spans="2:69" x14ac:dyDescent="0.5">
      <c r="BQ54" s="44"/>
    </row>
    <row r="55" spans="2:69" x14ac:dyDescent="0.5">
      <c r="BQ55" s="44"/>
    </row>
    <row r="56" spans="2:69" x14ac:dyDescent="0.5">
      <c r="BQ56" s="44"/>
    </row>
    <row r="57" spans="2:69" x14ac:dyDescent="0.5">
      <c r="BQ57" s="44"/>
    </row>
    <row r="58" spans="2:69" x14ac:dyDescent="0.5">
      <c r="BQ58" s="44"/>
    </row>
    <row r="59" spans="2:69" x14ac:dyDescent="0.5">
      <c r="BQ59" s="44"/>
    </row>
  </sheetData>
  <mergeCells count="8">
    <mergeCell ref="E21:I21"/>
    <mergeCell ref="A21:D21"/>
    <mergeCell ref="E3:G3"/>
    <mergeCell ref="I3:I5"/>
    <mergeCell ref="B37:H37"/>
    <mergeCell ref="A1:I1"/>
    <mergeCell ref="A2:I2"/>
    <mergeCell ref="B3:D3"/>
  </mergeCells>
  <pageMargins left="0.7" right="0.7" top="0.75" bottom="0.75" header="0.3" footer="0.3"/>
  <pageSetup scale="88" orientation="portrait" horizontalDpi="4294967295" verticalDpi="4294967295" r:id="rId1"/>
  <rowBreaks count="1" manualBreakCount="1">
    <brk id="44" max="37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2023-01-24T03:27:08Z</cp:lastPrinted>
  <dcterms:created xsi:type="dcterms:W3CDTF">2019-07-22T06:02:33Z</dcterms:created>
  <dcterms:modified xsi:type="dcterms:W3CDTF">2023-01-24T03:27:55Z</dcterms:modified>
</cp:coreProperties>
</file>