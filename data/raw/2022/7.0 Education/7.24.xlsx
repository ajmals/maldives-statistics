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9476FF20-3E7F-4A77-ADA8-AFDAD2D558CA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24" sheetId="4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6" i="40" l="1"/>
  <c r="AM26" i="40"/>
  <c r="AJ26" i="40"/>
  <c r="AF26" i="40"/>
  <c r="AB26" i="40"/>
  <c r="X26" i="40"/>
  <c r="T26" i="40"/>
  <c r="AP25" i="40"/>
  <c r="AM25" i="40"/>
  <c r="AJ25" i="40"/>
  <c r="AF25" i="40"/>
  <c r="AB25" i="40"/>
  <c r="X25" i="40"/>
  <c r="T25" i="40"/>
  <c r="AP24" i="40"/>
  <c r="AM24" i="40"/>
  <c r="AP23" i="40"/>
  <c r="AM23" i="40"/>
  <c r="AJ23" i="40"/>
  <c r="AP22" i="40"/>
  <c r="AM22" i="40"/>
  <c r="AJ22" i="40"/>
  <c r="AF22" i="40"/>
  <c r="AB22" i="40"/>
  <c r="X22" i="40"/>
  <c r="T22" i="40"/>
  <c r="AP21" i="40"/>
  <c r="AM21" i="40"/>
  <c r="AJ21" i="40"/>
  <c r="AF21" i="40"/>
  <c r="AB21" i="40"/>
  <c r="AP20" i="40"/>
  <c r="AM20" i="40"/>
  <c r="AJ20" i="40"/>
  <c r="AF20" i="40"/>
  <c r="AB20" i="40"/>
  <c r="X20" i="40"/>
  <c r="T20" i="40"/>
  <c r="AP19" i="40"/>
  <c r="AM19" i="40"/>
  <c r="AJ19" i="40"/>
  <c r="AF19" i="40"/>
  <c r="AB19" i="40"/>
  <c r="X19" i="40"/>
  <c r="T19" i="40"/>
  <c r="AP18" i="40"/>
  <c r="AM18" i="40"/>
  <c r="AJ18" i="40"/>
  <c r="AF18" i="40"/>
  <c r="AB18" i="40"/>
  <c r="X18" i="40"/>
  <c r="T18" i="40"/>
  <c r="AP17" i="40"/>
  <c r="AM17" i="40"/>
  <c r="AJ17" i="40"/>
  <c r="AF17" i="40"/>
  <c r="AB17" i="40"/>
  <c r="X17" i="40"/>
  <c r="X13" i="40" s="1"/>
  <c r="T17" i="40"/>
  <c r="P17" i="40"/>
  <c r="L17" i="40"/>
  <c r="H17" i="40"/>
  <c r="D17" i="40"/>
  <c r="AP16" i="40"/>
  <c r="AP13" i="40" s="1"/>
  <c r="AM16" i="40"/>
  <c r="AJ16" i="40"/>
  <c r="AF16" i="40"/>
  <c r="AB16" i="40"/>
  <c r="X16" i="40"/>
  <c r="T16" i="40"/>
  <c r="AP15" i="40"/>
  <c r="AM15" i="40"/>
  <c r="AM13" i="40" s="1"/>
  <c r="AJ15" i="40"/>
  <c r="AJ13" i="40" s="1"/>
  <c r="AF15" i="40"/>
  <c r="AF13" i="40" s="1"/>
  <c r="AB15" i="40"/>
  <c r="X15" i="40"/>
  <c r="T15" i="40"/>
  <c r="AP14" i="40"/>
  <c r="AM14" i="40"/>
  <c r="AJ14" i="40"/>
  <c r="AF14" i="40"/>
  <c r="AB14" i="40"/>
  <c r="X14" i="40"/>
  <c r="AR13" i="40"/>
  <c r="AQ13" i="40"/>
  <c r="AO13" i="40"/>
  <c r="AN13" i="40"/>
  <c r="AN6" i="40" s="1"/>
  <c r="AL13" i="40"/>
  <c r="AK13" i="40"/>
  <c r="AH13" i="40"/>
  <c r="AG13" i="40"/>
  <c r="AD13" i="40"/>
  <c r="AD6" i="40" s="1"/>
  <c r="AC13" i="40"/>
  <c r="AB13" i="40"/>
  <c r="Z13" i="40"/>
  <c r="Y13" i="40"/>
  <c r="V13" i="40"/>
  <c r="U13" i="40"/>
  <c r="T13" i="40"/>
  <c r="T6" i="40" s="1"/>
  <c r="AP12" i="40"/>
  <c r="AM12" i="40"/>
  <c r="AJ12" i="40"/>
  <c r="AF12" i="40"/>
  <c r="AB12" i="40"/>
  <c r="X12" i="40"/>
  <c r="AP11" i="40"/>
  <c r="AM11" i="40"/>
  <c r="AJ11" i="40"/>
  <c r="AF11" i="40"/>
  <c r="AB11" i="40"/>
  <c r="X11" i="40"/>
  <c r="T11" i="40"/>
  <c r="AP10" i="40"/>
  <c r="AM10" i="40"/>
  <c r="AJ10" i="40"/>
  <c r="AF10" i="40"/>
  <c r="AB10" i="40"/>
  <c r="X10" i="40"/>
  <c r="T10" i="40"/>
  <c r="AP9" i="40"/>
  <c r="AM9" i="40"/>
  <c r="AJ9" i="40"/>
  <c r="AF9" i="40"/>
  <c r="AB9" i="40"/>
  <c r="X9" i="40"/>
  <c r="T9" i="40"/>
  <c r="AP8" i="40"/>
  <c r="AM8" i="40"/>
  <c r="AJ8" i="40"/>
  <c r="AF8" i="40"/>
  <c r="AB8" i="40"/>
  <c r="AB7" i="40" s="1"/>
  <c r="AB6" i="40" s="1"/>
  <c r="X8" i="40"/>
  <c r="X7" i="40" s="1"/>
  <c r="X6" i="40" s="1"/>
  <c r="T8" i="40"/>
  <c r="AR7" i="40"/>
  <c r="AQ7" i="40"/>
  <c r="AP7" i="40"/>
  <c r="AO7" i="40"/>
  <c r="AO6" i="40" s="1"/>
  <c r="AN7" i="40"/>
  <c r="AM7" i="40"/>
  <c r="AL7" i="40"/>
  <c r="AK7" i="40"/>
  <c r="AJ7" i="40" s="1"/>
  <c r="AH7" i="40"/>
  <c r="AG7" i="40"/>
  <c r="AF7" i="40"/>
  <c r="AD7" i="40"/>
  <c r="AC7" i="40"/>
  <c r="AC6" i="40" s="1"/>
  <c r="Z7" i="40"/>
  <c r="Z6" i="40" s="1"/>
  <c r="Y7" i="40"/>
  <c r="V7" i="40"/>
  <c r="U7" i="40"/>
  <c r="U6" i="40" s="1"/>
  <c r="T7" i="40"/>
  <c r="AR6" i="40"/>
  <c r="AP6" i="40" s="1"/>
  <c r="AQ6" i="40"/>
  <c r="AL6" i="40"/>
  <c r="AH6" i="40"/>
  <c r="AG6" i="40"/>
  <c r="AF6" i="40" s="1"/>
  <c r="Y6" i="40"/>
  <c r="V6" i="40"/>
  <c r="AM6" i="40" l="1"/>
  <c r="AK6" i="40"/>
  <c r="AJ6" i="40" s="1"/>
</calcChain>
</file>

<file path=xl/sharedStrings.xml><?xml version="1.0" encoding="utf-8"?>
<sst xmlns="http://schemas.openxmlformats.org/spreadsheetml/2006/main" count="116" uniqueCount="52">
  <si>
    <t>Total</t>
  </si>
  <si>
    <t>Both Sexes</t>
  </si>
  <si>
    <t>Male</t>
  </si>
  <si>
    <t>Female</t>
  </si>
  <si>
    <t>Maldives Polytechnic</t>
  </si>
  <si>
    <t>މޯލްޑިވްސް ޕޮލިޓެކްނިކް</t>
  </si>
  <si>
    <t>Type of Training</t>
  </si>
  <si>
    <t>ctwvWb egunIrcmwt</t>
  </si>
  <si>
    <t>cscnijed</t>
  </si>
  <si>
    <t>cnehirif</t>
  </si>
  <si>
    <t>cnehcnwa</t>
  </si>
  <si>
    <t>މުޅިޖުމްލަ</t>
  </si>
  <si>
    <t xml:space="preserve">   Advanced Diploma (2 1/2 Years)</t>
  </si>
  <si>
    <r>
      <t xml:space="preserve">( urwhwa  2 1/2) </t>
    </r>
    <r>
      <rPr>
        <sz val="10"/>
        <color theme="1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</si>
  <si>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</si>
  <si>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10"/>
        <color theme="1"/>
        <rFont val="Faruma"/>
      </rPr>
      <t xml:space="preserve">ޑިޕްލޮމާ ކޯސް </t>
    </r>
    <r>
      <rPr>
        <sz val="10"/>
        <color theme="1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</si>
  <si>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</si>
  <si>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10"/>
        <color theme="1"/>
        <rFont val="Faruma"/>
      </rPr>
      <t>ޑިޕްލޮމާ ކޯސް</t>
    </r>
    <r>
      <rPr>
        <sz val="10"/>
        <color theme="1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</si>
  <si>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</si>
  <si>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10"/>
        <color theme="1"/>
        <rFont val="Faruma"/>
      </rPr>
      <t>އެޑްވާންސްޑް ސެޓްފިކެޓް ކޯސް</t>
    </r>
    <r>
      <rPr>
        <sz val="10"/>
        <color theme="1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</si>
  <si>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</si>
  <si>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10"/>
        <color theme="1"/>
        <rFont val="Faruma"/>
      </rPr>
      <t>ސެޓްފިކެޓް ޓްރީ ކޯސް</t>
    </r>
    <r>
      <rPr>
        <sz val="10"/>
        <color theme="1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</si>
  <si>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</si>
  <si>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10"/>
        <color theme="1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</si>
  <si>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</si>
  <si>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10"/>
        <color theme="1"/>
        <rFont val="Faruma"/>
      </rPr>
      <t>އެޑްވާންސްޑް ސެޓްފިކެޓް ކޯސް</t>
    </r>
    <r>
      <rPr>
        <sz val="10"/>
        <color theme="1"/>
        <rFont val="A_Waheed"/>
      </rPr>
      <t xml:space="preserve"> </t>
    </r>
  </si>
  <si>
    <t xml:space="preserve">   Certificate 1 Course (1 Month)</t>
  </si>
  <si>
    <r>
      <t xml:space="preserve">(Wtcfwh 1 ) </t>
    </r>
    <r>
      <rPr>
        <sz val="10"/>
        <color theme="1"/>
        <rFont val="Faruma"/>
      </rPr>
      <t>ސެޓްފިކެޓް ވަން ކޯސް</t>
    </r>
    <r>
      <rPr>
        <sz val="10"/>
        <color theme="1"/>
        <rFont val="A_Waheed"/>
      </rPr>
      <t xml:space="preserve"> </t>
    </r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</si>
  <si>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</si>
  <si>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</si>
  <si>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</si>
  <si>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</si>
  <si>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</si>
  <si>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</si>
  <si>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Online</t>
  </si>
  <si>
    <t>އޮންލައިން ކޯސްތައް</t>
  </si>
  <si>
    <t xml:space="preserve">Out Reach Centre </t>
  </si>
  <si>
    <t>އައުޓްރީޗް ސެންޓަރ</t>
  </si>
  <si>
    <t>TVET National Certificate</t>
  </si>
  <si>
    <t>ތިޓެވް ނެޝަނަލް ސެޓްފިކެޓް</t>
  </si>
  <si>
    <t>Community Based Training</t>
  </si>
  <si>
    <t>ކޮމިއުނިޓީ ބޭސްޑް ޓަރޭނިންގ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</si>
  <si>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</si>
  <si>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</si>
  <si>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</si>
  <si>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</si>
  <si>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r>
      <t xml:space="preserve">IHDP: </t>
    </r>
    <r>
      <rPr>
        <i/>
        <sz val="10"/>
        <color theme="1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</si>
  <si>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</si>
  <si>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</si>
  <si>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</si>
  <si>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>Table 7.24: STUDENT ENROLMENT IN TECHNICAL EDUCATION BY SEX,  2017 - 2021</t>
  </si>
  <si>
    <t xml:space="preserve"> 2021 - 2017 ,udwdwA egcnidukWvwyik cniaWriaWd egumIluAwt Incnwf cnutogeguscnij  : 7.24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</si>
</sst>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2"/>
      <color theme="1"/>
      <name val="A_Randhoo"/>
    </font>
    <font>
      <b/>
      <sz val="10"/>
      <color theme="1"/>
      <name val="Arial"/>
      <family val="2"/>
    </font>
    <font>
      <b/>
      <sz val="10"/>
      <color theme="1"/>
      <name val="A_Waheed"/>
    </font>
    <font>
      <b/>
      <sz val="10"/>
      <color theme="1"/>
      <name val="Faruma"/>
    </font>
    <font>
      <sz val="10"/>
      <color theme="1"/>
      <name val="Arial"/>
      <family val="2"/>
    </font>
    <font>
      <sz val="10"/>
      <color theme="1"/>
      <name val="A_Waheed"/>
    </font>
    <font>
      <sz val="10"/>
      <color theme="1"/>
      <name val="Faruma"/>
    </font>
    <font>
      <b/>
      <sz val="10"/>
      <color theme="1"/>
      <name val="Courier"/>
      <family val="3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9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3" fillId="0" borderId="0"/>
    <xf numFmtId="168" fontId="4" fillId="0" borderId="0"/>
    <xf numFmtId="0" fontId="9" fillId="0" borderId="0"/>
    <xf numFmtId="0" fontId="9" fillId="0" borderId="0"/>
    <xf numFmtId="168" fontId="4" fillId="0" borderId="0"/>
    <xf numFmtId="0" fontId="9" fillId="0" borderId="0"/>
    <xf numFmtId="0" fontId="9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9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56">
    <xf numFmtId="0" fontId="0" fillId="0" borderId="0" xfId="0"/>
    <xf numFmtId="164" fontId="8" fillId="2" borderId="0" xfId="7" applyNumberFormat="1" applyFont="1" applyFill="1"/>
    <xf numFmtId="164" fontId="15" fillId="2" borderId="2" xfId="6" applyFont="1" applyFill="1" applyBorder="1" applyAlignment="1">
      <alignment horizontal="center"/>
    </xf>
    <xf numFmtId="164" fontId="5" fillId="2" borderId="2" xfId="6" applyFont="1" applyFill="1" applyBorder="1" applyAlignment="1">
      <alignment horizontal="center"/>
    </xf>
    <xf numFmtId="164" fontId="15" fillId="2" borderId="2" xfId="6" applyFont="1" applyFill="1" applyBorder="1"/>
    <xf numFmtId="164" fontId="5" fillId="2" borderId="0" xfId="6" applyFont="1" applyFill="1" applyAlignment="1">
      <alignment horizontal="left" vertical="center"/>
    </xf>
    <xf numFmtId="164" fontId="6" fillId="2" borderId="1" xfId="6" applyFont="1" applyFill="1" applyBorder="1" applyAlignment="1">
      <alignment horizontal="right" vertical="center"/>
    </xf>
    <xf numFmtId="164" fontId="6" fillId="2" borderId="0" xfId="6" applyFont="1" applyFill="1" applyAlignment="1">
      <alignment horizontal="right" vertical="center"/>
    </xf>
    <xf numFmtId="164" fontId="15" fillId="2" borderId="0" xfId="6" applyFont="1" applyFill="1" applyAlignment="1">
      <alignment horizontal="right" vertical="center"/>
    </xf>
    <xf numFmtId="164" fontId="16" fillId="2" borderId="0" xfId="6" applyFont="1" applyFill="1" applyAlignment="1">
      <alignment horizontal="right" vertical="center"/>
    </xf>
    <xf numFmtId="164" fontId="8" fillId="2" borderId="0" xfId="7" applyNumberFormat="1" applyFont="1" applyFill="1" applyAlignment="1">
      <alignment horizontal="center" vertical="center"/>
    </xf>
    <xf numFmtId="164" fontId="5" fillId="2" borderId="1" xfId="6" applyFont="1" applyFill="1" applyBorder="1" applyAlignment="1">
      <alignment horizontal="left" vertical="center"/>
    </xf>
    <xf numFmtId="164" fontId="15" fillId="2" borderId="1" xfId="6" applyFont="1" applyFill="1" applyBorder="1" applyAlignment="1">
      <alignment horizontal="right" vertical="center" wrapText="1"/>
    </xf>
    <xf numFmtId="164" fontId="5" fillId="2" borderId="1" xfId="6" applyFont="1" applyFill="1" applyBorder="1" applyAlignment="1">
      <alignment horizontal="right" vertical="center" wrapText="1"/>
    </xf>
    <xf numFmtId="164" fontId="15" fillId="2" borderId="1" xfId="6" applyFont="1" applyFill="1" applyBorder="1" applyAlignment="1">
      <alignment horizontal="center" vertical="center" wrapText="1"/>
    </xf>
    <xf numFmtId="164" fontId="5" fillId="2" borderId="0" xfId="6" applyFont="1" applyFill="1" applyAlignment="1">
      <alignment horizontal="right" vertical="center"/>
    </xf>
    <xf numFmtId="38" fontId="5" fillId="2" borderId="0" xfId="1" applyNumberFormat="1" applyFont="1" applyFill="1" applyBorder="1" applyAlignment="1">
      <alignment horizontal="right" vertical="center"/>
    </xf>
    <xf numFmtId="38" fontId="15" fillId="2" borderId="0" xfId="1" applyNumberFormat="1" applyFont="1" applyFill="1" applyBorder="1" applyAlignment="1">
      <alignment vertical="center"/>
    </xf>
    <xf numFmtId="164" fontId="17" fillId="2" borderId="0" xfId="6" applyFont="1" applyFill="1" applyAlignment="1">
      <alignment horizontal="right" vertical="center"/>
    </xf>
    <xf numFmtId="164" fontId="7" fillId="2" borderId="0" xfId="6" applyFont="1" applyFill="1" applyAlignment="1">
      <alignment horizontal="left" vertical="center"/>
    </xf>
    <xf numFmtId="164" fontId="7" fillId="2" borderId="0" xfId="6" quotePrefix="1" applyFont="1" applyFill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164" fontId="18" fillId="2" borderId="0" xfId="6" applyFont="1" applyFill="1" applyAlignment="1">
      <alignment horizontal="right" vertical="center"/>
    </xf>
    <xf numFmtId="164" fontId="19" fillId="2" borderId="0" xfId="6" applyFont="1" applyFill="1" applyAlignment="1">
      <alignment horizontal="right" vertical="center"/>
    </xf>
    <xf numFmtId="164" fontId="18" fillId="2" borderId="0" xfId="6" quotePrefix="1" applyFont="1" applyFill="1" applyAlignment="1">
      <alignment horizontal="right" vertical="center"/>
    </xf>
    <xf numFmtId="164" fontId="21" fillId="2" borderId="0" xfId="7" applyNumberFormat="1" applyFont="1" applyFill="1"/>
    <xf numFmtId="164" fontId="7" fillId="2" borderId="0" xfId="6" applyFont="1" applyFill="1" applyAlignment="1">
      <alignment horizontal="right" vertical="center"/>
    </xf>
    <xf numFmtId="164" fontId="5" fillId="2" borderId="1" xfId="6" applyFont="1" applyFill="1" applyBorder="1" applyAlignment="1">
      <alignment horizontal="right" vertical="center"/>
    </xf>
    <xf numFmtId="38" fontId="5" fillId="2" borderId="1" xfId="1" applyNumberFormat="1" applyFont="1" applyFill="1" applyBorder="1" applyAlignment="1">
      <alignment horizontal="right" vertical="center"/>
    </xf>
    <xf numFmtId="164" fontId="15" fillId="2" borderId="1" xfId="6" applyFont="1" applyFill="1" applyBorder="1" applyAlignment="1">
      <alignment horizontal="right" vertical="center"/>
    </xf>
    <xf numFmtId="38" fontId="15" fillId="2" borderId="1" xfId="1" applyNumberFormat="1" applyFont="1" applyFill="1" applyBorder="1" applyAlignment="1">
      <alignment vertical="center"/>
    </xf>
    <xf numFmtId="164" fontId="17" fillId="2" borderId="1" xfId="6" applyFont="1" applyFill="1" applyBorder="1" applyAlignment="1">
      <alignment horizontal="right" vertical="center"/>
    </xf>
    <xf numFmtId="164" fontId="22" fillId="2" borderId="0" xfId="6" applyFont="1" applyFill="1" applyAlignment="1">
      <alignment horizontal="left" vertical="center"/>
    </xf>
    <xf numFmtId="164" fontId="20" fillId="2" borderId="0" xfId="6" applyFont="1" applyFill="1" applyAlignment="1">
      <alignment horizontal="right" vertical="center"/>
    </xf>
    <xf numFmtId="164" fontId="10" fillId="2" borderId="0" xfId="6" applyFont="1" applyFill="1"/>
    <xf numFmtId="164" fontId="18" fillId="2" borderId="0" xfId="6" applyFont="1" applyFill="1"/>
    <xf numFmtId="164" fontId="18" fillId="2" borderId="0" xfId="6" applyFont="1" applyFill="1" applyAlignment="1">
      <alignment horizontal="right"/>
    </xf>
    <xf numFmtId="164" fontId="20" fillId="2" borderId="0" xfId="6" applyFont="1" applyFill="1" applyAlignment="1">
      <alignment horizontal="right"/>
    </xf>
    <xf numFmtId="164" fontId="8" fillId="2" borderId="0" xfId="6" applyFont="1" applyFill="1"/>
    <xf numFmtId="164" fontId="8" fillId="2" borderId="0" xfId="6" applyFont="1" applyFill="1" applyAlignment="1">
      <alignment horizontal="right"/>
    </xf>
    <xf numFmtId="164" fontId="8" fillId="2" borderId="0" xfId="7" applyNumberFormat="1" applyFont="1" applyFill="1" applyAlignment="1">
      <alignment horizontal="right"/>
    </xf>
    <xf numFmtId="164" fontId="6" fillId="2" borderId="5" xfId="6" applyFont="1" applyFill="1" applyBorder="1" applyAlignment="1">
      <alignment horizontal="right" vertical="center"/>
    </xf>
    <xf numFmtId="164" fontId="5" fillId="2" borderId="5" xfId="6" applyFont="1" applyFill="1" applyBorder="1" applyAlignment="1">
      <alignment horizontal="right" vertical="center" wrapText="1"/>
    </xf>
    <xf numFmtId="38" fontId="5" fillId="2" borderId="4" xfId="1" applyNumberFormat="1" applyFont="1" applyFill="1" applyBorder="1" applyAlignment="1">
      <alignment horizontal="right" vertical="center"/>
    </xf>
    <xf numFmtId="38" fontId="7" fillId="2" borderId="4" xfId="1" applyNumberFormat="1" applyFont="1" applyFill="1" applyBorder="1" applyAlignment="1">
      <alignment horizontal="right" vertical="center"/>
    </xf>
    <xf numFmtId="38" fontId="5" fillId="2" borderId="5" xfId="1" applyNumberFormat="1" applyFont="1" applyFill="1" applyBorder="1" applyAlignment="1">
      <alignment horizontal="right" vertical="center"/>
    </xf>
    <xf numFmtId="164" fontId="14" fillId="2" borderId="0" xfId="6" applyFont="1" applyFill="1" applyAlignment="1">
      <alignment horizontal="center" vertical="center"/>
    </xf>
    <xf numFmtId="164" fontId="2" fillId="2" borderId="1" xfId="6" applyFont="1" applyFill="1" applyBorder="1" applyAlignment="1">
      <alignment horizontal="center" vertical="top"/>
    </xf>
    <xf numFmtId="164" fontId="5" fillId="2" borderId="2" xfId="6" applyFont="1" applyFill="1" applyBorder="1" applyAlignment="1">
      <alignment horizontal="left" vertical="center"/>
    </xf>
    <xf numFmtId="164" fontId="5" fillId="2" borderId="0" xfId="6" applyFont="1" applyFill="1" applyAlignment="1">
      <alignment horizontal="left" vertical="center"/>
    </xf>
    <xf numFmtId="164" fontId="5" fillId="2" borderId="1" xfId="6" applyFont="1" applyFill="1" applyBorder="1" applyAlignment="1">
      <alignment horizontal="left" vertical="center"/>
    </xf>
    <xf numFmtId="164" fontId="5" fillId="2" borderId="6" xfId="6" applyFont="1" applyFill="1" applyBorder="1" applyAlignment="1">
      <alignment horizontal="center"/>
    </xf>
    <xf numFmtId="164" fontId="5" fillId="2" borderId="3" xfId="6" applyFont="1" applyFill="1" applyBorder="1" applyAlignment="1">
      <alignment horizontal="center"/>
    </xf>
    <xf numFmtId="164" fontId="16" fillId="2" borderId="2" xfId="6" applyFont="1" applyFill="1" applyBorder="1" applyAlignment="1">
      <alignment horizontal="right" vertical="center"/>
    </xf>
    <xf numFmtId="164" fontId="16" fillId="2" borderId="0" xfId="6" applyFont="1" applyFill="1" applyAlignment="1">
      <alignment horizontal="right" vertical="center"/>
    </xf>
    <xf numFmtId="164" fontId="16" fillId="2" borderId="1" xfId="6" applyFont="1" applyFill="1" applyBorder="1" applyAlignment="1">
      <alignment horizontal="right" vertical="center"/>
    </xf>
  </cellXfs>
  <cellStyles count="164">
    <cellStyle name="1" xfId="145" xr:uid="{00000000-0005-0000-0000-000000000000}"/>
    <cellStyle name="Comma" xfId="1" builtinId="3"/>
    <cellStyle name="Comma 2" xfId="10" xr:uid="{00000000-0005-0000-0000-000002000000}"/>
    <cellStyle name="Comma 3" xfId="16" xr:uid="{00000000-0005-0000-0000-000003000000}"/>
    <cellStyle name="Comma 3 2" xfId="159" xr:uid="{00000000-0005-0000-0000-000004000000}"/>
    <cellStyle name="Normal" xfId="0" builtinId="0"/>
    <cellStyle name="Normal - Style1" xfId="147" xr:uid="{00000000-0005-0000-0000-000006000000}"/>
    <cellStyle name="Normal 10" xfId="5" xr:uid="{00000000-0005-0000-0000-000007000000}"/>
    <cellStyle name="Normal 10 2" xfId="39" xr:uid="{00000000-0005-0000-0000-000008000000}"/>
    <cellStyle name="Normal 105 2" xfId="131" xr:uid="{00000000-0005-0000-0000-000009000000}"/>
    <cellStyle name="Normal 11" xfId="26" xr:uid="{00000000-0005-0000-0000-00000A000000}"/>
    <cellStyle name="Normal 11 2" xfId="40" xr:uid="{00000000-0005-0000-0000-00000B000000}"/>
    <cellStyle name="Normal 12" xfId="27" xr:uid="{00000000-0005-0000-0000-00000C000000}"/>
    <cellStyle name="Normal 12 2" xfId="41" xr:uid="{00000000-0005-0000-0000-00000D000000}"/>
    <cellStyle name="Normal 13" xfId="29" xr:uid="{00000000-0005-0000-0000-00000E000000}"/>
    <cellStyle name="Normal 13 2" xfId="42" xr:uid="{00000000-0005-0000-0000-00000F000000}"/>
    <cellStyle name="Normal 14" xfId="30" xr:uid="{00000000-0005-0000-0000-000010000000}"/>
    <cellStyle name="Normal 14 2" xfId="43" xr:uid="{00000000-0005-0000-0000-000011000000}"/>
    <cellStyle name="Normal 15" xfId="31" xr:uid="{00000000-0005-0000-0000-000012000000}"/>
    <cellStyle name="Normal 15 2" xfId="44" xr:uid="{00000000-0005-0000-0000-000013000000}"/>
    <cellStyle name="Normal 16" xfId="32" xr:uid="{00000000-0005-0000-0000-000014000000}"/>
    <cellStyle name="Normal 16 2" xfId="45" xr:uid="{00000000-0005-0000-0000-000015000000}"/>
    <cellStyle name="Normal 17" xfId="33" xr:uid="{00000000-0005-0000-0000-000016000000}"/>
    <cellStyle name="Normal 17 2" xfId="46" xr:uid="{00000000-0005-0000-0000-000017000000}"/>
    <cellStyle name="Normal 18" xfId="34" xr:uid="{00000000-0005-0000-0000-000018000000}"/>
    <cellStyle name="Normal 18 2" xfId="47" xr:uid="{00000000-0005-0000-0000-000019000000}"/>
    <cellStyle name="Normal 19" xfId="35" xr:uid="{00000000-0005-0000-0000-00001A000000}"/>
    <cellStyle name="Normal 19 2" xfId="48" xr:uid="{00000000-0005-0000-0000-00001B000000}"/>
    <cellStyle name="Normal 2" xfId="14" xr:uid="{00000000-0005-0000-0000-00001C000000}"/>
    <cellStyle name="Normal 2 10" xfId="49" xr:uid="{00000000-0005-0000-0000-00001D000000}"/>
    <cellStyle name="Normal 2 11" xfId="50" xr:uid="{00000000-0005-0000-0000-00001E000000}"/>
    <cellStyle name="Normal 2 12" xfId="51" xr:uid="{00000000-0005-0000-0000-00001F000000}"/>
    <cellStyle name="Normal 2 13" xfId="52" xr:uid="{00000000-0005-0000-0000-000020000000}"/>
    <cellStyle name="Normal 2 14" xfId="53" xr:uid="{00000000-0005-0000-0000-000021000000}"/>
    <cellStyle name="Normal 2 15" xfId="54" xr:uid="{00000000-0005-0000-0000-000022000000}"/>
    <cellStyle name="Normal 2 16" xfId="55" xr:uid="{00000000-0005-0000-0000-000023000000}"/>
    <cellStyle name="Normal 2 17" xfId="56" xr:uid="{00000000-0005-0000-0000-000024000000}"/>
    <cellStyle name="Normal 2 18" xfId="57" xr:uid="{00000000-0005-0000-0000-000025000000}"/>
    <cellStyle name="Normal 2 19" xfId="58" xr:uid="{00000000-0005-0000-0000-000026000000}"/>
    <cellStyle name="Normal 2 2" xfId="18" xr:uid="{00000000-0005-0000-0000-000027000000}"/>
    <cellStyle name="Normal 2 2 10" xfId="59" xr:uid="{00000000-0005-0000-0000-000028000000}"/>
    <cellStyle name="Normal 2 2 11" xfId="60" xr:uid="{00000000-0005-0000-0000-000029000000}"/>
    <cellStyle name="Normal 2 2 12" xfId="61" xr:uid="{00000000-0005-0000-0000-00002A000000}"/>
    <cellStyle name="Normal 2 2 13" xfId="62" xr:uid="{00000000-0005-0000-0000-00002B000000}"/>
    <cellStyle name="Normal 2 2 14" xfId="63" xr:uid="{00000000-0005-0000-0000-00002C000000}"/>
    <cellStyle name="Normal 2 2 15" xfId="64" xr:uid="{00000000-0005-0000-0000-00002D000000}"/>
    <cellStyle name="Normal 2 2 16" xfId="65" xr:uid="{00000000-0005-0000-0000-00002E000000}"/>
    <cellStyle name="Normal 2 2 17" xfId="66" xr:uid="{00000000-0005-0000-0000-00002F000000}"/>
    <cellStyle name="Normal 2 2 18" xfId="67" xr:uid="{00000000-0005-0000-0000-000030000000}"/>
    <cellStyle name="Normal 2 2 19" xfId="68" xr:uid="{00000000-0005-0000-0000-000031000000}"/>
    <cellStyle name="Normal 2 2 2" xfId="2" xr:uid="{00000000-0005-0000-0000-000032000000}"/>
    <cellStyle name="Normal 2 2 20" xfId="69" xr:uid="{00000000-0005-0000-0000-000033000000}"/>
    <cellStyle name="Normal 2 2 21" xfId="70" xr:uid="{00000000-0005-0000-0000-000034000000}"/>
    <cellStyle name="Normal 2 2 22" xfId="71" xr:uid="{00000000-0005-0000-0000-000035000000}"/>
    <cellStyle name="Normal 2 2 23" xfId="72" xr:uid="{00000000-0005-0000-0000-000036000000}"/>
    <cellStyle name="Normal 2 2 24" xfId="73" xr:uid="{00000000-0005-0000-0000-000037000000}"/>
    <cellStyle name="Normal 2 2 24 2" xfId="74" xr:uid="{00000000-0005-0000-0000-000038000000}"/>
    <cellStyle name="Normal 2 2 24 2 2" xfId="75" xr:uid="{00000000-0005-0000-0000-000039000000}"/>
    <cellStyle name="Normal 2 2 25" xfId="76" xr:uid="{00000000-0005-0000-0000-00003A000000}"/>
    <cellStyle name="Normal 2 2 25 2" xfId="77" xr:uid="{00000000-0005-0000-0000-00003B000000}"/>
    <cellStyle name="Normal 2 2 26" xfId="148" xr:uid="{00000000-0005-0000-0000-00003C000000}"/>
    <cellStyle name="Normal 2 2 3" xfId="78" xr:uid="{00000000-0005-0000-0000-00003D000000}"/>
    <cellStyle name="Normal 2 2 4" xfId="79" xr:uid="{00000000-0005-0000-0000-00003E000000}"/>
    <cellStyle name="Normal 2 2 5" xfId="80" xr:uid="{00000000-0005-0000-0000-00003F000000}"/>
    <cellStyle name="Normal 2 2 5 2" xfId="81" xr:uid="{00000000-0005-0000-0000-000040000000}"/>
    <cellStyle name="Normal 2 2 5 2 2" xfId="82" xr:uid="{00000000-0005-0000-0000-000041000000}"/>
    <cellStyle name="Normal 2 2 5 2 2 2" xfId="83" xr:uid="{00000000-0005-0000-0000-000042000000}"/>
    <cellStyle name="Normal 2 2 5 3" xfId="84" xr:uid="{00000000-0005-0000-0000-000043000000}"/>
    <cellStyle name="Normal 2 2 5 4" xfId="85" xr:uid="{00000000-0005-0000-0000-000044000000}"/>
    <cellStyle name="Normal 2 2 6" xfId="86" xr:uid="{00000000-0005-0000-0000-000045000000}"/>
    <cellStyle name="Normal 2 2 7" xfId="87" xr:uid="{00000000-0005-0000-0000-000046000000}"/>
    <cellStyle name="Normal 2 2 8" xfId="88" xr:uid="{00000000-0005-0000-0000-000047000000}"/>
    <cellStyle name="Normal 2 2 9" xfId="89" xr:uid="{00000000-0005-0000-0000-000048000000}"/>
    <cellStyle name="Normal 2 20" xfId="90" xr:uid="{00000000-0005-0000-0000-000049000000}"/>
    <cellStyle name="Normal 2 21" xfId="91" xr:uid="{00000000-0005-0000-0000-00004A000000}"/>
    <cellStyle name="Normal 2 22" xfId="92" xr:uid="{00000000-0005-0000-0000-00004B000000}"/>
    <cellStyle name="Normal 2 23" xfId="93" xr:uid="{00000000-0005-0000-0000-00004C000000}"/>
    <cellStyle name="Normal 2 24" xfId="94" xr:uid="{00000000-0005-0000-0000-00004D000000}"/>
    <cellStyle name="Normal 2 24 2" xfId="95" xr:uid="{00000000-0005-0000-0000-00004E000000}"/>
    <cellStyle name="Normal 2 24 2 2" xfId="96" xr:uid="{00000000-0005-0000-0000-00004F000000}"/>
    <cellStyle name="Normal 2 25" xfId="97" xr:uid="{00000000-0005-0000-0000-000050000000}"/>
    <cellStyle name="Normal 2 25 2" xfId="98" xr:uid="{00000000-0005-0000-0000-000051000000}"/>
    <cellStyle name="Normal 2 26" xfId="13" xr:uid="{00000000-0005-0000-0000-000052000000}"/>
    <cellStyle name="Normal 2 27" xfId="19" xr:uid="{00000000-0005-0000-0000-000053000000}"/>
    <cellStyle name="Normal 2 3" xfId="20" xr:uid="{00000000-0005-0000-0000-000054000000}"/>
    <cellStyle name="Normal 2 3 2" xfId="99" xr:uid="{00000000-0005-0000-0000-000055000000}"/>
    <cellStyle name="Normal 2 3 2 2" xfId="100" xr:uid="{00000000-0005-0000-0000-000056000000}"/>
    <cellStyle name="Normal 2 3 2 2 2" xfId="101" xr:uid="{00000000-0005-0000-0000-000057000000}"/>
    <cellStyle name="Normal 2 3 3" xfId="102" xr:uid="{00000000-0005-0000-0000-000058000000}"/>
    <cellStyle name="Normal 2 3 4" xfId="103" xr:uid="{00000000-0005-0000-0000-000059000000}"/>
    <cellStyle name="Normal 2 3 5" xfId="149" xr:uid="{00000000-0005-0000-0000-00005A000000}"/>
    <cellStyle name="Normal 2 4" xfId="104" xr:uid="{00000000-0005-0000-0000-00005B000000}"/>
    <cellStyle name="Normal 2 4 2" xfId="150" xr:uid="{00000000-0005-0000-0000-00005C000000}"/>
    <cellStyle name="Normal 2 5" xfId="105" xr:uid="{00000000-0005-0000-0000-00005D000000}"/>
    <cellStyle name="Normal 2 5 2" xfId="160" xr:uid="{00000000-0005-0000-0000-00005E000000}"/>
    <cellStyle name="Normal 2 6" xfId="106" xr:uid="{00000000-0005-0000-0000-00005F000000}"/>
    <cellStyle name="Normal 2 7" xfId="107" xr:uid="{00000000-0005-0000-0000-000060000000}"/>
    <cellStyle name="Normal 2 8" xfId="108" xr:uid="{00000000-0005-0000-0000-000061000000}"/>
    <cellStyle name="Normal 2 9" xfId="109" xr:uid="{00000000-0005-0000-0000-000062000000}"/>
    <cellStyle name="Normal 20" xfId="36" xr:uid="{00000000-0005-0000-0000-000063000000}"/>
    <cellStyle name="Normal 20 2" xfId="110" xr:uid="{00000000-0005-0000-0000-000064000000}"/>
    <cellStyle name="Normal 21" xfId="37" xr:uid="{00000000-0005-0000-0000-000065000000}"/>
    <cellStyle name="Normal 21 2" xfId="111" xr:uid="{00000000-0005-0000-0000-000066000000}"/>
    <cellStyle name="Normal 22" xfId="38" xr:uid="{00000000-0005-0000-0000-000067000000}"/>
    <cellStyle name="Normal 22 2" xfId="112" xr:uid="{00000000-0005-0000-0000-000068000000}"/>
    <cellStyle name="Normal 23" xfId="113" xr:uid="{00000000-0005-0000-0000-000069000000}"/>
    <cellStyle name="Normal 23 2" xfId="114" xr:uid="{00000000-0005-0000-0000-00006A000000}"/>
    <cellStyle name="Normal 24" xfId="138" xr:uid="{00000000-0005-0000-0000-00006B000000}"/>
    <cellStyle name="Normal 25" xfId="21" xr:uid="{00000000-0005-0000-0000-00006C000000}"/>
    <cellStyle name="Normal 25 2" xfId="132" xr:uid="{00000000-0005-0000-0000-00006D000000}"/>
    <cellStyle name="Normal 26" xfId="125" xr:uid="{00000000-0005-0000-0000-00006E000000}"/>
    <cellStyle name="Normal 26 2" xfId="142" xr:uid="{00000000-0005-0000-0000-00006F000000}"/>
    <cellStyle name="Normal 27" xfId="123" xr:uid="{00000000-0005-0000-0000-000070000000}"/>
    <cellStyle name="Normal 27 2" xfId="141" xr:uid="{00000000-0005-0000-0000-000071000000}"/>
    <cellStyle name="Normal 28" xfId="126" xr:uid="{00000000-0005-0000-0000-000072000000}"/>
    <cellStyle name="Normal 28 2" xfId="135" xr:uid="{00000000-0005-0000-0000-000073000000}"/>
    <cellStyle name="Normal 29" xfId="133" xr:uid="{00000000-0005-0000-0000-000074000000}"/>
    <cellStyle name="Normal 3" xfId="15" xr:uid="{00000000-0005-0000-0000-000075000000}"/>
    <cellStyle name="Normal 3 11" xfId="129" xr:uid="{00000000-0005-0000-0000-000076000000}"/>
    <cellStyle name="Normal 3 12" xfId="127" xr:uid="{00000000-0005-0000-0000-000077000000}"/>
    <cellStyle name="Normal 3 13" xfId="128" xr:uid="{00000000-0005-0000-0000-000078000000}"/>
    <cellStyle name="Normal 3 14" xfId="130" xr:uid="{00000000-0005-0000-0000-000079000000}"/>
    <cellStyle name="Normal 3 2" xfId="115" xr:uid="{00000000-0005-0000-0000-00007A000000}"/>
    <cellStyle name="Normal 3 2 2" xfId="152" xr:uid="{00000000-0005-0000-0000-00007B000000}"/>
    <cellStyle name="Normal 3 3" xfId="116" xr:uid="{00000000-0005-0000-0000-00007C000000}"/>
    <cellStyle name="Normal 3 3 2" xfId="153" xr:uid="{00000000-0005-0000-0000-00007D000000}"/>
    <cellStyle name="Normal 3 4" xfId="151" xr:uid="{00000000-0005-0000-0000-00007E000000}"/>
    <cellStyle name="Normal 30" xfId="140" xr:uid="{00000000-0005-0000-0000-00007F000000}"/>
    <cellStyle name="Normal 31" xfId="137" xr:uid="{00000000-0005-0000-0000-000080000000}"/>
    <cellStyle name="Normal 32" xfId="134" xr:uid="{00000000-0005-0000-0000-000081000000}"/>
    <cellStyle name="Normal 33" xfId="144" xr:uid="{00000000-0005-0000-0000-000082000000}"/>
    <cellStyle name="Normal 34" xfId="136" xr:uid="{00000000-0005-0000-0000-000083000000}"/>
    <cellStyle name="Normal 35" xfId="143" xr:uid="{00000000-0005-0000-0000-000084000000}"/>
    <cellStyle name="Normal 37" xfId="4" xr:uid="{00000000-0005-0000-0000-000085000000}"/>
    <cellStyle name="Normal 4" xfId="22" xr:uid="{00000000-0005-0000-0000-000086000000}"/>
    <cellStyle name="Normal 4 2" xfId="117" xr:uid="{00000000-0005-0000-0000-000087000000}"/>
    <cellStyle name="Normal 4 3" xfId="124" xr:uid="{00000000-0005-0000-0000-000088000000}"/>
    <cellStyle name="Normal 4 3 2" xfId="154" xr:uid="{00000000-0005-0000-0000-000089000000}"/>
    <cellStyle name="Normal 5" xfId="28" xr:uid="{00000000-0005-0000-0000-00008A000000}"/>
    <cellStyle name="Normal 5 2" xfId="118" xr:uid="{00000000-0005-0000-0000-00008B000000}"/>
    <cellStyle name="Normal 5 3" xfId="155" xr:uid="{00000000-0005-0000-0000-00008C000000}"/>
    <cellStyle name="Normal 6" xfId="9" xr:uid="{00000000-0005-0000-0000-00008D000000}"/>
    <cellStyle name="Normal 6 2" xfId="139" xr:uid="{00000000-0005-0000-0000-00008E000000}"/>
    <cellStyle name="Normal 6 2 2" xfId="156" xr:uid="{00000000-0005-0000-0000-00008F000000}"/>
    <cellStyle name="Normal 6 3" xfId="122" xr:uid="{00000000-0005-0000-0000-000090000000}"/>
    <cellStyle name="Normal 6 3 2" xfId="161" xr:uid="{00000000-0005-0000-0000-000091000000}"/>
    <cellStyle name="Normal 6 4" xfId="8" xr:uid="{00000000-0005-0000-0000-000092000000}"/>
    <cellStyle name="Normal 7" xfId="7" xr:uid="{00000000-0005-0000-0000-000093000000}"/>
    <cellStyle name="Normal 7 2" xfId="119" xr:uid="{00000000-0005-0000-0000-000094000000}"/>
    <cellStyle name="Normal 7 2 2" xfId="157" xr:uid="{00000000-0005-0000-0000-000095000000}"/>
    <cellStyle name="Normal 7 3" xfId="23" xr:uid="{00000000-0005-0000-0000-000096000000}"/>
    <cellStyle name="Normal 7 3 2" xfId="162" xr:uid="{00000000-0005-0000-0000-000097000000}"/>
    <cellStyle name="Normal 7 4" xfId="6" xr:uid="{00000000-0005-0000-0000-000098000000}"/>
    <cellStyle name="Normal 8" xfId="3" xr:uid="{00000000-0005-0000-0000-000099000000}"/>
    <cellStyle name="Normal 8 2" xfId="11" xr:uid="{00000000-0005-0000-0000-00009A000000}"/>
    <cellStyle name="Normal 8 2 2" xfId="120" xr:uid="{00000000-0005-0000-0000-00009B000000}"/>
    <cellStyle name="Normal 8 2 3" xfId="12" xr:uid="{00000000-0005-0000-0000-00009C000000}"/>
    <cellStyle name="Normal 8 3" xfId="24" xr:uid="{00000000-0005-0000-0000-00009D000000}"/>
    <cellStyle name="Normal 8 3 2" xfId="163" xr:uid="{00000000-0005-0000-0000-00009E000000}"/>
    <cellStyle name="Normal 8 4" xfId="146" xr:uid="{00000000-0005-0000-0000-00009F000000}"/>
    <cellStyle name="Normal 9" xfId="25" xr:uid="{00000000-0005-0000-0000-0000A0000000}"/>
    <cellStyle name="Normal 9 2" xfId="121" xr:uid="{00000000-0005-0000-0000-0000A1000000}"/>
    <cellStyle name="Normal 9 3" xfId="158" xr:uid="{00000000-0005-0000-0000-0000A2000000}"/>
    <cellStyle name="Percent 2" xfId="17" xr:uid="{00000000-0005-0000-0000-0000A3000000}"/>
  </cellStyles>
  <dxfs count="0"/>
  <tableStyles count="0" defaultTableStyle="TableStyleMedium2" defaultPivotStyle="PivotStyleLight16"/>
  <colors>
    <mruColors>
      <color rgb="FFFFD1D1"/>
      <color rgb="FFFFE1E1"/>
      <color rgb="FF33CCCC"/>
      <color rgb="FF196563"/>
      <color rgb="FFC8F4F2"/>
      <color rgb="FFEAFAFA"/>
      <color rgb="FFFF9900"/>
      <color rgb="FF249390"/>
      <color rgb="FFEBFBFA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 b="1">
                <a:effectLst/>
                <a:latin typeface="+mn-lt"/>
              </a:rPr>
              <a:t>Figure 7.21: Percentage share</a:t>
            </a:r>
            <a:r>
              <a:rPr lang="en-US" sz="1100" b="1" baseline="0">
                <a:effectLst/>
                <a:latin typeface="+mn-lt"/>
              </a:rPr>
              <a:t> of </a:t>
            </a:r>
            <a:r>
              <a:rPr lang="en-US" sz="1100" b="1">
                <a:effectLst/>
                <a:latin typeface="+mn-lt"/>
              </a:rPr>
              <a:t>Student enrolment in technical Education by sex, 2021</a:t>
            </a:r>
            <a:endParaRPr lang="en-US" sz="11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9.2758354103747415E-2"/>
          <c:y val="2.8047465734793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116314140545997"/>
          <c:y val="0.20209560946738156"/>
          <c:w val="0.35472986999732409"/>
          <c:h val="0.71386026988140194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FFD1D1"/>
              </a:solidFill>
            </c:spPr>
            <c:extLst>
              <c:ext xmlns:c16="http://schemas.microsoft.com/office/drawing/2014/chart" uri="{C3380CC4-5D6E-409C-BE32-E72D297353CC}">
                <c16:uniqueId val="{00000003-2F66-4AF1-B78F-0FBAF88BF2FD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2F66-4AF1-B78F-0FBAF88BF2F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'7.24'!$AQ$5:$AR$5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'7.24'!$AQ$6:$AR$6</c:f>
              <c:numCache>
                <c:formatCode>#,##0_);[Red]\(#,##0\)</c:formatCode>
                <c:ptCount val="2"/>
                <c:pt idx="0">
                  <c:v>680</c:v>
                </c:pt>
                <c:pt idx="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6-4AF1-B78F-0FBAF88BF2F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85725</xdr:colOff>
      <xdr:row>26</xdr:row>
      <xdr:rowOff>197827</xdr:rowOff>
    </xdr:from>
    <xdr:to>
      <xdr:col>38</xdr:col>
      <xdr:colOff>647699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AEA8E1-A54F-41D3-8F68-6F32FF8E9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A865-783E-4984-B847-490243E26FA1}">
  <sheetPr>
    <tabColor rgb="FF92D050"/>
  </sheetPr>
  <dimension ref="A1:AS364"/>
  <sheetViews>
    <sheetView tabSelected="1" zoomScaleNormal="100" workbookViewId="0">
      <selection activeCell="AS7" sqref="AS7"/>
    </sheetView>
  </sheetViews>
  <sheetFormatPr defaultRowHeight="12" x14ac:dyDescent="0.15"/>
  <cols>
    <col min="1" max="1" width="43.140625" style="1" customWidth="1"/>
    <col min="2" max="2" width="0.140625" style="1" customWidth="1"/>
    <col min="3" max="3" width="1.85546875" style="40" hidden="1" customWidth="1"/>
    <col min="4" max="4" width="10.7109375" style="1" hidden="1" customWidth="1"/>
    <col min="5" max="5" width="7.7109375" style="1" hidden="1" customWidth="1"/>
    <col min="6" max="6" width="8.140625" style="40" hidden="1" customWidth="1"/>
    <col min="7" max="7" width="1.85546875" style="40" hidden="1" customWidth="1"/>
    <col min="8" max="8" width="10.5703125" style="1" hidden="1" customWidth="1"/>
    <col min="9" max="9" width="7.7109375" style="1" hidden="1" customWidth="1"/>
    <col min="10" max="10" width="8.140625" style="40" hidden="1" customWidth="1"/>
    <col min="11" max="11" width="1.85546875" style="40" hidden="1" customWidth="1"/>
    <col min="12" max="12" width="11" style="1" hidden="1" customWidth="1"/>
    <col min="13" max="13" width="7.7109375" style="1" hidden="1" customWidth="1"/>
    <col min="14" max="14" width="8.140625" style="40" hidden="1" customWidth="1"/>
    <col min="15" max="15" width="0.28515625" style="1" hidden="1" customWidth="1"/>
    <col min="16" max="16" width="11" style="1" hidden="1" customWidth="1"/>
    <col min="17" max="17" width="7.7109375" style="1" hidden="1" customWidth="1"/>
    <col min="18" max="18" width="8.140625" style="40" hidden="1" customWidth="1"/>
    <col min="19" max="19" width="2.5703125" style="1" hidden="1" customWidth="1"/>
    <col min="20" max="20" width="11" style="1" hidden="1" customWidth="1"/>
    <col min="21" max="21" width="7.7109375" style="1" hidden="1" customWidth="1"/>
    <col min="22" max="22" width="8.140625" style="40" hidden="1" customWidth="1"/>
    <col min="23" max="23" width="2" style="1" hidden="1" customWidth="1"/>
    <col min="24" max="24" width="11" style="1" hidden="1" customWidth="1"/>
    <col min="25" max="25" width="7.7109375" style="1" hidden="1" customWidth="1"/>
    <col min="26" max="26" width="8.140625" style="40" hidden="1" customWidth="1"/>
    <col min="27" max="27" width="2" style="1" hidden="1" customWidth="1"/>
    <col min="28" max="28" width="11" style="1" customWidth="1"/>
    <col min="29" max="29" width="7.7109375" style="1" customWidth="1"/>
    <col min="30" max="30" width="8.140625" style="40" customWidth="1"/>
    <col min="31" max="31" width="2" style="1" customWidth="1"/>
    <col min="32" max="32" width="11" style="1" customWidth="1"/>
    <col min="33" max="33" width="7.7109375" style="1" customWidth="1"/>
    <col min="34" max="34" width="8.140625" style="40" customWidth="1"/>
    <col min="35" max="35" width="2" style="1" customWidth="1"/>
    <col min="36" max="36" width="11" style="1" customWidth="1"/>
    <col min="37" max="37" width="7.7109375" style="1" customWidth="1"/>
    <col min="38" max="38" width="8.140625" style="40" customWidth="1"/>
    <col min="39" max="39" width="11" style="1" customWidth="1"/>
    <col min="40" max="40" width="7.7109375" style="1" customWidth="1"/>
    <col min="41" max="41" width="8.140625" style="40" customWidth="1"/>
    <col min="42" max="42" width="11" style="1" customWidth="1"/>
    <col min="43" max="43" width="7.7109375" style="1" customWidth="1"/>
    <col min="44" max="44" width="8.140625" style="40" customWidth="1"/>
    <col min="45" max="45" width="54.5703125" style="1" customWidth="1"/>
    <col min="46" max="46" width="49.7109375" style="1" customWidth="1"/>
    <col min="47" max="284" width="9.140625" style="1"/>
    <col min="285" max="285" width="43.28515625" style="1" customWidth="1"/>
    <col min="286" max="286" width="5.85546875" style="1" customWidth="1"/>
    <col min="287" max="287" width="6.28515625" style="1" customWidth="1"/>
    <col min="288" max="288" width="7.7109375" style="1" customWidth="1"/>
    <col min="289" max="289" width="8.140625" style="1" customWidth="1"/>
    <col min="290" max="290" width="2.5703125" style="1" customWidth="1"/>
    <col min="291" max="291" width="6.5703125" style="1" customWidth="1"/>
    <col min="292" max="292" width="48.85546875" style="1" customWidth="1"/>
    <col min="293" max="293" width="49.7109375" style="1" customWidth="1"/>
    <col min="294" max="540" width="9.140625" style="1"/>
    <col min="541" max="541" width="43.28515625" style="1" customWidth="1"/>
    <col min="542" max="542" width="5.85546875" style="1" customWidth="1"/>
    <col min="543" max="543" width="6.28515625" style="1" customWidth="1"/>
    <col min="544" max="544" width="7.7109375" style="1" customWidth="1"/>
    <col min="545" max="545" width="8.140625" style="1" customWidth="1"/>
    <col min="546" max="546" width="2.5703125" style="1" customWidth="1"/>
    <col min="547" max="547" width="6.5703125" style="1" customWidth="1"/>
    <col min="548" max="548" width="48.85546875" style="1" customWidth="1"/>
    <col min="549" max="549" width="49.7109375" style="1" customWidth="1"/>
    <col min="550" max="796" width="9.140625" style="1"/>
    <col min="797" max="797" width="43.28515625" style="1" customWidth="1"/>
    <col min="798" max="798" width="5.85546875" style="1" customWidth="1"/>
    <col min="799" max="799" width="6.28515625" style="1" customWidth="1"/>
    <col min="800" max="800" width="7.7109375" style="1" customWidth="1"/>
    <col min="801" max="801" width="8.140625" style="1" customWidth="1"/>
    <col min="802" max="802" width="2.5703125" style="1" customWidth="1"/>
    <col min="803" max="803" width="6.5703125" style="1" customWidth="1"/>
    <col min="804" max="804" width="48.85546875" style="1" customWidth="1"/>
    <col min="805" max="805" width="49.7109375" style="1" customWidth="1"/>
    <col min="806" max="1052" width="9.140625" style="1"/>
    <col min="1053" max="1053" width="43.28515625" style="1" customWidth="1"/>
    <col min="1054" max="1054" width="5.85546875" style="1" customWidth="1"/>
    <col min="1055" max="1055" width="6.28515625" style="1" customWidth="1"/>
    <col min="1056" max="1056" width="7.7109375" style="1" customWidth="1"/>
    <col min="1057" max="1057" width="8.140625" style="1" customWidth="1"/>
    <col min="1058" max="1058" width="2.5703125" style="1" customWidth="1"/>
    <col min="1059" max="1059" width="6.5703125" style="1" customWidth="1"/>
    <col min="1060" max="1060" width="48.85546875" style="1" customWidth="1"/>
    <col min="1061" max="1061" width="49.7109375" style="1" customWidth="1"/>
    <col min="1062" max="1308" width="9.140625" style="1"/>
    <col min="1309" max="1309" width="43.28515625" style="1" customWidth="1"/>
    <col min="1310" max="1310" width="5.85546875" style="1" customWidth="1"/>
    <col min="1311" max="1311" width="6.28515625" style="1" customWidth="1"/>
    <col min="1312" max="1312" width="7.7109375" style="1" customWidth="1"/>
    <col min="1313" max="1313" width="8.140625" style="1" customWidth="1"/>
    <col min="1314" max="1314" width="2.5703125" style="1" customWidth="1"/>
    <col min="1315" max="1315" width="6.5703125" style="1" customWidth="1"/>
    <col min="1316" max="1316" width="48.85546875" style="1" customWidth="1"/>
    <col min="1317" max="1317" width="49.7109375" style="1" customWidth="1"/>
    <col min="1318" max="1564" width="9.140625" style="1"/>
    <col min="1565" max="1565" width="43.28515625" style="1" customWidth="1"/>
    <col min="1566" max="1566" width="5.85546875" style="1" customWidth="1"/>
    <col min="1567" max="1567" width="6.28515625" style="1" customWidth="1"/>
    <col min="1568" max="1568" width="7.7109375" style="1" customWidth="1"/>
    <col min="1569" max="1569" width="8.140625" style="1" customWidth="1"/>
    <col min="1570" max="1570" width="2.5703125" style="1" customWidth="1"/>
    <col min="1571" max="1571" width="6.5703125" style="1" customWidth="1"/>
    <col min="1572" max="1572" width="48.85546875" style="1" customWidth="1"/>
    <col min="1573" max="1573" width="49.7109375" style="1" customWidth="1"/>
    <col min="1574" max="1820" width="9.140625" style="1"/>
    <col min="1821" max="1821" width="43.28515625" style="1" customWidth="1"/>
    <col min="1822" max="1822" width="5.85546875" style="1" customWidth="1"/>
    <col min="1823" max="1823" width="6.28515625" style="1" customWidth="1"/>
    <col min="1824" max="1824" width="7.7109375" style="1" customWidth="1"/>
    <col min="1825" max="1825" width="8.140625" style="1" customWidth="1"/>
    <col min="1826" max="1826" width="2.5703125" style="1" customWidth="1"/>
    <col min="1827" max="1827" width="6.5703125" style="1" customWidth="1"/>
    <col min="1828" max="1828" width="48.85546875" style="1" customWidth="1"/>
    <col min="1829" max="1829" width="49.7109375" style="1" customWidth="1"/>
    <col min="1830" max="2076" width="9.140625" style="1"/>
    <col min="2077" max="2077" width="43.28515625" style="1" customWidth="1"/>
    <col min="2078" max="2078" width="5.85546875" style="1" customWidth="1"/>
    <col min="2079" max="2079" width="6.28515625" style="1" customWidth="1"/>
    <col min="2080" max="2080" width="7.7109375" style="1" customWidth="1"/>
    <col min="2081" max="2081" width="8.140625" style="1" customWidth="1"/>
    <col min="2082" max="2082" width="2.5703125" style="1" customWidth="1"/>
    <col min="2083" max="2083" width="6.5703125" style="1" customWidth="1"/>
    <col min="2084" max="2084" width="48.85546875" style="1" customWidth="1"/>
    <col min="2085" max="2085" width="49.7109375" style="1" customWidth="1"/>
    <col min="2086" max="2332" width="9.140625" style="1"/>
    <col min="2333" max="2333" width="43.28515625" style="1" customWidth="1"/>
    <col min="2334" max="2334" width="5.85546875" style="1" customWidth="1"/>
    <col min="2335" max="2335" width="6.28515625" style="1" customWidth="1"/>
    <col min="2336" max="2336" width="7.7109375" style="1" customWidth="1"/>
    <col min="2337" max="2337" width="8.140625" style="1" customWidth="1"/>
    <col min="2338" max="2338" width="2.5703125" style="1" customWidth="1"/>
    <col min="2339" max="2339" width="6.5703125" style="1" customWidth="1"/>
    <col min="2340" max="2340" width="48.85546875" style="1" customWidth="1"/>
    <col min="2341" max="2341" width="49.7109375" style="1" customWidth="1"/>
    <col min="2342" max="2588" width="9.140625" style="1"/>
    <col min="2589" max="2589" width="43.28515625" style="1" customWidth="1"/>
    <col min="2590" max="2590" width="5.85546875" style="1" customWidth="1"/>
    <col min="2591" max="2591" width="6.28515625" style="1" customWidth="1"/>
    <col min="2592" max="2592" width="7.7109375" style="1" customWidth="1"/>
    <col min="2593" max="2593" width="8.140625" style="1" customWidth="1"/>
    <col min="2594" max="2594" width="2.5703125" style="1" customWidth="1"/>
    <col min="2595" max="2595" width="6.5703125" style="1" customWidth="1"/>
    <col min="2596" max="2596" width="48.85546875" style="1" customWidth="1"/>
    <col min="2597" max="2597" width="49.7109375" style="1" customWidth="1"/>
    <col min="2598" max="2844" width="9.140625" style="1"/>
    <col min="2845" max="2845" width="43.28515625" style="1" customWidth="1"/>
    <col min="2846" max="2846" width="5.85546875" style="1" customWidth="1"/>
    <col min="2847" max="2847" width="6.28515625" style="1" customWidth="1"/>
    <col min="2848" max="2848" width="7.7109375" style="1" customWidth="1"/>
    <col min="2849" max="2849" width="8.140625" style="1" customWidth="1"/>
    <col min="2850" max="2850" width="2.5703125" style="1" customWidth="1"/>
    <col min="2851" max="2851" width="6.5703125" style="1" customWidth="1"/>
    <col min="2852" max="2852" width="48.85546875" style="1" customWidth="1"/>
    <col min="2853" max="2853" width="49.7109375" style="1" customWidth="1"/>
    <col min="2854" max="3100" width="9.140625" style="1"/>
    <col min="3101" max="3101" width="43.28515625" style="1" customWidth="1"/>
    <col min="3102" max="3102" width="5.85546875" style="1" customWidth="1"/>
    <col min="3103" max="3103" width="6.28515625" style="1" customWidth="1"/>
    <col min="3104" max="3104" width="7.7109375" style="1" customWidth="1"/>
    <col min="3105" max="3105" width="8.140625" style="1" customWidth="1"/>
    <col min="3106" max="3106" width="2.5703125" style="1" customWidth="1"/>
    <col min="3107" max="3107" width="6.5703125" style="1" customWidth="1"/>
    <col min="3108" max="3108" width="48.85546875" style="1" customWidth="1"/>
    <col min="3109" max="3109" width="49.7109375" style="1" customWidth="1"/>
    <col min="3110" max="3356" width="9.140625" style="1"/>
    <col min="3357" max="3357" width="43.28515625" style="1" customWidth="1"/>
    <col min="3358" max="3358" width="5.85546875" style="1" customWidth="1"/>
    <col min="3359" max="3359" width="6.28515625" style="1" customWidth="1"/>
    <col min="3360" max="3360" width="7.7109375" style="1" customWidth="1"/>
    <col min="3361" max="3361" width="8.140625" style="1" customWidth="1"/>
    <col min="3362" max="3362" width="2.5703125" style="1" customWidth="1"/>
    <col min="3363" max="3363" width="6.5703125" style="1" customWidth="1"/>
    <col min="3364" max="3364" width="48.85546875" style="1" customWidth="1"/>
    <col min="3365" max="3365" width="49.7109375" style="1" customWidth="1"/>
    <col min="3366" max="3612" width="9.140625" style="1"/>
    <col min="3613" max="3613" width="43.28515625" style="1" customWidth="1"/>
    <col min="3614" max="3614" width="5.85546875" style="1" customWidth="1"/>
    <col min="3615" max="3615" width="6.28515625" style="1" customWidth="1"/>
    <col min="3616" max="3616" width="7.7109375" style="1" customWidth="1"/>
    <col min="3617" max="3617" width="8.140625" style="1" customWidth="1"/>
    <col min="3618" max="3618" width="2.5703125" style="1" customWidth="1"/>
    <col min="3619" max="3619" width="6.5703125" style="1" customWidth="1"/>
    <col min="3620" max="3620" width="48.85546875" style="1" customWidth="1"/>
    <col min="3621" max="3621" width="49.7109375" style="1" customWidth="1"/>
    <col min="3622" max="3868" width="9.140625" style="1"/>
    <col min="3869" max="3869" width="43.28515625" style="1" customWidth="1"/>
    <col min="3870" max="3870" width="5.85546875" style="1" customWidth="1"/>
    <col min="3871" max="3871" width="6.28515625" style="1" customWidth="1"/>
    <col min="3872" max="3872" width="7.7109375" style="1" customWidth="1"/>
    <col min="3873" max="3873" width="8.140625" style="1" customWidth="1"/>
    <col min="3874" max="3874" width="2.5703125" style="1" customWidth="1"/>
    <col min="3875" max="3875" width="6.5703125" style="1" customWidth="1"/>
    <col min="3876" max="3876" width="48.85546875" style="1" customWidth="1"/>
    <col min="3877" max="3877" width="49.7109375" style="1" customWidth="1"/>
    <col min="3878" max="4124" width="9.140625" style="1"/>
    <col min="4125" max="4125" width="43.28515625" style="1" customWidth="1"/>
    <col min="4126" max="4126" width="5.85546875" style="1" customWidth="1"/>
    <col min="4127" max="4127" width="6.28515625" style="1" customWidth="1"/>
    <col min="4128" max="4128" width="7.7109375" style="1" customWidth="1"/>
    <col min="4129" max="4129" width="8.140625" style="1" customWidth="1"/>
    <col min="4130" max="4130" width="2.5703125" style="1" customWidth="1"/>
    <col min="4131" max="4131" width="6.5703125" style="1" customWidth="1"/>
    <col min="4132" max="4132" width="48.85546875" style="1" customWidth="1"/>
    <col min="4133" max="4133" width="49.7109375" style="1" customWidth="1"/>
    <col min="4134" max="4380" width="9.140625" style="1"/>
    <col min="4381" max="4381" width="43.28515625" style="1" customWidth="1"/>
    <col min="4382" max="4382" width="5.85546875" style="1" customWidth="1"/>
    <col min="4383" max="4383" width="6.28515625" style="1" customWidth="1"/>
    <col min="4384" max="4384" width="7.7109375" style="1" customWidth="1"/>
    <col min="4385" max="4385" width="8.140625" style="1" customWidth="1"/>
    <col min="4386" max="4386" width="2.5703125" style="1" customWidth="1"/>
    <col min="4387" max="4387" width="6.5703125" style="1" customWidth="1"/>
    <col min="4388" max="4388" width="48.85546875" style="1" customWidth="1"/>
    <col min="4389" max="4389" width="49.7109375" style="1" customWidth="1"/>
    <col min="4390" max="4636" width="9.140625" style="1"/>
    <col min="4637" max="4637" width="43.28515625" style="1" customWidth="1"/>
    <col min="4638" max="4638" width="5.85546875" style="1" customWidth="1"/>
    <col min="4639" max="4639" width="6.28515625" style="1" customWidth="1"/>
    <col min="4640" max="4640" width="7.7109375" style="1" customWidth="1"/>
    <col min="4641" max="4641" width="8.140625" style="1" customWidth="1"/>
    <col min="4642" max="4642" width="2.5703125" style="1" customWidth="1"/>
    <col min="4643" max="4643" width="6.5703125" style="1" customWidth="1"/>
    <col min="4644" max="4644" width="48.85546875" style="1" customWidth="1"/>
    <col min="4645" max="4645" width="49.7109375" style="1" customWidth="1"/>
    <col min="4646" max="4892" width="9.140625" style="1"/>
    <col min="4893" max="4893" width="43.28515625" style="1" customWidth="1"/>
    <col min="4894" max="4894" width="5.85546875" style="1" customWidth="1"/>
    <col min="4895" max="4895" width="6.28515625" style="1" customWidth="1"/>
    <col min="4896" max="4896" width="7.7109375" style="1" customWidth="1"/>
    <col min="4897" max="4897" width="8.140625" style="1" customWidth="1"/>
    <col min="4898" max="4898" width="2.5703125" style="1" customWidth="1"/>
    <col min="4899" max="4899" width="6.5703125" style="1" customWidth="1"/>
    <col min="4900" max="4900" width="48.85546875" style="1" customWidth="1"/>
    <col min="4901" max="4901" width="49.7109375" style="1" customWidth="1"/>
    <col min="4902" max="5148" width="9.140625" style="1"/>
    <col min="5149" max="5149" width="43.28515625" style="1" customWidth="1"/>
    <col min="5150" max="5150" width="5.85546875" style="1" customWidth="1"/>
    <col min="5151" max="5151" width="6.28515625" style="1" customWidth="1"/>
    <col min="5152" max="5152" width="7.7109375" style="1" customWidth="1"/>
    <col min="5153" max="5153" width="8.140625" style="1" customWidth="1"/>
    <col min="5154" max="5154" width="2.5703125" style="1" customWidth="1"/>
    <col min="5155" max="5155" width="6.5703125" style="1" customWidth="1"/>
    <col min="5156" max="5156" width="48.85546875" style="1" customWidth="1"/>
    <col min="5157" max="5157" width="49.7109375" style="1" customWidth="1"/>
    <col min="5158" max="5404" width="9.140625" style="1"/>
    <col min="5405" max="5405" width="43.28515625" style="1" customWidth="1"/>
    <col min="5406" max="5406" width="5.85546875" style="1" customWidth="1"/>
    <col min="5407" max="5407" width="6.28515625" style="1" customWidth="1"/>
    <col min="5408" max="5408" width="7.7109375" style="1" customWidth="1"/>
    <col min="5409" max="5409" width="8.140625" style="1" customWidth="1"/>
    <col min="5410" max="5410" width="2.5703125" style="1" customWidth="1"/>
    <col min="5411" max="5411" width="6.5703125" style="1" customWidth="1"/>
    <col min="5412" max="5412" width="48.85546875" style="1" customWidth="1"/>
    <col min="5413" max="5413" width="49.7109375" style="1" customWidth="1"/>
    <col min="5414" max="5660" width="9.140625" style="1"/>
    <col min="5661" max="5661" width="43.28515625" style="1" customWidth="1"/>
    <col min="5662" max="5662" width="5.85546875" style="1" customWidth="1"/>
    <col min="5663" max="5663" width="6.28515625" style="1" customWidth="1"/>
    <col min="5664" max="5664" width="7.7109375" style="1" customWidth="1"/>
    <col min="5665" max="5665" width="8.140625" style="1" customWidth="1"/>
    <col min="5666" max="5666" width="2.5703125" style="1" customWidth="1"/>
    <col min="5667" max="5667" width="6.5703125" style="1" customWidth="1"/>
    <col min="5668" max="5668" width="48.85546875" style="1" customWidth="1"/>
    <col min="5669" max="5669" width="49.7109375" style="1" customWidth="1"/>
    <col min="5670" max="5916" width="9.140625" style="1"/>
    <col min="5917" max="5917" width="43.28515625" style="1" customWidth="1"/>
    <col min="5918" max="5918" width="5.85546875" style="1" customWidth="1"/>
    <col min="5919" max="5919" width="6.28515625" style="1" customWidth="1"/>
    <col min="5920" max="5920" width="7.7109375" style="1" customWidth="1"/>
    <col min="5921" max="5921" width="8.140625" style="1" customWidth="1"/>
    <col min="5922" max="5922" width="2.5703125" style="1" customWidth="1"/>
    <col min="5923" max="5923" width="6.5703125" style="1" customWidth="1"/>
    <col min="5924" max="5924" width="48.85546875" style="1" customWidth="1"/>
    <col min="5925" max="5925" width="49.7109375" style="1" customWidth="1"/>
    <col min="5926" max="6172" width="9.140625" style="1"/>
    <col min="6173" max="6173" width="43.28515625" style="1" customWidth="1"/>
    <col min="6174" max="6174" width="5.85546875" style="1" customWidth="1"/>
    <col min="6175" max="6175" width="6.28515625" style="1" customWidth="1"/>
    <col min="6176" max="6176" width="7.7109375" style="1" customWidth="1"/>
    <col min="6177" max="6177" width="8.140625" style="1" customWidth="1"/>
    <col min="6178" max="6178" width="2.5703125" style="1" customWidth="1"/>
    <col min="6179" max="6179" width="6.5703125" style="1" customWidth="1"/>
    <col min="6180" max="6180" width="48.85546875" style="1" customWidth="1"/>
    <col min="6181" max="6181" width="49.7109375" style="1" customWidth="1"/>
    <col min="6182" max="6428" width="9.140625" style="1"/>
    <col min="6429" max="6429" width="43.28515625" style="1" customWidth="1"/>
    <col min="6430" max="6430" width="5.85546875" style="1" customWidth="1"/>
    <col min="6431" max="6431" width="6.28515625" style="1" customWidth="1"/>
    <col min="6432" max="6432" width="7.7109375" style="1" customWidth="1"/>
    <col min="6433" max="6433" width="8.140625" style="1" customWidth="1"/>
    <col min="6434" max="6434" width="2.5703125" style="1" customWidth="1"/>
    <col min="6435" max="6435" width="6.5703125" style="1" customWidth="1"/>
    <col min="6436" max="6436" width="48.85546875" style="1" customWidth="1"/>
    <col min="6437" max="6437" width="49.7109375" style="1" customWidth="1"/>
    <col min="6438" max="6684" width="9.140625" style="1"/>
    <col min="6685" max="6685" width="43.28515625" style="1" customWidth="1"/>
    <col min="6686" max="6686" width="5.85546875" style="1" customWidth="1"/>
    <col min="6687" max="6687" width="6.28515625" style="1" customWidth="1"/>
    <col min="6688" max="6688" width="7.7109375" style="1" customWidth="1"/>
    <col min="6689" max="6689" width="8.140625" style="1" customWidth="1"/>
    <col min="6690" max="6690" width="2.5703125" style="1" customWidth="1"/>
    <col min="6691" max="6691" width="6.5703125" style="1" customWidth="1"/>
    <col min="6692" max="6692" width="48.85546875" style="1" customWidth="1"/>
    <col min="6693" max="6693" width="49.7109375" style="1" customWidth="1"/>
    <col min="6694" max="6940" width="9.140625" style="1"/>
    <col min="6941" max="6941" width="43.28515625" style="1" customWidth="1"/>
    <col min="6942" max="6942" width="5.85546875" style="1" customWidth="1"/>
    <col min="6943" max="6943" width="6.28515625" style="1" customWidth="1"/>
    <col min="6944" max="6944" width="7.7109375" style="1" customWidth="1"/>
    <col min="6945" max="6945" width="8.140625" style="1" customWidth="1"/>
    <col min="6946" max="6946" width="2.5703125" style="1" customWidth="1"/>
    <col min="6947" max="6947" width="6.5703125" style="1" customWidth="1"/>
    <col min="6948" max="6948" width="48.85546875" style="1" customWidth="1"/>
    <col min="6949" max="6949" width="49.7109375" style="1" customWidth="1"/>
    <col min="6950" max="7196" width="9.140625" style="1"/>
    <col min="7197" max="7197" width="43.28515625" style="1" customWidth="1"/>
    <col min="7198" max="7198" width="5.85546875" style="1" customWidth="1"/>
    <col min="7199" max="7199" width="6.28515625" style="1" customWidth="1"/>
    <col min="7200" max="7200" width="7.7109375" style="1" customWidth="1"/>
    <col min="7201" max="7201" width="8.140625" style="1" customWidth="1"/>
    <col min="7202" max="7202" width="2.5703125" style="1" customWidth="1"/>
    <col min="7203" max="7203" width="6.5703125" style="1" customWidth="1"/>
    <col min="7204" max="7204" width="48.85546875" style="1" customWidth="1"/>
    <col min="7205" max="7205" width="49.7109375" style="1" customWidth="1"/>
    <col min="7206" max="7452" width="9.140625" style="1"/>
    <col min="7453" max="7453" width="43.28515625" style="1" customWidth="1"/>
    <col min="7454" max="7454" width="5.85546875" style="1" customWidth="1"/>
    <col min="7455" max="7455" width="6.28515625" style="1" customWidth="1"/>
    <col min="7456" max="7456" width="7.7109375" style="1" customWidth="1"/>
    <col min="7457" max="7457" width="8.140625" style="1" customWidth="1"/>
    <col min="7458" max="7458" width="2.5703125" style="1" customWidth="1"/>
    <col min="7459" max="7459" width="6.5703125" style="1" customWidth="1"/>
    <col min="7460" max="7460" width="48.85546875" style="1" customWidth="1"/>
    <col min="7461" max="7461" width="49.7109375" style="1" customWidth="1"/>
    <col min="7462" max="7708" width="9.140625" style="1"/>
    <col min="7709" max="7709" width="43.28515625" style="1" customWidth="1"/>
    <col min="7710" max="7710" width="5.85546875" style="1" customWidth="1"/>
    <col min="7711" max="7711" width="6.28515625" style="1" customWidth="1"/>
    <col min="7712" max="7712" width="7.7109375" style="1" customWidth="1"/>
    <col min="7713" max="7713" width="8.140625" style="1" customWidth="1"/>
    <col min="7714" max="7714" width="2.5703125" style="1" customWidth="1"/>
    <col min="7715" max="7715" width="6.5703125" style="1" customWidth="1"/>
    <col min="7716" max="7716" width="48.85546875" style="1" customWidth="1"/>
    <col min="7717" max="7717" width="49.7109375" style="1" customWidth="1"/>
    <col min="7718" max="7964" width="9.140625" style="1"/>
    <col min="7965" max="7965" width="43.28515625" style="1" customWidth="1"/>
    <col min="7966" max="7966" width="5.85546875" style="1" customWidth="1"/>
    <col min="7967" max="7967" width="6.28515625" style="1" customWidth="1"/>
    <col min="7968" max="7968" width="7.7109375" style="1" customWidth="1"/>
    <col min="7969" max="7969" width="8.140625" style="1" customWidth="1"/>
    <col min="7970" max="7970" width="2.5703125" style="1" customWidth="1"/>
    <col min="7971" max="7971" width="6.5703125" style="1" customWidth="1"/>
    <col min="7972" max="7972" width="48.85546875" style="1" customWidth="1"/>
    <col min="7973" max="7973" width="49.7109375" style="1" customWidth="1"/>
    <col min="7974" max="8220" width="9.140625" style="1"/>
    <col min="8221" max="8221" width="43.28515625" style="1" customWidth="1"/>
    <col min="8222" max="8222" width="5.85546875" style="1" customWidth="1"/>
    <col min="8223" max="8223" width="6.28515625" style="1" customWidth="1"/>
    <col min="8224" max="8224" width="7.7109375" style="1" customWidth="1"/>
    <col min="8225" max="8225" width="8.140625" style="1" customWidth="1"/>
    <col min="8226" max="8226" width="2.5703125" style="1" customWidth="1"/>
    <col min="8227" max="8227" width="6.5703125" style="1" customWidth="1"/>
    <col min="8228" max="8228" width="48.85546875" style="1" customWidth="1"/>
    <col min="8229" max="8229" width="49.7109375" style="1" customWidth="1"/>
    <col min="8230" max="8476" width="9.140625" style="1"/>
    <col min="8477" max="8477" width="43.28515625" style="1" customWidth="1"/>
    <col min="8478" max="8478" width="5.85546875" style="1" customWidth="1"/>
    <col min="8479" max="8479" width="6.28515625" style="1" customWidth="1"/>
    <col min="8480" max="8480" width="7.7109375" style="1" customWidth="1"/>
    <col min="8481" max="8481" width="8.140625" style="1" customWidth="1"/>
    <col min="8482" max="8482" width="2.5703125" style="1" customWidth="1"/>
    <col min="8483" max="8483" width="6.5703125" style="1" customWidth="1"/>
    <col min="8484" max="8484" width="48.85546875" style="1" customWidth="1"/>
    <col min="8485" max="8485" width="49.7109375" style="1" customWidth="1"/>
    <col min="8486" max="8732" width="9.140625" style="1"/>
    <col min="8733" max="8733" width="43.28515625" style="1" customWidth="1"/>
    <col min="8734" max="8734" width="5.85546875" style="1" customWidth="1"/>
    <col min="8735" max="8735" width="6.28515625" style="1" customWidth="1"/>
    <col min="8736" max="8736" width="7.7109375" style="1" customWidth="1"/>
    <col min="8737" max="8737" width="8.140625" style="1" customWidth="1"/>
    <col min="8738" max="8738" width="2.5703125" style="1" customWidth="1"/>
    <col min="8739" max="8739" width="6.5703125" style="1" customWidth="1"/>
    <col min="8740" max="8740" width="48.85546875" style="1" customWidth="1"/>
    <col min="8741" max="8741" width="49.7109375" style="1" customWidth="1"/>
    <col min="8742" max="8988" width="9.140625" style="1"/>
    <col min="8989" max="8989" width="43.28515625" style="1" customWidth="1"/>
    <col min="8990" max="8990" width="5.85546875" style="1" customWidth="1"/>
    <col min="8991" max="8991" width="6.28515625" style="1" customWidth="1"/>
    <col min="8992" max="8992" width="7.7109375" style="1" customWidth="1"/>
    <col min="8993" max="8993" width="8.140625" style="1" customWidth="1"/>
    <col min="8994" max="8994" width="2.5703125" style="1" customWidth="1"/>
    <col min="8995" max="8995" width="6.5703125" style="1" customWidth="1"/>
    <col min="8996" max="8996" width="48.85546875" style="1" customWidth="1"/>
    <col min="8997" max="8997" width="49.7109375" style="1" customWidth="1"/>
    <col min="8998" max="9244" width="9.140625" style="1"/>
    <col min="9245" max="9245" width="43.28515625" style="1" customWidth="1"/>
    <col min="9246" max="9246" width="5.85546875" style="1" customWidth="1"/>
    <col min="9247" max="9247" width="6.28515625" style="1" customWidth="1"/>
    <col min="9248" max="9248" width="7.7109375" style="1" customWidth="1"/>
    <col min="9249" max="9249" width="8.140625" style="1" customWidth="1"/>
    <col min="9250" max="9250" width="2.5703125" style="1" customWidth="1"/>
    <col min="9251" max="9251" width="6.5703125" style="1" customWidth="1"/>
    <col min="9252" max="9252" width="48.85546875" style="1" customWidth="1"/>
    <col min="9253" max="9253" width="49.7109375" style="1" customWidth="1"/>
    <col min="9254" max="9500" width="9.140625" style="1"/>
    <col min="9501" max="9501" width="43.28515625" style="1" customWidth="1"/>
    <col min="9502" max="9502" width="5.85546875" style="1" customWidth="1"/>
    <col min="9503" max="9503" width="6.28515625" style="1" customWidth="1"/>
    <col min="9504" max="9504" width="7.7109375" style="1" customWidth="1"/>
    <col min="9505" max="9505" width="8.140625" style="1" customWidth="1"/>
    <col min="9506" max="9506" width="2.5703125" style="1" customWidth="1"/>
    <col min="9507" max="9507" width="6.5703125" style="1" customWidth="1"/>
    <col min="9508" max="9508" width="48.85546875" style="1" customWidth="1"/>
    <col min="9509" max="9509" width="49.7109375" style="1" customWidth="1"/>
    <col min="9510" max="9756" width="9.140625" style="1"/>
    <col min="9757" max="9757" width="43.28515625" style="1" customWidth="1"/>
    <col min="9758" max="9758" width="5.85546875" style="1" customWidth="1"/>
    <col min="9759" max="9759" width="6.28515625" style="1" customWidth="1"/>
    <col min="9760" max="9760" width="7.7109375" style="1" customWidth="1"/>
    <col min="9761" max="9761" width="8.140625" style="1" customWidth="1"/>
    <col min="9762" max="9762" width="2.5703125" style="1" customWidth="1"/>
    <col min="9763" max="9763" width="6.5703125" style="1" customWidth="1"/>
    <col min="9764" max="9764" width="48.85546875" style="1" customWidth="1"/>
    <col min="9765" max="9765" width="49.7109375" style="1" customWidth="1"/>
    <col min="9766" max="10012" width="9.140625" style="1"/>
    <col min="10013" max="10013" width="43.28515625" style="1" customWidth="1"/>
    <col min="10014" max="10014" width="5.85546875" style="1" customWidth="1"/>
    <col min="10015" max="10015" width="6.28515625" style="1" customWidth="1"/>
    <col min="10016" max="10016" width="7.7109375" style="1" customWidth="1"/>
    <col min="10017" max="10017" width="8.140625" style="1" customWidth="1"/>
    <col min="10018" max="10018" width="2.5703125" style="1" customWidth="1"/>
    <col min="10019" max="10019" width="6.5703125" style="1" customWidth="1"/>
    <col min="10020" max="10020" width="48.85546875" style="1" customWidth="1"/>
    <col min="10021" max="10021" width="49.7109375" style="1" customWidth="1"/>
    <col min="10022" max="10268" width="9.140625" style="1"/>
    <col min="10269" max="10269" width="43.28515625" style="1" customWidth="1"/>
    <col min="10270" max="10270" width="5.85546875" style="1" customWidth="1"/>
    <col min="10271" max="10271" width="6.28515625" style="1" customWidth="1"/>
    <col min="10272" max="10272" width="7.7109375" style="1" customWidth="1"/>
    <col min="10273" max="10273" width="8.140625" style="1" customWidth="1"/>
    <col min="10274" max="10274" width="2.5703125" style="1" customWidth="1"/>
    <col min="10275" max="10275" width="6.5703125" style="1" customWidth="1"/>
    <col min="10276" max="10276" width="48.85546875" style="1" customWidth="1"/>
    <col min="10277" max="10277" width="49.7109375" style="1" customWidth="1"/>
    <col min="10278" max="10524" width="9.140625" style="1"/>
    <col min="10525" max="10525" width="43.28515625" style="1" customWidth="1"/>
    <col min="10526" max="10526" width="5.85546875" style="1" customWidth="1"/>
    <col min="10527" max="10527" width="6.28515625" style="1" customWidth="1"/>
    <col min="10528" max="10528" width="7.7109375" style="1" customWidth="1"/>
    <col min="10529" max="10529" width="8.140625" style="1" customWidth="1"/>
    <col min="10530" max="10530" width="2.5703125" style="1" customWidth="1"/>
    <col min="10531" max="10531" width="6.5703125" style="1" customWidth="1"/>
    <col min="10532" max="10532" width="48.85546875" style="1" customWidth="1"/>
    <col min="10533" max="10533" width="49.7109375" style="1" customWidth="1"/>
    <col min="10534" max="10780" width="9.140625" style="1"/>
    <col min="10781" max="10781" width="43.28515625" style="1" customWidth="1"/>
    <col min="10782" max="10782" width="5.85546875" style="1" customWidth="1"/>
    <col min="10783" max="10783" width="6.28515625" style="1" customWidth="1"/>
    <col min="10784" max="10784" width="7.7109375" style="1" customWidth="1"/>
    <col min="10785" max="10785" width="8.140625" style="1" customWidth="1"/>
    <col min="10786" max="10786" width="2.5703125" style="1" customWidth="1"/>
    <col min="10787" max="10787" width="6.5703125" style="1" customWidth="1"/>
    <col min="10788" max="10788" width="48.85546875" style="1" customWidth="1"/>
    <col min="10789" max="10789" width="49.7109375" style="1" customWidth="1"/>
    <col min="10790" max="11036" width="9.140625" style="1"/>
    <col min="11037" max="11037" width="43.28515625" style="1" customWidth="1"/>
    <col min="11038" max="11038" width="5.85546875" style="1" customWidth="1"/>
    <col min="11039" max="11039" width="6.28515625" style="1" customWidth="1"/>
    <col min="11040" max="11040" width="7.7109375" style="1" customWidth="1"/>
    <col min="11041" max="11041" width="8.140625" style="1" customWidth="1"/>
    <col min="11042" max="11042" width="2.5703125" style="1" customWidth="1"/>
    <col min="11043" max="11043" width="6.5703125" style="1" customWidth="1"/>
    <col min="11044" max="11044" width="48.85546875" style="1" customWidth="1"/>
    <col min="11045" max="11045" width="49.7109375" style="1" customWidth="1"/>
    <col min="11046" max="11292" width="9.140625" style="1"/>
    <col min="11293" max="11293" width="43.28515625" style="1" customWidth="1"/>
    <col min="11294" max="11294" width="5.85546875" style="1" customWidth="1"/>
    <col min="11295" max="11295" width="6.28515625" style="1" customWidth="1"/>
    <col min="11296" max="11296" width="7.7109375" style="1" customWidth="1"/>
    <col min="11297" max="11297" width="8.140625" style="1" customWidth="1"/>
    <col min="11298" max="11298" width="2.5703125" style="1" customWidth="1"/>
    <col min="11299" max="11299" width="6.5703125" style="1" customWidth="1"/>
    <col min="11300" max="11300" width="48.85546875" style="1" customWidth="1"/>
    <col min="11301" max="11301" width="49.7109375" style="1" customWidth="1"/>
    <col min="11302" max="11548" width="9.140625" style="1"/>
    <col min="11549" max="11549" width="43.28515625" style="1" customWidth="1"/>
    <col min="11550" max="11550" width="5.85546875" style="1" customWidth="1"/>
    <col min="11551" max="11551" width="6.28515625" style="1" customWidth="1"/>
    <col min="11552" max="11552" width="7.7109375" style="1" customWidth="1"/>
    <col min="11553" max="11553" width="8.140625" style="1" customWidth="1"/>
    <col min="11554" max="11554" width="2.5703125" style="1" customWidth="1"/>
    <col min="11555" max="11555" width="6.5703125" style="1" customWidth="1"/>
    <col min="11556" max="11556" width="48.85546875" style="1" customWidth="1"/>
    <col min="11557" max="11557" width="49.7109375" style="1" customWidth="1"/>
    <col min="11558" max="11804" width="9.140625" style="1"/>
    <col min="11805" max="11805" width="43.28515625" style="1" customWidth="1"/>
    <col min="11806" max="11806" width="5.85546875" style="1" customWidth="1"/>
    <col min="11807" max="11807" width="6.28515625" style="1" customWidth="1"/>
    <col min="11808" max="11808" width="7.7109375" style="1" customWidth="1"/>
    <col min="11809" max="11809" width="8.140625" style="1" customWidth="1"/>
    <col min="11810" max="11810" width="2.5703125" style="1" customWidth="1"/>
    <col min="11811" max="11811" width="6.5703125" style="1" customWidth="1"/>
    <col min="11812" max="11812" width="48.85546875" style="1" customWidth="1"/>
    <col min="11813" max="11813" width="49.7109375" style="1" customWidth="1"/>
    <col min="11814" max="12060" width="9.140625" style="1"/>
    <col min="12061" max="12061" width="43.28515625" style="1" customWidth="1"/>
    <col min="12062" max="12062" width="5.85546875" style="1" customWidth="1"/>
    <col min="12063" max="12063" width="6.28515625" style="1" customWidth="1"/>
    <col min="12064" max="12064" width="7.7109375" style="1" customWidth="1"/>
    <col min="12065" max="12065" width="8.140625" style="1" customWidth="1"/>
    <col min="12066" max="12066" width="2.5703125" style="1" customWidth="1"/>
    <col min="12067" max="12067" width="6.5703125" style="1" customWidth="1"/>
    <col min="12068" max="12068" width="48.85546875" style="1" customWidth="1"/>
    <col min="12069" max="12069" width="49.7109375" style="1" customWidth="1"/>
    <col min="12070" max="12316" width="9.140625" style="1"/>
    <col min="12317" max="12317" width="43.28515625" style="1" customWidth="1"/>
    <col min="12318" max="12318" width="5.85546875" style="1" customWidth="1"/>
    <col min="12319" max="12319" width="6.28515625" style="1" customWidth="1"/>
    <col min="12320" max="12320" width="7.7109375" style="1" customWidth="1"/>
    <col min="12321" max="12321" width="8.140625" style="1" customWidth="1"/>
    <col min="12322" max="12322" width="2.5703125" style="1" customWidth="1"/>
    <col min="12323" max="12323" width="6.5703125" style="1" customWidth="1"/>
    <col min="12324" max="12324" width="48.85546875" style="1" customWidth="1"/>
    <col min="12325" max="12325" width="49.7109375" style="1" customWidth="1"/>
    <col min="12326" max="12572" width="9.140625" style="1"/>
    <col min="12573" max="12573" width="43.28515625" style="1" customWidth="1"/>
    <col min="12574" max="12574" width="5.85546875" style="1" customWidth="1"/>
    <col min="12575" max="12575" width="6.28515625" style="1" customWidth="1"/>
    <col min="12576" max="12576" width="7.7109375" style="1" customWidth="1"/>
    <col min="12577" max="12577" width="8.140625" style="1" customWidth="1"/>
    <col min="12578" max="12578" width="2.5703125" style="1" customWidth="1"/>
    <col min="12579" max="12579" width="6.5703125" style="1" customWidth="1"/>
    <col min="12580" max="12580" width="48.85546875" style="1" customWidth="1"/>
    <col min="12581" max="12581" width="49.7109375" style="1" customWidth="1"/>
    <col min="12582" max="12828" width="9.140625" style="1"/>
    <col min="12829" max="12829" width="43.28515625" style="1" customWidth="1"/>
    <col min="12830" max="12830" width="5.85546875" style="1" customWidth="1"/>
    <col min="12831" max="12831" width="6.28515625" style="1" customWidth="1"/>
    <col min="12832" max="12832" width="7.7109375" style="1" customWidth="1"/>
    <col min="12833" max="12833" width="8.140625" style="1" customWidth="1"/>
    <col min="12834" max="12834" width="2.5703125" style="1" customWidth="1"/>
    <col min="12835" max="12835" width="6.5703125" style="1" customWidth="1"/>
    <col min="12836" max="12836" width="48.85546875" style="1" customWidth="1"/>
    <col min="12837" max="12837" width="49.7109375" style="1" customWidth="1"/>
    <col min="12838" max="13084" width="9.140625" style="1"/>
    <col min="13085" max="13085" width="43.28515625" style="1" customWidth="1"/>
    <col min="13086" max="13086" width="5.85546875" style="1" customWidth="1"/>
    <col min="13087" max="13087" width="6.28515625" style="1" customWidth="1"/>
    <col min="13088" max="13088" width="7.7109375" style="1" customWidth="1"/>
    <col min="13089" max="13089" width="8.140625" style="1" customWidth="1"/>
    <col min="13090" max="13090" width="2.5703125" style="1" customWidth="1"/>
    <col min="13091" max="13091" width="6.5703125" style="1" customWidth="1"/>
    <col min="13092" max="13092" width="48.85546875" style="1" customWidth="1"/>
    <col min="13093" max="13093" width="49.7109375" style="1" customWidth="1"/>
    <col min="13094" max="13340" width="9.140625" style="1"/>
    <col min="13341" max="13341" width="43.28515625" style="1" customWidth="1"/>
    <col min="13342" max="13342" width="5.85546875" style="1" customWidth="1"/>
    <col min="13343" max="13343" width="6.28515625" style="1" customWidth="1"/>
    <col min="13344" max="13344" width="7.7109375" style="1" customWidth="1"/>
    <col min="13345" max="13345" width="8.140625" style="1" customWidth="1"/>
    <col min="13346" max="13346" width="2.5703125" style="1" customWidth="1"/>
    <col min="13347" max="13347" width="6.5703125" style="1" customWidth="1"/>
    <col min="13348" max="13348" width="48.85546875" style="1" customWidth="1"/>
    <col min="13349" max="13349" width="49.7109375" style="1" customWidth="1"/>
    <col min="13350" max="13596" width="9.140625" style="1"/>
    <col min="13597" max="13597" width="43.28515625" style="1" customWidth="1"/>
    <col min="13598" max="13598" width="5.85546875" style="1" customWidth="1"/>
    <col min="13599" max="13599" width="6.28515625" style="1" customWidth="1"/>
    <col min="13600" max="13600" width="7.7109375" style="1" customWidth="1"/>
    <col min="13601" max="13601" width="8.140625" style="1" customWidth="1"/>
    <col min="13602" max="13602" width="2.5703125" style="1" customWidth="1"/>
    <col min="13603" max="13603" width="6.5703125" style="1" customWidth="1"/>
    <col min="13604" max="13604" width="48.85546875" style="1" customWidth="1"/>
    <col min="13605" max="13605" width="49.7109375" style="1" customWidth="1"/>
    <col min="13606" max="13852" width="9.140625" style="1"/>
    <col min="13853" max="13853" width="43.28515625" style="1" customWidth="1"/>
    <col min="13854" max="13854" width="5.85546875" style="1" customWidth="1"/>
    <col min="13855" max="13855" width="6.28515625" style="1" customWidth="1"/>
    <col min="13856" max="13856" width="7.7109375" style="1" customWidth="1"/>
    <col min="13857" max="13857" width="8.140625" style="1" customWidth="1"/>
    <col min="13858" max="13858" width="2.5703125" style="1" customWidth="1"/>
    <col min="13859" max="13859" width="6.5703125" style="1" customWidth="1"/>
    <col min="13860" max="13860" width="48.85546875" style="1" customWidth="1"/>
    <col min="13861" max="13861" width="49.7109375" style="1" customWidth="1"/>
    <col min="13862" max="14108" width="9.140625" style="1"/>
    <col min="14109" max="14109" width="43.28515625" style="1" customWidth="1"/>
    <col min="14110" max="14110" width="5.85546875" style="1" customWidth="1"/>
    <col min="14111" max="14111" width="6.28515625" style="1" customWidth="1"/>
    <col min="14112" max="14112" width="7.7109375" style="1" customWidth="1"/>
    <col min="14113" max="14113" width="8.140625" style="1" customWidth="1"/>
    <col min="14114" max="14114" width="2.5703125" style="1" customWidth="1"/>
    <col min="14115" max="14115" width="6.5703125" style="1" customWidth="1"/>
    <col min="14116" max="14116" width="48.85546875" style="1" customWidth="1"/>
    <col min="14117" max="14117" width="49.7109375" style="1" customWidth="1"/>
    <col min="14118" max="14364" width="9.140625" style="1"/>
    <col min="14365" max="14365" width="43.28515625" style="1" customWidth="1"/>
    <col min="14366" max="14366" width="5.85546875" style="1" customWidth="1"/>
    <col min="14367" max="14367" width="6.28515625" style="1" customWidth="1"/>
    <col min="14368" max="14368" width="7.7109375" style="1" customWidth="1"/>
    <col min="14369" max="14369" width="8.140625" style="1" customWidth="1"/>
    <col min="14370" max="14370" width="2.5703125" style="1" customWidth="1"/>
    <col min="14371" max="14371" width="6.5703125" style="1" customWidth="1"/>
    <col min="14372" max="14372" width="48.85546875" style="1" customWidth="1"/>
    <col min="14373" max="14373" width="49.7109375" style="1" customWidth="1"/>
    <col min="14374" max="14620" width="9.140625" style="1"/>
    <col min="14621" max="14621" width="43.28515625" style="1" customWidth="1"/>
    <col min="14622" max="14622" width="5.85546875" style="1" customWidth="1"/>
    <col min="14623" max="14623" width="6.28515625" style="1" customWidth="1"/>
    <col min="14624" max="14624" width="7.7109375" style="1" customWidth="1"/>
    <col min="14625" max="14625" width="8.140625" style="1" customWidth="1"/>
    <col min="14626" max="14626" width="2.5703125" style="1" customWidth="1"/>
    <col min="14627" max="14627" width="6.5703125" style="1" customWidth="1"/>
    <col min="14628" max="14628" width="48.85546875" style="1" customWidth="1"/>
    <col min="14629" max="14629" width="49.7109375" style="1" customWidth="1"/>
    <col min="14630" max="14876" width="9.140625" style="1"/>
    <col min="14877" max="14877" width="43.28515625" style="1" customWidth="1"/>
    <col min="14878" max="14878" width="5.85546875" style="1" customWidth="1"/>
    <col min="14879" max="14879" width="6.28515625" style="1" customWidth="1"/>
    <col min="14880" max="14880" width="7.7109375" style="1" customWidth="1"/>
    <col min="14881" max="14881" width="8.140625" style="1" customWidth="1"/>
    <col min="14882" max="14882" width="2.5703125" style="1" customWidth="1"/>
    <col min="14883" max="14883" width="6.5703125" style="1" customWidth="1"/>
    <col min="14884" max="14884" width="48.85546875" style="1" customWidth="1"/>
    <col min="14885" max="14885" width="49.7109375" style="1" customWidth="1"/>
    <col min="14886" max="15132" width="9.140625" style="1"/>
    <col min="15133" max="15133" width="43.28515625" style="1" customWidth="1"/>
    <col min="15134" max="15134" width="5.85546875" style="1" customWidth="1"/>
    <col min="15135" max="15135" width="6.28515625" style="1" customWidth="1"/>
    <col min="15136" max="15136" width="7.7109375" style="1" customWidth="1"/>
    <col min="15137" max="15137" width="8.140625" style="1" customWidth="1"/>
    <col min="15138" max="15138" width="2.5703125" style="1" customWidth="1"/>
    <col min="15139" max="15139" width="6.5703125" style="1" customWidth="1"/>
    <col min="15140" max="15140" width="48.85546875" style="1" customWidth="1"/>
    <col min="15141" max="15141" width="49.7109375" style="1" customWidth="1"/>
    <col min="15142" max="15388" width="9.140625" style="1"/>
    <col min="15389" max="15389" width="43.28515625" style="1" customWidth="1"/>
    <col min="15390" max="15390" width="5.85546875" style="1" customWidth="1"/>
    <col min="15391" max="15391" width="6.28515625" style="1" customWidth="1"/>
    <col min="15392" max="15392" width="7.7109375" style="1" customWidth="1"/>
    <col min="15393" max="15393" width="8.140625" style="1" customWidth="1"/>
    <col min="15394" max="15394" width="2.5703125" style="1" customWidth="1"/>
    <col min="15395" max="15395" width="6.5703125" style="1" customWidth="1"/>
    <col min="15396" max="15396" width="48.85546875" style="1" customWidth="1"/>
    <col min="15397" max="15397" width="49.7109375" style="1" customWidth="1"/>
    <col min="15398" max="15644" width="9.140625" style="1"/>
    <col min="15645" max="15645" width="43.28515625" style="1" customWidth="1"/>
    <col min="15646" max="15646" width="5.85546875" style="1" customWidth="1"/>
    <col min="15647" max="15647" width="6.28515625" style="1" customWidth="1"/>
    <col min="15648" max="15648" width="7.7109375" style="1" customWidth="1"/>
    <col min="15649" max="15649" width="8.140625" style="1" customWidth="1"/>
    <col min="15650" max="15650" width="2.5703125" style="1" customWidth="1"/>
    <col min="15651" max="15651" width="6.5703125" style="1" customWidth="1"/>
    <col min="15652" max="15652" width="48.85546875" style="1" customWidth="1"/>
    <col min="15653" max="15653" width="49.7109375" style="1" customWidth="1"/>
    <col min="15654" max="15900" width="9.140625" style="1"/>
    <col min="15901" max="15901" width="43.28515625" style="1" customWidth="1"/>
    <col min="15902" max="15902" width="5.85546875" style="1" customWidth="1"/>
    <col min="15903" max="15903" width="6.28515625" style="1" customWidth="1"/>
    <col min="15904" max="15904" width="7.7109375" style="1" customWidth="1"/>
    <col min="15905" max="15905" width="8.140625" style="1" customWidth="1"/>
    <col min="15906" max="15906" width="2.5703125" style="1" customWidth="1"/>
    <col min="15907" max="15907" width="6.5703125" style="1" customWidth="1"/>
    <col min="15908" max="15908" width="48.85546875" style="1" customWidth="1"/>
    <col min="15909" max="15909" width="49.7109375" style="1" customWidth="1"/>
    <col min="15910" max="16156" width="9.140625" style="1"/>
    <col min="16157" max="16157" width="43.28515625" style="1" customWidth="1"/>
    <col min="16158" max="16158" width="5.85546875" style="1" customWidth="1"/>
    <col min="16159" max="16159" width="6.28515625" style="1" customWidth="1"/>
    <col min="16160" max="16160" width="7.7109375" style="1" customWidth="1"/>
    <col min="16161" max="16161" width="8.140625" style="1" customWidth="1"/>
    <col min="16162" max="16162" width="2.5703125" style="1" customWidth="1"/>
    <col min="16163" max="16163" width="6.5703125" style="1" customWidth="1"/>
    <col min="16164" max="16164" width="48.85546875" style="1" customWidth="1"/>
    <col min="16165" max="16165" width="49.7109375" style="1" customWidth="1"/>
    <col min="16166" max="16384" width="9.140625" style="1"/>
  </cols>
  <sheetData>
    <row r="1" spans="1:45" ht="19.5" x14ac:dyDescent="0.15">
      <c r="A1" s="46" t="s">
        <v>51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</row>
    <row r="2" spans="1:45" ht="15" x14ac:dyDescent="0.15">
      <c r="A2" s="47" t="s">
        <v>50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</row>
    <row r="3" spans="1:45" ht="12.75" customHeight="1" x14ac:dyDescent="0.2">
      <c r="A3" s="48" t="s">
        <v>6</v>
      </c>
      <c r="B3" s="2"/>
      <c r="C3" s="3"/>
      <c r="D3" s="51">
        <v>2011</v>
      </c>
      <c r="E3" s="51"/>
      <c r="F3" s="51"/>
      <c r="G3" s="3"/>
      <c r="H3" s="51">
        <v>2012</v>
      </c>
      <c r="I3" s="51"/>
      <c r="J3" s="51"/>
      <c r="K3" s="3"/>
      <c r="L3" s="51">
        <v>2013</v>
      </c>
      <c r="M3" s="51"/>
      <c r="N3" s="51"/>
      <c r="O3" s="2"/>
      <c r="P3" s="51">
        <v>2014</v>
      </c>
      <c r="Q3" s="51"/>
      <c r="R3" s="51"/>
      <c r="S3" s="2"/>
      <c r="T3" s="51">
        <v>2015</v>
      </c>
      <c r="U3" s="51"/>
      <c r="V3" s="51"/>
      <c r="W3" s="4"/>
      <c r="X3" s="51">
        <v>2016</v>
      </c>
      <c r="Y3" s="51"/>
      <c r="Z3" s="51"/>
      <c r="AA3" s="4"/>
      <c r="AB3" s="51">
        <v>2017</v>
      </c>
      <c r="AC3" s="51"/>
      <c r="AD3" s="52"/>
      <c r="AE3" s="4"/>
      <c r="AF3" s="51">
        <v>2018</v>
      </c>
      <c r="AG3" s="51"/>
      <c r="AH3" s="52"/>
      <c r="AI3" s="4"/>
      <c r="AJ3" s="51">
        <v>2019</v>
      </c>
      <c r="AK3" s="51"/>
      <c r="AL3" s="51"/>
      <c r="AM3" s="51">
        <v>2020</v>
      </c>
      <c r="AN3" s="51"/>
      <c r="AO3" s="52"/>
      <c r="AP3" s="51">
        <v>2021</v>
      </c>
      <c r="AQ3" s="51"/>
      <c r="AR3" s="51"/>
      <c r="AS3" s="53" t="s">
        <v>7</v>
      </c>
    </row>
    <row r="4" spans="1:45" s="10" customFormat="1" ht="15.75" x14ac:dyDescent="0.25">
      <c r="A4" s="49"/>
      <c r="B4" s="6"/>
      <c r="C4" s="6"/>
      <c r="D4" s="6" t="s">
        <v>8</v>
      </c>
      <c r="E4" s="6" t="s">
        <v>9</v>
      </c>
      <c r="F4" s="6" t="s">
        <v>10</v>
      </c>
      <c r="G4" s="6"/>
      <c r="H4" s="6" t="s">
        <v>8</v>
      </c>
      <c r="I4" s="6" t="s">
        <v>9</v>
      </c>
      <c r="J4" s="6" t="s">
        <v>10</v>
      </c>
      <c r="K4" s="6"/>
      <c r="L4" s="6" t="s">
        <v>8</v>
      </c>
      <c r="M4" s="6" t="s">
        <v>9</v>
      </c>
      <c r="N4" s="6" t="s">
        <v>10</v>
      </c>
      <c r="O4" s="7"/>
      <c r="P4" s="6" t="s">
        <v>8</v>
      </c>
      <c r="Q4" s="6" t="s">
        <v>9</v>
      </c>
      <c r="R4" s="6" t="s">
        <v>10</v>
      </c>
      <c r="S4" s="7"/>
      <c r="T4" s="6" t="s">
        <v>8</v>
      </c>
      <c r="U4" s="6" t="s">
        <v>9</v>
      </c>
      <c r="V4" s="6" t="s">
        <v>10</v>
      </c>
      <c r="W4" s="8"/>
      <c r="X4" s="6" t="s">
        <v>8</v>
      </c>
      <c r="Y4" s="6" t="s">
        <v>9</v>
      </c>
      <c r="Z4" s="6" t="s">
        <v>10</v>
      </c>
      <c r="AA4" s="8"/>
      <c r="AB4" s="6" t="s">
        <v>8</v>
      </c>
      <c r="AC4" s="6" t="s">
        <v>9</v>
      </c>
      <c r="AD4" s="41" t="s">
        <v>10</v>
      </c>
      <c r="AE4" s="8"/>
      <c r="AF4" s="6" t="s">
        <v>8</v>
      </c>
      <c r="AG4" s="6" t="s">
        <v>9</v>
      </c>
      <c r="AH4" s="41" t="s">
        <v>10</v>
      </c>
      <c r="AI4" s="8"/>
      <c r="AJ4" s="6" t="s">
        <v>8</v>
      </c>
      <c r="AK4" s="6" t="s">
        <v>9</v>
      </c>
      <c r="AL4" s="6" t="s">
        <v>10</v>
      </c>
      <c r="AM4" s="6" t="s">
        <v>8</v>
      </c>
      <c r="AN4" s="6" t="s">
        <v>9</v>
      </c>
      <c r="AO4" s="41" t="s">
        <v>10</v>
      </c>
      <c r="AP4" s="6" t="s">
        <v>8</v>
      </c>
      <c r="AQ4" s="6" t="s">
        <v>9</v>
      </c>
      <c r="AR4" s="6" t="s">
        <v>10</v>
      </c>
      <c r="AS4" s="54"/>
    </row>
    <row r="5" spans="1:45" ht="12.75" customHeight="1" x14ac:dyDescent="0.15">
      <c r="A5" s="50"/>
      <c r="B5" s="12"/>
      <c r="C5" s="13"/>
      <c r="D5" s="13" t="s">
        <v>1</v>
      </c>
      <c r="E5" s="13" t="s">
        <v>2</v>
      </c>
      <c r="F5" s="13" t="s">
        <v>3</v>
      </c>
      <c r="G5" s="13"/>
      <c r="H5" s="13" t="s">
        <v>1</v>
      </c>
      <c r="I5" s="13" t="s">
        <v>2</v>
      </c>
      <c r="J5" s="13" t="s">
        <v>3</v>
      </c>
      <c r="K5" s="13"/>
      <c r="L5" s="13" t="s">
        <v>1</v>
      </c>
      <c r="M5" s="13" t="s">
        <v>2</v>
      </c>
      <c r="N5" s="13" t="s">
        <v>3</v>
      </c>
      <c r="O5" s="12"/>
      <c r="P5" s="13" t="s">
        <v>1</v>
      </c>
      <c r="Q5" s="13" t="s">
        <v>2</v>
      </c>
      <c r="R5" s="13" t="s">
        <v>3</v>
      </c>
      <c r="S5" s="12"/>
      <c r="T5" s="13" t="s">
        <v>1</v>
      </c>
      <c r="U5" s="13" t="s">
        <v>2</v>
      </c>
      <c r="V5" s="13" t="s">
        <v>3</v>
      </c>
      <c r="W5" s="14"/>
      <c r="X5" s="13" t="s">
        <v>1</v>
      </c>
      <c r="Y5" s="13" t="s">
        <v>2</v>
      </c>
      <c r="Z5" s="13" t="s">
        <v>3</v>
      </c>
      <c r="AA5" s="14"/>
      <c r="AB5" s="13" t="s">
        <v>1</v>
      </c>
      <c r="AC5" s="13" t="s">
        <v>2</v>
      </c>
      <c r="AD5" s="42" t="s">
        <v>3</v>
      </c>
      <c r="AE5" s="14"/>
      <c r="AF5" s="13" t="s">
        <v>1</v>
      </c>
      <c r="AG5" s="13" t="s">
        <v>2</v>
      </c>
      <c r="AH5" s="42" t="s">
        <v>3</v>
      </c>
      <c r="AI5" s="14"/>
      <c r="AJ5" s="13" t="s">
        <v>1</v>
      </c>
      <c r="AK5" s="13" t="s">
        <v>2</v>
      </c>
      <c r="AL5" s="13" t="s">
        <v>3</v>
      </c>
      <c r="AM5" s="13" t="s">
        <v>1</v>
      </c>
      <c r="AN5" s="13" t="s">
        <v>2</v>
      </c>
      <c r="AO5" s="42" t="s">
        <v>3</v>
      </c>
      <c r="AP5" s="13" t="s">
        <v>1</v>
      </c>
      <c r="AQ5" s="13" t="s">
        <v>2</v>
      </c>
      <c r="AR5" s="13" t="s">
        <v>3</v>
      </c>
      <c r="AS5" s="55"/>
    </row>
    <row r="6" spans="1:45" ht="18.75" x14ac:dyDescent="0.15">
      <c r="A6" s="5" t="s">
        <v>0</v>
      </c>
      <c r="B6" s="15"/>
      <c r="C6" s="16"/>
      <c r="D6" s="16">
        <v>785</v>
      </c>
      <c r="E6" s="16">
        <v>783</v>
      </c>
      <c r="F6" s="16">
        <v>2</v>
      </c>
      <c r="G6" s="16"/>
      <c r="H6" s="16">
        <v>561</v>
      </c>
      <c r="I6" s="16">
        <v>561</v>
      </c>
      <c r="J6" s="16">
        <v>0</v>
      </c>
      <c r="K6" s="16"/>
      <c r="L6" s="16">
        <v>402</v>
      </c>
      <c r="M6" s="16">
        <v>397</v>
      </c>
      <c r="N6" s="16">
        <v>5</v>
      </c>
      <c r="O6" s="8"/>
      <c r="P6" s="16">
        <v>260</v>
      </c>
      <c r="Q6" s="16">
        <v>252</v>
      </c>
      <c r="R6" s="16">
        <v>8</v>
      </c>
      <c r="S6" s="8"/>
      <c r="T6" s="16">
        <f>T7+T13</f>
        <v>498</v>
      </c>
      <c r="U6" s="16">
        <f>U7+U13</f>
        <v>430</v>
      </c>
      <c r="V6" s="16">
        <f>V7+V13</f>
        <v>68</v>
      </c>
      <c r="W6" s="17"/>
      <c r="X6" s="16">
        <f>X7+X13+X19+X26+X22</f>
        <v>821</v>
      </c>
      <c r="Y6" s="16">
        <f>Y7+Y13+Y19+Y26+Y22</f>
        <v>761</v>
      </c>
      <c r="Z6" s="16">
        <f>Z7+Z13+Z18+Z19+Z20+Z25+Z26</f>
        <v>60</v>
      </c>
      <c r="AA6" s="17"/>
      <c r="AB6" s="16">
        <f>AB7+AB13+AB19+AB18+AB20+AB21+AB22+AB25+AB26</f>
        <v>958</v>
      </c>
      <c r="AC6" s="16">
        <f>AC7+AC13+AC18+AC19+AC20+AC21+AC22+AC25+AC26</f>
        <v>897</v>
      </c>
      <c r="AD6" s="43">
        <f>AD7+AD13+AD18+AD19+AD20+AD22+AD25+AD26</f>
        <v>61</v>
      </c>
      <c r="AE6" s="17"/>
      <c r="AF6" s="16">
        <f t="shared" ref="AF6:AF12" si="0">AG6+AH6</f>
        <v>560</v>
      </c>
      <c r="AG6" s="16">
        <f>AG7+AG13+AG18+AG19+AG20+AG21+AG22+AG25+AG26</f>
        <v>484</v>
      </c>
      <c r="AH6" s="43">
        <f>AH7+AH13+AH21</f>
        <v>76</v>
      </c>
      <c r="AI6" s="17"/>
      <c r="AJ6" s="16">
        <f t="shared" ref="AJ6:AJ12" si="1">AK6+AL6</f>
        <v>1143</v>
      </c>
      <c r="AK6" s="16">
        <f>AK7+AK13+AK18+AK19+AK20+AK21+AK22+AK25+AK26+AK23</f>
        <v>842</v>
      </c>
      <c r="AL6" s="16">
        <f>AL7+AL13+AL21+AL23</f>
        <v>301</v>
      </c>
      <c r="AM6" s="16">
        <f>AN6+AO6</f>
        <v>662</v>
      </c>
      <c r="AN6" s="16">
        <f>AN7+AN13+AN18+AN19+AN20+AN21+AN22+AN25+AN26+AN23+AN24</f>
        <v>478</v>
      </c>
      <c r="AO6" s="43">
        <f>AO7+AO13+AO21+AO23+AO24</f>
        <v>184</v>
      </c>
      <c r="AP6" s="16">
        <f>AQ6+AR6</f>
        <v>974</v>
      </c>
      <c r="AQ6" s="16">
        <f>AQ7+AQ13+AQ18+AQ19+AQ20+AQ21+AQ22+AQ25+AQ26+AQ23+AQ24</f>
        <v>680</v>
      </c>
      <c r="AR6" s="16">
        <f>AR7+AR13+AR21+AR23+AR24</f>
        <v>294</v>
      </c>
      <c r="AS6" s="18" t="s">
        <v>11</v>
      </c>
    </row>
    <row r="7" spans="1:45" ht="18.75" x14ac:dyDescent="0.15">
      <c r="A7" s="5" t="s">
        <v>4</v>
      </c>
      <c r="B7" s="15"/>
      <c r="C7" s="16"/>
      <c r="D7" s="16">
        <v>329</v>
      </c>
      <c r="E7" s="16">
        <v>327</v>
      </c>
      <c r="F7" s="16">
        <v>2</v>
      </c>
      <c r="G7" s="16"/>
      <c r="H7" s="16">
        <v>276</v>
      </c>
      <c r="I7" s="16">
        <v>276</v>
      </c>
      <c r="J7" s="16">
        <v>0</v>
      </c>
      <c r="K7" s="16"/>
      <c r="L7" s="16">
        <v>307</v>
      </c>
      <c r="M7" s="16">
        <v>302</v>
      </c>
      <c r="N7" s="16">
        <v>5</v>
      </c>
      <c r="O7" s="8"/>
      <c r="P7" s="16">
        <v>235</v>
      </c>
      <c r="Q7" s="16">
        <v>227</v>
      </c>
      <c r="R7" s="16">
        <v>8</v>
      </c>
      <c r="S7" s="8"/>
      <c r="T7" s="16">
        <f>T10+T11+T12+T26</f>
        <v>412</v>
      </c>
      <c r="U7" s="16">
        <f>U8+U9+U10+U11+U12+U26</f>
        <v>356</v>
      </c>
      <c r="V7" s="16">
        <f>V8+V9+V10+V11+V12+V26</f>
        <v>56</v>
      </c>
      <c r="W7" s="17"/>
      <c r="X7" s="16">
        <f>X8+X9+X10+X11+X12</f>
        <v>495</v>
      </c>
      <c r="Y7" s="16">
        <f>Y8+Y9+Y10+Y11+Y12</f>
        <v>435</v>
      </c>
      <c r="Z7" s="16">
        <f>Z8+Z9+Z10+Z11+Z12</f>
        <v>60</v>
      </c>
      <c r="AA7" s="17"/>
      <c r="AB7" s="16">
        <f>AB8+AB9+AB10+AB11+AB12</f>
        <v>467</v>
      </c>
      <c r="AC7" s="16">
        <f>AC8+AC9+AC10+AC11+AC12</f>
        <v>418</v>
      </c>
      <c r="AD7" s="43">
        <f>AD8+AD9+AD10+AD11+AD12</f>
        <v>49</v>
      </c>
      <c r="AE7" s="17"/>
      <c r="AF7" s="16">
        <f t="shared" si="0"/>
        <v>370</v>
      </c>
      <c r="AG7" s="16">
        <f>AG8+AG9+AG10+AG11+AG12</f>
        <v>346</v>
      </c>
      <c r="AH7" s="43">
        <f>AH8+AH9+AH10+AH11+AH12</f>
        <v>24</v>
      </c>
      <c r="AI7" s="17"/>
      <c r="AJ7" s="16">
        <f>AK7+AL7</f>
        <v>498</v>
      </c>
      <c r="AK7" s="16">
        <f>AK8+AK9+AK10+AK11+AK12</f>
        <v>459</v>
      </c>
      <c r="AL7" s="16">
        <f>AL8+AL9+AL10+AL11+AL12</f>
        <v>39</v>
      </c>
      <c r="AM7" s="16">
        <f>AN7+AO7</f>
        <v>343</v>
      </c>
      <c r="AN7" s="16">
        <f>AN8+AN9+AN10+AN11+AN12</f>
        <v>309</v>
      </c>
      <c r="AO7" s="43">
        <f>AO8+AO9+AO10+AO11+AO12</f>
        <v>34</v>
      </c>
      <c r="AP7" s="16">
        <f>AQ7+AR7</f>
        <v>306</v>
      </c>
      <c r="AQ7" s="16">
        <f>AQ8+AQ9+AQ10+AQ11+AQ12</f>
        <v>266</v>
      </c>
      <c r="AR7" s="16">
        <f>AR8+AR9+AR10+AR11+AR12</f>
        <v>40</v>
      </c>
      <c r="AS7" s="18" t="s">
        <v>5</v>
      </c>
    </row>
    <row r="8" spans="1:45" ht="18.75" x14ac:dyDescent="0.15">
      <c r="A8" s="19" t="s">
        <v>12</v>
      </c>
      <c r="B8" s="20"/>
      <c r="C8" s="21"/>
      <c r="D8" s="21">
        <v>0</v>
      </c>
      <c r="E8" s="21">
        <v>0</v>
      </c>
      <c r="F8" s="21">
        <v>0</v>
      </c>
      <c r="G8" s="21"/>
      <c r="H8" s="21">
        <v>0</v>
      </c>
      <c r="I8" s="21">
        <v>0</v>
      </c>
      <c r="J8" s="21">
        <v>0</v>
      </c>
      <c r="K8" s="21"/>
      <c r="L8" s="21">
        <v>0</v>
      </c>
      <c r="M8" s="21">
        <v>0</v>
      </c>
      <c r="N8" s="21">
        <v>0</v>
      </c>
      <c r="O8" s="22"/>
      <c r="P8" s="21">
        <v>0</v>
      </c>
      <c r="Q8" s="21">
        <v>0</v>
      </c>
      <c r="R8" s="21">
        <v>0</v>
      </c>
      <c r="S8" s="22"/>
      <c r="T8" s="21">
        <f>U8+V8</f>
        <v>0</v>
      </c>
      <c r="U8" s="21">
        <v>0</v>
      </c>
      <c r="V8" s="21">
        <v>0</v>
      </c>
      <c r="W8" s="17"/>
      <c r="X8" s="21">
        <f>Y8+Z8</f>
        <v>0</v>
      </c>
      <c r="Y8" s="21">
        <v>0</v>
      </c>
      <c r="Z8" s="21">
        <v>0</v>
      </c>
      <c r="AA8" s="17"/>
      <c r="AB8" s="21">
        <f>AC8+AD8</f>
        <v>0</v>
      </c>
      <c r="AC8" s="21">
        <v>0</v>
      </c>
      <c r="AD8" s="44">
        <v>0</v>
      </c>
      <c r="AE8" s="17"/>
      <c r="AF8" s="21">
        <f t="shared" si="0"/>
        <v>0</v>
      </c>
      <c r="AG8" s="21">
        <v>0</v>
      </c>
      <c r="AH8" s="44">
        <v>0</v>
      </c>
      <c r="AI8" s="17"/>
      <c r="AJ8" s="21">
        <f t="shared" si="1"/>
        <v>0</v>
      </c>
      <c r="AK8" s="21">
        <v>0</v>
      </c>
      <c r="AL8" s="21">
        <v>0</v>
      </c>
      <c r="AM8" s="21">
        <f t="shared" ref="AM8:AM9" si="2">AN8+AO8</f>
        <v>0</v>
      </c>
      <c r="AN8" s="21">
        <v>0</v>
      </c>
      <c r="AO8" s="44">
        <v>0</v>
      </c>
      <c r="AP8" s="21">
        <f t="shared" ref="AP8:AP9" si="3">AQ8+AR8</f>
        <v>0</v>
      </c>
      <c r="AQ8" s="21">
        <v>0</v>
      </c>
      <c r="AR8" s="21">
        <v>0</v>
      </c>
      <c r="AS8" s="23" t="s">
        <v>13</v>
      </c>
    </row>
    <row r="9" spans="1:45" ht="18.75" x14ac:dyDescent="0.15">
      <c r="A9" s="19" t="s">
        <v>14</v>
      </c>
      <c r="B9" s="20"/>
      <c r="C9" s="21"/>
      <c r="D9" s="21">
        <v>7</v>
      </c>
      <c r="E9" s="21">
        <v>7</v>
      </c>
      <c r="F9" s="21">
        <v>0</v>
      </c>
      <c r="G9" s="21"/>
      <c r="H9" s="21">
        <v>1</v>
      </c>
      <c r="I9" s="21">
        <v>1</v>
      </c>
      <c r="J9" s="21">
        <v>0</v>
      </c>
      <c r="K9" s="21"/>
      <c r="L9" s="21">
        <v>0</v>
      </c>
      <c r="M9" s="21">
        <v>0</v>
      </c>
      <c r="N9" s="21">
        <v>0</v>
      </c>
      <c r="O9" s="22"/>
      <c r="P9" s="21">
        <v>25</v>
      </c>
      <c r="Q9" s="21">
        <v>22</v>
      </c>
      <c r="R9" s="21">
        <v>3</v>
      </c>
      <c r="S9" s="22"/>
      <c r="T9" s="21">
        <f>U9+V9</f>
        <v>0</v>
      </c>
      <c r="U9" s="21">
        <v>0</v>
      </c>
      <c r="V9" s="21">
        <v>0</v>
      </c>
      <c r="W9" s="17"/>
      <c r="X9" s="21">
        <f>Y9+Z9</f>
        <v>40</v>
      </c>
      <c r="Y9" s="21">
        <v>38</v>
      </c>
      <c r="Z9" s="21">
        <v>2</v>
      </c>
      <c r="AA9" s="17"/>
      <c r="AB9" s="21">
        <f>AC9+AD9</f>
        <v>49</v>
      </c>
      <c r="AC9" s="21">
        <v>49</v>
      </c>
      <c r="AD9" s="44">
        <v>0</v>
      </c>
      <c r="AE9" s="17"/>
      <c r="AF9" s="21">
        <f t="shared" si="0"/>
        <v>9</v>
      </c>
      <c r="AG9" s="21">
        <v>9</v>
      </c>
      <c r="AH9" s="44">
        <v>0</v>
      </c>
      <c r="AI9" s="17"/>
      <c r="AJ9" s="21">
        <f t="shared" si="1"/>
        <v>27</v>
      </c>
      <c r="AK9" s="21">
        <v>27</v>
      </c>
      <c r="AL9" s="21">
        <v>0</v>
      </c>
      <c r="AM9" s="21">
        <f t="shared" si="2"/>
        <v>15</v>
      </c>
      <c r="AN9" s="21">
        <v>15</v>
      </c>
      <c r="AO9" s="44">
        <v>0</v>
      </c>
      <c r="AP9" s="21">
        <f t="shared" si="3"/>
        <v>12</v>
      </c>
      <c r="AQ9" s="21">
        <v>12</v>
      </c>
      <c r="AR9" s="21">
        <v>0</v>
      </c>
      <c r="AS9" s="23" t="s">
        <v>15</v>
      </c>
    </row>
    <row r="10" spans="1:45" ht="18.75" x14ac:dyDescent="0.15">
      <c r="A10" s="19" t="s">
        <v>16</v>
      </c>
      <c r="B10" s="20"/>
      <c r="C10" s="21"/>
      <c r="D10" s="21">
        <v>6</v>
      </c>
      <c r="E10" s="21">
        <v>4</v>
      </c>
      <c r="F10" s="21">
        <v>2</v>
      </c>
      <c r="G10" s="21"/>
      <c r="H10" s="21">
        <v>0</v>
      </c>
      <c r="I10" s="21">
        <v>0</v>
      </c>
      <c r="J10" s="21">
        <v>0</v>
      </c>
      <c r="K10" s="21"/>
      <c r="L10" s="21">
        <v>13</v>
      </c>
      <c r="M10" s="21">
        <v>8</v>
      </c>
      <c r="N10" s="21">
        <v>5</v>
      </c>
      <c r="O10" s="22"/>
      <c r="P10" s="21">
        <v>24</v>
      </c>
      <c r="Q10" s="21">
        <v>19</v>
      </c>
      <c r="R10" s="21">
        <v>5</v>
      </c>
      <c r="S10" s="22"/>
      <c r="T10" s="21">
        <f>U10+V10</f>
        <v>28</v>
      </c>
      <c r="U10" s="21">
        <v>26</v>
      </c>
      <c r="V10" s="21">
        <v>2</v>
      </c>
      <c r="W10" s="17"/>
      <c r="X10" s="21">
        <f>Y10+Z10</f>
        <v>96</v>
      </c>
      <c r="Y10" s="21">
        <v>84</v>
      </c>
      <c r="Z10" s="21">
        <v>12</v>
      </c>
      <c r="AA10" s="17"/>
      <c r="AB10" s="21">
        <f>AC10+AD10</f>
        <v>37</v>
      </c>
      <c r="AC10" s="21">
        <v>28</v>
      </c>
      <c r="AD10" s="44">
        <v>9</v>
      </c>
      <c r="AE10" s="17"/>
      <c r="AF10" s="21">
        <f t="shared" si="0"/>
        <v>14</v>
      </c>
      <c r="AG10" s="21">
        <v>10</v>
      </c>
      <c r="AH10" s="44">
        <v>4</v>
      </c>
      <c r="AI10" s="17"/>
      <c r="AJ10" s="21">
        <f t="shared" si="1"/>
        <v>31</v>
      </c>
      <c r="AK10" s="21">
        <v>26</v>
      </c>
      <c r="AL10" s="21">
        <v>5</v>
      </c>
      <c r="AM10" s="21">
        <f>AN10+AO10</f>
        <v>44</v>
      </c>
      <c r="AN10" s="21">
        <v>33</v>
      </c>
      <c r="AO10" s="44">
        <v>11</v>
      </c>
      <c r="AP10" s="21">
        <f>AQ10+AR10</f>
        <v>56</v>
      </c>
      <c r="AQ10" s="21">
        <v>43</v>
      </c>
      <c r="AR10" s="21">
        <v>13</v>
      </c>
      <c r="AS10" s="23" t="s">
        <v>17</v>
      </c>
    </row>
    <row r="11" spans="1:45" ht="18.75" x14ac:dyDescent="0.15">
      <c r="A11" s="19" t="s">
        <v>18</v>
      </c>
      <c r="B11" s="20"/>
      <c r="C11" s="21"/>
      <c r="D11" s="21">
        <v>316</v>
      </c>
      <c r="E11" s="21">
        <v>316</v>
      </c>
      <c r="F11" s="21">
        <v>0</v>
      </c>
      <c r="G11" s="21"/>
      <c r="H11" s="21">
        <v>270</v>
      </c>
      <c r="I11" s="21">
        <v>270</v>
      </c>
      <c r="J11" s="21">
        <v>0</v>
      </c>
      <c r="K11" s="21"/>
      <c r="L11" s="21">
        <v>261</v>
      </c>
      <c r="M11" s="21">
        <v>261</v>
      </c>
      <c r="N11" s="21">
        <v>0</v>
      </c>
      <c r="O11" s="22"/>
      <c r="P11" s="21">
        <v>133</v>
      </c>
      <c r="Q11" s="21">
        <v>133</v>
      </c>
      <c r="R11" s="21">
        <v>0</v>
      </c>
      <c r="S11" s="22"/>
      <c r="T11" s="21">
        <f>U11+V11</f>
        <v>155</v>
      </c>
      <c r="U11" s="21">
        <v>117</v>
      </c>
      <c r="V11" s="21">
        <v>38</v>
      </c>
      <c r="W11" s="17"/>
      <c r="X11" s="21">
        <f>Y11+Z11</f>
        <v>167</v>
      </c>
      <c r="Y11" s="21">
        <v>167</v>
      </c>
      <c r="Z11" s="21">
        <v>0</v>
      </c>
      <c r="AA11" s="17"/>
      <c r="AB11" s="21">
        <f>AC11+AD11</f>
        <v>111</v>
      </c>
      <c r="AC11" s="21">
        <v>111</v>
      </c>
      <c r="AD11" s="44">
        <v>0</v>
      </c>
      <c r="AE11" s="17"/>
      <c r="AF11" s="21">
        <f t="shared" si="0"/>
        <v>138</v>
      </c>
      <c r="AG11" s="21">
        <v>136</v>
      </c>
      <c r="AH11" s="44">
        <v>2</v>
      </c>
      <c r="AI11" s="17"/>
      <c r="AJ11" s="21">
        <f t="shared" si="1"/>
        <v>289</v>
      </c>
      <c r="AK11" s="21">
        <v>267</v>
      </c>
      <c r="AL11" s="21">
        <v>22</v>
      </c>
      <c r="AM11" s="21">
        <f>AN11+AO11</f>
        <v>189</v>
      </c>
      <c r="AN11" s="21">
        <v>168</v>
      </c>
      <c r="AO11" s="44">
        <v>21</v>
      </c>
      <c r="AP11" s="21">
        <f>AQ11+AR11</f>
        <v>175</v>
      </c>
      <c r="AQ11" s="21">
        <v>158</v>
      </c>
      <c r="AR11" s="21">
        <v>17</v>
      </c>
      <c r="AS11" s="23" t="s">
        <v>19</v>
      </c>
    </row>
    <row r="12" spans="1:45" ht="18.75" x14ac:dyDescent="0.15">
      <c r="A12" s="19" t="s">
        <v>20</v>
      </c>
      <c r="B12" s="20"/>
      <c r="C12" s="21"/>
      <c r="D12" s="21">
        <v>0</v>
      </c>
      <c r="E12" s="21">
        <v>0</v>
      </c>
      <c r="F12" s="21">
        <v>0</v>
      </c>
      <c r="G12" s="21"/>
      <c r="H12" s="21">
        <v>5</v>
      </c>
      <c r="I12" s="21">
        <v>5</v>
      </c>
      <c r="J12" s="21">
        <v>0</v>
      </c>
      <c r="K12" s="21"/>
      <c r="L12" s="21">
        <v>33</v>
      </c>
      <c r="M12" s="21">
        <v>33</v>
      </c>
      <c r="N12" s="21">
        <v>0</v>
      </c>
      <c r="O12" s="24"/>
      <c r="P12" s="21">
        <v>53</v>
      </c>
      <c r="Q12" s="21">
        <v>53</v>
      </c>
      <c r="R12" s="21">
        <v>0</v>
      </c>
      <c r="S12" s="24"/>
      <c r="T12" s="21">
        <v>109</v>
      </c>
      <c r="U12" s="21">
        <v>98</v>
      </c>
      <c r="V12" s="21">
        <v>11</v>
      </c>
      <c r="W12" s="17"/>
      <c r="X12" s="21">
        <f>Y12+Z12</f>
        <v>192</v>
      </c>
      <c r="Y12" s="21">
        <v>146</v>
      </c>
      <c r="Z12" s="21">
        <v>46</v>
      </c>
      <c r="AA12" s="17"/>
      <c r="AB12" s="21">
        <f>AC12+AD12</f>
        <v>270</v>
      </c>
      <c r="AC12" s="21">
        <v>230</v>
      </c>
      <c r="AD12" s="44">
        <v>40</v>
      </c>
      <c r="AE12" s="17"/>
      <c r="AF12" s="21">
        <f t="shared" si="0"/>
        <v>209</v>
      </c>
      <c r="AG12" s="21">
        <v>191</v>
      </c>
      <c r="AH12" s="44">
        <v>18</v>
      </c>
      <c r="AI12" s="17"/>
      <c r="AJ12" s="21">
        <f t="shared" si="1"/>
        <v>151</v>
      </c>
      <c r="AK12" s="21">
        <v>139</v>
      </c>
      <c r="AL12" s="21">
        <v>12</v>
      </c>
      <c r="AM12" s="21">
        <f>AN12+AO12</f>
        <v>95</v>
      </c>
      <c r="AN12" s="21">
        <v>93</v>
      </c>
      <c r="AO12" s="44">
        <v>2</v>
      </c>
      <c r="AP12" s="21">
        <f>AQ12+AR12</f>
        <v>63</v>
      </c>
      <c r="AQ12" s="21">
        <v>53</v>
      </c>
      <c r="AR12" s="21">
        <v>10</v>
      </c>
      <c r="AS12" s="23" t="s">
        <v>21</v>
      </c>
    </row>
    <row r="13" spans="1:45" s="25" customFormat="1" ht="18.75" x14ac:dyDescent="0.15">
      <c r="A13" s="5" t="s">
        <v>22</v>
      </c>
      <c r="B13" s="15"/>
      <c r="C13" s="16"/>
      <c r="D13" s="16">
        <v>51</v>
      </c>
      <c r="E13" s="16">
        <v>51</v>
      </c>
      <c r="F13" s="16">
        <v>0</v>
      </c>
      <c r="G13" s="16"/>
      <c r="H13" s="16">
        <v>4</v>
      </c>
      <c r="I13" s="16">
        <v>4</v>
      </c>
      <c r="J13" s="16">
        <v>0</v>
      </c>
      <c r="K13" s="16"/>
      <c r="L13" s="16">
        <v>6</v>
      </c>
      <c r="M13" s="16">
        <v>6</v>
      </c>
      <c r="N13" s="16">
        <v>0</v>
      </c>
      <c r="O13" s="8"/>
      <c r="P13" s="16">
        <v>25</v>
      </c>
      <c r="Q13" s="16">
        <v>25</v>
      </c>
      <c r="R13" s="16">
        <v>0</v>
      </c>
      <c r="S13" s="8"/>
      <c r="T13" s="16">
        <f>T15+T16+T17</f>
        <v>86</v>
      </c>
      <c r="U13" s="16">
        <f>U15+U16+U17</f>
        <v>74</v>
      </c>
      <c r="V13" s="16">
        <f>V15+V16+V17</f>
        <v>12</v>
      </c>
      <c r="W13" s="17"/>
      <c r="X13" s="16">
        <f>X15+X16+X17+X14</f>
        <v>173</v>
      </c>
      <c r="Y13" s="16">
        <f>Y15+Y16+Y17+Y14</f>
        <v>173</v>
      </c>
      <c r="Z13" s="16">
        <f>Z15+Z16+Z17</f>
        <v>0</v>
      </c>
      <c r="AA13" s="17"/>
      <c r="AB13" s="16">
        <f>AB15+AB16+AB17+AB14</f>
        <v>150</v>
      </c>
      <c r="AC13" s="16">
        <f>AC15+AC16+AC17+AC14</f>
        <v>150</v>
      </c>
      <c r="AD13" s="43">
        <f>AD15+AD16+AD17</f>
        <v>0</v>
      </c>
      <c r="AE13" s="17"/>
      <c r="AF13" s="16">
        <f>AF15+AF16+AF17+AF14</f>
        <v>54</v>
      </c>
      <c r="AG13" s="16">
        <f>AG15+AG16+AG17+AG14</f>
        <v>50</v>
      </c>
      <c r="AH13" s="43">
        <f>AH15+AH16+AH17</f>
        <v>4</v>
      </c>
      <c r="AI13" s="17"/>
      <c r="AJ13" s="16">
        <f t="shared" ref="AJ13:AP13" si="4">AJ15+AJ16+AJ17+AJ14</f>
        <v>146</v>
      </c>
      <c r="AK13" s="16">
        <f t="shared" si="4"/>
        <v>116</v>
      </c>
      <c r="AL13" s="16">
        <f t="shared" si="4"/>
        <v>30</v>
      </c>
      <c r="AM13" s="16">
        <f t="shared" si="4"/>
        <v>73</v>
      </c>
      <c r="AN13" s="16">
        <f t="shared" si="4"/>
        <v>40</v>
      </c>
      <c r="AO13" s="43">
        <f t="shared" si="4"/>
        <v>33</v>
      </c>
      <c r="AP13" s="16">
        <f t="shared" si="4"/>
        <v>14</v>
      </c>
      <c r="AQ13" s="16">
        <f>AQ15+AQ16+AQ17+AQ14</f>
        <v>13</v>
      </c>
      <c r="AR13" s="16">
        <f>AR15+AR16+AR17+AR14</f>
        <v>1</v>
      </c>
      <c r="AS13" s="9" t="s">
        <v>23</v>
      </c>
    </row>
    <row r="14" spans="1:45" s="25" customFormat="1" ht="18.75" x14ac:dyDescent="0.15">
      <c r="A14" s="19" t="s">
        <v>16</v>
      </c>
      <c r="B14" s="15"/>
      <c r="C14" s="16"/>
      <c r="D14" s="16">
        <v>0</v>
      </c>
      <c r="E14" s="16">
        <v>0</v>
      </c>
      <c r="F14" s="16">
        <v>0</v>
      </c>
      <c r="G14" s="16"/>
      <c r="H14" s="16">
        <v>0</v>
      </c>
      <c r="I14" s="16">
        <v>0</v>
      </c>
      <c r="J14" s="16">
        <v>0</v>
      </c>
      <c r="K14" s="16"/>
      <c r="L14" s="16">
        <v>0</v>
      </c>
      <c r="M14" s="16">
        <v>0</v>
      </c>
      <c r="N14" s="16">
        <v>0</v>
      </c>
      <c r="O14" s="8"/>
      <c r="P14" s="16">
        <v>0</v>
      </c>
      <c r="Q14" s="16">
        <v>0</v>
      </c>
      <c r="R14" s="16">
        <v>0</v>
      </c>
      <c r="S14" s="8"/>
      <c r="T14" s="16">
        <v>0</v>
      </c>
      <c r="U14" s="16">
        <v>0</v>
      </c>
      <c r="V14" s="16">
        <v>0</v>
      </c>
      <c r="W14" s="17"/>
      <c r="X14" s="21">
        <f>Y14+Z14</f>
        <v>13</v>
      </c>
      <c r="Y14" s="16">
        <v>13</v>
      </c>
      <c r="Z14" s="16">
        <v>0</v>
      </c>
      <c r="AA14" s="17"/>
      <c r="AB14" s="21">
        <f>AC14+AD14</f>
        <v>11</v>
      </c>
      <c r="AC14" s="21">
        <v>11</v>
      </c>
      <c r="AD14" s="44">
        <v>0</v>
      </c>
      <c r="AE14" s="17"/>
      <c r="AF14" s="21">
        <f>AG14+AH14</f>
        <v>11</v>
      </c>
      <c r="AG14" s="21">
        <v>11</v>
      </c>
      <c r="AH14" s="44">
        <v>0</v>
      </c>
      <c r="AI14" s="17"/>
      <c r="AJ14" s="21">
        <f>AK14+AL14</f>
        <v>12</v>
      </c>
      <c r="AK14" s="21">
        <v>10</v>
      </c>
      <c r="AL14" s="21">
        <v>2</v>
      </c>
      <c r="AM14" s="21">
        <f>AN14+AO14</f>
        <v>8</v>
      </c>
      <c r="AN14" s="21">
        <v>6</v>
      </c>
      <c r="AO14" s="44">
        <v>2</v>
      </c>
      <c r="AP14" s="21">
        <f>AQ14+AR14</f>
        <v>7</v>
      </c>
      <c r="AQ14" s="21">
        <v>6</v>
      </c>
      <c r="AR14" s="21">
        <v>1</v>
      </c>
      <c r="AS14" s="23" t="s">
        <v>17</v>
      </c>
    </row>
    <row r="15" spans="1:45" ht="18.75" x14ac:dyDescent="0.15">
      <c r="A15" s="19" t="s">
        <v>24</v>
      </c>
      <c r="B15" s="26"/>
      <c r="C15" s="21"/>
      <c r="D15" s="21">
        <v>0</v>
      </c>
      <c r="E15" s="21">
        <v>46</v>
      </c>
      <c r="F15" s="21">
        <v>0</v>
      </c>
      <c r="G15" s="21"/>
      <c r="H15" s="21">
        <v>4</v>
      </c>
      <c r="I15" s="21">
        <v>4</v>
      </c>
      <c r="J15" s="21">
        <v>0</v>
      </c>
      <c r="K15" s="21"/>
      <c r="L15" s="21">
        <v>6</v>
      </c>
      <c r="M15" s="21">
        <v>6</v>
      </c>
      <c r="N15" s="21">
        <v>0</v>
      </c>
      <c r="O15" s="22"/>
      <c r="P15" s="21">
        <v>3</v>
      </c>
      <c r="Q15" s="21">
        <v>3</v>
      </c>
      <c r="R15" s="21">
        <v>0</v>
      </c>
      <c r="S15" s="22"/>
      <c r="T15" s="21">
        <f t="shared" ref="T15:T25" si="5">U15+V15</f>
        <v>0</v>
      </c>
      <c r="U15" s="21">
        <v>0</v>
      </c>
      <c r="V15" s="21">
        <v>0</v>
      </c>
      <c r="W15" s="17"/>
      <c r="X15" s="21">
        <f>Y15+Z15</f>
        <v>19</v>
      </c>
      <c r="Y15" s="21">
        <v>19</v>
      </c>
      <c r="Z15" s="21">
        <v>0</v>
      </c>
      <c r="AA15" s="17"/>
      <c r="AB15" s="21">
        <f>AC15+AD15</f>
        <v>33</v>
      </c>
      <c r="AC15" s="21">
        <v>33</v>
      </c>
      <c r="AD15" s="44">
        <v>0</v>
      </c>
      <c r="AE15" s="17"/>
      <c r="AF15" s="21">
        <f>AG15+AH15</f>
        <v>9</v>
      </c>
      <c r="AG15" s="21">
        <v>9</v>
      </c>
      <c r="AH15" s="44">
        <v>0</v>
      </c>
      <c r="AI15" s="17"/>
      <c r="AJ15" s="21">
        <f>AK15+AL15</f>
        <v>11</v>
      </c>
      <c r="AK15" s="21">
        <v>10</v>
      </c>
      <c r="AL15" s="21">
        <v>1</v>
      </c>
      <c r="AM15" s="21">
        <f>AN15+AO15</f>
        <v>8</v>
      </c>
      <c r="AN15" s="21">
        <v>7</v>
      </c>
      <c r="AO15" s="44">
        <v>1</v>
      </c>
      <c r="AP15" s="21">
        <f>AQ15+AR15</f>
        <v>0</v>
      </c>
      <c r="AQ15" s="21">
        <v>0</v>
      </c>
      <c r="AR15" s="21">
        <v>0</v>
      </c>
      <c r="AS15" s="23" t="s">
        <v>25</v>
      </c>
    </row>
    <row r="16" spans="1:45" ht="18.75" x14ac:dyDescent="0.15">
      <c r="A16" s="19" t="s">
        <v>20</v>
      </c>
      <c r="B16" s="20"/>
      <c r="C16" s="21"/>
      <c r="D16" s="21">
        <v>0</v>
      </c>
      <c r="E16" s="21">
        <v>0</v>
      </c>
      <c r="F16" s="21">
        <v>0</v>
      </c>
      <c r="G16" s="21"/>
      <c r="H16" s="21">
        <v>0</v>
      </c>
      <c r="I16" s="21">
        <v>0</v>
      </c>
      <c r="J16" s="21">
        <v>0</v>
      </c>
      <c r="K16" s="21"/>
      <c r="L16" s="21">
        <v>0</v>
      </c>
      <c r="M16" s="21">
        <v>0</v>
      </c>
      <c r="N16" s="21">
        <v>0</v>
      </c>
      <c r="O16" s="24"/>
      <c r="P16" s="21">
        <v>22</v>
      </c>
      <c r="Q16" s="21">
        <v>22</v>
      </c>
      <c r="R16" s="21">
        <v>0</v>
      </c>
      <c r="S16" s="24"/>
      <c r="T16" s="21">
        <f t="shared" si="5"/>
        <v>74</v>
      </c>
      <c r="U16" s="21">
        <v>74</v>
      </c>
      <c r="V16" s="21">
        <v>0</v>
      </c>
      <c r="W16" s="17"/>
      <c r="X16" s="21">
        <f t="shared" ref="X16:X26" si="6">Y16+Z16</f>
        <v>141</v>
      </c>
      <c r="Y16" s="21">
        <v>141</v>
      </c>
      <c r="Z16" s="21">
        <v>0</v>
      </c>
      <c r="AA16" s="17"/>
      <c r="AB16" s="21">
        <f t="shared" ref="AB16:AB26" si="7">AC16+AD16</f>
        <v>106</v>
      </c>
      <c r="AC16" s="21">
        <v>106</v>
      </c>
      <c r="AD16" s="44">
        <v>0</v>
      </c>
      <c r="AE16" s="17"/>
      <c r="AF16" s="21">
        <f t="shared" ref="AF16:AF20" si="8">AG16+AH16</f>
        <v>34</v>
      </c>
      <c r="AG16" s="21">
        <v>30</v>
      </c>
      <c r="AH16" s="44">
        <v>4</v>
      </c>
      <c r="AI16" s="17"/>
      <c r="AJ16" s="21">
        <f t="shared" ref="AJ16:AJ20" si="9">AK16+AL16</f>
        <v>123</v>
      </c>
      <c r="AK16" s="21">
        <v>96</v>
      </c>
      <c r="AL16" s="21">
        <v>27</v>
      </c>
      <c r="AM16" s="21">
        <f>AN16+AO16</f>
        <v>51</v>
      </c>
      <c r="AN16" s="21">
        <v>26</v>
      </c>
      <c r="AO16" s="44">
        <v>25</v>
      </c>
      <c r="AP16" s="21">
        <f>AQ16+AR16</f>
        <v>7</v>
      </c>
      <c r="AQ16" s="21">
        <v>7</v>
      </c>
      <c r="AR16" s="21">
        <v>0</v>
      </c>
      <c r="AS16" s="23" t="s">
        <v>21</v>
      </c>
    </row>
    <row r="17" spans="1:45" ht="18.75" x14ac:dyDescent="0.15">
      <c r="A17" s="19" t="s">
        <v>26</v>
      </c>
      <c r="B17" s="20"/>
      <c r="C17" s="21"/>
      <c r="D17" s="21">
        <f>E17+F17</f>
        <v>0</v>
      </c>
      <c r="E17" s="21">
        <v>0</v>
      </c>
      <c r="F17" s="21">
        <v>0</v>
      </c>
      <c r="G17" s="21"/>
      <c r="H17" s="21">
        <f>I17+J17</f>
        <v>0</v>
      </c>
      <c r="I17" s="21">
        <v>0</v>
      </c>
      <c r="J17" s="21">
        <v>0</v>
      </c>
      <c r="K17" s="21"/>
      <c r="L17" s="21">
        <f>M17+N17</f>
        <v>0</v>
      </c>
      <c r="M17" s="21">
        <v>0</v>
      </c>
      <c r="N17" s="21">
        <v>0</v>
      </c>
      <c r="O17" s="24"/>
      <c r="P17" s="21">
        <f>Q17+R17</f>
        <v>0</v>
      </c>
      <c r="Q17" s="21">
        <v>0</v>
      </c>
      <c r="R17" s="21">
        <v>0</v>
      </c>
      <c r="S17" s="24"/>
      <c r="T17" s="21">
        <f t="shared" si="5"/>
        <v>12</v>
      </c>
      <c r="U17" s="21">
        <v>0</v>
      </c>
      <c r="V17" s="21">
        <v>12</v>
      </c>
      <c r="W17" s="17"/>
      <c r="X17" s="21">
        <f t="shared" si="6"/>
        <v>0</v>
      </c>
      <c r="Y17" s="21">
        <v>0</v>
      </c>
      <c r="Z17" s="21">
        <v>0</v>
      </c>
      <c r="AA17" s="17"/>
      <c r="AB17" s="21">
        <f t="shared" si="7"/>
        <v>0</v>
      </c>
      <c r="AC17" s="21">
        <v>0</v>
      </c>
      <c r="AD17" s="44">
        <v>0</v>
      </c>
      <c r="AE17" s="17"/>
      <c r="AF17" s="21">
        <f t="shared" si="8"/>
        <v>0</v>
      </c>
      <c r="AG17" s="21">
        <v>0</v>
      </c>
      <c r="AH17" s="44">
        <v>0</v>
      </c>
      <c r="AI17" s="17"/>
      <c r="AJ17" s="21">
        <f t="shared" si="9"/>
        <v>0</v>
      </c>
      <c r="AK17" s="21">
        <v>0</v>
      </c>
      <c r="AL17" s="21">
        <v>0</v>
      </c>
      <c r="AM17" s="21">
        <f>AN17+AO17</f>
        <v>6</v>
      </c>
      <c r="AN17" s="21">
        <v>1</v>
      </c>
      <c r="AO17" s="44">
        <v>5</v>
      </c>
      <c r="AP17" s="21">
        <f>AQ17+AR17</f>
        <v>0</v>
      </c>
      <c r="AQ17" s="21">
        <v>0</v>
      </c>
      <c r="AR17" s="21">
        <v>0</v>
      </c>
      <c r="AS17" s="23" t="s">
        <v>27</v>
      </c>
    </row>
    <row r="18" spans="1:45" ht="18.75" x14ac:dyDescent="0.15">
      <c r="A18" s="5" t="s">
        <v>28</v>
      </c>
      <c r="B18" s="15"/>
      <c r="C18" s="16"/>
      <c r="D18" s="16">
        <v>256</v>
      </c>
      <c r="E18" s="16">
        <v>256</v>
      </c>
      <c r="F18" s="16">
        <v>0</v>
      </c>
      <c r="G18" s="16"/>
      <c r="H18" s="16">
        <v>37</v>
      </c>
      <c r="I18" s="16">
        <v>37</v>
      </c>
      <c r="J18" s="16">
        <v>0</v>
      </c>
      <c r="K18" s="16"/>
      <c r="L18" s="16">
        <v>75</v>
      </c>
      <c r="M18" s="16">
        <v>75</v>
      </c>
      <c r="N18" s="16">
        <v>0</v>
      </c>
      <c r="O18" s="8"/>
      <c r="P18" s="16">
        <v>0</v>
      </c>
      <c r="Q18" s="16">
        <v>0</v>
      </c>
      <c r="R18" s="16">
        <v>0</v>
      </c>
      <c r="S18" s="8"/>
      <c r="T18" s="16">
        <f t="shared" si="5"/>
        <v>0</v>
      </c>
      <c r="U18" s="16">
        <v>0</v>
      </c>
      <c r="V18" s="16">
        <v>0</v>
      </c>
      <c r="W18" s="17"/>
      <c r="X18" s="16">
        <f t="shared" si="6"/>
        <v>0</v>
      </c>
      <c r="Y18" s="16">
        <v>0</v>
      </c>
      <c r="Z18" s="16">
        <v>0</v>
      </c>
      <c r="AA18" s="17"/>
      <c r="AB18" s="16">
        <f t="shared" si="7"/>
        <v>0</v>
      </c>
      <c r="AC18" s="16">
        <v>0</v>
      </c>
      <c r="AD18" s="43">
        <v>0</v>
      </c>
      <c r="AE18" s="17"/>
      <c r="AF18" s="16">
        <f t="shared" si="8"/>
        <v>0</v>
      </c>
      <c r="AG18" s="16">
        <v>0</v>
      </c>
      <c r="AH18" s="43">
        <v>0</v>
      </c>
      <c r="AI18" s="17"/>
      <c r="AJ18" s="16">
        <f t="shared" si="9"/>
        <v>0</v>
      </c>
      <c r="AK18" s="16">
        <v>0</v>
      </c>
      <c r="AL18" s="16">
        <v>0</v>
      </c>
      <c r="AM18" s="16">
        <f t="shared" ref="AM18:AM20" si="10">AN18+AO18</f>
        <v>0</v>
      </c>
      <c r="AN18" s="16">
        <v>0</v>
      </c>
      <c r="AO18" s="43">
        <v>0</v>
      </c>
      <c r="AP18" s="16">
        <f t="shared" ref="AP18:AP20" si="11">AQ18+AR18</f>
        <v>0</v>
      </c>
      <c r="AQ18" s="16">
        <v>0</v>
      </c>
      <c r="AR18" s="16">
        <v>0</v>
      </c>
      <c r="AS18" s="18" t="s">
        <v>29</v>
      </c>
    </row>
    <row r="19" spans="1:45" ht="18.75" x14ac:dyDescent="0.15">
      <c r="A19" s="5" t="s">
        <v>30</v>
      </c>
      <c r="B19" s="15"/>
      <c r="C19" s="16"/>
      <c r="D19" s="16">
        <v>149</v>
      </c>
      <c r="E19" s="16">
        <v>149</v>
      </c>
      <c r="F19" s="16">
        <v>0</v>
      </c>
      <c r="G19" s="16"/>
      <c r="H19" s="16">
        <v>21</v>
      </c>
      <c r="I19" s="16">
        <v>21</v>
      </c>
      <c r="J19" s="16">
        <v>0</v>
      </c>
      <c r="K19" s="16"/>
      <c r="L19" s="16">
        <v>14</v>
      </c>
      <c r="M19" s="16">
        <v>14</v>
      </c>
      <c r="N19" s="16">
        <v>0</v>
      </c>
      <c r="O19" s="8"/>
      <c r="P19" s="16">
        <v>0</v>
      </c>
      <c r="Q19" s="16">
        <v>0</v>
      </c>
      <c r="R19" s="16">
        <v>0</v>
      </c>
      <c r="S19" s="8"/>
      <c r="T19" s="16">
        <f t="shared" si="5"/>
        <v>0</v>
      </c>
      <c r="U19" s="16">
        <v>0</v>
      </c>
      <c r="V19" s="16">
        <v>0</v>
      </c>
      <c r="W19" s="17"/>
      <c r="X19" s="16">
        <f t="shared" si="6"/>
        <v>23</v>
      </c>
      <c r="Y19" s="16">
        <v>23</v>
      </c>
      <c r="Z19" s="16">
        <v>0</v>
      </c>
      <c r="AA19" s="17"/>
      <c r="AB19" s="16">
        <f t="shared" si="7"/>
        <v>40</v>
      </c>
      <c r="AC19" s="16">
        <v>40</v>
      </c>
      <c r="AD19" s="43">
        <v>0</v>
      </c>
      <c r="AE19" s="17"/>
      <c r="AF19" s="16">
        <f t="shared" si="8"/>
        <v>0</v>
      </c>
      <c r="AG19" s="16">
        <v>0</v>
      </c>
      <c r="AH19" s="43">
        <v>0</v>
      </c>
      <c r="AI19" s="17"/>
      <c r="AJ19" s="16">
        <f t="shared" si="9"/>
        <v>71</v>
      </c>
      <c r="AK19" s="16">
        <v>71</v>
      </c>
      <c r="AL19" s="16">
        <v>0</v>
      </c>
      <c r="AM19" s="16">
        <f t="shared" si="10"/>
        <v>0</v>
      </c>
      <c r="AN19" s="16">
        <v>0</v>
      </c>
      <c r="AO19" s="43">
        <v>0</v>
      </c>
      <c r="AP19" s="16">
        <f t="shared" si="11"/>
        <v>0</v>
      </c>
      <c r="AQ19" s="16">
        <v>0</v>
      </c>
      <c r="AR19" s="16">
        <v>0</v>
      </c>
      <c r="AS19" s="18" t="s">
        <v>31</v>
      </c>
    </row>
    <row r="20" spans="1:45" ht="18.75" x14ac:dyDescent="0.15">
      <c r="A20" s="5" t="s">
        <v>32</v>
      </c>
      <c r="B20" s="15"/>
      <c r="C20" s="16"/>
      <c r="D20" s="16">
        <v>0</v>
      </c>
      <c r="E20" s="16">
        <v>0</v>
      </c>
      <c r="F20" s="16">
        <v>0</v>
      </c>
      <c r="G20" s="16"/>
      <c r="H20" s="16">
        <v>25</v>
      </c>
      <c r="I20" s="16">
        <v>25</v>
      </c>
      <c r="J20" s="16">
        <v>0</v>
      </c>
      <c r="K20" s="16"/>
      <c r="L20" s="16">
        <v>0</v>
      </c>
      <c r="M20" s="16">
        <v>0</v>
      </c>
      <c r="N20" s="16">
        <v>0</v>
      </c>
      <c r="O20" s="8"/>
      <c r="P20" s="16">
        <v>0</v>
      </c>
      <c r="Q20" s="16">
        <v>0</v>
      </c>
      <c r="R20" s="16">
        <v>0</v>
      </c>
      <c r="S20" s="8"/>
      <c r="T20" s="16">
        <f t="shared" si="5"/>
        <v>0</v>
      </c>
      <c r="U20" s="16">
        <v>0</v>
      </c>
      <c r="V20" s="16">
        <v>0</v>
      </c>
      <c r="W20" s="17"/>
      <c r="X20" s="16">
        <f t="shared" si="6"/>
        <v>0</v>
      </c>
      <c r="Y20" s="16">
        <v>0</v>
      </c>
      <c r="Z20" s="16">
        <v>0</v>
      </c>
      <c r="AA20" s="17"/>
      <c r="AB20" s="16">
        <f t="shared" si="7"/>
        <v>0</v>
      </c>
      <c r="AC20" s="16">
        <v>0</v>
      </c>
      <c r="AD20" s="43">
        <v>0</v>
      </c>
      <c r="AE20" s="17"/>
      <c r="AF20" s="16">
        <f t="shared" si="8"/>
        <v>0</v>
      </c>
      <c r="AG20" s="16">
        <v>0</v>
      </c>
      <c r="AH20" s="43">
        <v>0</v>
      </c>
      <c r="AI20" s="17"/>
      <c r="AJ20" s="16">
        <f t="shared" si="9"/>
        <v>0</v>
      </c>
      <c r="AK20" s="16">
        <v>0</v>
      </c>
      <c r="AL20" s="16">
        <v>0</v>
      </c>
      <c r="AM20" s="16">
        <f t="shared" si="10"/>
        <v>0</v>
      </c>
      <c r="AN20" s="16">
        <v>0</v>
      </c>
      <c r="AO20" s="43">
        <v>0</v>
      </c>
      <c r="AP20" s="16">
        <f t="shared" si="11"/>
        <v>0</v>
      </c>
      <c r="AQ20" s="16">
        <v>0</v>
      </c>
      <c r="AR20" s="16">
        <v>0</v>
      </c>
      <c r="AS20" s="18" t="s">
        <v>33</v>
      </c>
    </row>
    <row r="21" spans="1:45" ht="18.75" x14ac:dyDescent="0.15">
      <c r="A21" s="5" t="s">
        <v>34</v>
      </c>
      <c r="B21" s="15"/>
      <c r="C21" s="16"/>
      <c r="D21" s="16">
        <v>0</v>
      </c>
      <c r="E21" s="16">
        <v>0</v>
      </c>
      <c r="F21" s="16">
        <v>0</v>
      </c>
      <c r="G21" s="16"/>
      <c r="H21" s="16">
        <v>0</v>
      </c>
      <c r="I21" s="16">
        <v>0</v>
      </c>
      <c r="J21" s="16">
        <v>0</v>
      </c>
      <c r="K21" s="16"/>
      <c r="L21" s="16">
        <v>0</v>
      </c>
      <c r="M21" s="16">
        <v>0</v>
      </c>
      <c r="N21" s="16">
        <v>0</v>
      </c>
      <c r="O21" s="8"/>
      <c r="P21" s="16">
        <v>0</v>
      </c>
      <c r="Q21" s="16">
        <v>0</v>
      </c>
      <c r="R21" s="16">
        <v>0</v>
      </c>
      <c r="S21" s="8"/>
      <c r="T21" s="16">
        <v>0</v>
      </c>
      <c r="U21" s="16">
        <v>0</v>
      </c>
      <c r="V21" s="16">
        <v>0</v>
      </c>
      <c r="W21" s="17"/>
      <c r="X21" s="16">
        <v>0</v>
      </c>
      <c r="Y21" s="16">
        <v>0</v>
      </c>
      <c r="Z21" s="16">
        <v>0</v>
      </c>
      <c r="AA21" s="17"/>
      <c r="AB21" s="16">
        <f>AC21</f>
        <v>255</v>
      </c>
      <c r="AC21" s="16">
        <v>255</v>
      </c>
      <c r="AD21" s="43">
        <v>0</v>
      </c>
      <c r="AE21" s="17"/>
      <c r="AF21" s="16">
        <f>AG21</f>
        <v>88</v>
      </c>
      <c r="AG21" s="16">
        <v>88</v>
      </c>
      <c r="AH21" s="43">
        <v>48</v>
      </c>
      <c r="AI21" s="17"/>
      <c r="AJ21" s="16">
        <f>AK21+AL21</f>
        <v>258</v>
      </c>
      <c r="AK21" s="16">
        <v>181</v>
      </c>
      <c r="AL21" s="16">
        <v>77</v>
      </c>
      <c r="AM21" s="16">
        <f>AN21+AO21</f>
        <v>133</v>
      </c>
      <c r="AN21" s="16">
        <v>67</v>
      </c>
      <c r="AO21" s="43">
        <v>66</v>
      </c>
      <c r="AP21" s="16">
        <f>AQ21+AR21</f>
        <v>285</v>
      </c>
      <c r="AQ21" s="16">
        <v>128</v>
      </c>
      <c r="AR21" s="16">
        <v>157</v>
      </c>
      <c r="AS21" s="18" t="s">
        <v>35</v>
      </c>
    </row>
    <row r="22" spans="1:45" ht="18.75" x14ac:dyDescent="0.15">
      <c r="A22" s="5" t="s">
        <v>36</v>
      </c>
      <c r="B22" s="15"/>
      <c r="C22" s="16"/>
      <c r="D22" s="16">
        <v>0</v>
      </c>
      <c r="E22" s="16">
        <v>0</v>
      </c>
      <c r="F22" s="16">
        <v>0</v>
      </c>
      <c r="G22" s="16"/>
      <c r="H22" s="16">
        <v>0</v>
      </c>
      <c r="I22" s="16">
        <v>0</v>
      </c>
      <c r="J22" s="16">
        <v>0</v>
      </c>
      <c r="K22" s="16"/>
      <c r="L22" s="16">
        <v>0</v>
      </c>
      <c r="M22" s="16">
        <v>0</v>
      </c>
      <c r="N22" s="16">
        <v>0</v>
      </c>
      <c r="O22" s="8"/>
      <c r="P22" s="16">
        <v>0</v>
      </c>
      <c r="Q22" s="16">
        <v>0</v>
      </c>
      <c r="R22" s="16">
        <v>0</v>
      </c>
      <c r="S22" s="8"/>
      <c r="T22" s="16">
        <f t="shared" si="5"/>
        <v>0</v>
      </c>
      <c r="U22" s="16">
        <v>0</v>
      </c>
      <c r="V22" s="16">
        <v>0</v>
      </c>
      <c r="W22" s="17"/>
      <c r="X22" s="16">
        <f t="shared" si="6"/>
        <v>23</v>
      </c>
      <c r="Y22" s="16">
        <v>23</v>
      </c>
      <c r="Z22" s="16">
        <v>0</v>
      </c>
      <c r="AA22" s="17"/>
      <c r="AB22" s="16">
        <f t="shared" si="7"/>
        <v>0</v>
      </c>
      <c r="AC22" s="16">
        <v>0</v>
      </c>
      <c r="AD22" s="43">
        <v>0</v>
      </c>
      <c r="AE22" s="17"/>
      <c r="AF22" s="16">
        <f t="shared" ref="AF22:AF26" si="12">AG22+AH22</f>
        <v>0</v>
      </c>
      <c r="AG22" s="16">
        <v>0</v>
      </c>
      <c r="AH22" s="43">
        <v>0</v>
      </c>
      <c r="AI22" s="17"/>
      <c r="AJ22" s="16">
        <f t="shared" ref="AJ22:AJ26" si="13">AK22+AL22</f>
        <v>0</v>
      </c>
      <c r="AK22" s="16">
        <v>0</v>
      </c>
      <c r="AL22" s="16">
        <v>0</v>
      </c>
      <c r="AM22" s="16">
        <f t="shared" ref="AM22:AM25" si="14">AN22+AO22</f>
        <v>0</v>
      </c>
      <c r="AN22" s="16">
        <v>0</v>
      </c>
      <c r="AO22" s="43">
        <v>0</v>
      </c>
      <c r="AP22" s="16">
        <f t="shared" ref="AP22" si="15">AQ22+AR22</f>
        <v>0</v>
      </c>
      <c r="AQ22" s="16">
        <v>0</v>
      </c>
      <c r="AR22" s="16">
        <v>0</v>
      </c>
      <c r="AS22" s="18" t="s">
        <v>37</v>
      </c>
    </row>
    <row r="23" spans="1:45" ht="18.75" x14ac:dyDescent="0.15">
      <c r="A23" s="5" t="s">
        <v>38</v>
      </c>
      <c r="B23" s="15"/>
      <c r="C23" s="16"/>
      <c r="D23" s="16">
        <v>0</v>
      </c>
      <c r="E23" s="16">
        <v>0</v>
      </c>
      <c r="F23" s="16">
        <v>0</v>
      </c>
      <c r="G23" s="16"/>
      <c r="H23" s="16">
        <v>0</v>
      </c>
      <c r="I23" s="16">
        <v>0</v>
      </c>
      <c r="J23" s="16">
        <v>0</v>
      </c>
      <c r="K23" s="16"/>
      <c r="L23" s="16">
        <v>0</v>
      </c>
      <c r="M23" s="16">
        <v>0</v>
      </c>
      <c r="N23" s="16">
        <v>0</v>
      </c>
      <c r="O23" s="8"/>
      <c r="P23" s="16">
        <v>0</v>
      </c>
      <c r="Q23" s="16">
        <v>0</v>
      </c>
      <c r="R23" s="16">
        <v>0</v>
      </c>
      <c r="S23" s="8"/>
      <c r="T23" s="16">
        <v>0</v>
      </c>
      <c r="U23" s="16">
        <v>0</v>
      </c>
      <c r="V23" s="16">
        <v>0</v>
      </c>
      <c r="W23" s="17"/>
      <c r="X23" s="16">
        <v>0</v>
      </c>
      <c r="Y23" s="16">
        <v>0</v>
      </c>
      <c r="Z23" s="16">
        <v>0</v>
      </c>
      <c r="AA23" s="17"/>
      <c r="AB23" s="16">
        <v>0</v>
      </c>
      <c r="AC23" s="16">
        <v>0</v>
      </c>
      <c r="AD23" s="43">
        <v>0</v>
      </c>
      <c r="AE23" s="17"/>
      <c r="AF23" s="16">
        <v>0</v>
      </c>
      <c r="AG23" s="16">
        <v>0</v>
      </c>
      <c r="AH23" s="43">
        <v>0</v>
      </c>
      <c r="AI23" s="17"/>
      <c r="AJ23" s="16">
        <f t="shared" si="13"/>
        <v>170</v>
      </c>
      <c r="AK23" s="16">
        <v>15</v>
      </c>
      <c r="AL23" s="16">
        <v>155</v>
      </c>
      <c r="AM23" s="16">
        <f>AN23+AO23</f>
        <v>59</v>
      </c>
      <c r="AN23" s="16">
        <v>21</v>
      </c>
      <c r="AO23" s="43">
        <v>38</v>
      </c>
      <c r="AP23" s="16">
        <f>AQ23+AR23</f>
        <v>280</v>
      </c>
      <c r="AQ23" s="16">
        <v>196</v>
      </c>
      <c r="AR23" s="16">
        <v>84</v>
      </c>
      <c r="AS23" s="18" t="s">
        <v>39</v>
      </c>
    </row>
    <row r="24" spans="1:45" ht="18.75" x14ac:dyDescent="0.15">
      <c r="A24" s="5" t="s">
        <v>40</v>
      </c>
      <c r="B24" s="15"/>
      <c r="C24" s="16"/>
      <c r="D24" s="16">
        <v>0</v>
      </c>
      <c r="E24" s="16">
        <v>0</v>
      </c>
      <c r="F24" s="16">
        <v>0</v>
      </c>
      <c r="G24" s="16"/>
      <c r="H24" s="16">
        <v>0</v>
      </c>
      <c r="I24" s="16">
        <v>0</v>
      </c>
      <c r="J24" s="16">
        <v>0</v>
      </c>
      <c r="K24" s="16"/>
      <c r="L24" s="16">
        <v>0</v>
      </c>
      <c r="M24" s="16">
        <v>0</v>
      </c>
      <c r="N24" s="16">
        <v>0</v>
      </c>
      <c r="O24" s="8"/>
      <c r="P24" s="16">
        <v>0</v>
      </c>
      <c r="Q24" s="16">
        <v>0</v>
      </c>
      <c r="R24" s="16">
        <v>0</v>
      </c>
      <c r="S24" s="8"/>
      <c r="T24" s="16">
        <v>0</v>
      </c>
      <c r="U24" s="16">
        <v>0</v>
      </c>
      <c r="V24" s="16">
        <v>0</v>
      </c>
      <c r="W24" s="17"/>
      <c r="X24" s="16">
        <v>0</v>
      </c>
      <c r="Y24" s="16">
        <v>0</v>
      </c>
      <c r="Z24" s="16">
        <v>0</v>
      </c>
      <c r="AA24" s="17"/>
      <c r="AB24" s="16">
        <v>0</v>
      </c>
      <c r="AC24" s="16">
        <v>0</v>
      </c>
      <c r="AD24" s="43">
        <v>0</v>
      </c>
      <c r="AE24" s="17"/>
      <c r="AF24" s="16">
        <v>0</v>
      </c>
      <c r="AG24" s="16">
        <v>0</v>
      </c>
      <c r="AH24" s="43">
        <v>0</v>
      </c>
      <c r="AI24" s="17"/>
      <c r="AJ24" s="16">
        <v>0</v>
      </c>
      <c r="AK24" s="16">
        <v>0</v>
      </c>
      <c r="AL24" s="16">
        <v>0</v>
      </c>
      <c r="AM24" s="16">
        <f>AN24+AO24</f>
        <v>54</v>
      </c>
      <c r="AN24" s="16">
        <v>41</v>
      </c>
      <c r="AO24" s="43">
        <v>13</v>
      </c>
      <c r="AP24" s="16">
        <f>AQ24+AR24</f>
        <v>89</v>
      </c>
      <c r="AQ24" s="16">
        <v>77</v>
      </c>
      <c r="AR24" s="16">
        <v>12</v>
      </c>
      <c r="AS24" s="18" t="s">
        <v>41</v>
      </c>
    </row>
    <row r="25" spans="1:45" ht="18.75" x14ac:dyDescent="0.15">
      <c r="A25" s="5" t="s">
        <v>42</v>
      </c>
      <c r="B25" s="15"/>
      <c r="C25" s="16"/>
      <c r="D25" s="16">
        <v>0</v>
      </c>
      <c r="E25" s="16">
        <v>0</v>
      </c>
      <c r="F25" s="16">
        <v>0</v>
      </c>
      <c r="G25" s="16"/>
      <c r="H25" s="16">
        <v>198</v>
      </c>
      <c r="I25" s="16">
        <v>198</v>
      </c>
      <c r="J25" s="16">
        <v>0</v>
      </c>
      <c r="K25" s="16"/>
      <c r="L25" s="16">
        <v>0</v>
      </c>
      <c r="M25" s="16">
        <v>0</v>
      </c>
      <c r="N25" s="16">
        <v>0</v>
      </c>
      <c r="O25" s="8"/>
      <c r="P25" s="16">
        <v>0</v>
      </c>
      <c r="Q25" s="16">
        <v>0</v>
      </c>
      <c r="R25" s="16">
        <v>0</v>
      </c>
      <c r="S25" s="8"/>
      <c r="T25" s="16">
        <f t="shared" si="5"/>
        <v>0</v>
      </c>
      <c r="U25" s="16">
        <v>0</v>
      </c>
      <c r="V25" s="16">
        <v>0</v>
      </c>
      <c r="W25" s="17"/>
      <c r="X25" s="16">
        <f t="shared" si="6"/>
        <v>0</v>
      </c>
      <c r="Y25" s="16">
        <v>0</v>
      </c>
      <c r="Z25" s="16">
        <v>0</v>
      </c>
      <c r="AA25" s="17"/>
      <c r="AB25" s="16">
        <f t="shared" si="7"/>
        <v>0</v>
      </c>
      <c r="AC25" s="16">
        <v>0</v>
      </c>
      <c r="AD25" s="43">
        <v>0</v>
      </c>
      <c r="AE25" s="17"/>
      <c r="AF25" s="16">
        <f t="shared" si="12"/>
        <v>0</v>
      </c>
      <c r="AG25" s="16">
        <v>0</v>
      </c>
      <c r="AH25" s="43">
        <v>0</v>
      </c>
      <c r="AI25" s="17"/>
      <c r="AJ25" s="16">
        <f t="shared" si="13"/>
        <v>0</v>
      </c>
      <c r="AK25" s="16">
        <v>0</v>
      </c>
      <c r="AL25" s="16">
        <v>0</v>
      </c>
      <c r="AM25" s="16">
        <f t="shared" si="14"/>
        <v>0</v>
      </c>
      <c r="AN25" s="16">
        <v>0</v>
      </c>
      <c r="AO25" s="43">
        <v>0</v>
      </c>
      <c r="AP25" s="16">
        <f t="shared" ref="AP25" si="16">AQ25+AR25</f>
        <v>0</v>
      </c>
      <c r="AQ25" s="16">
        <v>0</v>
      </c>
      <c r="AR25" s="16">
        <v>0</v>
      </c>
      <c r="AS25" s="18" t="s">
        <v>43</v>
      </c>
    </row>
    <row r="26" spans="1:45" ht="18.75" x14ac:dyDescent="0.15">
      <c r="A26" s="11" t="s">
        <v>44</v>
      </c>
      <c r="B26" s="27"/>
      <c r="C26" s="28"/>
      <c r="D26" s="28">
        <v>0</v>
      </c>
      <c r="E26" s="28">
        <v>0</v>
      </c>
      <c r="F26" s="28">
        <v>0</v>
      </c>
      <c r="G26" s="28"/>
      <c r="H26" s="28">
        <v>198</v>
      </c>
      <c r="I26" s="28">
        <v>198</v>
      </c>
      <c r="J26" s="28">
        <v>0</v>
      </c>
      <c r="K26" s="28"/>
      <c r="L26" s="28">
        <v>0</v>
      </c>
      <c r="M26" s="28">
        <v>0</v>
      </c>
      <c r="N26" s="28">
        <v>0</v>
      </c>
      <c r="O26" s="29"/>
      <c r="P26" s="28">
        <v>0</v>
      </c>
      <c r="Q26" s="28">
        <v>0</v>
      </c>
      <c r="R26" s="28">
        <v>0</v>
      </c>
      <c r="S26" s="29"/>
      <c r="T26" s="28">
        <f>U26+V26</f>
        <v>120</v>
      </c>
      <c r="U26" s="28">
        <v>115</v>
      </c>
      <c r="V26" s="28">
        <v>5</v>
      </c>
      <c r="W26" s="30"/>
      <c r="X26" s="28">
        <f t="shared" si="6"/>
        <v>107</v>
      </c>
      <c r="Y26" s="28">
        <v>107</v>
      </c>
      <c r="Z26" s="28">
        <v>0</v>
      </c>
      <c r="AA26" s="30"/>
      <c r="AB26" s="28">
        <f t="shared" si="7"/>
        <v>46</v>
      </c>
      <c r="AC26" s="28">
        <v>34</v>
      </c>
      <c r="AD26" s="45">
        <v>12</v>
      </c>
      <c r="AE26" s="30"/>
      <c r="AF26" s="28">
        <f t="shared" si="12"/>
        <v>0</v>
      </c>
      <c r="AG26" s="28">
        <v>0</v>
      </c>
      <c r="AH26" s="45">
        <v>0</v>
      </c>
      <c r="AI26" s="30"/>
      <c r="AJ26" s="28">
        <f t="shared" si="13"/>
        <v>0</v>
      </c>
      <c r="AK26" s="28">
        <v>0</v>
      </c>
      <c r="AL26" s="28">
        <v>0</v>
      </c>
      <c r="AM26" s="28">
        <f>AN26+AO26</f>
        <v>0</v>
      </c>
      <c r="AN26" s="28">
        <v>0</v>
      </c>
      <c r="AO26" s="45">
        <v>0</v>
      </c>
      <c r="AP26" s="28">
        <f>AQ26+AR26</f>
        <v>0</v>
      </c>
      <c r="AQ26" s="28">
        <v>0</v>
      </c>
      <c r="AR26" s="28">
        <v>0</v>
      </c>
      <c r="AS26" s="31" t="s">
        <v>45</v>
      </c>
    </row>
    <row r="27" spans="1:45" ht="18.75" x14ac:dyDescent="0.15">
      <c r="A27" s="32" t="s">
        <v>46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8"/>
      <c r="P27" s="16"/>
      <c r="Q27" s="16"/>
      <c r="R27" s="16"/>
      <c r="S27" s="8"/>
      <c r="T27" s="16"/>
      <c r="U27" s="16"/>
      <c r="V27" s="16"/>
      <c r="W27" s="17"/>
      <c r="X27" s="16"/>
      <c r="Y27" s="16"/>
      <c r="Z27" s="16"/>
      <c r="AA27" s="17"/>
      <c r="AB27" s="16"/>
      <c r="AC27" s="16"/>
      <c r="AD27" s="16"/>
      <c r="AE27" s="17"/>
      <c r="AF27" s="16"/>
      <c r="AG27" s="16"/>
      <c r="AH27" s="16"/>
      <c r="AI27" s="17"/>
      <c r="AJ27" s="16"/>
      <c r="AK27" s="16"/>
      <c r="AL27" s="16"/>
      <c r="AM27" s="16"/>
      <c r="AN27" s="16"/>
      <c r="AO27" s="16"/>
      <c r="AP27" s="16"/>
      <c r="AQ27" s="16"/>
      <c r="AR27" s="16"/>
      <c r="AS27" s="33" t="s">
        <v>47</v>
      </c>
    </row>
    <row r="28" spans="1:45" ht="18.75" x14ac:dyDescent="0.5">
      <c r="A28" s="34" t="s">
        <v>48</v>
      </c>
      <c r="B28" s="35"/>
      <c r="C28" s="36"/>
      <c r="D28" s="35"/>
      <c r="E28" s="35"/>
      <c r="F28" s="36"/>
      <c r="G28" s="36"/>
      <c r="H28" s="35"/>
      <c r="I28" s="35"/>
      <c r="J28" s="36"/>
      <c r="K28" s="36"/>
      <c r="L28" s="35"/>
      <c r="M28" s="35"/>
      <c r="N28" s="36"/>
      <c r="O28" s="35"/>
      <c r="P28" s="35"/>
      <c r="Q28" s="35"/>
      <c r="R28" s="36"/>
      <c r="S28" s="35"/>
      <c r="T28" s="35"/>
      <c r="U28" s="35"/>
      <c r="V28" s="36"/>
      <c r="W28" s="35"/>
      <c r="X28" s="35"/>
      <c r="Y28" s="35"/>
      <c r="Z28" s="36"/>
      <c r="AA28" s="35"/>
      <c r="AB28" s="35"/>
      <c r="AC28" s="35"/>
      <c r="AD28" s="36"/>
      <c r="AE28" s="35"/>
      <c r="AF28" s="35"/>
      <c r="AG28" s="35"/>
      <c r="AH28" s="36"/>
      <c r="AI28" s="35"/>
      <c r="AJ28" s="35"/>
      <c r="AK28" s="35"/>
      <c r="AL28" s="36"/>
      <c r="AM28" s="35"/>
      <c r="AN28" s="35"/>
      <c r="AO28" s="36"/>
      <c r="AP28" s="35"/>
      <c r="AQ28" s="35"/>
      <c r="AR28" s="36"/>
      <c r="AS28" s="37" t="s">
        <v>49</v>
      </c>
    </row>
    <row r="29" spans="1:45" x14ac:dyDescent="0.15">
      <c r="A29" s="38"/>
      <c r="B29" s="38"/>
      <c r="C29" s="39"/>
      <c r="D29" s="38"/>
      <c r="E29" s="38"/>
      <c r="F29" s="39"/>
      <c r="G29" s="39"/>
      <c r="H29" s="38"/>
      <c r="I29" s="38"/>
      <c r="J29" s="39"/>
      <c r="K29" s="39"/>
      <c r="L29" s="38"/>
      <c r="M29" s="38"/>
      <c r="N29" s="39"/>
      <c r="O29" s="38"/>
      <c r="P29" s="38"/>
      <c r="Q29" s="38"/>
      <c r="R29" s="39"/>
      <c r="S29" s="38"/>
      <c r="T29" s="38"/>
      <c r="U29" s="38"/>
      <c r="V29" s="39"/>
      <c r="W29" s="38"/>
      <c r="X29" s="38"/>
      <c r="Y29" s="38"/>
      <c r="Z29" s="39"/>
      <c r="AA29" s="38"/>
      <c r="AB29" s="38"/>
      <c r="AC29" s="38"/>
      <c r="AD29" s="39"/>
      <c r="AE29" s="38"/>
      <c r="AF29" s="38"/>
      <c r="AG29" s="38"/>
      <c r="AH29" s="39"/>
      <c r="AI29" s="38"/>
      <c r="AJ29" s="38"/>
      <c r="AK29" s="38"/>
      <c r="AL29" s="39"/>
      <c r="AM29" s="38"/>
      <c r="AN29" s="38"/>
      <c r="AO29" s="39"/>
      <c r="AP29" s="38"/>
      <c r="AQ29" s="38"/>
      <c r="AR29" s="39"/>
      <c r="AS29" s="38"/>
    </row>
    <row r="30" spans="1:45" x14ac:dyDescent="0.15">
      <c r="A30" s="38"/>
      <c r="B30" s="38"/>
      <c r="C30" s="39"/>
      <c r="D30" s="38"/>
      <c r="E30" s="38"/>
      <c r="F30" s="39"/>
      <c r="G30" s="39"/>
      <c r="H30" s="38"/>
      <c r="I30" s="38"/>
      <c r="J30" s="39"/>
      <c r="K30" s="39"/>
      <c r="L30" s="38"/>
      <c r="M30" s="38"/>
      <c r="N30" s="39"/>
      <c r="O30" s="38"/>
      <c r="P30" s="38"/>
      <c r="Q30" s="38"/>
      <c r="R30" s="39"/>
      <c r="S30" s="38"/>
      <c r="T30" s="38"/>
      <c r="U30" s="38"/>
      <c r="V30" s="39"/>
      <c r="W30" s="38"/>
      <c r="X30" s="38"/>
      <c r="Y30" s="38"/>
      <c r="Z30" s="39"/>
      <c r="AA30" s="38"/>
      <c r="AB30" s="38"/>
      <c r="AC30" s="38"/>
      <c r="AD30" s="39"/>
      <c r="AE30" s="38"/>
      <c r="AF30" s="38"/>
      <c r="AG30" s="38"/>
      <c r="AH30" s="39"/>
      <c r="AI30" s="38"/>
      <c r="AJ30" s="38"/>
      <c r="AK30" s="38"/>
      <c r="AL30" s="39"/>
      <c r="AM30" s="38"/>
      <c r="AN30" s="38"/>
      <c r="AO30" s="39"/>
      <c r="AP30" s="38"/>
      <c r="AQ30" s="38"/>
      <c r="AR30" s="39"/>
      <c r="AS30" s="38"/>
    </row>
    <row r="31" spans="1:45" x14ac:dyDescent="0.15">
      <c r="A31" s="38"/>
      <c r="B31" s="38"/>
      <c r="C31" s="39"/>
      <c r="D31" s="38"/>
      <c r="E31" s="38"/>
      <c r="F31" s="39"/>
      <c r="G31" s="39"/>
      <c r="H31" s="38"/>
      <c r="I31" s="38"/>
      <c r="J31" s="39"/>
      <c r="K31" s="39"/>
      <c r="L31" s="38"/>
      <c r="M31" s="38"/>
      <c r="N31" s="39"/>
      <c r="O31" s="38"/>
      <c r="P31" s="38"/>
      <c r="Q31" s="38"/>
      <c r="R31" s="39"/>
      <c r="S31" s="38"/>
      <c r="T31" s="38"/>
      <c r="U31" s="38"/>
      <c r="V31" s="39"/>
      <c r="W31" s="38"/>
      <c r="X31" s="38"/>
      <c r="Y31" s="38"/>
      <c r="Z31" s="39"/>
      <c r="AA31" s="38"/>
      <c r="AB31" s="38"/>
      <c r="AC31" s="38"/>
      <c r="AD31" s="39"/>
      <c r="AE31" s="38"/>
      <c r="AF31" s="38"/>
      <c r="AG31" s="38"/>
      <c r="AH31" s="39"/>
      <c r="AI31" s="38"/>
      <c r="AJ31" s="38"/>
      <c r="AK31" s="38"/>
      <c r="AL31" s="39"/>
      <c r="AM31" s="38"/>
      <c r="AN31" s="38"/>
      <c r="AO31" s="39"/>
      <c r="AP31" s="38"/>
      <c r="AQ31" s="38"/>
      <c r="AR31" s="39"/>
      <c r="AS31" s="38"/>
    </row>
    <row r="32" spans="1:45" x14ac:dyDescent="0.15">
      <c r="A32" s="38"/>
      <c r="B32" s="38"/>
      <c r="C32" s="39"/>
      <c r="D32" s="38"/>
      <c r="E32" s="38"/>
      <c r="F32" s="39"/>
      <c r="G32" s="39"/>
      <c r="H32" s="38"/>
      <c r="I32" s="38"/>
      <c r="J32" s="39"/>
      <c r="K32" s="39"/>
      <c r="L32" s="38"/>
      <c r="M32" s="38"/>
      <c r="N32" s="39"/>
      <c r="O32" s="38"/>
      <c r="P32" s="38"/>
      <c r="Q32" s="38"/>
      <c r="R32" s="39"/>
      <c r="S32" s="38"/>
      <c r="T32" s="38"/>
      <c r="U32" s="38"/>
      <c r="V32" s="39"/>
      <c r="W32" s="38"/>
      <c r="X32" s="38"/>
      <c r="Y32" s="38"/>
      <c r="Z32" s="39"/>
      <c r="AA32" s="38"/>
      <c r="AB32" s="38"/>
      <c r="AC32" s="38"/>
      <c r="AD32" s="39"/>
      <c r="AE32" s="38"/>
      <c r="AF32" s="38"/>
      <c r="AG32" s="38"/>
      <c r="AH32" s="39"/>
      <c r="AI32" s="38"/>
      <c r="AJ32" s="38"/>
      <c r="AK32" s="38"/>
      <c r="AL32" s="39"/>
      <c r="AM32" s="38"/>
      <c r="AN32" s="38"/>
      <c r="AO32" s="39"/>
      <c r="AP32" s="38"/>
      <c r="AQ32" s="38"/>
      <c r="AR32" s="39"/>
      <c r="AS32" s="38"/>
    </row>
    <row r="36" s="1" customFormat="1" x14ac:dyDescent="0.15"/>
    <row r="37" s="1" customFormat="1" x14ac:dyDescent="0.15"/>
    <row r="38" s="1" customFormat="1" x14ac:dyDescent="0.15"/>
    <row r="39" s="1" customFormat="1" x14ac:dyDescent="0.15"/>
    <row r="40" s="1" customFormat="1" x14ac:dyDescent="0.15"/>
    <row r="41" s="1" customFormat="1" x14ac:dyDescent="0.15"/>
    <row r="42" s="1" customFormat="1" x14ac:dyDescent="0.15"/>
    <row r="43" s="1" customFormat="1" x14ac:dyDescent="0.15"/>
    <row r="44" s="1" customFormat="1" x14ac:dyDescent="0.15"/>
    <row r="45" s="1" customFormat="1" x14ac:dyDescent="0.15"/>
    <row r="46" s="1" customFormat="1" x14ac:dyDescent="0.15"/>
    <row r="47" s="1" customFormat="1" x14ac:dyDescent="0.15"/>
    <row r="48" s="1" customFormat="1" x14ac:dyDescent="0.15"/>
    <row r="49" s="1" customFormat="1" x14ac:dyDescent="0.15"/>
    <row r="50" s="1" customFormat="1" x14ac:dyDescent="0.15"/>
    <row r="51" s="1" customFormat="1" x14ac:dyDescent="0.15"/>
    <row r="52" s="1" customFormat="1" x14ac:dyDescent="0.15"/>
    <row r="53" s="1" customFormat="1" x14ac:dyDescent="0.15"/>
    <row r="54" s="1" customFormat="1" x14ac:dyDescent="0.15"/>
    <row r="55" s="1" customFormat="1" x14ac:dyDescent="0.15"/>
    <row r="56" s="1" customFormat="1" x14ac:dyDescent="0.15"/>
    <row r="57" s="1" customFormat="1" x14ac:dyDescent="0.15"/>
    <row r="58" s="1" customFormat="1" x14ac:dyDescent="0.15"/>
    <row r="59" s="1" customFormat="1" x14ac:dyDescent="0.15"/>
    <row r="60" s="1" customFormat="1" x14ac:dyDescent="0.15"/>
    <row r="61" s="1" customFormat="1" x14ac:dyDescent="0.15"/>
    <row r="62" s="1" customFormat="1" x14ac:dyDescent="0.15"/>
    <row r="63" s="1" customFormat="1" x14ac:dyDescent="0.15"/>
    <row r="64" s="1" customFormat="1" x14ac:dyDescent="0.15"/>
    <row r="65" s="1" customFormat="1" x14ac:dyDescent="0.15"/>
    <row r="66" s="1" customFormat="1" x14ac:dyDescent="0.15"/>
    <row r="67" s="1" customFormat="1" x14ac:dyDescent="0.15"/>
    <row r="68" s="1" customFormat="1" x14ac:dyDescent="0.15"/>
    <row r="69" s="1" customFormat="1" x14ac:dyDescent="0.15"/>
    <row r="70" s="1" customFormat="1" x14ac:dyDescent="0.15"/>
    <row r="71" s="1" customFormat="1" x14ac:dyDescent="0.15"/>
    <row r="72" s="1" customFormat="1" x14ac:dyDescent="0.15"/>
    <row r="73" s="1" customFormat="1" x14ac:dyDescent="0.15"/>
    <row r="74" s="1" customFormat="1" x14ac:dyDescent="0.15"/>
    <row r="75" s="1" customFormat="1" ht="12.75" customHeight="1" x14ac:dyDescent="0.15"/>
    <row r="76" s="1" customFormat="1" x14ac:dyDescent="0.15"/>
    <row r="77" s="1" customFormat="1" ht="12.75" customHeight="1" x14ac:dyDescent="0.15"/>
    <row r="78" s="1" customFormat="1" x14ac:dyDescent="0.15"/>
    <row r="79" s="1" customFormat="1" x14ac:dyDescent="0.15"/>
    <row r="80" s="1" customFormat="1" x14ac:dyDescent="0.15"/>
    <row r="81" s="1" customFormat="1" x14ac:dyDescent="0.15"/>
    <row r="82" s="1" customFormat="1" x14ac:dyDescent="0.15"/>
    <row r="83" s="1" customFormat="1" x14ac:dyDescent="0.15"/>
    <row r="84" s="1" customFormat="1" x14ac:dyDescent="0.15"/>
    <row r="85" s="1" customFormat="1" x14ac:dyDescent="0.15"/>
    <row r="86" s="1" customFormat="1" x14ac:dyDescent="0.15"/>
    <row r="87" s="1" customFormat="1" x14ac:dyDescent="0.15"/>
    <row r="88" s="1" customFormat="1" x14ac:dyDescent="0.15"/>
    <row r="89" s="1" customFormat="1" x14ac:dyDescent="0.15"/>
    <row r="90" s="1" customFormat="1" x14ac:dyDescent="0.15"/>
    <row r="91" s="1" customFormat="1" x14ac:dyDescent="0.15"/>
    <row r="92" s="1" customFormat="1" x14ac:dyDescent="0.15"/>
    <row r="93" s="1" customFormat="1" x14ac:dyDescent="0.15"/>
    <row r="94" s="1" customFormat="1" x14ac:dyDescent="0.15"/>
    <row r="95" s="1" customFormat="1" x14ac:dyDescent="0.15"/>
    <row r="96" s="1" customFormat="1" x14ac:dyDescent="0.15"/>
    <row r="97" s="1" customFormat="1" x14ac:dyDescent="0.15"/>
    <row r="98" s="1" customFormat="1" x14ac:dyDescent="0.15"/>
    <row r="99" s="1" customFormat="1" x14ac:dyDescent="0.15"/>
    <row r="100" s="1" customFormat="1" x14ac:dyDescent="0.15"/>
    <row r="101" s="1" customFormat="1" x14ac:dyDescent="0.15"/>
    <row r="102" s="1" customFormat="1" x14ac:dyDescent="0.15"/>
    <row r="103" s="1" customFormat="1" x14ac:dyDescent="0.15"/>
    <row r="104" s="1" customFormat="1" x14ac:dyDescent="0.15"/>
    <row r="105" s="1" customFormat="1" x14ac:dyDescent="0.15"/>
    <row r="106" s="1" customFormat="1" x14ac:dyDescent="0.15"/>
    <row r="107" s="1" customFormat="1" x14ac:dyDescent="0.15"/>
    <row r="108" s="1" customFormat="1" x14ac:dyDescent="0.15"/>
    <row r="109" s="1" customFormat="1" x14ac:dyDescent="0.15"/>
    <row r="110" s="1" customFormat="1" x14ac:dyDescent="0.15"/>
    <row r="111" s="1" customFormat="1" x14ac:dyDescent="0.15"/>
    <row r="112" s="1" customFormat="1" x14ac:dyDescent="0.15"/>
    <row r="113" s="1" customFormat="1" x14ac:dyDescent="0.15"/>
    <row r="114" s="1" customFormat="1" x14ac:dyDescent="0.15"/>
    <row r="115" s="1" customFormat="1" x14ac:dyDescent="0.15"/>
    <row r="116" s="1" customFormat="1" x14ac:dyDescent="0.15"/>
    <row r="117" s="1" customFormat="1" x14ac:dyDescent="0.15"/>
    <row r="118" s="1" customFormat="1" x14ac:dyDescent="0.15"/>
    <row r="119" s="1" customFormat="1" x14ac:dyDescent="0.15"/>
    <row r="120" s="1" customFormat="1" x14ac:dyDescent="0.15"/>
    <row r="121" s="1" customFormat="1" x14ac:dyDescent="0.15"/>
    <row r="122" s="1" customFormat="1" x14ac:dyDescent="0.15"/>
    <row r="123" s="1" customFormat="1" x14ac:dyDescent="0.15"/>
    <row r="124" s="1" customFormat="1" x14ac:dyDescent="0.15"/>
    <row r="125" s="1" customFormat="1" x14ac:dyDescent="0.15"/>
    <row r="126" s="1" customFormat="1" x14ac:dyDescent="0.15"/>
    <row r="127" s="1" customFormat="1" x14ac:dyDescent="0.15"/>
    <row r="128" s="1" customFormat="1" x14ac:dyDescent="0.15"/>
    <row r="129" s="1" customFormat="1" x14ac:dyDescent="0.15"/>
    <row r="130" s="1" customFormat="1" x14ac:dyDescent="0.15"/>
    <row r="131" s="1" customFormat="1" x14ac:dyDescent="0.15"/>
    <row r="132" s="1" customFormat="1" x14ac:dyDescent="0.15"/>
    <row r="133" s="1" customFormat="1" x14ac:dyDescent="0.15"/>
    <row r="134" s="1" customFormat="1" x14ac:dyDescent="0.15"/>
    <row r="135" s="1" customFormat="1" x14ac:dyDescent="0.15"/>
    <row r="136" s="1" customFormat="1" x14ac:dyDescent="0.15"/>
    <row r="137" s="1" customFormat="1" x14ac:dyDescent="0.15"/>
    <row r="138" s="1" customFormat="1" x14ac:dyDescent="0.15"/>
    <row r="139" s="1" customFormat="1" x14ac:dyDescent="0.15"/>
    <row r="140" s="1" customFormat="1" x14ac:dyDescent="0.15"/>
    <row r="141" s="1" customFormat="1" x14ac:dyDescent="0.15"/>
    <row r="142" s="1" customFormat="1" x14ac:dyDescent="0.15"/>
    <row r="143" s="1" customFormat="1" x14ac:dyDescent="0.15"/>
    <row r="144" s="1" customFormat="1" x14ac:dyDescent="0.15"/>
    <row r="145" s="1" customFormat="1" x14ac:dyDescent="0.15"/>
    <row r="146" s="1" customFormat="1" x14ac:dyDescent="0.15"/>
    <row r="147" s="1" customFormat="1" x14ac:dyDescent="0.15"/>
    <row r="148" s="1" customFormat="1" x14ac:dyDescent="0.15"/>
    <row r="149" s="1" customFormat="1" x14ac:dyDescent="0.15"/>
    <row r="150" s="1" customFormat="1" x14ac:dyDescent="0.15"/>
    <row r="151" s="1" customFormat="1" x14ac:dyDescent="0.15"/>
    <row r="152" s="1" customFormat="1" x14ac:dyDescent="0.15"/>
    <row r="153" s="1" customFormat="1" x14ac:dyDescent="0.15"/>
    <row r="154" s="1" customFormat="1" x14ac:dyDescent="0.15"/>
    <row r="155" s="1" customFormat="1" x14ac:dyDescent="0.15"/>
    <row r="156" s="1" customFormat="1" x14ac:dyDescent="0.15"/>
    <row r="157" s="1" customFormat="1" x14ac:dyDescent="0.15"/>
    <row r="158" s="1" customFormat="1" x14ac:dyDescent="0.15"/>
    <row r="159" s="1" customFormat="1" x14ac:dyDescent="0.15"/>
    <row r="160" s="1" customFormat="1" x14ac:dyDescent="0.15"/>
    <row r="161" s="1" customFormat="1" x14ac:dyDescent="0.15"/>
    <row r="162" s="1" customFormat="1" x14ac:dyDescent="0.15"/>
    <row r="163" s="1" customFormat="1" x14ac:dyDescent="0.15"/>
    <row r="164" s="1" customFormat="1" x14ac:dyDescent="0.15"/>
    <row r="165" s="1" customFormat="1" x14ac:dyDescent="0.15"/>
    <row r="166" s="1" customFormat="1" x14ac:dyDescent="0.15"/>
    <row r="167" s="1" customFormat="1" x14ac:dyDescent="0.15"/>
    <row r="168" s="1" customFormat="1" x14ac:dyDescent="0.15"/>
    <row r="169" s="1" customFormat="1" x14ac:dyDescent="0.15"/>
    <row r="170" s="1" customFormat="1" x14ac:dyDescent="0.15"/>
    <row r="171" s="1" customFormat="1" x14ac:dyDescent="0.15"/>
    <row r="172" s="1" customFormat="1" x14ac:dyDescent="0.15"/>
    <row r="173" s="1" customFormat="1" x14ac:dyDescent="0.15"/>
    <row r="174" s="1" customFormat="1" x14ac:dyDescent="0.15"/>
    <row r="175" s="1" customFormat="1" x14ac:dyDescent="0.15"/>
    <row r="176" s="1" customFormat="1" x14ac:dyDescent="0.15"/>
    <row r="177" s="1" customFormat="1" x14ac:dyDescent="0.15"/>
    <row r="178" s="1" customFormat="1" x14ac:dyDescent="0.15"/>
    <row r="179" s="1" customFormat="1" x14ac:dyDescent="0.15"/>
    <row r="180" s="1" customFormat="1" x14ac:dyDescent="0.15"/>
    <row r="181" s="1" customFormat="1" x14ac:dyDescent="0.15"/>
    <row r="182" s="1" customFormat="1" x14ac:dyDescent="0.15"/>
    <row r="183" s="1" customFormat="1" x14ac:dyDescent="0.15"/>
    <row r="184" s="1" customFormat="1" x14ac:dyDescent="0.15"/>
    <row r="185" s="1" customFormat="1" x14ac:dyDescent="0.15"/>
    <row r="186" s="1" customFormat="1" x14ac:dyDescent="0.15"/>
    <row r="187" s="1" customFormat="1" x14ac:dyDescent="0.15"/>
    <row r="188" s="1" customFormat="1" x14ac:dyDescent="0.15"/>
    <row r="189" s="1" customFormat="1" x14ac:dyDescent="0.15"/>
    <row r="190" s="1" customFormat="1" x14ac:dyDescent="0.15"/>
    <row r="191" s="1" customFormat="1" x14ac:dyDescent="0.15"/>
    <row r="192" s="1" customFormat="1" x14ac:dyDescent="0.15"/>
    <row r="193" s="1" customFormat="1" x14ac:dyDescent="0.15"/>
    <row r="194" s="1" customFormat="1" x14ac:dyDescent="0.15"/>
    <row r="195" s="1" customFormat="1" x14ac:dyDescent="0.15"/>
    <row r="196" s="1" customFormat="1" x14ac:dyDescent="0.15"/>
    <row r="197" s="1" customFormat="1" x14ac:dyDescent="0.15"/>
    <row r="198" s="1" customFormat="1" x14ac:dyDescent="0.15"/>
    <row r="199" s="1" customFormat="1" x14ac:dyDescent="0.15"/>
    <row r="200" s="1" customFormat="1" x14ac:dyDescent="0.15"/>
    <row r="201" s="1" customFormat="1" x14ac:dyDescent="0.15"/>
    <row r="202" s="1" customFormat="1" x14ac:dyDescent="0.15"/>
    <row r="203" s="1" customFormat="1" x14ac:dyDescent="0.15"/>
    <row r="204" s="1" customFormat="1" x14ac:dyDescent="0.15"/>
    <row r="205" s="1" customFormat="1" x14ac:dyDescent="0.15"/>
    <row r="206" s="1" customFormat="1" x14ac:dyDescent="0.15"/>
    <row r="207" s="1" customFormat="1" x14ac:dyDescent="0.15"/>
    <row r="208" s="1" customFormat="1" x14ac:dyDescent="0.15"/>
    <row r="209" s="1" customFormat="1" x14ac:dyDescent="0.15"/>
    <row r="210" s="1" customFormat="1" x14ac:dyDescent="0.15"/>
    <row r="211" s="1" customFormat="1" x14ac:dyDescent="0.15"/>
    <row r="212" s="1" customFormat="1" x14ac:dyDescent="0.15"/>
    <row r="213" s="1" customFormat="1" x14ac:dyDescent="0.15"/>
    <row r="214" s="1" customFormat="1" x14ac:dyDescent="0.15"/>
    <row r="215" s="1" customFormat="1" x14ac:dyDescent="0.15"/>
    <row r="216" s="1" customFormat="1" x14ac:dyDescent="0.15"/>
    <row r="217" s="1" customFormat="1" x14ac:dyDescent="0.15"/>
    <row r="218" s="1" customFormat="1" x14ac:dyDescent="0.15"/>
    <row r="219" s="1" customFormat="1" x14ac:dyDescent="0.15"/>
    <row r="220" s="1" customFormat="1" x14ac:dyDescent="0.15"/>
    <row r="221" s="1" customFormat="1" x14ac:dyDescent="0.15"/>
    <row r="222" s="1" customFormat="1" x14ac:dyDescent="0.15"/>
    <row r="223" s="1" customFormat="1" x14ac:dyDescent="0.15"/>
    <row r="224" s="1" customFormat="1" x14ac:dyDescent="0.15"/>
    <row r="225" s="1" customFormat="1" x14ac:dyDescent="0.15"/>
    <row r="226" s="1" customFormat="1" x14ac:dyDescent="0.15"/>
    <row r="227" s="1" customFormat="1" x14ac:dyDescent="0.15"/>
    <row r="228" s="1" customFormat="1" x14ac:dyDescent="0.15"/>
    <row r="229" s="1" customFormat="1" x14ac:dyDescent="0.15"/>
    <row r="230" s="1" customFormat="1" x14ac:dyDescent="0.15"/>
    <row r="231" s="1" customFormat="1" x14ac:dyDescent="0.15"/>
    <row r="232" s="1" customFormat="1" x14ac:dyDescent="0.15"/>
    <row r="233" s="1" customFormat="1" x14ac:dyDescent="0.15"/>
    <row r="234" s="1" customFormat="1" x14ac:dyDescent="0.15"/>
    <row r="235" s="1" customFormat="1" x14ac:dyDescent="0.15"/>
    <row r="236" s="1" customFormat="1" x14ac:dyDescent="0.15"/>
    <row r="237" s="1" customFormat="1" x14ac:dyDescent="0.15"/>
    <row r="238" s="1" customFormat="1" x14ac:dyDescent="0.15"/>
    <row r="239" s="1" customFormat="1" x14ac:dyDescent="0.15"/>
    <row r="240" s="1" customFormat="1" x14ac:dyDescent="0.15"/>
    <row r="241" s="1" customFormat="1" x14ac:dyDescent="0.15"/>
    <row r="242" s="1" customFormat="1" x14ac:dyDescent="0.15"/>
    <row r="243" s="1" customFormat="1" x14ac:dyDescent="0.15"/>
    <row r="244" s="1" customFormat="1" x14ac:dyDescent="0.15"/>
    <row r="245" s="1" customFormat="1" x14ac:dyDescent="0.15"/>
    <row r="246" s="1" customFormat="1" x14ac:dyDescent="0.15"/>
    <row r="247" s="1" customFormat="1" x14ac:dyDescent="0.15"/>
    <row r="248" s="1" customFormat="1" x14ac:dyDescent="0.15"/>
    <row r="249" s="1" customFormat="1" x14ac:dyDescent="0.15"/>
    <row r="250" s="1" customFormat="1" x14ac:dyDescent="0.15"/>
    <row r="251" s="1" customFormat="1" x14ac:dyDescent="0.15"/>
    <row r="252" s="1" customFormat="1" x14ac:dyDescent="0.15"/>
    <row r="253" s="1" customFormat="1" x14ac:dyDescent="0.15"/>
    <row r="254" s="1" customFormat="1" x14ac:dyDescent="0.15"/>
    <row r="255" s="1" customFormat="1" x14ac:dyDescent="0.15"/>
    <row r="256" s="1" customFormat="1" x14ac:dyDescent="0.15"/>
    <row r="257" s="1" customFormat="1" x14ac:dyDescent="0.15"/>
    <row r="258" s="1" customFormat="1" x14ac:dyDescent="0.15"/>
    <row r="259" s="1" customFormat="1" x14ac:dyDescent="0.15"/>
    <row r="260" s="1" customFormat="1" x14ac:dyDescent="0.15"/>
    <row r="261" s="1" customFormat="1" x14ac:dyDescent="0.15"/>
    <row r="262" s="1" customFormat="1" x14ac:dyDescent="0.15"/>
    <row r="263" s="1" customFormat="1" x14ac:dyDescent="0.15"/>
    <row r="264" s="1" customFormat="1" x14ac:dyDescent="0.15"/>
    <row r="265" s="1" customFormat="1" x14ac:dyDescent="0.15"/>
    <row r="266" s="1" customFormat="1" x14ac:dyDescent="0.15"/>
    <row r="267" s="1" customFormat="1" x14ac:dyDescent="0.15"/>
    <row r="268" s="1" customFormat="1" x14ac:dyDescent="0.15"/>
    <row r="269" s="1" customFormat="1" x14ac:dyDescent="0.15"/>
    <row r="270" s="1" customFormat="1" x14ac:dyDescent="0.15"/>
    <row r="271" s="1" customFormat="1" x14ac:dyDescent="0.15"/>
    <row r="272" s="1" customFormat="1" x14ac:dyDescent="0.15"/>
    <row r="273" s="1" customFormat="1" x14ac:dyDescent="0.15"/>
    <row r="274" s="1" customFormat="1" x14ac:dyDescent="0.15"/>
    <row r="275" s="1" customFormat="1" x14ac:dyDescent="0.15"/>
    <row r="276" s="1" customFormat="1" x14ac:dyDescent="0.15"/>
    <row r="277" s="1" customFormat="1" x14ac:dyDescent="0.15"/>
    <row r="278" s="1" customFormat="1" x14ac:dyDescent="0.15"/>
    <row r="279" s="1" customFormat="1" x14ac:dyDescent="0.15"/>
    <row r="280" s="1" customFormat="1" x14ac:dyDescent="0.15"/>
    <row r="281" s="1" customFormat="1" x14ac:dyDescent="0.15"/>
    <row r="282" s="1" customFormat="1" x14ac:dyDescent="0.15"/>
    <row r="283" s="1" customFormat="1" x14ac:dyDescent="0.15"/>
    <row r="284" s="1" customFormat="1" x14ac:dyDescent="0.15"/>
    <row r="285" s="1" customFormat="1" x14ac:dyDescent="0.15"/>
    <row r="286" s="1" customFormat="1" x14ac:dyDescent="0.15"/>
    <row r="287" s="1" customFormat="1" x14ac:dyDescent="0.15"/>
    <row r="288" s="1" customFormat="1" x14ac:dyDescent="0.15"/>
    <row r="289" s="1" customFormat="1" x14ac:dyDescent="0.15"/>
    <row r="290" s="1" customFormat="1" x14ac:dyDescent="0.15"/>
    <row r="291" s="1" customFormat="1" x14ac:dyDescent="0.15"/>
    <row r="292" s="1" customFormat="1" x14ac:dyDescent="0.15"/>
    <row r="293" s="1" customFormat="1" x14ac:dyDescent="0.15"/>
    <row r="294" s="1" customFormat="1" x14ac:dyDescent="0.15"/>
    <row r="295" s="1" customFormat="1" x14ac:dyDescent="0.15"/>
    <row r="296" s="1" customFormat="1" x14ac:dyDescent="0.15"/>
    <row r="297" s="1" customFormat="1" x14ac:dyDescent="0.15"/>
    <row r="298" s="1" customFormat="1" x14ac:dyDescent="0.15"/>
    <row r="299" s="1" customFormat="1" x14ac:dyDescent="0.15"/>
    <row r="300" s="1" customFormat="1" x14ac:dyDescent="0.15"/>
    <row r="301" s="1" customFormat="1" x14ac:dyDescent="0.15"/>
    <row r="302" s="1" customFormat="1" x14ac:dyDescent="0.15"/>
    <row r="303" s="1" customFormat="1" x14ac:dyDescent="0.15"/>
    <row r="304" s="1" customFormat="1" x14ac:dyDescent="0.15"/>
    <row r="305" s="1" customFormat="1" x14ac:dyDescent="0.15"/>
    <row r="306" s="1" customFormat="1" x14ac:dyDescent="0.15"/>
    <row r="307" s="1" customFormat="1" x14ac:dyDescent="0.15"/>
    <row r="308" s="1" customFormat="1" x14ac:dyDescent="0.15"/>
    <row r="309" s="1" customFormat="1" x14ac:dyDescent="0.15"/>
    <row r="310" s="1" customFormat="1" x14ac:dyDescent="0.15"/>
    <row r="311" s="1" customFormat="1" x14ac:dyDescent="0.15"/>
    <row r="312" s="1" customFormat="1" x14ac:dyDescent="0.15"/>
    <row r="313" s="1" customFormat="1" x14ac:dyDescent="0.15"/>
    <row r="314" s="1" customFormat="1" x14ac:dyDescent="0.15"/>
    <row r="315" s="1" customFormat="1" x14ac:dyDescent="0.15"/>
    <row r="316" s="1" customFormat="1" x14ac:dyDescent="0.15"/>
    <row r="317" s="1" customFormat="1" x14ac:dyDescent="0.15"/>
    <row r="318" s="1" customFormat="1" x14ac:dyDescent="0.15"/>
    <row r="319" s="1" customFormat="1" x14ac:dyDescent="0.15"/>
    <row r="320" s="1" customFormat="1" x14ac:dyDescent="0.15"/>
    <row r="321" s="1" customFormat="1" x14ac:dyDescent="0.15"/>
    <row r="322" s="1" customFormat="1" x14ac:dyDescent="0.15"/>
    <row r="323" s="1" customFormat="1" x14ac:dyDescent="0.15"/>
    <row r="324" s="1" customFormat="1" x14ac:dyDescent="0.15"/>
    <row r="325" s="1" customFormat="1" x14ac:dyDescent="0.15"/>
    <row r="326" s="1" customFormat="1" x14ac:dyDescent="0.15"/>
    <row r="327" s="1" customFormat="1" x14ac:dyDescent="0.15"/>
    <row r="328" s="1" customFormat="1" x14ac:dyDescent="0.15"/>
    <row r="329" s="1" customFormat="1" x14ac:dyDescent="0.15"/>
    <row r="330" s="1" customFormat="1" x14ac:dyDescent="0.15"/>
    <row r="331" s="1" customFormat="1" x14ac:dyDescent="0.15"/>
    <row r="332" s="1" customFormat="1" x14ac:dyDescent="0.15"/>
    <row r="333" s="1" customFormat="1" x14ac:dyDescent="0.15"/>
    <row r="334" s="1" customFormat="1" x14ac:dyDescent="0.15"/>
    <row r="335" s="1" customFormat="1" x14ac:dyDescent="0.15"/>
    <row r="336" s="1" customFormat="1" x14ac:dyDescent="0.15"/>
    <row r="337" s="1" customFormat="1" x14ac:dyDescent="0.15"/>
    <row r="338" s="1" customFormat="1" x14ac:dyDescent="0.15"/>
    <row r="339" s="1" customFormat="1" x14ac:dyDescent="0.15"/>
    <row r="340" s="1" customFormat="1" x14ac:dyDescent="0.15"/>
    <row r="341" s="1" customFormat="1" x14ac:dyDescent="0.15"/>
    <row r="342" s="1" customFormat="1" x14ac:dyDescent="0.15"/>
    <row r="343" s="1" customFormat="1" x14ac:dyDescent="0.15"/>
    <row r="344" s="1" customFormat="1" x14ac:dyDescent="0.15"/>
    <row r="345" s="1" customFormat="1" x14ac:dyDescent="0.15"/>
    <row r="346" s="1" customFormat="1" x14ac:dyDescent="0.15"/>
    <row r="347" s="1" customFormat="1" x14ac:dyDescent="0.15"/>
    <row r="348" s="1" customFormat="1" x14ac:dyDescent="0.15"/>
    <row r="349" s="1" customFormat="1" x14ac:dyDescent="0.15"/>
    <row r="350" s="1" customFormat="1" x14ac:dyDescent="0.15"/>
    <row r="351" s="1" customFormat="1" x14ac:dyDescent="0.15"/>
    <row r="352" s="1" customFormat="1" x14ac:dyDescent="0.15"/>
    <row r="353" s="1" customFormat="1" x14ac:dyDescent="0.15"/>
    <row r="354" s="1" customFormat="1" x14ac:dyDescent="0.15"/>
    <row r="355" s="1" customFormat="1" x14ac:dyDescent="0.15"/>
    <row r="356" s="1" customFormat="1" x14ac:dyDescent="0.15"/>
    <row r="357" s="1" customFormat="1" x14ac:dyDescent="0.15"/>
    <row r="358" s="1" customFormat="1" x14ac:dyDescent="0.15"/>
    <row r="359" s="1" customFormat="1" x14ac:dyDescent="0.15"/>
    <row r="360" s="1" customFormat="1" x14ac:dyDescent="0.15"/>
    <row r="361" s="1" customFormat="1" x14ac:dyDescent="0.15"/>
    <row r="362" s="1" customFormat="1" x14ac:dyDescent="0.15"/>
    <row r="363" s="1" customFormat="1" x14ac:dyDescent="0.15"/>
    <row r="364" s="1" customFormat="1" x14ac:dyDescent="0.15"/>
  </sheetData>
  <mergeCells count="15">
    <mergeCell ref="A1:AS1"/>
    <mergeCell ref="A2:AS2"/>
    <mergeCell ref="A3:A5"/>
    <mergeCell ref="D3:F3"/>
    <mergeCell ref="H3:J3"/>
    <mergeCell ref="L3:N3"/>
    <mergeCell ref="P3:R3"/>
    <mergeCell ref="T3:V3"/>
    <mergeCell ref="X3:Z3"/>
    <mergeCell ref="AB3:AD3"/>
    <mergeCell ref="AF3:AH3"/>
    <mergeCell ref="AJ3:AL3"/>
    <mergeCell ref="AM3:AO3"/>
    <mergeCell ref="AP3:AR3"/>
    <mergeCell ref="AS3:AS5"/>
  </mergeCells>
  <pageMargins left="0.7" right="0.7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2023-03-08T06:25:45Z</cp:lastPrinted>
  <dcterms:created xsi:type="dcterms:W3CDTF">2019-02-28T08:20:57Z</dcterms:created>
  <dcterms:modified xsi:type="dcterms:W3CDTF">2023-03-08T06:25:50Z</dcterms:modified>
</cp:coreProperties>
</file>