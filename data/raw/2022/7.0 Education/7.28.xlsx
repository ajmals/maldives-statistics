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ducation\"/>
    </mc:Choice>
  </mc:AlternateContent>
  <xr:revisionPtr revIDLastSave="0" documentId="13_ncr:1_{8092AA4F-4053-45EE-BDF9-179E4B3CB0CD}" xr6:coauthVersionLast="47" xr6:coauthVersionMax="47" xr10:uidLastSave="{00000000-0000-0000-0000-000000000000}"/>
  <bookViews>
    <workbookView xWindow="-120" yWindow="-120" windowWidth="29040" windowHeight="15840" tabRatio="837" xr2:uid="{00000000-000D-0000-FFFF-FFFF00000000}"/>
  </bookViews>
  <sheets>
    <sheet name="7.28" sheetId="33" r:id="rId1"/>
  </sheets>
  <definedNames>
    <definedName name="_xlnm.Print_Area" localSheetId="0">'7.28'!$A$1:$I$32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33" l="1"/>
  <c r="D30" i="33"/>
  <c r="E29" i="33"/>
  <c r="D29" i="33"/>
  <c r="E28" i="33"/>
  <c r="D28" i="33"/>
  <c r="E27" i="33"/>
  <c r="E31" i="33" s="1"/>
  <c r="D27" i="33"/>
  <c r="D31" i="33" s="1"/>
  <c r="E21" i="33"/>
  <c r="D21" i="33"/>
  <c r="E10" i="33" l="1"/>
  <c r="D10" i="33"/>
</calcChain>
</file>

<file path=xl/sharedStrings.xml><?xml version="1.0" encoding="utf-8"?>
<sst xmlns="http://schemas.openxmlformats.org/spreadsheetml/2006/main" count="36" uniqueCount="12">
  <si>
    <t>Total</t>
  </si>
  <si>
    <t>Male</t>
  </si>
  <si>
    <t>Female</t>
  </si>
  <si>
    <t>Locality</t>
  </si>
  <si>
    <t xml:space="preserve">Source: Ministry of Higher Education </t>
  </si>
  <si>
    <t>Local staff</t>
  </si>
  <si>
    <t>Full-time staff</t>
  </si>
  <si>
    <t>Part-time Staff</t>
  </si>
  <si>
    <t>Foreign staff</t>
  </si>
  <si>
    <t>Table 7.28: Number of staff by gender, nationality and type of employment, 2019</t>
  </si>
  <si>
    <t>Table 7.28: Number of staff by gender, nationality and type of employment, 2020</t>
  </si>
  <si>
    <t>Table 7.28: Number of staff by gender, nationality and type of employment,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</si>
</sst>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3">
    <xf numFmtId="0" fontId="0" fillId="0" borderId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5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7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8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9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5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</cellStyleXfs>
  <cellXfs count="10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0" xfId="0" applyFont="1" applyFill="1"/>
    <xf numFmtId="0" fontId="0" fillId="2" borderId="0" xfId="0" applyFill="1" applyAlignment="1">
      <alignment horizontal="right" vertical="center"/>
    </xf>
    <xf numFmtId="0" fontId="2" fillId="2" borderId="2" xfId="0" applyFont="1" applyFill="1" applyBorder="1"/>
    <xf numFmtId="0" fontId="2" fillId="2" borderId="1" xfId="0" applyFont="1" applyFill="1" applyBorder="1" applyAlignment="1">
      <alignment vertical="center"/>
    </xf>
    <xf numFmtId="0" fontId="6" fillId="2" borderId="0" xfId="12" applyNumberFormat="1" applyFont="1" applyFill="1" applyAlignment="1">
      <alignment horizontal="left" vertical="center"/>
    </xf>
    <xf numFmtId="0" fontId="0" fillId="2" borderId="0" xfId="0" applyFill="1" applyAlignment="1">
      <alignment vertical="center"/>
    </xf>
  </cellXfs>
  <cellStyles count="163">
    <cellStyle name="1" xfId="144" xr:uid="{00000000-0005-0000-0000-000000000000}"/>
    <cellStyle name="Comma 2" xfId="9" xr:uid="{00000000-0005-0000-0000-000002000000}"/>
    <cellStyle name="Comma 3" xfId="15" xr:uid="{00000000-0005-0000-0000-000003000000}"/>
    <cellStyle name="Comma 3 2" xfId="158" xr:uid="{00000000-0005-0000-0000-000004000000}"/>
    <cellStyle name="Normal" xfId="0" builtinId="0"/>
    <cellStyle name="Normal - Style1" xfId="146" xr:uid="{00000000-0005-0000-0000-000006000000}"/>
    <cellStyle name="Normal 10" xfId="4" xr:uid="{00000000-0005-0000-0000-000007000000}"/>
    <cellStyle name="Normal 10 2" xfId="38" xr:uid="{00000000-0005-0000-0000-000008000000}"/>
    <cellStyle name="Normal 105 2" xfId="130" xr:uid="{00000000-0005-0000-0000-000009000000}"/>
    <cellStyle name="Normal 11" xfId="25" xr:uid="{00000000-0005-0000-0000-00000A000000}"/>
    <cellStyle name="Normal 11 2" xfId="39" xr:uid="{00000000-0005-0000-0000-00000B000000}"/>
    <cellStyle name="Normal 12" xfId="26" xr:uid="{00000000-0005-0000-0000-00000C000000}"/>
    <cellStyle name="Normal 12 2" xfId="40" xr:uid="{00000000-0005-0000-0000-00000D000000}"/>
    <cellStyle name="Normal 13" xfId="28" xr:uid="{00000000-0005-0000-0000-00000E000000}"/>
    <cellStyle name="Normal 13 2" xfId="41" xr:uid="{00000000-0005-0000-0000-00000F000000}"/>
    <cellStyle name="Normal 14" xfId="29" xr:uid="{00000000-0005-0000-0000-000010000000}"/>
    <cellStyle name="Normal 14 2" xfId="42" xr:uid="{00000000-0005-0000-0000-000011000000}"/>
    <cellStyle name="Normal 15" xfId="30" xr:uid="{00000000-0005-0000-0000-000012000000}"/>
    <cellStyle name="Normal 15 2" xfId="43" xr:uid="{00000000-0005-0000-0000-000013000000}"/>
    <cellStyle name="Normal 16" xfId="31" xr:uid="{00000000-0005-0000-0000-000014000000}"/>
    <cellStyle name="Normal 16 2" xfId="44" xr:uid="{00000000-0005-0000-0000-000015000000}"/>
    <cellStyle name="Normal 17" xfId="32" xr:uid="{00000000-0005-0000-0000-000016000000}"/>
    <cellStyle name="Normal 17 2" xfId="45" xr:uid="{00000000-0005-0000-0000-000017000000}"/>
    <cellStyle name="Normal 18" xfId="33" xr:uid="{00000000-0005-0000-0000-000018000000}"/>
    <cellStyle name="Normal 18 2" xfId="46" xr:uid="{00000000-0005-0000-0000-000019000000}"/>
    <cellStyle name="Normal 19" xfId="34" xr:uid="{00000000-0005-0000-0000-00001A000000}"/>
    <cellStyle name="Normal 19 2" xfId="47" xr:uid="{00000000-0005-0000-0000-00001B000000}"/>
    <cellStyle name="Normal 2" xfId="13" xr:uid="{00000000-0005-0000-0000-00001C000000}"/>
    <cellStyle name="Normal 2 10" xfId="48" xr:uid="{00000000-0005-0000-0000-00001D000000}"/>
    <cellStyle name="Normal 2 11" xfId="49" xr:uid="{00000000-0005-0000-0000-00001E000000}"/>
    <cellStyle name="Normal 2 12" xfId="50" xr:uid="{00000000-0005-0000-0000-00001F000000}"/>
    <cellStyle name="Normal 2 13" xfId="51" xr:uid="{00000000-0005-0000-0000-000020000000}"/>
    <cellStyle name="Normal 2 14" xfId="52" xr:uid="{00000000-0005-0000-0000-000021000000}"/>
    <cellStyle name="Normal 2 15" xfId="53" xr:uid="{00000000-0005-0000-0000-000022000000}"/>
    <cellStyle name="Normal 2 16" xfId="54" xr:uid="{00000000-0005-0000-0000-000023000000}"/>
    <cellStyle name="Normal 2 17" xfId="55" xr:uid="{00000000-0005-0000-0000-000024000000}"/>
    <cellStyle name="Normal 2 18" xfId="56" xr:uid="{00000000-0005-0000-0000-000025000000}"/>
    <cellStyle name="Normal 2 19" xfId="57" xr:uid="{00000000-0005-0000-0000-000026000000}"/>
    <cellStyle name="Normal 2 2" xfId="17" xr:uid="{00000000-0005-0000-0000-000027000000}"/>
    <cellStyle name="Normal 2 2 10" xfId="58" xr:uid="{00000000-0005-0000-0000-000028000000}"/>
    <cellStyle name="Normal 2 2 11" xfId="59" xr:uid="{00000000-0005-0000-0000-000029000000}"/>
    <cellStyle name="Normal 2 2 12" xfId="60" xr:uid="{00000000-0005-0000-0000-00002A000000}"/>
    <cellStyle name="Normal 2 2 13" xfId="61" xr:uid="{00000000-0005-0000-0000-00002B000000}"/>
    <cellStyle name="Normal 2 2 14" xfId="62" xr:uid="{00000000-0005-0000-0000-00002C000000}"/>
    <cellStyle name="Normal 2 2 15" xfId="63" xr:uid="{00000000-0005-0000-0000-00002D000000}"/>
    <cellStyle name="Normal 2 2 16" xfId="64" xr:uid="{00000000-0005-0000-0000-00002E000000}"/>
    <cellStyle name="Normal 2 2 17" xfId="65" xr:uid="{00000000-0005-0000-0000-00002F000000}"/>
    <cellStyle name="Normal 2 2 18" xfId="66" xr:uid="{00000000-0005-0000-0000-000030000000}"/>
    <cellStyle name="Normal 2 2 19" xfId="67" xr:uid="{00000000-0005-0000-0000-000031000000}"/>
    <cellStyle name="Normal 2 2 2" xfId="1" xr:uid="{00000000-0005-0000-0000-000032000000}"/>
    <cellStyle name="Normal 2 2 20" xfId="68" xr:uid="{00000000-0005-0000-0000-000033000000}"/>
    <cellStyle name="Normal 2 2 21" xfId="69" xr:uid="{00000000-0005-0000-0000-000034000000}"/>
    <cellStyle name="Normal 2 2 22" xfId="70" xr:uid="{00000000-0005-0000-0000-000035000000}"/>
    <cellStyle name="Normal 2 2 23" xfId="71" xr:uid="{00000000-0005-0000-0000-000036000000}"/>
    <cellStyle name="Normal 2 2 24" xfId="72" xr:uid="{00000000-0005-0000-0000-000037000000}"/>
    <cellStyle name="Normal 2 2 24 2" xfId="73" xr:uid="{00000000-0005-0000-0000-000038000000}"/>
    <cellStyle name="Normal 2 2 24 2 2" xfId="74" xr:uid="{00000000-0005-0000-0000-000039000000}"/>
    <cellStyle name="Normal 2 2 25" xfId="75" xr:uid="{00000000-0005-0000-0000-00003A000000}"/>
    <cellStyle name="Normal 2 2 25 2" xfId="76" xr:uid="{00000000-0005-0000-0000-00003B000000}"/>
    <cellStyle name="Normal 2 2 26" xfId="147" xr:uid="{00000000-0005-0000-0000-00003C000000}"/>
    <cellStyle name="Normal 2 2 3" xfId="77" xr:uid="{00000000-0005-0000-0000-00003D000000}"/>
    <cellStyle name="Normal 2 2 4" xfId="78" xr:uid="{00000000-0005-0000-0000-00003E000000}"/>
    <cellStyle name="Normal 2 2 5" xfId="79" xr:uid="{00000000-0005-0000-0000-00003F000000}"/>
    <cellStyle name="Normal 2 2 5 2" xfId="80" xr:uid="{00000000-0005-0000-0000-000040000000}"/>
    <cellStyle name="Normal 2 2 5 2 2" xfId="81" xr:uid="{00000000-0005-0000-0000-000041000000}"/>
    <cellStyle name="Normal 2 2 5 2 2 2" xfId="82" xr:uid="{00000000-0005-0000-0000-000042000000}"/>
    <cellStyle name="Normal 2 2 5 3" xfId="83" xr:uid="{00000000-0005-0000-0000-000043000000}"/>
    <cellStyle name="Normal 2 2 5 4" xfId="84" xr:uid="{00000000-0005-0000-0000-000044000000}"/>
    <cellStyle name="Normal 2 2 6" xfId="85" xr:uid="{00000000-0005-0000-0000-000045000000}"/>
    <cellStyle name="Normal 2 2 7" xfId="86" xr:uid="{00000000-0005-0000-0000-000046000000}"/>
    <cellStyle name="Normal 2 2 8" xfId="87" xr:uid="{00000000-0005-0000-0000-000047000000}"/>
    <cellStyle name="Normal 2 2 9" xfId="88" xr:uid="{00000000-0005-0000-0000-000048000000}"/>
    <cellStyle name="Normal 2 20" xfId="89" xr:uid="{00000000-0005-0000-0000-000049000000}"/>
    <cellStyle name="Normal 2 21" xfId="90" xr:uid="{00000000-0005-0000-0000-00004A000000}"/>
    <cellStyle name="Normal 2 22" xfId="91" xr:uid="{00000000-0005-0000-0000-00004B000000}"/>
    <cellStyle name="Normal 2 23" xfId="92" xr:uid="{00000000-0005-0000-0000-00004C000000}"/>
    <cellStyle name="Normal 2 24" xfId="93" xr:uid="{00000000-0005-0000-0000-00004D000000}"/>
    <cellStyle name="Normal 2 24 2" xfId="94" xr:uid="{00000000-0005-0000-0000-00004E000000}"/>
    <cellStyle name="Normal 2 24 2 2" xfId="95" xr:uid="{00000000-0005-0000-0000-00004F000000}"/>
    <cellStyle name="Normal 2 25" xfId="96" xr:uid="{00000000-0005-0000-0000-000050000000}"/>
    <cellStyle name="Normal 2 25 2" xfId="97" xr:uid="{00000000-0005-0000-0000-000051000000}"/>
    <cellStyle name="Normal 2 26" xfId="12" xr:uid="{00000000-0005-0000-0000-000052000000}"/>
    <cellStyle name="Normal 2 27" xfId="18" xr:uid="{00000000-0005-0000-0000-000053000000}"/>
    <cellStyle name="Normal 2 3" xfId="19" xr:uid="{00000000-0005-0000-0000-000054000000}"/>
    <cellStyle name="Normal 2 3 2" xfId="98" xr:uid="{00000000-0005-0000-0000-000055000000}"/>
    <cellStyle name="Normal 2 3 2 2" xfId="99" xr:uid="{00000000-0005-0000-0000-000056000000}"/>
    <cellStyle name="Normal 2 3 2 2 2" xfId="100" xr:uid="{00000000-0005-0000-0000-000057000000}"/>
    <cellStyle name="Normal 2 3 3" xfId="101" xr:uid="{00000000-0005-0000-0000-000058000000}"/>
    <cellStyle name="Normal 2 3 4" xfId="102" xr:uid="{00000000-0005-0000-0000-000059000000}"/>
    <cellStyle name="Normal 2 3 5" xfId="148" xr:uid="{00000000-0005-0000-0000-00005A000000}"/>
    <cellStyle name="Normal 2 4" xfId="103" xr:uid="{00000000-0005-0000-0000-00005B000000}"/>
    <cellStyle name="Normal 2 4 2" xfId="149" xr:uid="{00000000-0005-0000-0000-00005C000000}"/>
    <cellStyle name="Normal 2 5" xfId="104" xr:uid="{00000000-0005-0000-0000-00005D000000}"/>
    <cellStyle name="Normal 2 5 2" xfId="159" xr:uid="{00000000-0005-0000-0000-00005E000000}"/>
    <cellStyle name="Normal 2 6" xfId="105" xr:uid="{00000000-0005-0000-0000-00005F000000}"/>
    <cellStyle name="Normal 2 7" xfId="106" xr:uid="{00000000-0005-0000-0000-000060000000}"/>
    <cellStyle name="Normal 2 8" xfId="107" xr:uid="{00000000-0005-0000-0000-000061000000}"/>
    <cellStyle name="Normal 2 9" xfId="108" xr:uid="{00000000-0005-0000-0000-000062000000}"/>
    <cellStyle name="Normal 20" xfId="35" xr:uid="{00000000-0005-0000-0000-000063000000}"/>
    <cellStyle name="Normal 20 2" xfId="109" xr:uid="{00000000-0005-0000-0000-000064000000}"/>
    <cellStyle name="Normal 21" xfId="36" xr:uid="{00000000-0005-0000-0000-000065000000}"/>
    <cellStyle name="Normal 21 2" xfId="110" xr:uid="{00000000-0005-0000-0000-000066000000}"/>
    <cellStyle name="Normal 22" xfId="37" xr:uid="{00000000-0005-0000-0000-000067000000}"/>
    <cellStyle name="Normal 22 2" xfId="111" xr:uid="{00000000-0005-0000-0000-000068000000}"/>
    <cellStyle name="Normal 23" xfId="112" xr:uid="{00000000-0005-0000-0000-000069000000}"/>
    <cellStyle name="Normal 23 2" xfId="113" xr:uid="{00000000-0005-0000-0000-00006A000000}"/>
    <cellStyle name="Normal 24" xfId="137" xr:uid="{00000000-0005-0000-0000-00006B000000}"/>
    <cellStyle name="Normal 25" xfId="20" xr:uid="{00000000-0005-0000-0000-00006C000000}"/>
    <cellStyle name="Normal 25 2" xfId="131" xr:uid="{00000000-0005-0000-0000-00006D000000}"/>
    <cellStyle name="Normal 26" xfId="124" xr:uid="{00000000-0005-0000-0000-00006E000000}"/>
    <cellStyle name="Normal 26 2" xfId="141" xr:uid="{00000000-0005-0000-0000-00006F000000}"/>
    <cellStyle name="Normal 27" xfId="122" xr:uid="{00000000-0005-0000-0000-000070000000}"/>
    <cellStyle name="Normal 27 2" xfId="140" xr:uid="{00000000-0005-0000-0000-000071000000}"/>
    <cellStyle name="Normal 28" xfId="125" xr:uid="{00000000-0005-0000-0000-000072000000}"/>
    <cellStyle name="Normal 28 2" xfId="134" xr:uid="{00000000-0005-0000-0000-000073000000}"/>
    <cellStyle name="Normal 29" xfId="132" xr:uid="{00000000-0005-0000-0000-000074000000}"/>
    <cellStyle name="Normal 3" xfId="14" xr:uid="{00000000-0005-0000-0000-000075000000}"/>
    <cellStyle name="Normal 3 11" xfId="128" xr:uid="{00000000-0005-0000-0000-000076000000}"/>
    <cellStyle name="Normal 3 12" xfId="126" xr:uid="{00000000-0005-0000-0000-000077000000}"/>
    <cellStyle name="Normal 3 13" xfId="127" xr:uid="{00000000-0005-0000-0000-000078000000}"/>
    <cellStyle name="Normal 3 14" xfId="129" xr:uid="{00000000-0005-0000-0000-000079000000}"/>
    <cellStyle name="Normal 3 2" xfId="114" xr:uid="{00000000-0005-0000-0000-00007A000000}"/>
    <cellStyle name="Normal 3 2 2" xfId="151" xr:uid="{00000000-0005-0000-0000-00007B000000}"/>
    <cellStyle name="Normal 3 3" xfId="115" xr:uid="{00000000-0005-0000-0000-00007C000000}"/>
    <cellStyle name="Normal 3 3 2" xfId="152" xr:uid="{00000000-0005-0000-0000-00007D000000}"/>
    <cellStyle name="Normal 3 4" xfId="150" xr:uid="{00000000-0005-0000-0000-00007E000000}"/>
    <cellStyle name="Normal 30" xfId="139" xr:uid="{00000000-0005-0000-0000-00007F000000}"/>
    <cellStyle name="Normal 31" xfId="136" xr:uid="{00000000-0005-0000-0000-000080000000}"/>
    <cellStyle name="Normal 32" xfId="133" xr:uid="{00000000-0005-0000-0000-000081000000}"/>
    <cellStyle name="Normal 33" xfId="143" xr:uid="{00000000-0005-0000-0000-000082000000}"/>
    <cellStyle name="Normal 34" xfId="135" xr:uid="{00000000-0005-0000-0000-000083000000}"/>
    <cellStyle name="Normal 35" xfId="142" xr:uid="{00000000-0005-0000-0000-000084000000}"/>
    <cellStyle name="Normal 37" xfId="3" xr:uid="{00000000-0005-0000-0000-000085000000}"/>
    <cellStyle name="Normal 4" xfId="21" xr:uid="{00000000-0005-0000-0000-000086000000}"/>
    <cellStyle name="Normal 4 2" xfId="116" xr:uid="{00000000-0005-0000-0000-000087000000}"/>
    <cellStyle name="Normal 4 3" xfId="123" xr:uid="{00000000-0005-0000-0000-000088000000}"/>
    <cellStyle name="Normal 4 3 2" xfId="153" xr:uid="{00000000-0005-0000-0000-000089000000}"/>
    <cellStyle name="Normal 5" xfId="27" xr:uid="{00000000-0005-0000-0000-00008A000000}"/>
    <cellStyle name="Normal 5 2" xfId="117" xr:uid="{00000000-0005-0000-0000-00008B000000}"/>
    <cellStyle name="Normal 5 3" xfId="154" xr:uid="{00000000-0005-0000-0000-00008C000000}"/>
    <cellStyle name="Normal 6" xfId="8" xr:uid="{00000000-0005-0000-0000-00008D000000}"/>
    <cellStyle name="Normal 6 2" xfId="138" xr:uid="{00000000-0005-0000-0000-00008E000000}"/>
    <cellStyle name="Normal 6 2 2" xfId="155" xr:uid="{00000000-0005-0000-0000-00008F000000}"/>
    <cellStyle name="Normal 6 3" xfId="121" xr:uid="{00000000-0005-0000-0000-000090000000}"/>
    <cellStyle name="Normal 6 3 2" xfId="160" xr:uid="{00000000-0005-0000-0000-000091000000}"/>
    <cellStyle name="Normal 6 4" xfId="7" xr:uid="{00000000-0005-0000-0000-000092000000}"/>
    <cellStyle name="Normal 7" xfId="6" xr:uid="{00000000-0005-0000-0000-000093000000}"/>
    <cellStyle name="Normal 7 2" xfId="118" xr:uid="{00000000-0005-0000-0000-000094000000}"/>
    <cellStyle name="Normal 7 2 2" xfId="156" xr:uid="{00000000-0005-0000-0000-000095000000}"/>
    <cellStyle name="Normal 7 3" xfId="22" xr:uid="{00000000-0005-0000-0000-000096000000}"/>
    <cellStyle name="Normal 7 3 2" xfId="161" xr:uid="{00000000-0005-0000-0000-000097000000}"/>
    <cellStyle name="Normal 7 4" xfId="5" xr:uid="{00000000-0005-0000-0000-000098000000}"/>
    <cellStyle name="Normal 8" xfId="2" xr:uid="{00000000-0005-0000-0000-000099000000}"/>
    <cellStyle name="Normal 8 2" xfId="10" xr:uid="{00000000-0005-0000-0000-00009A000000}"/>
    <cellStyle name="Normal 8 2 2" xfId="119" xr:uid="{00000000-0005-0000-0000-00009B000000}"/>
    <cellStyle name="Normal 8 2 3" xfId="11" xr:uid="{00000000-0005-0000-0000-00009C000000}"/>
    <cellStyle name="Normal 8 3" xfId="23" xr:uid="{00000000-0005-0000-0000-00009D000000}"/>
    <cellStyle name="Normal 8 3 2" xfId="162" xr:uid="{00000000-0005-0000-0000-00009E000000}"/>
    <cellStyle name="Normal 8 4" xfId="145" xr:uid="{00000000-0005-0000-0000-00009F000000}"/>
    <cellStyle name="Normal 9" xfId="24" xr:uid="{00000000-0005-0000-0000-0000A0000000}"/>
    <cellStyle name="Normal 9 2" xfId="120" xr:uid="{00000000-0005-0000-0000-0000A1000000}"/>
    <cellStyle name="Normal 9 3" xfId="157" xr:uid="{00000000-0005-0000-0000-0000A2000000}"/>
    <cellStyle name="Percent 2" xfId="16" xr:uid="{00000000-0005-0000-0000-0000A3000000}"/>
  </cellStyles>
  <dxfs count="0"/>
  <tableStyles count="0" defaultTableStyle="TableStyleMedium2" defaultPivotStyle="PivotStyleLight16"/>
  <colors>
    <mruColors>
      <color rgb="FFFFE1E1"/>
      <color rgb="FF33CCCC"/>
      <color rgb="FF196563"/>
      <color rgb="FFC8F4F2"/>
      <color rgb="FFEAFAFA"/>
      <color rgb="FFFF9900"/>
      <color rgb="FF249390"/>
      <color rgb="FFEBFBFA"/>
      <color rgb="FFDDF8F7"/>
      <color rgb="FFE8D1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B3:E32"/>
  <sheetViews>
    <sheetView tabSelected="1" zoomScaleNormal="100" workbookViewId="0">
      <selection activeCell="M18" sqref="M18"/>
    </sheetView>
  </sheetViews>
  <sheetFormatPr defaultColWidth="9.140625" defaultRowHeight="15" x14ac:dyDescent="0.25"/>
  <cols>
    <col min="1" max="1" width="2.28515625" style="1" customWidth="1"/>
    <col min="2" max="2" width="19.85546875" style="1" customWidth="1"/>
    <col min="3" max="3" width="24" style="1" customWidth="1"/>
    <col min="4" max="16384" width="9.140625" style="1"/>
  </cols>
  <sheetData>
    <row r="3" spans="2:5" x14ac:dyDescent="0.25">
      <c r="B3" s="4" t="s">
        <v>11</v>
      </c>
    </row>
    <row r="5" spans="2:5" x14ac:dyDescent="0.25">
      <c r="B5" s="6" t="s">
        <v>3</v>
      </c>
      <c r="C5" s="6"/>
      <c r="D5" s="2" t="s">
        <v>2</v>
      </c>
      <c r="E5" s="2" t="s">
        <v>1</v>
      </c>
    </row>
    <row r="6" spans="2:5" x14ac:dyDescent="0.25">
      <c r="B6" s="9" t="s">
        <v>5</v>
      </c>
      <c r="C6" s="1" t="s">
        <v>6</v>
      </c>
      <c r="D6" s="5">
        <v>309</v>
      </c>
      <c r="E6" s="5">
        <v>262</v>
      </c>
    </row>
    <row r="7" spans="2:5" x14ac:dyDescent="0.25">
      <c r="B7" s="9"/>
      <c r="C7" s="1" t="s">
        <v>7</v>
      </c>
      <c r="D7" s="5">
        <v>452</v>
      </c>
      <c r="E7" s="5">
        <v>431</v>
      </c>
    </row>
    <row r="8" spans="2:5" x14ac:dyDescent="0.25">
      <c r="B8" s="9" t="s">
        <v>8</v>
      </c>
      <c r="C8" s="1" t="s">
        <v>6</v>
      </c>
      <c r="D8" s="5">
        <v>27</v>
      </c>
      <c r="E8" s="5">
        <v>55</v>
      </c>
    </row>
    <row r="9" spans="2:5" x14ac:dyDescent="0.25">
      <c r="B9" s="9"/>
      <c r="C9" s="1" t="s">
        <v>7</v>
      </c>
      <c r="D9" s="5">
        <v>52</v>
      </c>
      <c r="E9" s="5">
        <v>107</v>
      </c>
    </row>
    <row r="10" spans="2:5" x14ac:dyDescent="0.25">
      <c r="B10" s="7" t="s">
        <v>0</v>
      </c>
      <c r="C10" s="7"/>
      <c r="D10" s="3">
        <f>SUM(D6:D9)</f>
        <v>840</v>
      </c>
      <c r="E10" s="3">
        <f>SUM(E6:E9)</f>
        <v>855</v>
      </c>
    </row>
    <row r="11" spans="2:5" x14ac:dyDescent="0.25">
      <c r="B11" s="8" t="s">
        <v>4</v>
      </c>
      <c r="C11" s="8"/>
      <c r="D11" s="8"/>
      <c r="E11" s="8"/>
    </row>
    <row r="14" spans="2:5" x14ac:dyDescent="0.25">
      <c r="B14" s="4" t="s">
        <v>10</v>
      </c>
    </row>
    <row r="16" spans="2:5" x14ac:dyDescent="0.25">
      <c r="B16" s="6" t="s">
        <v>3</v>
      </c>
      <c r="C16" s="6"/>
      <c r="D16" s="2" t="s">
        <v>2</v>
      </c>
      <c r="E16" s="2" t="s">
        <v>1</v>
      </c>
    </row>
    <row r="17" spans="2:5" x14ac:dyDescent="0.25">
      <c r="B17" s="9" t="s">
        <v>5</v>
      </c>
      <c r="C17" s="1" t="s">
        <v>6</v>
      </c>
      <c r="D17" s="5">
        <v>634</v>
      </c>
      <c r="E17" s="5">
        <v>526</v>
      </c>
    </row>
    <row r="18" spans="2:5" x14ac:dyDescent="0.25">
      <c r="B18" s="9"/>
      <c r="C18" s="1" t="s">
        <v>7</v>
      </c>
      <c r="D18" s="5">
        <v>159</v>
      </c>
      <c r="E18" s="5">
        <v>179</v>
      </c>
    </row>
    <row r="19" spans="2:5" x14ac:dyDescent="0.25">
      <c r="B19" s="9" t="s">
        <v>8</v>
      </c>
      <c r="C19" s="1" t="s">
        <v>6</v>
      </c>
      <c r="D19" s="5">
        <v>31</v>
      </c>
      <c r="E19" s="5">
        <v>97</v>
      </c>
    </row>
    <row r="20" spans="2:5" x14ac:dyDescent="0.25">
      <c r="B20" s="9"/>
      <c r="C20" s="1" t="s">
        <v>7</v>
      </c>
      <c r="D20" s="5">
        <v>21</v>
      </c>
      <c r="E20" s="5">
        <v>53</v>
      </c>
    </row>
    <row r="21" spans="2:5" x14ac:dyDescent="0.25">
      <c r="B21" s="7" t="s">
        <v>0</v>
      </c>
      <c r="C21" s="7"/>
      <c r="D21" s="3">
        <f>SUM(D17:D20)</f>
        <v>845</v>
      </c>
      <c r="E21" s="3">
        <f>SUM(E17:E20)</f>
        <v>855</v>
      </c>
    </row>
    <row r="22" spans="2:5" x14ac:dyDescent="0.25">
      <c r="B22" s="8" t="s">
        <v>4</v>
      </c>
      <c r="C22" s="8"/>
      <c r="D22" s="8"/>
      <c r="E22" s="8"/>
    </row>
    <row r="24" spans="2:5" x14ac:dyDescent="0.25">
      <c r="B24" s="4" t="s">
        <v>9</v>
      </c>
    </row>
    <row r="26" spans="2:5" x14ac:dyDescent="0.25">
      <c r="B26" s="6" t="s">
        <v>3</v>
      </c>
      <c r="C26" s="6"/>
      <c r="D26" s="2" t="s">
        <v>2</v>
      </c>
      <c r="E26" s="2" t="s">
        <v>1</v>
      </c>
    </row>
    <row r="27" spans="2:5" x14ac:dyDescent="0.25">
      <c r="B27" s="9" t="s">
        <v>5</v>
      </c>
      <c r="C27" s="1" t="s">
        <v>6</v>
      </c>
      <c r="D27" s="5">
        <f>136-36+15</f>
        <v>115</v>
      </c>
      <c r="E27" s="5">
        <f>233-87+34</f>
        <v>180</v>
      </c>
    </row>
    <row r="28" spans="2:5" x14ac:dyDescent="0.25">
      <c r="B28" s="9"/>
      <c r="C28" s="1" t="s">
        <v>7</v>
      </c>
      <c r="D28" s="5">
        <f>15+9</f>
        <v>24</v>
      </c>
      <c r="E28" s="5">
        <f>29+13</f>
        <v>42</v>
      </c>
    </row>
    <row r="29" spans="2:5" x14ac:dyDescent="0.25">
      <c r="B29" s="9" t="s">
        <v>8</v>
      </c>
      <c r="C29" s="1" t="s">
        <v>6</v>
      </c>
      <c r="D29" s="5">
        <f>42+12</f>
        <v>54</v>
      </c>
      <c r="E29" s="5">
        <f>75+27</f>
        <v>102</v>
      </c>
    </row>
    <row r="30" spans="2:5" x14ac:dyDescent="0.25">
      <c r="B30" s="9"/>
      <c r="C30" s="1" t="s">
        <v>7</v>
      </c>
      <c r="D30" s="5">
        <f>4+1</f>
        <v>5</v>
      </c>
      <c r="E30" s="5">
        <f>9+9</f>
        <v>18</v>
      </c>
    </row>
    <row r="31" spans="2:5" x14ac:dyDescent="0.25">
      <c r="B31" s="7" t="s">
        <v>0</v>
      </c>
      <c r="C31" s="7"/>
      <c r="D31" s="3">
        <f>SUM(D27:D30)</f>
        <v>198</v>
      </c>
      <c r="E31" s="3">
        <f>SUM(E27:E30)</f>
        <v>342</v>
      </c>
    </row>
    <row r="32" spans="2:5" x14ac:dyDescent="0.25">
      <c r="B32" s="8" t="s">
        <v>4</v>
      </c>
      <c r="C32" s="8"/>
      <c r="D32" s="8"/>
      <c r="E32" s="8"/>
    </row>
  </sheetData>
  <mergeCells count="9">
    <mergeCell ref="B22:E22"/>
    <mergeCell ref="B27:B28"/>
    <mergeCell ref="B29:B30"/>
    <mergeCell ref="B32:E32"/>
    <mergeCell ref="B6:B7"/>
    <mergeCell ref="B8:B9"/>
    <mergeCell ref="B11:E11"/>
    <mergeCell ref="B17:B18"/>
    <mergeCell ref="B19:B20"/>
  </mergeCells>
  <pageMargins left="0.7" right="0.7" top="0.75" bottom="0.75" header="0.3" footer="0.3"/>
  <pageSetup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7.28</vt:lpstr>
      <vt:lpstr>'7.28'!Print_Area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2023-03-08T04:37:11Z</cp:lastPrinted>
  <dcterms:created xsi:type="dcterms:W3CDTF">2019-02-28T08:20:57Z</dcterms:created>
  <dcterms:modified xsi:type="dcterms:W3CDTF">2023-03-08T04:37:15Z</dcterms:modified>
</cp:coreProperties>
</file>