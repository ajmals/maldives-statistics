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ducation\"/>
    </mc:Choice>
  </mc:AlternateContent>
  <xr:revisionPtr revIDLastSave="0" documentId="13_ncr:1_{9A589D50-AE33-4645-BEF9-F8AC1557B921}" xr6:coauthVersionLast="47" xr6:coauthVersionMax="47" xr10:uidLastSave="{00000000-0000-0000-0000-000000000000}"/>
  <bookViews>
    <workbookView xWindow="-120" yWindow="-120" windowWidth="29040" windowHeight="15840" tabRatio="837" xr2:uid="{00000000-000D-0000-FFFF-FFFF00000000}"/>
  </bookViews>
  <sheets>
    <sheet name="7.25" sheetId="39" r:id="rId1"/>
  </sheets>
  <definedNames>
    <definedName name="_xlnm.Print_Area" localSheetId="0">'7.25'!$A$1:$AH$152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49" i="39" l="1"/>
  <c r="AC149" i="39"/>
  <c r="Z149" i="39"/>
  <c r="W149" i="39"/>
  <c r="T149" i="39"/>
  <c r="AF148" i="39"/>
  <c r="AC148" i="39"/>
  <c r="Z148" i="39"/>
  <c r="W148" i="39"/>
  <c r="T148" i="39"/>
  <c r="R148" i="39"/>
  <c r="Q148" i="39"/>
  <c r="AH147" i="39"/>
  <c r="AG147" i="39"/>
  <c r="AF147" i="39" s="1"/>
  <c r="AH146" i="39"/>
  <c r="AH141" i="39" s="1"/>
  <c r="AG146" i="39"/>
  <c r="AF146" i="39" s="1"/>
  <c r="AG145" i="39"/>
  <c r="AF145" i="39"/>
  <c r="AG144" i="39"/>
  <c r="AF144" i="39"/>
  <c r="AC144" i="39"/>
  <c r="AC141" i="39" s="1"/>
  <c r="AG143" i="39"/>
  <c r="AF143" i="39" s="1"/>
  <c r="AC143" i="39"/>
  <c r="AF142" i="39"/>
  <c r="AC142" i="39"/>
  <c r="AE141" i="39"/>
  <c r="AD141" i="39"/>
  <c r="AH140" i="39"/>
  <c r="AG140" i="39"/>
  <c r="AF140" i="39"/>
  <c r="AH139" i="39"/>
  <c r="AG139" i="39"/>
  <c r="AF139" i="39"/>
  <c r="AH138" i="39"/>
  <c r="AG138" i="39"/>
  <c r="AF138" i="39" s="1"/>
  <c r="AH137" i="39"/>
  <c r="AG137" i="39"/>
  <c r="AF137" i="39"/>
  <c r="AH136" i="39"/>
  <c r="AG136" i="39"/>
  <c r="AF136" i="39" s="1"/>
  <c r="AH135" i="39"/>
  <c r="AG135" i="39"/>
  <c r="AF135" i="39" s="1"/>
  <c r="AH134" i="39"/>
  <c r="AG134" i="39"/>
  <c r="AF134" i="39" s="1"/>
  <c r="AH133" i="39"/>
  <c r="AG133" i="39"/>
  <c r="AF133" i="39" s="1"/>
  <c r="AH132" i="39"/>
  <c r="AG132" i="39"/>
  <c r="AF132" i="39"/>
  <c r="AH131" i="39"/>
  <c r="AG131" i="39"/>
  <c r="AF131" i="39"/>
  <c r="AH130" i="39"/>
  <c r="AG130" i="39"/>
  <c r="AF130" i="39" s="1"/>
  <c r="AH129" i="39"/>
  <c r="AG129" i="39"/>
  <c r="AF129" i="39"/>
  <c r="AH128" i="39"/>
  <c r="AG128" i="39"/>
  <c r="AF128" i="39" s="1"/>
  <c r="AH127" i="39"/>
  <c r="AF127" i="39" s="1"/>
  <c r="AG127" i="39"/>
  <c r="AH126" i="39"/>
  <c r="AG126" i="39"/>
  <c r="AF126" i="39" s="1"/>
  <c r="AH125" i="39"/>
  <c r="AG125" i="39"/>
  <c r="AF125" i="39" s="1"/>
  <c r="AH124" i="39"/>
  <c r="AF124" i="39"/>
  <c r="AC124" i="39"/>
  <c r="AH123" i="39"/>
  <c r="AH118" i="39" s="1"/>
  <c r="AG123" i="39"/>
  <c r="AF123" i="39"/>
  <c r="AC123" i="39"/>
  <c r="AH122" i="39"/>
  <c r="AG122" i="39"/>
  <c r="AF122" i="39"/>
  <c r="AC122" i="39"/>
  <c r="Z121" i="39"/>
  <c r="Z120" i="39"/>
  <c r="Z119" i="39"/>
  <c r="AE118" i="39"/>
  <c r="AD118" i="39"/>
  <c r="AC118" i="39"/>
  <c r="AB118" i="39"/>
  <c r="AA118" i="39"/>
  <c r="Z118" i="39" s="1"/>
  <c r="AH117" i="39"/>
  <c r="AG117" i="39"/>
  <c r="AF117" i="39"/>
  <c r="AH116" i="39"/>
  <c r="AG116" i="39"/>
  <c r="AF116" i="39" s="1"/>
  <c r="AE116" i="39"/>
  <c r="AE108" i="39" s="1"/>
  <c r="AC108" i="39" s="1"/>
  <c r="AD116" i="39"/>
  <c r="AC116" i="39" s="1"/>
  <c r="Z116" i="39"/>
  <c r="AF115" i="39"/>
  <c r="AC115" i="39"/>
  <c r="Z115" i="39"/>
  <c r="W115" i="39"/>
  <c r="AH114" i="39"/>
  <c r="AG114" i="39"/>
  <c r="AF114" i="39" s="1"/>
  <c r="AE114" i="39"/>
  <c r="AD114" i="39"/>
  <c r="AC114" i="39"/>
  <c r="Z114" i="39"/>
  <c r="W114" i="39"/>
  <c r="AH113" i="39"/>
  <c r="AG113" i="39"/>
  <c r="AF113" i="39" s="1"/>
  <c r="AC113" i="39"/>
  <c r="Z113" i="39"/>
  <c r="W113" i="39"/>
  <c r="AH112" i="39"/>
  <c r="AG112" i="39"/>
  <c r="AF112" i="39"/>
  <c r="AC112" i="39"/>
  <c r="Z112" i="39"/>
  <c r="W112" i="39"/>
  <c r="AH111" i="39"/>
  <c r="AG111" i="39"/>
  <c r="AF111" i="39"/>
  <c r="AC111" i="39"/>
  <c r="Z111" i="39"/>
  <c r="W111" i="39"/>
  <c r="AH110" i="39"/>
  <c r="AG110" i="39"/>
  <c r="AF110" i="39"/>
  <c r="AC110" i="39"/>
  <c r="Z110" i="39"/>
  <c r="W110" i="39"/>
  <c r="AH109" i="39"/>
  <c r="AH108" i="39" s="1"/>
  <c r="AG109" i="39"/>
  <c r="AF109" i="39" s="1"/>
  <c r="AC109" i="39"/>
  <c r="Z109" i="39"/>
  <c r="W109" i="39"/>
  <c r="W108" i="39" s="1"/>
  <c r="T109" i="39"/>
  <c r="T108" i="39" s="1"/>
  <c r="AG108" i="39"/>
  <c r="AD108" i="39"/>
  <c r="AB108" i="39"/>
  <c r="AA108" i="39"/>
  <c r="Z108" i="39" s="1"/>
  <c r="Y108" i="39"/>
  <c r="X108" i="39"/>
  <c r="U108" i="39"/>
  <c r="AF107" i="39"/>
  <c r="AC107" i="39"/>
  <c r="Z107" i="39"/>
  <c r="W107" i="39"/>
  <c r="W100" i="39" s="1"/>
  <c r="T107" i="39"/>
  <c r="AF106" i="39"/>
  <c r="AC106" i="39"/>
  <c r="Z106" i="39"/>
  <c r="W106" i="39"/>
  <c r="T106" i="39"/>
  <c r="Q106" i="39"/>
  <c r="N106" i="39"/>
  <c r="AF105" i="39"/>
  <c r="AC105" i="39"/>
  <c r="Z105" i="39"/>
  <c r="W105" i="39"/>
  <c r="T105" i="39"/>
  <c r="R105" i="39"/>
  <c r="Q105" i="39" s="1"/>
  <c r="N105" i="39"/>
  <c r="AF104" i="39"/>
  <c r="AC104" i="39"/>
  <c r="Z104" i="39"/>
  <c r="W104" i="39"/>
  <c r="T104" i="39"/>
  <c r="R104" i="39"/>
  <c r="Q104" i="39" s="1"/>
  <c r="N104" i="39"/>
  <c r="AF103" i="39"/>
  <c r="AC103" i="39"/>
  <c r="Z103" i="39"/>
  <c r="W103" i="39"/>
  <c r="T103" i="39"/>
  <c r="R103" i="39"/>
  <c r="R100" i="39" s="1"/>
  <c r="O103" i="39"/>
  <c r="N103" i="39" s="1"/>
  <c r="AF102" i="39"/>
  <c r="AC102" i="39"/>
  <c r="Z102" i="39"/>
  <c r="W102" i="39"/>
  <c r="T102" i="39"/>
  <c r="Q102" i="39"/>
  <c r="N102" i="39"/>
  <c r="AF101" i="39"/>
  <c r="AC101" i="39"/>
  <c r="Z101" i="39"/>
  <c r="W101" i="39"/>
  <c r="U101" i="39"/>
  <c r="T101" i="39"/>
  <c r="T100" i="39" s="1"/>
  <c r="Q101" i="39"/>
  <c r="N101" i="39"/>
  <c r="N100" i="39" s="1"/>
  <c r="AH100" i="39"/>
  <c r="AG100" i="39"/>
  <c r="AF100" i="39" s="1"/>
  <c r="AE100" i="39"/>
  <c r="AD100" i="39"/>
  <c r="AC100" i="39"/>
  <c r="AB100" i="39"/>
  <c r="AA100" i="39"/>
  <c r="Z100" i="39" s="1"/>
  <c r="Y100" i="39"/>
  <c r="X100" i="39"/>
  <c r="V100" i="39"/>
  <c r="U100" i="39"/>
  <c r="S100" i="39"/>
  <c r="P100" i="39"/>
  <c r="H100" i="39"/>
  <c r="E100" i="39"/>
  <c r="B100" i="39"/>
  <c r="AF99" i="39"/>
  <c r="AC99" i="39"/>
  <c r="Z99" i="39"/>
  <c r="AF98" i="39"/>
  <c r="AC98" i="39"/>
  <c r="Z98" i="39"/>
  <c r="W98" i="39"/>
  <c r="T98" i="39"/>
  <c r="H98" i="39"/>
  <c r="E98" i="39"/>
  <c r="B98" i="39"/>
  <c r="AF97" i="39"/>
  <c r="AC97" i="39"/>
  <c r="Z97" i="39"/>
  <c r="W97" i="39"/>
  <c r="T97" i="39"/>
  <c r="AF96" i="39"/>
  <c r="AC96" i="39"/>
  <c r="Z96" i="39"/>
  <c r="W96" i="39"/>
  <c r="T96" i="39"/>
  <c r="AF95" i="39"/>
  <c r="AC95" i="39"/>
  <c r="Z95" i="39"/>
  <c r="W95" i="39"/>
  <c r="T95" i="39"/>
  <c r="AF94" i="39"/>
  <c r="AC94" i="39"/>
  <c r="Z94" i="39"/>
  <c r="W94" i="39"/>
  <c r="T94" i="39"/>
  <c r="AF93" i="39"/>
  <c r="AC93" i="39"/>
  <c r="Z93" i="39"/>
  <c r="W93" i="39"/>
  <c r="T93" i="39"/>
  <c r="AF92" i="39"/>
  <c r="AC92" i="39"/>
  <c r="Z92" i="39"/>
  <c r="W92" i="39"/>
  <c r="T92" i="39"/>
  <c r="AF91" i="39"/>
  <c r="AC91" i="39"/>
  <c r="Z91" i="39"/>
  <c r="W91" i="39"/>
  <c r="T91" i="39"/>
  <c r="AF90" i="39"/>
  <c r="AC90" i="39"/>
  <c r="Z90" i="39"/>
  <c r="W90" i="39"/>
  <c r="T90" i="39"/>
  <c r="AF89" i="39"/>
  <c r="AC89" i="39"/>
  <c r="Z89" i="39"/>
  <c r="W89" i="39"/>
  <c r="T89" i="39"/>
  <c r="AF88" i="39"/>
  <c r="AC88" i="39"/>
  <c r="Z88" i="39"/>
  <c r="W88" i="39"/>
  <c r="T88" i="39"/>
  <c r="AF87" i="39"/>
  <c r="AC87" i="39"/>
  <c r="Z87" i="39"/>
  <c r="W87" i="39"/>
  <c r="T87" i="39"/>
  <c r="AF86" i="39"/>
  <c r="AC86" i="39"/>
  <c r="Z86" i="39"/>
  <c r="W86" i="39"/>
  <c r="T86" i="39"/>
  <c r="AF85" i="39"/>
  <c r="AC85" i="39"/>
  <c r="AA85" i="39"/>
  <c r="Z85" i="39"/>
  <c r="W85" i="39"/>
  <c r="T85" i="39"/>
  <c r="Q85" i="39"/>
  <c r="AG84" i="39"/>
  <c r="AF84" i="39"/>
  <c r="AD84" i="39"/>
  <c r="AC84" i="39"/>
  <c r="AA84" i="39"/>
  <c r="Z84" i="39"/>
  <c r="X84" i="39"/>
  <c r="W84" i="39"/>
  <c r="U84" i="39"/>
  <c r="T84" i="39"/>
  <c r="R84" i="39"/>
  <c r="Q84" i="39"/>
  <c r="AF83" i="39"/>
  <c r="AC83" i="39"/>
  <c r="AF82" i="39"/>
  <c r="AC82" i="39"/>
  <c r="Z82" i="39"/>
  <c r="W82" i="39"/>
  <c r="T82" i="39"/>
  <c r="AF81" i="39"/>
  <c r="AC81" i="39"/>
  <c r="Z81" i="39"/>
  <c r="W81" i="39"/>
  <c r="T81" i="39"/>
  <c r="AF80" i="39"/>
  <c r="AC80" i="39"/>
  <c r="Z80" i="39"/>
  <c r="W80" i="39"/>
  <c r="T80" i="39"/>
  <c r="AF79" i="39"/>
  <c r="AC79" i="39"/>
  <c r="Z79" i="39"/>
  <c r="W79" i="39"/>
  <c r="T79" i="39"/>
  <c r="AF78" i="39"/>
  <c r="AC78" i="39"/>
  <c r="Z78" i="39"/>
  <c r="W78" i="39"/>
  <c r="T78" i="39"/>
  <c r="AF77" i="39"/>
  <c r="AC77" i="39"/>
  <c r="Z77" i="39"/>
  <c r="W77" i="39"/>
  <c r="T77" i="39"/>
  <c r="AF76" i="39"/>
  <c r="AC76" i="39"/>
  <c r="Z76" i="39"/>
  <c r="W76" i="39"/>
  <c r="T76" i="39"/>
  <c r="AF75" i="39"/>
  <c r="AC75" i="39"/>
  <c r="Z75" i="39"/>
  <c r="W75" i="39"/>
  <c r="T75" i="39"/>
  <c r="AF74" i="39"/>
  <c r="AC74" i="39"/>
  <c r="Z74" i="39"/>
  <c r="W74" i="39"/>
  <c r="T74" i="39"/>
  <c r="AF73" i="39"/>
  <c r="AC73" i="39"/>
  <c r="Z73" i="39"/>
  <c r="W73" i="39"/>
  <c r="T73" i="39"/>
  <c r="AF72" i="39"/>
  <c r="AC72" i="39"/>
  <c r="Z72" i="39"/>
  <c r="W72" i="39"/>
  <c r="T72" i="39"/>
  <c r="AF71" i="39"/>
  <c r="AC71" i="39"/>
  <c r="Z71" i="39"/>
  <c r="W71" i="39"/>
  <c r="T71" i="39"/>
  <c r="AF70" i="39"/>
  <c r="AC70" i="39"/>
  <c r="Z70" i="39"/>
  <c r="W70" i="39"/>
  <c r="T70" i="39"/>
  <c r="AF69" i="39"/>
  <c r="AC69" i="39"/>
  <c r="Z69" i="39"/>
  <c r="W69" i="39"/>
  <c r="T69" i="39"/>
  <c r="AF68" i="39"/>
  <c r="AC68" i="39"/>
  <c r="Z68" i="39"/>
  <c r="W68" i="39"/>
  <c r="T68" i="39"/>
  <c r="Q68" i="39"/>
  <c r="N68" i="39"/>
  <c r="AH67" i="39"/>
  <c r="AG67" i="39"/>
  <c r="AF67" i="39"/>
  <c r="AE67" i="39"/>
  <c r="AD67" i="39"/>
  <c r="AC67" i="39" s="1"/>
  <c r="AB67" i="39"/>
  <c r="Z67" i="39" s="1"/>
  <c r="AA67" i="39"/>
  <c r="Y67" i="39"/>
  <c r="X67" i="39"/>
  <c r="W67" i="39" s="1"/>
  <c r="T67" i="39"/>
  <c r="R67" i="39"/>
  <c r="Q67" i="39"/>
  <c r="P67" i="39"/>
  <c r="O67" i="39"/>
  <c r="N67" i="39"/>
  <c r="AF66" i="39"/>
  <c r="AC66" i="39"/>
  <c r="AF65" i="39"/>
  <c r="AC65" i="39"/>
  <c r="Z65" i="39"/>
  <c r="AF64" i="39"/>
  <c r="AC64" i="39"/>
  <c r="Z64" i="39"/>
  <c r="AF63" i="39"/>
  <c r="AC63" i="39"/>
  <c r="Z63" i="39"/>
  <c r="AF62" i="39"/>
  <c r="AC62" i="39"/>
  <c r="Z62" i="39"/>
  <c r="AF61" i="39"/>
  <c r="AC61" i="39"/>
  <c r="Z61" i="39"/>
  <c r="W61" i="39"/>
  <c r="AH60" i="39"/>
  <c r="AG60" i="39"/>
  <c r="AF60" i="39"/>
  <c r="AC60" i="39"/>
  <c r="Z60" i="39"/>
  <c r="W60" i="39"/>
  <c r="T60" i="39"/>
  <c r="Q60" i="39"/>
  <c r="N60" i="39"/>
  <c r="B60" i="39"/>
  <c r="AF59" i="39"/>
  <c r="AC59" i="39"/>
  <c r="Z59" i="39"/>
  <c r="W59" i="39"/>
  <c r="T59" i="39"/>
  <c r="O59" i="39"/>
  <c r="N59" i="39"/>
  <c r="B59" i="39"/>
  <c r="AF58" i="39"/>
  <c r="AC58" i="39"/>
  <c r="Z58" i="39"/>
  <c r="W58" i="39"/>
  <c r="T58" i="39"/>
  <c r="Q58" i="39"/>
  <c r="AH57" i="39"/>
  <c r="AH56" i="39" s="1"/>
  <c r="AG57" i="39"/>
  <c r="AF57" i="39"/>
  <c r="AC57" i="39"/>
  <c r="Z57" i="39"/>
  <c r="X57" i="39"/>
  <c r="W57" i="39" s="1"/>
  <c r="U57" i="39"/>
  <c r="T57" i="39"/>
  <c r="Q57" i="39"/>
  <c r="O57" i="39"/>
  <c r="N57" i="39" s="1"/>
  <c r="N56" i="39" s="1"/>
  <c r="N44" i="39" s="1"/>
  <c r="AG56" i="39"/>
  <c r="AF56" i="39" s="1"/>
  <c r="AE56" i="39"/>
  <c r="AD56" i="39"/>
  <c r="AC56" i="39" s="1"/>
  <c r="AB56" i="39"/>
  <c r="AA56" i="39"/>
  <c r="Z56" i="39" s="1"/>
  <c r="Y56" i="39"/>
  <c r="X56" i="39"/>
  <c r="W56" i="39" s="1"/>
  <c r="U56" i="39"/>
  <c r="U44" i="39" s="1"/>
  <c r="T44" i="39" s="1"/>
  <c r="R56" i="39"/>
  <c r="Q56" i="39"/>
  <c r="AF55" i="39"/>
  <c r="AC55" i="39"/>
  <c r="Z55" i="39"/>
  <c r="W55" i="39"/>
  <c r="T55" i="39"/>
  <c r="AF54" i="39"/>
  <c r="AC54" i="39"/>
  <c r="Z54" i="39"/>
  <c r="W54" i="39"/>
  <c r="T54" i="39"/>
  <c r="Q54" i="39"/>
  <c r="Q48" i="39" s="1"/>
  <c r="AF53" i="39"/>
  <c r="AC53" i="39"/>
  <c r="Z53" i="39"/>
  <c r="W53" i="39"/>
  <c r="T53" i="39"/>
  <c r="AF52" i="39"/>
  <c r="AC52" i="39"/>
  <c r="Z52" i="39"/>
  <c r="W52" i="39"/>
  <c r="T52" i="39"/>
  <c r="AF51" i="39"/>
  <c r="AC51" i="39"/>
  <c r="Z51" i="39"/>
  <c r="W51" i="39"/>
  <c r="T51" i="39"/>
  <c r="AF50" i="39"/>
  <c r="AC50" i="39"/>
  <c r="Z50" i="39"/>
  <c r="W50" i="39"/>
  <c r="T50" i="39"/>
  <c r="AF49" i="39"/>
  <c r="AC49" i="39"/>
  <c r="Z49" i="39"/>
  <c r="W49" i="39"/>
  <c r="T49" i="39"/>
  <c r="AH48" i="39"/>
  <c r="AG48" i="39"/>
  <c r="AF48" i="39" s="1"/>
  <c r="AE48" i="39"/>
  <c r="AD48" i="39"/>
  <c r="AC48" i="39" s="1"/>
  <c r="AB48" i="39"/>
  <c r="AA48" i="39"/>
  <c r="Z48" i="39"/>
  <c r="Y48" i="39"/>
  <c r="X48" i="39"/>
  <c r="W48" i="39"/>
  <c r="T48" i="39"/>
  <c r="S48" i="39"/>
  <c r="R48" i="39"/>
  <c r="R44" i="39" s="1"/>
  <c r="AF47" i="39"/>
  <c r="AC47" i="39"/>
  <c r="Z47" i="39"/>
  <c r="AH46" i="39"/>
  <c r="AH45" i="39" s="1"/>
  <c r="AH44" i="39" s="1"/>
  <c r="AG46" i="39"/>
  <c r="AF46" i="39" s="1"/>
  <c r="AC46" i="39"/>
  <c r="Z46" i="39"/>
  <c r="W46" i="39"/>
  <c r="T46" i="39"/>
  <c r="AG45" i="39"/>
  <c r="AG44" i="39" s="1"/>
  <c r="AE45" i="39"/>
  <c r="AD45" i="39"/>
  <c r="AD44" i="39" s="1"/>
  <c r="AC44" i="39" s="1"/>
  <c r="AB45" i="39"/>
  <c r="AB44" i="39" s="1"/>
  <c r="AB7" i="39" s="1"/>
  <c r="AA45" i="39"/>
  <c r="Z45" i="39" s="1"/>
  <c r="Y45" i="39"/>
  <c r="X45" i="39"/>
  <c r="X44" i="39" s="1"/>
  <c r="W44" i="39" s="1"/>
  <c r="T45" i="39"/>
  <c r="R45" i="39"/>
  <c r="Q45" i="39"/>
  <c r="Q44" i="39" s="1"/>
  <c r="AE44" i="39"/>
  <c r="AA44" i="39"/>
  <c r="Z44" i="39" s="1"/>
  <c r="S44" i="39"/>
  <c r="P44" i="39"/>
  <c r="AF43" i="39"/>
  <c r="AC43" i="39"/>
  <c r="Z43" i="39"/>
  <c r="W43" i="39"/>
  <c r="T43" i="39"/>
  <c r="AF42" i="39"/>
  <c r="AC42" i="39"/>
  <c r="Z42" i="39"/>
  <c r="W42" i="39"/>
  <c r="T42" i="39"/>
  <c r="AH41" i="39"/>
  <c r="AG41" i="39"/>
  <c r="AF41" i="39"/>
  <c r="AC41" i="39"/>
  <c r="Z41" i="39"/>
  <c r="Y41" i="39"/>
  <c r="X41" i="39"/>
  <c r="W41" i="39" s="1"/>
  <c r="U41" i="39"/>
  <c r="U33" i="39" s="1"/>
  <c r="AH40" i="39"/>
  <c r="AH33" i="39" s="1"/>
  <c r="AG40" i="39"/>
  <c r="AF40" i="39" s="1"/>
  <c r="AC40" i="39"/>
  <c r="Z40" i="39"/>
  <c r="W40" i="39"/>
  <c r="T40" i="39"/>
  <c r="Q40" i="39"/>
  <c r="N40" i="39"/>
  <c r="H40" i="39"/>
  <c r="AF39" i="39"/>
  <c r="AC39" i="39"/>
  <c r="Z39" i="39"/>
  <c r="W39" i="39"/>
  <c r="V39" i="39"/>
  <c r="V33" i="39" s="1"/>
  <c r="V8" i="39" s="1"/>
  <c r="V7" i="39" s="1"/>
  <c r="Q39" i="39"/>
  <c r="AF38" i="39"/>
  <c r="AC38" i="39"/>
  <c r="Z38" i="39"/>
  <c r="W38" i="39"/>
  <c r="T38" i="39"/>
  <c r="Q38" i="39"/>
  <c r="Q33" i="39" s="1"/>
  <c r="AH37" i="39"/>
  <c r="AG37" i="39"/>
  <c r="AF37" i="39" s="1"/>
  <c r="AD37" i="39"/>
  <c r="AC37" i="39"/>
  <c r="Z37" i="39"/>
  <c r="X37" i="39"/>
  <c r="W37" i="39"/>
  <c r="U37" i="39"/>
  <c r="T37" i="39"/>
  <c r="Q37" i="39"/>
  <c r="N37" i="39"/>
  <c r="AH36" i="39"/>
  <c r="AG36" i="39"/>
  <c r="AF36" i="39" s="1"/>
  <c r="AC36" i="39"/>
  <c r="Z36" i="39"/>
  <c r="X36" i="39"/>
  <c r="W36" i="39" s="1"/>
  <c r="U36" i="39"/>
  <c r="T36" i="39"/>
  <c r="Q36" i="39"/>
  <c r="N36" i="39"/>
  <c r="AH35" i="39"/>
  <c r="AG35" i="39"/>
  <c r="AF35" i="39"/>
  <c r="AC35" i="39"/>
  <c r="Z35" i="39"/>
  <c r="X35" i="39"/>
  <c r="W35" i="39"/>
  <c r="U35" i="39"/>
  <c r="T35" i="39"/>
  <c r="Q35" i="39"/>
  <c r="N35" i="39"/>
  <c r="N33" i="39" s="1"/>
  <c r="AF34" i="39"/>
  <c r="AC34" i="39"/>
  <c r="Z34" i="39"/>
  <c r="W34" i="39"/>
  <c r="T34" i="39"/>
  <c r="AE33" i="39"/>
  <c r="AD33" i="39"/>
  <c r="AC33" i="39"/>
  <c r="AB33" i="39"/>
  <c r="AA33" i="39"/>
  <c r="Z33" i="39"/>
  <c r="Y33" i="39"/>
  <c r="X33" i="39"/>
  <c r="W33" i="39" s="1"/>
  <c r="S33" i="39"/>
  <c r="R33" i="39"/>
  <c r="P33" i="39"/>
  <c r="O33" i="39"/>
  <c r="AH32" i="39"/>
  <c r="AG32" i="39"/>
  <c r="AF32" i="39" s="1"/>
  <c r="AH31" i="39"/>
  <c r="AH19" i="39" s="1"/>
  <c r="AG31" i="39"/>
  <c r="AF31" i="39"/>
  <c r="AD31" i="39"/>
  <c r="AC31" i="39" s="1"/>
  <c r="Z31" i="39"/>
  <c r="AH30" i="39"/>
  <c r="AG30" i="39"/>
  <c r="AF30" i="39"/>
  <c r="AD30" i="39"/>
  <c r="AC30" i="39"/>
  <c r="Z30" i="39"/>
  <c r="AF29" i="39"/>
  <c r="AC29" i="39"/>
  <c r="Z29" i="39"/>
  <c r="W29" i="39"/>
  <c r="T29" i="39"/>
  <c r="Q29" i="39"/>
  <c r="N29" i="39"/>
  <c r="H29" i="39"/>
  <c r="E29" i="39"/>
  <c r="B29" i="39"/>
  <c r="AF28" i="39"/>
  <c r="AC28" i="39"/>
  <c r="Z28" i="39"/>
  <c r="W28" i="39"/>
  <c r="T28" i="39"/>
  <c r="AF27" i="39"/>
  <c r="AC27" i="39"/>
  <c r="Z27" i="39"/>
  <c r="W27" i="39"/>
  <c r="T27" i="39"/>
  <c r="AF26" i="39"/>
  <c r="AC26" i="39"/>
  <c r="Z26" i="39"/>
  <c r="W26" i="39"/>
  <c r="T26" i="39"/>
  <c r="AF25" i="39"/>
  <c r="AC25" i="39"/>
  <c r="Z25" i="39"/>
  <c r="W25" i="39"/>
  <c r="T25" i="39"/>
  <c r="AF24" i="39"/>
  <c r="AC24" i="39"/>
  <c r="Z24" i="39"/>
  <c r="W24" i="39"/>
  <c r="T24" i="39"/>
  <c r="AH23" i="39"/>
  <c r="AG23" i="39"/>
  <c r="AF23" i="39" s="1"/>
  <c r="AC23" i="39"/>
  <c r="Z23" i="39"/>
  <c r="AH22" i="39"/>
  <c r="AG22" i="39"/>
  <c r="AF22" i="39"/>
  <c r="AD22" i="39"/>
  <c r="AC22" i="39"/>
  <c r="Z22" i="39"/>
  <c r="Y22" i="39"/>
  <c r="Y19" i="39" s="1"/>
  <c r="X22" i="39"/>
  <c r="W22" i="39" s="1"/>
  <c r="U22" i="39"/>
  <c r="T22" i="39"/>
  <c r="Q22" i="39"/>
  <c r="N22" i="39"/>
  <c r="AH21" i="39"/>
  <c r="AG21" i="39"/>
  <c r="AF21" i="39" s="1"/>
  <c r="AD21" i="39"/>
  <c r="AC21" i="39"/>
  <c r="Z21" i="39"/>
  <c r="X21" i="39"/>
  <c r="W21" i="39"/>
  <c r="U21" i="39"/>
  <c r="T21" i="39"/>
  <c r="Q21" i="39"/>
  <c r="N21" i="39"/>
  <c r="AH20" i="39"/>
  <c r="AG20" i="39"/>
  <c r="AF20" i="39" s="1"/>
  <c r="AE20" i="39"/>
  <c r="AD20" i="39"/>
  <c r="AC20" i="39"/>
  <c r="Z20" i="39"/>
  <c r="Y20" i="39"/>
  <c r="X20" i="39"/>
  <c r="W20" i="39"/>
  <c r="AE19" i="39"/>
  <c r="AD19" i="39"/>
  <c r="AC19" i="39" s="1"/>
  <c r="AB19" i="39"/>
  <c r="AA19" i="39"/>
  <c r="Z19" i="39" s="1"/>
  <c r="X19" i="39"/>
  <c r="U19" i="39"/>
  <c r="T19" i="39" s="1"/>
  <c r="S19" i="39"/>
  <c r="R19" i="39"/>
  <c r="Q19" i="39"/>
  <c r="P19" i="39"/>
  <c r="O19" i="39"/>
  <c r="N19" i="39"/>
  <c r="N8" i="39" s="1"/>
  <c r="N7" i="39" s="1"/>
  <c r="AF18" i="39"/>
  <c r="AC18" i="39"/>
  <c r="Z18" i="39"/>
  <c r="W18" i="39"/>
  <c r="T18" i="39"/>
  <c r="Q18" i="39"/>
  <c r="Q14" i="39" s="1"/>
  <c r="AF17" i="39"/>
  <c r="AC17" i="39"/>
  <c r="Z17" i="39"/>
  <c r="W17" i="39"/>
  <c r="T17" i="39"/>
  <c r="Q17" i="39"/>
  <c r="N17" i="39"/>
  <c r="H17" i="39"/>
  <c r="E17" i="39"/>
  <c r="B17" i="39"/>
  <c r="AH16" i="39"/>
  <c r="AG16" i="39"/>
  <c r="AF16" i="39"/>
  <c r="AC16" i="39"/>
  <c r="Z16" i="39"/>
  <c r="W16" i="39"/>
  <c r="T16" i="39"/>
  <c r="AH15" i="39"/>
  <c r="AH14" i="39" s="1"/>
  <c r="AG15" i="39"/>
  <c r="AF15" i="39" s="1"/>
  <c r="AE15" i="39"/>
  <c r="AE14" i="39" s="1"/>
  <c r="AD15" i="39"/>
  <c r="AC15" i="39" s="1"/>
  <c r="Z15" i="39"/>
  <c r="Y15" i="39"/>
  <c r="X15" i="39"/>
  <c r="W15" i="39" s="1"/>
  <c r="U15" i="39"/>
  <c r="T15" i="39"/>
  <c r="Q15" i="39"/>
  <c r="N15" i="39"/>
  <c r="AG14" i="39"/>
  <c r="AD14" i="39"/>
  <c r="AB14" i="39"/>
  <c r="AA14" i="39"/>
  <c r="Z14" i="39"/>
  <c r="Y14" i="39"/>
  <c r="V14" i="39"/>
  <c r="U14" i="39"/>
  <c r="T14" i="39" s="1"/>
  <c r="S14" i="39"/>
  <c r="R14" i="39"/>
  <c r="P14" i="39"/>
  <c r="P8" i="39" s="1"/>
  <c r="P7" i="39" s="1"/>
  <c r="O14" i="39"/>
  <c r="N14" i="39"/>
  <c r="AH13" i="39"/>
  <c r="AG13" i="39"/>
  <c r="AF13" i="39" s="1"/>
  <c r="AD13" i="39"/>
  <c r="AD9" i="39" s="1"/>
  <c r="Z13" i="39"/>
  <c r="AF12" i="39"/>
  <c r="AC12" i="39"/>
  <c r="Z12" i="39"/>
  <c r="W12" i="39"/>
  <c r="U12" i="39"/>
  <c r="T12" i="39"/>
  <c r="AF11" i="39"/>
  <c r="AC11" i="39"/>
  <c r="Z11" i="39"/>
  <c r="W11" i="39"/>
  <c r="T11" i="39"/>
  <c r="AF10" i="39"/>
  <c r="AC10" i="39"/>
  <c r="Z10" i="39"/>
  <c r="W10" i="39"/>
  <c r="T10" i="39"/>
  <c r="AG9" i="39"/>
  <c r="AF9" i="39" s="1"/>
  <c r="AA9" i="39"/>
  <c r="Z9" i="39"/>
  <c r="X9" i="39"/>
  <c r="W9" i="39"/>
  <c r="U9" i="39"/>
  <c r="T9" i="39" s="1"/>
  <c r="S9" i="39"/>
  <c r="S8" i="39" s="1"/>
  <c r="S7" i="39" s="1"/>
  <c r="R9" i="39"/>
  <c r="Q9" i="39"/>
  <c r="AB8" i="39"/>
  <c r="AA8" i="39"/>
  <c r="Z8" i="39"/>
  <c r="R8" i="39"/>
  <c r="R7" i="39" s="1"/>
  <c r="AF118" i="39" l="1"/>
  <c r="AF108" i="39"/>
  <c r="AF44" i="39"/>
  <c r="W19" i="39"/>
  <c r="Y8" i="39"/>
  <c r="Y7" i="39" s="1"/>
  <c r="U8" i="39"/>
  <c r="T33" i="39"/>
  <c r="AD8" i="39"/>
  <c r="AC9" i="39"/>
  <c r="AE8" i="39"/>
  <c r="AE7" i="39" s="1"/>
  <c r="AC14" i="39"/>
  <c r="AH8" i="39"/>
  <c r="AH7" i="39" s="1"/>
  <c r="AF14" i="39"/>
  <c r="Q8" i="39"/>
  <c r="AF141" i="39"/>
  <c r="AC13" i="39"/>
  <c r="AG33" i="39"/>
  <c r="AF33" i="39" s="1"/>
  <c r="T39" i="39"/>
  <c r="T41" i="39"/>
  <c r="AC45" i="39"/>
  <c r="T56" i="39"/>
  <c r="Q103" i="39"/>
  <c r="Q100" i="39" s="1"/>
  <c r="X14" i="39"/>
  <c r="W45" i="39"/>
  <c r="AG19" i="39"/>
  <c r="AF45" i="39"/>
  <c r="O100" i="39"/>
  <c r="O8" i="39" s="1"/>
  <c r="AG141" i="39"/>
  <c r="AA7" i="39"/>
  <c r="Z7" i="39" s="1"/>
  <c r="O56" i="39"/>
  <c r="O44" i="39" s="1"/>
  <c r="AG118" i="39"/>
  <c r="Q7" i="39" l="1"/>
  <c r="O7" i="39"/>
  <c r="AC8" i="39"/>
  <c r="AD7" i="39"/>
  <c r="AC7" i="39" s="1"/>
  <c r="W14" i="39"/>
  <c r="X8" i="39"/>
  <c r="U7" i="39"/>
  <c r="T7" i="39" s="1"/>
  <c r="T8" i="39"/>
  <c r="AF19" i="39"/>
  <c r="AG8" i="39"/>
  <c r="AG7" i="39" l="1"/>
  <c r="AF7" i="39" s="1"/>
  <c r="AF8" i="39"/>
  <c r="W8" i="39"/>
  <c r="X7" i="39"/>
  <c r="W7" i="39" s="1"/>
</calcChain>
</file>

<file path=xl/sharedStrings.xml><?xml version="1.0" encoding="utf-8"?>
<sst xmlns="http://schemas.openxmlformats.org/spreadsheetml/2006/main" count="183" uniqueCount="128">
  <si>
    <t>Male</t>
  </si>
  <si>
    <t>Female</t>
  </si>
  <si>
    <t>Maldives Polytechnic</t>
  </si>
  <si>
    <t>Type of Training</t>
  </si>
  <si>
    <t xml:space="preserve">Regional Youth Vocational Training Centres ( RYVTC )  </t>
  </si>
  <si>
    <t>Short Courses</t>
  </si>
  <si>
    <t>Mobile Courses</t>
  </si>
  <si>
    <t>IHDP Project Courses</t>
  </si>
  <si>
    <t>Online</t>
  </si>
  <si>
    <t>Community Based Training</t>
  </si>
  <si>
    <t>Hunaru Project Courses</t>
  </si>
  <si>
    <t>School Polytechnic Program Courses</t>
  </si>
  <si>
    <t>Source: Maldives Polytechnic</t>
  </si>
  <si>
    <t xml:space="preserve"> Both Sexes</t>
  </si>
  <si>
    <t>Grand Total</t>
  </si>
  <si>
    <t>Diploma (2 Years)</t>
  </si>
  <si>
    <t>Building Construction</t>
  </si>
  <si>
    <t>Civil Engineering</t>
  </si>
  <si>
    <t>Automotive Engineering</t>
  </si>
  <si>
    <t>Marine Engineering</t>
  </si>
  <si>
    <t>Diploma (1 1/2 Years)</t>
  </si>
  <si>
    <t>Architecture</t>
  </si>
  <si>
    <t>Small Business Management</t>
  </si>
  <si>
    <t>Advance Certificate  (1 1/2 Years)</t>
  </si>
  <si>
    <t xml:space="preserve">      Engine Repair &amp; Maintenance</t>
  </si>
  <si>
    <t xml:space="preserve">      Electrical &amp; Electronics Engineering</t>
  </si>
  <si>
    <t>Refrigeration &amp; Air-Conditioning</t>
  </si>
  <si>
    <t>Power Systems Operation &amp; Maintenance</t>
  </si>
  <si>
    <t xml:space="preserve">     Electrical &amp; Electronics Specialized in Security Systems</t>
  </si>
  <si>
    <t xml:space="preserve"> </t>
  </si>
  <si>
    <t>Welding &amp; Sheet Metal</t>
  </si>
  <si>
    <t>Machining &amp; Mechanical Fitting</t>
  </si>
  <si>
    <t xml:space="preserve">     Building Construction</t>
  </si>
  <si>
    <t>Small Business Mnagement</t>
  </si>
  <si>
    <t xml:space="preserve"> Certificate III  (15 Weeks)</t>
  </si>
  <si>
    <t xml:space="preserve"> Welding and Sheet Metal</t>
  </si>
  <si>
    <t xml:space="preserve"> Refrigeration &amp; Air-Conditioning</t>
  </si>
  <si>
    <t xml:space="preserve"> Engine Repair &amp; Maintenance</t>
  </si>
  <si>
    <t xml:space="preserve"> Electrician</t>
  </si>
  <si>
    <t xml:space="preserve"> Office Management</t>
  </si>
  <si>
    <t xml:space="preserve"> Hair &amp; Beauty Therapy</t>
  </si>
  <si>
    <t xml:space="preserve"> Immigration Enforcement Studies</t>
  </si>
  <si>
    <t>Information Technology</t>
  </si>
  <si>
    <t>Automotive Repair &amp; Maintenance</t>
  </si>
  <si>
    <t>Office Administrtation &amp; Management</t>
  </si>
  <si>
    <t>Advance Certificate Course (1 1/2 years)</t>
  </si>
  <si>
    <t>Electrical &amp; Electronics Engineering</t>
  </si>
  <si>
    <t>Engine Repair &amp; Maintenance</t>
  </si>
  <si>
    <t>Desalination System Operation &amp; Maintenance</t>
  </si>
  <si>
    <t>Wooden &amp; Fiberglass BoatBuilding</t>
  </si>
  <si>
    <t>Advanced National Certificate in Welding</t>
  </si>
  <si>
    <t>Certificate III  (15 Weeks)</t>
  </si>
  <si>
    <t xml:space="preserve">  Electrician</t>
  </si>
  <si>
    <t xml:space="preserve"> Refrigeration &amp; Air-Conditioning  </t>
  </si>
  <si>
    <t>Furniture Carpentry &amp; Wood Carving</t>
  </si>
  <si>
    <t>Project Management &amp; Aministration</t>
  </si>
  <si>
    <t>Certificate III in Furniture Carpentry &amp; Joinery</t>
  </si>
  <si>
    <t>Customer Relation &amp; Front Office</t>
  </si>
  <si>
    <t xml:space="preserve"> Certificate I  (1 Month)</t>
  </si>
  <si>
    <t>National Certificate Level III in Refrigeration &amp; Airconditioning Mechanics</t>
  </si>
  <si>
    <t>Basic Certificate in Refrigeration &amp; Airconditioning Mechanics</t>
  </si>
  <si>
    <t>Advanced Certificate in Arc Welding</t>
  </si>
  <si>
    <t>National Certificate Level III in Tig Welding</t>
  </si>
  <si>
    <t>National Certificaet III in IT Technician</t>
  </si>
  <si>
    <t>Certificate III in Electrician</t>
  </si>
  <si>
    <t>National Certificate II in Marine Mechanics</t>
  </si>
  <si>
    <t>National Certificate III in Electrician</t>
  </si>
  <si>
    <t>Basic Arc Welding</t>
  </si>
  <si>
    <t>Outboard  Engine Operation &amp; Maintenance</t>
  </si>
  <si>
    <t>Wood Carving</t>
  </si>
  <si>
    <t>Wood Carving and Lacqurer Work</t>
  </si>
  <si>
    <t xml:space="preserve">Certificate 3 in Furniture Carpentry </t>
  </si>
  <si>
    <t>Certificate III in ElectricIan</t>
  </si>
  <si>
    <t>Coastal Navigation</t>
  </si>
  <si>
    <t>Road Worthiness Inspection Training Programme</t>
  </si>
  <si>
    <t>Renewable Energy Systems Installation and Maintenance</t>
  </si>
  <si>
    <t>Engine Operation and Maintenace</t>
  </si>
  <si>
    <t xml:space="preserve">Certificate III in Marine Technician </t>
  </si>
  <si>
    <t>Certificate III in Furniture Carpentry</t>
  </si>
  <si>
    <t>Certificate III in Renewable Energy</t>
  </si>
  <si>
    <t>Certificate III in Wooden &amp; Fiber Glass Boat Building</t>
  </si>
  <si>
    <t>Certificate III in Furniture Carpentry &amp; Wood Carving</t>
  </si>
  <si>
    <t>Certificate III in Engine Repair &amp; Maintenance</t>
  </si>
  <si>
    <t xml:space="preserve">Certificate III in Refrigeration &amp; Air-Conditioning  </t>
  </si>
  <si>
    <t>Certificate III in Welding and Sheet Metal</t>
  </si>
  <si>
    <t>Certificate III in Information Technology</t>
  </si>
  <si>
    <t>Certificate III in Small Business Management</t>
  </si>
  <si>
    <t>Certificate III in Customer Relation &amp; Front Office</t>
  </si>
  <si>
    <t>Certificate III in Project Management &amp; Administration</t>
  </si>
  <si>
    <t xml:space="preserve">Certificate III in Office Management &amp; Administration </t>
  </si>
  <si>
    <t>Advanced Certificate in Small Business Management</t>
  </si>
  <si>
    <t>Diploma in Small Business Mnagement</t>
  </si>
  <si>
    <t>Diploma in Office Administrtation &amp; Management</t>
  </si>
  <si>
    <t>Certificate 3 InEarly Childhood Care</t>
  </si>
  <si>
    <t>TVET (National Certificate)</t>
  </si>
  <si>
    <t>National Certificate IV in Phamacy Assistant</t>
  </si>
  <si>
    <t>National Certificate III in Phamacy Assistant</t>
  </si>
  <si>
    <t>Diploma in Nursing</t>
  </si>
  <si>
    <t>National Certificate III in Front Office</t>
  </si>
  <si>
    <t>National certificate III in Food Preparation</t>
  </si>
  <si>
    <t>National Certificate III in Pastry &amp; Bakery</t>
  </si>
  <si>
    <t>National Certificate III in airport Representative Service</t>
  </si>
  <si>
    <t>National Certificate III in Arts Skills</t>
  </si>
  <si>
    <t>National Certificate III in Barista</t>
  </si>
  <si>
    <t>National Certificate III in Food &amp; Beverage Services</t>
  </si>
  <si>
    <t>National Certificate III in Photography</t>
  </si>
  <si>
    <t>National Certificate III in Guest House Operations</t>
  </si>
  <si>
    <t>National Certiifcate III in Tour Guide</t>
  </si>
  <si>
    <t>National Certificate III in Programming</t>
  </si>
  <si>
    <t>National Certificate III in computer Hardware &amp; Networking</t>
  </si>
  <si>
    <t>National Certificate III in Electrical Installation &amp; Maintenance</t>
  </si>
  <si>
    <t>National Certificate III in Construction Site Supervision</t>
  </si>
  <si>
    <t>National Certiifcate III in Furniture Carpentry</t>
  </si>
  <si>
    <t>National Certiifcate III in Automotive Maintenance</t>
  </si>
  <si>
    <t>National Certificate III in Welding Techniques</t>
  </si>
  <si>
    <t>National Certificate III in Plumbing</t>
  </si>
  <si>
    <t>National Certificate III in Tailoring &amp; Fashion Design</t>
  </si>
  <si>
    <t>Guest House Management</t>
  </si>
  <si>
    <t xml:space="preserve">Certificate III in Welding &amp; Sheet Metal </t>
  </si>
  <si>
    <t>Certificate III in Renewable Energy Systems &amp; Maintenance</t>
  </si>
  <si>
    <t xml:space="preserve">Basic Spoken English </t>
  </si>
  <si>
    <t>Local Guide Training Programme</t>
  </si>
  <si>
    <t>Out Reach Centre</t>
  </si>
  <si>
    <t xml:space="preserve">Certificate III in Jewelery </t>
  </si>
  <si>
    <r>
      <t xml:space="preserve">IHDP: </t>
    </r>
    <r>
      <rPr>
        <i/>
        <sz val="10"/>
        <rFont val="Calibri"/>
        <family val="2"/>
        <scheme val="minor"/>
      </rPr>
      <t>Intergrated Human development Project</t>
    </r>
  </si>
  <si>
    <t>* Advanced Certificate Course alinged to M.Q.A format effective from 2011 September.</t>
  </si>
  <si>
    <t xml:space="preserve"> ތާވަލް 7.25: ތަމްރީނުގެ ބާވަތާއި ޖިންސުގެ ގޮތުން ފަންނީ ތަޢުލީމްގެ ދާއިރާއިން ކިޔަވާ ކުދިންގެ އަދަދު، 2017 - 2021</t>
  </si>
  <si>
    <t xml:space="preserve"> Table  7.25:   STUDENT ENROLMENT IN TECHNICAL EDUCATION, BY TYPE OF TRAINING AND SEX, 2017 - 2021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</si>
</sst>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theme="1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2"/>
      <name val="Faruma"/>
    </font>
    <font>
      <b/>
      <sz val="12"/>
      <name val="Calibri"/>
      <family val="2"/>
      <scheme val="minor"/>
    </font>
    <font>
      <sz val="11"/>
      <name val="Courier"/>
      <family val="3"/>
    </font>
    <font>
      <b/>
      <sz val="11"/>
      <name val="Courier"/>
      <family val="3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ourier"/>
      <family val="3"/>
    </font>
    <font>
      <b/>
      <i/>
      <sz val="11"/>
      <name val="Courier"/>
      <family val="3"/>
    </font>
    <font>
      <b/>
      <i/>
      <sz val="10"/>
      <name val="Courier"/>
      <family val="3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_Bismillah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0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5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59">
    <xf numFmtId="0" fontId="0" fillId="0" borderId="0" xfId="0"/>
    <xf numFmtId="0" fontId="0" fillId="2" borderId="0" xfId="0" applyFill="1"/>
    <xf numFmtId="164" fontId="4" fillId="2" borderId="0" xfId="8" applyNumberFormat="1" applyFill="1"/>
    <xf numFmtId="164" fontId="7" fillId="2" borderId="0" xfId="7" applyFont="1" applyFill="1" applyAlignment="1">
      <alignment horizontal="center"/>
    </xf>
    <xf numFmtId="164" fontId="4" fillId="2" borderId="0" xfId="7" applyFill="1"/>
    <xf numFmtId="164" fontId="13" fillId="2" borderId="0" xfId="7" applyFont="1" applyFill="1" applyAlignment="1">
      <alignment vertical="center"/>
    </xf>
    <xf numFmtId="164" fontId="13" fillId="2" borderId="0" xfId="8" applyNumberFormat="1" applyFont="1" applyFill="1" applyAlignment="1">
      <alignment vertical="center"/>
    </xf>
    <xf numFmtId="164" fontId="8" fillId="2" borderId="1" xfId="7" applyFont="1" applyFill="1" applyBorder="1" applyAlignment="1">
      <alignment horizontal="right" vertical="center"/>
    </xf>
    <xf numFmtId="164" fontId="8" fillId="2" borderId="4" xfId="7" applyFont="1" applyFill="1" applyBorder="1" applyAlignment="1">
      <alignment horizontal="right" vertical="center"/>
    </xf>
    <xf numFmtId="164" fontId="8" fillId="2" borderId="6" xfId="7" applyFont="1" applyFill="1" applyBorder="1" applyAlignment="1">
      <alignment horizontal="right" vertical="center"/>
    </xf>
    <xf numFmtId="164" fontId="8" fillId="2" borderId="10" xfId="7" applyFont="1" applyFill="1" applyBorder="1" applyAlignment="1">
      <alignment horizontal="right" vertical="center"/>
    </xf>
    <xf numFmtId="164" fontId="13" fillId="2" borderId="0" xfId="7" applyFont="1" applyFill="1"/>
    <xf numFmtId="164" fontId="13" fillId="2" borderId="0" xfId="8" applyNumberFormat="1" applyFont="1" applyFill="1"/>
    <xf numFmtId="164" fontId="8" fillId="2" borderId="2" xfId="7" applyFont="1" applyFill="1" applyBorder="1" applyAlignment="1">
      <alignment vertical="center"/>
    </xf>
    <xf numFmtId="164" fontId="8" fillId="2" borderId="2" xfId="7" applyFont="1" applyFill="1" applyBorder="1" applyAlignment="1">
      <alignment horizontal="right" vertical="center"/>
    </xf>
    <xf numFmtId="164" fontId="8" fillId="2" borderId="8" xfId="7" applyFont="1" applyFill="1" applyBorder="1" applyAlignment="1">
      <alignment horizontal="right" vertical="center"/>
    </xf>
    <xf numFmtId="164" fontId="8" fillId="2" borderId="7" xfId="7" applyFont="1" applyFill="1" applyBorder="1" applyAlignment="1">
      <alignment horizontal="right" vertical="center"/>
    </xf>
    <xf numFmtId="164" fontId="8" fillId="2" borderId="5" xfId="7" applyFont="1" applyFill="1" applyBorder="1" applyAlignment="1">
      <alignment horizontal="right" vertical="center"/>
    </xf>
    <xf numFmtId="164" fontId="8" fillId="2" borderId="0" xfId="7" applyFont="1" applyFill="1" applyAlignment="1">
      <alignment vertical="center"/>
    </xf>
    <xf numFmtId="164" fontId="8" fillId="2" borderId="0" xfId="7" applyFont="1" applyFill="1" applyAlignment="1">
      <alignment horizontal="right" vertical="center"/>
    </xf>
    <xf numFmtId="164" fontId="8" fillId="2" borderId="3" xfId="7" applyFont="1" applyFill="1" applyBorder="1" applyAlignment="1">
      <alignment horizontal="right" vertical="center"/>
    </xf>
    <xf numFmtId="164" fontId="14" fillId="2" borderId="0" xfId="7" applyFont="1" applyFill="1" applyAlignment="1">
      <alignment vertical="center"/>
    </xf>
    <xf numFmtId="164" fontId="14" fillId="2" borderId="0" xfId="8" applyNumberFormat="1" applyFont="1" applyFill="1" applyAlignment="1">
      <alignment vertical="center"/>
    </xf>
    <xf numFmtId="164" fontId="8" fillId="2" borderId="0" xfId="7" applyFont="1" applyFill="1" applyAlignment="1">
      <alignment horizontal="left" vertical="center"/>
    </xf>
    <xf numFmtId="164" fontId="15" fillId="2" borderId="0" xfId="7" applyFont="1" applyFill="1" applyAlignment="1">
      <alignment horizontal="left" vertical="center" indent="2"/>
    </xf>
    <xf numFmtId="164" fontId="16" fillId="2" borderId="0" xfId="7" applyFont="1" applyFill="1" applyAlignment="1">
      <alignment horizontal="right" vertical="center"/>
    </xf>
    <xf numFmtId="164" fontId="16" fillId="2" borderId="3" xfId="7" applyFont="1" applyFill="1" applyBorder="1" applyAlignment="1">
      <alignment horizontal="right" vertical="center"/>
    </xf>
    <xf numFmtId="164" fontId="16" fillId="2" borderId="5" xfId="7" applyFont="1" applyFill="1" applyBorder="1" applyAlignment="1">
      <alignment horizontal="right" vertical="center"/>
    </xf>
    <xf numFmtId="164" fontId="20" fillId="2" borderId="0" xfId="5" applyFont="1" applyFill="1" applyAlignment="1">
      <alignment horizontal="left" vertical="center"/>
    </xf>
    <xf numFmtId="164" fontId="21" fillId="2" borderId="0" xfId="7" applyFont="1" applyFill="1"/>
    <xf numFmtId="164" fontId="21" fillId="2" borderId="0" xfId="5" applyFont="1" applyFill="1" applyAlignment="1">
      <alignment vertical="top"/>
    </xf>
    <xf numFmtId="164" fontId="22" fillId="2" borderId="0" xfId="7" applyFont="1" applyFill="1"/>
    <xf numFmtId="164" fontId="8" fillId="2" borderId="0" xfId="7" applyFont="1" applyFill="1" applyAlignment="1">
      <alignment horizontal="center" vertical="center"/>
    </xf>
    <xf numFmtId="164" fontId="15" fillId="2" borderId="0" xfId="7" applyFont="1" applyFill="1" applyAlignment="1">
      <alignment vertical="center"/>
    </xf>
    <xf numFmtId="164" fontId="15" fillId="2" borderId="0" xfId="7" applyFont="1" applyFill="1" applyAlignment="1">
      <alignment horizontal="left" vertical="center"/>
    </xf>
    <xf numFmtId="164" fontId="16" fillId="2" borderId="0" xfId="7" applyFont="1" applyFill="1" applyAlignment="1">
      <alignment vertical="center"/>
    </xf>
    <xf numFmtId="164" fontId="16" fillId="2" borderId="3" xfId="7" applyFont="1" applyFill="1" applyBorder="1" applyAlignment="1">
      <alignment vertical="center"/>
    </xf>
    <xf numFmtId="164" fontId="16" fillId="2" borderId="5" xfId="7" applyFont="1" applyFill="1" applyBorder="1" applyAlignment="1">
      <alignment vertical="center"/>
    </xf>
    <xf numFmtId="164" fontId="2" fillId="2" borderId="5" xfId="7" applyFont="1" applyFill="1" applyBorder="1" applyAlignment="1">
      <alignment horizontal="right" vertical="center"/>
    </xf>
    <xf numFmtId="164" fontId="2" fillId="2" borderId="0" xfId="7" applyFont="1" applyFill="1" applyAlignment="1">
      <alignment horizontal="right" vertical="center"/>
    </xf>
    <xf numFmtId="164" fontId="17" fillId="2" borderId="0" xfId="7" applyFont="1" applyFill="1" applyAlignment="1">
      <alignment vertical="center"/>
    </xf>
    <xf numFmtId="164" fontId="1" fillId="2" borderId="5" xfId="7" applyFont="1" applyFill="1" applyBorder="1" applyAlignment="1">
      <alignment horizontal="right" vertical="center"/>
    </xf>
    <xf numFmtId="164" fontId="1" fillId="2" borderId="0" xfId="7" applyFont="1" applyFill="1" applyAlignment="1">
      <alignment horizontal="right" vertical="center"/>
    </xf>
    <xf numFmtId="164" fontId="8" fillId="2" borderId="3" xfId="7" applyFont="1" applyFill="1" applyBorder="1" applyAlignment="1">
      <alignment vertical="center"/>
    </xf>
    <xf numFmtId="164" fontId="8" fillId="2" borderId="5" xfId="7" applyFont="1" applyFill="1" applyBorder="1" applyAlignment="1">
      <alignment vertical="center"/>
    </xf>
    <xf numFmtId="49" fontId="8" fillId="2" borderId="5" xfId="7" applyNumberFormat="1" applyFont="1" applyFill="1" applyBorder="1" applyAlignment="1">
      <alignment horizontal="right"/>
    </xf>
    <xf numFmtId="164" fontId="18" fillId="2" borderId="0" xfId="7" applyFont="1" applyFill="1" applyAlignment="1">
      <alignment vertical="center"/>
    </xf>
    <xf numFmtId="164" fontId="19" fillId="2" borderId="0" xfId="8" applyNumberFormat="1" applyFont="1" applyFill="1"/>
    <xf numFmtId="164" fontId="15" fillId="2" borderId="1" xfId="7" applyFont="1" applyFill="1" applyBorder="1" applyAlignment="1">
      <alignment horizontal="left" vertical="center" indent="2"/>
    </xf>
    <xf numFmtId="164" fontId="16" fillId="2" borderId="1" xfId="7" applyFont="1" applyFill="1" applyBorder="1" applyAlignment="1">
      <alignment horizontal="right" vertical="center"/>
    </xf>
    <xf numFmtId="164" fontId="16" fillId="2" borderId="4" xfId="7" applyFont="1" applyFill="1" applyBorder="1" applyAlignment="1">
      <alignment horizontal="right" vertical="center"/>
    </xf>
    <xf numFmtId="164" fontId="16" fillId="2" borderId="6" xfId="7" applyFont="1" applyFill="1" applyBorder="1" applyAlignment="1">
      <alignment horizontal="right" vertical="center"/>
    </xf>
    <xf numFmtId="164" fontId="8" fillId="2" borderId="10" xfId="7" applyFont="1" applyFill="1" applyBorder="1" applyAlignment="1">
      <alignment horizontal="center" vertical="center"/>
    </xf>
    <xf numFmtId="164" fontId="8" fillId="2" borderId="9" xfId="7" applyFont="1" applyFill="1" applyBorder="1" applyAlignment="1">
      <alignment horizontal="center" vertical="center"/>
    </xf>
    <xf numFmtId="164" fontId="12" fillId="2" borderId="0" xfId="7" applyFont="1" applyFill="1" applyAlignment="1">
      <alignment horizontal="center" vertical="center"/>
    </xf>
    <xf numFmtId="164" fontId="11" fillId="2" borderId="0" xfId="7" applyFont="1" applyFill="1" applyAlignment="1">
      <alignment horizontal="center" vertical="center"/>
    </xf>
    <xf numFmtId="164" fontId="8" fillId="2" borderId="2" xfId="7" applyFont="1" applyFill="1" applyBorder="1" applyAlignment="1">
      <alignment horizontal="left" vertical="center"/>
    </xf>
    <xf numFmtId="164" fontId="8" fillId="2" borderId="1" xfId="7" applyFont="1" applyFill="1" applyBorder="1" applyAlignment="1">
      <alignment horizontal="left" vertical="center"/>
    </xf>
    <xf numFmtId="164" fontId="8" fillId="2" borderId="11" xfId="7" applyFont="1" applyFill="1" applyBorder="1" applyAlignment="1">
      <alignment horizontal="center" vertical="center"/>
    </xf>
  </cellXfs>
  <cellStyles count="163">
    <cellStyle name="1" xfId="144" xr:uid="{00000000-0005-0000-0000-000000000000}"/>
    <cellStyle name="Comma 2" xfId="9" xr:uid="{00000000-0005-0000-0000-000002000000}"/>
    <cellStyle name="Comma 3" xfId="15" xr:uid="{00000000-0005-0000-0000-000003000000}"/>
    <cellStyle name="Comma 3 2" xfId="158" xr:uid="{00000000-0005-0000-0000-000004000000}"/>
    <cellStyle name="Normal" xfId="0" builtinId="0"/>
    <cellStyle name="Normal - Style1" xfId="146" xr:uid="{00000000-0005-0000-0000-000006000000}"/>
    <cellStyle name="Normal 10" xfId="4" xr:uid="{00000000-0005-0000-0000-000007000000}"/>
    <cellStyle name="Normal 10 2" xfId="38" xr:uid="{00000000-0005-0000-0000-000008000000}"/>
    <cellStyle name="Normal 105 2" xfId="130" xr:uid="{00000000-0005-0000-0000-000009000000}"/>
    <cellStyle name="Normal 11" xfId="25" xr:uid="{00000000-0005-0000-0000-00000A000000}"/>
    <cellStyle name="Normal 11 2" xfId="39" xr:uid="{00000000-0005-0000-0000-00000B000000}"/>
    <cellStyle name="Normal 12" xfId="26" xr:uid="{00000000-0005-0000-0000-00000C000000}"/>
    <cellStyle name="Normal 12 2" xfId="40" xr:uid="{00000000-0005-0000-0000-00000D000000}"/>
    <cellStyle name="Normal 13" xfId="28" xr:uid="{00000000-0005-0000-0000-00000E000000}"/>
    <cellStyle name="Normal 13 2" xfId="41" xr:uid="{00000000-0005-0000-0000-00000F000000}"/>
    <cellStyle name="Normal 14" xfId="29" xr:uid="{00000000-0005-0000-0000-000010000000}"/>
    <cellStyle name="Normal 14 2" xfId="42" xr:uid="{00000000-0005-0000-0000-000011000000}"/>
    <cellStyle name="Normal 15" xfId="30" xr:uid="{00000000-0005-0000-0000-000012000000}"/>
    <cellStyle name="Normal 15 2" xfId="43" xr:uid="{00000000-0005-0000-0000-000013000000}"/>
    <cellStyle name="Normal 16" xfId="31" xr:uid="{00000000-0005-0000-0000-000014000000}"/>
    <cellStyle name="Normal 16 2" xfId="44" xr:uid="{00000000-0005-0000-0000-000015000000}"/>
    <cellStyle name="Normal 17" xfId="32" xr:uid="{00000000-0005-0000-0000-000016000000}"/>
    <cellStyle name="Normal 17 2" xfId="45" xr:uid="{00000000-0005-0000-0000-000017000000}"/>
    <cellStyle name="Normal 18" xfId="33" xr:uid="{00000000-0005-0000-0000-000018000000}"/>
    <cellStyle name="Normal 18 2" xfId="46" xr:uid="{00000000-0005-0000-0000-000019000000}"/>
    <cellStyle name="Normal 19" xfId="34" xr:uid="{00000000-0005-0000-0000-00001A000000}"/>
    <cellStyle name="Normal 19 2" xfId="47" xr:uid="{00000000-0005-0000-0000-00001B000000}"/>
    <cellStyle name="Normal 2" xfId="13" xr:uid="{00000000-0005-0000-0000-00001C000000}"/>
    <cellStyle name="Normal 2 10" xfId="48" xr:uid="{00000000-0005-0000-0000-00001D000000}"/>
    <cellStyle name="Normal 2 11" xfId="49" xr:uid="{00000000-0005-0000-0000-00001E000000}"/>
    <cellStyle name="Normal 2 12" xfId="50" xr:uid="{00000000-0005-0000-0000-00001F000000}"/>
    <cellStyle name="Normal 2 13" xfId="51" xr:uid="{00000000-0005-0000-0000-000020000000}"/>
    <cellStyle name="Normal 2 14" xfId="52" xr:uid="{00000000-0005-0000-0000-000021000000}"/>
    <cellStyle name="Normal 2 15" xfId="53" xr:uid="{00000000-0005-0000-0000-000022000000}"/>
    <cellStyle name="Normal 2 16" xfId="54" xr:uid="{00000000-0005-0000-0000-000023000000}"/>
    <cellStyle name="Normal 2 17" xfId="55" xr:uid="{00000000-0005-0000-0000-000024000000}"/>
    <cellStyle name="Normal 2 18" xfId="56" xr:uid="{00000000-0005-0000-0000-000025000000}"/>
    <cellStyle name="Normal 2 19" xfId="57" xr:uid="{00000000-0005-0000-0000-000026000000}"/>
    <cellStyle name="Normal 2 2" xfId="17" xr:uid="{00000000-0005-0000-0000-000027000000}"/>
    <cellStyle name="Normal 2 2 10" xfId="58" xr:uid="{00000000-0005-0000-0000-000028000000}"/>
    <cellStyle name="Normal 2 2 11" xfId="59" xr:uid="{00000000-0005-0000-0000-000029000000}"/>
    <cellStyle name="Normal 2 2 12" xfId="60" xr:uid="{00000000-0005-0000-0000-00002A000000}"/>
    <cellStyle name="Normal 2 2 13" xfId="61" xr:uid="{00000000-0005-0000-0000-00002B000000}"/>
    <cellStyle name="Normal 2 2 14" xfId="62" xr:uid="{00000000-0005-0000-0000-00002C000000}"/>
    <cellStyle name="Normal 2 2 15" xfId="63" xr:uid="{00000000-0005-0000-0000-00002D000000}"/>
    <cellStyle name="Normal 2 2 16" xfId="64" xr:uid="{00000000-0005-0000-0000-00002E000000}"/>
    <cellStyle name="Normal 2 2 17" xfId="65" xr:uid="{00000000-0005-0000-0000-00002F000000}"/>
    <cellStyle name="Normal 2 2 18" xfId="66" xr:uid="{00000000-0005-0000-0000-000030000000}"/>
    <cellStyle name="Normal 2 2 19" xfId="67" xr:uid="{00000000-0005-0000-0000-000031000000}"/>
    <cellStyle name="Normal 2 2 2" xfId="1" xr:uid="{00000000-0005-0000-0000-000032000000}"/>
    <cellStyle name="Normal 2 2 20" xfId="68" xr:uid="{00000000-0005-0000-0000-000033000000}"/>
    <cellStyle name="Normal 2 2 21" xfId="69" xr:uid="{00000000-0005-0000-0000-000034000000}"/>
    <cellStyle name="Normal 2 2 22" xfId="70" xr:uid="{00000000-0005-0000-0000-000035000000}"/>
    <cellStyle name="Normal 2 2 23" xfId="71" xr:uid="{00000000-0005-0000-0000-000036000000}"/>
    <cellStyle name="Normal 2 2 24" xfId="72" xr:uid="{00000000-0005-0000-0000-000037000000}"/>
    <cellStyle name="Normal 2 2 24 2" xfId="73" xr:uid="{00000000-0005-0000-0000-000038000000}"/>
    <cellStyle name="Normal 2 2 24 2 2" xfId="74" xr:uid="{00000000-0005-0000-0000-000039000000}"/>
    <cellStyle name="Normal 2 2 25" xfId="75" xr:uid="{00000000-0005-0000-0000-00003A000000}"/>
    <cellStyle name="Normal 2 2 25 2" xfId="76" xr:uid="{00000000-0005-0000-0000-00003B000000}"/>
    <cellStyle name="Normal 2 2 26" xfId="147" xr:uid="{00000000-0005-0000-0000-00003C000000}"/>
    <cellStyle name="Normal 2 2 3" xfId="77" xr:uid="{00000000-0005-0000-0000-00003D000000}"/>
    <cellStyle name="Normal 2 2 4" xfId="78" xr:uid="{00000000-0005-0000-0000-00003E000000}"/>
    <cellStyle name="Normal 2 2 5" xfId="79" xr:uid="{00000000-0005-0000-0000-00003F000000}"/>
    <cellStyle name="Normal 2 2 5 2" xfId="80" xr:uid="{00000000-0005-0000-0000-000040000000}"/>
    <cellStyle name="Normal 2 2 5 2 2" xfId="81" xr:uid="{00000000-0005-0000-0000-000041000000}"/>
    <cellStyle name="Normal 2 2 5 2 2 2" xfId="82" xr:uid="{00000000-0005-0000-0000-000042000000}"/>
    <cellStyle name="Normal 2 2 5 3" xfId="83" xr:uid="{00000000-0005-0000-0000-000043000000}"/>
    <cellStyle name="Normal 2 2 5 4" xfId="84" xr:uid="{00000000-0005-0000-0000-000044000000}"/>
    <cellStyle name="Normal 2 2 6" xfId="85" xr:uid="{00000000-0005-0000-0000-000045000000}"/>
    <cellStyle name="Normal 2 2 7" xfId="86" xr:uid="{00000000-0005-0000-0000-000046000000}"/>
    <cellStyle name="Normal 2 2 8" xfId="87" xr:uid="{00000000-0005-0000-0000-000047000000}"/>
    <cellStyle name="Normal 2 2 9" xfId="88" xr:uid="{00000000-0005-0000-0000-000048000000}"/>
    <cellStyle name="Normal 2 20" xfId="89" xr:uid="{00000000-0005-0000-0000-000049000000}"/>
    <cellStyle name="Normal 2 21" xfId="90" xr:uid="{00000000-0005-0000-0000-00004A000000}"/>
    <cellStyle name="Normal 2 22" xfId="91" xr:uid="{00000000-0005-0000-0000-00004B000000}"/>
    <cellStyle name="Normal 2 23" xfId="92" xr:uid="{00000000-0005-0000-0000-00004C000000}"/>
    <cellStyle name="Normal 2 24" xfId="93" xr:uid="{00000000-0005-0000-0000-00004D000000}"/>
    <cellStyle name="Normal 2 24 2" xfId="94" xr:uid="{00000000-0005-0000-0000-00004E000000}"/>
    <cellStyle name="Normal 2 24 2 2" xfId="95" xr:uid="{00000000-0005-0000-0000-00004F000000}"/>
    <cellStyle name="Normal 2 25" xfId="96" xr:uid="{00000000-0005-0000-0000-000050000000}"/>
    <cellStyle name="Normal 2 25 2" xfId="97" xr:uid="{00000000-0005-0000-0000-000051000000}"/>
    <cellStyle name="Normal 2 26" xfId="12" xr:uid="{00000000-0005-0000-0000-000052000000}"/>
    <cellStyle name="Normal 2 27" xfId="18" xr:uid="{00000000-0005-0000-0000-000053000000}"/>
    <cellStyle name="Normal 2 3" xfId="19" xr:uid="{00000000-0005-0000-0000-000054000000}"/>
    <cellStyle name="Normal 2 3 2" xfId="98" xr:uid="{00000000-0005-0000-0000-000055000000}"/>
    <cellStyle name="Normal 2 3 2 2" xfId="99" xr:uid="{00000000-0005-0000-0000-000056000000}"/>
    <cellStyle name="Normal 2 3 2 2 2" xfId="100" xr:uid="{00000000-0005-0000-0000-000057000000}"/>
    <cellStyle name="Normal 2 3 3" xfId="101" xr:uid="{00000000-0005-0000-0000-000058000000}"/>
    <cellStyle name="Normal 2 3 4" xfId="102" xr:uid="{00000000-0005-0000-0000-000059000000}"/>
    <cellStyle name="Normal 2 3 5" xfId="148" xr:uid="{00000000-0005-0000-0000-00005A000000}"/>
    <cellStyle name="Normal 2 4" xfId="103" xr:uid="{00000000-0005-0000-0000-00005B000000}"/>
    <cellStyle name="Normal 2 4 2" xfId="149" xr:uid="{00000000-0005-0000-0000-00005C000000}"/>
    <cellStyle name="Normal 2 5" xfId="104" xr:uid="{00000000-0005-0000-0000-00005D000000}"/>
    <cellStyle name="Normal 2 5 2" xfId="159" xr:uid="{00000000-0005-0000-0000-00005E000000}"/>
    <cellStyle name="Normal 2 6" xfId="105" xr:uid="{00000000-0005-0000-0000-00005F000000}"/>
    <cellStyle name="Normal 2 7" xfId="106" xr:uid="{00000000-0005-0000-0000-000060000000}"/>
    <cellStyle name="Normal 2 8" xfId="107" xr:uid="{00000000-0005-0000-0000-000061000000}"/>
    <cellStyle name="Normal 2 9" xfId="108" xr:uid="{00000000-0005-0000-0000-000062000000}"/>
    <cellStyle name="Normal 20" xfId="35" xr:uid="{00000000-0005-0000-0000-000063000000}"/>
    <cellStyle name="Normal 20 2" xfId="109" xr:uid="{00000000-0005-0000-0000-000064000000}"/>
    <cellStyle name="Normal 21" xfId="36" xr:uid="{00000000-0005-0000-0000-000065000000}"/>
    <cellStyle name="Normal 21 2" xfId="110" xr:uid="{00000000-0005-0000-0000-000066000000}"/>
    <cellStyle name="Normal 22" xfId="37" xr:uid="{00000000-0005-0000-0000-000067000000}"/>
    <cellStyle name="Normal 22 2" xfId="111" xr:uid="{00000000-0005-0000-0000-000068000000}"/>
    <cellStyle name="Normal 23" xfId="112" xr:uid="{00000000-0005-0000-0000-000069000000}"/>
    <cellStyle name="Normal 23 2" xfId="113" xr:uid="{00000000-0005-0000-0000-00006A000000}"/>
    <cellStyle name="Normal 24" xfId="137" xr:uid="{00000000-0005-0000-0000-00006B000000}"/>
    <cellStyle name="Normal 25" xfId="20" xr:uid="{00000000-0005-0000-0000-00006C000000}"/>
    <cellStyle name="Normal 25 2" xfId="131" xr:uid="{00000000-0005-0000-0000-00006D000000}"/>
    <cellStyle name="Normal 26" xfId="124" xr:uid="{00000000-0005-0000-0000-00006E000000}"/>
    <cellStyle name="Normal 26 2" xfId="141" xr:uid="{00000000-0005-0000-0000-00006F000000}"/>
    <cellStyle name="Normal 27" xfId="122" xr:uid="{00000000-0005-0000-0000-000070000000}"/>
    <cellStyle name="Normal 27 2" xfId="140" xr:uid="{00000000-0005-0000-0000-000071000000}"/>
    <cellStyle name="Normal 28" xfId="125" xr:uid="{00000000-0005-0000-0000-000072000000}"/>
    <cellStyle name="Normal 28 2" xfId="134" xr:uid="{00000000-0005-0000-0000-000073000000}"/>
    <cellStyle name="Normal 29" xfId="132" xr:uid="{00000000-0005-0000-0000-000074000000}"/>
    <cellStyle name="Normal 3" xfId="14" xr:uid="{00000000-0005-0000-0000-000075000000}"/>
    <cellStyle name="Normal 3 11" xfId="128" xr:uid="{00000000-0005-0000-0000-000076000000}"/>
    <cellStyle name="Normal 3 12" xfId="126" xr:uid="{00000000-0005-0000-0000-000077000000}"/>
    <cellStyle name="Normal 3 13" xfId="127" xr:uid="{00000000-0005-0000-0000-000078000000}"/>
    <cellStyle name="Normal 3 14" xfId="129" xr:uid="{00000000-0005-0000-0000-000079000000}"/>
    <cellStyle name="Normal 3 2" xfId="114" xr:uid="{00000000-0005-0000-0000-00007A000000}"/>
    <cellStyle name="Normal 3 2 2" xfId="151" xr:uid="{00000000-0005-0000-0000-00007B000000}"/>
    <cellStyle name="Normal 3 3" xfId="115" xr:uid="{00000000-0005-0000-0000-00007C000000}"/>
    <cellStyle name="Normal 3 3 2" xfId="152" xr:uid="{00000000-0005-0000-0000-00007D000000}"/>
    <cellStyle name="Normal 3 4" xfId="150" xr:uid="{00000000-0005-0000-0000-00007E000000}"/>
    <cellStyle name="Normal 30" xfId="139" xr:uid="{00000000-0005-0000-0000-00007F000000}"/>
    <cellStyle name="Normal 31" xfId="136" xr:uid="{00000000-0005-0000-0000-000080000000}"/>
    <cellStyle name="Normal 32" xfId="133" xr:uid="{00000000-0005-0000-0000-000081000000}"/>
    <cellStyle name="Normal 33" xfId="143" xr:uid="{00000000-0005-0000-0000-000082000000}"/>
    <cellStyle name="Normal 34" xfId="135" xr:uid="{00000000-0005-0000-0000-000083000000}"/>
    <cellStyle name="Normal 35" xfId="142" xr:uid="{00000000-0005-0000-0000-000084000000}"/>
    <cellStyle name="Normal 37" xfId="3" xr:uid="{00000000-0005-0000-0000-000085000000}"/>
    <cellStyle name="Normal 4" xfId="21" xr:uid="{00000000-0005-0000-0000-000086000000}"/>
    <cellStyle name="Normal 4 2" xfId="116" xr:uid="{00000000-0005-0000-0000-000087000000}"/>
    <cellStyle name="Normal 4 3" xfId="123" xr:uid="{00000000-0005-0000-0000-000088000000}"/>
    <cellStyle name="Normal 4 3 2" xfId="153" xr:uid="{00000000-0005-0000-0000-000089000000}"/>
    <cellStyle name="Normal 5" xfId="27" xr:uid="{00000000-0005-0000-0000-00008A000000}"/>
    <cellStyle name="Normal 5 2" xfId="117" xr:uid="{00000000-0005-0000-0000-00008B000000}"/>
    <cellStyle name="Normal 5 3" xfId="154" xr:uid="{00000000-0005-0000-0000-00008C000000}"/>
    <cellStyle name="Normal 6" xfId="8" xr:uid="{00000000-0005-0000-0000-00008D000000}"/>
    <cellStyle name="Normal 6 2" xfId="138" xr:uid="{00000000-0005-0000-0000-00008E000000}"/>
    <cellStyle name="Normal 6 2 2" xfId="155" xr:uid="{00000000-0005-0000-0000-00008F000000}"/>
    <cellStyle name="Normal 6 3" xfId="121" xr:uid="{00000000-0005-0000-0000-000090000000}"/>
    <cellStyle name="Normal 6 3 2" xfId="160" xr:uid="{00000000-0005-0000-0000-000091000000}"/>
    <cellStyle name="Normal 6 4" xfId="7" xr:uid="{00000000-0005-0000-0000-000092000000}"/>
    <cellStyle name="Normal 7" xfId="6" xr:uid="{00000000-0005-0000-0000-000093000000}"/>
    <cellStyle name="Normal 7 2" xfId="118" xr:uid="{00000000-0005-0000-0000-000094000000}"/>
    <cellStyle name="Normal 7 2 2" xfId="156" xr:uid="{00000000-0005-0000-0000-000095000000}"/>
    <cellStyle name="Normal 7 3" xfId="22" xr:uid="{00000000-0005-0000-0000-000096000000}"/>
    <cellStyle name="Normal 7 3 2" xfId="161" xr:uid="{00000000-0005-0000-0000-000097000000}"/>
    <cellStyle name="Normal 7 4" xfId="5" xr:uid="{00000000-0005-0000-0000-000098000000}"/>
    <cellStyle name="Normal 8" xfId="2" xr:uid="{00000000-0005-0000-0000-000099000000}"/>
    <cellStyle name="Normal 8 2" xfId="10" xr:uid="{00000000-0005-0000-0000-00009A000000}"/>
    <cellStyle name="Normal 8 2 2" xfId="119" xr:uid="{00000000-0005-0000-0000-00009B000000}"/>
    <cellStyle name="Normal 8 2 3" xfId="11" xr:uid="{00000000-0005-0000-0000-00009C000000}"/>
    <cellStyle name="Normal 8 3" xfId="23" xr:uid="{00000000-0005-0000-0000-00009D000000}"/>
    <cellStyle name="Normal 8 3 2" xfId="162" xr:uid="{00000000-0005-0000-0000-00009E000000}"/>
    <cellStyle name="Normal 8 4" xfId="145" xr:uid="{00000000-0005-0000-0000-00009F000000}"/>
    <cellStyle name="Normal 9" xfId="24" xr:uid="{00000000-0005-0000-0000-0000A0000000}"/>
    <cellStyle name="Normal 9 2" xfId="120" xr:uid="{00000000-0005-0000-0000-0000A1000000}"/>
    <cellStyle name="Normal 9 3" xfId="157" xr:uid="{00000000-0005-0000-0000-0000A2000000}"/>
    <cellStyle name="Percent 2" xfId="16" xr:uid="{00000000-0005-0000-0000-0000A3000000}"/>
  </cellStyles>
  <dxfs count="0"/>
  <tableStyles count="0" defaultTableStyle="TableStyleMedium2" defaultPivotStyle="PivotStyleLight16"/>
  <colors>
    <mruColors>
      <color rgb="FFFFD1D1"/>
      <color rgb="FFFFE1E1"/>
      <color rgb="FF33CCCC"/>
      <color rgb="FF196563"/>
      <color rgb="FFC8F4F2"/>
      <color rgb="FFEAFAFA"/>
      <color rgb="FFFF9900"/>
      <color rgb="FF249390"/>
      <color rgb="FFEBFBFA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13</xdr:row>
      <xdr:rowOff>0</xdr:rowOff>
    </xdr:from>
    <xdr:to>
      <xdr:col>26</xdr:col>
      <xdr:colOff>0</xdr:colOff>
      <xdr:row>13</xdr:row>
      <xdr:rowOff>142875</xdr:rowOff>
    </xdr:to>
    <xdr:sp macro="" textlink="">
      <xdr:nvSpPr>
        <xdr:cNvPr id="2" name="Text 8">
          <a:extLst>
            <a:ext uri="{FF2B5EF4-FFF2-40B4-BE49-F238E27FC236}">
              <a16:creationId xmlns:a16="http://schemas.microsoft.com/office/drawing/2014/main" id="{CB51C493-DE5F-4E03-AEDA-7EC9F9146A57}"/>
            </a:ext>
          </a:extLst>
        </xdr:cNvPr>
        <xdr:cNvSpPr txBox="1">
          <a:spLocks noChangeArrowheads="1"/>
        </xdr:cNvSpPr>
      </xdr:nvSpPr>
      <xdr:spPr bwMode="auto">
        <a:xfrm>
          <a:off x="17992725" y="231457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0</xdr:colOff>
      <xdr:row>13</xdr:row>
      <xdr:rowOff>142875</xdr:rowOff>
    </xdr:to>
    <xdr:sp macro="" textlink="">
      <xdr:nvSpPr>
        <xdr:cNvPr id="3" name="Text 8">
          <a:extLst>
            <a:ext uri="{FF2B5EF4-FFF2-40B4-BE49-F238E27FC236}">
              <a16:creationId xmlns:a16="http://schemas.microsoft.com/office/drawing/2014/main" id="{79E20BDA-3A82-4ADA-85D1-150842A3C46F}"/>
            </a:ext>
          </a:extLst>
        </xdr:cNvPr>
        <xdr:cNvSpPr txBox="1">
          <a:spLocks noChangeArrowheads="1"/>
        </xdr:cNvSpPr>
      </xdr:nvSpPr>
      <xdr:spPr bwMode="auto">
        <a:xfrm>
          <a:off x="17992725" y="231457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35</xdr:col>
      <xdr:colOff>0</xdr:colOff>
      <xdr:row>14</xdr:row>
      <xdr:rowOff>0</xdr:rowOff>
    </xdr:from>
    <xdr:to>
      <xdr:col>35</xdr:col>
      <xdr:colOff>0</xdr:colOff>
      <xdr:row>14</xdr:row>
      <xdr:rowOff>142875</xdr:rowOff>
    </xdr:to>
    <xdr:sp macro="" textlink="">
      <xdr:nvSpPr>
        <xdr:cNvPr id="4" name="Text 8">
          <a:extLst>
            <a:ext uri="{FF2B5EF4-FFF2-40B4-BE49-F238E27FC236}">
              <a16:creationId xmlns:a16="http://schemas.microsoft.com/office/drawing/2014/main" id="{FECF9E03-BF80-45F9-9313-A22AD97F65C6}"/>
            </a:ext>
          </a:extLst>
        </xdr:cNvPr>
        <xdr:cNvSpPr txBox="1">
          <a:spLocks noChangeArrowheads="1"/>
        </xdr:cNvSpPr>
      </xdr:nvSpPr>
      <xdr:spPr bwMode="auto">
        <a:xfrm>
          <a:off x="236982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35</xdr:col>
      <xdr:colOff>0</xdr:colOff>
      <xdr:row>14</xdr:row>
      <xdr:rowOff>0</xdr:rowOff>
    </xdr:from>
    <xdr:to>
      <xdr:col>35</xdr:col>
      <xdr:colOff>0</xdr:colOff>
      <xdr:row>14</xdr:row>
      <xdr:rowOff>142875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F74C27CB-CEE6-41C0-9E66-1F16E28FF821}"/>
            </a:ext>
          </a:extLst>
        </xdr:cNvPr>
        <xdr:cNvSpPr txBox="1">
          <a:spLocks noChangeArrowheads="1"/>
        </xdr:cNvSpPr>
      </xdr:nvSpPr>
      <xdr:spPr bwMode="auto">
        <a:xfrm>
          <a:off x="23698200" y="2514600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B3B3-5CC1-44D7-B2CF-60C00C40E68F}">
  <sheetPr>
    <tabColor rgb="FF92D050"/>
  </sheetPr>
  <dimension ref="A2:BC159"/>
  <sheetViews>
    <sheetView tabSelected="1" zoomScaleNormal="100" workbookViewId="0">
      <selection activeCell="AJ8" sqref="AJ8"/>
    </sheetView>
  </sheetViews>
  <sheetFormatPr defaultRowHeight="12" x14ac:dyDescent="0.15"/>
  <cols>
    <col min="1" max="1" width="50.5703125" style="2" customWidth="1"/>
    <col min="2" max="2" width="11" style="2" hidden="1" customWidth="1"/>
    <col min="3" max="10" width="7.7109375" style="2" hidden="1" customWidth="1"/>
    <col min="11" max="11" width="11.42578125" style="2" hidden="1" customWidth="1"/>
    <col min="12" max="13" width="7.7109375" style="2" hidden="1" customWidth="1"/>
    <col min="14" max="14" width="10.28515625" style="2" hidden="1" customWidth="1"/>
    <col min="15" max="15" width="6.7109375" style="2" hidden="1" customWidth="1"/>
    <col min="16" max="16" width="7.7109375" style="2" hidden="1" customWidth="1"/>
    <col min="17" max="17" width="11" style="2" hidden="1" customWidth="1"/>
    <col min="18" max="18" width="8.85546875" style="2" hidden="1" customWidth="1"/>
    <col min="19" max="19" width="8.140625" style="2" hidden="1" customWidth="1"/>
    <col min="20" max="20" width="11" style="2" customWidth="1"/>
    <col min="21" max="21" width="8.85546875" style="2" customWidth="1"/>
    <col min="22" max="22" width="8.140625" style="2" customWidth="1"/>
    <col min="23" max="23" width="11" style="2" customWidth="1"/>
    <col min="24" max="24" width="8.85546875" style="2" customWidth="1"/>
    <col min="25" max="25" width="8.140625" style="2" customWidth="1"/>
    <col min="26" max="26" width="11" style="2" customWidth="1"/>
    <col min="27" max="27" width="8.85546875" style="2" customWidth="1"/>
    <col min="28" max="28" width="8.140625" style="2" customWidth="1"/>
    <col min="29" max="29" width="11" style="2" customWidth="1"/>
    <col min="30" max="30" width="8.85546875" style="2" customWidth="1"/>
    <col min="31" max="31" width="8.140625" style="2" customWidth="1"/>
    <col min="32" max="32" width="11" style="2" customWidth="1"/>
    <col min="33" max="33" width="8.85546875" style="2" customWidth="1"/>
    <col min="34" max="34" width="8.140625" style="2" customWidth="1"/>
    <col min="35" max="35" width="12.5703125" style="2" customWidth="1"/>
    <col min="36" max="37" width="12.140625" style="2" customWidth="1"/>
    <col min="38" max="16384" width="9.140625" style="2"/>
  </cols>
  <sheetData>
    <row r="2" spans="1:55" ht="21.75" x14ac:dyDescent="0.25">
      <c r="A2" s="55" t="s">
        <v>126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1"/>
      <c r="AJ2" s="1"/>
      <c r="AK2" s="1"/>
    </row>
    <row r="3" spans="1:55" ht="15.75" x14ac:dyDescent="0.25">
      <c r="A3" s="54" t="s">
        <v>127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1"/>
      <c r="AJ3" s="1"/>
      <c r="AK3" s="1"/>
    </row>
    <row r="4" spans="1:55" ht="12.75" x14ac:dyDescent="0.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55" s="6" customFormat="1" ht="15" x14ac:dyDescent="0.25">
      <c r="A5" s="56" t="s">
        <v>3</v>
      </c>
      <c r="B5" s="53">
        <v>2011</v>
      </c>
      <c r="C5" s="53"/>
      <c r="D5" s="58"/>
      <c r="E5" s="53">
        <v>2012</v>
      </c>
      <c r="F5" s="53"/>
      <c r="G5" s="53"/>
      <c r="H5" s="53">
        <v>2013</v>
      </c>
      <c r="I5" s="53"/>
      <c r="J5" s="53"/>
      <c r="K5" s="53">
        <v>2014</v>
      </c>
      <c r="L5" s="53"/>
      <c r="M5" s="53"/>
      <c r="N5" s="52">
        <v>2015</v>
      </c>
      <c r="O5" s="53"/>
      <c r="P5" s="53"/>
      <c r="Q5" s="52">
        <v>2016</v>
      </c>
      <c r="R5" s="53"/>
      <c r="S5" s="53"/>
      <c r="T5" s="52">
        <v>2017</v>
      </c>
      <c r="U5" s="53"/>
      <c r="V5" s="53"/>
      <c r="W5" s="52">
        <v>2018</v>
      </c>
      <c r="X5" s="53"/>
      <c r="Y5" s="53"/>
      <c r="Z5" s="52">
        <v>2019</v>
      </c>
      <c r="AA5" s="53"/>
      <c r="AB5" s="53"/>
      <c r="AC5" s="52">
        <v>2020</v>
      </c>
      <c r="AD5" s="53"/>
      <c r="AE5" s="53"/>
      <c r="AF5" s="52">
        <v>2021</v>
      </c>
      <c r="AG5" s="53"/>
      <c r="AH5" s="53"/>
      <c r="AI5" s="5"/>
      <c r="AJ5" s="5"/>
      <c r="AK5" s="5"/>
    </row>
    <row r="6" spans="1:55" s="12" customFormat="1" ht="15" x14ac:dyDescent="0.15">
      <c r="A6" s="57"/>
      <c r="B6" s="7" t="s">
        <v>13</v>
      </c>
      <c r="C6" s="7" t="s">
        <v>0</v>
      </c>
      <c r="D6" s="8" t="s">
        <v>1</v>
      </c>
      <c r="E6" s="7" t="s">
        <v>13</v>
      </c>
      <c r="F6" s="7" t="s">
        <v>0</v>
      </c>
      <c r="G6" s="7" t="s">
        <v>1</v>
      </c>
      <c r="H6" s="7" t="s">
        <v>13</v>
      </c>
      <c r="I6" s="7" t="s">
        <v>0</v>
      </c>
      <c r="J6" s="7" t="s">
        <v>1</v>
      </c>
      <c r="K6" s="7" t="s">
        <v>13</v>
      </c>
      <c r="L6" s="7" t="s">
        <v>0</v>
      </c>
      <c r="M6" s="7" t="s">
        <v>1</v>
      </c>
      <c r="N6" s="9" t="s">
        <v>13</v>
      </c>
      <c r="O6" s="7" t="s">
        <v>0</v>
      </c>
      <c r="P6" s="7" t="s">
        <v>1</v>
      </c>
      <c r="Q6" s="9" t="s">
        <v>13</v>
      </c>
      <c r="R6" s="7" t="s">
        <v>0</v>
      </c>
      <c r="S6" s="7" t="s">
        <v>1</v>
      </c>
      <c r="T6" s="10" t="s">
        <v>13</v>
      </c>
      <c r="U6" s="7" t="s">
        <v>0</v>
      </c>
      <c r="V6" s="7" t="s">
        <v>1</v>
      </c>
      <c r="W6" s="10" t="s">
        <v>13</v>
      </c>
      <c r="X6" s="7" t="s">
        <v>0</v>
      </c>
      <c r="Y6" s="7" t="s">
        <v>1</v>
      </c>
      <c r="Z6" s="10" t="s">
        <v>13</v>
      </c>
      <c r="AA6" s="7" t="s">
        <v>0</v>
      </c>
      <c r="AB6" s="7" t="s">
        <v>1</v>
      </c>
      <c r="AC6" s="10" t="s">
        <v>13</v>
      </c>
      <c r="AD6" s="7" t="s">
        <v>0</v>
      </c>
      <c r="AE6" s="7" t="s">
        <v>1</v>
      </c>
      <c r="AF6" s="10" t="s">
        <v>13</v>
      </c>
      <c r="AG6" s="7" t="s">
        <v>0</v>
      </c>
      <c r="AH6" s="7" t="s">
        <v>1</v>
      </c>
      <c r="AI6" s="11"/>
      <c r="AJ6" s="11"/>
      <c r="AK6" s="11"/>
    </row>
    <row r="7" spans="1:55" s="6" customFormat="1" ht="15" x14ac:dyDescent="0.25">
      <c r="A7" s="13" t="s">
        <v>14</v>
      </c>
      <c r="B7" s="14">
        <v>785</v>
      </c>
      <c r="C7" s="14">
        <v>783</v>
      </c>
      <c r="D7" s="15">
        <v>2</v>
      </c>
      <c r="E7" s="14">
        <v>561</v>
      </c>
      <c r="F7" s="14">
        <v>561</v>
      </c>
      <c r="G7" s="14">
        <v>0</v>
      </c>
      <c r="H7" s="14">
        <v>402</v>
      </c>
      <c r="I7" s="14">
        <v>397</v>
      </c>
      <c r="J7" s="14">
        <v>5</v>
      </c>
      <c r="K7" s="14">
        <v>260</v>
      </c>
      <c r="L7" s="14">
        <v>252</v>
      </c>
      <c r="M7" s="14">
        <v>8</v>
      </c>
      <c r="N7" s="16">
        <f>N8+N44</f>
        <v>498</v>
      </c>
      <c r="O7" s="14">
        <f>O8+O44</f>
        <v>430</v>
      </c>
      <c r="P7" s="14">
        <f>P8+P44</f>
        <v>68</v>
      </c>
      <c r="Q7" s="16">
        <f>Q8+Q45+Q48+Q56+Q84+Q100+Q148</f>
        <v>821</v>
      </c>
      <c r="R7" s="14">
        <f>R8+R45+R48+R56+R84+R100+R148</f>
        <v>761</v>
      </c>
      <c r="S7" s="14">
        <f>S8+S45</f>
        <v>60</v>
      </c>
      <c r="T7" s="17">
        <f>U7+V7</f>
        <v>958</v>
      </c>
      <c r="U7" s="14">
        <f>U8+U44+U100+U84+U108</f>
        <v>897</v>
      </c>
      <c r="V7" s="14">
        <f>V8+V44+V100</f>
        <v>61</v>
      </c>
      <c r="W7" s="17">
        <f>X7+Y7</f>
        <v>560</v>
      </c>
      <c r="X7" s="14">
        <f>X8+X44+X100+X84+X108</f>
        <v>484</v>
      </c>
      <c r="Y7" s="14">
        <f>Y8+Y44+Y108+Y118</f>
        <v>76</v>
      </c>
      <c r="Z7" s="17">
        <f>AA7+AB7</f>
        <v>1143</v>
      </c>
      <c r="AA7" s="14">
        <f>AA8+AA44+AA84+AA108+AA118</f>
        <v>842</v>
      </c>
      <c r="AB7" s="14">
        <f>AB8+AB44+AB108+AB118</f>
        <v>301</v>
      </c>
      <c r="AC7" s="17">
        <f>AD7+AE7</f>
        <v>662</v>
      </c>
      <c r="AD7" s="14">
        <f>AD8+AD44+AD100+AD84+AD108+AD141+AD118</f>
        <v>478</v>
      </c>
      <c r="AE7" s="14">
        <f>AE8+AE44+AE100+AE108+AE118+AE141</f>
        <v>184</v>
      </c>
      <c r="AF7" s="17">
        <f>AG7+AH7</f>
        <v>974</v>
      </c>
      <c r="AG7" s="14">
        <f>AG8+AG44+AG100+AG84+AG108+AG141+AG118</f>
        <v>680</v>
      </c>
      <c r="AH7" s="14">
        <f>AH8+AH44+AH100+AH108+AH118+AH141</f>
        <v>294</v>
      </c>
      <c r="AI7" s="5"/>
      <c r="AJ7" s="5"/>
      <c r="AK7" s="5"/>
    </row>
    <row r="8" spans="1:55" s="22" customFormat="1" ht="15" x14ac:dyDescent="0.25">
      <c r="A8" s="18" t="s">
        <v>2</v>
      </c>
      <c r="B8" s="19">
        <v>329</v>
      </c>
      <c r="C8" s="19">
        <v>327</v>
      </c>
      <c r="D8" s="20">
        <v>2</v>
      </c>
      <c r="E8" s="19">
        <v>271</v>
      </c>
      <c r="F8" s="19">
        <v>271</v>
      </c>
      <c r="G8" s="19">
        <v>0</v>
      </c>
      <c r="H8" s="19">
        <v>274</v>
      </c>
      <c r="I8" s="19">
        <v>269</v>
      </c>
      <c r="J8" s="19">
        <v>5</v>
      </c>
      <c r="K8" s="19">
        <v>182</v>
      </c>
      <c r="L8" s="19">
        <v>174</v>
      </c>
      <c r="M8" s="19">
        <v>8</v>
      </c>
      <c r="N8" s="17">
        <f>N14+N19+N33+N100</f>
        <v>412</v>
      </c>
      <c r="O8" s="19">
        <f>O14+O19+O33+O100</f>
        <v>356</v>
      </c>
      <c r="P8" s="19">
        <f>P14+P19+P33+P104</f>
        <v>56</v>
      </c>
      <c r="Q8" s="17">
        <f>Q9+Q14+Q19+Q33</f>
        <v>495</v>
      </c>
      <c r="R8" s="19">
        <f>R9+R14+R19+R33</f>
        <v>435</v>
      </c>
      <c r="S8" s="19">
        <f>S9+S14+S19+S33</f>
        <v>60</v>
      </c>
      <c r="T8" s="17">
        <f>U8+V8</f>
        <v>467</v>
      </c>
      <c r="U8" s="19">
        <f>U9+U14+U19+U33</f>
        <v>418</v>
      </c>
      <c r="V8" s="19">
        <f>V9+V14+V19+V33</f>
        <v>49</v>
      </c>
      <c r="W8" s="17">
        <f>X8+Y8</f>
        <v>370</v>
      </c>
      <c r="X8" s="19">
        <f>X9+X14+X19+X33</f>
        <v>346</v>
      </c>
      <c r="Y8" s="19">
        <f>Y9+Y14+Y19+Y33</f>
        <v>24</v>
      </c>
      <c r="Z8" s="17">
        <f>AA8+AB8</f>
        <v>498</v>
      </c>
      <c r="AA8" s="19">
        <f>AA9+AA14+AA19+AA33</f>
        <v>459</v>
      </c>
      <c r="AB8" s="19">
        <f>AB9+AB14+AB19+AB33</f>
        <v>39</v>
      </c>
      <c r="AC8" s="17">
        <f>AD8+AE8</f>
        <v>343</v>
      </c>
      <c r="AD8" s="19">
        <f>AD9+AD14+AD19+AD33</f>
        <v>309</v>
      </c>
      <c r="AE8" s="19">
        <f>AE9+AE14+AE19+AE33</f>
        <v>34</v>
      </c>
      <c r="AF8" s="17">
        <f>AG8+AH8</f>
        <v>306</v>
      </c>
      <c r="AG8" s="19">
        <f>AG9+AG14+AG19+AG33</f>
        <v>266</v>
      </c>
      <c r="AH8" s="19">
        <f>AH9+AH14+AH19+AH33</f>
        <v>40</v>
      </c>
      <c r="AI8" s="21"/>
      <c r="AJ8" s="21"/>
      <c r="AK8" s="21"/>
    </row>
    <row r="9" spans="1:55" s="22" customFormat="1" ht="15" x14ac:dyDescent="0.25">
      <c r="A9" s="23" t="s">
        <v>15</v>
      </c>
      <c r="B9" s="19">
        <v>7</v>
      </c>
      <c r="C9" s="19">
        <v>7</v>
      </c>
      <c r="D9" s="20">
        <v>0</v>
      </c>
      <c r="E9" s="19">
        <v>1</v>
      </c>
      <c r="F9" s="19">
        <v>1</v>
      </c>
      <c r="G9" s="19">
        <v>0</v>
      </c>
      <c r="H9" s="19">
        <v>0</v>
      </c>
      <c r="I9" s="19">
        <v>0</v>
      </c>
      <c r="J9" s="19">
        <v>0</v>
      </c>
      <c r="K9" s="19">
        <v>25</v>
      </c>
      <c r="L9" s="19">
        <v>22</v>
      </c>
      <c r="M9" s="19">
        <v>3</v>
      </c>
      <c r="N9" s="17">
        <v>0</v>
      </c>
      <c r="O9" s="19">
        <v>0</v>
      </c>
      <c r="P9" s="19">
        <v>0</v>
      </c>
      <c r="Q9" s="17">
        <f>Q10+Q11+Q12</f>
        <v>40</v>
      </c>
      <c r="R9" s="19">
        <f>R11+R12</f>
        <v>38</v>
      </c>
      <c r="S9" s="19">
        <f>S10+S11+S12</f>
        <v>2</v>
      </c>
      <c r="T9" s="17">
        <f>U9+V9</f>
        <v>49</v>
      </c>
      <c r="U9" s="19">
        <f>U11+U12</f>
        <v>49</v>
      </c>
      <c r="V9" s="19">
        <v>0</v>
      </c>
      <c r="W9" s="17">
        <f>X9+Y9</f>
        <v>9</v>
      </c>
      <c r="X9" s="19">
        <f>X11+X12</f>
        <v>9</v>
      </c>
      <c r="Y9" s="19">
        <v>0</v>
      </c>
      <c r="Z9" s="17">
        <f>AA9+AB9</f>
        <v>27</v>
      </c>
      <c r="AA9" s="19">
        <f>AA11+AA12+AA13</f>
        <v>27</v>
      </c>
      <c r="AB9" s="19">
        <v>0</v>
      </c>
      <c r="AC9" s="17">
        <f>AD9+AE9</f>
        <v>15</v>
      </c>
      <c r="AD9" s="19">
        <f>AD11+AD12+AD13</f>
        <v>15</v>
      </c>
      <c r="AE9" s="19">
        <v>0</v>
      </c>
      <c r="AF9" s="17">
        <f>AG9+AH9</f>
        <v>12</v>
      </c>
      <c r="AG9" s="19">
        <f>AG11+AG12+AG13</f>
        <v>12</v>
      </c>
      <c r="AH9" s="19">
        <v>0</v>
      </c>
      <c r="AI9" s="21"/>
      <c r="AJ9" s="21"/>
      <c r="AK9" s="21"/>
    </row>
    <row r="10" spans="1:55" s="22" customFormat="1" ht="15" hidden="1" x14ac:dyDescent="0.25">
      <c r="A10" s="24" t="s">
        <v>16</v>
      </c>
      <c r="B10" s="25">
        <v>0</v>
      </c>
      <c r="C10" s="25">
        <v>0</v>
      </c>
      <c r="D10" s="26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7">
        <v>0</v>
      </c>
      <c r="O10" s="25">
        <v>0</v>
      </c>
      <c r="P10" s="25">
        <v>0</v>
      </c>
      <c r="Q10" s="27">
        <v>0</v>
      </c>
      <c r="R10" s="25">
        <v>0</v>
      </c>
      <c r="S10" s="25">
        <v>0</v>
      </c>
      <c r="T10" s="17">
        <f t="shared" ref="T10:T89" si="0">U10+V10</f>
        <v>0</v>
      </c>
      <c r="U10" s="25"/>
      <c r="V10" s="25"/>
      <c r="W10" s="17">
        <f t="shared" ref="W10:W15" si="1">X10+Y10</f>
        <v>0</v>
      </c>
      <c r="X10" s="25"/>
      <c r="Y10" s="25"/>
      <c r="Z10" s="17">
        <f t="shared" ref="Z10:Z84" si="2">AA10+AB10</f>
        <v>0</v>
      </c>
      <c r="AA10" s="25"/>
      <c r="AB10" s="25"/>
      <c r="AC10" s="17">
        <f t="shared" ref="AC10:AC84" si="3">AD10+AE10</f>
        <v>0</v>
      </c>
      <c r="AD10" s="25"/>
      <c r="AE10" s="25"/>
      <c r="AF10" s="17">
        <f t="shared" ref="AF10:AF13" si="4">AG10+AH10</f>
        <v>0</v>
      </c>
      <c r="AG10" s="25"/>
      <c r="AH10" s="25"/>
      <c r="AI10" s="21"/>
      <c r="AJ10" s="21"/>
      <c r="AK10" s="21"/>
    </row>
    <row r="11" spans="1:55" s="6" customFormat="1" ht="15" x14ac:dyDescent="0.25">
      <c r="A11" s="24" t="s">
        <v>17</v>
      </c>
      <c r="B11" s="25">
        <v>7</v>
      </c>
      <c r="C11" s="25">
        <v>7</v>
      </c>
      <c r="D11" s="26">
        <v>0</v>
      </c>
      <c r="E11" s="25">
        <v>1</v>
      </c>
      <c r="F11" s="25">
        <v>1</v>
      </c>
      <c r="G11" s="25">
        <v>0</v>
      </c>
      <c r="H11" s="25">
        <v>0</v>
      </c>
      <c r="I11" s="25">
        <v>0</v>
      </c>
      <c r="J11" s="25">
        <v>0</v>
      </c>
      <c r="K11" s="25">
        <v>25</v>
      </c>
      <c r="L11" s="25">
        <v>22</v>
      </c>
      <c r="M11" s="25">
        <v>3</v>
      </c>
      <c r="N11" s="27">
        <v>0</v>
      </c>
      <c r="O11" s="25">
        <v>0</v>
      </c>
      <c r="P11" s="25">
        <v>0</v>
      </c>
      <c r="Q11" s="27">
        <v>21</v>
      </c>
      <c r="R11" s="25">
        <v>19</v>
      </c>
      <c r="S11" s="25">
        <v>2</v>
      </c>
      <c r="T11" s="27">
        <f t="shared" si="0"/>
        <v>0</v>
      </c>
      <c r="U11" s="25">
        <v>0</v>
      </c>
      <c r="V11" s="25">
        <v>0</v>
      </c>
      <c r="W11" s="27">
        <f t="shared" si="1"/>
        <v>0</v>
      </c>
      <c r="X11" s="25">
        <v>0</v>
      </c>
      <c r="Y11" s="25">
        <v>0</v>
      </c>
      <c r="Z11" s="27">
        <f t="shared" si="2"/>
        <v>0</v>
      </c>
      <c r="AA11" s="25">
        <v>0</v>
      </c>
      <c r="AB11" s="25">
        <v>0</v>
      </c>
      <c r="AC11" s="27">
        <f t="shared" si="3"/>
        <v>0</v>
      </c>
      <c r="AD11" s="25">
        <v>0</v>
      </c>
      <c r="AE11" s="25">
        <v>0</v>
      </c>
      <c r="AF11" s="27">
        <f t="shared" si="4"/>
        <v>0</v>
      </c>
      <c r="AG11" s="25">
        <v>0</v>
      </c>
      <c r="AH11" s="25">
        <v>0</v>
      </c>
      <c r="AI11" s="21"/>
      <c r="AJ11" s="21"/>
      <c r="AK11" s="21"/>
    </row>
    <row r="12" spans="1:55" s="6" customFormat="1" ht="15" x14ac:dyDescent="0.25">
      <c r="A12" s="24" t="s">
        <v>18</v>
      </c>
      <c r="B12" s="25">
        <v>0</v>
      </c>
      <c r="C12" s="25">
        <v>0</v>
      </c>
      <c r="D12" s="26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7">
        <v>0</v>
      </c>
      <c r="O12" s="25">
        <v>0</v>
      </c>
      <c r="P12" s="25">
        <v>0</v>
      </c>
      <c r="Q12" s="27">
        <v>19</v>
      </c>
      <c r="R12" s="25">
        <v>19</v>
      </c>
      <c r="S12" s="25">
        <v>0</v>
      </c>
      <c r="T12" s="27">
        <f t="shared" si="0"/>
        <v>49</v>
      </c>
      <c r="U12" s="25">
        <f>31+18</f>
        <v>49</v>
      </c>
      <c r="V12" s="25">
        <v>0</v>
      </c>
      <c r="W12" s="27">
        <f t="shared" si="1"/>
        <v>9</v>
      </c>
      <c r="X12" s="25">
        <v>9</v>
      </c>
      <c r="Y12" s="25">
        <v>0</v>
      </c>
      <c r="Z12" s="27">
        <f t="shared" si="2"/>
        <v>10</v>
      </c>
      <c r="AA12" s="25">
        <v>10</v>
      </c>
      <c r="AB12" s="25">
        <v>0</v>
      </c>
      <c r="AC12" s="27">
        <f t="shared" si="3"/>
        <v>4</v>
      </c>
      <c r="AD12" s="25">
        <v>4</v>
      </c>
      <c r="AE12" s="25">
        <v>0</v>
      </c>
      <c r="AF12" s="27">
        <f t="shared" si="4"/>
        <v>0</v>
      </c>
      <c r="AG12" s="25">
        <v>0</v>
      </c>
      <c r="AH12" s="25">
        <v>0</v>
      </c>
      <c r="AI12" s="21"/>
      <c r="AJ12" s="21"/>
      <c r="AK12" s="21"/>
    </row>
    <row r="13" spans="1:55" s="6" customFormat="1" ht="15" x14ac:dyDescent="0.25">
      <c r="A13" s="24" t="s">
        <v>19</v>
      </c>
      <c r="B13" s="25">
        <v>0</v>
      </c>
      <c r="C13" s="25">
        <v>0</v>
      </c>
      <c r="D13" s="26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7">
        <v>0</v>
      </c>
      <c r="O13" s="25">
        <v>0</v>
      </c>
      <c r="P13" s="25">
        <v>0</v>
      </c>
      <c r="Q13" s="27">
        <v>0</v>
      </c>
      <c r="R13" s="25">
        <v>0</v>
      </c>
      <c r="S13" s="25">
        <v>0</v>
      </c>
      <c r="T13" s="27">
        <v>0</v>
      </c>
      <c r="U13" s="25">
        <v>0</v>
      </c>
      <c r="V13" s="25">
        <v>0</v>
      </c>
      <c r="W13" s="27">
        <v>0</v>
      </c>
      <c r="X13" s="25">
        <v>0</v>
      </c>
      <c r="Y13" s="25">
        <v>0</v>
      </c>
      <c r="Z13" s="27">
        <f t="shared" si="2"/>
        <v>17</v>
      </c>
      <c r="AA13" s="25">
        <v>17</v>
      </c>
      <c r="AB13" s="25">
        <v>0</v>
      </c>
      <c r="AC13" s="27">
        <f t="shared" si="3"/>
        <v>11</v>
      </c>
      <c r="AD13" s="25">
        <f>2+9</f>
        <v>11</v>
      </c>
      <c r="AE13" s="25">
        <v>0</v>
      </c>
      <c r="AF13" s="27">
        <f t="shared" si="4"/>
        <v>12</v>
      </c>
      <c r="AG13" s="25">
        <f>1+1+10</f>
        <v>12</v>
      </c>
      <c r="AH13" s="25">
        <f>0</f>
        <v>0</v>
      </c>
      <c r="AI13" s="21"/>
      <c r="AJ13" s="21"/>
      <c r="AK13" s="21"/>
    </row>
    <row r="14" spans="1:55" s="22" customFormat="1" ht="15.75" x14ac:dyDescent="0.25">
      <c r="A14" s="23" t="s">
        <v>20</v>
      </c>
      <c r="B14" s="19">
        <v>6</v>
      </c>
      <c r="C14" s="19">
        <v>4</v>
      </c>
      <c r="D14" s="20">
        <v>2</v>
      </c>
      <c r="E14" s="19">
        <v>0</v>
      </c>
      <c r="F14" s="19">
        <v>0</v>
      </c>
      <c r="G14" s="19">
        <v>0</v>
      </c>
      <c r="H14" s="19">
        <v>13</v>
      </c>
      <c r="I14" s="19">
        <v>8</v>
      </c>
      <c r="J14" s="19">
        <v>5</v>
      </c>
      <c r="K14" s="19">
        <v>24</v>
      </c>
      <c r="L14" s="19">
        <v>19</v>
      </c>
      <c r="M14" s="19">
        <v>5</v>
      </c>
      <c r="N14" s="17">
        <f>N15+N17</f>
        <v>28</v>
      </c>
      <c r="O14" s="19">
        <f>O15+O17</f>
        <v>26</v>
      </c>
      <c r="P14" s="19">
        <f t="shared" ref="P14" si="5">P15+P17</f>
        <v>2</v>
      </c>
      <c r="Q14" s="17">
        <f>Q15+Q17+Q18</f>
        <v>96</v>
      </c>
      <c r="R14" s="19">
        <f>R15+R17+R18</f>
        <v>84</v>
      </c>
      <c r="S14" s="19">
        <f>S15+S17+S18</f>
        <v>12</v>
      </c>
      <c r="T14" s="17">
        <f t="shared" si="0"/>
        <v>37</v>
      </c>
      <c r="U14" s="19">
        <f>U15+U16</f>
        <v>28</v>
      </c>
      <c r="V14" s="19">
        <f>V15+V16</f>
        <v>9</v>
      </c>
      <c r="W14" s="17">
        <f t="shared" si="1"/>
        <v>14</v>
      </c>
      <c r="X14" s="19">
        <f>X15+X16</f>
        <v>10</v>
      </c>
      <c r="Y14" s="19">
        <f>Y15+Y16</f>
        <v>4</v>
      </c>
      <c r="Z14" s="17">
        <f t="shared" si="2"/>
        <v>31</v>
      </c>
      <c r="AA14" s="19">
        <f>AA15+AA16</f>
        <v>26</v>
      </c>
      <c r="AB14" s="19">
        <f>AB15+AB16</f>
        <v>5</v>
      </c>
      <c r="AC14" s="17">
        <f>AD14+AE14</f>
        <v>44</v>
      </c>
      <c r="AD14" s="19">
        <f>AD15+AD16+AD17+AD18</f>
        <v>33</v>
      </c>
      <c r="AE14" s="19">
        <f>AE15+AE16+AE17+AE18</f>
        <v>11</v>
      </c>
      <c r="AF14" s="17">
        <f>AG14+AH14</f>
        <v>56</v>
      </c>
      <c r="AG14" s="19">
        <f>AG15+AG16+AG17+AG18</f>
        <v>43</v>
      </c>
      <c r="AH14" s="19">
        <f>AH15+AH16+AH17+AH18</f>
        <v>13</v>
      </c>
      <c r="AI14" s="21"/>
      <c r="AJ14" s="21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</row>
    <row r="15" spans="1:55" s="6" customFormat="1" ht="15" x14ac:dyDescent="0.25">
      <c r="A15" s="24" t="s">
        <v>21</v>
      </c>
      <c r="B15" s="25">
        <v>6</v>
      </c>
      <c r="C15" s="25">
        <v>4</v>
      </c>
      <c r="D15" s="26">
        <v>2</v>
      </c>
      <c r="E15" s="25">
        <v>0</v>
      </c>
      <c r="F15" s="25">
        <v>0</v>
      </c>
      <c r="G15" s="25">
        <v>0</v>
      </c>
      <c r="H15" s="25">
        <v>13</v>
      </c>
      <c r="I15" s="25">
        <v>8</v>
      </c>
      <c r="J15" s="25">
        <v>5</v>
      </c>
      <c r="K15" s="25">
        <v>24</v>
      </c>
      <c r="L15" s="25">
        <v>19</v>
      </c>
      <c r="M15" s="25">
        <v>5</v>
      </c>
      <c r="N15" s="27">
        <f>O15+P15</f>
        <v>15</v>
      </c>
      <c r="O15" s="25">
        <v>14</v>
      </c>
      <c r="P15" s="25">
        <v>1</v>
      </c>
      <c r="Q15" s="27">
        <f>R15+S15</f>
        <v>75</v>
      </c>
      <c r="R15" s="25">
        <v>67</v>
      </c>
      <c r="S15" s="25">
        <v>8</v>
      </c>
      <c r="T15" s="27">
        <f t="shared" si="0"/>
        <v>27</v>
      </c>
      <c r="U15" s="25">
        <f>16+4</f>
        <v>20</v>
      </c>
      <c r="V15" s="25">
        <v>7</v>
      </c>
      <c r="W15" s="27">
        <f t="shared" si="1"/>
        <v>14</v>
      </c>
      <c r="X15" s="25">
        <f>7+3</f>
        <v>10</v>
      </c>
      <c r="Y15" s="25">
        <f>2+2</f>
        <v>4</v>
      </c>
      <c r="Z15" s="27">
        <f t="shared" si="2"/>
        <v>21</v>
      </c>
      <c r="AA15" s="25">
        <v>16</v>
      </c>
      <c r="AB15" s="25">
        <v>5</v>
      </c>
      <c r="AC15" s="27">
        <f t="shared" si="3"/>
        <v>36</v>
      </c>
      <c r="AD15" s="25">
        <f>9+11+6</f>
        <v>26</v>
      </c>
      <c r="AE15" s="25">
        <f>1+5+4</f>
        <v>10</v>
      </c>
      <c r="AF15" s="27">
        <f t="shared" ref="AF15:AF43" si="6">AG15+AH15</f>
        <v>42</v>
      </c>
      <c r="AG15" s="25">
        <f>8+13+10</f>
        <v>31</v>
      </c>
      <c r="AH15" s="25">
        <f>1+6+4</f>
        <v>11</v>
      </c>
      <c r="AI15" s="21"/>
      <c r="AJ15" s="21"/>
      <c r="AK15" s="21"/>
    </row>
    <row r="16" spans="1:55" s="6" customFormat="1" ht="15" x14ac:dyDescent="0.25">
      <c r="A16" s="24" t="s">
        <v>17</v>
      </c>
      <c r="B16" s="25">
        <v>0</v>
      </c>
      <c r="C16" s="25">
        <v>0</v>
      </c>
      <c r="D16" s="26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7">
        <v>0</v>
      </c>
      <c r="O16" s="25">
        <v>0</v>
      </c>
      <c r="P16" s="25">
        <v>0</v>
      </c>
      <c r="Q16" s="27">
        <v>0</v>
      </c>
      <c r="R16" s="25">
        <v>0</v>
      </c>
      <c r="S16" s="25">
        <v>0</v>
      </c>
      <c r="T16" s="27">
        <f>U16+V16</f>
        <v>10</v>
      </c>
      <c r="U16" s="25">
        <v>8</v>
      </c>
      <c r="V16" s="25">
        <v>2</v>
      </c>
      <c r="W16" s="27">
        <f>X16+Y16</f>
        <v>0</v>
      </c>
      <c r="X16" s="25">
        <v>0</v>
      </c>
      <c r="Y16" s="25">
        <v>0</v>
      </c>
      <c r="Z16" s="27">
        <f t="shared" si="2"/>
        <v>10</v>
      </c>
      <c r="AA16" s="25">
        <v>10</v>
      </c>
      <c r="AB16" s="25">
        <v>0</v>
      </c>
      <c r="AC16" s="27">
        <f t="shared" si="3"/>
        <v>8</v>
      </c>
      <c r="AD16" s="25">
        <v>7</v>
      </c>
      <c r="AE16" s="25">
        <v>1</v>
      </c>
      <c r="AF16" s="27">
        <f t="shared" si="6"/>
        <v>14</v>
      </c>
      <c r="AG16" s="25">
        <f>10+2</f>
        <v>12</v>
      </c>
      <c r="AH16" s="25">
        <f>1+1</f>
        <v>2</v>
      </c>
      <c r="AI16" s="21"/>
      <c r="AJ16" s="21"/>
      <c r="AK16" s="21"/>
    </row>
    <row r="17" spans="1:38" s="6" customFormat="1" ht="15" x14ac:dyDescent="0.25">
      <c r="A17" s="24" t="s">
        <v>16</v>
      </c>
      <c r="B17" s="25">
        <f>C17+D17</f>
        <v>0</v>
      </c>
      <c r="C17" s="25">
        <v>0</v>
      </c>
      <c r="D17" s="26">
        <v>0</v>
      </c>
      <c r="E17" s="25">
        <f>F17+G17</f>
        <v>0</v>
      </c>
      <c r="F17" s="25">
        <v>0</v>
      </c>
      <c r="G17" s="25">
        <v>0</v>
      </c>
      <c r="H17" s="25">
        <f>I17+J17</f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7">
        <f>O17+P17</f>
        <v>13</v>
      </c>
      <c r="O17" s="25">
        <v>12</v>
      </c>
      <c r="P17" s="25">
        <v>1</v>
      </c>
      <c r="Q17" s="27">
        <f>R17+S17</f>
        <v>8</v>
      </c>
      <c r="R17" s="25">
        <v>7</v>
      </c>
      <c r="S17" s="25">
        <v>1</v>
      </c>
      <c r="T17" s="27">
        <f t="shared" si="0"/>
        <v>0</v>
      </c>
      <c r="U17" s="25">
        <v>0</v>
      </c>
      <c r="V17" s="25">
        <v>0</v>
      </c>
      <c r="W17" s="27">
        <f t="shared" ref="W17:W22" si="7">X17+Y17</f>
        <v>0</v>
      </c>
      <c r="X17" s="25">
        <v>0</v>
      </c>
      <c r="Y17" s="25">
        <v>0</v>
      </c>
      <c r="Z17" s="27">
        <f t="shared" si="2"/>
        <v>0</v>
      </c>
      <c r="AA17" s="25">
        <v>0</v>
      </c>
      <c r="AB17" s="25">
        <v>0</v>
      </c>
      <c r="AC17" s="27">
        <f t="shared" si="3"/>
        <v>0</v>
      </c>
      <c r="AD17" s="25">
        <v>0</v>
      </c>
      <c r="AE17" s="25">
        <v>0</v>
      </c>
      <c r="AF17" s="27">
        <f t="shared" si="6"/>
        <v>0</v>
      </c>
      <c r="AG17" s="25">
        <v>0</v>
      </c>
      <c r="AH17" s="25">
        <v>0</v>
      </c>
      <c r="AI17" s="21"/>
      <c r="AJ17" s="21"/>
      <c r="AK17" s="21"/>
    </row>
    <row r="18" spans="1:38" s="6" customFormat="1" ht="15" x14ac:dyDescent="0.25">
      <c r="A18" s="24" t="s">
        <v>22</v>
      </c>
      <c r="B18" s="25">
        <v>0</v>
      </c>
      <c r="C18" s="25">
        <v>0</v>
      </c>
      <c r="D18" s="26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7">
        <v>0</v>
      </c>
      <c r="O18" s="25">
        <v>0</v>
      </c>
      <c r="P18" s="25">
        <v>0</v>
      </c>
      <c r="Q18" s="27">
        <f>R18+S18</f>
        <v>13</v>
      </c>
      <c r="R18" s="25">
        <v>10</v>
      </c>
      <c r="S18" s="25">
        <v>3</v>
      </c>
      <c r="T18" s="27">
        <f t="shared" si="0"/>
        <v>0</v>
      </c>
      <c r="U18" s="25">
        <v>0</v>
      </c>
      <c r="V18" s="25">
        <v>0</v>
      </c>
      <c r="W18" s="27">
        <f t="shared" si="7"/>
        <v>0</v>
      </c>
      <c r="X18" s="25">
        <v>0</v>
      </c>
      <c r="Y18" s="25">
        <v>0</v>
      </c>
      <c r="Z18" s="27">
        <f t="shared" si="2"/>
        <v>0</v>
      </c>
      <c r="AA18" s="25">
        <v>0</v>
      </c>
      <c r="AB18" s="25">
        <v>0</v>
      </c>
      <c r="AC18" s="27">
        <f t="shared" si="3"/>
        <v>0</v>
      </c>
      <c r="AD18" s="25">
        <v>0</v>
      </c>
      <c r="AE18" s="25">
        <v>0</v>
      </c>
      <c r="AF18" s="27">
        <f t="shared" si="6"/>
        <v>0</v>
      </c>
      <c r="AG18" s="25">
        <v>0</v>
      </c>
      <c r="AH18" s="25">
        <v>0</v>
      </c>
      <c r="AI18" s="21"/>
      <c r="AJ18" s="21"/>
      <c r="AK18" s="21"/>
    </row>
    <row r="19" spans="1:38" s="22" customFormat="1" ht="15" x14ac:dyDescent="0.25">
      <c r="A19" s="23" t="s">
        <v>23</v>
      </c>
      <c r="B19" s="19">
        <v>316</v>
      </c>
      <c r="C19" s="19">
        <v>316</v>
      </c>
      <c r="D19" s="20">
        <v>0</v>
      </c>
      <c r="E19" s="19">
        <v>270</v>
      </c>
      <c r="F19" s="19">
        <v>270</v>
      </c>
      <c r="G19" s="19">
        <v>0</v>
      </c>
      <c r="H19" s="19">
        <v>261</v>
      </c>
      <c r="I19" s="19">
        <v>261</v>
      </c>
      <c r="J19" s="19">
        <v>0</v>
      </c>
      <c r="K19" s="19">
        <v>133</v>
      </c>
      <c r="L19" s="19">
        <v>133</v>
      </c>
      <c r="M19" s="19">
        <v>0</v>
      </c>
      <c r="N19" s="17">
        <f t="shared" ref="N19:S19" si="8">N21+N22+N23+N24+N25+N26+N27+N28+N29</f>
        <v>155</v>
      </c>
      <c r="O19" s="19">
        <f t="shared" si="8"/>
        <v>117</v>
      </c>
      <c r="P19" s="19">
        <f t="shared" si="8"/>
        <v>38</v>
      </c>
      <c r="Q19" s="17">
        <f>Q21+Q22+Q23+Q24+Q25+Q26+Q27+Q28+Q29</f>
        <v>167</v>
      </c>
      <c r="R19" s="19">
        <f>R21+R22+R23+R24+R25+R26+R27+R28+R29</f>
        <v>167</v>
      </c>
      <c r="S19" s="19">
        <f t="shared" si="8"/>
        <v>0</v>
      </c>
      <c r="T19" s="17">
        <f t="shared" si="0"/>
        <v>111</v>
      </c>
      <c r="U19" s="19">
        <f>U21+U22+U23+U29</f>
        <v>111</v>
      </c>
      <c r="V19" s="19">
        <v>0</v>
      </c>
      <c r="W19" s="17">
        <f t="shared" si="7"/>
        <v>138</v>
      </c>
      <c r="X19" s="19">
        <f>X21+X22+X23+X29</f>
        <v>136</v>
      </c>
      <c r="Y19" s="19">
        <f>Y22</f>
        <v>2</v>
      </c>
      <c r="Z19" s="17">
        <f t="shared" si="2"/>
        <v>289</v>
      </c>
      <c r="AA19" s="19">
        <f>AA21+AA22+AA23+AA29+AA30+AA31+AA20</f>
        <v>267</v>
      </c>
      <c r="AB19" s="19">
        <f>AB20</f>
        <v>22</v>
      </c>
      <c r="AC19" s="17">
        <f t="shared" si="3"/>
        <v>189</v>
      </c>
      <c r="AD19" s="19">
        <f>AD20+AD21+AD22+AD23+AD29+AD30+AD31</f>
        <v>168</v>
      </c>
      <c r="AE19" s="19">
        <f>AE20+AE21+AE22+AE23+AE29+AE30+AE31</f>
        <v>21</v>
      </c>
      <c r="AF19" s="17">
        <f>AG19+AH19</f>
        <v>175</v>
      </c>
      <c r="AG19" s="19">
        <f>AG20+AG21+AG22+AG23+AG29+AG30+AG31+AG32</f>
        <v>158</v>
      </c>
      <c r="AH19" s="19">
        <f>AH20+AH21+AH22+AH23+AH29+AH30+AH31</f>
        <v>17</v>
      </c>
      <c r="AI19" s="21"/>
      <c r="AJ19" s="21"/>
      <c r="AK19" s="21"/>
    </row>
    <row r="20" spans="1:38" s="22" customFormat="1" ht="15" x14ac:dyDescent="0.25">
      <c r="A20" s="24" t="s">
        <v>21</v>
      </c>
      <c r="B20" s="25">
        <v>0</v>
      </c>
      <c r="C20" s="25">
        <v>0</v>
      </c>
      <c r="D20" s="26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7">
        <v>0</v>
      </c>
      <c r="O20" s="25">
        <v>0</v>
      </c>
      <c r="P20" s="25">
        <v>0</v>
      </c>
      <c r="Q20" s="27">
        <v>0</v>
      </c>
      <c r="R20" s="25">
        <v>0</v>
      </c>
      <c r="S20" s="25">
        <v>0</v>
      </c>
      <c r="T20" s="27">
        <v>0</v>
      </c>
      <c r="U20" s="25">
        <v>0</v>
      </c>
      <c r="V20" s="25">
        <v>0</v>
      </c>
      <c r="W20" s="27">
        <f>X20+Y20</f>
        <v>37</v>
      </c>
      <c r="X20" s="25">
        <f>8+22</f>
        <v>30</v>
      </c>
      <c r="Y20" s="25">
        <f>4+3</f>
        <v>7</v>
      </c>
      <c r="Z20" s="27">
        <f t="shared" si="2"/>
        <v>88</v>
      </c>
      <c r="AA20" s="25">
        <v>66</v>
      </c>
      <c r="AB20" s="25">
        <v>22</v>
      </c>
      <c r="AC20" s="27">
        <f t="shared" si="3"/>
        <v>57</v>
      </c>
      <c r="AD20" s="25">
        <f>23+14</f>
        <v>37</v>
      </c>
      <c r="AE20" s="25">
        <f>12+8</f>
        <v>20</v>
      </c>
      <c r="AF20" s="27">
        <f t="shared" si="6"/>
        <v>65</v>
      </c>
      <c r="AG20" s="25">
        <f>42+6</f>
        <v>48</v>
      </c>
      <c r="AH20" s="25">
        <f>12+5</f>
        <v>17</v>
      </c>
      <c r="AI20" s="21"/>
      <c r="AJ20" s="21"/>
      <c r="AK20" s="21"/>
    </row>
    <row r="21" spans="1:38" s="6" customFormat="1" ht="15" x14ac:dyDescent="0.25">
      <c r="A21" s="33" t="s">
        <v>24</v>
      </c>
      <c r="B21" s="25">
        <v>100</v>
      </c>
      <c r="C21" s="25">
        <v>100</v>
      </c>
      <c r="D21" s="26">
        <v>0</v>
      </c>
      <c r="E21" s="25">
        <v>79</v>
      </c>
      <c r="F21" s="25">
        <v>79</v>
      </c>
      <c r="G21" s="25">
        <v>0</v>
      </c>
      <c r="H21" s="25">
        <v>101</v>
      </c>
      <c r="I21" s="25">
        <v>101</v>
      </c>
      <c r="J21" s="25">
        <v>0</v>
      </c>
      <c r="K21" s="25">
        <v>59</v>
      </c>
      <c r="L21" s="25">
        <v>59</v>
      </c>
      <c r="M21" s="25">
        <v>0</v>
      </c>
      <c r="N21" s="27">
        <f>O21+P21</f>
        <v>38</v>
      </c>
      <c r="O21" s="25">
        <v>38</v>
      </c>
      <c r="P21" s="25">
        <v>0</v>
      </c>
      <c r="Q21" s="27">
        <f>R21</f>
        <v>70</v>
      </c>
      <c r="R21" s="25">
        <v>70</v>
      </c>
      <c r="S21" s="25">
        <v>0</v>
      </c>
      <c r="T21" s="27">
        <f t="shared" si="0"/>
        <v>66</v>
      </c>
      <c r="U21" s="25">
        <f>22+10+14+20</f>
        <v>66</v>
      </c>
      <c r="V21" s="25">
        <v>0</v>
      </c>
      <c r="W21" s="27">
        <f t="shared" si="7"/>
        <v>75</v>
      </c>
      <c r="X21" s="25">
        <f>15+15+24+21</f>
        <v>75</v>
      </c>
      <c r="Y21" s="25">
        <v>0</v>
      </c>
      <c r="Z21" s="27">
        <f t="shared" si="2"/>
        <v>58</v>
      </c>
      <c r="AA21" s="25">
        <v>58</v>
      </c>
      <c r="AB21" s="25">
        <v>0</v>
      </c>
      <c r="AC21" s="27">
        <f t="shared" si="3"/>
        <v>27</v>
      </c>
      <c r="AD21" s="25">
        <f>10+17</f>
        <v>27</v>
      </c>
      <c r="AE21" s="25">
        <v>0</v>
      </c>
      <c r="AF21" s="27">
        <f t="shared" si="6"/>
        <v>23</v>
      </c>
      <c r="AG21" s="25">
        <f>15+8</f>
        <v>23</v>
      </c>
      <c r="AH21" s="25">
        <f>0</f>
        <v>0</v>
      </c>
      <c r="AI21" s="21"/>
      <c r="AJ21" s="21"/>
      <c r="AK21" s="21"/>
    </row>
    <row r="22" spans="1:38" s="6" customFormat="1" ht="15" x14ac:dyDescent="0.25">
      <c r="A22" s="34" t="s">
        <v>25</v>
      </c>
      <c r="B22" s="25">
        <v>128</v>
      </c>
      <c r="C22" s="25">
        <v>128</v>
      </c>
      <c r="D22" s="26">
        <v>0</v>
      </c>
      <c r="E22" s="25">
        <v>129</v>
      </c>
      <c r="F22" s="25">
        <v>129</v>
      </c>
      <c r="G22" s="25">
        <v>0</v>
      </c>
      <c r="H22" s="25">
        <v>112</v>
      </c>
      <c r="I22" s="25">
        <v>112</v>
      </c>
      <c r="J22" s="25">
        <v>0</v>
      </c>
      <c r="K22" s="25">
        <v>66</v>
      </c>
      <c r="L22" s="25">
        <v>66</v>
      </c>
      <c r="M22" s="25">
        <v>0</v>
      </c>
      <c r="N22" s="27">
        <f>O22+P22</f>
        <v>42</v>
      </c>
      <c r="O22" s="25">
        <v>42</v>
      </c>
      <c r="P22" s="25">
        <v>0</v>
      </c>
      <c r="Q22" s="27">
        <f>R22+S22</f>
        <v>75</v>
      </c>
      <c r="R22" s="25">
        <v>75</v>
      </c>
      <c r="S22" s="25">
        <v>0</v>
      </c>
      <c r="T22" s="27">
        <f t="shared" si="0"/>
        <v>45</v>
      </c>
      <c r="U22" s="25">
        <f>9+6+12+18</f>
        <v>45</v>
      </c>
      <c r="V22" s="25">
        <v>0</v>
      </c>
      <c r="W22" s="27">
        <f t="shared" si="7"/>
        <v>63</v>
      </c>
      <c r="X22" s="25">
        <f>6+8+27+20</f>
        <v>61</v>
      </c>
      <c r="Y22" s="25">
        <f>1+1</f>
        <v>2</v>
      </c>
      <c r="Z22" s="27">
        <f t="shared" si="2"/>
        <v>103</v>
      </c>
      <c r="AA22" s="25">
        <v>103</v>
      </c>
      <c r="AB22" s="25">
        <v>0</v>
      </c>
      <c r="AC22" s="27">
        <f t="shared" si="3"/>
        <v>58</v>
      </c>
      <c r="AD22" s="25">
        <f>20+20+17</f>
        <v>57</v>
      </c>
      <c r="AE22" s="25">
        <v>1</v>
      </c>
      <c r="AF22" s="27">
        <f t="shared" si="6"/>
        <v>36</v>
      </c>
      <c r="AG22" s="25">
        <f>19+5+12</f>
        <v>36</v>
      </c>
      <c r="AH22" s="25">
        <f>0</f>
        <v>0</v>
      </c>
      <c r="AI22" s="21"/>
      <c r="AJ22" s="21"/>
      <c r="AK22" s="21"/>
    </row>
    <row r="23" spans="1:38" s="6" customFormat="1" ht="15" x14ac:dyDescent="0.25">
      <c r="A23" s="24" t="s">
        <v>26</v>
      </c>
      <c r="B23" s="25">
        <v>54</v>
      </c>
      <c r="C23" s="25">
        <v>54</v>
      </c>
      <c r="D23" s="26">
        <v>0</v>
      </c>
      <c r="E23" s="25">
        <v>41</v>
      </c>
      <c r="F23" s="25">
        <v>41</v>
      </c>
      <c r="G23" s="25">
        <v>0</v>
      </c>
      <c r="H23" s="25">
        <v>30</v>
      </c>
      <c r="I23" s="25">
        <v>30</v>
      </c>
      <c r="J23" s="25">
        <v>0</v>
      </c>
      <c r="K23" s="25">
        <v>8</v>
      </c>
      <c r="L23" s="25">
        <v>8</v>
      </c>
      <c r="M23" s="25">
        <v>0</v>
      </c>
      <c r="N23" s="27">
        <v>0</v>
      </c>
      <c r="O23" s="25">
        <v>0</v>
      </c>
      <c r="P23" s="25">
        <v>0</v>
      </c>
      <c r="Q23" s="27">
        <v>0</v>
      </c>
      <c r="R23" s="25">
        <v>0</v>
      </c>
      <c r="S23" s="25">
        <v>0</v>
      </c>
      <c r="T23" s="27">
        <v>0</v>
      </c>
      <c r="U23" s="25">
        <v>0</v>
      </c>
      <c r="V23" s="25">
        <v>0</v>
      </c>
      <c r="W23" s="27">
        <v>0</v>
      </c>
      <c r="X23" s="25">
        <v>0</v>
      </c>
      <c r="Y23" s="25">
        <v>0</v>
      </c>
      <c r="Z23" s="27">
        <f t="shared" si="2"/>
        <v>6</v>
      </c>
      <c r="AA23" s="25">
        <v>6</v>
      </c>
      <c r="AB23" s="25">
        <v>0</v>
      </c>
      <c r="AC23" s="27">
        <f t="shared" si="3"/>
        <v>14</v>
      </c>
      <c r="AD23" s="25">
        <v>14</v>
      </c>
      <c r="AE23" s="25">
        <v>0</v>
      </c>
      <c r="AF23" s="27">
        <f t="shared" si="6"/>
        <v>14</v>
      </c>
      <c r="AG23" s="25">
        <f>6+4+4</f>
        <v>14</v>
      </c>
      <c r="AH23" s="25">
        <f>0</f>
        <v>0</v>
      </c>
      <c r="AI23" s="21"/>
      <c r="AJ23" s="21"/>
      <c r="AK23" s="21"/>
      <c r="AL23" s="5"/>
    </row>
    <row r="24" spans="1:38" s="6" customFormat="1" ht="15" hidden="1" x14ac:dyDescent="0.25">
      <c r="A24" s="24" t="s">
        <v>27</v>
      </c>
      <c r="B24" s="25">
        <v>0</v>
      </c>
      <c r="C24" s="25">
        <v>0</v>
      </c>
      <c r="D24" s="26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7">
        <v>0</v>
      </c>
      <c r="O24" s="25">
        <v>0</v>
      </c>
      <c r="P24" s="25">
        <v>0</v>
      </c>
      <c r="Q24" s="27">
        <v>0</v>
      </c>
      <c r="R24" s="25">
        <v>0</v>
      </c>
      <c r="S24" s="25">
        <v>0</v>
      </c>
      <c r="T24" s="27">
        <f t="shared" si="0"/>
        <v>0</v>
      </c>
      <c r="U24" s="25"/>
      <c r="V24" s="25"/>
      <c r="W24" s="27">
        <f t="shared" ref="W24:W29" si="9">X24+Y24</f>
        <v>0</v>
      </c>
      <c r="X24" s="25"/>
      <c r="Y24" s="25"/>
      <c r="Z24" s="27">
        <f t="shared" si="2"/>
        <v>0</v>
      </c>
      <c r="AA24" s="25"/>
      <c r="AB24" s="25"/>
      <c r="AC24" s="27">
        <f t="shared" si="3"/>
        <v>0</v>
      </c>
      <c r="AD24" s="25"/>
      <c r="AE24" s="25"/>
      <c r="AF24" s="27">
        <f t="shared" si="6"/>
        <v>0</v>
      </c>
      <c r="AG24" s="25"/>
      <c r="AH24" s="25"/>
      <c r="AI24" s="21"/>
      <c r="AJ24" s="21"/>
      <c r="AK24" s="21"/>
      <c r="AL24" s="5"/>
    </row>
    <row r="25" spans="1:38" s="6" customFormat="1" ht="15" hidden="1" x14ac:dyDescent="0.25">
      <c r="A25" s="34" t="s">
        <v>28</v>
      </c>
      <c r="B25" s="25">
        <v>0</v>
      </c>
      <c r="C25" s="25">
        <v>0</v>
      </c>
      <c r="D25" s="26">
        <v>0</v>
      </c>
      <c r="E25" s="25">
        <v>8</v>
      </c>
      <c r="F25" s="25">
        <v>8</v>
      </c>
      <c r="G25" s="25">
        <v>0</v>
      </c>
      <c r="H25" s="25">
        <v>16</v>
      </c>
      <c r="I25" s="25">
        <v>16</v>
      </c>
      <c r="J25" s="25">
        <v>0</v>
      </c>
      <c r="K25" s="25">
        <v>0</v>
      </c>
      <c r="L25" s="25">
        <v>0</v>
      </c>
      <c r="M25" s="25">
        <v>0</v>
      </c>
      <c r="N25" s="27">
        <v>0</v>
      </c>
      <c r="O25" s="25">
        <v>0</v>
      </c>
      <c r="P25" s="25">
        <v>0</v>
      </c>
      <c r="Q25" s="27">
        <v>0</v>
      </c>
      <c r="R25" s="25">
        <v>0</v>
      </c>
      <c r="S25" s="25">
        <v>0</v>
      </c>
      <c r="T25" s="27">
        <f t="shared" si="0"/>
        <v>0</v>
      </c>
      <c r="U25" s="25"/>
      <c r="V25" s="25"/>
      <c r="W25" s="27">
        <f t="shared" si="9"/>
        <v>0</v>
      </c>
      <c r="X25" s="25"/>
      <c r="Y25" s="25"/>
      <c r="Z25" s="27">
        <f t="shared" si="2"/>
        <v>0</v>
      </c>
      <c r="AA25" s="25"/>
      <c r="AB25" s="25"/>
      <c r="AC25" s="27">
        <f t="shared" si="3"/>
        <v>0</v>
      </c>
      <c r="AD25" s="25"/>
      <c r="AE25" s="25"/>
      <c r="AF25" s="27">
        <f t="shared" si="6"/>
        <v>0</v>
      </c>
      <c r="AG25" s="25"/>
      <c r="AH25" s="25"/>
      <c r="AI25" s="21"/>
      <c r="AJ25" s="21" t="s">
        <v>29</v>
      </c>
      <c r="AK25" s="21"/>
      <c r="AL25" s="5"/>
    </row>
    <row r="26" spans="1:38" s="6" customFormat="1" ht="15" hidden="1" x14ac:dyDescent="0.25">
      <c r="A26" s="24" t="s">
        <v>30</v>
      </c>
      <c r="B26" s="25">
        <v>9</v>
      </c>
      <c r="C26" s="25">
        <v>9</v>
      </c>
      <c r="D26" s="26">
        <v>0</v>
      </c>
      <c r="E26" s="25">
        <v>5</v>
      </c>
      <c r="F26" s="25">
        <v>5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7">
        <v>0</v>
      </c>
      <c r="O26" s="25">
        <v>0</v>
      </c>
      <c r="P26" s="25">
        <v>0</v>
      </c>
      <c r="Q26" s="27">
        <v>0</v>
      </c>
      <c r="R26" s="25">
        <v>0</v>
      </c>
      <c r="S26" s="25">
        <v>0</v>
      </c>
      <c r="T26" s="27">
        <f t="shared" si="0"/>
        <v>0</v>
      </c>
      <c r="U26" s="25"/>
      <c r="V26" s="25"/>
      <c r="W26" s="27">
        <f t="shared" si="9"/>
        <v>0</v>
      </c>
      <c r="X26" s="25"/>
      <c r="Y26" s="25"/>
      <c r="Z26" s="27">
        <f t="shared" si="2"/>
        <v>0</v>
      </c>
      <c r="AA26" s="25"/>
      <c r="AB26" s="25"/>
      <c r="AC26" s="27">
        <f t="shared" si="3"/>
        <v>0</v>
      </c>
      <c r="AD26" s="25"/>
      <c r="AE26" s="25"/>
      <c r="AF26" s="27">
        <f t="shared" si="6"/>
        <v>0</v>
      </c>
      <c r="AG26" s="25"/>
      <c r="AH26" s="25"/>
      <c r="AI26" s="21"/>
      <c r="AJ26" s="21"/>
      <c r="AK26" s="21"/>
      <c r="AL26" s="5"/>
    </row>
    <row r="27" spans="1:38" s="6" customFormat="1" ht="15" hidden="1" x14ac:dyDescent="0.25">
      <c r="A27" s="24" t="s">
        <v>31</v>
      </c>
      <c r="B27" s="25">
        <v>12</v>
      </c>
      <c r="C27" s="25">
        <v>12</v>
      </c>
      <c r="D27" s="26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7">
        <v>0</v>
      </c>
      <c r="O27" s="25">
        <v>0</v>
      </c>
      <c r="P27" s="25">
        <v>0</v>
      </c>
      <c r="Q27" s="27">
        <v>0</v>
      </c>
      <c r="R27" s="25">
        <v>0</v>
      </c>
      <c r="S27" s="25">
        <v>0</v>
      </c>
      <c r="T27" s="27">
        <f t="shared" si="0"/>
        <v>0</v>
      </c>
      <c r="U27" s="25"/>
      <c r="V27" s="25"/>
      <c r="W27" s="27">
        <f t="shared" si="9"/>
        <v>0</v>
      </c>
      <c r="X27" s="25"/>
      <c r="Y27" s="25"/>
      <c r="Z27" s="27">
        <f t="shared" si="2"/>
        <v>0</v>
      </c>
      <c r="AA27" s="25"/>
      <c r="AB27" s="25"/>
      <c r="AC27" s="27">
        <f t="shared" si="3"/>
        <v>0</v>
      </c>
      <c r="AD27" s="25"/>
      <c r="AE27" s="25"/>
      <c r="AF27" s="27">
        <f t="shared" si="6"/>
        <v>0</v>
      </c>
      <c r="AG27" s="25"/>
      <c r="AH27" s="25"/>
      <c r="AI27" s="5"/>
      <c r="AJ27" s="5"/>
      <c r="AK27" s="5"/>
      <c r="AL27" s="5"/>
    </row>
    <row r="28" spans="1:38" s="6" customFormat="1" ht="15" hidden="1" x14ac:dyDescent="0.25">
      <c r="A28" s="34" t="s">
        <v>32</v>
      </c>
      <c r="B28" s="25">
        <v>13</v>
      </c>
      <c r="C28" s="25">
        <v>13</v>
      </c>
      <c r="D28" s="26">
        <v>0</v>
      </c>
      <c r="E28" s="25">
        <v>8</v>
      </c>
      <c r="F28" s="25">
        <v>8</v>
      </c>
      <c r="G28" s="25">
        <v>0</v>
      </c>
      <c r="H28" s="25">
        <v>2</v>
      </c>
      <c r="I28" s="25">
        <v>2</v>
      </c>
      <c r="J28" s="25">
        <v>0</v>
      </c>
      <c r="K28" s="25">
        <v>0</v>
      </c>
      <c r="L28" s="25">
        <v>0</v>
      </c>
      <c r="M28" s="25">
        <v>0</v>
      </c>
      <c r="N28" s="27">
        <v>0</v>
      </c>
      <c r="O28" s="25">
        <v>0</v>
      </c>
      <c r="P28" s="25">
        <v>0</v>
      </c>
      <c r="Q28" s="27">
        <v>0</v>
      </c>
      <c r="R28" s="25">
        <v>0</v>
      </c>
      <c r="S28" s="25">
        <v>0</v>
      </c>
      <c r="T28" s="27">
        <f t="shared" si="0"/>
        <v>0</v>
      </c>
      <c r="U28" s="25"/>
      <c r="V28" s="25"/>
      <c r="W28" s="27">
        <f t="shared" si="9"/>
        <v>0</v>
      </c>
      <c r="X28" s="25"/>
      <c r="Y28" s="25"/>
      <c r="Z28" s="27">
        <f t="shared" si="2"/>
        <v>0</v>
      </c>
      <c r="AA28" s="25"/>
      <c r="AB28" s="25"/>
      <c r="AC28" s="27">
        <f t="shared" si="3"/>
        <v>0</v>
      </c>
      <c r="AD28" s="25"/>
      <c r="AE28" s="25"/>
      <c r="AF28" s="27">
        <f t="shared" si="6"/>
        <v>0</v>
      </c>
      <c r="AG28" s="25"/>
      <c r="AH28" s="25"/>
      <c r="AI28" s="21"/>
      <c r="AJ28" s="21"/>
      <c r="AK28" s="21"/>
      <c r="AL28" s="5"/>
    </row>
    <row r="29" spans="1:38" s="6" customFormat="1" ht="15" x14ac:dyDescent="0.25">
      <c r="A29" s="24" t="s">
        <v>33</v>
      </c>
      <c r="B29" s="25">
        <f>C29+D29</f>
        <v>0</v>
      </c>
      <c r="C29" s="25">
        <v>0</v>
      </c>
      <c r="D29" s="26">
        <v>0</v>
      </c>
      <c r="E29" s="25">
        <f>F29+G29</f>
        <v>0</v>
      </c>
      <c r="F29" s="25">
        <v>0</v>
      </c>
      <c r="G29" s="25">
        <v>0</v>
      </c>
      <c r="H29" s="25">
        <f>I29+J29</f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7">
        <f>O29+P29</f>
        <v>75</v>
      </c>
      <c r="O29" s="25">
        <v>37</v>
      </c>
      <c r="P29" s="25">
        <v>38</v>
      </c>
      <c r="Q29" s="27">
        <f>R29+S29</f>
        <v>22</v>
      </c>
      <c r="R29" s="25">
        <v>22</v>
      </c>
      <c r="S29" s="25">
        <v>0</v>
      </c>
      <c r="T29" s="27">
        <f t="shared" si="0"/>
        <v>0</v>
      </c>
      <c r="U29" s="25">
        <v>0</v>
      </c>
      <c r="V29" s="25">
        <v>0</v>
      </c>
      <c r="W29" s="27">
        <f t="shared" si="9"/>
        <v>0</v>
      </c>
      <c r="X29" s="25">
        <v>0</v>
      </c>
      <c r="Y29" s="25">
        <v>0</v>
      </c>
      <c r="Z29" s="27">
        <f t="shared" si="2"/>
        <v>0</v>
      </c>
      <c r="AA29" s="25">
        <v>0</v>
      </c>
      <c r="AB29" s="25">
        <v>0</v>
      </c>
      <c r="AC29" s="27">
        <f t="shared" si="3"/>
        <v>0</v>
      </c>
      <c r="AD29" s="25">
        <v>0</v>
      </c>
      <c r="AE29" s="25">
        <v>0</v>
      </c>
      <c r="AF29" s="27">
        <f t="shared" si="6"/>
        <v>0</v>
      </c>
      <c r="AG29" s="25">
        <v>0</v>
      </c>
      <c r="AH29" s="25">
        <v>0</v>
      </c>
      <c r="AI29" s="21"/>
      <c r="AJ29" s="21"/>
      <c r="AK29" s="21"/>
      <c r="AL29" s="5"/>
    </row>
    <row r="30" spans="1:38" s="6" customFormat="1" ht="15" x14ac:dyDescent="0.25">
      <c r="A30" s="24" t="s">
        <v>19</v>
      </c>
      <c r="B30" s="25">
        <v>0</v>
      </c>
      <c r="C30" s="25">
        <v>0</v>
      </c>
      <c r="D30" s="26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7">
        <v>0</v>
      </c>
      <c r="O30" s="25">
        <v>0</v>
      </c>
      <c r="P30" s="25">
        <v>0</v>
      </c>
      <c r="Q30" s="27">
        <v>0</v>
      </c>
      <c r="R30" s="25">
        <v>0</v>
      </c>
      <c r="S30" s="25">
        <v>0</v>
      </c>
      <c r="T30" s="27">
        <v>0</v>
      </c>
      <c r="U30" s="25">
        <v>0</v>
      </c>
      <c r="V30" s="25">
        <v>0</v>
      </c>
      <c r="W30" s="27">
        <v>0</v>
      </c>
      <c r="X30" s="25">
        <v>0</v>
      </c>
      <c r="Y30" s="25">
        <v>0</v>
      </c>
      <c r="Z30" s="27">
        <f t="shared" si="2"/>
        <v>28</v>
      </c>
      <c r="AA30" s="25">
        <v>28</v>
      </c>
      <c r="AB30" s="25">
        <v>0</v>
      </c>
      <c r="AC30" s="27">
        <f t="shared" si="3"/>
        <v>24</v>
      </c>
      <c r="AD30" s="25">
        <f>7+8+9</f>
        <v>24</v>
      </c>
      <c r="AE30" s="25">
        <v>0</v>
      </c>
      <c r="AF30" s="27">
        <f t="shared" si="6"/>
        <v>18</v>
      </c>
      <c r="AG30" s="25">
        <f>8+5+5</f>
        <v>18</v>
      </c>
      <c r="AH30" s="25">
        <f>0</f>
        <v>0</v>
      </c>
      <c r="AI30" s="21"/>
      <c r="AJ30" s="21"/>
      <c r="AK30" s="21"/>
      <c r="AL30" s="5"/>
    </row>
    <row r="31" spans="1:38" s="6" customFormat="1" ht="15" x14ac:dyDescent="0.25">
      <c r="A31" s="24" t="s">
        <v>18</v>
      </c>
      <c r="B31" s="25">
        <v>0</v>
      </c>
      <c r="C31" s="25">
        <v>0</v>
      </c>
      <c r="D31" s="26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7">
        <v>0</v>
      </c>
      <c r="O31" s="25">
        <v>0</v>
      </c>
      <c r="P31" s="25">
        <v>0</v>
      </c>
      <c r="Q31" s="27">
        <v>0</v>
      </c>
      <c r="R31" s="25">
        <v>0</v>
      </c>
      <c r="S31" s="25">
        <v>0</v>
      </c>
      <c r="T31" s="27">
        <v>0</v>
      </c>
      <c r="U31" s="25">
        <v>0</v>
      </c>
      <c r="V31" s="25">
        <v>0</v>
      </c>
      <c r="W31" s="27">
        <v>0</v>
      </c>
      <c r="X31" s="25">
        <v>0</v>
      </c>
      <c r="Y31" s="25">
        <v>0</v>
      </c>
      <c r="Z31" s="27">
        <f t="shared" si="2"/>
        <v>6</v>
      </c>
      <c r="AA31" s="25">
        <v>6</v>
      </c>
      <c r="AB31" s="25">
        <v>0</v>
      </c>
      <c r="AC31" s="27">
        <f t="shared" si="3"/>
        <v>9</v>
      </c>
      <c r="AD31" s="25">
        <f>6+3</f>
        <v>9</v>
      </c>
      <c r="AE31" s="25">
        <v>0</v>
      </c>
      <c r="AF31" s="27">
        <f t="shared" si="6"/>
        <v>14</v>
      </c>
      <c r="AG31" s="25">
        <f>4+5+5</f>
        <v>14</v>
      </c>
      <c r="AH31" s="25">
        <f>0</f>
        <v>0</v>
      </c>
      <c r="AI31" s="21"/>
      <c r="AJ31" s="21"/>
      <c r="AK31" s="21"/>
      <c r="AL31" s="5"/>
    </row>
    <row r="32" spans="1:38" s="6" customFormat="1" ht="15" x14ac:dyDescent="0.25">
      <c r="A32" s="24" t="s">
        <v>17</v>
      </c>
      <c r="B32" s="25">
        <v>0</v>
      </c>
      <c r="C32" s="25">
        <v>0</v>
      </c>
      <c r="D32" s="26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7">
        <v>0</v>
      </c>
      <c r="O32" s="25">
        <v>0</v>
      </c>
      <c r="P32" s="25">
        <v>0</v>
      </c>
      <c r="Q32" s="27">
        <v>0</v>
      </c>
      <c r="R32" s="25">
        <v>0</v>
      </c>
      <c r="S32" s="25">
        <v>0</v>
      </c>
      <c r="T32" s="27">
        <v>0</v>
      </c>
      <c r="U32" s="25">
        <v>0</v>
      </c>
      <c r="V32" s="25">
        <v>0</v>
      </c>
      <c r="W32" s="27">
        <v>0</v>
      </c>
      <c r="X32" s="25">
        <v>0</v>
      </c>
      <c r="Y32" s="25">
        <v>0</v>
      </c>
      <c r="Z32" s="27">
        <v>0</v>
      </c>
      <c r="AA32" s="25">
        <v>0</v>
      </c>
      <c r="AB32" s="25">
        <v>0</v>
      </c>
      <c r="AC32" s="27">
        <v>0</v>
      </c>
      <c r="AD32" s="25">
        <v>0</v>
      </c>
      <c r="AE32" s="25">
        <v>0</v>
      </c>
      <c r="AF32" s="27">
        <f t="shared" si="6"/>
        <v>5</v>
      </c>
      <c r="AG32" s="25">
        <f>5</f>
        <v>5</v>
      </c>
      <c r="AH32" s="25">
        <f>0</f>
        <v>0</v>
      </c>
      <c r="AI32" s="21"/>
      <c r="AJ32" s="21"/>
      <c r="AK32" s="21"/>
      <c r="AL32" s="5"/>
    </row>
    <row r="33" spans="1:38" s="6" customFormat="1" ht="15" x14ac:dyDescent="0.25">
      <c r="A33" s="23" t="s">
        <v>34</v>
      </c>
      <c r="B33" s="19">
        <v>0</v>
      </c>
      <c r="C33" s="19">
        <v>0</v>
      </c>
      <c r="D33" s="20">
        <v>0</v>
      </c>
      <c r="E33" s="19">
        <v>5</v>
      </c>
      <c r="F33" s="19">
        <v>5</v>
      </c>
      <c r="G33" s="20">
        <v>0</v>
      </c>
      <c r="H33" s="19">
        <v>33</v>
      </c>
      <c r="I33" s="19">
        <v>33</v>
      </c>
      <c r="J33" s="19">
        <v>0</v>
      </c>
      <c r="K33" s="19">
        <v>53</v>
      </c>
      <c r="L33" s="19">
        <v>53</v>
      </c>
      <c r="M33" s="19">
        <v>0</v>
      </c>
      <c r="N33" s="17">
        <f t="shared" ref="N33:S33" si="10">N34+N35+N36+N37+N38+N39+N40</f>
        <v>109</v>
      </c>
      <c r="O33" s="19">
        <f t="shared" si="10"/>
        <v>98</v>
      </c>
      <c r="P33" s="19">
        <f t="shared" si="10"/>
        <v>11</v>
      </c>
      <c r="Q33" s="17">
        <f t="shared" si="10"/>
        <v>192</v>
      </c>
      <c r="R33" s="19">
        <f t="shared" si="10"/>
        <v>146</v>
      </c>
      <c r="S33" s="19">
        <f t="shared" si="10"/>
        <v>46</v>
      </c>
      <c r="T33" s="17">
        <f>U33+V33</f>
        <v>270</v>
      </c>
      <c r="U33" s="19">
        <f>U35+U36+U37+U38+U39+U40+U41+U43</f>
        <v>230</v>
      </c>
      <c r="V33" s="19">
        <f>V35+V36+V37+V38+V39+V40+V41+V43</f>
        <v>40</v>
      </c>
      <c r="W33" s="17">
        <f>X33+Y33</f>
        <v>209</v>
      </c>
      <c r="X33" s="19">
        <f>X35+X36+X37+X38+X39+X40+X41+X43</f>
        <v>191</v>
      </c>
      <c r="Y33" s="19">
        <f>Y35+Y36+Y37+Y38+Y39+Y40+Y41+Y43</f>
        <v>18</v>
      </c>
      <c r="Z33" s="17">
        <f t="shared" si="2"/>
        <v>151</v>
      </c>
      <c r="AA33" s="19">
        <f>AA35+AA36+AA37+AA38+AA39+AA40+AA41+AA42+AA43</f>
        <v>139</v>
      </c>
      <c r="AB33" s="19">
        <f>AB35+AB36+AB37+AB38+AB39+AB40+AB41+AB43</f>
        <v>12</v>
      </c>
      <c r="AC33" s="17">
        <f t="shared" si="3"/>
        <v>95</v>
      </c>
      <c r="AD33" s="19">
        <f>AD35+AD36+AD37+AD38+AD39+AD40+AD41+AD43</f>
        <v>93</v>
      </c>
      <c r="AE33" s="19">
        <f>AE35+AE36+AE37+AE38+AE39+AE40+AE41+AE43</f>
        <v>2</v>
      </c>
      <c r="AF33" s="17">
        <f t="shared" si="6"/>
        <v>63</v>
      </c>
      <c r="AG33" s="19">
        <f>AG35+AG36+AG37+AG38+AG39+AG40+AG41+AG43</f>
        <v>53</v>
      </c>
      <c r="AH33" s="19">
        <f>AH35+AH36+AH37+AH38+AH39+AH40+AH41+AH43</f>
        <v>10</v>
      </c>
      <c r="AI33" s="21"/>
      <c r="AJ33" s="21"/>
      <c r="AK33" s="21"/>
      <c r="AL33" s="5"/>
    </row>
    <row r="34" spans="1:38" s="6" customFormat="1" ht="15" hidden="1" x14ac:dyDescent="0.25">
      <c r="A34" s="24" t="s">
        <v>35</v>
      </c>
      <c r="B34" s="25">
        <v>0</v>
      </c>
      <c r="C34" s="25">
        <v>0</v>
      </c>
      <c r="D34" s="26">
        <v>0</v>
      </c>
      <c r="E34" s="25">
        <v>5</v>
      </c>
      <c r="F34" s="25">
        <v>5</v>
      </c>
      <c r="G34" s="26">
        <v>0</v>
      </c>
      <c r="H34" s="25">
        <v>10</v>
      </c>
      <c r="I34" s="25">
        <v>10</v>
      </c>
      <c r="J34" s="25">
        <v>0</v>
      </c>
      <c r="K34" s="25">
        <v>0</v>
      </c>
      <c r="L34" s="25">
        <v>0</v>
      </c>
      <c r="M34" s="25">
        <v>0</v>
      </c>
      <c r="N34" s="27">
        <v>0</v>
      </c>
      <c r="O34" s="25">
        <v>0</v>
      </c>
      <c r="P34" s="25">
        <v>0</v>
      </c>
      <c r="Q34" s="27">
        <v>0</v>
      </c>
      <c r="R34" s="25">
        <v>0</v>
      </c>
      <c r="S34" s="25">
        <v>0</v>
      </c>
      <c r="T34" s="17">
        <f t="shared" si="0"/>
        <v>0</v>
      </c>
      <c r="U34" s="25"/>
      <c r="V34" s="25"/>
      <c r="W34" s="17">
        <f t="shared" ref="W34:W40" si="11">X34+Y34</f>
        <v>0</v>
      </c>
      <c r="X34" s="25"/>
      <c r="Y34" s="25"/>
      <c r="Z34" s="17">
        <f t="shared" si="2"/>
        <v>0</v>
      </c>
      <c r="AA34" s="25"/>
      <c r="AB34" s="25"/>
      <c r="AC34" s="17">
        <f t="shared" si="3"/>
        <v>0</v>
      </c>
      <c r="AD34" s="25"/>
      <c r="AE34" s="25"/>
      <c r="AF34" s="17">
        <f t="shared" si="6"/>
        <v>0</v>
      </c>
      <c r="AG34" s="25"/>
      <c r="AH34" s="25"/>
      <c r="AI34" s="5"/>
      <c r="AJ34" s="5"/>
      <c r="AK34" s="5"/>
      <c r="AL34" s="5"/>
    </row>
    <row r="35" spans="1:38" s="6" customFormat="1" ht="15" x14ac:dyDescent="0.25">
      <c r="A35" s="24" t="s">
        <v>36</v>
      </c>
      <c r="B35" s="25">
        <v>0</v>
      </c>
      <c r="C35" s="25">
        <v>0</v>
      </c>
      <c r="D35" s="26">
        <v>0</v>
      </c>
      <c r="E35" s="25">
        <v>0</v>
      </c>
      <c r="F35" s="25">
        <v>0</v>
      </c>
      <c r="G35" s="26">
        <v>0</v>
      </c>
      <c r="H35" s="25">
        <v>8</v>
      </c>
      <c r="I35" s="25">
        <v>8</v>
      </c>
      <c r="J35" s="25">
        <v>0</v>
      </c>
      <c r="K35" s="25">
        <v>14</v>
      </c>
      <c r="L35" s="25">
        <v>14</v>
      </c>
      <c r="M35" s="25">
        <v>0</v>
      </c>
      <c r="N35" s="27">
        <f>O35</f>
        <v>33</v>
      </c>
      <c r="O35" s="25">
        <v>33</v>
      </c>
      <c r="P35" s="25">
        <v>0</v>
      </c>
      <c r="Q35" s="27">
        <f>R35</f>
        <v>35</v>
      </c>
      <c r="R35" s="25">
        <v>35</v>
      </c>
      <c r="S35" s="25">
        <v>0</v>
      </c>
      <c r="T35" s="27">
        <f t="shared" si="0"/>
        <v>18</v>
      </c>
      <c r="U35" s="25">
        <f>12+6</f>
        <v>18</v>
      </c>
      <c r="V35" s="25">
        <v>0</v>
      </c>
      <c r="W35" s="27">
        <f t="shared" si="11"/>
        <v>29</v>
      </c>
      <c r="X35" s="25">
        <f>17+12</f>
        <v>29</v>
      </c>
      <c r="Y35" s="25">
        <v>0</v>
      </c>
      <c r="Z35" s="27">
        <f t="shared" si="2"/>
        <v>30</v>
      </c>
      <c r="AA35" s="25">
        <v>30</v>
      </c>
      <c r="AB35" s="25">
        <v>0</v>
      </c>
      <c r="AC35" s="27">
        <f t="shared" si="3"/>
        <v>13</v>
      </c>
      <c r="AD35" s="25">
        <v>13</v>
      </c>
      <c r="AE35" s="25">
        <v>0</v>
      </c>
      <c r="AF35" s="27">
        <f t="shared" si="6"/>
        <v>14</v>
      </c>
      <c r="AG35" s="25">
        <f>14</f>
        <v>14</v>
      </c>
      <c r="AH35" s="25">
        <f>0</f>
        <v>0</v>
      </c>
      <c r="AI35" s="5"/>
      <c r="AJ35" s="5"/>
      <c r="AK35" s="5"/>
      <c r="AL35" s="5"/>
    </row>
    <row r="36" spans="1:38" s="6" customFormat="1" ht="15" x14ac:dyDescent="0.25">
      <c r="A36" s="24" t="s">
        <v>37</v>
      </c>
      <c r="B36" s="25">
        <v>0</v>
      </c>
      <c r="C36" s="25">
        <v>0</v>
      </c>
      <c r="D36" s="26">
        <v>0</v>
      </c>
      <c r="E36" s="25">
        <v>0</v>
      </c>
      <c r="F36" s="25">
        <v>0</v>
      </c>
      <c r="G36" s="26">
        <v>0</v>
      </c>
      <c r="H36" s="25">
        <v>0</v>
      </c>
      <c r="I36" s="25">
        <v>0</v>
      </c>
      <c r="J36" s="25">
        <v>0</v>
      </c>
      <c r="K36" s="25">
        <v>13</v>
      </c>
      <c r="L36" s="25">
        <v>13</v>
      </c>
      <c r="M36" s="25">
        <v>0</v>
      </c>
      <c r="N36" s="27">
        <f>O36</f>
        <v>13</v>
      </c>
      <c r="O36" s="25">
        <v>13</v>
      </c>
      <c r="P36" s="25">
        <v>0</v>
      </c>
      <c r="Q36" s="27">
        <f>R36</f>
        <v>36</v>
      </c>
      <c r="R36" s="25">
        <v>36</v>
      </c>
      <c r="S36" s="25">
        <v>0</v>
      </c>
      <c r="T36" s="27">
        <f t="shared" si="0"/>
        <v>40</v>
      </c>
      <c r="U36" s="25">
        <f>21+19</f>
        <v>40</v>
      </c>
      <c r="V36" s="25">
        <v>0</v>
      </c>
      <c r="W36" s="27">
        <f t="shared" si="11"/>
        <v>29</v>
      </c>
      <c r="X36" s="25">
        <f>16+13</f>
        <v>29</v>
      </c>
      <c r="Y36" s="25">
        <v>0</v>
      </c>
      <c r="Z36" s="27">
        <f t="shared" si="2"/>
        <v>19</v>
      </c>
      <c r="AA36" s="25">
        <v>19</v>
      </c>
      <c r="AB36" s="25">
        <v>0</v>
      </c>
      <c r="AC36" s="27">
        <f t="shared" si="3"/>
        <v>14</v>
      </c>
      <c r="AD36" s="25">
        <v>13</v>
      </c>
      <c r="AE36" s="25">
        <v>1</v>
      </c>
      <c r="AF36" s="27">
        <f t="shared" si="6"/>
        <v>12</v>
      </c>
      <c r="AG36" s="25">
        <f>11</f>
        <v>11</v>
      </c>
      <c r="AH36" s="25">
        <f>1</f>
        <v>1</v>
      </c>
      <c r="AI36" s="5"/>
      <c r="AJ36" s="5"/>
      <c r="AK36" s="5"/>
      <c r="AL36" s="5"/>
    </row>
    <row r="37" spans="1:38" s="22" customFormat="1" ht="15" customHeight="1" x14ac:dyDescent="0.25">
      <c r="A37" s="24" t="s">
        <v>38</v>
      </c>
      <c r="B37" s="25">
        <v>0</v>
      </c>
      <c r="C37" s="25">
        <v>0</v>
      </c>
      <c r="D37" s="26">
        <v>0</v>
      </c>
      <c r="E37" s="25">
        <v>0</v>
      </c>
      <c r="F37" s="25">
        <v>0</v>
      </c>
      <c r="G37" s="26">
        <v>0</v>
      </c>
      <c r="H37" s="25">
        <v>15</v>
      </c>
      <c r="I37" s="25">
        <v>15</v>
      </c>
      <c r="J37" s="25">
        <v>0</v>
      </c>
      <c r="K37" s="25">
        <v>26</v>
      </c>
      <c r="L37" s="25">
        <v>26</v>
      </c>
      <c r="M37" s="25">
        <v>0</v>
      </c>
      <c r="N37" s="27">
        <f>O37</f>
        <v>36</v>
      </c>
      <c r="O37" s="25">
        <v>36</v>
      </c>
      <c r="P37" s="25">
        <v>0</v>
      </c>
      <c r="Q37" s="27">
        <f>R37</f>
        <v>35</v>
      </c>
      <c r="R37" s="25">
        <v>35</v>
      </c>
      <c r="S37" s="25">
        <v>0</v>
      </c>
      <c r="T37" s="27">
        <f t="shared" si="0"/>
        <v>90</v>
      </c>
      <c r="U37" s="25">
        <f>69+21</f>
        <v>90</v>
      </c>
      <c r="V37" s="25">
        <v>0</v>
      </c>
      <c r="W37" s="27">
        <f t="shared" si="11"/>
        <v>104</v>
      </c>
      <c r="X37" s="25">
        <f>19+15+18+15+12+25</f>
        <v>104</v>
      </c>
      <c r="Y37" s="25">
        <v>0</v>
      </c>
      <c r="Z37" s="27">
        <f t="shared" si="2"/>
        <v>49</v>
      </c>
      <c r="AA37" s="25">
        <v>49</v>
      </c>
      <c r="AB37" s="25">
        <v>0</v>
      </c>
      <c r="AC37" s="27">
        <f t="shared" si="3"/>
        <v>50</v>
      </c>
      <c r="AD37" s="25">
        <f>19+14+17</f>
        <v>50</v>
      </c>
      <c r="AE37" s="25">
        <v>0</v>
      </c>
      <c r="AF37" s="27">
        <f t="shared" si="6"/>
        <v>11</v>
      </c>
      <c r="AG37" s="25">
        <f>11</f>
        <v>11</v>
      </c>
      <c r="AH37" s="25">
        <f>0</f>
        <v>0</v>
      </c>
      <c r="AI37" s="5"/>
      <c r="AJ37" s="5"/>
      <c r="AK37" s="5"/>
      <c r="AL37" s="5"/>
    </row>
    <row r="38" spans="1:38" s="22" customFormat="1" ht="15" customHeight="1" x14ac:dyDescent="0.25">
      <c r="A38" s="24" t="s">
        <v>39</v>
      </c>
      <c r="B38" s="25">
        <v>0</v>
      </c>
      <c r="C38" s="25">
        <v>0</v>
      </c>
      <c r="D38" s="26">
        <v>0</v>
      </c>
      <c r="E38" s="25">
        <v>0</v>
      </c>
      <c r="F38" s="25">
        <v>0</v>
      </c>
      <c r="G38" s="26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7">
        <v>0</v>
      </c>
      <c r="O38" s="25">
        <v>0</v>
      </c>
      <c r="P38" s="25">
        <v>0</v>
      </c>
      <c r="Q38" s="27">
        <f>R38</f>
        <v>28</v>
      </c>
      <c r="R38" s="25">
        <v>28</v>
      </c>
      <c r="S38" s="25">
        <v>0</v>
      </c>
      <c r="T38" s="27">
        <f t="shared" si="0"/>
        <v>59</v>
      </c>
      <c r="U38" s="25">
        <v>44</v>
      </c>
      <c r="V38" s="25">
        <v>15</v>
      </c>
      <c r="W38" s="27">
        <f t="shared" si="11"/>
        <v>0</v>
      </c>
      <c r="X38" s="25">
        <v>0</v>
      </c>
      <c r="Y38" s="25">
        <v>0</v>
      </c>
      <c r="Z38" s="27">
        <f t="shared" si="2"/>
        <v>0</v>
      </c>
      <c r="AA38" s="25">
        <v>0</v>
      </c>
      <c r="AB38" s="25">
        <v>0</v>
      </c>
      <c r="AC38" s="27">
        <f t="shared" si="3"/>
        <v>0</v>
      </c>
      <c r="AD38" s="25">
        <v>0</v>
      </c>
      <c r="AE38" s="25">
        <v>0</v>
      </c>
      <c r="AF38" s="27">
        <f t="shared" si="6"/>
        <v>0</v>
      </c>
      <c r="AG38" s="25">
        <v>0</v>
      </c>
      <c r="AH38" s="25">
        <v>0</v>
      </c>
      <c r="AI38" s="5"/>
      <c r="AJ38" s="5"/>
      <c r="AK38" s="5"/>
      <c r="AL38" s="5"/>
    </row>
    <row r="39" spans="1:38" s="22" customFormat="1" ht="15" customHeight="1" x14ac:dyDescent="0.25">
      <c r="A39" s="24" t="s">
        <v>40</v>
      </c>
      <c r="B39" s="25">
        <v>0</v>
      </c>
      <c r="C39" s="25">
        <v>0</v>
      </c>
      <c r="D39" s="26">
        <v>0</v>
      </c>
      <c r="E39" s="25">
        <v>0</v>
      </c>
      <c r="F39" s="25">
        <v>0</v>
      </c>
      <c r="G39" s="26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7">
        <v>0</v>
      </c>
      <c r="O39" s="25">
        <v>0</v>
      </c>
      <c r="P39" s="25">
        <v>0</v>
      </c>
      <c r="Q39" s="27">
        <f>46</f>
        <v>46</v>
      </c>
      <c r="R39" s="25">
        <v>0</v>
      </c>
      <c r="S39" s="25">
        <v>46</v>
      </c>
      <c r="T39" s="27">
        <f t="shared" si="0"/>
        <v>21</v>
      </c>
      <c r="U39" s="25">
        <v>0</v>
      </c>
      <c r="V39" s="25">
        <f>11+3+7</f>
        <v>21</v>
      </c>
      <c r="W39" s="27">
        <f t="shared" si="11"/>
        <v>11</v>
      </c>
      <c r="X39" s="25">
        <v>0</v>
      </c>
      <c r="Y39" s="25">
        <v>11</v>
      </c>
      <c r="Z39" s="27">
        <f t="shared" si="2"/>
        <v>0</v>
      </c>
      <c r="AA39" s="25">
        <v>0</v>
      </c>
      <c r="AB39" s="25">
        <v>0</v>
      </c>
      <c r="AC39" s="27">
        <f t="shared" si="3"/>
        <v>0</v>
      </c>
      <c r="AD39" s="25">
        <v>0</v>
      </c>
      <c r="AE39" s="25">
        <v>0</v>
      </c>
      <c r="AF39" s="27">
        <f t="shared" si="6"/>
        <v>0</v>
      </c>
      <c r="AG39" s="25">
        <v>0</v>
      </c>
      <c r="AH39" s="25">
        <v>0</v>
      </c>
      <c r="AI39" s="5"/>
      <c r="AJ39" s="5"/>
      <c r="AK39" s="5"/>
      <c r="AL39" s="5"/>
    </row>
    <row r="40" spans="1:38" s="22" customFormat="1" ht="15" customHeight="1" x14ac:dyDescent="0.25">
      <c r="A40" s="24" t="s">
        <v>41</v>
      </c>
      <c r="B40" s="25">
        <v>0</v>
      </c>
      <c r="C40" s="25">
        <v>0</v>
      </c>
      <c r="D40" s="26">
        <v>0</v>
      </c>
      <c r="E40" s="25">
        <v>0</v>
      </c>
      <c r="F40" s="25">
        <v>0</v>
      </c>
      <c r="G40" s="26">
        <v>0</v>
      </c>
      <c r="H40" s="25">
        <f>I40+J40</f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7">
        <f>O40+P40</f>
        <v>27</v>
      </c>
      <c r="O40" s="25">
        <v>16</v>
      </c>
      <c r="P40" s="25">
        <v>11</v>
      </c>
      <c r="Q40" s="27">
        <f>R40+S40</f>
        <v>12</v>
      </c>
      <c r="R40" s="25">
        <v>12</v>
      </c>
      <c r="S40" s="25">
        <v>0</v>
      </c>
      <c r="T40" s="27">
        <f t="shared" si="0"/>
        <v>7</v>
      </c>
      <c r="U40" s="25">
        <v>3</v>
      </c>
      <c r="V40" s="25">
        <v>4</v>
      </c>
      <c r="W40" s="27">
        <f t="shared" si="11"/>
        <v>8</v>
      </c>
      <c r="X40" s="25">
        <v>4</v>
      </c>
      <c r="Y40" s="25">
        <v>4</v>
      </c>
      <c r="Z40" s="27">
        <f t="shared" si="2"/>
        <v>13</v>
      </c>
      <c r="AA40" s="25">
        <v>7</v>
      </c>
      <c r="AB40" s="25">
        <v>6</v>
      </c>
      <c r="AC40" s="27">
        <f t="shared" si="3"/>
        <v>0</v>
      </c>
      <c r="AD40" s="25">
        <v>0</v>
      </c>
      <c r="AE40" s="25">
        <v>0</v>
      </c>
      <c r="AF40" s="27">
        <f t="shared" si="6"/>
        <v>13</v>
      </c>
      <c r="AG40" s="25">
        <f>7</f>
        <v>7</v>
      </c>
      <c r="AH40" s="25">
        <f>6</f>
        <v>6</v>
      </c>
      <c r="AI40" s="5"/>
      <c r="AJ40" s="5"/>
      <c r="AK40" s="5"/>
      <c r="AL40" s="5"/>
    </row>
    <row r="41" spans="1:38" s="22" customFormat="1" ht="15" customHeight="1" x14ac:dyDescent="0.25">
      <c r="A41" s="24" t="s">
        <v>42</v>
      </c>
      <c r="B41" s="25">
        <v>0</v>
      </c>
      <c r="C41" s="25">
        <v>0</v>
      </c>
      <c r="D41" s="26">
        <v>0</v>
      </c>
      <c r="E41" s="25">
        <v>0</v>
      </c>
      <c r="F41" s="25">
        <v>0</v>
      </c>
      <c r="G41" s="26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7">
        <v>0</v>
      </c>
      <c r="O41" s="25">
        <v>0</v>
      </c>
      <c r="P41" s="25">
        <v>0</v>
      </c>
      <c r="Q41" s="27">
        <v>0</v>
      </c>
      <c r="R41" s="25">
        <v>0</v>
      </c>
      <c r="S41" s="25">
        <v>0</v>
      </c>
      <c r="T41" s="27">
        <f>U41</f>
        <v>19</v>
      </c>
      <c r="U41" s="25">
        <f>11+8</f>
        <v>19</v>
      </c>
      <c r="V41" s="25">
        <v>0</v>
      </c>
      <c r="W41" s="27">
        <f>X41</f>
        <v>14</v>
      </c>
      <c r="X41" s="25">
        <f>8+6</f>
        <v>14</v>
      </c>
      <c r="Y41" s="25">
        <f>1+2</f>
        <v>3</v>
      </c>
      <c r="Z41" s="27">
        <f t="shared" si="2"/>
        <v>27</v>
      </c>
      <c r="AA41" s="25">
        <v>21</v>
      </c>
      <c r="AB41" s="25">
        <v>6</v>
      </c>
      <c r="AC41" s="27">
        <f t="shared" si="3"/>
        <v>18</v>
      </c>
      <c r="AD41" s="25">
        <v>17</v>
      </c>
      <c r="AE41" s="25">
        <v>1</v>
      </c>
      <c r="AF41" s="27">
        <f t="shared" si="6"/>
        <v>13</v>
      </c>
      <c r="AG41" s="25">
        <f>10</f>
        <v>10</v>
      </c>
      <c r="AH41" s="25">
        <f>3</f>
        <v>3</v>
      </c>
      <c r="AI41" s="5"/>
      <c r="AJ41" s="5"/>
      <c r="AK41" s="5"/>
      <c r="AL41" s="5"/>
    </row>
    <row r="42" spans="1:38" s="22" customFormat="1" ht="15" customHeight="1" x14ac:dyDescent="0.25">
      <c r="A42" s="24" t="s">
        <v>43</v>
      </c>
      <c r="B42" s="25">
        <v>0</v>
      </c>
      <c r="C42" s="25">
        <v>0</v>
      </c>
      <c r="D42" s="26">
        <v>0</v>
      </c>
      <c r="E42" s="25">
        <v>0</v>
      </c>
      <c r="F42" s="25">
        <v>0</v>
      </c>
      <c r="G42" s="26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7">
        <v>0</v>
      </c>
      <c r="O42" s="25">
        <v>0</v>
      </c>
      <c r="P42" s="25">
        <v>0</v>
      </c>
      <c r="Q42" s="27">
        <v>0</v>
      </c>
      <c r="R42" s="25">
        <v>0</v>
      </c>
      <c r="S42" s="25">
        <v>0</v>
      </c>
      <c r="T42" s="27">
        <f>U42</f>
        <v>16</v>
      </c>
      <c r="U42" s="25">
        <v>16</v>
      </c>
      <c r="V42" s="25">
        <v>0</v>
      </c>
      <c r="W42" s="27">
        <f>X42</f>
        <v>0</v>
      </c>
      <c r="X42" s="25">
        <v>0</v>
      </c>
      <c r="Y42" s="25">
        <v>0</v>
      </c>
      <c r="Z42" s="27">
        <f t="shared" si="2"/>
        <v>6</v>
      </c>
      <c r="AA42" s="25">
        <v>6</v>
      </c>
      <c r="AB42" s="25">
        <v>0</v>
      </c>
      <c r="AC42" s="27">
        <f t="shared" si="3"/>
        <v>0</v>
      </c>
      <c r="AD42" s="25">
        <v>0</v>
      </c>
      <c r="AE42" s="25">
        <v>0</v>
      </c>
      <c r="AF42" s="27">
        <f t="shared" si="6"/>
        <v>0</v>
      </c>
      <c r="AG42" s="25">
        <v>0</v>
      </c>
      <c r="AH42" s="25">
        <v>0</v>
      </c>
      <c r="AI42" s="5"/>
      <c r="AJ42" s="5"/>
      <c r="AK42" s="5"/>
      <c r="AL42" s="5"/>
    </row>
    <row r="43" spans="1:38" s="22" customFormat="1" ht="15" customHeight="1" x14ac:dyDescent="0.25">
      <c r="A43" s="24" t="s">
        <v>30</v>
      </c>
      <c r="B43" s="25">
        <v>0</v>
      </c>
      <c r="C43" s="25">
        <v>0</v>
      </c>
      <c r="D43" s="26">
        <v>0</v>
      </c>
      <c r="E43" s="25">
        <v>0</v>
      </c>
      <c r="F43" s="25">
        <v>0</v>
      </c>
      <c r="G43" s="26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7">
        <v>0</v>
      </c>
      <c r="O43" s="25">
        <v>0</v>
      </c>
      <c r="P43" s="25">
        <v>0</v>
      </c>
      <c r="Q43" s="27">
        <v>0</v>
      </c>
      <c r="R43" s="25">
        <v>0</v>
      </c>
      <c r="S43" s="25">
        <v>0</v>
      </c>
      <c r="T43" s="27">
        <f>U43</f>
        <v>16</v>
      </c>
      <c r="U43" s="25">
        <v>16</v>
      </c>
      <c r="V43" s="25">
        <v>0</v>
      </c>
      <c r="W43" s="27">
        <f>X43</f>
        <v>11</v>
      </c>
      <c r="X43" s="25">
        <v>11</v>
      </c>
      <c r="Y43" s="25">
        <v>0</v>
      </c>
      <c r="Z43" s="27">
        <f t="shared" si="2"/>
        <v>7</v>
      </c>
      <c r="AA43" s="25">
        <v>7</v>
      </c>
      <c r="AB43" s="25">
        <v>0</v>
      </c>
      <c r="AC43" s="27">
        <f t="shared" si="3"/>
        <v>0</v>
      </c>
      <c r="AD43" s="25">
        <v>0</v>
      </c>
      <c r="AE43" s="25">
        <v>0</v>
      </c>
      <c r="AF43" s="27">
        <f t="shared" si="6"/>
        <v>0</v>
      </c>
      <c r="AG43" s="25">
        <v>0</v>
      </c>
      <c r="AH43" s="25">
        <v>0</v>
      </c>
      <c r="AI43" s="5"/>
      <c r="AJ43" s="5"/>
      <c r="AK43" s="5"/>
      <c r="AL43" s="5"/>
    </row>
    <row r="44" spans="1:38" s="22" customFormat="1" ht="15" x14ac:dyDescent="0.25">
      <c r="A44" s="18" t="s">
        <v>4</v>
      </c>
      <c r="B44" s="19">
        <v>51</v>
      </c>
      <c r="C44" s="19">
        <v>51</v>
      </c>
      <c r="D44" s="20">
        <v>0</v>
      </c>
      <c r="E44" s="19">
        <v>4</v>
      </c>
      <c r="F44" s="19">
        <v>4</v>
      </c>
      <c r="G44" s="20">
        <v>0</v>
      </c>
      <c r="H44" s="19">
        <v>6</v>
      </c>
      <c r="I44" s="19">
        <v>6</v>
      </c>
      <c r="J44" s="19">
        <v>0</v>
      </c>
      <c r="K44" s="19">
        <v>3</v>
      </c>
      <c r="L44" s="19">
        <v>3</v>
      </c>
      <c r="M44" s="19">
        <v>0</v>
      </c>
      <c r="N44" s="17">
        <f>N56+N67</f>
        <v>86</v>
      </c>
      <c r="O44" s="19">
        <f>O56+O67</f>
        <v>74</v>
      </c>
      <c r="P44" s="19">
        <f>P56+P67</f>
        <v>12</v>
      </c>
      <c r="Q44" s="17">
        <f>Q45+Q48+Q56</f>
        <v>173</v>
      </c>
      <c r="R44" s="19">
        <f t="shared" ref="R44:S44" si="12">R45+R48+R56</f>
        <v>173</v>
      </c>
      <c r="S44" s="19">
        <f t="shared" si="12"/>
        <v>0</v>
      </c>
      <c r="T44" s="17">
        <f t="shared" si="0"/>
        <v>150</v>
      </c>
      <c r="U44" s="19">
        <f>U45+U48+U56+U67</f>
        <v>150</v>
      </c>
      <c r="V44" s="19">
        <v>0</v>
      </c>
      <c r="W44" s="17">
        <f t="shared" ref="W44:W54" si="13">X44+Y44</f>
        <v>54</v>
      </c>
      <c r="X44" s="19">
        <f>X45+X48+X56+X67</f>
        <v>50</v>
      </c>
      <c r="Y44" s="19">
        <v>4</v>
      </c>
      <c r="Z44" s="17">
        <f t="shared" si="2"/>
        <v>146</v>
      </c>
      <c r="AA44" s="19">
        <f>AA45+AA48+AA56</f>
        <v>116</v>
      </c>
      <c r="AB44" s="19">
        <f>AB45+AB48+AB56</f>
        <v>30</v>
      </c>
      <c r="AC44" s="17">
        <f>AD44+AE44</f>
        <v>73</v>
      </c>
      <c r="AD44" s="19">
        <f>AD45+AD48+AD56+AD67</f>
        <v>40</v>
      </c>
      <c r="AE44" s="19">
        <f>AE45+AE48+AE56+AE67</f>
        <v>33</v>
      </c>
      <c r="AF44" s="17">
        <f>AG44+AH44</f>
        <v>14</v>
      </c>
      <c r="AG44" s="19">
        <f>AG45+AG48+AG56+AG67</f>
        <v>13</v>
      </c>
      <c r="AH44" s="19">
        <f>AH45+AH48+AH56+AH67</f>
        <v>1</v>
      </c>
      <c r="AI44" s="21"/>
      <c r="AJ44" s="21"/>
      <c r="AK44" s="21"/>
      <c r="AL44" s="21"/>
    </row>
    <row r="45" spans="1:38" s="22" customFormat="1" ht="15" x14ac:dyDescent="0.25">
      <c r="A45" s="23" t="s">
        <v>20</v>
      </c>
      <c r="B45" s="35">
        <v>0</v>
      </c>
      <c r="C45" s="35">
        <v>0</v>
      </c>
      <c r="D45" s="36">
        <v>0</v>
      </c>
      <c r="E45" s="35">
        <v>0</v>
      </c>
      <c r="F45" s="35">
        <v>0</v>
      </c>
      <c r="G45" s="36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7">
        <v>0</v>
      </c>
      <c r="O45" s="35">
        <v>0</v>
      </c>
      <c r="P45" s="35">
        <v>0</v>
      </c>
      <c r="Q45" s="38">
        <f>Q46</f>
        <v>13</v>
      </c>
      <c r="R45" s="39">
        <f>R46</f>
        <v>13</v>
      </c>
      <c r="S45" s="39">
        <v>0</v>
      </c>
      <c r="T45" s="17">
        <f t="shared" si="0"/>
        <v>11</v>
      </c>
      <c r="U45" s="39">
        <v>11</v>
      </c>
      <c r="V45" s="39">
        <v>0</v>
      </c>
      <c r="W45" s="17">
        <f t="shared" si="13"/>
        <v>11</v>
      </c>
      <c r="X45" s="39">
        <f>SUM(X46)</f>
        <v>11</v>
      </c>
      <c r="Y45" s="39">
        <f>SUM(Y46)</f>
        <v>0</v>
      </c>
      <c r="Z45" s="17">
        <f t="shared" si="2"/>
        <v>12</v>
      </c>
      <c r="AA45" s="19">
        <f>AA47</f>
        <v>10</v>
      </c>
      <c r="AB45" s="19">
        <f>AB47</f>
        <v>2</v>
      </c>
      <c r="AC45" s="17">
        <f t="shared" si="3"/>
        <v>8</v>
      </c>
      <c r="AD45" s="39">
        <f>AD46+AD47</f>
        <v>6</v>
      </c>
      <c r="AE45" s="39">
        <f>AE46+AE47</f>
        <v>2</v>
      </c>
      <c r="AF45" s="17">
        <f t="shared" ref="AF45:AF66" si="14">AG45+AH45</f>
        <v>7</v>
      </c>
      <c r="AG45" s="39">
        <f>AG46+AG47</f>
        <v>6</v>
      </c>
      <c r="AH45" s="39">
        <f>AH46+AH47</f>
        <v>1</v>
      </c>
      <c r="AI45" s="40"/>
      <c r="AJ45" s="21"/>
      <c r="AK45" s="21"/>
      <c r="AL45" s="21"/>
    </row>
    <row r="46" spans="1:38" s="22" customFormat="1" ht="15" x14ac:dyDescent="0.25">
      <c r="A46" s="24" t="s">
        <v>22</v>
      </c>
      <c r="B46" s="35">
        <v>0</v>
      </c>
      <c r="C46" s="35">
        <v>0</v>
      </c>
      <c r="D46" s="36">
        <v>0</v>
      </c>
      <c r="E46" s="35">
        <v>0</v>
      </c>
      <c r="F46" s="35">
        <v>0</v>
      </c>
      <c r="G46" s="36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7">
        <v>0</v>
      </c>
      <c r="O46" s="35">
        <v>0</v>
      </c>
      <c r="P46" s="35">
        <v>0</v>
      </c>
      <c r="Q46" s="41">
        <v>13</v>
      </c>
      <c r="R46" s="42">
        <v>13</v>
      </c>
      <c r="S46" s="42">
        <v>0</v>
      </c>
      <c r="T46" s="27">
        <f t="shared" si="0"/>
        <v>11</v>
      </c>
      <c r="U46" s="42">
        <v>11</v>
      </c>
      <c r="V46" s="42">
        <v>0</v>
      </c>
      <c r="W46" s="27">
        <f t="shared" si="13"/>
        <v>11</v>
      </c>
      <c r="X46" s="42">
        <v>11</v>
      </c>
      <c r="Y46" s="42">
        <v>0</v>
      </c>
      <c r="Z46" s="27">
        <f t="shared" si="2"/>
        <v>0</v>
      </c>
      <c r="AA46" s="42">
        <v>0</v>
      </c>
      <c r="AB46" s="42">
        <v>0</v>
      </c>
      <c r="AC46" s="27">
        <f t="shared" si="3"/>
        <v>0</v>
      </c>
      <c r="AD46" s="42">
        <v>0</v>
      </c>
      <c r="AE46" s="42">
        <v>0</v>
      </c>
      <c r="AF46" s="27">
        <f t="shared" si="14"/>
        <v>7</v>
      </c>
      <c r="AG46" s="42">
        <f>6</f>
        <v>6</v>
      </c>
      <c r="AH46" s="42">
        <f>1</f>
        <v>1</v>
      </c>
      <c r="AI46" s="40"/>
      <c r="AJ46" s="21"/>
      <c r="AK46" s="21"/>
      <c r="AL46" s="21"/>
    </row>
    <row r="47" spans="1:38" s="22" customFormat="1" ht="15" x14ac:dyDescent="0.25">
      <c r="A47" s="24" t="s">
        <v>44</v>
      </c>
      <c r="B47" s="35">
        <v>0</v>
      </c>
      <c r="C47" s="35">
        <v>0</v>
      </c>
      <c r="D47" s="36">
        <v>0</v>
      </c>
      <c r="E47" s="35">
        <v>0</v>
      </c>
      <c r="F47" s="35">
        <v>0</v>
      </c>
      <c r="G47" s="36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7">
        <v>0</v>
      </c>
      <c r="O47" s="35">
        <v>0</v>
      </c>
      <c r="P47" s="35">
        <v>0</v>
      </c>
      <c r="Q47" s="41">
        <v>0</v>
      </c>
      <c r="R47" s="42">
        <v>0</v>
      </c>
      <c r="S47" s="42">
        <v>0</v>
      </c>
      <c r="T47" s="27">
        <v>0</v>
      </c>
      <c r="U47" s="42">
        <v>0</v>
      </c>
      <c r="V47" s="42">
        <v>0</v>
      </c>
      <c r="W47" s="27">
        <v>0</v>
      </c>
      <c r="X47" s="42">
        <v>0</v>
      </c>
      <c r="Y47" s="42">
        <v>0</v>
      </c>
      <c r="Z47" s="27">
        <f t="shared" si="2"/>
        <v>12</v>
      </c>
      <c r="AA47" s="42">
        <v>10</v>
      </c>
      <c r="AB47" s="42">
        <v>2</v>
      </c>
      <c r="AC47" s="27">
        <f t="shared" si="3"/>
        <v>8</v>
      </c>
      <c r="AD47" s="42">
        <v>6</v>
      </c>
      <c r="AE47" s="42">
        <v>2</v>
      </c>
      <c r="AF47" s="27">
        <f t="shared" si="14"/>
        <v>0</v>
      </c>
      <c r="AG47" s="42">
        <v>0</v>
      </c>
      <c r="AH47" s="42">
        <v>0</v>
      </c>
      <c r="AI47" s="40"/>
      <c r="AJ47" s="21"/>
      <c r="AK47" s="21"/>
      <c r="AL47" s="21"/>
    </row>
    <row r="48" spans="1:38" s="6" customFormat="1" ht="14.25" customHeight="1" x14ac:dyDescent="0.25">
      <c r="A48" s="18" t="s">
        <v>45</v>
      </c>
      <c r="B48" s="19">
        <v>51</v>
      </c>
      <c r="C48" s="19">
        <v>51</v>
      </c>
      <c r="D48" s="20">
        <v>0</v>
      </c>
      <c r="E48" s="19">
        <v>4</v>
      </c>
      <c r="F48" s="19">
        <v>4</v>
      </c>
      <c r="G48" s="20">
        <v>0</v>
      </c>
      <c r="H48" s="19">
        <v>6</v>
      </c>
      <c r="I48" s="19">
        <v>6</v>
      </c>
      <c r="J48" s="19">
        <v>0</v>
      </c>
      <c r="K48" s="19">
        <v>3</v>
      </c>
      <c r="L48" s="19">
        <v>3</v>
      </c>
      <c r="M48" s="19">
        <v>0</v>
      </c>
      <c r="N48" s="17">
        <v>0</v>
      </c>
      <c r="O48" s="19">
        <v>0</v>
      </c>
      <c r="P48" s="19">
        <v>0</v>
      </c>
      <c r="Q48" s="17">
        <f>Q49+Q50+Q51+Q52+Q53+Q54</f>
        <v>19</v>
      </c>
      <c r="R48" s="19">
        <f>R49+R50+R51+R52+R53+R54</f>
        <v>19</v>
      </c>
      <c r="S48" s="19">
        <f>S49+S50+S51+S52+S53+S54</f>
        <v>0</v>
      </c>
      <c r="T48" s="17">
        <f t="shared" si="0"/>
        <v>33</v>
      </c>
      <c r="U48" s="19">
        <v>33</v>
      </c>
      <c r="V48" s="19">
        <v>0</v>
      </c>
      <c r="W48" s="17">
        <f t="shared" si="13"/>
        <v>9</v>
      </c>
      <c r="X48" s="19">
        <f>SUM(X54:X55)</f>
        <v>9</v>
      </c>
      <c r="Y48" s="19">
        <f>SUM(Y54:Y55)</f>
        <v>0</v>
      </c>
      <c r="Z48" s="17">
        <f t="shared" si="2"/>
        <v>11</v>
      </c>
      <c r="AA48" s="19">
        <f>SUM(AA54:AA55)</f>
        <v>10</v>
      </c>
      <c r="AB48" s="19">
        <f>SUM(AB54:AB55)</f>
        <v>1</v>
      </c>
      <c r="AC48" s="17">
        <f t="shared" si="3"/>
        <v>8</v>
      </c>
      <c r="AD48" s="19">
        <f>SUM(AD54:AD55)</f>
        <v>7</v>
      </c>
      <c r="AE48" s="19">
        <f>SUM(AE54:AE55)</f>
        <v>1</v>
      </c>
      <c r="AF48" s="17">
        <f t="shared" si="14"/>
        <v>0</v>
      </c>
      <c r="AG48" s="19">
        <f>SUM(AG54:AG55)</f>
        <v>0</v>
      </c>
      <c r="AH48" s="19">
        <f>SUM(AH54:AH55)</f>
        <v>0</v>
      </c>
      <c r="AI48" s="21"/>
      <c r="AJ48" s="21"/>
      <c r="AK48" s="21"/>
      <c r="AL48" s="21"/>
    </row>
    <row r="49" spans="1:38" s="6" customFormat="1" ht="15" hidden="1" x14ac:dyDescent="0.25">
      <c r="A49" s="24" t="s">
        <v>46</v>
      </c>
      <c r="B49" s="25">
        <v>4</v>
      </c>
      <c r="C49" s="25">
        <v>4</v>
      </c>
      <c r="D49" s="26">
        <v>0</v>
      </c>
      <c r="E49" s="25">
        <v>0</v>
      </c>
      <c r="F49" s="25">
        <v>0</v>
      </c>
      <c r="G49" s="26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7">
        <v>0</v>
      </c>
      <c r="O49" s="25">
        <v>0</v>
      </c>
      <c r="P49" s="25">
        <v>0</v>
      </c>
      <c r="Q49" s="27">
        <v>0</v>
      </c>
      <c r="R49" s="25">
        <v>0</v>
      </c>
      <c r="S49" s="25">
        <v>0</v>
      </c>
      <c r="T49" s="17">
        <f t="shared" si="0"/>
        <v>0</v>
      </c>
      <c r="U49" s="25"/>
      <c r="V49" s="25"/>
      <c r="W49" s="17">
        <f t="shared" si="13"/>
        <v>0</v>
      </c>
      <c r="X49" s="25"/>
      <c r="Y49" s="25"/>
      <c r="Z49" s="17">
        <f t="shared" si="2"/>
        <v>0</v>
      </c>
      <c r="AA49" s="25"/>
      <c r="AB49" s="25"/>
      <c r="AC49" s="17">
        <f t="shared" si="3"/>
        <v>0</v>
      </c>
      <c r="AD49" s="25"/>
      <c r="AE49" s="25"/>
      <c r="AF49" s="17">
        <f t="shared" si="14"/>
        <v>0</v>
      </c>
      <c r="AG49" s="25"/>
      <c r="AH49" s="25"/>
      <c r="AI49" s="21"/>
      <c r="AJ49" s="21"/>
      <c r="AK49" s="21"/>
      <c r="AL49" s="5"/>
    </row>
    <row r="50" spans="1:38" s="6" customFormat="1" ht="15" hidden="1" x14ac:dyDescent="0.25">
      <c r="A50" s="24" t="s">
        <v>47</v>
      </c>
      <c r="B50" s="25">
        <v>18</v>
      </c>
      <c r="C50" s="25">
        <v>18</v>
      </c>
      <c r="D50" s="26">
        <v>0</v>
      </c>
      <c r="E50" s="25">
        <v>0</v>
      </c>
      <c r="F50" s="25">
        <v>0</v>
      </c>
      <c r="G50" s="26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7">
        <v>0</v>
      </c>
      <c r="O50" s="25">
        <v>0</v>
      </c>
      <c r="P50" s="25">
        <v>0</v>
      </c>
      <c r="Q50" s="27">
        <v>0</v>
      </c>
      <c r="R50" s="25">
        <v>0</v>
      </c>
      <c r="S50" s="25">
        <v>0</v>
      </c>
      <c r="T50" s="17">
        <f t="shared" si="0"/>
        <v>0</v>
      </c>
      <c r="U50" s="25"/>
      <c r="V50" s="25"/>
      <c r="W50" s="17">
        <f t="shared" si="13"/>
        <v>0</v>
      </c>
      <c r="X50" s="25"/>
      <c r="Y50" s="25"/>
      <c r="Z50" s="17">
        <f t="shared" si="2"/>
        <v>0</v>
      </c>
      <c r="AA50" s="25"/>
      <c r="AB50" s="25"/>
      <c r="AC50" s="17">
        <f t="shared" si="3"/>
        <v>0</v>
      </c>
      <c r="AD50" s="25"/>
      <c r="AE50" s="25"/>
      <c r="AF50" s="17">
        <f t="shared" si="14"/>
        <v>0</v>
      </c>
      <c r="AG50" s="25"/>
      <c r="AH50" s="25"/>
      <c r="AI50" s="21"/>
      <c r="AJ50" s="21"/>
      <c r="AK50" s="21"/>
      <c r="AL50" s="5"/>
    </row>
    <row r="51" spans="1:38" s="6" customFormat="1" ht="15" hidden="1" x14ac:dyDescent="0.25">
      <c r="A51" s="24" t="s">
        <v>48</v>
      </c>
      <c r="B51" s="25">
        <v>6</v>
      </c>
      <c r="C51" s="25">
        <v>6</v>
      </c>
      <c r="D51" s="26">
        <v>0</v>
      </c>
      <c r="E51" s="25">
        <v>0</v>
      </c>
      <c r="F51" s="25">
        <v>0</v>
      </c>
      <c r="G51" s="26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7">
        <v>0</v>
      </c>
      <c r="O51" s="25">
        <v>0</v>
      </c>
      <c r="P51" s="25">
        <v>0</v>
      </c>
      <c r="Q51" s="27">
        <v>0</v>
      </c>
      <c r="R51" s="25">
        <v>0</v>
      </c>
      <c r="S51" s="25">
        <v>0</v>
      </c>
      <c r="T51" s="17">
        <f t="shared" si="0"/>
        <v>0</v>
      </c>
      <c r="U51" s="25"/>
      <c r="V51" s="25"/>
      <c r="W51" s="17">
        <f t="shared" si="13"/>
        <v>0</v>
      </c>
      <c r="X51" s="25"/>
      <c r="Y51" s="25"/>
      <c r="Z51" s="17">
        <f t="shared" si="2"/>
        <v>0</v>
      </c>
      <c r="AA51" s="25"/>
      <c r="AB51" s="25"/>
      <c r="AC51" s="17">
        <f t="shared" si="3"/>
        <v>0</v>
      </c>
      <c r="AD51" s="25"/>
      <c r="AE51" s="25"/>
      <c r="AF51" s="17">
        <f t="shared" si="14"/>
        <v>0</v>
      </c>
      <c r="AG51" s="25"/>
      <c r="AH51" s="25"/>
      <c r="AI51" s="21"/>
      <c r="AJ51" s="21"/>
      <c r="AK51" s="21"/>
      <c r="AL51" s="5"/>
    </row>
    <row r="52" spans="1:38" s="6" customFormat="1" ht="15" hidden="1" x14ac:dyDescent="0.25">
      <c r="A52" s="24" t="s">
        <v>49</v>
      </c>
      <c r="B52" s="25">
        <v>14</v>
      </c>
      <c r="C52" s="25">
        <v>14</v>
      </c>
      <c r="D52" s="26">
        <v>0</v>
      </c>
      <c r="E52" s="25">
        <v>4</v>
      </c>
      <c r="F52" s="25">
        <v>4</v>
      </c>
      <c r="G52" s="26">
        <v>0</v>
      </c>
      <c r="H52" s="25">
        <v>6</v>
      </c>
      <c r="I52" s="25">
        <v>6</v>
      </c>
      <c r="J52" s="25">
        <v>0</v>
      </c>
      <c r="K52" s="25">
        <v>3</v>
      </c>
      <c r="L52" s="25">
        <v>3</v>
      </c>
      <c r="M52" s="25">
        <v>0</v>
      </c>
      <c r="N52" s="27">
        <v>0</v>
      </c>
      <c r="O52" s="25">
        <v>0</v>
      </c>
      <c r="P52" s="25">
        <v>0</v>
      </c>
      <c r="Q52" s="27">
        <v>0</v>
      </c>
      <c r="R52" s="25">
        <v>0</v>
      </c>
      <c r="S52" s="25">
        <v>0</v>
      </c>
      <c r="T52" s="17">
        <f t="shared" si="0"/>
        <v>0</v>
      </c>
      <c r="U52" s="25"/>
      <c r="V52" s="25"/>
      <c r="W52" s="17">
        <f t="shared" si="13"/>
        <v>0</v>
      </c>
      <c r="X52" s="25"/>
      <c r="Y52" s="25"/>
      <c r="Z52" s="17">
        <f t="shared" si="2"/>
        <v>0</v>
      </c>
      <c r="AA52" s="25"/>
      <c r="AB52" s="25"/>
      <c r="AC52" s="17">
        <f t="shared" si="3"/>
        <v>0</v>
      </c>
      <c r="AD52" s="25"/>
      <c r="AE52" s="25"/>
      <c r="AF52" s="17">
        <f t="shared" si="14"/>
        <v>0</v>
      </c>
      <c r="AG52" s="25"/>
      <c r="AH52" s="25"/>
      <c r="AI52" s="5"/>
      <c r="AJ52" s="5"/>
      <c r="AK52" s="5"/>
    </row>
    <row r="53" spans="1:38" s="6" customFormat="1" ht="15" hidden="1" x14ac:dyDescent="0.25">
      <c r="A53" s="24" t="s">
        <v>50</v>
      </c>
      <c r="B53" s="25">
        <v>9</v>
      </c>
      <c r="C53" s="25">
        <v>9</v>
      </c>
      <c r="D53" s="26">
        <v>0</v>
      </c>
      <c r="E53" s="25">
        <v>0</v>
      </c>
      <c r="F53" s="25">
        <v>0</v>
      </c>
      <c r="G53" s="26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7">
        <v>0</v>
      </c>
      <c r="O53" s="25">
        <v>0</v>
      </c>
      <c r="P53" s="25">
        <v>0</v>
      </c>
      <c r="Q53" s="27">
        <v>0</v>
      </c>
      <c r="R53" s="25">
        <v>0</v>
      </c>
      <c r="S53" s="25">
        <v>0</v>
      </c>
      <c r="T53" s="17">
        <f t="shared" si="0"/>
        <v>0</v>
      </c>
      <c r="U53" s="25"/>
      <c r="V53" s="25"/>
      <c r="W53" s="17">
        <f t="shared" si="13"/>
        <v>0</v>
      </c>
      <c r="X53" s="25"/>
      <c r="Y53" s="25"/>
      <c r="Z53" s="17">
        <f t="shared" si="2"/>
        <v>0</v>
      </c>
      <c r="AA53" s="25"/>
      <c r="AB53" s="25"/>
      <c r="AC53" s="17">
        <f t="shared" si="3"/>
        <v>0</v>
      </c>
      <c r="AD53" s="25"/>
      <c r="AE53" s="25"/>
      <c r="AF53" s="17">
        <f t="shared" si="14"/>
        <v>0</v>
      </c>
      <c r="AG53" s="25"/>
      <c r="AH53" s="25"/>
      <c r="AI53" s="5"/>
      <c r="AJ53" s="5"/>
      <c r="AK53" s="5"/>
    </row>
    <row r="54" spans="1:38" s="22" customFormat="1" ht="15" x14ac:dyDescent="0.25">
      <c r="A54" s="24" t="s">
        <v>22</v>
      </c>
      <c r="B54" s="25">
        <v>9</v>
      </c>
      <c r="C54" s="25">
        <v>9</v>
      </c>
      <c r="D54" s="26">
        <v>0</v>
      </c>
      <c r="E54" s="25">
        <v>0</v>
      </c>
      <c r="F54" s="25">
        <v>0</v>
      </c>
      <c r="G54" s="26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7">
        <v>0</v>
      </c>
      <c r="O54" s="25">
        <v>0</v>
      </c>
      <c r="P54" s="25">
        <v>0</v>
      </c>
      <c r="Q54" s="27">
        <f>R54</f>
        <v>19</v>
      </c>
      <c r="R54" s="25">
        <v>19</v>
      </c>
      <c r="S54" s="25">
        <v>0</v>
      </c>
      <c r="T54" s="27">
        <f t="shared" si="0"/>
        <v>14</v>
      </c>
      <c r="U54" s="25">
        <v>14</v>
      </c>
      <c r="V54" s="25">
        <v>0</v>
      </c>
      <c r="W54" s="27">
        <f t="shared" si="13"/>
        <v>0</v>
      </c>
      <c r="X54" s="25">
        <v>0</v>
      </c>
      <c r="Y54" s="25">
        <v>0</v>
      </c>
      <c r="Z54" s="27">
        <f t="shared" si="2"/>
        <v>11</v>
      </c>
      <c r="AA54" s="25">
        <v>10</v>
      </c>
      <c r="AB54" s="25">
        <v>1</v>
      </c>
      <c r="AC54" s="27">
        <f t="shared" si="3"/>
        <v>8</v>
      </c>
      <c r="AD54" s="25">
        <v>7</v>
      </c>
      <c r="AE54" s="25">
        <v>1</v>
      </c>
      <c r="AF54" s="27">
        <f t="shared" si="14"/>
        <v>0</v>
      </c>
      <c r="AG54" s="25">
        <v>0</v>
      </c>
      <c r="AH54" s="25">
        <v>0</v>
      </c>
      <c r="AI54" s="21"/>
      <c r="AJ54" s="21"/>
      <c r="AK54" s="21"/>
    </row>
    <row r="55" spans="1:38" s="22" customFormat="1" ht="15" x14ac:dyDescent="0.25">
      <c r="A55" s="24" t="s">
        <v>26</v>
      </c>
      <c r="B55" s="25">
        <v>0</v>
      </c>
      <c r="C55" s="25">
        <v>0</v>
      </c>
      <c r="D55" s="26">
        <v>0</v>
      </c>
      <c r="E55" s="25">
        <v>0</v>
      </c>
      <c r="F55" s="25">
        <v>0</v>
      </c>
      <c r="G55" s="26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7">
        <v>0</v>
      </c>
      <c r="O55" s="25">
        <v>0</v>
      </c>
      <c r="P55" s="25">
        <v>0</v>
      </c>
      <c r="Q55" s="27">
        <v>0</v>
      </c>
      <c r="R55" s="25">
        <v>0</v>
      </c>
      <c r="S55" s="25">
        <v>0</v>
      </c>
      <c r="T55" s="27">
        <f>V55+U55</f>
        <v>19</v>
      </c>
      <c r="U55" s="25">
        <v>19</v>
      </c>
      <c r="V55" s="25">
        <v>0</v>
      </c>
      <c r="W55" s="27">
        <f>Y55+X55</f>
        <v>9</v>
      </c>
      <c r="X55" s="25">
        <v>9</v>
      </c>
      <c r="Y55" s="25">
        <v>0</v>
      </c>
      <c r="Z55" s="27">
        <f t="shared" si="2"/>
        <v>0</v>
      </c>
      <c r="AA55" s="25">
        <v>0</v>
      </c>
      <c r="AB55" s="25">
        <v>0</v>
      </c>
      <c r="AC55" s="27">
        <f t="shared" si="3"/>
        <v>0</v>
      </c>
      <c r="AD55" s="25">
        <v>0</v>
      </c>
      <c r="AE55" s="25">
        <v>0</v>
      </c>
      <c r="AF55" s="27">
        <f t="shared" si="14"/>
        <v>0</v>
      </c>
      <c r="AG55" s="25">
        <v>0</v>
      </c>
      <c r="AH55" s="25">
        <v>0</v>
      </c>
      <c r="AI55" s="21"/>
      <c r="AJ55" s="21"/>
      <c r="AK55" s="21"/>
    </row>
    <row r="56" spans="1:38" s="6" customFormat="1" ht="15" x14ac:dyDescent="0.25">
      <c r="A56" s="23" t="s">
        <v>51</v>
      </c>
      <c r="B56" s="19">
        <v>0</v>
      </c>
      <c r="C56" s="19">
        <v>0</v>
      </c>
      <c r="D56" s="20">
        <v>0</v>
      </c>
      <c r="E56" s="19">
        <v>0</v>
      </c>
      <c r="F56" s="19">
        <v>0</v>
      </c>
      <c r="G56" s="20">
        <v>0</v>
      </c>
      <c r="H56" s="19">
        <v>0</v>
      </c>
      <c r="I56" s="19">
        <v>0</v>
      </c>
      <c r="J56" s="19">
        <v>0</v>
      </c>
      <c r="K56" s="19">
        <v>22</v>
      </c>
      <c r="L56" s="19">
        <v>22</v>
      </c>
      <c r="M56" s="19">
        <v>0</v>
      </c>
      <c r="N56" s="17">
        <f>N57+N59+N60</f>
        <v>74</v>
      </c>
      <c r="O56" s="19">
        <f>O57+O59+O60</f>
        <v>74</v>
      </c>
      <c r="P56" s="19">
        <v>0</v>
      </c>
      <c r="Q56" s="17">
        <f>Q57+Q58+Q59+Q60</f>
        <v>141</v>
      </c>
      <c r="R56" s="19">
        <f>R57+R58+R59+R60</f>
        <v>141</v>
      </c>
      <c r="S56" s="19">
        <v>0</v>
      </c>
      <c r="T56" s="17">
        <f t="shared" si="0"/>
        <v>106</v>
      </c>
      <c r="U56" s="19">
        <f>U57+U58+U59+U60</f>
        <v>106</v>
      </c>
      <c r="V56" s="19">
        <v>0</v>
      </c>
      <c r="W56" s="17">
        <f t="shared" ref="W56:W82" si="15">X56+Y56</f>
        <v>34</v>
      </c>
      <c r="X56" s="19">
        <f>X57+X58+X59+X60+X61</f>
        <v>30</v>
      </c>
      <c r="Y56" s="19">
        <f>Y57+Y58+Y59+Y60+Y61</f>
        <v>4</v>
      </c>
      <c r="Z56" s="17">
        <f>AA56+AB56</f>
        <v>123</v>
      </c>
      <c r="AA56" s="19">
        <f>AA57+AA58+AA59+AA60+AA61+AA62+AA63+AA64+AA65</f>
        <v>96</v>
      </c>
      <c r="AB56" s="19">
        <f>AB57+AB58+AB59+AB60+AB61+AB62+AB63+AB64+AB65</f>
        <v>27</v>
      </c>
      <c r="AC56" s="17">
        <f t="shared" si="3"/>
        <v>51</v>
      </c>
      <c r="AD56" s="19">
        <f>AD57+AD58+AD59+AD60+AD61+AD62+AD63+AD64+AD65+AD66</f>
        <v>26</v>
      </c>
      <c r="AE56" s="19">
        <f>AE57+AE58+AE59+AE60+AE61+AE62+AE63+AE64+AE65+AE66</f>
        <v>25</v>
      </c>
      <c r="AF56" s="17">
        <f>AG56+AH56</f>
        <v>7</v>
      </c>
      <c r="AG56" s="19">
        <f>AG57+AG58+AG59+AG60+AG61+AG62+AG63+AG64+AG65+AG66</f>
        <v>7</v>
      </c>
      <c r="AH56" s="19">
        <f>AH57+AH58+AH59+AH60+AH61+AH62+AH63+AH64+AH65+AH66</f>
        <v>0</v>
      </c>
      <c r="AI56" s="21"/>
      <c r="AJ56" s="21"/>
      <c r="AK56" s="21"/>
    </row>
    <row r="57" spans="1:38" s="6" customFormat="1" ht="15" x14ac:dyDescent="0.25">
      <c r="A57" s="24" t="s">
        <v>52</v>
      </c>
      <c r="B57" s="25">
        <v>0</v>
      </c>
      <c r="C57" s="25">
        <v>0</v>
      </c>
      <c r="D57" s="26">
        <v>0</v>
      </c>
      <c r="E57" s="25">
        <v>0</v>
      </c>
      <c r="F57" s="25">
        <v>0</v>
      </c>
      <c r="G57" s="26">
        <v>0</v>
      </c>
      <c r="H57" s="25">
        <v>0</v>
      </c>
      <c r="I57" s="25">
        <v>0</v>
      </c>
      <c r="J57" s="25">
        <v>0</v>
      </c>
      <c r="K57" s="25">
        <v>22</v>
      </c>
      <c r="L57" s="25">
        <v>22</v>
      </c>
      <c r="M57" s="25">
        <v>0</v>
      </c>
      <c r="N57" s="27">
        <f>O57</f>
        <v>22</v>
      </c>
      <c r="O57" s="25">
        <f>10+12</f>
        <v>22</v>
      </c>
      <c r="P57" s="25">
        <v>0</v>
      </c>
      <c r="Q57" s="27">
        <f t="shared" ref="Q57:Q60" si="16">R57</f>
        <v>109</v>
      </c>
      <c r="R57" s="25">
        <v>109</v>
      </c>
      <c r="S57" s="25">
        <v>0</v>
      </c>
      <c r="T57" s="27">
        <f t="shared" si="0"/>
        <v>86</v>
      </c>
      <c r="U57" s="25">
        <f>11+22+13+22+18</f>
        <v>86</v>
      </c>
      <c r="V57" s="25">
        <v>0</v>
      </c>
      <c r="W57" s="27">
        <f t="shared" si="15"/>
        <v>23</v>
      </c>
      <c r="X57" s="25">
        <f>11+12</f>
        <v>23</v>
      </c>
      <c r="Y57" s="25">
        <v>0</v>
      </c>
      <c r="Z57" s="27">
        <f t="shared" si="2"/>
        <v>35</v>
      </c>
      <c r="AA57" s="25">
        <v>33</v>
      </c>
      <c r="AB57" s="25">
        <v>2</v>
      </c>
      <c r="AC57" s="27">
        <f t="shared" si="3"/>
        <v>8</v>
      </c>
      <c r="AD57" s="25">
        <v>8</v>
      </c>
      <c r="AE57" s="25">
        <v>0</v>
      </c>
      <c r="AF57" s="27">
        <f t="shared" si="14"/>
        <v>0</v>
      </c>
      <c r="AG57" s="25">
        <f>0</f>
        <v>0</v>
      </c>
      <c r="AH57" s="25">
        <f>0</f>
        <v>0</v>
      </c>
      <c r="AI57" s="21"/>
      <c r="AJ57" s="21"/>
      <c r="AK57" s="21"/>
    </row>
    <row r="58" spans="1:38" s="6" customFormat="1" ht="15" x14ac:dyDescent="0.25">
      <c r="A58" s="24" t="s">
        <v>37</v>
      </c>
      <c r="B58" s="25">
        <v>0</v>
      </c>
      <c r="C58" s="25">
        <v>0</v>
      </c>
      <c r="D58" s="26">
        <v>0</v>
      </c>
      <c r="E58" s="25">
        <v>0</v>
      </c>
      <c r="F58" s="25">
        <v>0</v>
      </c>
      <c r="G58" s="26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7">
        <v>0</v>
      </c>
      <c r="O58" s="25">
        <v>0</v>
      </c>
      <c r="P58" s="25">
        <v>0</v>
      </c>
      <c r="Q58" s="27">
        <f t="shared" si="16"/>
        <v>20</v>
      </c>
      <c r="R58" s="25">
        <v>20</v>
      </c>
      <c r="S58" s="25">
        <v>0</v>
      </c>
      <c r="T58" s="27">
        <f t="shared" si="0"/>
        <v>20</v>
      </c>
      <c r="U58" s="25">
        <v>20</v>
      </c>
      <c r="V58" s="25">
        <v>0</v>
      </c>
      <c r="W58" s="27">
        <f t="shared" si="15"/>
        <v>0</v>
      </c>
      <c r="X58" s="25">
        <v>0</v>
      </c>
      <c r="Y58" s="25">
        <v>0</v>
      </c>
      <c r="Z58" s="27">
        <f t="shared" si="2"/>
        <v>0</v>
      </c>
      <c r="AA58" s="25">
        <v>0</v>
      </c>
      <c r="AB58" s="25">
        <v>0</v>
      </c>
      <c r="AC58" s="27">
        <f t="shared" si="3"/>
        <v>0</v>
      </c>
      <c r="AD58" s="25">
        <v>0</v>
      </c>
      <c r="AE58" s="25">
        <v>0</v>
      </c>
      <c r="AF58" s="27">
        <f t="shared" si="14"/>
        <v>0</v>
      </c>
      <c r="AG58" s="25">
        <v>0</v>
      </c>
      <c r="AH58" s="25">
        <v>0</v>
      </c>
      <c r="AI58" s="21"/>
      <c r="AJ58" s="21"/>
      <c r="AK58" s="21"/>
    </row>
    <row r="59" spans="1:38" s="6" customFormat="1" ht="15" x14ac:dyDescent="0.25">
      <c r="A59" s="24" t="s">
        <v>35</v>
      </c>
      <c r="B59" s="25">
        <f>C59+D59</f>
        <v>0</v>
      </c>
      <c r="C59" s="25">
        <v>0</v>
      </c>
      <c r="D59" s="26">
        <v>0</v>
      </c>
      <c r="E59" s="25">
        <v>0</v>
      </c>
      <c r="F59" s="25">
        <v>0</v>
      </c>
      <c r="G59" s="26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7">
        <f>O59</f>
        <v>30</v>
      </c>
      <c r="O59" s="25">
        <f>10+20</f>
        <v>30</v>
      </c>
      <c r="P59" s="25">
        <v>0</v>
      </c>
      <c r="Q59" s="27">
        <v>0</v>
      </c>
      <c r="R59" s="25">
        <v>0</v>
      </c>
      <c r="S59" s="25">
        <v>0</v>
      </c>
      <c r="T59" s="27">
        <f t="shared" si="0"/>
        <v>0</v>
      </c>
      <c r="U59" s="25">
        <v>0</v>
      </c>
      <c r="V59" s="25">
        <v>0</v>
      </c>
      <c r="W59" s="27">
        <f t="shared" si="15"/>
        <v>0</v>
      </c>
      <c r="X59" s="25">
        <v>0</v>
      </c>
      <c r="Y59" s="25">
        <v>0</v>
      </c>
      <c r="Z59" s="27">
        <f t="shared" si="2"/>
        <v>0</v>
      </c>
      <c r="AA59" s="25">
        <v>0</v>
      </c>
      <c r="AB59" s="25">
        <v>0</v>
      </c>
      <c r="AC59" s="27">
        <f t="shared" si="3"/>
        <v>0</v>
      </c>
      <c r="AD59" s="25">
        <v>0</v>
      </c>
      <c r="AE59" s="25">
        <v>0</v>
      </c>
      <c r="AF59" s="27">
        <f t="shared" si="14"/>
        <v>0</v>
      </c>
      <c r="AG59" s="25">
        <v>0</v>
      </c>
      <c r="AH59" s="25">
        <v>0</v>
      </c>
      <c r="AI59" s="21"/>
      <c r="AJ59" s="21"/>
      <c r="AK59" s="21"/>
    </row>
    <row r="60" spans="1:38" s="6" customFormat="1" ht="15" x14ac:dyDescent="0.25">
      <c r="A60" s="24" t="s">
        <v>53</v>
      </c>
      <c r="B60" s="25">
        <f>C60+D60</f>
        <v>0</v>
      </c>
      <c r="C60" s="25">
        <v>0</v>
      </c>
      <c r="D60" s="26">
        <v>0</v>
      </c>
      <c r="E60" s="25">
        <v>0</v>
      </c>
      <c r="F60" s="25">
        <v>0</v>
      </c>
      <c r="G60" s="26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7">
        <f>O60</f>
        <v>22</v>
      </c>
      <c r="O60" s="25">
        <v>22</v>
      </c>
      <c r="P60" s="25">
        <v>0</v>
      </c>
      <c r="Q60" s="27">
        <f t="shared" si="16"/>
        <v>12</v>
      </c>
      <c r="R60" s="25">
        <v>12</v>
      </c>
      <c r="S60" s="25">
        <v>0</v>
      </c>
      <c r="T60" s="27">
        <f t="shared" si="0"/>
        <v>0</v>
      </c>
      <c r="U60" s="25">
        <v>0</v>
      </c>
      <c r="V60" s="25">
        <v>0</v>
      </c>
      <c r="W60" s="27">
        <f t="shared" si="15"/>
        <v>0</v>
      </c>
      <c r="X60" s="25">
        <v>0</v>
      </c>
      <c r="Y60" s="25">
        <v>0</v>
      </c>
      <c r="Z60" s="27">
        <f t="shared" si="2"/>
        <v>10</v>
      </c>
      <c r="AA60" s="25">
        <v>10</v>
      </c>
      <c r="AB60" s="25">
        <v>0</v>
      </c>
      <c r="AC60" s="27">
        <f t="shared" si="3"/>
        <v>8</v>
      </c>
      <c r="AD60" s="25">
        <v>8</v>
      </c>
      <c r="AE60" s="25">
        <v>0</v>
      </c>
      <c r="AF60" s="27">
        <f t="shared" si="14"/>
        <v>7</v>
      </c>
      <c r="AG60" s="25">
        <f>7</f>
        <v>7</v>
      </c>
      <c r="AH60" s="25">
        <f>0</f>
        <v>0</v>
      </c>
      <c r="AI60" s="21"/>
      <c r="AJ60" s="21"/>
      <c r="AK60" s="21"/>
    </row>
    <row r="61" spans="1:38" s="6" customFormat="1" ht="15" x14ac:dyDescent="0.25">
      <c r="A61" s="24" t="s">
        <v>54</v>
      </c>
      <c r="B61" s="25">
        <v>0</v>
      </c>
      <c r="C61" s="25">
        <v>0</v>
      </c>
      <c r="D61" s="26">
        <v>0</v>
      </c>
      <c r="E61" s="25">
        <v>0</v>
      </c>
      <c r="F61" s="25">
        <v>0</v>
      </c>
      <c r="G61" s="26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7">
        <v>0</v>
      </c>
      <c r="O61" s="25">
        <v>0</v>
      </c>
      <c r="P61" s="25">
        <v>0</v>
      </c>
      <c r="Q61" s="27">
        <v>0</v>
      </c>
      <c r="R61" s="25">
        <v>0</v>
      </c>
      <c r="S61" s="25">
        <v>0</v>
      </c>
      <c r="T61" s="27">
        <v>0</v>
      </c>
      <c r="U61" s="25">
        <v>0</v>
      </c>
      <c r="V61" s="25">
        <v>0</v>
      </c>
      <c r="W61" s="27">
        <f t="shared" si="15"/>
        <v>11</v>
      </c>
      <c r="X61" s="25">
        <v>7</v>
      </c>
      <c r="Y61" s="25">
        <v>4</v>
      </c>
      <c r="Z61" s="27">
        <f t="shared" si="2"/>
        <v>0</v>
      </c>
      <c r="AA61" s="25">
        <v>0</v>
      </c>
      <c r="AB61" s="25">
        <v>0</v>
      </c>
      <c r="AC61" s="27">
        <f t="shared" si="3"/>
        <v>0</v>
      </c>
      <c r="AD61" s="25">
        <v>0</v>
      </c>
      <c r="AE61" s="25">
        <v>0</v>
      </c>
      <c r="AF61" s="27">
        <f t="shared" si="14"/>
        <v>0</v>
      </c>
      <c r="AG61" s="25">
        <v>0</v>
      </c>
      <c r="AH61" s="25">
        <v>0</v>
      </c>
      <c r="AI61" s="21"/>
      <c r="AJ61" s="21"/>
      <c r="AK61" s="21"/>
    </row>
    <row r="62" spans="1:38" s="6" customFormat="1" ht="15" x14ac:dyDescent="0.25">
      <c r="A62" s="24" t="s">
        <v>55</v>
      </c>
      <c r="B62" s="25">
        <v>0</v>
      </c>
      <c r="C62" s="25">
        <v>0</v>
      </c>
      <c r="D62" s="26">
        <v>0</v>
      </c>
      <c r="E62" s="25">
        <v>0</v>
      </c>
      <c r="F62" s="25">
        <v>0</v>
      </c>
      <c r="G62" s="26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7">
        <v>0</v>
      </c>
      <c r="O62" s="25">
        <v>0</v>
      </c>
      <c r="P62" s="25">
        <v>0</v>
      </c>
      <c r="Q62" s="27">
        <v>0</v>
      </c>
      <c r="R62" s="25">
        <v>0</v>
      </c>
      <c r="S62" s="25">
        <v>0</v>
      </c>
      <c r="T62" s="27">
        <v>0</v>
      </c>
      <c r="U62" s="25">
        <v>0</v>
      </c>
      <c r="V62" s="25">
        <v>0</v>
      </c>
      <c r="W62" s="27">
        <v>0</v>
      </c>
      <c r="X62" s="25">
        <v>0</v>
      </c>
      <c r="Y62" s="25">
        <v>0</v>
      </c>
      <c r="Z62" s="27">
        <f t="shared" si="2"/>
        <v>16</v>
      </c>
      <c r="AA62" s="25">
        <v>14</v>
      </c>
      <c r="AB62" s="25">
        <v>2</v>
      </c>
      <c r="AC62" s="27">
        <f t="shared" si="3"/>
        <v>0</v>
      </c>
      <c r="AD62" s="25">
        <v>0</v>
      </c>
      <c r="AE62" s="25">
        <v>0</v>
      </c>
      <c r="AF62" s="27">
        <f t="shared" si="14"/>
        <v>0</v>
      </c>
      <c r="AG62" s="25">
        <v>0</v>
      </c>
      <c r="AH62" s="25">
        <v>0</v>
      </c>
      <c r="AI62" s="21"/>
      <c r="AJ62" s="21"/>
      <c r="AK62" s="21"/>
    </row>
    <row r="63" spans="1:38" s="6" customFormat="1" ht="15" x14ac:dyDescent="0.25">
      <c r="A63" s="24" t="s">
        <v>56</v>
      </c>
      <c r="B63" s="25">
        <v>0</v>
      </c>
      <c r="C63" s="25">
        <v>0</v>
      </c>
      <c r="D63" s="26">
        <v>0</v>
      </c>
      <c r="E63" s="25">
        <v>0</v>
      </c>
      <c r="F63" s="25">
        <v>0</v>
      </c>
      <c r="G63" s="26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7">
        <v>0</v>
      </c>
      <c r="O63" s="25">
        <v>0</v>
      </c>
      <c r="P63" s="25">
        <v>0</v>
      </c>
      <c r="Q63" s="27">
        <v>0</v>
      </c>
      <c r="R63" s="25">
        <v>0</v>
      </c>
      <c r="S63" s="25">
        <v>0</v>
      </c>
      <c r="T63" s="27">
        <v>0</v>
      </c>
      <c r="U63" s="25">
        <v>0</v>
      </c>
      <c r="V63" s="25">
        <v>0</v>
      </c>
      <c r="W63" s="27">
        <v>0</v>
      </c>
      <c r="X63" s="25">
        <v>0</v>
      </c>
      <c r="Y63" s="25">
        <v>0</v>
      </c>
      <c r="Z63" s="27">
        <f t="shared" si="2"/>
        <v>26</v>
      </c>
      <c r="AA63" s="25">
        <v>21</v>
      </c>
      <c r="AB63" s="25">
        <v>5</v>
      </c>
      <c r="AC63" s="27">
        <f t="shared" si="3"/>
        <v>0</v>
      </c>
      <c r="AD63" s="25">
        <v>0</v>
      </c>
      <c r="AE63" s="25">
        <v>0</v>
      </c>
      <c r="AF63" s="27">
        <f t="shared" si="14"/>
        <v>0</v>
      </c>
      <c r="AG63" s="25">
        <v>0</v>
      </c>
      <c r="AH63" s="25">
        <v>0</v>
      </c>
      <c r="AI63" s="21"/>
      <c r="AJ63" s="21"/>
      <c r="AK63" s="21"/>
    </row>
    <row r="64" spans="1:38" s="6" customFormat="1" ht="15" x14ac:dyDescent="0.25">
      <c r="A64" s="24" t="s">
        <v>42</v>
      </c>
      <c r="B64" s="25">
        <v>0</v>
      </c>
      <c r="C64" s="25">
        <v>0</v>
      </c>
      <c r="D64" s="26">
        <v>0</v>
      </c>
      <c r="E64" s="25">
        <v>0</v>
      </c>
      <c r="F64" s="25">
        <v>0</v>
      </c>
      <c r="G64" s="26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7">
        <v>0</v>
      </c>
      <c r="O64" s="25">
        <v>0</v>
      </c>
      <c r="P64" s="25">
        <v>0</v>
      </c>
      <c r="Q64" s="27">
        <v>0</v>
      </c>
      <c r="R64" s="25">
        <v>0</v>
      </c>
      <c r="S64" s="25">
        <v>0</v>
      </c>
      <c r="T64" s="27">
        <v>0</v>
      </c>
      <c r="U64" s="25">
        <v>0</v>
      </c>
      <c r="V64" s="25">
        <v>0</v>
      </c>
      <c r="W64" s="27">
        <v>0</v>
      </c>
      <c r="X64" s="25">
        <v>0</v>
      </c>
      <c r="Y64" s="25">
        <v>0</v>
      </c>
      <c r="Z64" s="27">
        <f t="shared" si="2"/>
        <v>17</v>
      </c>
      <c r="AA64" s="25">
        <v>8</v>
      </c>
      <c r="AB64" s="25">
        <v>9</v>
      </c>
      <c r="AC64" s="27">
        <f t="shared" si="3"/>
        <v>10</v>
      </c>
      <c r="AD64" s="25">
        <v>2</v>
      </c>
      <c r="AE64" s="25">
        <v>8</v>
      </c>
      <c r="AF64" s="27">
        <f t="shared" si="14"/>
        <v>0</v>
      </c>
      <c r="AG64" s="25">
        <v>0</v>
      </c>
      <c r="AH64" s="25">
        <v>0</v>
      </c>
      <c r="AI64" s="21"/>
      <c r="AJ64" s="21"/>
      <c r="AK64" s="21"/>
    </row>
    <row r="65" spans="1:37" s="6" customFormat="1" ht="15" x14ac:dyDescent="0.25">
      <c r="A65" s="24" t="s">
        <v>57</v>
      </c>
      <c r="B65" s="25">
        <v>0</v>
      </c>
      <c r="C65" s="25">
        <v>0</v>
      </c>
      <c r="D65" s="26">
        <v>0</v>
      </c>
      <c r="E65" s="25">
        <v>0</v>
      </c>
      <c r="F65" s="25">
        <v>0</v>
      </c>
      <c r="G65" s="26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7">
        <v>0</v>
      </c>
      <c r="O65" s="25">
        <v>0</v>
      </c>
      <c r="P65" s="25">
        <v>0</v>
      </c>
      <c r="Q65" s="27">
        <v>0</v>
      </c>
      <c r="R65" s="25">
        <v>0</v>
      </c>
      <c r="S65" s="25">
        <v>0</v>
      </c>
      <c r="T65" s="27">
        <v>0</v>
      </c>
      <c r="U65" s="25">
        <v>0</v>
      </c>
      <c r="V65" s="25">
        <v>0</v>
      </c>
      <c r="W65" s="27">
        <v>0</v>
      </c>
      <c r="X65" s="25">
        <v>0</v>
      </c>
      <c r="Y65" s="25">
        <v>0</v>
      </c>
      <c r="Z65" s="27">
        <f t="shared" si="2"/>
        <v>19</v>
      </c>
      <c r="AA65" s="25">
        <v>10</v>
      </c>
      <c r="AB65" s="25">
        <v>9</v>
      </c>
      <c r="AC65" s="27">
        <f t="shared" si="3"/>
        <v>0</v>
      </c>
      <c r="AD65" s="25">
        <v>0</v>
      </c>
      <c r="AE65" s="25">
        <v>0</v>
      </c>
      <c r="AF65" s="27">
        <f t="shared" si="14"/>
        <v>0</v>
      </c>
      <c r="AG65" s="25">
        <v>0</v>
      </c>
      <c r="AH65" s="25">
        <v>0</v>
      </c>
      <c r="AI65" s="21"/>
      <c r="AJ65" s="21"/>
      <c r="AK65" s="21"/>
    </row>
    <row r="66" spans="1:37" s="6" customFormat="1" ht="15" x14ac:dyDescent="0.25">
      <c r="A66" s="24" t="s">
        <v>44</v>
      </c>
      <c r="B66" s="25">
        <v>0</v>
      </c>
      <c r="C66" s="25">
        <v>0</v>
      </c>
      <c r="D66" s="26">
        <v>0</v>
      </c>
      <c r="E66" s="25">
        <v>0</v>
      </c>
      <c r="F66" s="25">
        <v>0</v>
      </c>
      <c r="G66" s="26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7">
        <v>0</v>
      </c>
      <c r="O66" s="25">
        <v>0</v>
      </c>
      <c r="P66" s="25">
        <v>0</v>
      </c>
      <c r="Q66" s="27">
        <v>0</v>
      </c>
      <c r="R66" s="25">
        <v>0</v>
      </c>
      <c r="S66" s="25">
        <v>0</v>
      </c>
      <c r="T66" s="27">
        <v>0</v>
      </c>
      <c r="U66" s="25">
        <v>0</v>
      </c>
      <c r="V66" s="25">
        <v>0</v>
      </c>
      <c r="W66" s="27">
        <v>0</v>
      </c>
      <c r="X66" s="25">
        <v>0</v>
      </c>
      <c r="Y66" s="25">
        <v>0</v>
      </c>
      <c r="Z66" s="27">
        <v>0</v>
      </c>
      <c r="AA66" s="25">
        <v>0</v>
      </c>
      <c r="AB66" s="25">
        <v>0</v>
      </c>
      <c r="AC66" s="27">
        <f t="shared" si="3"/>
        <v>25</v>
      </c>
      <c r="AD66" s="25">
        <v>8</v>
      </c>
      <c r="AE66" s="25">
        <v>17</v>
      </c>
      <c r="AF66" s="27">
        <f t="shared" si="14"/>
        <v>0</v>
      </c>
      <c r="AG66" s="25">
        <v>0</v>
      </c>
      <c r="AH66" s="25">
        <v>0</v>
      </c>
      <c r="AI66" s="21"/>
      <c r="AJ66" s="21"/>
      <c r="AK66" s="21"/>
    </row>
    <row r="67" spans="1:37" s="6" customFormat="1" ht="15" x14ac:dyDescent="0.25">
      <c r="A67" s="23" t="s">
        <v>58</v>
      </c>
      <c r="B67" s="19">
        <v>0</v>
      </c>
      <c r="C67" s="19">
        <v>0</v>
      </c>
      <c r="D67" s="20">
        <v>0</v>
      </c>
      <c r="E67" s="19">
        <v>0</v>
      </c>
      <c r="F67" s="19">
        <v>0</v>
      </c>
      <c r="G67" s="20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7">
        <f>N68+N69+N70</f>
        <v>12</v>
      </c>
      <c r="O67" s="19">
        <f>O68+O69+O70</f>
        <v>0</v>
      </c>
      <c r="P67" s="19">
        <f>P68</f>
        <v>12</v>
      </c>
      <c r="Q67" s="17">
        <f>Q68+Q69+Q70</f>
        <v>0</v>
      </c>
      <c r="R67" s="19">
        <f>R68+R69+R70</f>
        <v>0</v>
      </c>
      <c r="S67" s="19">
        <v>0</v>
      </c>
      <c r="T67" s="17">
        <f t="shared" si="0"/>
        <v>0</v>
      </c>
      <c r="U67" s="19">
        <v>0</v>
      </c>
      <c r="V67" s="19">
        <v>0</v>
      </c>
      <c r="W67" s="17">
        <f t="shared" si="15"/>
        <v>0</v>
      </c>
      <c r="X67" s="19">
        <f>X68</f>
        <v>0</v>
      </c>
      <c r="Y67" s="19">
        <f>Y68</f>
        <v>0</v>
      </c>
      <c r="Z67" s="17">
        <f t="shared" si="2"/>
        <v>0</v>
      </c>
      <c r="AA67" s="19">
        <f>AA68</f>
        <v>0</v>
      </c>
      <c r="AB67" s="19">
        <f>AB68</f>
        <v>0</v>
      </c>
      <c r="AC67" s="17">
        <f>AD67+AE67</f>
        <v>6</v>
      </c>
      <c r="AD67" s="19">
        <f>AD83</f>
        <v>1</v>
      </c>
      <c r="AE67" s="19">
        <f>AE83</f>
        <v>5</v>
      </c>
      <c r="AF67" s="17">
        <f>AG67+AH67</f>
        <v>0</v>
      </c>
      <c r="AG67" s="19">
        <f>AG83</f>
        <v>0</v>
      </c>
      <c r="AH67" s="19">
        <f>AH83</f>
        <v>0</v>
      </c>
      <c r="AI67" s="21"/>
      <c r="AJ67" s="21"/>
      <c r="AK67" s="21"/>
    </row>
    <row r="68" spans="1:37" s="6" customFormat="1" ht="15" x14ac:dyDescent="0.25">
      <c r="A68" s="24" t="s">
        <v>38</v>
      </c>
      <c r="B68" s="25">
        <v>0</v>
      </c>
      <c r="C68" s="25">
        <v>0</v>
      </c>
      <c r="D68" s="26">
        <v>0</v>
      </c>
      <c r="E68" s="25">
        <v>0</v>
      </c>
      <c r="F68" s="25">
        <v>0</v>
      </c>
      <c r="G68" s="26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7">
        <f>P68</f>
        <v>12</v>
      </c>
      <c r="O68" s="25">
        <v>0</v>
      </c>
      <c r="P68" s="25">
        <v>12</v>
      </c>
      <c r="Q68" s="27">
        <f>S68</f>
        <v>0</v>
      </c>
      <c r="R68" s="25">
        <v>0</v>
      </c>
      <c r="S68" s="25">
        <v>0</v>
      </c>
      <c r="T68" s="27">
        <f t="shared" si="0"/>
        <v>0</v>
      </c>
      <c r="U68" s="25">
        <v>0</v>
      </c>
      <c r="V68" s="25">
        <v>0</v>
      </c>
      <c r="W68" s="27">
        <f t="shared" si="15"/>
        <v>0</v>
      </c>
      <c r="X68" s="25">
        <v>0</v>
      </c>
      <c r="Y68" s="25">
        <v>0</v>
      </c>
      <c r="Z68" s="27">
        <f t="shared" si="2"/>
        <v>0</v>
      </c>
      <c r="AA68" s="25">
        <v>0</v>
      </c>
      <c r="AB68" s="25">
        <v>0</v>
      </c>
      <c r="AC68" s="27">
        <f t="shared" si="3"/>
        <v>0</v>
      </c>
      <c r="AD68" s="25">
        <v>0</v>
      </c>
      <c r="AE68" s="25">
        <v>0</v>
      </c>
      <c r="AF68" s="27">
        <f t="shared" ref="AF68:AF107" si="17">AG68+AH68</f>
        <v>0</v>
      </c>
      <c r="AG68" s="25">
        <v>0</v>
      </c>
      <c r="AH68" s="25">
        <v>0</v>
      </c>
      <c r="AI68" s="21"/>
      <c r="AJ68" s="21"/>
      <c r="AK68" s="21"/>
    </row>
    <row r="69" spans="1:37" s="6" customFormat="1" ht="15" hidden="1" x14ac:dyDescent="0.25">
      <c r="A69" s="18" t="s">
        <v>5</v>
      </c>
      <c r="B69" s="19">
        <v>256</v>
      </c>
      <c r="C69" s="19">
        <v>256</v>
      </c>
      <c r="D69" s="20">
        <v>0</v>
      </c>
      <c r="E69" s="19">
        <v>37</v>
      </c>
      <c r="F69" s="19">
        <v>37</v>
      </c>
      <c r="G69" s="20">
        <v>0</v>
      </c>
      <c r="H69" s="19">
        <v>75</v>
      </c>
      <c r="I69" s="19">
        <v>75</v>
      </c>
      <c r="J69" s="19">
        <v>0</v>
      </c>
      <c r="K69" s="19">
        <v>0</v>
      </c>
      <c r="L69" s="19">
        <v>0</v>
      </c>
      <c r="M69" s="19">
        <v>0</v>
      </c>
      <c r="N69" s="17">
        <v>0</v>
      </c>
      <c r="O69" s="19">
        <v>0</v>
      </c>
      <c r="P69" s="19">
        <v>0</v>
      </c>
      <c r="Q69" s="17">
        <v>0</v>
      </c>
      <c r="R69" s="19">
        <v>0</v>
      </c>
      <c r="S69" s="19">
        <v>0</v>
      </c>
      <c r="T69" s="17">
        <f t="shared" si="0"/>
        <v>0</v>
      </c>
      <c r="U69" s="25"/>
      <c r="V69" s="25"/>
      <c r="W69" s="17">
        <f t="shared" si="15"/>
        <v>0</v>
      </c>
      <c r="X69" s="25"/>
      <c r="Y69" s="25"/>
      <c r="Z69" s="17">
        <f t="shared" si="2"/>
        <v>0</v>
      </c>
      <c r="AA69" s="25"/>
      <c r="AB69" s="25"/>
      <c r="AC69" s="27">
        <f t="shared" si="3"/>
        <v>0</v>
      </c>
      <c r="AD69" s="25"/>
      <c r="AE69" s="25"/>
      <c r="AF69" s="27">
        <f t="shared" si="17"/>
        <v>0</v>
      </c>
      <c r="AG69" s="25"/>
      <c r="AH69" s="25"/>
      <c r="AI69" s="21"/>
      <c r="AJ69" s="21"/>
      <c r="AK69" s="21"/>
    </row>
    <row r="70" spans="1:37" s="6" customFormat="1" ht="15" hidden="1" x14ac:dyDescent="0.25">
      <c r="A70" s="24" t="s">
        <v>59</v>
      </c>
      <c r="B70" s="25">
        <v>15</v>
      </c>
      <c r="C70" s="25">
        <v>15</v>
      </c>
      <c r="D70" s="26">
        <v>0</v>
      </c>
      <c r="E70" s="25">
        <v>21</v>
      </c>
      <c r="F70" s="25">
        <v>21</v>
      </c>
      <c r="G70" s="26">
        <v>0</v>
      </c>
      <c r="H70" s="25">
        <v>34</v>
      </c>
      <c r="I70" s="25">
        <v>34</v>
      </c>
      <c r="J70" s="25">
        <v>0</v>
      </c>
      <c r="K70" s="25">
        <v>0</v>
      </c>
      <c r="L70" s="25">
        <v>0</v>
      </c>
      <c r="M70" s="25">
        <v>0</v>
      </c>
      <c r="N70" s="27">
        <v>0</v>
      </c>
      <c r="O70" s="25">
        <v>0</v>
      </c>
      <c r="P70" s="25">
        <v>0</v>
      </c>
      <c r="Q70" s="27">
        <v>0</v>
      </c>
      <c r="R70" s="25">
        <v>0</v>
      </c>
      <c r="S70" s="25">
        <v>0</v>
      </c>
      <c r="T70" s="17">
        <f t="shared" si="0"/>
        <v>0</v>
      </c>
      <c r="U70" s="25"/>
      <c r="V70" s="25"/>
      <c r="W70" s="17">
        <f t="shared" si="15"/>
        <v>0</v>
      </c>
      <c r="X70" s="25"/>
      <c r="Y70" s="25"/>
      <c r="Z70" s="17">
        <f t="shared" si="2"/>
        <v>0</v>
      </c>
      <c r="AA70" s="25"/>
      <c r="AB70" s="25"/>
      <c r="AC70" s="27">
        <f t="shared" si="3"/>
        <v>0</v>
      </c>
      <c r="AD70" s="25"/>
      <c r="AE70" s="25"/>
      <c r="AF70" s="27">
        <f t="shared" si="17"/>
        <v>0</v>
      </c>
      <c r="AG70" s="25"/>
      <c r="AH70" s="25"/>
      <c r="AI70" s="21"/>
      <c r="AJ70" s="21"/>
      <c r="AK70" s="21"/>
    </row>
    <row r="71" spans="1:37" s="6" customFormat="1" ht="15" hidden="1" x14ac:dyDescent="0.25">
      <c r="A71" s="24" t="s">
        <v>60</v>
      </c>
      <c r="B71" s="25">
        <v>0</v>
      </c>
      <c r="C71" s="25">
        <v>0</v>
      </c>
      <c r="D71" s="26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7">
        <v>0</v>
      </c>
      <c r="O71" s="25">
        <v>0</v>
      </c>
      <c r="P71" s="25">
        <v>0</v>
      </c>
      <c r="Q71" s="27">
        <v>0</v>
      </c>
      <c r="R71" s="25">
        <v>0</v>
      </c>
      <c r="S71" s="25">
        <v>0</v>
      </c>
      <c r="T71" s="17">
        <f t="shared" si="0"/>
        <v>0</v>
      </c>
      <c r="U71" s="25"/>
      <c r="V71" s="25"/>
      <c r="W71" s="17">
        <f t="shared" si="15"/>
        <v>0</v>
      </c>
      <c r="X71" s="25"/>
      <c r="Y71" s="25"/>
      <c r="Z71" s="17">
        <f t="shared" si="2"/>
        <v>0</v>
      </c>
      <c r="AA71" s="25"/>
      <c r="AB71" s="25"/>
      <c r="AC71" s="27">
        <f t="shared" si="3"/>
        <v>0</v>
      </c>
      <c r="AD71" s="25"/>
      <c r="AE71" s="25"/>
      <c r="AF71" s="27">
        <f t="shared" si="17"/>
        <v>0</v>
      </c>
      <c r="AG71" s="25"/>
      <c r="AH71" s="25"/>
      <c r="AI71" s="21"/>
      <c r="AJ71" s="21"/>
      <c r="AK71" s="21"/>
    </row>
    <row r="72" spans="1:37" s="6" customFormat="1" ht="15" hidden="1" x14ac:dyDescent="0.25">
      <c r="A72" s="24" t="s">
        <v>61</v>
      </c>
      <c r="B72" s="25">
        <v>0</v>
      </c>
      <c r="C72" s="25">
        <v>0</v>
      </c>
      <c r="D72" s="26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7">
        <v>0</v>
      </c>
      <c r="O72" s="25">
        <v>0</v>
      </c>
      <c r="P72" s="25">
        <v>0</v>
      </c>
      <c r="Q72" s="27">
        <v>0</v>
      </c>
      <c r="R72" s="25">
        <v>0</v>
      </c>
      <c r="S72" s="25">
        <v>0</v>
      </c>
      <c r="T72" s="17">
        <f t="shared" si="0"/>
        <v>0</v>
      </c>
      <c r="U72" s="25"/>
      <c r="V72" s="25"/>
      <c r="W72" s="17">
        <f t="shared" si="15"/>
        <v>0</v>
      </c>
      <c r="X72" s="25"/>
      <c r="Y72" s="25"/>
      <c r="Z72" s="17">
        <f t="shared" si="2"/>
        <v>0</v>
      </c>
      <c r="AA72" s="25"/>
      <c r="AB72" s="25"/>
      <c r="AC72" s="27">
        <f t="shared" si="3"/>
        <v>0</v>
      </c>
      <c r="AD72" s="25"/>
      <c r="AE72" s="25"/>
      <c r="AF72" s="27">
        <f t="shared" si="17"/>
        <v>0</v>
      </c>
      <c r="AG72" s="25"/>
      <c r="AH72" s="25"/>
      <c r="AI72" s="21"/>
      <c r="AJ72" s="21"/>
      <c r="AK72" s="21"/>
    </row>
    <row r="73" spans="1:37" s="6" customFormat="1" ht="15" hidden="1" x14ac:dyDescent="0.25">
      <c r="A73" s="24" t="s">
        <v>62</v>
      </c>
      <c r="B73" s="25">
        <v>0</v>
      </c>
      <c r="C73" s="25">
        <v>0</v>
      </c>
      <c r="D73" s="26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7">
        <v>0</v>
      </c>
      <c r="O73" s="25">
        <v>0</v>
      </c>
      <c r="P73" s="25">
        <v>0</v>
      </c>
      <c r="Q73" s="27">
        <v>0</v>
      </c>
      <c r="R73" s="25">
        <v>0</v>
      </c>
      <c r="S73" s="25">
        <v>0</v>
      </c>
      <c r="T73" s="17">
        <f t="shared" si="0"/>
        <v>0</v>
      </c>
      <c r="U73" s="25"/>
      <c r="V73" s="25"/>
      <c r="W73" s="17">
        <f t="shared" si="15"/>
        <v>0</v>
      </c>
      <c r="X73" s="25"/>
      <c r="Y73" s="25"/>
      <c r="Z73" s="17">
        <f t="shared" si="2"/>
        <v>0</v>
      </c>
      <c r="AA73" s="25"/>
      <c r="AB73" s="25"/>
      <c r="AC73" s="27">
        <f t="shared" si="3"/>
        <v>0</v>
      </c>
      <c r="AD73" s="25"/>
      <c r="AE73" s="25"/>
      <c r="AF73" s="27">
        <f t="shared" si="17"/>
        <v>0</v>
      </c>
      <c r="AG73" s="25"/>
      <c r="AH73" s="25"/>
      <c r="AI73" s="21"/>
      <c r="AJ73" s="21"/>
      <c r="AK73" s="21"/>
    </row>
    <row r="74" spans="1:37" s="6" customFormat="1" ht="15" hidden="1" x14ac:dyDescent="0.25">
      <c r="A74" s="24" t="s">
        <v>63</v>
      </c>
      <c r="B74" s="25">
        <v>0</v>
      </c>
      <c r="C74" s="25">
        <v>0</v>
      </c>
      <c r="D74" s="26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7">
        <v>0</v>
      </c>
      <c r="O74" s="25">
        <v>0</v>
      </c>
      <c r="P74" s="25">
        <v>0</v>
      </c>
      <c r="Q74" s="27">
        <v>0</v>
      </c>
      <c r="R74" s="25">
        <v>0</v>
      </c>
      <c r="S74" s="25">
        <v>0</v>
      </c>
      <c r="T74" s="17">
        <f t="shared" si="0"/>
        <v>0</v>
      </c>
      <c r="U74" s="25"/>
      <c r="V74" s="25"/>
      <c r="W74" s="17">
        <f t="shared" si="15"/>
        <v>0</v>
      </c>
      <c r="X74" s="25"/>
      <c r="Y74" s="25"/>
      <c r="Z74" s="17">
        <f t="shared" si="2"/>
        <v>0</v>
      </c>
      <c r="AA74" s="25"/>
      <c r="AB74" s="25"/>
      <c r="AC74" s="27">
        <f t="shared" si="3"/>
        <v>0</v>
      </c>
      <c r="AD74" s="25"/>
      <c r="AE74" s="25"/>
      <c r="AF74" s="27">
        <f t="shared" si="17"/>
        <v>0</v>
      </c>
      <c r="AG74" s="25"/>
      <c r="AH74" s="25"/>
      <c r="AI74" s="5"/>
      <c r="AJ74" s="5"/>
      <c r="AK74" s="5"/>
    </row>
    <row r="75" spans="1:37" s="6" customFormat="1" ht="15" hidden="1" x14ac:dyDescent="0.25">
      <c r="A75" s="24" t="s">
        <v>64</v>
      </c>
      <c r="B75" s="25">
        <v>20</v>
      </c>
      <c r="C75" s="25">
        <v>20</v>
      </c>
      <c r="D75" s="26">
        <v>0</v>
      </c>
      <c r="E75" s="25">
        <v>10</v>
      </c>
      <c r="F75" s="25">
        <v>10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7">
        <v>0</v>
      </c>
      <c r="O75" s="25">
        <v>0</v>
      </c>
      <c r="P75" s="25">
        <v>0</v>
      </c>
      <c r="Q75" s="27">
        <v>0</v>
      </c>
      <c r="R75" s="25">
        <v>0</v>
      </c>
      <c r="S75" s="25">
        <v>0</v>
      </c>
      <c r="T75" s="17">
        <f t="shared" si="0"/>
        <v>0</v>
      </c>
      <c r="U75" s="25"/>
      <c r="V75" s="25"/>
      <c r="W75" s="17">
        <f t="shared" si="15"/>
        <v>0</v>
      </c>
      <c r="X75" s="25"/>
      <c r="Y75" s="25"/>
      <c r="Z75" s="17">
        <f t="shared" si="2"/>
        <v>0</v>
      </c>
      <c r="AA75" s="25"/>
      <c r="AB75" s="25"/>
      <c r="AC75" s="27">
        <f t="shared" si="3"/>
        <v>0</v>
      </c>
      <c r="AD75" s="25"/>
      <c r="AE75" s="25"/>
      <c r="AF75" s="27">
        <f t="shared" si="17"/>
        <v>0</v>
      </c>
      <c r="AG75" s="25"/>
      <c r="AH75" s="25"/>
      <c r="AI75" s="5"/>
      <c r="AJ75" s="5"/>
      <c r="AK75" s="5"/>
    </row>
    <row r="76" spans="1:37" s="6" customFormat="1" ht="15" hidden="1" x14ac:dyDescent="0.25">
      <c r="A76" s="24" t="s">
        <v>65</v>
      </c>
      <c r="B76" s="25">
        <v>13</v>
      </c>
      <c r="C76" s="25">
        <v>13</v>
      </c>
      <c r="D76" s="26">
        <v>0</v>
      </c>
      <c r="E76" s="25">
        <v>6</v>
      </c>
      <c r="F76" s="25">
        <v>6</v>
      </c>
      <c r="G76" s="25">
        <v>0</v>
      </c>
      <c r="H76" s="25">
        <v>8</v>
      </c>
      <c r="I76" s="25">
        <v>8</v>
      </c>
      <c r="J76" s="25">
        <v>0</v>
      </c>
      <c r="K76" s="25">
        <v>0</v>
      </c>
      <c r="L76" s="25">
        <v>0</v>
      </c>
      <c r="M76" s="25">
        <v>0</v>
      </c>
      <c r="N76" s="27">
        <v>0</v>
      </c>
      <c r="O76" s="25">
        <v>0</v>
      </c>
      <c r="P76" s="25">
        <v>0</v>
      </c>
      <c r="Q76" s="27">
        <v>0</v>
      </c>
      <c r="R76" s="25">
        <v>0</v>
      </c>
      <c r="S76" s="25">
        <v>0</v>
      </c>
      <c r="T76" s="17">
        <f t="shared" si="0"/>
        <v>0</v>
      </c>
      <c r="U76" s="25"/>
      <c r="V76" s="25"/>
      <c r="W76" s="17">
        <f t="shared" si="15"/>
        <v>0</v>
      </c>
      <c r="X76" s="25"/>
      <c r="Y76" s="25"/>
      <c r="Z76" s="17">
        <f t="shared" si="2"/>
        <v>0</v>
      </c>
      <c r="AA76" s="25"/>
      <c r="AB76" s="25"/>
      <c r="AC76" s="27">
        <f t="shared" si="3"/>
        <v>0</v>
      </c>
      <c r="AD76" s="25"/>
      <c r="AE76" s="25"/>
      <c r="AF76" s="27">
        <f t="shared" si="17"/>
        <v>0</v>
      </c>
      <c r="AG76" s="25"/>
      <c r="AH76" s="25"/>
      <c r="AI76" s="5"/>
      <c r="AJ76" s="5"/>
      <c r="AK76" s="5"/>
    </row>
    <row r="77" spans="1:37" s="6" customFormat="1" ht="15" hidden="1" x14ac:dyDescent="0.25">
      <c r="A77" s="24" t="s">
        <v>66</v>
      </c>
      <c r="B77" s="25">
        <v>76</v>
      </c>
      <c r="C77" s="25">
        <v>76</v>
      </c>
      <c r="D77" s="26">
        <v>0</v>
      </c>
      <c r="E77" s="25">
        <v>0</v>
      </c>
      <c r="F77" s="25">
        <v>0</v>
      </c>
      <c r="G77" s="25">
        <v>0</v>
      </c>
      <c r="H77" s="25">
        <v>33</v>
      </c>
      <c r="I77" s="25">
        <v>33</v>
      </c>
      <c r="J77" s="25">
        <v>0</v>
      </c>
      <c r="K77" s="25">
        <v>0</v>
      </c>
      <c r="L77" s="25">
        <v>0</v>
      </c>
      <c r="M77" s="25">
        <v>0</v>
      </c>
      <c r="N77" s="27">
        <v>0</v>
      </c>
      <c r="O77" s="25">
        <v>0</v>
      </c>
      <c r="P77" s="25">
        <v>0</v>
      </c>
      <c r="Q77" s="27">
        <v>0</v>
      </c>
      <c r="R77" s="25">
        <v>0</v>
      </c>
      <c r="S77" s="25">
        <v>0</v>
      </c>
      <c r="T77" s="17">
        <f t="shared" si="0"/>
        <v>0</v>
      </c>
      <c r="U77" s="25"/>
      <c r="V77" s="25"/>
      <c r="W77" s="17">
        <f t="shared" si="15"/>
        <v>0</v>
      </c>
      <c r="X77" s="25"/>
      <c r="Y77" s="25"/>
      <c r="Z77" s="17">
        <f t="shared" si="2"/>
        <v>0</v>
      </c>
      <c r="AA77" s="25"/>
      <c r="AB77" s="25"/>
      <c r="AC77" s="27">
        <f t="shared" si="3"/>
        <v>0</v>
      </c>
      <c r="AD77" s="25"/>
      <c r="AE77" s="25"/>
      <c r="AF77" s="27">
        <f t="shared" si="17"/>
        <v>0</v>
      </c>
      <c r="AG77" s="25"/>
      <c r="AH77" s="25"/>
      <c r="AI77" s="5"/>
      <c r="AJ77" s="5"/>
      <c r="AK77" s="5"/>
    </row>
    <row r="78" spans="1:37" s="6" customFormat="1" ht="15" hidden="1" x14ac:dyDescent="0.25">
      <c r="A78" s="24" t="s">
        <v>67</v>
      </c>
      <c r="B78" s="25">
        <v>36</v>
      </c>
      <c r="C78" s="25">
        <v>36</v>
      </c>
      <c r="D78" s="26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7">
        <v>0</v>
      </c>
      <c r="O78" s="25">
        <v>0</v>
      </c>
      <c r="P78" s="25">
        <v>0</v>
      </c>
      <c r="Q78" s="27">
        <v>0</v>
      </c>
      <c r="R78" s="25">
        <v>0</v>
      </c>
      <c r="S78" s="25">
        <v>0</v>
      </c>
      <c r="T78" s="17">
        <f t="shared" si="0"/>
        <v>0</v>
      </c>
      <c r="U78" s="25"/>
      <c r="V78" s="25"/>
      <c r="W78" s="17">
        <f t="shared" si="15"/>
        <v>0</v>
      </c>
      <c r="X78" s="25"/>
      <c r="Y78" s="25"/>
      <c r="Z78" s="17">
        <f t="shared" si="2"/>
        <v>0</v>
      </c>
      <c r="AA78" s="25"/>
      <c r="AB78" s="25"/>
      <c r="AC78" s="27">
        <f t="shared" si="3"/>
        <v>0</v>
      </c>
      <c r="AD78" s="25"/>
      <c r="AE78" s="25"/>
      <c r="AF78" s="27">
        <f t="shared" si="17"/>
        <v>0</v>
      </c>
      <c r="AG78" s="25"/>
      <c r="AH78" s="25"/>
      <c r="AI78" s="21"/>
      <c r="AJ78" s="21"/>
      <c r="AK78" s="21"/>
    </row>
    <row r="79" spans="1:37" s="6" customFormat="1" ht="15" hidden="1" x14ac:dyDescent="0.25">
      <c r="A79" s="24" t="s">
        <v>68</v>
      </c>
      <c r="B79" s="25">
        <v>15</v>
      </c>
      <c r="C79" s="25">
        <v>15</v>
      </c>
      <c r="D79" s="26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7">
        <v>0</v>
      </c>
      <c r="O79" s="25">
        <v>0</v>
      </c>
      <c r="P79" s="25">
        <v>0</v>
      </c>
      <c r="Q79" s="27">
        <v>0</v>
      </c>
      <c r="R79" s="25">
        <v>0</v>
      </c>
      <c r="S79" s="25">
        <v>0</v>
      </c>
      <c r="T79" s="17">
        <f t="shared" si="0"/>
        <v>0</v>
      </c>
      <c r="U79" s="25"/>
      <c r="V79" s="25"/>
      <c r="W79" s="17">
        <f t="shared" si="15"/>
        <v>0</v>
      </c>
      <c r="X79" s="25"/>
      <c r="Y79" s="25"/>
      <c r="Z79" s="17">
        <f t="shared" si="2"/>
        <v>0</v>
      </c>
      <c r="AA79" s="25"/>
      <c r="AB79" s="25"/>
      <c r="AC79" s="27">
        <f t="shared" si="3"/>
        <v>0</v>
      </c>
      <c r="AD79" s="25"/>
      <c r="AE79" s="25"/>
      <c r="AF79" s="27">
        <f t="shared" si="17"/>
        <v>0</v>
      </c>
      <c r="AG79" s="25"/>
      <c r="AH79" s="25"/>
      <c r="AI79" s="21"/>
      <c r="AJ79" s="21"/>
      <c r="AK79" s="21"/>
    </row>
    <row r="80" spans="1:37" s="6" customFormat="1" ht="15" hidden="1" x14ac:dyDescent="0.25">
      <c r="A80" s="24" t="s">
        <v>69</v>
      </c>
      <c r="B80" s="25">
        <v>51</v>
      </c>
      <c r="C80" s="25">
        <v>51</v>
      </c>
      <c r="D80" s="26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7">
        <v>0</v>
      </c>
      <c r="O80" s="25">
        <v>0</v>
      </c>
      <c r="P80" s="25">
        <v>0</v>
      </c>
      <c r="Q80" s="27">
        <v>0</v>
      </c>
      <c r="R80" s="25">
        <v>0</v>
      </c>
      <c r="S80" s="25">
        <v>0</v>
      </c>
      <c r="T80" s="17">
        <f t="shared" si="0"/>
        <v>0</v>
      </c>
      <c r="U80" s="25"/>
      <c r="V80" s="25"/>
      <c r="W80" s="17">
        <f t="shared" si="15"/>
        <v>0</v>
      </c>
      <c r="X80" s="25"/>
      <c r="Y80" s="25"/>
      <c r="Z80" s="17">
        <f t="shared" si="2"/>
        <v>0</v>
      </c>
      <c r="AA80" s="25"/>
      <c r="AB80" s="25"/>
      <c r="AC80" s="27">
        <f t="shared" si="3"/>
        <v>0</v>
      </c>
      <c r="AD80" s="25"/>
      <c r="AE80" s="25"/>
      <c r="AF80" s="27">
        <f t="shared" si="17"/>
        <v>0</v>
      </c>
      <c r="AG80" s="25"/>
      <c r="AH80" s="25"/>
      <c r="AI80" s="21"/>
      <c r="AJ80" s="21"/>
      <c r="AK80" s="21"/>
    </row>
    <row r="81" spans="1:37" s="12" customFormat="1" ht="15" hidden="1" x14ac:dyDescent="0.15">
      <c r="A81" s="24" t="s">
        <v>70</v>
      </c>
      <c r="B81" s="25">
        <v>15</v>
      </c>
      <c r="C81" s="25">
        <v>15</v>
      </c>
      <c r="D81" s="26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7">
        <v>0</v>
      </c>
      <c r="O81" s="25">
        <v>0</v>
      </c>
      <c r="P81" s="25">
        <v>0</v>
      </c>
      <c r="Q81" s="27">
        <v>0</v>
      </c>
      <c r="R81" s="25">
        <v>0</v>
      </c>
      <c r="S81" s="25">
        <v>0</v>
      </c>
      <c r="T81" s="17">
        <f t="shared" si="0"/>
        <v>0</v>
      </c>
      <c r="U81" s="25"/>
      <c r="V81" s="25"/>
      <c r="W81" s="17">
        <f t="shared" si="15"/>
        <v>0</v>
      </c>
      <c r="X81" s="25"/>
      <c r="Y81" s="25"/>
      <c r="Z81" s="17">
        <f t="shared" si="2"/>
        <v>0</v>
      </c>
      <c r="AA81" s="25"/>
      <c r="AB81" s="25"/>
      <c r="AC81" s="27">
        <f t="shared" si="3"/>
        <v>0</v>
      </c>
      <c r="AD81" s="25"/>
      <c r="AE81" s="25"/>
      <c r="AF81" s="27">
        <f t="shared" si="17"/>
        <v>0</v>
      </c>
      <c r="AG81" s="25"/>
      <c r="AH81" s="25"/>
      <c r="AI81" s="21"/>
      <c r="AJ81" s="21"/>
      <c r="AK81" s="21"/>
    </row>
    <row r="82" spans="1:37" s="12" customFormat="1" ht="15" hidden="1" x14ac:dyDescent="0.15">
      <c r="A82" s="24" t="s">
        <v>71</v>
      </c>
      <c r="B82" s="25">
        <v>15</v>
      </c>
      <c r="C82" s="25">
        <v>15</v>
      </c>
      <c r="D82" s="26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7">
        <v>0</v>
      </c>
      <c r="O82" s="25">
        <v>0</v>
      </c>
      <c r="P82" s="25">
        <v>0</v>
      </c>
      <c r="Q82" s="27">
        <v>0</v>
      </c>
      <c r="R82" s="25">
        <v>0</v>
      </c>
      <c r="S82" s="25">
        <v>0</v>
      </c>
      <c r="T82" s="17">
        <f t="shared" si="0"/>
        <v>0</v>
      </c>
      <c r="U82" s="25"/>
      <c r="V82" s="25"/>
      <c r="W82" s="17">
        <f t="shared" si="15"/>
        <v>0</v>
      </c>
      <c r="X82" s="25"/>
      <c r="Y82" s="25"/>
      <c r="Z82" s="17">
        <f t="shared" si="2"/>
        <v>0</v>
      </c>
      <c r="AA82" s="25"/>
      <c r="AB82" s="25"/>
      <c r="AC82" s="27">
        <f t="shared" si="3"/>
        <v>0</v>
      </c>
      <c r="AD82" s="25"/>
      <c r="AE82" s="25"/>
      <c r="AF82" s="27">
        <f t="shared" si="17"/>
        <v>0</v>
      </c>
      <c r="AG82" s="25"/>
      <c r="AH82" s="25"/>
      <c r="AI82" s="21"/>
      <c r="AJ82" s="21"/>
      <c r="AK82" s="21"/>
    </row>
    <row r="83" spans="1:37" s="12" customFormat="1" ht="15" x14ac:dyDescent="0.15">
      <c r="A83" s="24" t="s">
        <v>69</v>
      </c>
      <c r="B83" s="25">
        <v>0</v>
      </c>
      <c r="C83" s="25">
        <v>0</v>
      </c>
      <c r="D83" s="26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7">
        <v>0</v>
      </c>
      <c r="O83" s="25">
        <v>0</v>
      </c>
      <c r="P83" s="25">
        <v>0</v>
      </c>
      <c r="Q83" s="27">
        <v>0</v>
      </c>
      <c r="R83" s="25">
        <v>0</v>
      </c>
      <c r="S83" s="25">
        <v>0</v>
      </c>
      <c r="T83" s="17">
        <v>0</v>
      </c>
      <c r="U83" s="25">
        <v>0</v>
      </c>
      <c r="V83" s="25">
        <v>0</v>
      </c>
      <c r="W83" s="17">
        <v>0</v>
      </c>
      <c r="X83" s="25">
        <v>0</v>
      </c>
      <c r="Y83" s="25">
        <v>0</v>
      </c>
      <c r="Z83" s="27">
        <v>0</v>
      </c>
      <c r="AA83" s="25">
        <v>0</v>
      </c>
      <c r="AB83" s="25">
        <v>0</v>
      </c>
      <c r="AC83" s="27">
        <f t="shared" si="3"/>
        <v>6</v>
      </c>
      <c r="AD83" s="25">
        <v>1</v>
      </c>
      <c r="AE83" s="25">
        <v>5</v>
      </c>
      <c r="AF83" s="27">
        <f t="shared" si="17"/>
        <v>0</v>
      </c>
      <c r="AG83" s="25">
        <v>0</v>
      </c>
      <c r="AH83" s="25">
        <v>0</v>
      </c>
      <c r="AI83" s="21"/>
      <c r="AJ83" s="21"/>
      <c r="AK83" s="21"/>
    </row>
    <row r="84" spans="1:37" s="12" customFormat="1" ht="15" x14ac:dyDescent="0.15">
      <c r="A84" s="18" t="s">
        <v>6</v>
      </c>
      <c r="B84" s="19">
        <v>149</v>
      </c>
      <c r="C84" s="19">
        <v>149</v>
      </c>
      <c r="D84" s="20">
        <v>0</v>
      </c>
      <c r="E84" s="19">
        <v>21</v>
      </c>
      <c r="F84" s="19">
        <v>21</v>
      </c>
      <c r="G84" s="19">
        <v>0</v>
      </c>
      <c r="H84" s="19">
        <v>14</v>
      </c>
      <c r="I84" s="19">
        <v>14</v>
      </c>
      <c r="J84" s="19">
        <v>0</v>
      </c>
      <c r="K84" s="19">
        <v>0</v>
      </c>
      <c r="L84" s="19">
        <v>0</v>
      </c>
      <c r="M84" s="19">
        <v>0</v>
      </c>
      <c r="N84" s="17">
        <v>0</v>
      </c>
      <c r="O84" s="19">
        <v>0</v>
      </c>
      <c r="P84" s="19">
        <v>0</v>
      </c>
      <c r="Q84" s="17">
        <f>R84</f>
        <v>23</v>
      </c>
      <c r="R84" s="19">
        <f>R85</f>
        <v>23</v>
      </c>
      <c r="S84" s="19">
        <v>0</v>
      </c>
      <c r="T84" s="17">
        <f>U84</f>
        <v>40</v>
      </c>
      <c r="U84" s="19">
        <f>U85</f>
        <v>40</v>
      </c>
      <c r="V84" s="19">
        <v>0</v>
      </c>
      <c r="W84" s="17">
        <f>X84</f>
        <v>0</v>
      </c>
      <c r="X84" s="19">
        <f>X85</f>
        <v>0</v>
      </c>
      <c r="Y84" s="19">
        <v>0</v>
      </c>
      <c r="Z84" s="17">
        <f t="shared" si="2"/>
        <v>71</v>
      </c>
      <c r="AA84" s="19">
        <f>AA85+AA99</f>
        <v>71</v>
      </c>
      <c r="AB84" s="19">
        <v>0</v>
      </c>
      <c r="AC84" s="17">
        <f t="shared" si="3"/>
        <v>0</v>
      </c>
      <c r="AD84" s="19">
        <f>AD85</f>
        <v>0</v>
      </c>
      <c r="AE84" s="19">
        <v>0</v>
      </c>
      <c r="AF84" s="17">
        <f t="shared" si="17"/>
        <v>0</v>
      </c>
      <c r="AG84" s="19">
        <f>AG85</f>
        <v>0</v>
      </c>
      <c r="AH84" s="19">
        <v>0</v>
      </c>
      <c r="AI84" s="5"/>
      <c r="AJ84" s="5"/>
      <c r="AK84" s="5"/>
    </row>
    <row r="85" spans="1:37" s="12" customFormat="1" ht="15" x14ac:dyDescent="0.15">
      <c r="A85" s="24" t="s">
        <v>72</v>
      </c>
      <c r="B85" s="25">
        <v>119</v>
      </c>
      <c r="C85" s="25">
        <v>119</v>
      </c>
      <c r="D85" s="26">
        <v>0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7">
        <v>0</v>
      </c>
      <c r="O85" s="25">
        <v>0</v>
      </c>
      <c r="P85" s="25">
        <v>0</v>
      </c>
      <c r="Q85" s="27">
        <f>R85</f>
        <v>23</v>
      </c>
      <c r="R85" s="25">
        <v>23</v>
      </c>
      <c r="S85" s="25">
        <v>0</v>
      </c>
      <c r="T85" s="27">
        <f t="shared" si="0"/>
        <v>40</v>
      </c>
      <c r="U85" s="25">
        <v>40</v>
      </c>
      <c r="V85" s="25">
        <v>0</v>
      </c>
      <c r="W85" s="27">
        <f t="shared" ref="W85:W98" si="18">X85+Y85</f>
        <v>0</v>
      </c>
      <c r="X85" s="25">
        <v>0</v>
      </c>
      <c r="Y85" s="25">
        <v>0</v>
      </c>
      <c r="Z85" s="27">
        <f t="shared" ref="Z85:Z149" si="19">AA85+AB85</f>
        <v>56</v>
      </c>
      <c r="AA85" s="25">
        <f>20+16+20</f>
        <v>56</v>
      </c>
      <c r="AB85" s="25">
        <v>0</v>
      </c>
      <c r="AC85" s="27">
        <f t="shared" ref="AC85:AC149" si="20">AD85+AE85</f>
        <v>0</v>
      </c>
      <c r="AD85" s="25">
        <v>0</v>
      </c>
      <c r="AE85" s="25">
        <v>0</v>
      </c>
      <c r="AF85" s="27">
        <f t="shared" si="17"/>
        <v>0</v>
      </c>
      <c r="AG85" s="25">
        <v>0</v>
      </c>
      <c r="AH85" s="25">
        <v>0</v>
      </c>
      <c r="AI85" s="5"/>
      <c r="AJ85" s="5"/>
      <c r="AK85" s="5"/>
    </row>
    <row r="86" spans="1:37" s="12" customFormat="1" ht="15" hidden="1" x14ac:dyDescent="0.15">
      <c r="A86" s="24" t="s">
        <v>65</v>
      </c>
      <c r="B86" s="25">
        <v>0</v>
      </c>
      <c r="C86" s="25">
        <v>0</v>
      </c>
      <c r="D86" s="26">
        <v>0</v>
      </c>
      <c r="E86" s="25">
        <v>5</v>
      </c>
      <c r="F86" s="25">
        <v>5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7">
        <v>0</v>
      </c>
      <c r="O86" s="25">
        <v>0</v>
      </c>
      <c r="P86" s="25">
        <v>0</v>
      </c>
      <c r="Q86" s="27">
        <v>0</v>
      </c>
      <c r="R86" s="25">
        <v>0</v>
      </c>
      <c r="S86" s="25">
        <v>0</v>
      </c>
      <c r="T86" s="17">
        <f t="shared" si="0"/>
        <v>0</v>
      </c>
      <c r="U86" s="25"/>
      <c r="V86" s="25"/>
      <c r="W86" s="17">
        <f t="shared" si="18"/>
        <v>0</v>
      </c>
      <c r="X86" s="25"/>
      <c r="Y86" s="25"/>
      <c r="Z86" s="27">
        <f t="shared" si="19"/>
        <v>0</v>
      </c>
      <c r="AA86" s="25"/>
      <c r="AB86" s="25"/>
      <c r="AC86" s="27">
        <f t="shared" si="20"/>
        <v>0</v>
      </c>
      <c r="AD86" s="25"/>
      <c r="AE86" s="25"/>
      <c r="AF86" s="27">
        <f t="shared" si="17"/>
        <v>0</v>
      </c>
      <c r="AG86" s="25"/>
      <c r="AH86" s="25"/>
      <c r="AI86" s="5"/>
      <c r="AJ86" s="5"/>
      <c r="AK86" s="5"/>
    </row>
    <row r="87" spans="1:37" s="12" customFormat="1" ht="15" hidden="1" x14ac:dyDescent="0.15">
      <c r="A87" s="24" t="s">
        <v>73</v>
      </c>
      <c r="B87" s="25">
        <v>0</v>
      </c>
      <c r="C87" s="25">
        <v>0</v>
      </c>
      <c r="D87" s="26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7">
        <v>0</v>
      </c>
      <c r="O87" s="25">
        <v>0</v>
      </c>
      <c r="P87" s="25">
        <v>0</v>
      </c>
      <c r="Q87" s="27">
        <v>0</v>
      </c>
      <c r="R87" s="25">
        <v>0</v>
      </c>
      <c r="S87" s="25">
        <v>0</v>
      </c>
      <c r="T87" s="17">
        <f t="shared" si="0"/>
        <v>0</v>
      </c>
      <c r="U87" s="25"/>
      <c r="V87" s="25"/>
      <c r="W87" s="17">
        <f t="shared" si="18"/>
        <v>0</v>
      </c>
      <c r="X87" s="25"/>
      <c r="Y87" s="25"/>
      <c r="Z87" s="27">
        <f t="shared" si="19"/>
        <v>0</v>
      </c>
      <c r="AA87" s="25"/>
      <c r="AB87" s="25"/>
      <c r="AC87" s="27">
        <f t="shared" si="20"/>
        <v>0</v>
      </c>
      <c r="AD87" s="25"/>
      <c r="AE87" s="25"/>
      <c r="AF87" s="27">
        <f t="shared" si="17"/>
        <v>0</v>
      </c>
      <c r="AG87" s="25"/>
      <c r="AH87" s="25"/>
      <c r="AI87" s="5"/>
      <c r="AJ87" s="5"/>
      <c r="AK87" s="5"/>
    </row>
    <row r="88" spans="1:37" s="12" customFormat="1" ht="15" hidden="1" x14ac:dyDescent="0.15">
      <c r="A88" s="24" t="s">
        <v>74</v>
      </c>
      <c r="B88" s="25">
        <v>0</v>
      </c>
      <c r="C88" s="25">
        <v>0</v>
      </c>
      <c r="D88" s="26">
        <v>0</v>
      </c>
      <c r="E88" s="25">
        <v>0</v>
      </c>
      <c r="F88" s="25">
        <v>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7">
        <v>0</v>
      </c>
      <c r="O88" s="25">
        <v>0</v>
      </c>
      <c r="P88" s="25">
        <v>0</v>
      </c>
      <c r="Q88" s="27">
        <v>0</v>
      </c>
      <c r="R88" s="25">
        <v>0</v>
      </c>
      <c r="S88" s="25">
        <v>0</v>
      </c>
      <c r="T88" s="17">
        <f t="shared" si="0"/>
        <v>0</v>
      </c>
      <c r="U88" s="25"/>
      <c r="V88" s="25"/>
      <c r="W88" s="17">
        <f t="shared" si="18"/>
        <v>0</v>
      </c>
      <c r="X88" s="25"/>
      <c r="Y88" s="25"/>
      <c r="Z88" s="27">
        <f t="shared" si="19"/>
        <v>0</v>
      </c>
      <c r="AA88" s="25"/>
      <c r="AB88" s="25"/>
      <c r="AC88" s="27">
        <f t="shared" si="20"/>
        <v>0</v>
      </c>
      <c r="AD88" s="25"/>
      <c r="AE88" s="25"/>
      <c r="AF88" s="27">
        <f t="shared" si="17"/>
        <v>0</v>
      </c>
      <c r="AG88" s="25"/>
      <c r="AH88" s="25"/>
      <c r="AI88" s="21"/>
      <c r="AJ88" s="21"/>
      <c r="AK88" s="21"/>
    </row>
    <row r="89" spans="1:37" s="12" customFormat="1" ht="15" hidden="1" x14ac:dyDescent="0.15">
      <c r="A89" s="24" t="s">
        <v>75</v>
      </c>
      <c r="B89" s="25">
        <v>18</v>
      </c>
      <c r="C89" s="25">
        <v>18</v>
      </c>
      <c r="D89" s="26">
        <v>0</v>
      </c>
      <c r="E89" s="25">
        <v>0</v>
      </c>
      <c r="F89" s="25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7">
        <v>0</v>
      </c>
      <c r="O89" s="25">
        <v>0</v>
      </c>
      <c r="P89" s="25">
        <v>0</v>
      </c>
      <c r="Q89" s="27">
        <v>0</v>
      </c>
      <c r="R89" s="25">
        <v>0</v>
      </c>
      <c r="S89" s="25">
        <v>0</v>
      </c>
      <c r="T89" s="17">
        <f t="shared" si="0"/>
        <v>0</v>
      </c>
      <c r="U89" s="25"/>
      <c r="V89" s="25"/>
      <c r="W89" s="17">
        <f t="shared" si="18"/>
        <v>0</v>
      </c>
      <c r="X89" s="25"/>
      <c r="Y89" s="25"/>
      <c r="Z89" s="27">
        <f t="shared" si="19"/>
        <v>0</v>
      </c>
      <c r="AA89" s="25"/>
      <c r="AB89" s="25"/>
      <c r="AC89" s="27">
        <f t="shared" si="20"/>
        <v>0</v>
      </c>
      <c r="AD89" s="25"/>
      <c r="AE89" s="25"/>
      <c r="AF89" s="27">
        <f t="shared" si="17"/>
        <v>0</v>
      </c>
      <c r="AG89" s="25"/>
      <c r="AH89" s="25"/>
      <c r="AI89" s="21"/>
      <c r="AJ89" s="21"/>
      <c r="AK89" s="21"/>
    </row>
    <row r="90" spans="1:37" s="12" customFormat="1" ht="15" hidden="1" x14ac:dyDescent="0.15">
      <c r="A90" s="24" t="s">
        <v>76</v>
      </c>
      <c r="B90" s="25">
        <v>12</v>
      </c>
      <c r="C90" s="25">
        <v>12</v>
      </c>
      <c r="D90" s="26">
        <v>0</v>
      </c>
      <c r="E90" s="25">
        <v>16</v>
      </c>
      <c r="F90" s="25">
        <v>16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7">
        <v>0</v>
      </c>
      <c r="O90" s="25">
        <v>0</v>
      </c>
      <c r="P90" s="25">
        <v>0</v>
      </c>
      <c r="Q90" s="27">
        <v>0</v>
      </c>
      <c r="R90" s="25">
        <v>0</v>
      </c>
      <c r="S90" s="25">
        <v>0</v>
      </c>
      <c r="T90" s="17">
        <f t="shared" ref="T90:T149" si="21">U90+V90</f>
        <v>0</v>
      </c>
      <c r="U90" s="25"/>
      <c r="V90" s="25"/>
      <c r="W90" s="17">
        <f t="shared" si="18"/>
        <v>0</v>
      </c>
      <c r="X90" s="25"/>
      <c r="Y90" s="25"/>
      <c r="Z90" s="27">
        <f t="shared" si="19"/>
        <v>0</v>
      </c>
      <c r="AA90" s="25"/>
      <c r="AB90" s="25"/>
      <c r="AC90" s="27">
        <f t="shared" si="20"/>
        <v>0</v>
      </c>
      <c r="AD90" s="25"/>
      <c r="AE90" s="25"/>
      <c r="AF90" s="27">
        <f t="shared" si="17"/>
        <v>0</v>
      </c>
      <c r="AG90" s="25"/>
      <c r="AH90" s="25"/>
      <c r="AI90" s="21"/>
      <c r="AJ90" s="21"/>
      <c r="AK90" s="21"/>
    </row>
    <row r="91" spans="1:37" s="12" customFormat="1" ht="15" hidden="1" x14ac:dyDescent="0.15">
      <c r="A91" s="24" t="s">
        <v>77</v>
      </c>
      <c r="B91" s="25">
        <v>0</v>
      </c>
      <c r="C91" s="25">
        <v>0</v>
      </c>
      <c r="D91" s="26">
        <v>0</v>
      </c>
      <c r="E91" s="25">
        <v>0</v>
      </c>
      <c r="F91" s="25">
        <v>0</v>
      </c>
      <c r="G91" s="25">
        <v>0</v>
      </c>
      <c r="H91" s="25">
        <v>14</v>
      </c>
      <c r="I91" s="25">
        <v>14</v>
      </c>
      <c r="J91" s="25">
        <v>0</v>
      </c>
      <c r="K91" s="25">
        <v>0</v>
      </c>
      <c r="L91" s="25">
        <v>0</v>
      </c>
      <c r="M91" s="25">
        <v>0</v>
      </c>
      <c r="N91" s="27">
        <v>0</v>
      </c>
      <c r="O91" s="25">
        <v>0</v>
      </c>
      <c r="P91" s="25">
        <v>0</v>
      </c>
      <c r="Q91" s="27">
        <v>0</v>
      </c>
      <c r="R91" s="25">
        <v>0</v>
      </c>
      <c r="S91" s="25">
        <v>0</v>
      </c>
      <c r="T91" s="17">
        <f t="shared" si="21"/>
        <v>0</v>
      </c>
      <c r="U91" s="25"/>
      <c r="V91" s="25"/>
      <c r="W91" s="17">
        <f t="shared" si="18"/>
        <v>0</v>
      </c>
      <c r="X91" s="25"/>
      <c r="Y91" s="25"/>
      <c r="Z91" s="27">
        <f t="shared" si="19"/>
        <v>0</v>
      </c>
      <c r="AA91" s="25"/>
      <c r="AB91" s="25"/>
      <c r="AC91" s="27">
        <f t="shared" si="20"/>
        <v>0</v>
      </c>
      <c r="AD91" s="25"/>
      <c r="AE91" s="25"/>
      <c r="AF91" s="27">
        <f t="shared" si="17"/>
        <v>0</v>
      </c>
      <c r="AG91" s="25"/>
      <c r="AH91" s="25"/>
      <c r="AI91" s="21"/>
      <c r="AJ91" s="21"/>
      <c r="AK91" s="21"/>
    </row>
    <row r="92" spans="1:37" s="12" customFormat="1" ht="15" hidden="1" x14ac:dyDescent="0.15">
      <c r="A92" s="18" t="s">
        <v>7</v>
      </c>
      <c r="B92" s="19">
        <v>0</v>
      </c>
      <c r="C92" s="19">
        <v>0</v>
      </c>
      <c r="D92" s="20">
        <v>0</v>
      </c>
      <c r="E92" s="19">
        <v>25</v>
      </c>
      <c r="F92" s="19">
        <v>25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7">
        <v>0</v>
      </c>
      <c r="O92" s="19">
        <v>0</v>
      </c>
      <c r="P92" s="19">
        <v>0</v>
      </c>
      <c r="Q92" s="17">
        <v>0</v>
      </c>
      <c r="R92" s="19">
        <v>0</v>
      </c>
      <c r="S92" s="19">
        <v>0</v>
      </c>
      <c r="T92" s="17">
        <f t="shared" si="21"/>
        <v>0</v>
      </c>
      <c r="U92" s="25"/>
      <c r="V92" s="25"/>
      <c r="W92" s="17">
        <f t="shared" si="18"/>
        <v>0</v>
      </c>
      <c r="X92" s="25"/>
      <c r="Y92" s="25"/>
      <c r="Z92" s="27">
        <f t="shared" si="19"/>
        <v>0</v>
      </c>
      <c r="AA92" s="25"/>
      <c r="AB92" s="25"/>
      <c r="AC92" s="27">
        <f t="shared" si="20"/>
        <v>0</v>
      </c>
      <c r="AD92" s="25"/>
      <c r="AE92" s="25"/>
      <c r="AF92" s="27">
        <f t="shared" si="17"/>
        <v>0</v>
      </c>
      <c r="AG92" s="25"/>
      <c r="AH92" s="25"/>
      <c r="AI92" s="21"/>
      <c r="AJ92" s="21"/>
      <c r="AK92" s="21"/>
    </row>
    <row r="93" spans="1:37" s="12" customFormat="1" ht="15" hidden="1" x14ac:dyDescent="0.15">
      <c r="A93" s="24" t="s">
        <v>78</v>
      </c>
      <c r="B93" s="25">
        <v>0</v>
      </c>
      <c r="C93" s="25">
        <v>0</v>
      </c>
      <c r="D93" s="26">
        <v>0</v>
      </c>
      <c r="E93" s="25">
        <v>10</v>
      </c>
      <c r="F93" s="25">
        <v>10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7">
        <v>0</v>
      </c>
      <c r="O93" s="25">
        <v>0</v>
      </c>
      <c r="P93" s="25">
        <v>0</v>
      </c>
      <c r="Q93" s="27">
        <v>0</v>
      </c>
      <c r="R93" s="25">
        <v>0</v>
      </c>
      <c r="S93" s="25">
        <v>0</v>
      </c>
      <c r="T93" s="17">
        <f t="shared" si="21"/>
        <v>0</v>
      </c>
      <c r="U93" s="25"/>
      <c r="V93" s="25"/>
      <c r="W93" s="17">
        <f t="shared" si="18"/>
        <v>0</v>
      </c>
      <c r="X93" s="25"/>
      <c r="Y93" s="25"/>
      <c r="Z93" s="27">
        <f t="shared" si="19"/>
        <v>0</v>
      </c>
      <c r="AA93" s="25"/>
      <c r="AB93" s="25"/>
      <c r="AC93" s="27">
        <f t="shared" si="20"/>
        <v>0</v>
      </c>
      <c r="AD93" s="25"/>
      <c r="AE93" s="25"/>
      <c r="AF93" s="27">
        <f t="shared" si="17"/>
        <v>0</v>
      </c>
      <c r="AG93" s="25"/>
      <c r="AH93" s="25"/>
      <c r="AI93" s="21"/>
      <c r="AJ93" s="21"/>
      <c r="AK93" s="21"/>
    </row>
    <row r="94" spans="1:37" s="12" customFormat="1" ht="15" hidden="1" x14ac:dyDescent="0.15">
      <c r="A94" s="24" t="s">
        <v>64</v>
      </c>
      <c r="B94" s="25">
        <v>0</v>
      </c>
      <c r="C94" s="25">
        <v>0</v>
      </c>
      <c r="D94" s="26">
        <v>0</v>
      </c>
      <c r="E94" s="25">
        <v>15</v>
      </c>
      <c r="F94" s="25">
        <v>15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7">
        <v>0</v>
      </c>
      <c r="O94" s="25">
        <v>0</v>
      </c>
      <c r="P94" s="25">
        <v>0</v>
      </c>
      <c r="Q94" s="27">
        <v>0</v>
      </c>
      <c r="R94" s="25">
        <v>0</v>
      </c>
      <c r="S94" s="25">
        <v>0</v>
      </c>
      <c r="T94" s="17">
        <f t="shared" si="21"/>
        <v>0</v>
      </c>
      <c r="U94" s="25"/>
      <c r="V94" s="25"/>
      <c r="W94" s="17">
        <f t="shared" si="18"/>
        <v>0</v>
      </c>
      <c r="X94" s="25"/>
      <c r="Y94" s="25"/>
      <c r="Z94" s="27">
        <f t="shared" si="19"/>
        <v>0</v>
      </c>
      <c r="AA94" s="25"/>
      <c r="AB94" s="25"/>
      <c r="AC94" s="27">
        <f t="shared" si="20"/>
        <v>0</v>
      </c>
      <c r="AD94" s="25"/>
      <c r="AE94" s="25"/>
      <c r="AF94" s="27">
        <f t="shared" si="17"/>
        <v>0</v>
      </c>
      <c r="AG94" s="25"/>
      <c r="AH94" s="25"/>
      <c r="AI94" s="21"/>
      <c r="AJ94" s="21"/>
      <c r="AK94" s="21"/>
    </row>
    <row r="95" spans="1:37" s="12" customFormat="1" ht="15" hidden="1" x14ac:dyDescent="0.15">
      <c r="A95" s="18" t="s">
        <v>10</v>
      </c>
      <c r="B95" s="19">
        <v>119</v>
      </c>
      <c r="C95" s="19">
        <v>119</v>
      </c>
      <c r="D95" s="20">
        <v>0</v>
      </c>
      <c r="E95" s="19">
        <v>198</v>
      </c>
      <c r="F95" s="19">
        <v>198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7">
        <v>0</v>
      </c>
      <c r="O95" s="19">
        <v>0</v>
      </c>
      <c r="P95" s="19">
        <v>0</v>
      </c>
      <c r="Q95" s="17">
        <v>0</v>
      </c>
      <c r="R95" s="19">
        <v>0</v>
      </c>
      <c r="S95" s="19">
        <v>0</v>
      </c>
      <c r="T95" s="17">
        <f t="shared" si="21"/>
        <v>0</v>
      </c>
      <c r="U95" s="25"/>
      <c r="V95" s="25"/>
      <c r="W95" s="17">
        <f t="shared" si="18"/>
        <v>0</v>
      </c>
      <c r="X95" s="25"/>
      <c r="Y95" s="25"/>
      <c r="Z95" s="27">
        <f t="shared" si="19"/>
        <v>0</v>
      </c>
      <c r="AA95" s="25"/>
      <c r="AB95" s="25"/>
      <c r="AC95" s="27">
        <f t="shared" si="20"/>
        <v>0</v>
      </c>
      <c r="AD95" s="25"/>
      <c r="AE95" s="25"/>
      <c r="AF95" s="27">
        <f t="shared" si="17"/>
        <v>0</v>
      </c>
      <c r="AG95" s="25"/>
      <c r="AH95" s="25"/>
      <c r="AI95" s="21"/>
      <c r="AJ95" s="21"/>
      <c r="AK95" s="21"/>
    </row>
    <row r="96" spans="1:37" ht="15" hidden="1" x14ac:dyDescent="0.15">
      <c r="A96" s="24" t="s">
        <v>72</v>
      </c>
      <c r="B96" s="25">
        <v>119</v>
      </c>
      <c r="C96" s="25">
        <v>119</v>
      </c>
      <c r="D96" s="26">
        <v>0</v>
      </c>
      <c r="E96" s="25">
        <v>147</v>
      </c>
      <c r="F96" s="25">
        <v>147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7">
        <v>0</v>
      </c>
      <c r="O96" s="25">
        <v>0</v>
      </c>
      <c r="P96" s="25">
        <v>0</v>
      </c>
      <c r="Q96" s="27">
        <v>0</v>
      </c>
      <c r="R96" s="25">
        <v>0</v>
      </c>
      <c r="S96" s="25">
        <v>0</v>
      </c>
      <c r="T96" s="17">
        <f t="shared" si="21"/>
        <v>0</v>
      </c>
      <c r="U96" s="25"/>
      <c r="V96" s="25"/>
      <c r="W96" s="17">
        <f t="shared" si="18"/>
        <v>0</v>
      </c>
      <c r="X96" s="25"/>
      <c r="Y96" s="25"/>
      <c r="Z96" s="27">
        <f t="shared" si="19"/>
        <v>0</v>
      </c>
      <c r="AA96" s="25"/>
      <c r="AB96" s="25"/>
      <c r="AC96" s="27">
        <f t="shared" si="20"/>
        <v>0</v>
      </c>
      <c r="AD96" s="25"/>
      <c r="AE96" s="25"/>
      <c r="AF96" s="27">
        <f t="shared" si="17"/>
        <v>0</v>
      </c>
      <c r="AG96" s="25"/>
      <c r="AH96" s="25"/>
      <c r="AI96" s="21"/>
      <c r="AJ96" s="21"/>
      <c r="AK96" s="21"/>
    </row>
    <row r="97" spans="1:37" ht="15" hidden="1" x14ac:dyDescent="0.15">
      <c r="A97" s="24" t="s">
        <v>79</v>
      </c>
      <c r="B97" s="25">
        <v>0</v>
      </c>
      <c r="C97" s="25">
        <v>0</v>
      </c>
      <c r="D97" s="26">
        <v>0</v>
      </c>
      <c r="E97" s="25">
        <v>21</v>
      </c>
      <c r="F97" s="25">
        <v>21</v>
      </c>
      <c r="G97" s="25">
        <v>0</v>
      </c>
      <c r="H97" s="25">
        <v>0</v>
      </c>
      <c r="I97" s="25">
        <v>0</v>
      </c>
      <c r="J97" s="25">
        <v>0</v>
      </c>
      <c r="K97" s="25">
        <v>0</v>
      </c>
      <c r="L97" s="25">
        <v>0</v>
      </c>
      <c r="M97" s="25">
        <v>0</v>
      </c>
      <c r="N97" s="27">
        <v>0</v>
      </c>
      <c r="O97" s="25">
        <v>0</v>
      </c>
      <c r="P97" s="25">
        <v>0</v>
      </c>
      <c r="Q97" s="27">
        <v>0</v>
      </c>
      <c r="R97" s="25">
        <v>0</v>
      </c>
      <c r="S97" s="25">
        <v>0</v>
      </c>
      <c r="T97" s="17">
        <f t="shared" si="21"/>
        <v>0</v>
      </c>
      <c r="U97" s="25"/>
      <c r="V97" s="25"/>
      <c r="W97" s="17">
        <f t="shared" si="18"/>
        <v>0</v>
      </c>
      <c r="X97" s="25"/>
      <c r="Y97" s="25"/>
      <c r="Z97" s="27">
        <f t="shared" si="19"/>
        <v>0</v>
      </c>
      <c r="AA97" s="25"/>
      <c r="AB97" s="25"/>
      <c r="AC97" s="27">
        <f t="shared" si="20"/>
        <v>0</v>
      </c>
      <c r="AD97" s="25"/>
      <c r="AE97" s="25"/>
      <c r="AF97" s="27">
        <f t="shared" si="17"/>
        <v>0</v>
      </c>
      <c r="AG97" s="25"/>
      <c r="AH97" s="25"/>
      <c r="AI97" s="21"/>
      <c r="AJ97" s="21"/>
      <c r="AK97" s="21"/>
    </row>
    <row r="98" spans="1:37" ht="15" hidden="1" x14ac:dyDescent="0.15">
      <c r="A98" s="24" t="s">
        <v>78</v>
      </c>
      <c r="B98" s="25">
        <f>C98+D98</f>
        <v>0</v>
      </c>
      <c r="C98" s="25">
        <v>0</v>
      </c>
      <c r="D98" s="26">
        <v>0</v>
      </c>
      <c r="E98" s="25">
        <f>F98+G98</f>
        <v>30</v>
      </c>
      <c r="F98" s="25">
        <v>30</v>
      </c>
      <c r="G98" s="25">
        <v>0</v>
      </c>
      <c r="H98" s="25">
        <f>I98+J98</f>
        <v>0</v>
      </c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7">
        <v>0</v>
      </c>
      <c r="O98" s="25">
        <v>0</v>
      </c>
      <c r="P98" s="25">
        <v>0</v>
      </c>
      <c r="Q98" s="27">
        <v>0</v>
      </c>
      <c r="R98" s="25">
        <v>0</v>
      </c>
      <c r="S98" s="25">
        <v>0</v>
      </c>
      <c r="T98" s="17">
        <f t="shared" si="21"/>
        <v>0</v>
      </c>
      <c r="U98" s="25"/>
      <c r="V98" s="25"/>
      <c r="W98" s="17">
        <f t="shared" si="18"/>
        <v>0</v>
      </c>
      <c r="X98" s="25"/>
      <c r="Y98" s="25"/>
      <c r="Z98" s="27">
        <f t="shared" si="19"/>
        <v>0</v>
      </c>
      <c r="AA98" s="25"/>
      <c r="AB98" s="25"/>
      <c r="AC98" s="27">
        <f t="shared" si="20"/>
        <v>0</v>
      </c>
      <c r="AD98" s="25"/>
      <c r="AE98" s="25"/>
      <c r="AF98" s="27">
        <f t="shared" si="17"/>
        <v>0</v>
      </c>
      <c r="AG98" s="25"/>
      <c r="AH98" s="25"/>
      <c r="AI98" s="21"/>
      <c r="AJ98" s="21"/>
      <c r="AK98" s="21"/>
    </row>
    <row r="99" spans="1:37" ht="15" x14ac:dyDescent="0.15">
      <c r="A99" s="24" t="s">
        <v>35</v>
      </c>
      <c r="B99" s="25">
        <v>0</v>
      </c>
      <c r="C99" s="25">
        <v>0</v>
      </c>
      <c r="D99" s="26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25">
        <v>0</v>
      </c>
      <c r="K99" s="25">
        <v>0</v>
      </c>
      <c r="L99" s="25">
        <v>0</v>
      </c>
      <c r="M99" s="25">
        <v>0</v>
      </c>
      <c r="N99" s="27">
        <v>0</v>
      </c>
      <c r="O99" s="25">
        <v>0</v>
      </c>
      <c r="P99" s="25">
        <v>0</v>
      </c>
      <c r="Q99" s="27">
        <v>0</v>
      </c>
      <c r="R99" s="25">
        <v>0</v>
      </c>
      <c r="S99" s="25">
        <v>0</v>
      </c>
      <c r="T99" s="17">
        <v>0</v>
      </c>
      <c r="U99" s="25">
        <v>0</v>
      </c>
      <c r="V99" s="25">
        <v>0</v>
      </c>
      <c r="W99" s="17">
        <v>0</v>
      </c>
      <c r="X99" s="25">
        <v>0</v>
      </c>
      <c r="Y99" s="25">
        <v>0</v>
      </c>
      <c r="Z99" s="27">
        <f t="shared" si="19"/>
        <v>15</v>
      </c>
      <c r="AA99" s="25">
        <v>15</v>
      </c>
      <c r="AB99" s="25">
        <v>0</v>
      </c>
      <c r="AC99" s="27">
        <f t="shared" si="20"/>
        <v>0</v>
      </c>
      <c r="AD99" s="25">
        <v>0</v>
      </c>
      <c r="AE99" s="25">
        <v>0</v>
      </c>
      <c r="AF99" s="27">
        <f t="shared" si="17"/>
        <v>0</v>
      </c>
      <c r="AG99" s="25">
        <v>0</v>
      </c>
      <c r="AH99" s="25">
        <v>0</v>
      </c>
      <c r="AI99" s="21"/>
      <c r="AJ99" s="21"/>
      <c r="AK99" s="21"/>
    </row>
    <row r="100" spans="1:37" ht="15" x14ac:dyDescent="0.15">
      <c r="A100" s="18" t="s">
        <v>11</v>
      </c>
      <c r="B100" s="19">
        <f>C100+D100</f>
        <v>0</v>
      </c>
      <c r="C100" s="19">
        <v>0</v>
      </c>
      <c r="D100" s="20">
        <v>0</v>
      </c>
      <c r="E100" s="19">
        <f>F809</f>
        <v>0</v>
      </c>
      <c r="F100" s="19">
        <v>0</v>
      </c>
      <c r="G100" s="19">
        <v>0</v>
      </c>
      <c r="H100" s="19">
        <f>I100+J100</f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7">
        <f>N101+N102+N103+N104+N105+N106</f>
        <v>120</v>
      </c>
      <c r="O100" s="19">
        <f t="shared" ref="O100:S100" si="22">O101+O102+O103+O104+O105+O106</f>
        <v>115</v>
      </c>
      <c r="P100" s="19">
        <f t="shared" si="22"/>
        <v>5</v>
      </c>
      <c r="Q100" s="17">
        <f t="shared" si="22"/>
        <v>107</v>
      </c>
      <c r="R100" s="19">
        <f t="shared" si="22"/>
        <v>107</v>
      </c>
      <c r="S100" s="19">
        <f t="shared" si="22"/>
        <v>0</v>
      </c>
      <c r="T100" s="17">
        <f t="shared" ref="T100:Y100" si="23">T101+T102+T103+T104+T105+T106+T107</f>
        <v>46</v>
      </c>
      <c r="U100" s="19">
        <f t="shared" si="23"/>
        <v>34</v>
      </c>
      <c r="V100" s="19">
        <f t="shared" si="23"/>
        <v>12</v>
      </c>
      <c r="W100" s="17">
        <f t="shared" si="23"/>
        <v>0</v>
      </c>
      <c r="X100" s="19">
        <f t="shared" si="23"/>
        <v>0</v>
      </c>
      <c r="Y100" s="19">
        <f t="shared" si="23"/>
        <v>0</v>
      </c>
      <c r="Z100" s="17">
        <f t="shared" si="19"/>
        <v>0</v>
      </c>
      <c r="AA100" s="19">
        <f t="shared" ref="AA100:AB100" si="24">AA101+AA102+AA103+AA104+AA105+AA106+AA107</f>
        <v>0</v>
      </c>
      <c r="AB100" s="19">
        <f t="shared" si="24"/>
        <v>0</v>
      </c>
      <c r="AC100" s="17">
        <f t="shared" si="20"/>
        <v>0</v>
      </c>
      <c r="AD100" s="19">
        <f t="shared" ref="AD100:AE100" si="25">AD101+AD102+AD103+AD104+AD105+AD106+AD107</f>
        <v>0</v>
      </c>
      <c r="AE100" s="19">
        <f t="shared" si="25"/>
        <v>0</v>
      </c>
      <c r="AF100" s="17">
        <f t="shared" si="17"/>
        <v>0</v>
      </c>
      <c r="AG100" s="19">
        <f t="shared" ref="AG100:AH100" si="26">AG101+AG102+AG103+AG104+AG105+AG106+AG107</f>
        <v>0</v>
      </c>
      <c r="AH100" s="19">
        <f t="shared" si="26"/>
        <v>0</v>
      </c>
      <c r="AI100" s="21"/>
      <c r="AJ100" s="21"/>
      <c r="AK100" s="21"/>
    </row>
    <row r="101" spans="1:37" ht="15" x14ac:dyDescent="0.15">
      <c r="A101" s="24" t="s">
        <v>80</v>
      </c>
      <c r="B101" s="25">
        <v>0</v>
      </c>
      <c r="C101" s="25">
        <v>0</v>
      </c>
      <c r="D101" s="26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7">
        <f>O101</f>
        <v>13</v>
      </c>
      <c r="O101" s="25">
        <v>13</v>
      </c>
      <c r="P101" s="25">
        <v>0</v>
      </c>
      <c r="Q101" s="27">
        <f>R101</f>
        <v>20</v>
      </c>
      <c r="R101" s="25">
        <v>20</v>
      </c>
      <c r="S101" s="25">
        <v>0</v>
      </c>
      <c r="T101" s="27">
        <f t="shared" si="21"/>
        <v>18</v>
      </c>
      <c r="U101" s="25">
        <f>9+9</f>
        <v>18</v>
      </c>
      <c r="V101" s="25">
        <v>0</v>
      </c>
      <c r="W101" s="27">
        <f t="shared" ref="W101:W107" si="27">X101+Y101</f>
        <v>0</v>
      </c>
      <c r="X101" s="25">
        <v>0</v>
      </c>
      <c r="Y101" s="25">
        <v>0</v>
      </c>
      <c r="Z101" s="27">
        <f t="shared" si="19"/>
        <v>0</v>
      </c>
      <c r="AA101" s="25">
        <v>0</v>
      </c>
      <c r="AB101" s="25">
        <v>0</v>
      </c>
      <c r="AC101" s="27">
        <f t="shared" si="20"/>
        <v>0</v>
      </c>
      <c r="AD101" s="25">
        <v>0</v>
      </c>
      <c r="AE101" s="25">
        <v>0</v>
      </c>
      <c r="AF101" s="27">
        <f t="shared" si="17"/>
        <v>0</v>
      </c>
      <c r="AG101" s="25">
        <v>0</v>
      </c>
      <c r="AH101" s="25">
        <v>0</v>
      </c>
      <c r="AI101" s="21"/>
      <c r="AJ101" s="21"/>
      <c r="AK101" s="21"/>
    </row>
    <row r="102" spans="1:37" ht="15" x14ac:dyDescent="0.15">
      <c r="A102" s="24" t="s">
        <v>81</v>
      </c>
      <c r="B102" s="25">
        <v>0</v>
      </c>
      <c r="C102" s="25">
        <v>0</v>
      </c>
      <c r="D102" s="26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  <c r="L102" s="25">
        <v>0</v>
      </c>
      <c r="M102" s="25">
        <v>0</v>
      </c>
      <c r="N102" s="27">
        <f>O102</f>
        <v>12</v>
      </c>
      <c r="O102" s="25">
        <v>12</v>
      </c>
      <c r="P102" s="25">
        <v>0</v>
      </c>
      <c r="Q102" s="27">
        <f>R102</f>
        <v>0</v>
      </c>
      <c r="R102" s="25">
        <v>0</v>
      </c>
      <c r="S102" s="25">
        <v>0</v>
      </c>
      <c r="T102" s="27">
        <f t="shared" si="21"/>
        <v>0</v>
      </c>
      <c r="U102" s="25">
        <v>0</v>
      </c>
      <c r="V102" s="25">
        <v>0</v>
      </c>
      <c r="W102" s="27">
        <f t="shared" si="27"/>
        <v>0</v>
      </c>
      <c r="X102" s="25">
        <v>0</v>
      </c>
      <c r="Y102" s="25">
        <v>0</v>
      </c>
      <c r="Z102" s="27">
        <f t="shared" si="19"/>
        <v>0</v>
      </c>
      <c r="AA102" s="25">
        <v>0</v>
      </c>
      <c r="AB102" s="25">
        <v>0</v>
      </c>
      <c r="AC102" s="27">
        <f t="shared" si="20"/>
        <v>0</v>
      </c>
      <c r="AD102" s="25">
        <v>0</v>
      </c>
      <c r="AE102" s="25">
        <v>0</v>
      </c>
      <c r="AF102" s="27">
        <f t="shared" si="17"/>
        <v>0</v>
      </c>
      <c r="AG102" s="25">
        <v>0</v>
      </c>
      <c r="AH102" s="25">
        <v>0</v>
      </c>
      <c r="AI102" s="21"/>
      <c r="AJ102" s="21"/>
      <c r="AK102" s="21"/>
    </row>
    <row r="103" spans="1:37" ht="15" x14ac:dyDescent="0.15">
      <c r="A103" s="24" t="s">
        <v>82</v>
      </c>
      <c r="B103" s="25">
        <v>0</v>
      </c>
      <c r="C103" s="25">
        <v>0</v>
      </c>
      <c r="D103" s="26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25">
        <v>0</v>
      </c>
      <c r="L103" s="25">
        <v>0</v>
      </c>
      <c r="M103" s="25">
        <v>0</v>
      </c>
      <c r="N103" s="27">
        <f>O103</f>
        <v>22</v>
      </c>
      <c r="O103" s="25">
        <f>14+8</f>
        <v>22</v>
      </c>
      <c r="P103" s="25">
        <v>0</v>
      </c>
      <c r="Q103" s="27">
        <f>R103</f>
        <v>25</v>
      </c>
      <c r="R103" s="25">
        <f>18+7</f>
        <v>25</v>
      </c>
      <c r="S103" s="25">
        <v>0</v>
      </c>
      <c r="T103" s="27">
        <f t="shared" si="21"/>
        <v>0</v>
      </c>
      <c r="U103" s="25">
        <v>0</v>
      </c>
      <c r="V103" s="25">
        <v>0</v>
      </c>
      <c r="W103" s="27">
        <f t="shared" si="27"/>
        <v>0</v>
      </c>
      <c r="X103" s="25">
        <v>0</v>
      </c>
      <c r="Y103" s="25">
        <v>0</v>
      </c>
      <c r="Z103" s="27">
        <f t="shared" si="19"/>
        <v>0</v>
      </c>
      <c r="AA103" s="25">
        <v>0</v>
      </c>
      <c r="AB103" s="25">
        <v>0</v>
      </c>
      <c r="AC103" s="27">
        <f t="shared" si="20"/>
        <v>0</v>
      </c>
      <c r="AD103" s="25">
        <v>0</v>
      </c>
      <c r="AE103" s="25">
        <v>0</v>
      </c>
      <c r="AF103" s="27">
        <f t="shared" si="17"/>
        <v>0</v>
      </c>
      <c r="AG103" s="25">
        <v>0</v>
      </c>
      <c r="AH103" s="25">
        <v>0</v>
      </c>
      <c r="AI103" s="21"/>
      <c r="AJ103" s="21"/>
      <c r="AK103" s="21"/>
    </row>
    <row r="104" spans="1:37" ht="15" x14ac:dyDescent="0.15">
      <c r="A104" s="24" t="s">
        <v>83</v>
      </c>
      <c r="B104" s="25">
        <v>0</v>
      </c>
      <c r="C104" s="25">
        <v>0</v>
      </c>
      <c r="D104" s="26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7">
        <f>O104+P104</f>
        <v>46</v>
      </c>
      <c r="O104" s="25">
        <v>41</v>
      </c>
      <c r="P104" s="25">
        <v>5</v>
      </c>
      <c r="Q104" s="27">
        <f>R104+S104</f>
        <v>44</v>
      </c>
      <c r="R104" s="25">
        <f>43+1</f>
        <v>44</v>
      </c>
      <c r="S104" s="25">
        <v>0</v>
      </c>
      <c r="T104" s="27">
        <f t="shared" si="21"/>
        <v>0</v>
      </c>
      <c r="U104" s="25">
        <v>0</v>
      </c>
      <c r="V104" s="25">
        <v>0</v>
      </c>
      <c r="W104" s="27">
        <f t="shared" si="27"/>
        <v>0</v>
      </c>
      <c r="X104" s="25">
        <v>0</v>
      </c>
      <c r="Y104" s="25">
        <v>0</v>
      </c>
      <c r="Z104" s="27">
        <f t="shared" si="19"/>
        <v>0</v>
      </c>
      <c r="AA104" s="25">
        <v>0</v>
      </c>
      <c r="AB104" s="25">
        <v>0</v>
      </c>
      <c r="AC104" s="27">
        <f t="shared" si="20"/>
        <v>0</v>
      </c>
      <c r="AD104" s="25">
        <v>0</v>
      </c>
      <c r="AE104" s="25">
        <v>0</v>
      </c>
      <c r="AF104" s="27">
        <f t="shared" si="17"/>
        <v>0</v>
      </c>
      <c r="AG104" s="25">
        <v>0</v>
      </c>
      <c r="AH104" s="25">
        <v>0</v>
      </c>
      <c r="AI104" s="21"/>
      <c r="AJ104" s="21"/>
      <c r="AK104" s="21"/>
    </row>
    <row r="105" spans="1:37" ht="15" x14ac:dyDescent="0.15">
      <c r="A105" s="24" t="s">
        <v>64</v>
      </c>
      <c r="B105" s="25">
        <v>0</v>
      </c>
      <c r="C105" s="25">
        <v>0</v>
      </c>
      <c r="D105" s="26">
        <v>0</v>
      </c>
      <c r="E105" s="25">
        <v>0</v>
      </c>
      <c r="F105" s="25">
        <v>0</v>
      </c>
      <c r="G105" s="25">
        <v>0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7">
        <f>O105+P105</f>
        <v>15</v>
      </c>
      <c r="O105" s="25">
        <v>15</v>
      </c>
      <c r="P105" s="25">
        <v>0</v>
      </c>
      <c r="Q105" s="27">
        <f>R105+S105</f>
        <v>18</v>
      </c>
      <c r="R105" s="25">
        <f>13+5</f>
        <v>18</v>
      </c>
      <c r="S105" s="25">
        <v>0</v>
      </c>
      <c r="T105" s="27">
        <f t="shared" si="21"/>
        <v>16</v>
      </c>
      <c r="U105" s="25">
        <v>16</v>
      </c>
      <c r="V105" s="25">
        <v>0</v>
      </c>
      <c r="W105" s="27">
        <f t="shared" si="27"/>
        <v>0</v>
      </c>
      <c r="X105" s="25">
        <v>0</v>
      </c>
      <c r="Y105" s="25">
        <v>0</v>
      </c>
      <c r="Z105" s="27">
        <f t="shared" si="19"/>
        <v>0</v>
      </c>
      <c r="AA105" s="25">
        <v>0</v>
      </c>
      <c r="AB105" s="25">
        <v>0</v>
      </c>
      <c r="AC105" s="27">
        <f t="shared" si="20"/>
        <v>0</v>
      </c>
      <c r="AD105" s="25">
        <v>0</v>
      </c>
      <c r="AE105" s="25">
        <v>0</v>
      </c>
      <c r="AF105" s="27">
        <f t="shared" si="17"/>
        <v>0</v>
      </c>
      <c r="AG105" s="25">
        <v>0</v>
      </c>
      <c r="AH105" s="25">
        <v>0</v>
      </c>
      <c r="AI105" s="21"/>
      <c r="AJ105" s="21"/>
      <c r="AK105" s="21"/>
    </row>
    <row r="106" spans="1:37" ht="15" x14ac:dyDescent="0.15">
      <c r="A106" s="24" t="s">
        <v>84</v>
      </c>
      <c r="B106" s="25">
        <v>0</v>
      </c>
      <c r="C106" s="25">
        <v>0</v>
      </c>
      <c r="D106" s="26">
        <v>0</v>
      </c>
      <c r="E106" s="25">
        <v>0</v>
      </c>
      <c r="F106" s="25">
        <v>0</v>
      </c>
      <c r="G106" s="25">
        <v>0</v>
      </c>
      <c r="H106" s="25">
        <v>0</v>
      </c>
      <c r="I106" s="25">
        <v>0</v>
      </c>
      <c r="J106" s="25">
        <v>0</v>
      </c>
      <c r="K106" s="25">
        <v>0</v>
      </c>
      <c r="L106" s="25">
        <v>0</v>
      </c>
      <c r="M106" s="25">
        <v>0</v>
      </c>
      <c r="N106" s="27">
        <f>O106</f>
        <v>12</v>
      </c>
      <c r="O106" s="25">
        <v>12</v>
      </c>
      <c r="P106" s="25">
        <v>0</v>
      </c>
      <c r="Q106" s="27">
        <f>R106</f>
        <v>0</v>
      </c>
      <c r="R106" s="25">
        <v>0</v>
      </c>
      <c r="S106" s="25">
        <v>0</v>
      </c>
      <c r="T106" s="27">
        <f t="shared" si="21"/>
        <v>0</v>
      </c>
      <c r="U106" s="25">
        <v>0</v>
      </c>
      <c r="V106" s="25">
        <v>0</v>
      </c>
      <c r="W106" s="27">
        <f t="shared" si="27"/>
        <v>0</v>
      </c>
      <c r="X106" s="25">
        <v>0</v>
      </c>
      <c r="Y106" s="25">
        <v>0</v>
      </c>
      <c r="Z106" s="27">
        <f t="shared" si="19"/>
        <v>0</v>
      </c>
      <c r="AA106" s="25">
        <v>0</v>
      </c>
      <c r="AB106" s="25">
        <v>0</v>
      </c>
      <c r="AC106" s="27">
        <f t="shared" si="20"/>
        <v>0</v>
      </c>
      <c r="AD106" s="25">
        <v>0</v>
      </c>
      <c r="AE106" s="25">
        <v>0</v>
      </c>
      <c r="AF106" s="27">
        <f t="shared" si="17"/>
        <v>0</v>
      </c>
      <c r="AG106" s="25">
        <v>0</v>
      </c>
      <c r="AH106" s="25">
        <v>0</v>
      </c>
      <c r="AI106" s="21"/>
      <c r="AJ106" s="21"/>
      <c r="AK106" s="21"/>
    </row>
    <row r="107" spans="1:37" ht="15" x14ac:dyDescent="0.15">
      <c r="A107" s="24" t="s">
        <v>85</v>
      </c>
      <c r="B107" s="25">
        <v>0</v>
      </c>
      <c r="C107" s="25">
        <v>0</v>
      </c>
      <c r="D107" s="26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25">
        <v>0</v>
      </c>
      <c r="L107" s="25">
        <v>0</v>
      </c>
      <c r="M107" s="25">
        <v>0</v>
      </c>
      <c r="N107" s="27">
        <v>0</v>
      </c>
      <c r="O107" s="25">
        <v>0</v>
      </c>
      <c r="P107" s="25">
        <v>0</v>
      </c>
      <c r="Q107" s="27">
        <v>0</v>
      </c>
      <c r="R107" s="25">
        <v>0</v>
      </c>
      <c r="S107" s="25">
        <v>0</v>
      </c>
      <c r="T107" s="27">
        <f t="shared" si="21"/>
        <v>12</v>
      </c>
      <c r="U107" s="25">
        <v>0</v>
      </c>
      <c r="V107" s="25">
        <v>12</v>
      </c>
      <c r="W107" s="27">
        <f t="shared" si="27"/>
        <v>0</v>
      </c>
      <c r="X107" s="25">
        <v>0</v>
      </c>
      <c r="Y107" s="25">
        <v>0</v>
      </c>
      <c r="Z107" s="27">
        <f t="shared" si="19"/>
        <v>0</v>
      </c>
      <c r="AA107" s="25">
        <v>0</v>
      </c>
      <c r="AB107" s="25">
        <v>0</v>
      </c>
      <c r="AC107" s="27">
        <f t="shared" si="20"/>
        <v>0</v>
      </c>
      <c r="AD107" s="25">
        <v>0</v>
      </c>
      <c r="AE107" s="25">
        <v>0</v>
      </c>
      <c r="AF107" s="27">
        <f t="shared" si="17"/>
        <v>0</v>
      </c>
      <c r="AG107" s="25">
        <v>0</v>
      </c>
      <c r="AH107" s="25">
        <v>0</v>
      </c>
      <c r="AI107" s="21"/>
      <c r="AJ107" s="21"/>
      <c r="AK107" s="21"/>
    </row>
    <row r="108" spans="1:37" ht="15" x14ac:dyDescent="0.15">
      <c r="A108" s="18" t="s">
        <v>8</v>
      </c>
      <c r="B108" s="19">
        <v>0</v>
      </c>
      <c r="C108" s="19">
        <v>0</v>
      </c>
      <c r="D108" s="20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7">
        <v>0</v>
      </c>
      <c r="O108" s="19">
        <v>0</v>
      </c>
      <c r="P108" s="19">
        <v>0</v>
      </c>
      <c r="Q108" s="17">
        <v>0</v>
      </c>
      <c r="R108" s="19">
        <v>0</v>
      </c>
      <c r="S108" s="19">
        <v>0</v>
      </c>
      <c r="T108" s="17">
        <f>T109</f>
        <v>255</v>
      </c>
      <c r="U108" s="19">
        <f>U109</f>
        <v>255</v>
      </c>
      <c r="V108" s="19">
        <v>0</v>
      </c>
      <c r="W108" s="17">
        <f>W109</f>
        <v>33</v>
      </c>
      <c r="X108" s="19">
        <f>X109+X110+X111+X112+X113+X114+X115</f>
        <v>88</v>
      </c>
      <c r="Y108" s="19">
        <f>Y109+Y110+Y111+Y112+Y113+Y114+Y115</f>
        <v>48</v>
      </c>
      <c r="Z108" s="17">
        <f>AA108+AB108</f>
        <v>258</v>
      </c>
      <c r="AA108" s="19">
        <f>AA109+AA110+AA111+AA112+AA113+AA114+AA115+AA116</f>
        <v>181</v>
      </c>
      <c r="AB108" s="19">
        <f>AB109+AB110+AB111+AB112+AB113+AB114+AB115+AB116</f>
        <v>77</v>
      </c>
      <c r="AC108" s="17">
        <f>AD108+AE108</f>
        <v>133</v>
      </c>
      <c r="AD108" s="19">
        <f>AD109+AD110+AD111+AD112+AD113+AD114+AD115+AD116</f>
        <v>67</v>
      </c>
      <c r="AE108" s="19">
        <f>AE109+AE110+AE111+AE112+AE113+AE114+AE115+AE116</f>
        <v>66</v>
      </c>
      <c r="AF108" s="17">
        <f>AG108+AH108</f>
        <v>285</v>
      </c>
      <c r="AG108" s="19">
        <f>AG109+AG110+AG111+AG112+AG113+AG114+AG115+AG116+AG117</f>
        <v>128</v>
      </c>
      <c r="AH108" s="19">
        <f>AH109+AH110+AH111+AH112+AH113+AH114+AH115+AH116+AH117</f>
        <v>157</v>
      </c>
      <c r="AI108" s="21"/>
      <c r="AJ108" s="21"/>
      <c r="AK108" s="21"/>
    </row>
    <row r="109" spans="1:37" ht="15" x14ac:dyDescent="0.15">
      <c r="A109" s="24" t="s">
        <v>64</v>
      </c>
      <c r="B109" s="25">
        <v>0</v>
      </c>
      <c r="C109" s="25">
        <v>0</v>
      </c>
      <c r="D109" s="26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7">
        <v>0</v>
      </c>
      <c r="O109" s="25">
        <v>0</v>
      </c>
      <c r="P109" s="25">
        <v>0</v>
      </c>
      <c r="Q109" s="27">
        <v>0</v>
      </c>
      <c r="R109" s="25">
        <v>0</v>
      </c>
      <c r="S109" s="25">
        <v>0</v>
      </c>
      <c r="T109" s="27">
        <f>U109</f>
        <v>255</v>
      </c>
      <c r="U109" s="25">
        <v>255</v>
      </c>
      <c r="V109" s="25">
        <v>0</v>
      </c>
      <c r="W109" s="27">
        <f>X109</f>
        <v>33</v>
      </c>
      <c r="X109" s="25">
        <v>33</v>
      </c>
      <c r="Y109" s="25">
        <v>0</v>
      </c>
      <c r="Z109" s="27">
        <f t="shared" si="19"/>
        <v>80</v>
      </c>
      <c r="AA109" s="25">
        <v>79</v>
      </c>
      <c r="AB109" s="25">
        <v>1</v>
      </c>
      <c r="AC109" s="27">
        <f t="shared" si="20"/>
        <v>17</v>
      </c>
      <c r="AD109" s="25">
        <v>17</v>
      </c>
      <c r="AE109" s="25">
        <v>0</v>
      </c>
      <c r="AF109" s="27">
        <f t="shared" ref="AF109:AF117" si="28">AG109+AH109</f>
        <v>33</v>
      </c>
      <c r="AG109" s="25">
        <f>33</f>
        <v>33</v>
      </c>
      <c r="AH109" s="25">
        <f>0</f>
        <v>0</v>
      </c>
      <c r="AI109" s="21"/>
      <c r="AJ109" s="21"/>
      <c r="AK109" s="21"/>
    </row>
    <row r="110" spans="1:37" ht="15" x14ac:dyDescent="0.15">
      <c r="A110" s="24" t="s">
        <v>86</v>
      </c>
      <c r="B110" s="25">
        <v>0</v>
      </c>
      <c r="C110" s="25">
        <v>0</v>
      </c>
      <c r="D110" s="26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7">
        <v>0</v>
      </c>
      <c r="O110" s="25">
        <v>0</v>
      </c>
      <c r="P110" s="25">
        <v>0</v>
      </c>
      <c r="Q110" s="27">
        <v>0</v>
      </c>
      <c r="R110" s="25">
        <v>0</v>
      </c>
      <c r="S110" s="25">
        <v>0</v>
      </c>
      <c r="T110" s="27">
        <v>0</v>
      </c>
      <c r="U110" s="25">
        <v>0</v>
      </c>
      <c r="V110" s="25">
        <v>0</v>
      </c>
      <c r="W110" s="27">
        <f t="shared" ref="W110:W149" si="29">X110+Y110</f>
        <v>4</v>
      </c>
      <c r="X110" s="25">
        <v>3</v>
      </c>
      <c r="Y110" s="25">
        <v>1</v>
      </c>
      <c r="Z110" s="27">
        <f t="shared" si="19"/>
        <v>0</v>
      </c>
      <c r="AA110" s="25">
        <v>0</v>
      </c>
      <c r="AB110" s="25">
        <v>0</v>
      </c>
      <c r="AC110" s="27">
        <f t="shared" si="20"/>
        <v>0</v>
      </c>
      <c r="AD110" s="25">
        <v>0</v>
      </c>
      <c r="AE110" s="25">
        <v>0</v>
      </c>
      <c r="AF110" s="27">
        <f t="shared" si="28"/>
        <v>5</v>
      </c>
      <c r="AG110" s="25">
        <f>4</f>
        <v>4</v>
      </c>
      <c r="AH110" s="25">
        <f>1</f>
        <v>1</v>
      </c>
      <c r="AI110" s="21"/>
      <c r="AJ110" s="21"/>
      <c r="AK110" s="21"/>
    </row>
    <row r="111" spans="1:37" ht="15" x14ac:dyDescent="0.15">
      <c r="A111" s="24" t="s">
        <v>87</v>
      </c>
      <c r="B111" s="25">
        <v>0</v>
      </c>
      <c r="C111" s="25">
        <v>0</v>
      </c>
      <c r="D111" s="26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25">
        <v>0</v>
      </c>
      <c r="L111" s="25">
        <v>0</v>
      </c>
      <c r="M111" s="25">
        <v>0</v>
      </c>
      <c r="N111" s="27">
        <v>0</v>
      </c>
      <c r="O111" s="25">
        <v>0</v>
      </c>
      <c r="P111" s="25">
        <v>0</v>
      </c>
      <c r="Q111" s="27">
        <v>0</v>
      </c>
      <c r="R111" s="25">
        <v>0</v>
      </c>
      <c r="S111" s="25">
        <v>0</v>
      </c>
      <c r="T111" s="27">
        <v>0</v>
      </c>
      <c r="U111" s="25">
        <v>0</v>
      </c>
      <c r="V111" s="25">
        <v>0</v>
      </c>
      <c r="W111" s="27">
        <f t="shared" si="29"/>
        <v>11</v>
      </c>
      <c r="X111" s="25">
        <v>5</v>
      </c>
      <c r="Y111" s="25">
        <v>6</v>
      </c>
      <c r="Z111" s="27">
        <f t="shared" si="19"/>
        <v>0</v>
      </c>
      <c r="AA111" s="25">
        <v>0</v>
      </c>
      <c r="AB111" s="25">
        <v>0</v>
      </c>
      <c r="AC111" s="27">
        <f t="shared" si="20"/>
        <v>7</v>
      </c>
      <c r="AD111" s="25">
        <v>3</v>
      </c>
      <c r="AE111" s="25">
        <v>4</v>
      </c>
      <c r="AF111" s="27">
        <f t="shared" si="28"/>
        <v>16</v>
      </c>
      <c r="AG111" s="25">
        <f>4+3</f>
        <v>7</v>
      </c>
      <c r="AH111" s="25">
        <f>7+2</f>
        <v>9</v>
      </c>
      <c r="AI111" s="21"/>
      <c r="AJ111" s="21"/>
      <c r="AK111" s="21"/>
    </row>
    <row r="112" spans="1:37" ht="15" x14ac:dyDescent="0.15">
      <c r="A112" s="24" t="s">
        <v>88</v>
      </c>
      <c r="B112" s="25">
        <v>0</v>
      </c>
      <c r="C112" s="25">
        <v>0</v>
      </c>
      <c r="D112" s="26">
        <v>0</v>
      </c>
      <c r="E112" s="25">
        <v>0</v>
      </c>
      <c r="F112" s="25">
        <v>0</v>
      </c>
      <c r="G112" s="25">
        <v>0</v>
      </c>
      <c r="H112" s="25">
        <v>0</v>
      </c>
      <c r="I112" s="25">
        <v>0</v>
      </c>
      <c r="J112" s="25">
        <v>0</v>
      </c>
      <c r="K112" s="25">
        <v>0</v>
      </c>
      <c r="L112" s="25">
        <v>0</v>
      </c>
      <c r="M112" s="25">
        <v>0</v>
      </c>
      <c r="N112" s="27">
        <v>0</v>
      </c>
      <c r="O112" s="25">
        <v>0</v>
      </c>
      <c r="P112" s="25">
        <v>0</v>
      </c>
      <c r="Q112" s="27">
        <v>0</v>
      </c>
      <c r="R112" s="25">
        <v>0</v>
      </c>
      <c r="S112" s="25">
        <v>0</v>
      </c>
      <c r="T112" s="27">
        <v>0</v>
      </c>
      <c r="U112" s="25">
        <v>0</v>
      </c>
      <c r="V112" s="25">
        <v>0</v>
      </c>
      <c r="W112" s="27">
        <f t="shared" si="29"/>
        <v>8</v>
      </c>
      <c r="X112" s="25">
        <v>5</v>
      </c>
      <c r="Y112" s="25">
        <v>3</v>
      </c>
      <c r="Z112" s="27">
        <f t="shared" si="19"/>
        <v>15</v>
      </c>
      <c r="AA112" s="25">
        <v>11</v>
      </c>
      <c r="AB112" s="25">
        <v>4</v>
      </c>
      <c r="AC112" s="27">
        <f t="shared" si="20"/>
        <v>0</v>
      </c>
      <c r="AD112" s="25">
        <v>0</v>
      </c>
      <c r="AE112" s="25">
        <v>0</v>
      </c>
      <c r="AF112" s="27">
        <f t="shared" si="28"/>
        <v>16</v>
      </c>
      <c r="AG112" s="25">
        <f>5+7</f>
        <v>12</v>
      </c>
      <c r="AH112" s="25">
        <f>2+2</f>
        <v>4</v>
      </c>
      <c r="AI112" s="21"/>
      <c r="AJ112" s="21"/>
      <c r="AK112" s="21"/>
    </row>
    <row r="113" spans="1:37" ht="15" x14ac:dyDescent="0.15">
      <c r="A113" s="24" t="s">
        <v>89</v>
      </c>
      <c r="B113" s="25">
        <v>0</v>
      </c>
      <c r="C113" s="25">
        <v>0</v>
      </c>
      <c r="D113" s="26">
        <v>0</v>
      </c>
      <c r="E113" s="25">
        <v>0</v>
      </c>
      <c r="F113" s="25">
        <v>0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  <c r="L113" s="25">
        <v>0</v>
      </c>
      <c r="M113" s="25">
        <v>0</v>
      </c>
      <c r="N113" s="27">
        <v>0</v>
      </c>
      <c r="O113" s="25">
        <v>0</v>
      </c>
      <c r="P113" s="25">
        <v>0</v>
      </c>
      <c r="Q113" s="27">
        <v>0</v>
      </c>
      <c r="R113" s="25">
        <v>0</v>
      </c>
      <c r="S113" s="25">
        <v>0</v>
      </c>
      <c r="T113" s="27">
        <v>0</v>
      </c>
      <c r="U113" s="25">
        <v>0</v>
      </c>
      <c r="V113" s="25">
        <v>0</v>
      </c>
      <c r="W113" s="27">
        <f t="shared" si="29"/>
        <v>48</v>
      </c>
      <c r="X113" s="25">
        <v>26</v>
      </c>
      <c r="Y113" s="25">
        <v>22</v>
      </c>
      <c r="Z113" s="27">
        <f t="shared" si="19"/>
        <v>47</v>
      </c>
      <c r="AA113" s="25">
        <v>21</v>
      </c>
      <c r="AB113" s="25">
        <v>26</v>
      </c>
      <c r="AC113" s="27">
        <f t="shared" si="20"/>
        <v>23</v>
      </c>
      <c r="AD113" s="25">
        <v>6</v>
      </c>
      <c r="AE113" s="25">
        <v>17</v>
      </c>
      <c r="AF113" s="27">
        <f t="shared" si="28"/>
        <v>86</v>
      </c>
      <c r="AG113" s="25">
        <f>16+14</f>
        <v>30</v>
      </c>
      <c r="AH113" s="25">
        <f>33+23</f>
        <v>56</v>
      </c>
      <c r="AI113" s="21"/>
      <c r="AJ113" s="21"/>
      <c r="AK113" s="21"/>
    </row>
    <row r="114" spans="1:37" ht="15" x14ac:dyDescent="0.15">
      <c r="A114" s="24" t="s">
        <v>90</v>
      </c>
      <c r="B114" s="25">
        <v>0</v>
      </c>
      <c r="C114" s="25">
        <v>0</v>
      </c>
      <c r="D114" s="26">
        <v>0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7">
        <v>0</v>
      </c>
      <c r="O114" s="25">
        <v>0</v>
      </c>
      <c r="P114" s="25">
        <v>0</v>
      </c>
      <c r="Q114" s="27">
        <v>0</v>
      </c>
      <c r="R114" s="25">
        <v>0</v>
      </c>
      <c r="S114" s="25">
        <v>0</v>
      </c>
      <c r="T114" s="27">
        <v>0</v>
      </c>
      <c r="U114" s="25">
        <v>0</v>
      </c>
      <c r="V114" s="25">
        <v>0</v>
      </c>
      <c r="W114" s="27">
        <f t="shared" si="29"/>
        <v>24</v>
      </c>
      <c r="X114" s="25">
        <v>10</v>
      </c>
      <c r="Y114" s="25">
        <v>14</v>
      </c>
      <c r="Z114" s="27">
        <f t="shared" si="19"/>
        <v>58</v>
      </c>
      <c r="AA114" s="25">
        <v>32</v>
      </c>
      <c r="AB114" s="25">
        <v>26</v>
      </c>
      <c r="AC114" s="27">
        <f t="shared" si="20"/>
        <v>36</v>
      </c>
      <c r="AD114" s="25">
        <f>10+5</f>
        <v>15</v>
      </c>
      <c r="AE114" s="25">
        <f>15+6</f>
        <v>21</v>
      </c>
      <c r="AF114" s="27">
        <f t="shared" si="28"/>
        <v>24</v>
      </c>
      <c r="AG114" s="25">
        <f>10</f>
        <v>10</v>
      </c>
      <c r="AH114" s="25">
        <f>14</f>
        <v>14</v>
      </c>
      <c r="AI114" s="21"/>
      <c r="AJ114" s="21"/>
      <c r="AK114" s="21"/>
    </row>
    <row r="115" spans="1:37" ht="15" x14ac:dyDescent="0.15">
      <c r="A115" s="24" t="s">
        <v>91</v>
      </c>
      <c r="B115" s="25">
        <v>0</v>
      </c>
      <c r="C115" s="25">
        <v>0</v>
      </c>
      <c r="D115" s="26">
        <v>0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5">
        <v>0</v>
      </c>
      <c r="M115" s="25">
        <v>0</v>
      </c>
      <c r="N115" s="27">
        <v>0</v>
      </c>
      <c r="O115" s="25">
        <v>0</v>
      </c>
      <c r="P115" s="25">
        <v>0</v>
      </c>
      <c r="Q115" s="27">
        <v>0</v>
      </c>
      <c r="R115" s="25">
        <v>0</v>
      </c>
      <c r="S115" s="25">
        <v>0</v>
      </c>
      <c r="T115" s="27">
        <v>0</v>
      </c>
      <c r="U115" s="25">
        <v>0</v>
      </c>
      <c r="V115" s="25">
        <v>0</v>
      </c>
      <c r="W115" s="27">
        <f t="shared" si="29"/>
        <v>8</v>
      </c>
      <c r="X115" s="25">
        <v>6</v>
      </c>
      <c r="Y115" s="25">
        <v>2</v>
      </c>
      <c r="Z115" s="27">
        <f t="shared" si="19"/>
        <v>4</v>
      </c>
      <c r="AA115" s="25">
        <v>4</v>
      </c>
      <c r="AB115" s="25">
        <v>0</v>
      </c>
      <c r="AC115" s="27">
        <f t="shared" si="20"/>
        <v>0</v>
      </c>
      <c r="AD115" s="25">
        <v>0</v>
      </c>
      <c r="AE115" s="25">
        <v>0</v>
      </c>
      <c r="AF115" s="27">
        <f t="shared" si="28"/>
        <v>0</v>
      </c>
      <c r="AG115" s="25">
        <v>0</v>
      </c>
      <c r="AH115" s="25">
        <v>0</v>
      </c>
      <c r="AI115" s="21"/>
      <c r="AJ115" s="21"/>
      <c r="AK115" s="21"/>
    </row>
    <row r="116" spans="1:37" ht="15" x14ac:dyDescent="0.15">
      <c r="A116" s="24" t="s">
        <v>92</v>
      </c>
      <c r="B116" s="25">
        <v>0</v>
      </c>
      <c r="C116" s="25">
        <v>0</v>
      </c>
      <c r="D116" s="26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5">
        <v>0</v>
      </c>
      <c r="M116" s="25">
        <v>0</v>
      </c>
      <c r="N116" s="27">
        <v>0</v>
      </c>
      <c r="O116" s="25">
        <v>0</v>
      </c>
      <c r="P116" s="25">
        <v>0</v>
      </c>
      <c r="Q116" s="27">
        <v>0</v>
      </c>
      <c r="R116" s="25">
        <v>0</v>
      </c>
      <c r="S116" s="25">
        <v>0</v>
      </c>
      <c r="T116" s="27">
        <v>0</v>
      </c>
      <c r="U116" s="25">
        <v>0</v>
      </c>
      <c r="V116" s="25">
        <v>0</v>
      </c>
      <c r="W116" s="27">
        <v>0</v>
      </c>
      <c r="X116" s="25">
        <v>0</v>
      </c>
      <c r="Y116" s="25">
        <v>0</v>
      </c>
      <c r="Z116" s="27">
        <f t="shared" si="19"/>
        <v>54</v>
      </c>
      <c r="AA116" s="25">
        <v>34</v>
      </c>
      <c r="AB116" s="25">
        <v>20</v>
      </c>
      <c r="AC116" s="27">
        <f t="shared" si="20"/>
        <v>50</v>
      </c>
      <c r="AD116" s="25">
        <f>19+7</f>
        <v>26</v>
      </c>
      <c r="AE116" s="25">
        <f>18+6</f>
        <v>24</v>
      </c>
      <c r="AF116" s="27">
        <f t="shared" si="28"/>
        <v>62</v>
      </c>
      <c r="AG116" s="25">
        <f>31</f>
        <v>31</v>
      </c>
      <c r="AH116" s="25">
        <f>31</f>
        <v>31</v>
      </c>
      <c r="AI116" s="21"/>
      <c r="AJ116" s="21"/>
      <c r="AK116" s="21"/>
    </row>
    <row r="117" spans="1:37" ht="15" x14ac:dyDescent="0.15">
      <c r="A117" s="24" t="s">
        <v>93</v>
      </c>
      <c r="B117" s="25">
        <v>0</v>
      </c>
      <c r="C117" s="25">
        <v>0</v>
      </c>
      <c r="D117" s="26">
        <v>0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7">
        <v>0</v>
      </c>
      <c r="O117" s="25">
        <v>0</v>
      </c>
      <c r="P117" s="25">
        <v>0</v>
      </c>
      <c r="Q117" s="27">
        <v>0</v>
      </c>
      <c r="R117" s="25">
        <v>0</v>
      </c>
      <c r="S117" s="25">
        <v>0</v>
      </c>
      <c r="T117" s="27">
        <v>0</v>
      </c>
      <c r="U117" s="25">
        <v>0</v>
      </c>
      <c r="V117" s="25">
        <v>0</v>
      </c>
      <c r="W117" s="27">
        <v>0</v>
      </c>
      <c r="X117" s="25">
        <v>0</v>
      </c>
      <c r="Y117" s="25">
        <v>0</v>
      </c>
      <c r="Z117" s="27">
        <v>0</v>
      </c>
      <c r="AA117" s="25">
        <v>0</v>
      </c>
      <c r="AB117" s="25">
        <v>0</v>
      </c>
      <c r="AC117" s="27">
        <v>0</v>
      </c>
      <c r="AD117" s="25">
        <v>0</v>
      </c>
      <c r="AE117" s="25">
        <v>0</v>
      </c>
      <c r="AF117" s="27">
        <f t="shared" si="28"/>
        <v>43</v>
      </c>
      <c r="AG117" s="25">
        <f>1</f>
        <v>1</v>
      </c>
      <c r="AH117" s="25">
        <f>42</f>
        <v>42</v>
      </c>
      <c r="AI117" s="21"/>
      <c r="AJ117" s="21"/>
      <c r="AK117" s="21"/>
    </row>
    <row r="118" spans="1:37" ht="15" x14ac:dyDescent="0.15">
      <c r="A118" s="18" t="s">
        <v>94</v>
      </c>
      <c r="B118" s="19">
        <v>0</v>
      </c>
      <c r="C118" s="19">
        <v>0</v>
      </c>
      <c r="D118" s="20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7">
        <v>0</v>
      </c>
      <c r="O118" s="19">
        <v>0</v>
      </c>
      <c r="P118" s="19">
        <v>0</v>
      </c>
      <c r="Q118" s="17">
        <v>0</v>
      </c>
      <c r="R118" s="19">
        <v>0</v>
      </c>
      <c r="S118" s="19">
        <v>0</v>
      </c>
      <c r="T118" s="17">
        <v>0</v>
      </c>
      <c r="U118" s="19">
        <v>0</v>
      </c>
      <c r="V118" s="19">
        <v>0</v>
      </c>
      <c r="W118" s="17">
        <v>0</v>
      </c>
      <c r="X118" s="19">
        <v>0</v>
      </c>
      <c r="Y118" s="19">
        <v>0</v>
      </c>
      <c r="Z118" s="17">
        <f t="shared" si="19"/>
        <v>170</v>
      </c>
      <c r="AA118" s="19">
        <f>AA119+AA120+AA121+AA148+AA149+AA150+AA151</f>
        <v>15</v>
      </c>
      <c r="AB118" s="19">
        <f>AB119+AB120+AB121+AB148+AB149+AB150+AB151</f>
        <v>155</v>
      </c>
      <c r="AC118" s="17">
        <f t="shared" ref="AC118:AE118" si="30">AC119+AC120+AC121+AC122+AC123+AC124</f>
        <v>59</v>
      </c>
      <c r="AD118" s="19">
        <f t="shared" si="30"/>
        <v>21</v>
      </c>
      <c r="AE118" s="19">
        <f t="shared" si="30"/>
        <v>38</v>
      </c>
      <c r="AF118" s="17">
        <f>AF119+AF120+AF121+AF122+AF123+AF124+AF125+AF126+AF127+AF128+AF129+AF130+AF131+AF132+AF133+AF134+AF135+AF136+AF137+AF138+AF139+AF140</f>
        <v>280</v>
      </c>
      <c r="AG118" s="19">
        <f>AG119+AG120+AG121+AG122+AG123+AG124+AG125+AG126+AG127+AG128+AG129+AG130+AG131+AG132+AG133+AG134+AG135+AG136+AG138++AG137+AG139+AG140</f>
        <v>196</v>
      </c>
      <c r="AH118" s="19">
        <f>AH119+AH120+AH121+AH122+AH123+AH124+AH125+AH126+AH127+AH128+AH129+AH130+AH131+AH132+AH133+AH134+AH135+AH136+AH137+AH138+AH139+AH140</f>
        <v>84</v>
      </c>
      <c r="AI118" s="21"/>
      <c r="AJ118" s="21"/>
      <c r="AK118" s="21"/>
    </row>
    <row r="119" spans="1:37" ht="15" x14ac:dyDescent="0.15">
      <c r="A119" s="24" t="s">
        <v>95</v>
      </c>
      <c r="B119" s="25">
        <v>0</v>
      </c>
      <c r="C119" s="25">
        <v>0</v>
      </c>
      <c r="D119" s="26">
        <v>0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7">
        <v>0</v>
      </c>
      <c r="O119" s="25">
        <v>0</v>
      </c>
      <c r="P119" s="25">
        <v>0</v>
      </c>
      <c r="Q119" s="27">
        <v>0</v>
      </c>
      <c r="R119" s="25">
        <v>0</v>
      </c>
      <c r="S119" s="25">
        <v>0</v>
      </c>
      <c r="T119" s="27">
        <v>0</v>
      </c>
      <c r="U119" s="25">
        <v>0</v>
      </c>
      <c r="V119" s="25">
        <v>0</v>
      </c>
      <c r="W119" s="27">
        <v>0</v>
      </c>
      <c r="X119" s="25">
        <v>0</v>
      </c>
      <c r="Y119" s="25">
        <v>0</v>
      </c>
      <c r="Z119" s="27">
        <f t="shared" si="19"/>
        <v>80</v>
      </c>
      <c r="AA119" s="25">
        <v>13</v>
      </c>
      <c r="AB119" s="25">
        <v>67</v>
      </c>
      <c r="AC119" s="27">
        <v>0</v>
      </c>
      <c r="AD119" s="25">
        <v>0</v>
      </c>
      <c r="AE119" s="25">
        <v>0</v>
      </c>
      <c r="AF119" s="27">
        <v>0</v>
      </c>
      <c r="AG119" s="25">
        <v>0</v>
      </c>
      <c r="AH119" s="25">
        <v>0</v>
      </c>
      <c r="AI119" s="21"/>
      <c r="AJ119" s="21"/>
      <c r="AK119" s="21"/>
    </row>
    <row r="120" spans="1:37" ht="15" x14ac:dyDescent="0.15">
      <c r="A120" s="24" t="s">
        <v>96</v>
      </c>
      <c r="B120" s="25">
        <v>0</v>
      </c>
      <c r="C120" s="25">
        <v>0</v>
      </c>
      <c r="D120" s="26">
        <v>0</v>
      </c>
      <c r="E120" s="25">
        <v>0</v>
      </c>
      <c r="F120" s="25">
        <v>0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5">
        <v>0</v>
      </c>
      <c r="M120" s="25">
        <v>0</v>
      </c>
      <c r="N120" s="27">
        <v>0</v>
      </c>
      <c r="O120" s="25">
        <v>0</v>
      </c>
      <c r="P120" s="25">
        <v>0</v>
      </c>
      <c r="Q120" s="27">
        <v>0</v>
      </c>
      <c r="R120" s="25">
        <v>0</v>
      </c>
      <c r="S120" s="25">
        <v>0</v>
      </c>
      <c r="T120" s="27">
        <v>0</v>
      </c>
      <c r="U120" s="25">
        <v>0</v>
      </c>
      <c r="V120" s="25">
        <v>0</v>
      </c>
      <c r="W120" s="27">
        <v>0</v>
      </c>
      <c r="X120" s="25">
        <v>0</v>
      </c>
      <c r="Y120" s="25">
        <v>0</v>
      </c>
      <c r="Z120" s="27">
        <f t="shared" si="19"/>
        <v>8</v>
      </c>
      <c r="AA120" s="25">
        <v>0</v>
      </c>
      <c r="AB120" s="25">
        <v>8</v>
      </c>
      <c r="AC120" s="27">
        <v>0</v>
      </c>
      <c r="AD120" s="25">
        <v>0</v>
      </c>
      <c r="AE120" s="25">
        <v>0</v>
      </c>
      <c r="AF120" s="27">
        <v>0</v>
      </c>
      <c r="AG120" s="25">
        <v>0</v>
      </c>
      <c r="AH120" s="25">
        <v>0</v>
      </c>
      <c r="AI120" s="21"/>
      <c r="AJ120" s="21"/>
      <c r="AK120" s="21"/>
    </row>
    <row r="121" spans="1:37" ht="15" x14ac:dyDescent="0.15">
      <c r="A121" s="24" t="s">
        <v>97</v>
      </c>
      <c r="B121" s="25">
        <v>0</v>
      </c>
      <c r="C121" s="25">
        <v>0</v>
      </c>
      <c r="D121" s="26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7">
        <v>0</v>
      </c>
      <c r="O121" s="25">
        <v>0</v>
      </c>
      <c r="P121" s="25">
        <v>0</v>
      </c>
      <c r="Q121" s="27">
        <v>0</v>
      </c>
      <c r="R121" s="25">
        <v>0</v>
      </c>
      <c r="S121" s="25">
        <v>0</v>
      </c>
      <c r="T121" s="27">
        <v>0</v>
      </c>
      <c r="U121" s="25">
        <v>0</v>
      </c>
      <c r="V121" s="25">
        <v>0</v>
      </c>
      <c r="W121" s="27">
        <v>0</v>
      </c>
      <c r="X121" s="25">
        <v>0</v>
      </c>
      <c r="Y121" s="25">
        <v>0</v>
      </c>
      <c r="Z121" s="27">
        <f t="shared" si="19"/>
        <v>82</v>
      </c>
      <c r="AA121" s="25">
        <v>2</v>
      </c>
      <c r="AB121" s="25">
        <v>80</v>
      </c>
      <c r="AC121" s="27">
        <v>0</v>
      </c>
      <c r="AD121" s="25">
        <v>0</v>
      </c>
      <c r="AE121" s="25">
        <v>0</v>
      </c>
      <c r="AF121" s="27">
        <v>0</v>
      </c>
      <c r="AG121" s="25">
        <v>0</v>
      </c>
      <c r="AH121" s="25">
        <v>0</v>
      </c>
      <c r="AI121" s="21"/>
      <c r="AJ121" s="21"/>
      <c r="AK121" s="21"/>
    </row>
    <row r="122" spans="1:37" ht="15" x14ac:dyDescent="0.15">
      <c r="A122" s="24" t="s">
        <v>98</v>
      </c>
      <c r="B122" s="25">
        <v>0</v>
      </c>
      <c r="C122" s="25">
        <v>0</v>
      </c>
      <c r="D122" s="26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7">
        <v>0</v>
      </c>
      <c r="O122" s="25">
        <v>0</v>
      </c>
      <c r="P122" s="25">
        <v>0</v>
      </c>
      <c r="Q122" s="27">
        <v>0</v>
      </c>
      <c r="R122" s="25">
        <v>0</v>
      </c>
      <c r="S122" s="25">
        <v>0</v>
      </c>
      <c r="T122" s="27">
        <v>0</v>
      </c>
      <c r="U122" s="25">
        <v>0</v>
      </c>
      <c r="V122" s="25">
        <v>0</v>
      </c>
      <c r="W122" s="27">
        <v>0</v>
      </c>
      <c r="X122" s="25">
        <v>0</v>
      </c>
      <c r="Y122" s="25">
        <v>0</v>
      </c>
      <c r="Z122" s="27">
        <v>0</v>
      </c>
      <c r="AA122" s="25">
        <v>0</v>
      </c>
      <c r="AB122" s="25">
        <v>0</v>
      </c>
      <c r="AC122" s="27">
        <f>AD122+AE122</f>
        <v>27</v>
      </c>
      <c r="AD122" s="25">
        <v>12</v>
      </c>
      <c r="AE122" s="25">
        <v>15</v>
      </c>
      <c r="AF122" s="27">
        <f t="shared" ref="AF122:AF140" si="31">AG122+AH122</f>
        <v>52</v>
      </c>
      <c r="AG122" s="25">
        <f>6+10+5+12</f>
        <v>33</v>
      </c>
      <c r="AH122" s="25">
        <f>5+3+8+3</f>
        <v>19</v>
      </c>
      <c r="AI122" s="21"/>
      <c r="AJ122" s="21"/>
      <c r="AK122" s="21"/>
    </row>
    <row r="123" spans="1:37" ht="15" x14ac:dyDescent="0.15">
      <c r="A123" s="24" t="s">
        <v>99</v>
      </c>
      <c r="B123" s="25">
        <v>0</v>
      </c>
      <c r="C123" s="25">
        <v>0</v>
      </c>
      <c r="D123" s="26">
        <v>0</v>
      </c>
      <c r="E123" s="25">
        <v>0</v>
      </c>
      <c r="F123" s="25">
        <v>0</v>
      </c>
      <c r="G123" s="25">
        <v>0</v>
      </c>
      <c r="H123" s="25">
        <v>0</v>
      </c>
      <c r="I123" s="25">
        <v>0</v>
      </c>
      <c r="J123" s="25">
        <v>0</v>
      </c>
      <c r="K123" s="25">
        <v>0</v>
      </c>
      <c r="L123" s="25">
        <v>0</v>
      </c>
      <c r="M123" s="25">
        <v>0</v>
      </c>
      <c r="N123" s="27">
        <v>0</v>
      </c>
      <c r="O123" s="25">
        <v>0</v>
      </c>
      <c r="P123" s="25">
        <v>0</v>
      </c>
      <c r="Q123" s="27">
        <v>0</v>
      </c>
      <c r="R123" s="25">
        <v>0</v>
      </c>
      <c r="S123" s="25">
        <v>0</v>
      </c>
      <c r="T123" s="27">
        <v>0</v>
      </c>
      <c r="U123" s="25">
        <v>0</v>
      </c>
      <c r="V123" s="25">
        <v>0</v>
      </c>
      <c r="W123" s="27">
        <v>0</v>
      </c>
      <c r="X123" s="25">
        <v>0</v>
      </c>
      <c r="Y123" s="25">
        <v>0</v>
      </c>
      <c r="Z123" s="27">
        <v>0</v>
      </c>
      <c r="AA123" s="25">
        <v>0</v>
      </c>
      <c r="AB123" s="25">
        <v>0</v>
      </c>
      <c r="AC123" s="27">
        <f>AD123+AE123</f>
        <v>12</v>
      </c>
      <c r="AD123" s="25">
        <v>7</v>
      </c>
      <c r="AE123" s="25">
        <v>5</v>
      </c>
      <c r="AF123" s="27">
        <f t="shared" si="31"/>
        <v>5</v>
      </c>
      <c r="AG123" s="25">
        <f>2</f>
        <v>2</v>
      </c>
      <c r="AH123" s="25">
        <f>3</f>
        <v>3</v>
      </c>
      <c r="AI123" s="21"/>
      <c r="AJ123" s="21"/>
      <c r="AK123" s="21"/>
    </row>
    <row r="124" spans="1:37" ht="15" x14ac:dyDescent="0.15">
      <c r="A124" s="24" t="s">
        <v>100</v>
      </c>
      <c r="B124" s="25">
        <v>0</v>
      </c>
      <c r="C124" s="25">
        <v>0</v>
      </c>
      <c r="D124" s="26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0</v>
      </c>
      <c r="J124" s="25">
        <v>0</v>
      </c>
      <c r="K124" s="25">
        <v>0</v>
      </c>
      <c r="L124" s="25">
        <v>0</v>
      </c>
      <c r="M124" s="25">
        <v>0</v>
      </c>
      <c r="N124" s="27">
        <v>0</v>
      </c>
      <c r="O124" s="25">
        <v>0</v>
      </c>
      <c r="P124" s="25">
        <v>0</v>
      </c>
      <c r="Q124" s="27">
        <v>0</v>
      </c>
      <c r="R124" s="25">
        <v>0</v>
      </c>
      <c r="S124" s="25">
        <v>0</v>
      </c>
      <c r="T124" s="27">
        <v>0</v>
      </c>
      <c r="U124" s="25">
        <v>0</v>
      </c>
      <c r="V124" s="25">
        <v>0</v>
      </c>
      <c r="W124" s="27">
        <v>0</v>
      </c>
      <c r="X124" s="25">
        <v>0</v>
      </c>
      <c r="Y124" s="25">
        <v>0</v>
      </c>
      <c r="Z124" s="27">
        <v>0</v>
      </c>
      <c r="AA124" s="25">
        <v>0</v>
      </c>
      <c r="AB124" s="25">
        <v>0</v>
      </c>
      <c r="AC124" s="27">
        <f>AD124+AE124</f>
        <v>20</v>
      </c>
      <c r="AD124" s="25">
        <v>2</v>
      </c>
      <c r="AE124" s="25">
        <v>18</v>
      </c>
      <c r="AF124" s="27">
        <f t="shared" si="31"/>
        <v>19</v>
      </c>
      <c r="AG124" s="25">
        <v>0</v>
      </c>
      <c r="AH124" s="25">
        <f>8+11</f>
        <v>19</v>
      </c>
      <c r="AI124" s="21"/>
      <c r="AJ124" s="21"/>
      <c r="AK124" s="21"/>
    </row>
    <row r="125" spans="1:37" ht="15" x14ac:dyDescent="0.15">
      <c r="A125" s="24" t="s">
        <v>101</v>
      </c>
      <c r="B125" s="25">
        <v>0</v>
      </c>
      <c r="C125" s="25">
        <v>0</v>
      </c>
      <c r="D125" s="26">
        <v>0</v>
      </c>
      <c r="E125" s="25">
        <v>0</v>
      </c>
      <c r="F125" s="25">
        <v>0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7">
        <v>0</v>
      </c>
      <c r="O125" s="25">
        <v>0</v>
      </c>
      <c r="P125" s="25">
        <v>0</v>
      </c>
      <c r="Q125" s="27">
        <v>0</v>
      </c>
      <c r="R125" s="25">
        <v>0</v>
      </c>
      <c r="S125" s="25">
        <v>0</v>
      </c>
      <c r="T125" s="27">
        <v>0</v>
      </c>
      <c r="U125" s="25">
        <v>0</v>
      </c>
      <c r="V125" s="25">
        <v>0</v>
      </c>
      <c r="W125" s="27">
        <v>0</v>
      </c>
      <c r="X125" s="25">
        <v>0</v>
      </c>
      <c r="Y125" s="25">
        <v>0</v>
      </c>
      <c r="Z125" s="27">
        <v>0</v>
      </c>
      <c r="AA125" s="25">
        <v>0</v>
      </c>
      <c r="AB125" s="25">
        <v>0</v>
      </c>
      <c r="AC125" s="27">
        <v>0</v>
      </c>
      <c r="AD125" s="25">
        <v>0</v>
      </c>
      <c r="AE125" s="25">
        <v>0</v>
      </c>
      <c r="AF125" s="27">
        <f t="shared" si="31"/>
        <v>12</v>
      </c>
      <c r="AG125" s="25">
        <f>6</f>
        <v>6</v>
      </c>
      <c r="AH125" s="25">
        <f>6</f>
        <v>6</v>
      </c>
      <c r="AI125" s="21"/>
      <c r="AJ125" s="21"/>
      <c r="AK125" s="21"/>
    </row>
    <row r="126" spans="1:37" ht="15" x14ac:dyDescent="0.15">
      <c r="A126" s="24" t="s">
        <v>102</v>
      </c>
      <c r="B126" s="25">
        <v>0</v>
      </c>
      <c r="C126" s="25">
        <v>0</v>
      </c>
      <c r="D126" s="26">
        <v>0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  <c r="N126" s="27">
        <v>0</v>
      </c>
      <c r="O126" s="25">
        <v>0</v>
      </c>
      <c r="P126" s="25">
        <v>0</v>
      </c>
      <c r="Q126" s="27">
        <v>0</v>
      </c>
      <c r="R126" s="25">
        <v>0</v>
      </c>
      <c r="S126" s="25">
        <v>0</v>
      </c>
      <c r="T126" s="27">
        <v>0</v>
      </c>
      <c r="U126" s="25">
        <v>0</v>
      </c>
      <c r="V126" s="25">
        <v>0</v>
      </c>
      <c r="W126" s="27">
        <v>0</v>
      </c>
      <c r="X126" s="25">
        <v>0</v>
      </c>
      <c r="Y126" s="25">
        <v>0</v>
      </c>
      <c r="Z126" s="27">
        <v>0</v>
      </c>
      <c r="AA126" s="25">
        <v>0</v>
      </c>
      <c r="AB126" s="25">
        <v>0</v>
      </c>
      <c r="AC126" s="27">
        <v>0</v>
      </c>
      <c r="AD126" s="25">
        <v>0</v>
      </c>
      <c r="AE126" s="25">
        <v>0</v>
      </c>
      <c r="AF126" s="27">
        <f t="shared" si="31"/>
        <v>4</v>
      </c>
      <c r="AG126" s="25">
        <f>0</f>
        <v>0</v>
      </c>
      <c r="AH126" s="25">
        <f>4</f>
        <v>4</v>
      </c>
      <c r="AI126" s="21"/>
      <c r="AJ126" s="21"/>
      <c r="AK126" s="21"/>
    </row>
    <row r="127" spans="1:37" ht="15" x14ac:dyDescent="0.15">
      <c r="A127" s="24" t="s">
        <v>103</v>
      </c>
      <c r="B127" s="25">
        <v>0</v>
      </c>
      <c r="C127" s="25">
        <v>0</v>
      </c>
      <c r="D127" s="26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5">
        <v>0</v>
      </c>
      <c r="M127" s="25">
        <v>0</v>
      </c>
      <c r="N127" s="27">
        <v>0</v>
      </c>
      <c r="O127" s="25">
        <v>0</v>
      </c>
      <c r="P127" s="25">
        <v>0</v>
      </c>
      <c r="Q127" s="27">
        <v>0</v>
      </c>
      <c r="R127" s="25">
        <v>0</v>
      </c>
      <c r="S127" s="25">
        <v>0</v>
      </c>
      <c r="T127" s="27">
        <v>0</v>
      </c>
      <c r="U127" s="25">
        <v>0</v>
      </c>
      <c r="V127" s="25">
        <v>0</v>
      </c>
      <c r="W127" s="27">
        <v>0</v>
      </c>
      <c r="X127" s="25">
        <v>0</v>
      </c>
      <c r="Y127" s="25">
        <v>0</v>
      </c>
      <c r="Z127" s="27">
        <v>0</v>
      </c>
      <c r="AA127" s="25">
        <v>0</v>
      </c>
      <c r="AB127" s="25">
        <v>0</v>
      </c>
      <c r="AC127" s="27">
        <v>0</v>
      </c>
      <c r="AD127" s="25">
        <v>0</v>
      </c>
      <c r="AE127" s="25">
        <v>0</v>
      </c>
      <c r="AF127" s="27">
        <f t="shared" si="31"/>
        <v>5</v>
      </c>
      <c r="AG127" s="25">
        <f>4</f>
        <v>4</v>
      </c>
      <c r="AH127" s="25">
        <f>1</f>
        <v>1</v>
      </c>
      <c r="AI127" s="21"/>
      <c r="AJ127" s="21"/>
      <c r="AK127" s="21"/>
    </row>
    <row r="128" spans="1:37" ht="15" x14ac:dyDescent="0.15">
      <c r="A128" s="24" t="s">
        <v>104</v>
      </c>
      <c r="B128" s="25">
        <v>0</v>
      </c>
      <c r="C128" s="25">
        <v>0</v>
      </c>
      <c r="D128" s="26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5">
        <v>0</v>
      </c>
      <c r="M128" s="25">
        <v>0</v>
      </c>
      <c r="N128" s="27">
        <v>0</v>
      </c>
      <c r="O128" s="25">
        <v>0</v>
      </c>
      <c r="P128" s="25">
        <v>0</v>
      </c>
      <c r="Q128" s="27">
        <v>0</v>
      </c>
      <c r="R128" s="25">
        <v>0</v>
      </c>
      <c r="S128" s="25">
        <v>0</v>
      </c>
      <c r="T128" s="27">
        <v>0</v>
      </c>
      <c r="U128" s="25">
        <v>0</v>
      </c>
      <c r="V128" s="25">
        <v>0</v>
      </c>
      <c r="W128" s="27">
        <v>0</v>
      </c>
      <c r="X128" s="25">
        <v>0</v>
      </c>
      <c r="Y128" s="25">
        <v>0</v>
      </c>
      <c r="Z128" s="27">
        <v>0</v>
      </c>
      <c r="AA128" s="25">
        <v>0</v>
      </c>
      <c r="AB128" s="25">
        <v>0</v>
      </c>
      <c r="AC128" s="27">
        <v>0</v>
      </c>
      <c r="AD128" s="25">
        <v>0</v>
      </c>
      <c r="AE128" s="25">
        <v>0</v>
      </c>
      <c r="AF128" s="27">
        <f t="shared" si="31"/>
        <v>5</v>
      </c>
      <c r="AG128" s="25">
        <f>4</f>
        <v>4</v>
      </c>
      <c r="AH128" s="25">
        <f>1</f>
        <v>1</v>
      </c>
      <c r="AI128" s="21"/>
      <c r="AJ128" s="21"/>
      <c r="AK128" s="21"/>
    </row>
    <row r="129" spans="1:37" ht="15" x14ac:dyDescent="0.15">
      <c r="A129" s="24" t="s">
        <v>105</v>
      </c>
      <c r="B129" s="25">
        <v>0</v>
      </c>
      <c r="C129" s="25">
        <v>0</v>
      </c>
      <c r="D129" s="26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7">
        <v>0</v>
      </c>
      <c r="O129" s="25">
        <v>0</v>
      </c>
      <c r="P129" s="25">
        <v>0</v>
      </c>
      <c r="Q129" s="27">
        <v>0</v>
      </c>
      <c r="R129" s="25">
        <v>0</v>
      </c>
      <c r="S129" s="25">
        <v>0</v>
      </c>
      <c r="T129" s="27">
        <v>0</v>
      </c>
      <c r="U129" s="25">
        <v>0</v>
      </c>
      <c r="V129" s="25">
        <v>0</v>
      </c>
      <c r="W129" s="27">
        <v>0</v>
      </c>
      <c r="X129" s="25">
        <v>0</v>
      </c>
      <c r="Y129" s="25">
        <v>0</v>
      </c>
      <c r="Z129" s="27">
        <v>0</v>
      </c>
      <c r="AA129" s="25">
        <v>0</v>
      </c>
      <c r="AB129" s="25">
        <v>0</v>
      </c>
      <c r="AC129" s="27">
        <v>0</v>
      </c>
      <c r="AD129" s="25">
        <v>0</v>
      </c>
      <c r="AE129" s="25">
        <v>0</v>
      </c>
      <c r="AF129" s="27">
        <f t="shared" si="31"/>
        <v>8</v>
      </c>
      <c r="AG129" s="25">
        <f>5</f>
        <v>5</v>
      </c>
      <c r="AH129" s="25">
        <f>3</f>
        <v>3</v>
      </c>
      <c r="AI129" s="21"/>
      <c r="AJ129" s="21"/>
      <c r="AK129" s="21"/>
    </row>
    <row r="130" spans="1:37" ht="15" x14ac:dyDescent="0.15">
      <c r="A130" s="24" t="s">
        <v>106</v>
      </c>
      <c r="B130" s="25">
        <v>0</v>
      </c>
      <c r="C130" s="25">
        <v>0</v>
      </c>
      <c r="D130" s="26">
        <v>0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7">
        <v>0</v>
      </c>
      <c r="O130" s="25">
        <v>0</v>
      </c>
      <c r="P130" s="25">
        <v>0</v>
      </c>
      <c r="Q130" s="27">
        <v>0</v>
      </c>
      <c r="R130" s="25">
        <v>0</v>
      </c>
      <c r="S130" s="25">
        <v>0</v>
      </c>
      <c r="T130" s="27">
        <v>0</v>
      </c>
      <c r="U130" s="25">
        <v>0</v>
      </c>
      <c r="V130" s="25">
        <v>0</v>
      </c>
      <c r="W130" s="27">
        <v>0</v>
      </c>
      <c r="X130" s="25">
        <v>0</v>
      </c>
      <c r="Y130" s="25">
        <v>0</v>
      </c>
      <c r="Z130" s="27">
        <v>0</v>
      </c>
      <c r="AA130" s="25">
        <v>0</v>
      </c>
      <c r="AB130" s="25">
        <v>0</v>
      </c>
      <c r="AC130" s="27">
        <v>0</v>
      </c>
      <c r="AD130" s="25">
        <v>0</v>
      </c>
      <c r="AE130" s="25">
        <v>0</v>
      </c>
      <c r="AF130" s="27">
        <f t="shared" si="31"/>
        <v>14</v>
      </c>
      <c r="AG130" s="25">
        <f>9</f>
        <v>9</v>
      </c>
      <c r="AH130" s="25">
        <f>5</f>
        <v>5</v>
      </c>
      <c r="AI130" s="21"/>
      <c r="AJ130" s="21"/>
      <c r="AK130" s="21"/>
    </row>
    <row r="131" spans="1:37" ht="15" x14ac:dyDescent="0.15">
      <c r="A131" s="24" t="s">
        <v>107</v>
      </c>
      <c r="B131" s="25">
        <v>0</v>
      </c>
      <c r="C131" s="25">
        <v>0</v>
      </c>
      <c r="D131" s="26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7">
        <v>0</v>
      </c>
      <c r="O131" s="25">
        <v>0</v>
      </c>
      <c r="P131" s="25">
        <v>0</v>
      </c>
      <c r="Q131" s="27">
        <v>0</v>
      </c>
      <c r="R131" s="25">
        <v>0</v>
      </c>
      <c r="S131" s="25">
        <v>0</v>
      </c>
      <c r="T131" s="27">
        <v>0</v>
      </c>
      <c r="U131" s="25">
        <v>0</v>
      </c>
      <c r="V131" s="25">
        <v>0</v>
      </c>
      <c r="W131" s="27">
        <v>0</v>
      </c>
      <c r="X131" s="25">
        <v>0</v>
      </c>
      <c r="Y131" s="25">
        <v>0</v>
      </c>
      <c r="Z131" s="27">
        <v>0</v>
      </c>
      <c r="AA131" s="25">
        <v>0</v>
      </c>
      <c r="AB131" s="25">
        <v>0</v>
      </c>
      <c r="AC131" s="27">
        <v>0</v>
      </c>
      <c r="AD131" s="25">
        <v>0</v>
      </c>
      <c r="AE131" s="25">
        <v>0</v>
      </c>
      <c r="AF131" s="27">
        <f t="shared" si="31"/>
        <v>2</v>
      </c>
      <c r="AG131" s="25">
        <f>2</f>
        <v>2</v>
      </c>
      <c r="AH131" s="25">
        <f>0</f>
        <v>0</v>
      </c>
      <c r="AI131" s="21"/>
      <c r="AJ131" s="21"/>
      <c r="AK131" s="21"/>
    </row>
    <row r="132" spans="1:37" ht="15" x14ac:dyDescent="0.15">
      <c r="A132" s="24" t="s">
        <v>108</v>
      </c>
      <c r="B132" s="25">
        <v>0</v>
      </c>
      <c r="C132" s="25">
        <v>0</v>
      </c>
      <c r="D132" s="26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7">
        <v>0</v>
      </c>
      <c r="O132" s="25">
        <v>0</v>
      </c>
      <c r="P132" s="25">
        <v>0</v>
      </c>
      <c r="Q132" s="27">
        <v>0</v>
      </c>
      <c r="R132" s="25">
        <v>0</v>
      </c>
      <c r="S132" s="25">
        <v>0</v>
      </c>
      <c r="T132" s="27">
        <v>0</v>
      </c>
      <c r="U132" s="25">
        <v>0</v>
      </c>
      <c r="V132" s="25">
        <v>0</v>
      </c>
      <c r="W132" s="27">
        <v>0</v>
      </c>
      <c r="X132" s="25">
        <v>0</v>
      </c>
      <c r="Y132" s="25">
        <v>0</v>
      </c>
      <c r="Z132" s="27">
        <v>0</v>
      </c>
      <c r="AA132" s="25">
        <v>0</v>
      </c>
      <c r="AB132" s="25">
        <v>0</v>
      </c>
      <c r="AC132" s="27">
        <v>0</v>
      </c>
      <c r="AD132" s="25">
        <v>0</v>
      </c>
      <c r="AE132" s="25">
        <v>0</v>
      </c>
      <c r="AF132" s="27">
        <f t="shared" si="31"/>
        <v>4</v>
      </c>
      <c r="AG132" s="25">
        <f>4</f>
        <v>4</v>
      </c>
      <c r="AH132" s="25">
        <f>0</f>
        <v>0</v>
      </c>
      <c r="AI132" s="21"/>
      <c r="AJ132" s="21"/>
      <c r="AK132" s="21"/>
    </row>
    <row r="133" spans="1:37" ht="15" x14ac:dyDescent="0.15">
      <c r="A133" s="24" t="s">
        <v>109</v>
      </c>
      <c r="B133" s="25">
        <v>0</v>
      </c>
      <c r="C133" s="25">
        <v>0</v>
      </c>
      <c r="D133" s="26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5">
        <v>0</v>
      </c>
      <c r="M133" s="25">
        <v>0</v>
      </c>
      <c r="N133" s="27">
        <v>0</v>
      </c>
      <c r="O133" s="25">
        <v>0</v>
      </c>
      <c r="P133" s="25">
        <v>0</v>
      </c>
      <c r="Q133" s="27">
        <v>0</v>
      </c>
      <c r="R133" s="25">
        <v>0</v>
      </c>
      <c r="S133" s="25">
        <v>0</v>
      </c>
      <c r="T133" s="27">
        <v>0</v>
      </c>
      <c r="U133" s="25">
        <v>0</v>
      </c>
      <c r="V133" s="25">
        <v>0</v>
      </c>
      <c r="W133" s="27">
        <v>0</v>
      </c>
      <c r="X133" s="25">
        <v>0</v>
      </c>
      <c r="Y133" s="25">
        <v>0</v>
      </c>
      <c r="Z133" s="27">
        <v>0</v>
      </c>
      <c r="AA133" s="25">
        <v>0</v>
      </c>
      <c r="AB133" s="25">
        <v>0</v>
      </c>
      <c r="AC133" s="27">
        <v>0</v>
      </c>
      <c r="AD133" s="25">
        <v>0</v>
      </c>
      <c r="AE133" s="25">
        <v>0</v>
      </c>
      <c r="AF133" s="27">
        <f t="shared" si="31"/>
        <v>25</v>
      </c>
      <c r="AG133" s="25">
        <f>22</f>
        <v>22</v>
      </c>
      <c r="AH133" s="25">
        <f>3</f>
        <v>3</v>
      </c>
      <c r="AI133" s="21"/>
      <c r="AJ133" s="21"/>
      <c r="AK133" s="21"/>
    </row>
    <row r="134" spans="1:37" ht="15" x14ac:dyDescent="0.15">
      <c r="A134" s="24" t="s">
        <v>110</v>
      </c>
      <c r="B134" s="25">
        <v>0</v>
      </c>
      <c r="C134" s="25">
        <v>0</v>
      </c>
      <c r="D134" s="26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5">
        <v>0</v>
      </c>
      <c r="M134" s="25">
        <v>0</v>
      </c>
      <c r="N134" s="27">
        <v>0</v>
      </c>
      <c r="O134" s="25">
        <v>0</v>
      </c>
      <c r="P134" s="25">
        <v>0</v>
      </c>
      <c r="Q134" s="27">
        <v>0</v>
      </c>
      <c r="R134" s="25">
        <v>0</v>
      </c>
      <c r="S134" s="25">
        <v>0</v>
      </c>
      <c r="T134" s="27">
        <v>0</v>
      </c>
      <c r="U134" s="25">
        <v>0</v>
      </c>
      <c r="V134" s="25">
        <v>0</v>
      </c>
      <c r="W134" s="27">
        <v>0</v>
      </c>
      <c r="X134" s="25">
        <v>0</v>
      </c>
      <c r="Y134" s="25">
        <v>0</v>
      </c>
      <c r="Z134" s="27">
        <v>0</v>
      </c>
      <c r="AA134" s="25">
        <v>0</v>
      </c>
      <c r="AB134" s="25">
        <v>0</v>
      </c>
      <c r="AC134" s="27">
        <v>0</v>
      </c>
      <c r="AD134" s="25">
        <v>0</v>
      </c>
      <c r="AE134" s="25">
        <v>0</v>
      </c>
      <c r="AF134" s="27">
        <f t="shared" si="31"/>
        <v>49</v>
      </c>
      <c r="AG134" s="25">
        <f>31+18</f>
        <v>49</v>
      </c>
      <c r="AH134" s="25">
        <f>0</f>
        <v>0</v>
      </c>
      <c r="AI134" s="21"/>
      <c r="AJ134" s="21"/>
      <c r="AK134" s="21"/>
    </row>
    <row r="135" spans="1:37" ht="15" x14ac:dyDescent="0.15">
      <c r="A135" s="24" t="s">
        <v>111</v>
      </c>
      <c r="B135" s="25">
        <v>0</v>
      </c>
      <c r="C135" s="25">
        <v>0</v>
      </c>
      <c r="D135" s="26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7">
        <v>0</v>
      </c>
      <c r="O135" s="25">
        <v>0</v>
      </c>
      <c r="P135" s="25">
        <v>0</v>
      </c>
      <c r="Q135" s="27">
        <v>0</v>
      </c>
      <c r="R135" s="25">
        <v>0</v>
      </c>
      <c r="S135" s="25">
        <v>0</v>
      </c>
      <c r="T135" s="27">
        <v>0</v>
      </c>
      <c r="U135" s="25">
        <v>0</v>
      </c>
      <c r="V135" s="25">
        <v>0</v>
      </c>
      <c r="W135" s="27">
        <v>0</v>
      </c>
      <c r="X135" s="25">
        <v>0</v>
      </c>
      <c r="Y135" s="25">
        <v>0</v>
      </c>
      <c r="Z135" s="27">
        <v>0</v>
      </c>
      <c r="AA135" s="25">
        <v>0</v>
      </c>
      <c r="AB135" s="25">
        <v>0</v>
      </c>
      <c r="AC135" s="27">
        <v>0</v>
      </c>
      <c r="AD135" s="25">
        <v>0</v>
      </c>
      <c r="AE135" s="25">
        <v>0</v>
      </c>
      <c r="AF135" s="27">
        <f t="shared" si="31"/>
        <v>8</v>
      </c>
      <c r="AG135" s="25">
        <f>8</f>
        <v>8</v>
      </c>
      <c r="AH135" s="25">
        <f>0</f>
        <v>0</v>
      </c>
      <c r="AI135" s="21"/>
      <c r="AJ135" s="21"/>
      <c r="AK135" s="21"/>
    </row>
    <row r="136" spans="1:37" ht="15" x14ac:dyDescent="0.15">
      <c r="A136" s="24" t="s">
        <v>112</v>
      </c>
      <c r="B136" s="25">
        <v>0</v>
      </c>
      <c r="C136" s="25">
        <v>0</v>
      </c>
      <c r="D136" s="26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7">
        <v>0</v>
      </c>
      <c r="O136" s="25">
        <v>0</v>
      </c>
      <c r="P136" s="25">
        <v>0</v>
      </c>
      <c r="Q136" s="27">
        <v>0</v>
      </c>
      <c r="R136" s="25">
        <v>0</v>
      </c>
      <c r="S136" s="25">
        <v>0</v>
      </c>
      <c r="T136" s="27">
        <v>0</v>
      </c>
      <c r="U136" s="25">
        <v>0</v>
      </c>
      <c r="V136" s="25">
        <v>0</v>
      </c>
      <c r="W136" s="27">
        <v>0</v>
      </c>
      <c r="X136" s="25">
        <v>0</v>
      </c>
      <c r="Y136" s="25">
        <v>0</v>
      </c>
      <c r="Z136" s="27">
        <v>0</v>
      </c>
      <c r="AA136" s="25">
        <v>0</v>
      </c>
      <c r="AB136" s="25">
        <v>0</v>
      </c>
      <c r="AC136" s="27">
        <v>0</v>
      </c>
      <c r="AD136" s="25">
        <v>0</v>
      </c>
      <c r="AE136" s="25">
        <v>0</v>
      </c>
      <c r="AF136" s="27">
        <f t="shared" si="31"/>
        <v>5</v>
      </c>
      <c r="AG136" s="25">
        <f>5</f>
        <v>5</v>
      </c>
      <c r="AH136" s="25">
        <f>0</f>
        <v>0</v>
      </c>
      <c r="AI136" s="21"/>
      <c r="AJ136" s="21"/>
      <c r="AK136" s="21"/>
    </row>
    <row r="137" spans="1:37" ht="15" x14ac:dyDescent="0.15">
      <c r="A137" s="24" t="s">
        <v>113</v>
      </c>
      <c r="B137" s="25">
        <v>0</v>
      </c>
      <c r="C137" s="25">
        <v>0</v>
      </c>
      <c r="D137" s="26">
        <v>0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7">
        <v>0</v>
      </c>
      <c r="O137" s="25">
        <v>0</v>
      </c>
      <c r="P137" s="25">
        <v>0</v>
      </c>
      <c r="Q137" s="27">
        <v>0</v>
      </c>
      <c r="R137" s="25">
        <v>0</v>
      </c>
      <c r="S137" s="25">
        <v>0</v>
      </c>
      <c r="T137" s="27">
        <v>0</v>
      </c>
      <c r="U137" s="25">
        <v>0</v>
      </c>
      <c r="V137" s="25">
        <v>0</v>
      </c>
      <c r="W137" s="27">
        <v>0</v>
      </c>
      <c r="X137" s="25">
        <v>0</v>
      </c>
      <c r="Y137" s="25">
        <v>0</v>
      </c>
      <c r="Z137" s="27">
        <v>0</v>
      </c>
      <c r="AA137" s="25">
        <v>0</v>
      </c>
      <c r="AB137" s="25">
        <v>0</v>
      </c>
      <c r="AC137" s="27">
        <v>0</v>
      </c>
      <c r="AD137" s="25">
        <v>0</v>
      </c>
      <c r="AE137" s="25">
        <v>0</v>
      </c>
      <c r="AF137" s="27">
        <f t="shared" si="31"/>
        <v>24</v>
      </c>
      <c r="AG137" s="25">
        <f>10+14</f>
        <v>24</v>
      </c>
      <c r="AH137" s="25">
        <f>0</f>
        <v>0</v>
      </c>
      <c r="AI137" s="21"/>
      <c r="AJ137" s="21"/>
      <c r="AK137" s="21"/>
    </row>
    <row r="138" spans="1:37" ht="15" x14ac:dyDescent="0.15">
      <c r="A138" s="24" t="s">
        <v>114</v>
      </c>
      <c r="B138" s="25">
        <v>0</v>
      </c>
      <c r="C138" s="25">
        <v>0</v>
      </c>
      <c r="D138" s="26">
        <v>0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7">
        <v>0</v>
      </c>
      <c r="O138" s="25">
        <v>0</v>
      </c>
      <c r="P138" s="25">
        <v>0</v>
      </c>
      <c r="Q138" s="27">
        <v>0</v>
      </c>
      <c r="R138" s="25">
        <v>0</v>
      </c>
      <c r="S138" s="25">
        <v>0</v>
      </c>
      <c r="T138" s="27">
        <v>0</v>
      </c>
      <c r="U138" s="25">
        <v>0</v>
      </c>
      <c r="V138" s="25">
        <v>0</v>
      </c>
      <c r="W138" s="27">
        <v>0</v>
      </c>
      <c r="X138" s="25">
        <v>0</v>
      </c>
      <c r="Y138" s="25">
        <v>0</v>
      </c>
      <c r="Z138" s="27">
        <v>0</v>
      </c>
      <c r="AA138" s="25">
        <v>0</v>
      </c>
      <c r="AB138" s="25">
        <v>0</v>
      </c>
      <c r="AC138" s="27">
        <v>0</v>
      </c>
      <c r="AD138" s="25">
        <v>0</v>
      </c>
      <c r="AE138" s="25">
        <v>0</v>
      </c>
      <c r="AF138" s="27">
        <f t="shared" si="31"/>
        <v>6</v>
      </c>
      <c r="AG138" s="25">
        <f>6</f>
        <v>6</v>
      </c>
      <c r="AH138" s="25">
        <f>0</f>
        <v>0</v>
      </c>
      <c r="AI138" s="21"/>
      <c r="AJ138" s="21"/>
      <c r="AK138" s="21"/>
    </row>
    <row r="139" spans="1:37" ht="15" x14ac:dyDescent="0.15">
      <c r="A139" s="24" t="s">
        <v>115</v>
      </c>
      <c r="B139" s="25">
        <v>0</v>
      </c>
      <c r="C139" s="25">
        <v>0</v>
      </c>
      <c r="D139" s="26">
        <v>0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  <c r="M139" s="25">
        <v>0</v>
      </c>
      <c r="N139" s="27">
        <v>0</v>
      </c>
      <c r="O139" s="25">
        <v>0</v>
      </c>
      <c r="P139" s="25">
        <v>0</v>
      </c>
      <c r="Q139" s="27">
        <v>0</v>
      </c>
      <c r="R139" s="25">
        <v>0</v>
      </c>
      <c r="S139" s="25">
        <v>0</v>
      </c>
      <c r="T139" s="27">
        <v>0</v>
      </c>
      <c r="U139" s="25">
        <v>0</v>
      </c>
      <c r="V139" s="25">
        <v>0</v>
      </c>
      <c r="W139" s="27">
        <v>0</v>
      </c>
      <c r="X139" s="25">
        <v>0</v>
      </c>
      <c r="Y139" s="25">
        <v>0</v>
      </c>
      <c r="Z139" s="27">
        <v>0</v>
      </c>
      <c r="AA139" s="25">
        <v>0</v>
      </c>
      <c r="AB139" s="25">
        <v>0</v>
      </c>
      <c r="AC139" s="27">
        <v>0</v>
      </c>
      <c r="AD139" s="25">
        <v>0</v>
      </c>
      <c r="AE139" s="25">
        <v>0</v>
      </c>
      <c r="AF139" s="27">
        <f t="shared" si="31"/>
        <v>12</v>
      </c>
      <c r="AG139" s="25">
        <f>12</f>
        <v>12</v>
      </c>
      <c r="AH139" s="25">
        <f>0</f>
        <v>0</v>
      </c>
      <c r="AI139" s="21"/>
      <c r="AJ139" s="21"/>
      <c r="AK139" s="21"/>
    </row>
    <row r="140" spans="1:37" ht="15" x14ac:dyDescent="0.15">
      <c r="A140" s="24" t="s">
        <v>116</v>
      </c>
      <c r="B140" s="25">
        <v>0</v>
      </c>
      <c r="C140" s="25">
        <v>0</v>
      </c>
      <c r="D140" s="26">
        <v>0</v>
      </c>
      <c r="E140" s="25">
        <v>0</v>
      </c>
      <c r="F140" s="25">
        <v>0</v>
      </c>
      <c r="G140" s="25">
        <v>0</v>
      </c>
      <c r="H140" s="25">
        <v>0</v>
      </c>
      <c r="I140" s="25">
        <v>0</v>
      </c>
      <c r="J140" s="25">
        <v>0</v>
      </c>
      <c r="K140" s="25">
        <v>0</v>
      </c>
      <c r="L140" s="25">
        <v>0</v>
      </c>
      <c r="M140" s="25">
        <v>0</v>
      </c>
      <c r="N140" s="27">
        <v>0</v>
      </c>
      <c r="O140" s="25">
        <v>0</v>
      </c>
      <c r="P140" s="25">
        <v>0</v>
      </c>
      <c r="Q140" s="27">
        <v>0</v>
      </c>
      <c r="R140" s="25">
        <v>0</v>
      </c>
      <c r="S140" s="25">
        <v>0</v>
      </c>
      <c r="T140" s="27">
        <v>0</v>
      </c>
      <c r="U140" s="25">
        <v>0</v>
      </c>
      <c r="V140" s="25">
        <v>0</v>
      </c>
      <c r="W140" s="27">
        <v>0</v>
      </c>
      <c r="X140" s="25">
        <v>0</v>
      </c>
      <c r="Y140" s="25">
        <v>0</v>
      </c>
      <c r="Z140" s="27">
        <v>0</v>
      </c>
      <c r="AA140" s="25">
        <v>0</v>
      </c>
      <c r="AB140" s="25">
        <v>0</v>
      </c>
      <c r="AC140" s="27">
        <v>0</v>
      </c>
      <c r="AD140" s="25">
        <v>0</v>
      </c>
      <c r="AE140" s="25">
        <v>0</v>
      </c>
      <c r="AF140" s="27">
        <f t="shared" si="31"/>
        <v>21</v>
      </c>
      <c r="AG140" s="25">
        <f>1</f>
        <v>1</v>
      </c>
      <c r="AH140" s="25">
        <f>20</f>
        <v>20</v>
      </c>
      <c r="AI140" s="21"/>
      <c r="AJ140" s="21"/>
      <c r="AK140" s="21"/>
    </row>
    <row r="141" spans="1:37" ht="15" x14ac:dyDescent="0.15">
      <c r="A141" s="18" t="s">
        <v>9</v>
      </c>
      <c r="B141" s="19">
        <v>0</v>
      </c>
      <c r="C141" s="19">
        <v>0</v>
      </c>
      <c r="D141" s="20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7">
        <v>0</v>
      </c>
      <c r="O141" s="19">
        <v>0</v>
      </c>
      <c r="P141" s="19">
        <v>0</v>
      </c>
      <c r="Q141" s="17">
        <v>0</v>
      </c>
      <c r="R141" s="19">
        <v>0</v>
      </c>
      <c r="S141" s="19">
        <v>0</v>
      </c>
      <c r="T141" s="17">
        <v>0</v>
      </c>
      <c r="U141" s="19">
        <v>0</v>
      </c>
      <c r="V141" s="19">
        <v>0</v>
      </c>
      <c r="W141" s="17">
        <v>0</v>
      </c>
      <c r="X141" s="19">
        <v>0</v>
      </c>
      <c r="Y141" s="19">
        <v>0</v>
      </c>
      <c r="Z141" s="17">
        <v>0</v>
      </c>
      <c r="AA141" s="19">
        <v>0</v>
      </c>
      <c r="AB141" s="19">
        <v>0</v>
      </c>
      <c r="AC141" s="17">
        <f>AC142+AC143+AC144</f>
        <v>54</v>
      </c>
      <c r="AD141" s="19">
        <f>AD142+AD143+AD144</f>
        <v>41</v>
      </c>
      <c r="AE141" s="19">
        <f>AE142</f>
        <v>13</v>
      </c>
      <c r="AF141" s="17">
        <f>AF142+AF143+AF144+AF145+AF146+AF147</f>
        <v>89</v>
      </c>
      <c r="AG141" s="19">
        <f>AG142+AG143+AG144+AG145+AG146+AG147</f>
        <v>77</v>
      </c>
      <c r="AH141" s="19">
        <f>AH142+AH143+AH144+AH145+AH146+AH147</f>
        <v>12</v>
      </c>
      <c r="AI141" s="21"/>
      <c r="AJ141" s="21"/>
      <c r="AK141" s="21"/>
    </row>
    <row r="142" spans="1:37" ht="15" x14ac:dyDescent="0.15">
      <c r="A142" s="24" t="s">
        <v>117</v>
      </c>
      <c r="B142" s="25">
        <v>0</v>
      </c>
      <c r="C142" s="25">
        <v>0</v>
      </c>
      <c r="D142" s="26">
        <v>0</v>
      </c>
      <c r="E142" s="25">
        <v>0</v>
      </c>
      <c r="F142" s="25">
        <v>0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7">
        <v>0</v>
      </c>
      <c r="O142" s="25">
        <v>0</v>
      </c>
      <c r="P142" s="25">
        <v>0</v>
      </c>
      <c r="Q142" s="27">
        <v>0</v>
      </c>
      <c r="R142" s="25">
        <v>0</v>
      </c>
      <c r="S142" s="25">
        <v>0</v>
      </c>
      <c r="T142" s="27">
        <v>0</v>
      </c>
      <c r="U142" s="25">
        <v>0</v>
      </c>
      <c r="V142" s="25">
        <v>0</v>
      </c>
      <c r="W142" s="27">
        <v>0</v>
      </c>
      <c r="X142" s="25">
        <v>0</v>
      </c>
      <c r="Y142" s="25">
        <v>0</v>
      </c>
      <c r="Z142" s="27">
        <v>0</v>
      </c>
      <c r="AA142" s="25">
        <v>0</v>
      </c>
      <c r="AB142" s="25">
        <v>0</v>
      </c>
      <c r="AC142" s="27">
        <f>AD142+AE142</f>
        <v>23</v>
      </c>
      <c r="AD142" s="25">
        <v>10</v>
      </c>
      <c r="AE142" s="25">
        <v>13</v>
      </c>
      <c r="AF142" s="27">
        <f t="shared" ref="AF142:AF149" si="32">AG142+AH142</f>
        <v>0</v>
      </c>
      <c r="AG142" s="25">
        <v>0</v>
      </c>
      <c r="AH142" s="25">
        <v>0</v>
      </c>
      <c r="AI142" s="21"/>
      <c r="AJ142" s="21"/>
      <c r="AK142" s="21"/>
    </row>
    <row r="143" spans="1:37" ht="15" x14ac:dyDescent="0.15">
      <c r="A143" s="24" t="s">
        <v>64</v>
      </c>
      <c r="B143" s="25">
        <v>0</v>
      </c>
      <c r="C143" s="25">
        <v>0</v>
      </c>
      <c r="D143" s="26">
        <v>0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7">
        <v>0</v>
      </c>
      <c r="O143" s="25">
        <v>0</v>
      </c>
      <c r="P143" s="25">
        <v>0</v>
      </c>
      <c r="Q143" s="27">
        <v>0</v>
      </c>
      <c r="R143" s="25">
        <v>0</v>
      </c>
      <c r="S143" s="25">
        <v>0</v>
      </c>
      <c r="T143" s="27">
        <v>0</v>
      </c>
      <c r="U143" s="25">
        <v>0</v>
      </c>
      <c r="V143" s="25">
        <v>0</v>
      </c>
      <c r="W143" s="27">
        <v>0</v>
      </c>
      <c r="X143" s="25">
        <v>0</v>
      </c>
      <c r="Y143" s="25">
        <v>0</v>
      </c>
      <c r="Z143" s="27">
        <v>0</v>
      </c>
      <c r="AA143" s="25">
        <v>0</v>
      </c>
      <c r="AB143" s="25">
        <v>0</v>
      </c>
      <c r="AC143" s="27">
        <f>AD143+AE143</f>
        <v>16</v>
      </c>
      <c r="AD143" s="25">
        <v>16</v>
      </c>
      <c r="AE143" s="25">
        <v>0</v>
      </c>
      <c r="AF143" s="27">
        <f t="shared" si="32"/>
        <v>12</v>
      </c>
      <c r="AG143" s="25">
        <f>12</f>
        <v>12</v>
      </c>
      <c r="AH143" s="25">
        <v>0</v>
      </c>
      <c r="AI143" s="21"/>
      <c r="AJ143" s="21"/>
      <c r="AK143" s="21"/>
    </row>
    <row r="144" spans="1:37" ht="15" x14ac:dyDescent="0.15">
      <c r="A144" s="24" t="s">
        <v>118</v>
      </c>
      <c r="B144" s="25">
        <v>0</v>
      </c>
      <c r="C144" s="25">
        <v>0</v>
      </c>
      <c r="D144" s="26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7">
        <v>0</v>
      </c>
      <c r="O144" s="25">
        <v>0</v>
      </c>
      <c r="P144" s="25">
        <v>0</v>
      </c>
      <c r="Q144" s="27">
        <v>0</v>
      </c>
      <c r="R144" s="25">
        <v>0</v>
      </c>
      <c r="S144" s="25">
        <v>0</v>
      </c>
      <c r="T144" s="27">
        <v>0</v>
      </c>
      <c r="U144" s="25">
        <v>0</v>
      </c>
      <c r="V144" s="25">
        <v>0</v>
      </c>
      <c r="W144" s="27">
        <v>0</v>
      </c>
      <c r="X144" s="25">
        <v>0</v>
      </c>
      <c r="Y144" s="25">
        <v>0</v>
      </c>
      <c r="Z144" s="27">
        <v>0</v>
      </c>
      <c r="AA144" s="25">
        <v>0</v>
      </c>
      <c r="AB144" s="25">
        <v>0</v>
      </c>
      <c r="AC144" s="27">
        <f>AD144+AE144</f>
        <v>15</v>
      </c>
      <c r="AD144" s="25">
        <v>15</v>
      </c>
      <c r="AE144" s="25">
        <v>0</v>
      </c>
      <c r="AF144" s="27">
        <f t="shared" si="32"/>
        <v>17</v>
      </c>
      <c r="AG144" s="25">
        <f>17</f>
        <v>17</v>
      </c>
      <c r="AH144" s="25">
        <v>0</v>
      </c>
      <c r="AI144" s="21"/>
      <c r="AJ144" s="21"/>
      <c r="AK144" s="21"/>
    </row>
    <row r="145" spans="1:37" ht="15" x14ac:dyDescent="0.15">
      <c r="A145" s="24" t="s">
        <v>119</v>
      </c>
      <c r="B145" s="25">
        <v>0</v>
      </c>
      <c r="C145" s="25">
        <v>0</v>
      </c>
      <c r="D145" s="26">
        <v>0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7">
        <v>0</v>
      </c>
      <c r="O145" s="25">
        <v>0</v>
      </c>
      <c r="P145" s="25">
        <v>0</v>
      </c>
      <c r="Q145" s="27">
        <v>0</v>
      </c>
      <c r="R145" s="25">
        <v>0</v>
      </c>
      <c r="S145" s="25">
        <v>0</v>
      </c>
      <c r="T145" s="27">
        <v>0</v>
      </c>
      <c r="U145" s="25">
        <v>0</v>
      </c>
      <c r="V145" s="25">
        <v>0</v>
      </c>
      <c r="W145" s="27">
        <v>0</v>
      </c>
      <c r="X145" s="25">
        <v>0</v>
      </c>
      <c r="Y145" s="25">
        <v>0</v>
      </c>
      <c r="Z145" s="27">
        <v>0</v>
      </c>
      <c r="AA145" s="25">
        <v>0</v>
      </c>
      <c r="AB145" s="25">
        <v>0</v>
      </c>
      <c r="AC145" s="27">
        <v>0</v>
      </c>
      <c r="AD145" s="25">
        <v>0</v>
      </c>
      <c r="AE145" s="25">
        <v>0</v>
      </c>
      <c r="AF145" s="27">
        <f t="shared" si="32"/>
        <v>19</v>
      </c>
      <c r="AG145" s="25">
        <f>19</f>
        <v>19</v>
      </c>
      <c r="AH145" s="25">
        <v>0</v>
      </c>
      <c r="AI145" s="21"/>
      <c r="AJ145" s="21"/>
      <c r="AK145" s="21"/>
    </row>
    <row r="146" spans="1:37" ht="15" x14ac:dyDescent="0.15">
      <c r="A146" s="24" t="s">
        <v>120</v>
      </c>
      <c r="B146" s="25">
        <v>0</v>
      </c>
      <c r="C146" s="25">
        <v>0</v>
      </c>
      <c r="D146" s="26">
        <v>0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7">
        <v>0</v>
      </c>
      <c r="O146" s="25">
        <v>0</v>
      </c>
      <c r="P146" s="25">
        <v>0</v>
      </c>
      <c r="Q146" s="27">
        <v>0</v>
      </c>
      <c r="R146" s="25">
        <v>0</v>
      </c>
      <c r="S146" s="25">
        <v>0</v>
      </c>
      <c r="T146" s="27">
        <v>0</v>
      </c>
      <c r="U146" s="25">
        <v>0</v>
      </c>
      <c r="V146" s="25">
        <v>0</v>
      </c>
      <c r="W146" s="27">
        <v>0</v>
      </c>
      <c r="X146" s="25">
        <v>0</v>
      </c>
      <c r="Y146" s="25">
        <v>0</v>
      </c>
      <c r="Z146" s="27">
        <v>0</v>
      </c>
      <c r="AA146" s="25">
        <v>0</v>
      </c>
      <c r="AB146" s="25">
        <v>0</v>
      </c>
      <c r="AC146" s="27">
        <v>0</v>
      </c>
      <c r="AD146" s="25">
        <v>0</v>
      </c>
      <c r="AE146" s="25">
        <v>0</v>
      </c>
      <c r="AF146" s="27">
        <f t="shared" si="32"/>
        <v>12</v>
      </c>
      <c r="AG146" s="25">
        <f>9</f>
        <v>9</v>
      </c>
      <c r="AH146" s="25">
        <f>3</f>
        <v>3</v>
      </c>
      <c r="AI146" s="21"/>
      <c r="AJ146" s="21"/>
      <c r="AK146" s="21"/>
    </row>
    <row r="147" spans="1:37" ht="15" x14ac:dyDescent="0.15">
      <c r="A147" s="24" t="s">
        <v>121</v>
      </c>
      <c r="B147" s="25">
        <v>0</v>
      </c>
      <c r="C147" s="25">
        <v>0</v>
      </c>
      <c r="D147" s="26">
        <v>0</v>
      </c>
      <c r="E147" s="25">
        <v>0</v>
      </c>
      <c r="F147" s="25">
        <v>0</v>
      </c>
      <c r="G147" s="25">
        <v>0</v>
      </c>
      <c r="H147" s="25">
        <v>0</v>
      </c>
      <c r="I147" s="25">
        <v>0</v>
      </c>
      <c r="J147" s="25">
        <v>0</v>
      </c>
      <c r="K147" s="25">
        <v>0</v>
      </c>
      <c r="L147" s="25">
        <v>0</v>
      </c>
      <c r="M147" s="25">
        <v>0</v>
      </c>
      <c r="N147" s="27">
        <v>0</v>
      </c>
      <c r="O147" s="25">
        <v>0</v>
      </c>
      <c r="P147" s="25">
        <v>0</v>
      </c>
      <c r="Q147" s="27">
        <v>0</v>
      </c>
      <c r="R147" s="25">
        <v>0</v>
      </c>
      <c r="S147" s="25">
        <v>0</v>
      </c>
      <c r="T147" s="27">
        <v>0</v>
      </c>
      <c r="U147" s="25">
        <v>0</v>
      </c>
      <c r="V147" s="25">
        <v>0</v>
      </c>
      <c r="W147" s="27">
        <v>0</v>
      </c>
      <c r="X147" s="25">
        <v>0</v>
      </c>
      <c r="Y147" s="25">
        <v>0</v>
      </c>
      <c r="Z147" s="27">
        <v>0</v>
      </c>
      <c r="AA147" s="25">
        <v>0</v>
      </c>
      <c r="AB147" s="25">
        <v>0</v>
      </c>
      <c r="AC147" s="27">
        <v>0</v>
      </c>
      <c r="AD147" s="25">
        <v>0</v>
      </c>
      <c r="AE147" s="25">
        <v>0</v>
      </c>
      <c r="AF147" s="27">
        <f t="shared" si="32"/>
        <v>29</v>
      </c>
      <c r="AG147" s="25">
        <f>20</f>
        <v>20</v>
      </c>
      <c r="AH147" s="25">
        <f>9</f>
        <v>9</v>
      </c>
      <c r="AI147" s="21"/>
      <c r="AJ147" s="21"/>
      <c r="AK147" s="21"/>
    </row>
    <row r="148" spans="1:37" s="47" customFormat="1" ht="15" x14ac:dyDescent="0.25">
      <c r="A148" s="18" t="s">
        <v>122</v>
      </c>
      <c r="B148" s="18">
        <v>0</v>
      </c>
      <c r="C148" s="18">
        <v>0</v>
      </c>
      <c r="D148" s="43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44">
        <v>0</v>
      </c>
      <c r="O148" s="18">
        <v>0</v>
      </c>
      <c r="P148" s="18">
        <v>0</v>
      </c>
      <c r="Q148" s="45">
        <f>R148</f>
        <v>23</v>
      </c>
      <c r="R148" s="19">
        <f>R149</f>
        <v>23</v>
      </c>
      <c r="S148" s="18">
        <v>0</v>
      </c>
      <c r="T148" s="17">
        <f t="shared" si="21"/>
        <v>0</v>
      </c>
      <c r="U148" s="19">
        <v>0</v>
      </c>
      <c r="V148" s="19">
        <v>0</v>
      </c>
      <c r="W148" s="17">
        <f t="shared" si="29"/>
        <v>0</v>
      </c>
      <c r="X148" s="19">
        <v>0</v>
      </c>
      <c r="Y148" s="19">
        <v>0</v>
      </c>
      <c r="Z148" s="17">
        <f t="shared" si="19"/>
        <v>0</v>
      </c>
      <c r="AA148" s="19">
        <v>0</v>
      </c>
      <c r="AB148" s="19">
        <v>0</v>
      </c>
      <c r="AC148" s="17">
        <f t="shared" si="20"/>
        <v>0</v>
      </c>
      <c r="AD148" s="19">
        <v>0</v>
      </c>
      <c r="AE148" s="19">
        <v>0</v>
      </c>
      <c r="AF148" s="17">
        <f t="shared" si="32"/>
        <v>0</v>
      </c>
      <c r="AG148" s="19">
        <v>0</v>
      </c>
      <c r="AH148" s="19">
        <v>0</v>
      </c>
      <c r="AI148" s="46"/>
      <c r="AJ148" s="46"/>
      <c r="AK148" s="46"/>
    </row>
    <row r="149" spans="1:37" ht="15" x14ac:dyDescent="0.15">
      <c r="A149" s="48" t="s">
        <v>123</v>
      </c>
      <c r="B149" s="49">
        <v>0</v>
      </c>
      <c r="C149" s="49">
        <v>0</v>
      </c>
      <c r="D149" s="50">
        <v>0</v>
      </c>
      <c r="E149" s="49">
        <v>0</v>
      </c>
      <c r="F149" s="49">
        <v>0</v>
      </c>
      <c r="G149" s="49">
        <v>0</v>
      </c>
      <c r="H149" s="49">
        <v>0</v>
      </c>
      <c r="I149" s="49">
        <v>0</v>
      </c>
      <c r="J149" s="49">
        <v>0</v>
      </c>
      <c r="K149" s="49">
        <v>0</v>
      </c>
      <c r="L149" s="49">
        <v>0</v>
      </c>
      <c r="M149" s="49">
        <v>0</v>
      </c>
      <c r="N149" s="51">
        <v>0</v>
      </c>
      <c r="O149" s="49">
        <v>0</v>
      </c>
      <c r="P149" s="49">
        <v>0</v>
      </c>
      <c r="Q149" s="51">
        <v>23</v>
      </c>
      <c r="R149" s="49">
        <v>23</v>
      </c>
      <c r="S149" s="49">
        <v>0</v>
      </c>
      <c r="T149" s="51">
        <f t="shared" si="21"/>
        <v>0</v>
      </c>
      <c r="U149" s="49">
        <v>0</v>
      </c>
      <c r="V149" s="49">
        <v>0</v>
      </c>
      <c r="W149" s="51">
        <f t="shared" si="29"/>
        <v>0</v>
      </c>
      <c r="X149" s="49">
        <v>0</v>
      </c>
      <c r="Y149" s="49">
        <v>0</v>
      </c>
      <c r="Z149" s="51">
        <f t="shared" si="19"/>
        <v>0</v>
      </c>
      <c r="AA149" s="49">
        <v>0</v>
      </c>
      <c r="AB149" s="49">
        <v>0</v>
      </c>
      <c r="AC149" s="51">
        <f t="shared" si="20"/>
        <v>0</v>
      </c>
      <c r="AD149" s="49">
        <v>0</v>
      </c>
      <c r="AE149" s="49">
        <v>0</v>
      </c>
      <c r="AF149" s="51">
        <f t="shared" si="32"/>
        <v>0</v>
      </c>
      <c r="AG149" s="49">
        <v>0</v>
      </c>
      <c r="AH149" s="49">
        <v>0</v>
      </c>
      <c r="AI149" s="21"/>
      <c r="AJ149" s="21"/>
      <c r="AK149" s="21"/>
    </row>
    <row r="150" spans="1:37" s="12" customFormat="1" ht="15" x14ac:dyDescent="0.15">
      <c r="A150" s="28" t="s">
        <v>124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4"/>
      <c r="AJ150" s="4"/>
      <c r="AK150" s="4"/>
    </row>
    <row r="151" spans="1:37" s="12" customFormat="1" ht="15" x14ac:dyDescent="0.2">
      <c r="A151" s="29" t="s">
        <v>125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4"/>
      <c r="AJ151" s="4"/>
      <c r="AK151" s="4"/>
    </row>
    <row r="152" spans="1:37" s="12" customFormat="1" ht="12.75" x14ac:dyDescent="0.2">
      <c r="A152" s="30" t="s">
        <v>12</v>
      </c>
      <c r="B152" s="4"/>
      <c r="C152" s="4"/>
      <c r="D152" s="4"/>
      <c r="E152" s="4"/>
      <c r="F152" s="4"/>
      <c r="G152" s="3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s="12" customForma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spans="1:37" ht="15" x14ac:dyDescent="0.15">
      <c r="A154" s="11"/>
      <c r="B154" s="11"/>
      <c r="C154" s="11"/>
      <c r="D154" s="32"/>
      <c r="E154" s="11"/>
      <c r="F154" s="11"/>
      <c r="G154" s="32"/>
      <c r="H154" s="11"/>
      <c r="I154" s="11"/>
      <c r="J154" s="32"/>
      <c r="K154" s="11"/>
      <c r="L154" s="11"/>
      <c r="M154" s="32"/>
      <c r="N154" s="11"/>
      <c r="O154" s="11"/>
      <c r="P154" s="32"/>
      <c r="Q154" s="11"/>
      <c r="R154" s="11"/>
      <c r="S154" s="32"/>
      <c r="T154" s="11"/>
      <c r="U154" s="11"/>
      <c r="V154" s="32"/>
      <c r="W154" s="11"/>
      <c r="X154" s="11"/>
      <c r="Y154" s="32"/>
      <c r="Z154" s="11"/>
      <c r="AA154" s="11"/>
      <c r="AB154" s="32"/>
      <c r="AC154" s="11"/>
      <c r="AD154" s="11"/>
      <c r="AE154" s="32"/>
      <c r="AF154" s="11"/>
      <c r="AG154" s="11"/>
      <c r="AH154" s="32"/>
      <c r="AI154" s="11"/>
      <c r="AJ154" s="11"/>
      <c r="AK154" s="11"/>
    </row>
    <row r="155" spans="1:37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spans="1:37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spans="1:37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</sheetData>
  <mergeCells count="15">
    <mergeCell ref="A2:AH2"/>
    <mergeCell ref="A3:AH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K14:BC14"/>
  </mergeCells>
  <pageMargins left="0.7" right="0.7" top="0.75" bottom="0.75" header="0.3" footer="0.3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7.25</vt:lpstr>
      <vt:lpstr>'7.25'!Print_Area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2023-03-08T06:26:52Z</cp:lastPrinted>
  <dcterms:created xsi:type="dcterms:W3CDTF">2019-02-28T08:20:57Z</dcterms:created>
  <dcterms:modified xsi:type="dcterms:W3CDTF">2023-03-08T06:27:00Z</dcterms:modified>
</cp:coreProperties>
</file>