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Fisheries &amp; Agriculture\"/>
    </mc:Choice>
  </mc:AlternateContent>
  <xr:revisionPtr revIDLastSave="0" documentId="13_ncr:1_{0825381A-5CEB-4CDE-889C-6D2D888CA3D4}" xr6:coauthVersionLast="47" xr6:coauthVersionMax="47" xr10:uidLastSave="{00000000-0000-0000-0000-000000000000}"/>
  <bookViews>
    <workbookView xWindow="-120" yWindow="-120" windowWidth="29040" windowHeight="15840" tabRatio="831" xr2:uid="{00000000-000D-0000-FFFF-FFFF00000000}"/>
  </bookViews>
  <sheets>
    <sheet name="9.4" sheetId="4" r:id="rId1"/>
  </sheets>
  <definedNames>
    <definedName name="_xlnm.Print_Area" localSheetId="0">'9.4'!$A$1:$V$45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0" i="4" l="1"/>
  <c r="U11" i="4"/>
  <c r="U12" i="4"/>
  <c r="U13" i="4"/>
  <c r="U14" i="4"/>
  <c r="U15" i="4"/>
  <c r="U16" i="4"/>
  <c r="U17" i="4"/>
  <c r="U18" i="4"/>
  <c r="U19" i="4"/>
  <c r="U20" i="4"/>
  <c r="U21" i="4"/>
  <c r="AP8" i="4"/>
  <c r="AP9" i="4"/>
  <c r="AP10" i="4"/>
  <c r="AP11" i="4"/>
  <c r="AP12" i="4"/>
  <c r="AP13" i="4"/>
  <c r="AP14" i="4"/>
  <c r="AP15" i="4"/>
  <c r="AP16" i="4"/>
  <c r="AP17" i="4"/>
  <c r="AP18" i="4"/>
  <c r="AQ7" i="4"/>
  <c r="AP7" i="4"/>
  <c r="L9" i="4" l="1"/>
  <c r="T9" i="4" l="1"/>
  <c r="T14" i="4"/>
  <c r="T17" i="4"/>
  <c r="T11" i="4"/>
  <c r="T19" i="4"/>
  <c r="T12" i="4"/>
  <c r="T20" i="4"/>
  <c r="T15" i="4"/>
  <c r="T18" i="4"/>
  <c r="T13" i="4"/>
  <c r="T16" i="4"/>
  <c r="T10" i="4"/>
  <c r="T21" i="4"/>
  <c r="AQ8" i="4" l="1"/>
  <c r="AQ9" i="4"/>
  <c r="AQ10" i="4"/>
  <c r="AQ16" i="4"/>
  <c r="AQ17" i="4"/>
  <c r="AQ18" i="4"/>
  <c r="AQ11" i="4"/>
  <c r="AQ12" i="4"/>
  <c r="AQ13" i="4"/>
  <c r="AQ14" i="4"/>
  <c r="AQ15" i="4"/>
  <c r="K9" i="4" l="1"/>
  <c r="S12" i="4" l="1"/>
  <c r="S16" i="4"/>
  <c r="S20" i="4"/>
  <c r="S13" i="4"/>
  <c r="S11" i="4"/>
  <c r="S15" i="4"/>
  <c r="S19" i="4"/>
  <c r="S10" i="4"/>
  <c r="S14" i="4"/>
  <c r="S18" i="4"/>
  <c r="S21" i="4"/>
  <c r="S17" i="4"/>
  <c r="U9" i="4"/>
  <c r="S9" i="4"/>
  <c r="J9" i="4" l="1"/>
  <c r="R11" i="4" l="1"/>
  <c r="R15" i="4"/>
  <c r="R19" i="4"/>
  <c r="R13" i="4"/>
  <c r="R17" i="4"/>
  <c r="R10" i="4"/>
  <c r="R14" i="4"/>
  <c r="R18" i="4"/>
  <c r="R21" i="4"/>
  <c r="R12" i="4"/>
  <c r="R16" i="4"/>
  <c r="R20" i="4"/>
  <c r="R9" i="4"/>
  <c r="I9" i="4" l="1"/>
  <c r="H9" i="4"/>
  <c r="P10" i="4" s="1"/>
  <c r="G9" i="4"/>
  <c r="F9" i="4"/>
  <c r="N19" i="4" s="1"/>
  <c r="E9" i="4"/>
  <c r="M19" i="4" s="1"/>
  <c r="D9" i="4"/>
  <c r="C9" i="4"/>
  <c r="B9" i="4"/>
  <c r="O19" i="4" l="1"/>
  <c r="O10" i="4"/>
  <c r="Q21" i="4"/>
  <c r="Q14" i="4"/>
  <c r="Q17" i="4"/>
  <c r="Q18" i="4"/>
  <c r="Q11" i="4"/>
  <c r="Q19" i="4"/>
  <c r="Q12" i="4"/>
  <c r="Q20" i="4"/>
  <c r="Q15" i="4"/>
  <c r="Q13" i="4"/>
  <c r="Q10" i="4"/>
  <c r="Q16" i="4"/>
  <c r="Q9" i="4"/>
  <c r="M10" i="4"/>
  <c r="M13" i="4"/>
  <c r="M11" i="4"/>
  <c r="M20" i="4"/>
  <c r="M14" i="4"/>
  <c r="N21" i="4"/>
  <c r="M12" i="4"/>
  <c r="M9" i="4"/>
  <c r="M21" i="4"/>
  <c r="M15" i="4"/>
  <c r="M16" i="4"/>
  <c r="M17" i="4"/>
  <c r="M18" i="4"/>
  <c r="N20" i="4"/>
  <c r="O21" i="4"/>
  <c r="N9" i="4"/>
  <c r="N10" i="4"/>
  <c r="N11" i="4"/>
  <c r="N12" i="4"/>
  <c r="N13" i="4"/>
  <c r="N14" i="4"/>
  <c r="N15" i="4"/>
  <c r="N16" i="4"/>
  <c r="N17" i="4"/>
  <c r="N18" i="4"/>
  <c r="O20" i="4"/>
  <c r="P21" i="4"/>
  <c r="O9" i="4"/>
  <c r="O11" i="4"/>
  <c r="O12" i="4"/>
  <c r="O13" i="4"/>
  <c r="O14" i="4"/>
  <c r="O15" i="4"/>
  <c r="O16" i="4"/>
  <c r="O17" i="4"/>
  <c r="O18" i="4"/>
  <c r="P20" i="4"/>
  <c r="P9" i="4"/>
  <c r="P11" i="4"/>
  <c r="P12" i="4"/>
  <c r="P13" i="4"/>
  <c r="P14" i="4"/>
  <c r="P15" i="4"/>
  <c r="P16" i="4"/>
  <c r="P17" i="4"/>
  <c r="P18" i="4"/>
  <c r="P19" i="4"/>
</calcChain>
</file>

<file path=xl/sharedStrings.xml><?xml version="1.0" encoding="utf-8"?>
<sst xmlns="http://schemas.openxmlformats.org/spreadsheetml/2006/main" count="43" uniqueCount="30">
  <si>
    <t>cniawtcaws ctogWviawfiheb</t>
  </si>
  <si>
    <t>Percentage share</t>
  </si>
  <si>
    <t>udwdwA ununEb cswm</t>
  </si>
  <si>
    <t>Fish catch</t>
  </si>
  <si>
    <t>Total</t>
  </si>
  <si>
    <t>(cnunwTckircTem)</t>
  </si>
  <si>
    <t>(In metric tons)</t>
  </si>
  <si>
    <t>Month</t>
  </si>
  <si>
    <t xml:space="preserve"> eruvcSwrwhwa wyidim</t>
  </si>
  <si>
    <t>(cnia % ) urwvcnim ivurutia</t>
  </si>
  <si>
    <t>Fish Catch</t>
  </si>
  <si>
    <t>Growth</t>
  </si>
  <si>
    <t>% change over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</si>
  <si>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</si>
  <si>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</si>
  <si>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</si>
  <si>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</si>
  <si>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</si>
  <si>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</si>
  <si>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</si>
  <si>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</si>
  <si>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</si>
  <si>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</si>
  <si>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</si>
  <si>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</si>
  <si>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މަޢުލޫމާތުދެއްވި ފަރާތް: މިނިސްޓްރީ އޮފް ފިޝަރީޒް، މެރިންރިސޯސަސް އެންޑް އެގްރިކަލްޗަރ</t>
  </si>
  <si>
    <t>Source:  Ministry of Fisheries, Marine Resources and Agriculture</t>
  </si>
  <si>
    <t>Table  9.4 :  FISH CATCH  BY MONTH, 2014 - 2021</t>
  </si>
  <si>
    <t>2021 - 2014 ,urwvcnim eguhwminEb wtwvun ifih iawguhwmcswmikea : 9.4 ulwvWt</t>
  </si>
  <si>
    <t xml:space="preserve"> previous year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</si>
</sst>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#,##0.0"/>
    <numFmt numFmtId="167" formatCode="0.0"/>
    <numFmt numFmtId="170" formatCode="[$-409]mmmm\ d\,\ yyyy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</font>
    <font>
      <sz val="9"/>
      <name val="Arial"/>
      <family val="2"/>
    </font>
    <font>
      <b/>
      <sz val="11"/>
      <name val="Calibri"/>
      <family val="2"/>
    </font>
    <font>
      <b/>
      <sz val="9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sz val="9"/>
      <name val="Faruma"/>
      <family val="3"/>
    </font>
    <font>
      <i/>
      <sz val="9"/>
      <name val="Calibri"/>
      <family val="2"/>
    </font>
    <font>
      <i/>
      <sz val="9"/>
      <name val="Arial"/>
      <family val="2"/>
    </font>
    <font>
      <sz val="9"/>
      <name val="Courier"/>
      <family val="3"/>
    </font>
    <font>
      <b/>
      <sz val="10"/>
      <name val="Arial"/>
      <family val="2"/>
    </font>
    <font>
      <b/>
      <sz val="9"/>
      <name val="A_Randhoo"/>
    </font>
    <font>
      <sz val="9"/>
      <name val="Calibri"/>
      <family val="2"/>
    </font>
    <font>
      <sz val="10"/>
      <name val="MS Sans Serif"/>
      <family val="2"/>
    </font>
    <font>
      <sz val="9"/>
      <name val="A_Randhoo"/>
    </font>
    <font>
      <b/>
      <sz val="12"/>
      <name val="A_Randhoo"/>
    </font>
    <font>
      <b/>
      <sz val="9"/>
      <name val="A_Faseyha"/>
    </font>
    <font>
      <b/>
      <sz val="11"/>
      <name val="A_Faseyha"/>
    </font>
    <font>
      <b/>
      <sz val="12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18" fillId="0" borderId="0" applyFont="0" applyFill="0" applyBorder="0" applyAlignment="0" applyProtection="0"/>
    <xf numFmtId="170" fontId="2" fillId="0" borderId="0"/>
    <xf numFmtId="170" fontId="2" fillId="0" borderId="0"/>
    <xf numFmtId="170" fontId="2" fillId="0" borderId="0"/>
    <xf numFmtId="0" fontId="9" fillId="0" borderId="0"/>
  </cellStyleXfs>
  <cellXfs count="72">
    <xf numFmtId="0" fontId="0" fillId="0" borderId="0" xfId="0"/>
    <xf numFmtId="164" fontId="4" fillId="2" borderId="0" xfId="2" applyFont="1" applyFill="1" applyAlignment="1">
      <alignment vertical="center"/>
    </xf>
    <xf numFmtId="164" fontId="8" fillId="2" borderId="0" xfId="2" applyFont="1" applyFill="1" applyAlignment="1">
      <alignment horizontal="left" vertical="center"/>
    </xf>
    <xf numFmtId="164" fontId="9" fillId="2" borderId="0" xfId="2" applyFont="1" applyFill="1" applyAlignment="1">
      <alignment vertical="center"/>
    </xf>
    <xf numFmtId="164" fontId="10" fillId="2" borderId="0" xfId="2" applyFont="1" applyFill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11" fillId="2" borderId="0" xfId="2" applyFont="1" applyFill="1" applyAlignment="1">
      <alignment horizontal="right" vertical="center"/>
    </xf>
    <xf numFmtId="164" fontId="13" fillId="2" borderId="0" xfId="2" applyFont="1" applyFill="1" applyAlignment="1">
      <alignment horizontal="left" vertical="center"/>
    </xf>
    <xf numFmtId="164" fontId="14" fillId="2" borderId="0" xfId="2" applyFont="1" applyFill="1" applyAlignment="1">
      <alignment vertical="center"/>
    </xf>
    <xf numFmtId="164" fontId="12" fillId="2" borderId="0" xfId="2" applyFont="1" applyFill="1" applyAlignment="1">
      <alignment horizontal="left" vertical="center"/>
    </xf>
    <xf numFmtId="164" fontId="15" fillId="2" borderId="0" xfId="2" applyFont="1" applyFill="1" applyAlignment="1">
      <alignment vertical="center"/>
    </xf>
    <xf numFmtId="164" fontId="6" fillId="2" borderId="0" xfId="2" applyFont="1" applyFill="1" applyAlignment="1">
      <alignment vertical="center"/>
    </xf>
    <xf numFmtId="165" fontId="8" fillId="2" borderId="0" xfId="2" applyNumberFormat="1" applyFont="1" applyFill="1" applyAlignment="1">
      <alignment horizontal="right" vertical="center"/>
    </xf>
    <xf numFmtId="165" fontId="8" fillId="2" borderId="1" xfId="2" applyNumberFormat="1" applyFont="1" applyFill="1" applyBorder="1" applyAlignment="1">
      <alignment horizontal="right" vertical="center"/>
    </xf>
    <xf numFmtId="164" fontId="7" fillId="2" borderId="0" xfId="2" applyFont="1" applyFill="1" applyAlignment="1">
      <alignment vertical="center"/>
    </xf>
    <xf numFmtId="164" fontId="6" fillId="2" borderId="0" xfId="2" applyFont="1" applyFill="1" applyAlignment="1">
      <alignment horizontal="right" vertical="center"/>
    </xf>
    <xf numFmtId="164" fontId="16" fillId="2" borderId="0" xfId="2" applyFont="1" applyFill="1" applyAlignment="1">
      <alignment horizontal="right" vertical="center"/>
    </xf>
    <xf numFmtId="164" fontId="9" fillId="2" borderId="0" xfId="2" applyFont="1" applyFill="1" applyAlignment="1">
      <alignment horizontal="right" vertical="center"/>
    </xf>
    <xf numFmtId="164" fontId="20" fillId="2" borderId="0" xfId="2" applyFont="1" applyFill="1" applyAlignment="1">
      <alignment horizontal="center" vertical="center"/>
    </xf>
    <xf numFmtId="164" fontId="20" fillId="2" borderId="0" xfId="2" applyFont="1" applyFill="1" applyAlignment="1">
      <alignment vertical="center"/>
    </xf>
    <xf numFmtId="164" fontId="10" fillId="2" borderId="0" xfId="2" applyFont="1" applyFill="1" applyAlignment="1">
      <alignment horizontal="center" vertical="center"/>
    </xf>
    <xf numFmtId="164" fontId="16" fillId="2" borderId="0" xfId="2" applyFont="1" applyFill="1" applyAlignment="1">
      <alignment horizontal="center" vertical="center"/>
    </xf>
    <xf numFmtId="165" fontId="4" fillId="2" borderId="0" xfId="2" applyNumberFormat="1" applyFont="1" applyFill="1" applyAlignment="1">
      <alignment horizontal="right" vertical="center"/>
    </xf>
    <xf numFmtId="165" fontId="7" fillId="2" borderId="0" xfId="2" applyNumberFormat="1" applyFont="1" applyFill="1" applyAlignment="1">
      <alignment horizontal="left" vertical="center"/>
    </xf>
    <xf numFmtId="165" fontId="17" fillId="2" borderId="0" xfId="2" applyNumberFormat="1" applyFont="1" applyFill="1" applyAlignment="1">
      <alignment horizontal="right" vertical="center"/>
    </xf>
    <xf numFmtId="164" fontId="9" fillId="2" borderId="0" xfId="2" applyFont="1" applyFill="1" applyAlignment="1">
      <alignment horizontal="right"/>
    </xf>
    <xf numFmtId="164" fontId="9" fillId="2" borderId="0" xfId="2" applyFont="1" applyFill="1"/>
    <xf numFmtId="164" fontId="4" fillId="2" borderId="0" xfId="2" applyFont="1" applyFill="1" applyAlignment="1">
      <alignment horizontal="right"/>
    </xf>
    <xf numFmtId="43" fontId="4" fillId="2" borderId="0" xfId="1" applyFont="1" applyFill="1" applyAlignment="1">
      <alignment horizontal="right"/>
    </xf>
    <xf numFmtId="3" fontId="4" fillId="2" borderId="0" xfId="2" applyNumberFormat="1" applyFont="1" applyFill="1" applyAlignment="1">
      <alignment horizontal="right"/>
    </xf>
    <xf numFmtId="1" fontId="7" fillId="2" borderId="5" xfId="2" applyNumberFormat="1" applyFont="1" applyFill="1" applyBorder="1" applyAlignment="1">
      <alignment horizontal="right" vertical="center"/>
    </xf>
    <xf numFmtId="1" fontId="7" fillId="2" borderId="1" xfId="2" applyNumberFormat="1" applyFont="1" applyFill="1" applyBorder="1" applyAlignment="1">
      <alignment horizontal="right" vertical="center"/>
    </xf>
    <xf numFmtId="3" fontId="10" fillId="2" borderId="2" xfId="2" applyNumberFormat="1" applyFont="1" applyFill="1" applyBorder="1" applyAlignment="1">
      <alignment horizontal="right" vertical="center"/>
    </xf>
    <xf numFmtId="165" fontId="10" fillId="2" borderId="2" xfId="2" applyNumberFormat="1" applyFont="1" applyFill="1" applyBorder="1" applyAlignment="1">
      <alignment horizontal="right" vertical="center"/>
    </xf>
    <xf numFmtId="165" fontId="10" fillId="2" borderId="6" xfId="2" applyNumberFormat="1" applyFont="1" applyFill="1" applyBorder="1" applyAlignment="1">
      <alignment horizontal="right" vertical="center"/>
    </xf>
    <xf numFmtId="165" fontId="6" fillId="2" borderId="0" xfId="2" applyNumberFormat="1" applyFont="1" applyFill="1" applyAlignment="1">
      <alignment horizontal="right" vertical="center"/>
    </xf>
    <xf numFmtId="167" fontId="17" fillId="2" borderId="0" xfId="2" applyNumberFormat="1" applyFont="1" applyFill="1" applyAlignment="1">
      <alignment horizontal="center" vertical="center"/>
    </xf>
    <xf numFmtId="3" fontId="8" fillId="2" borderId="0" xfId="2" applyNumberFormat="1" applyFont="1" applyFill="1" applyAlignment="1">
      <alignment horizontal="right" vertical="center"/>
    </xf>
    <xf numFmtId="165" fontId="8" fillId="2" borderId="7" xfId="2" applyNumberFormat="1" applyFont="1" applyFill="1" applyBorder="1" applyAlignment="1">
      <alignment horizontal="right" vertical="center"/>
    </xf>
    <xf numFmtId="3" fontId="8" fillId="2" borderId="1" xfId="2" applyNumberFormat="1" applyFont="1" applyFill="1" applyBorder="1" applyAlignment="1">
      <alignment horizontal="right" vertical="center"/>
    </xf>
    <xf numFmtId="165" fontId="8" fillId="2" borderId="8" xfId="2" applyNumberFormat="1" applyFont="1" applyFill="1" applyBorder="1" applyAlignment="1">
      <alignment horizontal="right" vertical="center"/>
    </xf>
    <xf numFmtId="165" fontId="8" fillId="2" borderId="1" xfId="2" applyNumberFormat="1" applyFont="1" applyFill="1" applyBorder="1" applyAlignment="1">
      <alignment horizontal="center" vertical="center"/>
    </xf>
    <xf numFmtId="164" fontId="19" fillId="2" borderId="0" xfId="2" applyFont="1" applyFill="1" applyAlignment="1">
      <alignment horizontal="right" vertical="center"/>
    </xf>
    <xf numFmtId="164" fontId="4" fillId="2" borderId="0" xfId="2" applyFont="1" applyFill="1"/>
    <xf numFmtId="167" fontId="4" fillId="2" borderId="0" xfId="2" applyNumberFormat="1" applyFont="1" applyFill="1" applyAlignment="1">
      <alignment horizontal="right"/>
    </xf>
    <xf numFmtId="167" fontId="9" fillId="2" borderId="0" xfId="2" applyNumberFormat="1" applyFont="1" applyFill="1" applyAlignment="1">
      <alignment horizontal="right"/>
    </xf>
    <xf numFmtId="1" fontId="7" fillId="2" borderId="8" xfId="2" applyNumberFormat="1" applyFont="1" applyFill="1" applyBorder="1" applyAlignment="1">
      <alignment horizontal="right" vertical="center"/>
    </xf>
    <xf numFmtId="164" fontId="21" fillId="2" borderId="6" xfId="2" applyFont="1" applyFill="1" applyBorder="1" applyAlignment="1">
      <alignment vertical="center"/>
    </xf>
    <xf numFmtId="164" fontId="21" fillId="2" borderId="2" xfId="2" applyFont="1" applyFill="1" applyBorder="1" applyAlignment="1">
      <alignment vertical="center"/>
    </xf>
    <xf numFmtId="164" fontId="21" fillId="2" borderId="2" xfId="2" applyFont="1" applyFill="1" applyBorder="1" applyAlignment="1">
      <alignment horizontal="center" vertical="center"/>
    </xf>
    <xf numFmtId="164" fontId="21" fillId="2" borderId="0" xfId="2" applyFont="1" applyFill="1" applyAlignment="1">
      <alignment horizontal="center" vertical="center"/>
    </xf>
    <xf numFmtId="164" fontId="7" fillId="2" borderId="0" xfId="2" applyFont="1" applyFill="1" applyAlignment="1">
      <alignment horizontal="center" vertical="center"/>
    </xf>
    <xf numFmtId="164" fontId="22" fillId="2" borderId="2" xfId="2" applyFont="1" applyFill="1" applyBorder="1" applyAlignment="1">
      <alignment horizontal="center" vertical="center"/>
    </xf>
    <xf numFmtId="164" fontId="10" fillId="2" borderId="1" xfId="2" applyFont="1" applyFill="1" applyBorder="1" applyAlignment="1">
      <alignment horizontal="center" vertical="center"/>
    </xf>
    <xf numFmtId="165" fontId="10" fillId="2" borderId="0" xfId="2" applyNumberFormat="1" applyFont="1" applyFill="1" applyAlignment="1">
      <alignment horizontal="center" vertical="center"/>
    </xf>
    <xf numFmtId="164" fontId="10" fillId="2" borderId="5" xfId="2" applyFont="1" applyFill="1" applyBorder="1" applyAlignment="1">
      <alignment horizontal="center" vertical="center" wrapText="1"/>
    </xf>
    <xf numFmtId="164" fontId="22" fillId="2" borderId="0" xfId="2" applyFont="1" applyFill="1" applyAlignment="1">
      <alignment horizontal="center" vertical="center"/>
    </xf>
    <xf numFmtId="164" fontId="5" fillId="2" borderId="1" xfId="2" applyFont="1" applyFill="1" applyBorder="1" applyAlignment="1">
      <alignment horizontal="center" vertical="center"/>
    </xf>
    <xf numFmtId="165" fontId="8" fillId="2" borderId="0" xfId="2" applyNumberFormat="1" applyFont="1" applyFill="1" applyAlignment="1">
      <alignment horizontal="center" vertical="center"/>
    </xf>
    <xf numFmtId="164" fontId="5" fillId="2" borderId="1" xfId="2" applyFont="1" applyFill="1" applyBorder="1" applyAlignment="1">
      <alignment horizontal="center" vertical="center"/>
    </xf>
    <xf numFmtId="164" fontId="7" fillId="2" borderId="2" xfId="2" applyFont="1" applyFill="1" applyBorder="1" applyAlignment="1">
      <alignment horizontal="left" vertical="center"/>
    </xf>
    <xf numFmtId="164" fontId="7" fillId="2" borderId="0" xfId="2" applyFont="1" applyFill="1" applyAlignment="1">
      <alignment horizontal="left" vertical="center"/>
    </xf>
    <xf numFmtId="164" fontId="7" fillId="2" borderId="1" xfId="2" applyFont="1" applyFill="1" applyBorder="1" applyAlignment="1">
      <alignment horizontal="left" vertical="center"/>
    </xf>
    <xf numFmtId="164" fontId="23" fillId="2" borderId="0" xfId="2" applyFont="1" applyFill="1" applyAlignment="1">
      <alignment horizontal="center" vertical="center"/>
    </xf>
    <xf numFmtId="164" fontId="3" fillId="2" borderId="0" xfId="2" applyFont="1" applyFill="1" applyAlignment="1">
      <alignment horizontal="center" vertical="center"/>
    </xf>
    <xf numFmtId="164" fontId="10" fillId="2" borderId="1" xfId="2" applyFont="1" applyFill="1" applyBorder="1" applyAlignment="1">
      <alignment horizontal="center" vertical="center"/>
    </xf>
    <xf numFmtId="164" fontId="22" fillId="2" borderId="2" xfId="2" applyFont="1" applyFill="1" applyBorder="1" applyAlignment="1">
      <alignment horizontal="center" vertical="center"/>
    </xf>
    <xf numFmtId="164" fontId="22" fillId="2" borderId="7" xfId="2" applyFont="1" applyFill="1" applyBorder="1" applyAlignment="1">
      <alignment horizontal="center" vertical="center"/>
    </xf>
    <xf numFmtId="164" fontId="22" fillId="2" borderId="0" xfId="2" applyFont="1" applyFill="1" applyAlignment="1">
      <alignment horizontal="center" vertical="center"/>
    </xf>
    <xf numFmtId="164" fontId="5" fillId="2" borderId="8" xfId="2" applyFont="1" applyFill="1" applyBorder="1" applyAlignment="1">
      <alignment horizontal="center" vertical="center"/>
    </xf>
    <xf numFmtId="164" fontId="22" fillId="2" borderId="3" xfId="2" applyFont="1" applyFill="1" applyBorder="1" applyAlignment="1">
      <alignment horizontal="center" vertical="center"/>
    </xf>
    <xf numFmtId="164" fontId="5" fillId="2" borderId="4" xfId="2" applyFont="1" applyFill="1" applyBorder="1" applyAlignment="1">
      <alignment horizontal="center" vertical="center"/>
    </xf>
  </cellXfs>
  <cellStyles count="8">
    <cellStyle name="1" xfId="7" xr:uid="{00000000-0005-0000-0000-000000000000}"/>
    <cellStyle name="Comma" xfId="1" builtinId="3"/>
    <cellStyle name="Comma 2" xfId="3" xr:uid="{00000000-0005-0000-0000-000002000000}"/>
    <cellStyle name="Normal" xfId="0" builtinId="0"/>
    <cellStyle name="Normal 2_agri planning 2009 year book(final)" xfId="4" xr:uid="{00000000-0005-0000-0000-000005000000}"/>
    <cellStyle name="Normal 3_agri planning 2009 year book(final)" xfId="6" xr:uid="{00000000-0005-0000-0000-000006000000}"/>
    <cellStyle name="Normal 4_agri planning 2009 year book(final)" xfId="5" xr:uid="{00000000-0005-0000-0000-000007000000}"/>
    <cellStyle name="Normal_Fish &amp;  Agri - 8" xfId="2" xr:uid="{00000000-0005-0000-0000-00000A000000}"/>
  </cellStyles>
  <dxfs count="0"/>
  <tableStyles count="0" defaultTableStyle="TableStyleMedium2" defaultPivotStyle="PivotStyleLight16"/>
  <colors>
    <mruColors>
      <color rgb="FFFFD5D5"/>
      <color rgb="FFFFA7A7"/>
      <color rgb="FFFFE5E5"/>
      <color rgb="FF249390"/>
      <color rgb="FF33CCCC"/>
      <color rgb="FFEAFAFA"/>
      <color rgb="FFFF9900"/>
      <color rgb="FF196563"/>
      <color rgb="FF00FFCC"/>
      <color rgb="FFC890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200">
                <a:latin typeface="Consolas" pitchFamily="49" charset="0"/>
                <a:cs typeface="Consolas" pitchFamily="49" charset="0"/>
              </a:defRPr>
            </a:pPr>
            <a:r>
              <a:rPr lang="en-US" sz="1200">
                <a:latin typeface="Consolas" pitchFamily="49" charset="0"/>
                <a:cs typeface="Consolas" pitchFamily="49" charset="0"/>
              </a:rPr>
              <a:t>Figure 9.3: Fish Catch and Fish Catch Growth by Month, 2021</a:t>
            </a:r>
          </a:p>
        </c:rich>
      </c:tx>
      <c:layout>
        <c:manualLayout>
          <c:xMode val="edge"/>
          <c:yMode val="edge"/>
          <c:x val="0.28314755992615964"/>
          <c:y val="5.9056982802266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8476722577305318E-2"/>
          <c:y val="0.18116528703142876"/>
          <c:w val="0.88703977792249655"/>
          <c:h val="0.720800565563979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'9.4'!$AP$6</c:f>
              <c:strCache>
                <c:ptCount val="1"/>
                <c:pt idx="0">
                  <c:v>Fish Catch</c:v>
                </c:pt>
              </c:strCache>
            </c:strRef>
          </c:tx>
          <c:spPr>
            <a:solidFill>
              <a:srgbClr val="FFA7A7"/>
            </a:solidFill>
          </c:spPr>
          <c:invertIfNegative val="0"/>
          <c:cat>
            <c:strRef>
              <c:f>'9.4'!$AO$7:$AO$18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'9.4'!$L$10:$L$21</c:f>
              <c:numCache>
                <c:formatCode>#,##0</c:formatCode>
                <c:ptCount val="12"/>
                <c:pt idx="0">
                  <c:v>16102.320233870229</c:v>
                </c:pt>
                <c:pt idx="1">
                  <c:v>14229.628201916312</c:v>
                </c:pt>
                <c:pt idx="2">
                  <c:v>11556.58417297598</c:v>
                </c:pt>
                <c:pt idx="3">
                  <c:v>12365.768316657599</c:v>
                </c:pt>
                <c:pt idx="4">
                  <c:v>6847.208336652996</c:v>
                </c:pt>
                <c:pt idx="5">
                  <c:v>8991.3409650774011</c:v>
                </c:pt>
                <c:pt idx="6">
                  <c:v>7040.4639566209662</c:v>
                </c:pt>
                <c:pt idx="7">
                  <c:v>9796.1166943325406</c:v>
                </c:pt>
                <c:pt idx="8">
                  <c:v>12333.628263863746</c:v>
                </c:pt>
                <c:pt idx="9">
                  <c:v>9476.5537017619008</c:v>
                </c:pt>
                <c:pt idx="10">
                  <c:v>10996.899179582402</c:v>
                </c:pt>
                <c:pt idx="11">
                  <c:v>25256.143369493253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80-4EDB-927D-5483CD6DC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421364312"/>
        <c:axId val="421364704"/>
      </c:barChart>
      <c:lineChart>
        <c:grouping val="standard"/>
        <c:varyColors val="0"/>
        <c:ser>
          <c:idx val="1"/>
          <c:order val="1"/>
          <c:tx>
            <c:strRef>
              <c:f>'9.4'!$AQ$6</c:f>
              <c:strCache>
                <c:ptCount val="1"/>
                <c:pt idx="0">
                  <c:v>Growth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cat>
            <c:strRef>
              <c:f>'9.4'!$AO$7:$AO$18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'9.4'!$AQ$7:$AQ$18</c:f>
              <c:numCache>
                <c:formatCode>#,##0</c:formatCode>
                <c:ptCount val="12"/>
                <c:pt idx="0">
                  <c:v>94.910299180048142</c:v>
                </c:pt>
                <c:pt idx="1">
                  <c:v>10.775495054178091</c:v>
                </c:pt>
                <c:pt idx="2">
                  <c:v>-37.281444436126357</c:v>
                </c:pt>
                <c:pt idx="3">
                  <c:v>21.879753032434113</c:v>
                </c:pt>
                <c:pt idx="4">
                  <c:v>59.033299976126585</c:v>
                </c:pt>
                <c:pt idx="5">
                  <c:v>31.581297706695725</c:v>
                </c:pt>
                <c:pt idx="6">
                  <c:v>-32.493446844637383</c:v>
                </c:pt>
                <c:pt idx="7">
                  <c:v>-23.756304596898662</c:v>
                </c:pt>
                <c:pt idx="8">
                  <c:v>-10.930636598604258</c:v>
                </c:pt>
                <c:pt idx="9">
                  <c:v>-31.467927380813276</c:v>
                </c:pt>
                <c:pt idx="10">
                  <c:v>-41.737859429472657</c:v>
                </c:pt>
                <c:pt idx="11">
                  <c:v>40.800114113051777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80-4EDB-927D-5483CD6DC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366272"/>
        <c:axId val="421367056"/>
      </c:lineChart>
      <c:catAx>
        <c:axId val="421364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4213647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21364704"/>
        <c:scaling>
          <c:orientation val="minMax"/>
          <c:max val="30000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421364312"/>
        <c:crosses val="autoZero"/>
        <c:crossBetween val="between"/>
      </c:valAx>
      <c:catAx>
        <c:axId val="4213662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21367056"/>
        <c:crosses val="autoZero"/>
        <c:auto val="0"/>
        <c:lblAlgn val="ctr"/>
        <c:lblOffset val="100"/>
        <c:noMultiLvlLbl val="0"/>
      </c:catAx>
      <c:valAx>
        <c:axId val="421367056"/>
        <c:scaling>
          <c:orientation val="minMax"/>
          <c:max val="140"/>
          <c:min val="-60"/>
        </c:scaling>
        <c:delete val="0"/>
        <c:axPos val="r"/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421366272"/>
        <c:crosses val="max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9106948898127578"/>
          <c:y val="0.21744229086748773"/>
          <c:w val="0.24292038687260689"/>
          <c:h val="0.11195626105842199"/>
        </c:manualLayout>
      </c:layout>
      <c:overlay val="0"/>
    </c:legend>
    <c:plotVisOnly val="1"/>
    <c:dispBlanksAs val="gap"/>
    <c:showDLblsOverMax val="0"/>
  </c:chart>
  <c:printSettings>
    <c:headerFooter alignWithMargins="0">
      <c:oddHeader>&amp;A</c:oddHeader>
      <c:oddFooter>Page &amp;P</c:oddFooter>
    </c:headerFooter>
    <c:pageMargins b="1" l="0.75000000000000577" r="0.75000000000000577" t="1" header="0.5" footer="0.5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59055</xdr:rowOff>
    </xdr:from>
    <xdr:to>
      <xdr:col>1</xdr:col>
      <xdr:colOff>171608</xdr:colOff>
      <xdr:row>28</xdr:row>
      <xdr:rowOff>9593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90550" y="5831205"/>
          <a:ext cx="0" cy="2553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>
            <a:lnSpc>
              <a:spcPts val="1000"/>
            </a:lnSpc>
          </a:pPr>
          <a:r>
            <a:rPr lang="en-US" sz="1000"/>
            <a:t>In numbers</a:t>
          </a:r>
        </a:p>
      </xdr:txBody>
    </xdr:sp>
    <xdr:clientData/>
  </xdr:twoCellAnchor>
  <xdr:twoCellAnchor>
    <xdr:from>
      <xdr:col>1</xdr:col>
      <xdr:colOff>0</xdr:colOff>
      <xdr:row>26</xdr:row>
      <xdr:rowOff>68580</xdr:rowOff>
    </xdr:from>
    <xdr:to>
      <xdr:col>2</xdr:col>
      <xdr:colOff>72534</xdr:colOff>
      <xdr:row>28</xdr:row>
      <xdr:rowOff>19118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90550" y="5840730"/>
          <a:ext cx="0" cy="2553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/>
            <a:t>In numbers</a:t>
          </a:r>
        </a:p>
      </xdr:txBody>
    </xdr:sp>
    <xdr:clientData/>
  </xdr:twoCellAnchor>
  <xdr:twoCellAnchor>
    <xdr:from>
      <xdr:col>6</xdr:col>
      <xdr:colOff>193675</xdr:colOff>
      <xdr:row>23</xdr:row>
      <xdr:rowOff>34925</xdr:rowOff>
    </xdr:from>
    <xdr:to>
      <xdr:col>20</xdr:col>
      <xdr:colOff>777875</xdr:colOff>
      <xdr:row>41</xdr:row>
      <xdr:rowOff>31750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296623</xdr:colOff>
      <xdr:row>23</xdr:row>
      <xdr:rowOff>227330</xdr:rowOff>
    </xdr:from>
    <xdr:to>
      <xdr:col>7</xdr:col>
      <xdr:colOff>412908</xdr:colOff>
      <xdr:row>24</xdr:row>
      <xdr:rowOff>241368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2344498" y="5958205"/>
          <a:ext cx="846535" cy="2680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>
            <a:lnSpc>
              <a:spcPts val="1000"/>
            </a:lnSpc>
          </a:pPr>
          <a:r>
            <a:rPr lang="en-US" sz="1000"/>
            <a:t>In numbers</a:t>
          </a:r>
        </a:p>
      </xdr:txBody>
    </xdr:sp>
    <xdr:clientData/>
  </xdr:twoCellAnchor>
  <xdr:twoCellAnchor>
    <xdr:from>
      <xdr:col>1</xdr:col>
      <xdr:colOff>0</xdr:colOff>
      <xdr:row>25</xdr:row>
      <xdr:rowOff>59055</xdr:rowOff>
    </xdr:from>
    <xdr:to>
      <xdr:col>1</xdr:col>
      <xdr:colOff>171608</xdr:colOff>
      <xdr:row>27</xdr:row>
      <xdr:rowOff>9593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590550" y="5612130"/>
          <a:ext cx="0" cy="2553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>
            <a:lnSpc>
              <a:spcPts val="1000"/>
            </a:lnSpc>
          </a:pPr>
          <a:r>
            <a:rPr lang="en-US" sz="1000"/>
            <a:t>In numbers</a:t>
          </a:r>
        </a:p>
      </xdr:txBody>
    </xdr:sp>
    <xdr:clientData/>
  </xdr:twoCellAnchor>
  <xdr:twoCellAnchor>
    <xdr:from>
      <xdr:col>1</xdr:col>
      <xdr:colOff>0</xdr:colOff>
      <xdr:row>25</xdr:row>
      <xdr:rowOff>68580</xdr:rowOff>
    </xdr:from>
    <xdr:to>
      <xdr:col>2</xdr:col>
      <xdr:colOff>72534</xdr:colOff>
      <xdr:row>27</xdr:row>
      <xdr:rowOff>19118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/>
      </xdr:nvSpPr>
      <xdr:spPr>
        <a:xfrm>
          <a:off x="590550" y="5621655"/>
          <a:ext cx="0" cy="2553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/>
            <a:t>In numbers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62"/>
  <sheetViews>
    <sheetView tabSelected="1" zoomScale="95" zoomScaleNormal="95" workbookViewId="0">
      <selection activeCell="P56" sqref="P56:Q57"/>
    </sheetView>
  </sheetViews>
  <sheetFormatPr defaultColWidth="8.85546875" defaultRowHeight="12.75" x14ac:dyDescent="0.2"/>
  <cols>
    <col min="1" max="1" width="8.85546875" style="26"/>
    <col min="2" max="4" width="0" style="25" hidden="1" customWidth="1"/>
    <col min="5" max="12" width="10.85546875" style="25" customWidth="1"/>
    <col min="13" max="20" width="9.85546875" style="25" customWidth="1"/>
    <col min="21" max="21" width="29.5703125" style="25" customWidth="1"/>
    <col min="22" max="23" width="4.85546875" style="25" customWidth="1"/>
    <col min="24" max="27" width="4.85546875" style="26" customWidth="1"/>
    <col min="28" max="28" width="21.28515625" style="26" customWidth="1"/>
    <col min="29" max="37" width="4.85546875" style="26" customWidth="1"/>
    <col min="38" max="41" width="8.85546875" style="26"/>
    <col min="42" max="42" width="10" style="26" bestFit="1" customWidth="1"/>
    <col min="43" max="16384" width="8.85546875" style="26"/>
  </cols>
  <sheetData>
    <row r="1" spans="1:49" s="10" customFormat="1" ht="19.5" x14ac:dyDescent="0.25">
      <c r="A1" s="63" t="s">
        <v>28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18"/>
      <c r="W1" s="18"/>
      <c r="X1" s="19"/>
      <c r="Y1" s="19"/>
      <c r="Z1" s="19"/>
    </row>
    <row r="2" spans="1:49" s="14" customFormat="1" ht="19.5" x14ac:dyDescent="0.25">
      <c r="A2" s="64" t="s">
        <v>27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20"/>
      <c r="W2" s="18"/>
      <c r="X2" s="19"/>
      <c r="Y2" s="19"/>
      <c r="Z2" s="19"/>
      <c r="AA2" s="10"/>
      <c r="AB2" s="10"/>
      <c r="AC2" s="10"/>
    </row>
    <row r="3" spans="1:49" s="11" customFormat="1" ht="19.5" x14ac:dyDescent="0.25">
      <c r="A3" s="63" t="s">
        <v>5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21"/>
      <c r="W3" s="18"/>
      <c r="X3" s="19"/>
      <c r="Y3" s="19"/>
      <c r="Z3" s="19"/>
      <c r="AA3" s="10"/>
      <c r="AB3" s="10"/>
      <c r="AC3" s="10"/>
      <c r="AI3" s="22"/>
    </row>
    <row r="4" spans="1:49" s="14" customFormat="1" ht="19.5" x14ac:dyDescent="0.25">
      <c r="A4" s="65" t="s">
        <v>6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51"/>
      <c r="W4" s="18"/>
      <c r="X4" s="19"/>
      <c r="Y4" s="19"/>
      <c r="Z4" s="19"/>
      <c r="AA4" s="10"/>
      <c r="AB4" s="10"/>
      <c r="AC4" s="10"/>
      <c r="AD4" s="23"/>
      <c r="AE4" s="23"/>
      <c r="AF4" s="23"/>
      <c r="AG4" s="23"/>
      <c r="AH4" s="23"/>
      <c r="AK4" s="24"/>
    </row>
    <row r="5" spans="1:49" s="11" customFormat="1" ht="13.5" customHeight="1" x14ac:dyDescent="0.2">
      <c r="A5" s="60" t="s">
        <v>7</v>
      </c>
      <c r="B5" s="66"/>
      <c r="C5" s="66"/>
      <c r="D5" s="66"/>
      <c r="E5" s="66"/>
      <c r="F5" s="66"/>
      <c r="G5" s="66"/>
      <c r="H5" s="66"/>
      <c r="I5" s="52"/>
      <c r="J5" s="52"/>
      <c r="K5" s="52"/>
      <c r="L5" s="52"/>
      <c r="M5" s="47"/>
      <c r="N5" s="48"/>
      <c r="O5" s="48"/>
      <c r="P5" s="48"/>
      <c r="Q5" s="48"/>
      <c r="R5" s="48"/>
      <c r="S5" s="48"/>
      <c r="T5" s="48"/>
      <c r="U5" s="49" t="s">
        <v>8</v>
      </c>
      <c r="V5" s="16"/>
      <c r="W5" s="18"/>
      <c r="X5" s="19"/>
      <c r="Y5" s="19"/>
      <c r="Z5" s="19"/>
      <c r="AA5" s="10"/>
      <c r="AB5" s="10"/>
      <c r="AC5" s="10"/>
      <c r="AD5" s="23"/>
      <c r="AE5" s="23"/>
      <c r="AF5" s="23"/>
      <c r="AG5" s="23"/>
      <c r="AH5" s="23"/>
      <c r="AK5" s="22"/>
      <c r="AN5" s="25"/>
      <c r="AO5" s="25"/>
      <c r="AP5" s="26"/>
      <c r="AQ5" s="26"/>
    </row>
    <row r="6" spans="1:49" s="1" customFormat="1" ht="20.45" customHeight="1" x14ac:dyDescent="0.2">
      <c r="A6" s="61"/>
      <c r="B6" s="68" t="s">
        <v>2</v>
      </c>
      <c r="C6" s="68"/>
      <c r="D6" s="68"/>
      <c r="E6" s="68"/>
      <c r="F6" s="68"/>
      <c r="G6" s="68"/>
      <c r="H6" s="68"/>
      <c r="I6" s="68"/>
      <c r="J6" s="68"/>
      <c r="K6" s="68"/>
      <c r="L6" s="70"/>
      <c r="M6" s="67" t="s">
        <v>0</v>
      </c>
      <c r="N6" s="68"/>
      <c r="O6" s="68"/>
      <c r="P6" s="68"/>
      <c r="Q6" s="68"/>
      <c r="R6" s="68"/>
      <c r="S6" s="68"/>
      <c r="T6" s="56"/>
      <c r="U6" s="50" t="s">
        <v>9</v>
      </c>
      <c r="V6" s="16"/>
      <c r="W6" s="18"/>
      <c r="X6" s="19"/>
      <c r="Y6" s="19"/>
      <c r="Z6" s="19"/>
      <c r="AA6" s="10"/>
      <c r="AB6" s="10"/>
      <c r="AC6" s="10"/>
      <c r="AD6" s="23"/>
      <c r="AE6" s="23"/>
      <c r="AF6" s="23"/>
      <c r="AG6" s="23"/>
      <c r="AH6" s="23"/>
      <c r="AK6" s="22"/>
      <c r="AN6" s="25"/>
      <c r="AO6" s="27" t="s">
        <v>7</v>
      </c>
      <c r="AP6" s="14" t="s">
        <v>10</v>
      </c>
      <c r="AQ6" s="14" t="s">
        <v>11</v>
      </c>
    </row>
    <row r="7" spans="1:49" s="1" customFormat="1" ht="19.5" x14ac:dyDescent="0.2">
      <c r="A7" s="61"/>
      <c r="B7" s="59" t="s">
        <v>3</v>
      </c>
      <c r="C7" s="59"/>
      <c r="D7" s="59"/>
      <c r="E7" s="59"/>
      <c r="F7" s="59"/>
      <c r="G7" s="59"/>
      <c r="H7" s="59"/>
      <c r="I7" s="59"/>
      <c r="J7" s="59"/>
      <c r="K7" s="59"/>
      <c r="L7" s="71"/>
      <c r="M7" s="69" t="s">
        <v>1</v>
      </c>
      <c r="N7" s="59"/>
      <c r="O7" s="59"/>
      <c r="P7" s="59"/>
      <c r="Q7" s="59"/>
      <c r="R7" s="59"/>
      <c r="S7" s="59"/>
      <c r="T7" s="57"/>
      <c r="U7" s="53" t="s">
        <v>12</v>
      </c>
      <c r="V7" s="15"/>
      <c r="W7" s="18"/>
      <c r="X7" s="19"/>
      <c r="Y7" s="19"/>
      <c r="Z7" s="19"/>
      <c r="AA7" s="10"/>
      <c r="AB7" s="10"/>
      <c r="AC7" s="10"/>
      <c r="AD7" s="23"/>
      <c r="AE7" s="23"/>
      <c r="AF7" s="23"/>
      <c r="AG7" s="23"/>
      <c r="AH7" s="23"/>
      <c r="AK7" s="22"/>
      <c r="AN7" s="25"/>
      <c r="AO7" s="26" t="s">
        <v>13</v>
      </c>
      <c r="AP7" s="28">
        <f>L10</f>
        <v>16102.320233870229</v>
      </c>
      <c r="AQ7" s="29">
        <f>U10</f>
        <v>94.910299180048142</v>
      </c>
    </row>
    <row r="8" spans="1:49" s="1" customFormat="1" ht="18" customHeight="1" x14ac:dyDescent="0.2">
      <c r="A8" s="62"/>
      <c r="B8" s="30">
        <v>2011</v>
      </c>
      <c r="C8" s="30">
        <v>2012</v>
      </c>
      <c r="D8" s="30">
        <v>2013</v>
      </c>
      <c r="E8" s="30">
        <v>2014</v>
      </c>
      <c r="F8" s="30">
        <v>2015</v>
      </c>
      <c r="G8" s="30">
        <v>2016</v>
      </c>
      <c r="H8" s="30">
        <v>2017</v>
      </c>
      <c r="I8" s="30">
        <v>2018</v>
      </c>
      <c r="J8" s="30">
        <v>2019</v>
      </c>
      <c r="K8" s="30">
        <v>2020</v>
      </c>
      <c r="L8" s="31">
        <v>2021</v>
      </c>
      <c r="M8" s="46">
        <v>2014</v>
      </c>
      <c r="N8" s="31">
        <v>2015</v>
      </c>
      <c r="O8" s="31">
        <v>2016</v>
      </c>
      <c r="P8" s="31">
        <v>2017</v>
      </c>
      <c r="Q8" s="31">
        <v>2018</v>
      </c>
      <c r="R8" s="31">
        <v>2019</v>
      </c>
      <c r="S8" s="31">
        <v>2020</v>
      </c>
      <c r="T8" s="31">
        <v>2021</v>
      </c>
      <c r="U8" s="55" t="s">
        <v>29</v>
      </c>
      <c r="V8" s="35"/>
      <c r="W8" s="18"/>
      <c r="X8" s="19"/>
      <c r="Y8" s="19"/>
      <c r="Z8" s="19"/>
      <c r="AA8" s="10"/>
      <c r="AB8" s="10"/>
      <c r="AC8" s="10"/>
      <c r="AD8" s="23"/>
      <c r="AE8" s="23"/>
      <c r="AF8" s="23"/>
      <c r="AG8" s="23"/>
      <c r="AH8" s="23"/>
      <c r="AK8" s="22"/>
      <c r="AN8" s="25"/>
      <c r="AO8" s="26" t="s">
        <v>14</v>
      </c>
      <c r="AP8" s="28">
        <f t="shared" ref="AP8:AP18" si="0">L11</f>
        <v>14229.628201916312</v>
      </c>
      <c r="AQ8" s="29">
        <f t="shared" ref="AQ8:AQ18" si="1">U11</f>
        <v>10.775495054178091</v>
      </c>
    </row>
    <row r="9" spans="1:49" s="1" customFormat="1" ht="19.5" customHeight="1" x14ac:dyDescent="0.2">
      <c r="A9" s="4" t="s">
        <v>4</v>
      </c>
      <c r="B9" s="32">
        <f t="shared" ref="B9:I9" si="2">SUM(B10:B21)</f>
        <v>120836.031774473</v>
      </c>
      <c r="C9" s="32">
        <f t="shared" si="2"/>
        <v>119866.18552466118</v>
      </c>
      <c r="D9" s="32">
        <f t="shared" si="2"/>
        <v>128242.72432257248</v>
      </c>
      <c r="E9" s="32">
        <f t="shared" si="2"/>
        <v>128683.2270000002</v>
      </c>
      <c r="F9" s="32">
        <f t="shared" si="2"/>
        <v>127351.81848143277</v>
      </c>
      <c r="G9" s="32">
        <f t="shared" si="2"/>
        <v>129190.99510655222</v>
      </c>
      <c r="H9" s="32">
        <f t="shared" si="2"/>
        <v>143159.9643316248</v>
      </c>
      <c r="I9" s="32">
        <f t="shared" si="2"/>
        <v>151024.32375223387</v>
      </c>
      <c r="J9" s="32">
        <f>SUM(J10:J21)</f>
        <v>135068.92557018771</v>
      </c>
      <c r="K9" s="32">
        <f>SUM(K10:K21)</f>
        <v>148582.96918261514</v>
      </c>
      <c r="L9" s="32">
        <f>SUM(L10:L21)</f>
        <v>144992.65539280532</v>
      </c>
      <c r="M9" s="34">
        <f t="shared" ref="M9:T9" si="3">E9/E9*100</f>
        <v>100</v>
      </c>
      <c r="N9" s="33">
        <f t="shared" si="3"/>
        <v>100</v>
      </c>
      <c r="O9" s="33">
        <f t="shared" si="3"/>
        <v>100</v>
      </c>
      <c r="P9" s="33">
        <f t="shared" si="3"/>
        <v>100</v>
      </c>
      <c r="Q9" s="33">
        <f t="shared" si="3"/>
        <v>100</v>
      </c>
      <c r="R9" s="33">
        <f t="shared" si="3"/>
        <v>100</v>
      </c>
      <c r="S9" s="33">
        <f t="shared" si="3"/>
        <v>100</v>
      </c>
      <c r="T9" s="33">
        <f t="shared" si="3"/>
        <v>100</v>
      </c>
      <c r="U9" s="54">
        <f>((L9-K9)/K9)*100</f>
        <v>-2.4163696617188775</v>
      </c>
      <c r="W9" s="18"/>
      <c r="X9" s="19"/>
      <c r="Y9" s="19"/>
      <c r="Z9" s="19"/>
      <c r="AA9" s="10"/>
      <c r="AB9" s="10"/>
      <c r="AC9" s="10"/>
      <c r="AD9" s="23"/>
      <c r="AE9" s="23"/>
      <c r="AF9" s="23"/>
      <c r="AG9" s="23"/>
      <c r="AH9" s="23"/>
      <c r="AK9" s="22"/>
      <c r="AN9" s="17"/>
      <c r="AO9" s="3" t="s">
        <v>15</v>
      </c>
      <c r="AP9" s="28">
        <f t="shared" si="0"/>
        <v>11556.58417297598</v>
      </c>
      <c r="AQ9" s="29">
        <f t="shared" si="1"/>
        <v>-37.281444436126357</v>
      </c>
    </row>
    <row r="10" spans="1:49" s="1" customFormat="1" ht="19.5" customHeight="1" x14ac:dyDescent="0.2">
      <c r="A10" s="2" t="s">
        <v>13</v>
      </c>
      <c r="B10" s="37">
        <v>14955.189976228001</v>
      </c>
      <c r="C10" s="37">
        <v>7654.3823507463503</v>
      </c>
      <c r="D10" s="37">
        <v>9767.2253264603569</v>
      </c>
      <c r="E10" s="37">
        <v>15339.936517689775</v>
      </c>
      <c r="F10" s="37">
        <v>19422.337638591896</v>
      </c>
      <c r="G10" s="37">
        <v>9330.6410000792876</v>
      </c>
      <c r="H10" s="37">
        <v>15502.525800186488</v>
      </c>
      <c r="I10" s="37">
        <v>16624.189194349769</v>
      </c>
      <c r="J10" s="37">
        <v>9626.2044042341786</v>
      </c>
      <c r="K10" s="37">
        <v>8261.4003988551322</v>
      </c>
      <c r="L10" s="37">
        <v>16102.320233870229</v>
      </c>
      <c r="M10" s="38">
        <f t="shared" ref="M10:M21" si="4">E10/$E$9*100</f>
        <v>11.920696174094042</v>
      </c>
      <c r="N10" s="12">
        <f>F10/$F$9*100</f>
        <v>15.250930744599907</v>
      </c>
      <c r="O10" s="12">
        <f>G10/$G$9*100</f>
        <v>7.2223617384351764</v>
      </c>
      <c r="P10" s="12">
        <f>H10/$H$9*100</f>
        <v>10.828813678854694</v>
      </c>
      <c r="Q10" s="12">
        <f>I10/$I$9*100</f>
        <v>11.007623660426336</v>
      </c>
      <c r="R10" s="12">
        <f>J10/$J$9*100</f>
        <v>7.1268830810621813</v>
      </c>
      <c r="S10" s="12">
        <f>K10/$K$9*100</f>
        <v>5.5601260657952665</v>
      </c>
      <c r="T10" s="12">
        <f>L10/$L$9*100</f>
        <v>11.105610963704885</v>
      </c>
      <c r="U10" s="58">
        <f t="shared" ref="U10:U21" si="5">((L10-K10)/K10)*100</f>
        <v>94.910299180048142</v>
      </c>
      <c r="W10" s="18"/>
      <c r="X10" s="19"/>
      <c r="Y10" s="19"/>
      <c r="Z10" s="19"/>
      <c r="AA10" s="10"/>
      <c r="AB10" s="10"/>
      <c r="AC10" s="10"/>
      <c r="AD10" s="36"/>
      <c r="AE10" s="36"/>
      <c r="AF10" s="23"/>
      <c r="AG10" s="23"/>
      <c r="AH10" s="23"/>
      <c r="AK10" s="22"/>
      <c r="AN10" s="17"/>
      <c r="AO10" s="26" t="s">
        <v>16</v>
      </c>
      <c r="AP10" s="28">
        <f t="shared" si="0"/>
        <v>12365.768316657599</v>
      </c>
      <c r="AQ10" s="29">
        <f t="shared" si="1"/>
        <v>21.879753032434113</v>
      </c>
    </row>
    <row r="11" spans="1:49" s="1" customFormat="1" ht="19.5" customHeight="1" x14ac:dyDescent="0.2">
      <c r="A11" s="2" t="s">
        <v>14</v>
      </c>
      <c r="B11" s="37">
        <v>12368.042381476002</v>
      </c>
      <c r="C11" s="37">
        <v>7719.8029243069659</v>
      </c>
      <c r="D11" s="37">
        <v>9293.4740501910273</v>
      </c>
      <c r="E11" s="37">
        <v>9322.0790691187103</v>
      </c>
      <c r="F11" s="37">
        <v>10331.527911195368</v>
      </c>
      <c r="G11" s="37">
        <v>9712.784106420786</v>
      </c>
      <c r="H11" s="37">
        <v>12577.998944745086</v>
      </c>
      <c r="I11" s="37">
        <v>11703.499674855837</v>
      </c>
      <c r="J11" s="37">
        <v>13254.665364671266</v>
      </c>
      <c r="K11" s="37">
        <v>12845.465682601449</v>
      </c>
      <c r="L11" s="37">
        <v>14229.628201916312</v>
      </c>
      <c r="M11" s="38">
        <f t="shared" si="4"/>
        <v>7.2442067909275352</v>
      </c>
      <c r="N11" s="12">
        <f t="shared" ref="N11:N21" si="6">F11/$F$9*100</f>
        <v>8.1125876602238307</v>
      </c>
      <c r="O11" s="12">
        <f t="shared" ref="O11:O21" si="7">G11/$G$9*100</f>
        <v>7.5181587527907974</v>
      </c>
      <c r="P11" s="12">
        <f t="shared" ref="P11:P21" si="8">H11/$H$9*100</f>
        <v>8.7859751875940777</v>
      </c>
      <c r="Q11" s="12">
        <f t="shared" ref="Q11:Q20" si="9">I11/$I$9*100</f>
        <v>7.7494137262658818</v>
      </c>
      <c r="R11" s="12">
        <f t="shared" ref="R11:R20" si="10">J11/$J$9*100</f>
        <v>9.8132603844424313</v>
      </c>
      <c r="S11" s="12">
        <f t="shared" ref="S11:S20" si="11">K11/$K$9*100</f>
        <v>8.6453149733559265</v>
      </c>
      <c r="T11" s="12">
        <f t="shared" ref="T11:T21" si="12">L11/$L$9*100</f>
        <v>9.8140337959645372</v>
      </c>
      <c r="U11" s="58">
        <f t="shared" si="5"/>
        <v>10.775495054178091</v>
      </c>
      <c r="W11" s="18"/>
      <c r="X11" s="19"/>
      <c r="Y11" s="19"/>
      <c r="Z11" s="19"/>
      <c r="AA11" s="10"/>
      <c r="AB11" s="10"/>
      <c r="AC11" s="10"/>
      <c r="AD11" s="36"/>
      <c r="AE11" s="36"/>
      <c r="AF11" s="23"/>
      <c r="AG11" s="23"/>
      <c r="AH11" s="23"/>
      <c r="AK11" s="22"/>
      <c r="AN11" s="17"/>
      <c r="AO11" s="3" t="s">
        <v>17</v>
      </c>
      <c r="AP11" s="28">
        <f t="shared" si="0"/>
        <v>6847.208336652996</v>
      </c>
      <c r="AQ11" s="29">
        <f t="shared" si="1"/>
        <v>59.033299976126585</v>
      </c>
    </row>
    <row r="12" spans="1:49" s="1" customFormat="1" ht="19.5" customHeight="1" x14ac:dyDescent="0.2">
      <c r="A12" s="2" t="s">
        <v>15</v>
      </c>
      <c r="B12" s="37">
        <v>9653.7175542229998</v>
      </c>
      <c r="C12" s="37">
        <v>7106.4788059804832</v>
      </c>
      <c r="D12" s="37">
        <v>9850.8752725132399</v>
      </c>
      <c r="E12" s="37">
        <v>8608.8267200830196</v>
      </c>
      <c r="F12" s="37">
        <v>9502.0411982502246</v>
      </c>
      <c r="G12" s="37">
        <v>11336.591236540209</v>
      </c>
      <c r="H12" s="37">
        <v>11854.913529886182</v>
      </c>
      <c r="I12" s="37">
        <v>13777.073421766561</v>
      </c>
      <c r="J12" s="37">
        <v>15358.544360522132</v>
      </c>
      <c r="K12" s="37">
        <v>18426.100647688796</v>
      </c>
      <c r="L12" s="37">
        <v>11556.58417297598</v>
      </c>
      <c r="M12" s="38">
        <f t="shared" si="4"/>
        <v>6.6899369255660686</v>
      </c>
      <c r="N12" s="12">
        <f t="shared" si="6"/>
        <v>7.4612528596406129</v>
      </c>
      <c r="O12" s="12">
        <f t="shared" si="7"/>
        <v>8.7750630198259447</v>
      </c>
      <c r="P12" s="12">
        <f t="shared" si="8"/>
        <v>8.2808860600333141</v>
      </c>
      <c r="Q12" s="12">
        <f t="shared" si="9"/>
        <v>9.1224202032308579</v>
      </c>
      <c r="R12" s="12">
        <f t="shared" si="10"/>
        <v>11.37089400518046</v>
      </c>
      <c r="S12" s="12">
        <f t="shared" si="11"/>
        <v>12.401219836334198</v>
      </c>
      <c r="T12" s="12">
        <f t="shared" si="12"/>
        <v>7.9704617738516355</v>
      </c>
      <c r="U12" s="58">
        <f t="shared" si="5"/>
        <v>-37.281444436126357</v>
      </c>
      <c r="W12" s="18"/>
      <c r="X12" s="19"/>
      <c r="Y12" s="19"/>
      <c r="Z12" s="19"/>
      <c r="AA12" s="10"/>
      <c r="AB12" s="10"/>
      <c r="AC12" s="10"/>
      <c r="AD12" s="36"/>
      <c r="AE12" s="36"/>
      <c r="AF12" s="23"/>
      <c r="AG12" s="23"/>
      <c r="AH12" s="23"/>
      <c r="AK12" s="22"/>
      <c r="AN12" s="17"/>
      <c r="AO12" s="3" t="s">
        <v>18</v>
      </c>
      <c r="AP12" s="28">
        <f t="shared" si="0"/>
        <v>8991.3409650774011</v>
      </c>
      <c r="AQ12" s="29">
        <f t="shared" si="1"/>
        <v>31.581297706695725</v>
      </c>
    </row>
    <row r="13" spans="1:49" s="1" customFormat="1" ht="19.5" customHeight="1" x14ac:dyDescent="0.2">
      <c r="A13" s="2" t="s">
        <v>16</v>
      </c>
      <c r="B13" s="37">
        <v>10557.514762582001</v>
      </c>
      <c r="C13" s="37">
        <v>11496.477852750637</v>
      </c>
      <c r="D13" s="37">
        <v>7526.4802679976619</v>
      </c>
      <c r="E13" s="37">
        <v>16224.338764017641</v>
      </c>
      <c r="F13" s="37">
        <v>16833.635232918969</v>
      </c>
      <c r="G13" s="37">
        <v>16353.251172322914</v>
      </c>
      <c r="H13" s="37">
        <v>14617.157081737798</v>
      </c>
      <c r="I13" s="37">
        <v>19615.087583546981</v>
      </c>
      <c r="J13" s="37">
        <v>16513.057387880901</v>
      </c>
      <c r="K13" s="37">
        <v>10145.875757860187</v>
      </c>
      <c r="L13" s="37">
        <v>12365.768316657599</v>
      </c>
      <c r="M13" s="38">
        <f t="shared" si="4"/>
        <v>12.607966976160471</v>
      </c>
      <c r="N13" s="12">
        <f t="shared" si="6"/>
        <v>13.218213476373112</v>
      </c>
      <c r="O13" s="12">
        <f t="shared" si="7"/>
        <v>12.658197391261924</v>
      </c>
      <c r="P13" s="12">
        <f t="shared" si="8"/>
        <v>10.210366529484242</v>
      </c>
      <c r="Q13" s="12">
        <f t="shared" si="9"/>
        <v>12.988032057489576</v>
      </c>
      <c r="R13" s="12">
        <f t="shared" si="10"/>
        <v>12.225652434985866</v>
      </c>
      <c r="S13" s="12">
        <f t="shared" si="11"/>
        <v>6.8284244241952452</v>
      </c>
      <c r="T13" s="12">
        <f t="shared" si="12"/>
        <v>8.5285480724227085</v>
      </c>
      <c r="U13" s="58">
        <f t="shared" si="5"/>
        <v>21.879753032434113</v>
      </c>
      <c r="W13" s="18"/>
      <c r="X13" s="19"/>
      <c r="Y13" s="19"/>
      <c r="Z13" s="19"/>
      <c r="AA13" s="10"/>
      <c r="AB13" s="10"/>
      <c r="AC13" s="10"/>
      <c r="AD13" s="36"/>
      <c r="AE13" s="36"/>
      <c r="AF13" s="23"/>
      <c r="AG13" s="23"/>
      <c r="AH13" s="23"/>
      <c r="AK13" s="22"/>
      <c r="AN13" s="17"/>
      <c r="AO13" s="3" t="s">
        <v>19</v>
      </c>
      <c r="AP13" s="28">
        <f t="shared" si="0"/>
        <v>7040.4639566209662</v>
      </c>
      <c r="AQ13" s="29">
        <f t="shared" si="1"/>
        <v>-32.493446844637383</v>
      </c>
    </row>
    <row r="14" spans="1:49" s="1" customFormat="1" ht="19.5" customHeight="1" x14ac:dyDescent="0.2">
      <c r="A14" s="2" t="s">
        <v>17</v>
      </c>
      <c r="B14" s="37">
        <v>7156.1713736889997</v>
      </c>
      <c r="C14" s="37">
        <v>13126.340141529225</v>
      </c>
      <c r="D14" s="37">
        <v>6692.1508321880965</v>
      </c>
      <c r="E14" s="37">
        <v>12590.391144779127</v>
      </c>
      <c r="F14" s="37">
        <v>9249.1472113244563</v>
      </c>
      <c r="G14" s="37">
        <v>11204.604071055752</v>
      </c>
      <c r="H14" s="37">
        <v>13980.242230759486</v>
      </c>
      <c r="I14" s="37">
        <v>11454.638303350384</v>
      </c>
      <c r="J14" s="37">
        <v>8869.3965661088441</v>
      </c>
      <c r="K14" s="37">
        <v>4305.518616340647</v>
      </c>
      <c r="L14" s="37">
        <v>6847.208336652996</v>
      </c>
      <c r="M14" s="38">
        <f t="shared" si="4"/>
        <v>9.7840188176032505</v>
      </c>
      <c r="N14" s="12">
        <f t="shared" si="6"/>
        <v>7.2626738444829781</v>
      </c>
      <c r="O14" s="12">
        <f t="shared" si="7"/>
        <v>8.6728986504164531</v>
      </c>
      <c r="P14" s="12">
        <f t="shared" si="8"/>
        <v>9.7654692050458802</v>
      </c>
      <c r="Q14" s="12">
        <f t="shared" si="9"/>
        <v>7.5846314148325753</v>
      </c>
      <c r="R14" s="12">
        <f t="shared" si="10"/>
        <v>6.5665707553880832</v>
      </c>
      <c r="S14" s="12">
        <f t="shared" si="11"/>
        <v>2.8977201357774534</v>
      </c>
      <c r="T14" s="12">
        <f t="shared" si="12"/>
        <v>4.7224518497871175</v>
      </c>
      <c r="U14" s="58">
        <f t="shared" si="5"/>
        <v>59.033299976126585</v>
      </c>
      <c r="W14" s="18"/>
      <c r="X14" s="19"/>
      <c r="Y14" s="19"/>
      <c r="Z14" s="19"/>
      <c r="AA14" s="10"/>
      <c r="AB14" s="10"/>
      <c r="AC14" s="10"/>
      <c r="AD14" s="36"/>
      <c r="AE14" s="36"/>
      <c r="AF14" s="23"/>
      <c r="AG14" s="23"/>
      <c r="AH14" s="23"/>
      <c r="AK14" s="22"/>
      <c r="AN14" s="17"/>
      <c r="AO14" s="3" t="s">
        <v>20</v>
      </c>
      <c r="AP14" s="28">
        <f t="shared" si="0"/>
        <v>9796.1166943325406</v>
      </c>
      <c r="AQ14" s="29">
        <f t="shared" si="1"/>
        <v>-23.756304596898662</v>
      </c>
    </row>
    <row r="15" spans="1:49" s="1" customFormat="1" ht="19.5" customHeight="1" x14ac:dyDescent="0.2">
      <c r="A15" s="2" t="s">
        <v>18</v>
      </c>
      <c r="B15" s="37">
        <v>10604.482355167002</v>
      </c>
      <c r="C15" s="37">
        <v>8892.1734252299484</v>
      </c>
      <c r="D15" s="37">
        <v>11226.887568886428</v>
      </c>
      <c r="E15" s="37">
        <v>10581.04690025821</v>
      </c>
      <c r="F15" s="37">
        <v>6663.1824102206965</v>
      </c>
      <c r="G15" s="37">
        <v>3542.5939041135643</v>
      </c>
      <c r="H15" s="37">
        <v>8234.1337762096937</v>
      </c>
      <c r="I15" s="37">
        <v>6052.3320355677242</v>
      </c>
      <c r="J15" s="37">
        <v>6403.4358210428309</v>
      </c>
      <c r="K15" s="37">
        <v>6833.2970732054591</v>
      </c>
      <c r="L15" s="37">
        <v>8991.3409650774011</v>
      </c>
      <c r="M15" s="38">
        <f t="shared" si="4"/>
        <v>8.2225532782591735</v>
      </c>
      <c r="N15" s="12">
        <f t="shared" si="6"/>
        <v>5.232106215422557</v>
      </c>
      <c r="O15" s="12">
        <f t="shared" si="7"/>
        <v>2.7421368658022618</v>
      </c>
      <c r="P15" s="12">
        <f t="shared" si="8"/>
        <v>5.751701472302428</v>
      </c>
      <c r="Q15" s="12">
        <f t="shared" si="9"/>
        <v>4.007521361590074</v>
      </c>
      <c r="R15" s="12">
        <f t="shared" si="10"/>
        <v>4.7408652982253319</v>
      </c>
      <c r="S15" s="12">
        <f t="shared" si="11"/>
        <v>4.5989773328644619</v>
      </c>
      <c r="T15" s="12">
        <f t="shared" si="12"/>
        <v>6.201238911528729</v>
      </c>
      <c r="U15" s="58">
        <f t="shared" si="5"/>
        <v>31.581297706695725</v>
      </c>
      <c r="W15" s="18"/>
      <c r="X15" s="19"/>
      <c r="Y15" s="19"/>
      <c r="Z15" s="19"/>
      <c r="AA15" s="10"/>
      <c r="AB15" s="10"/>
      <c r="AC15" s="10"/>
      <c r="AD15" s="36"/>
      <c r="AE15" s="36"/>
      <c r="AF15" s="23"/>
      <c r="AI15" s="8"/>
      <c r="AJ15" s="8"/>
      <c r="AK15" s="8"/>
      <c r="AL15" s="8"/>
      <c r="AM15" s="8"/>
      <c r="AN15" s="17"/>
      <c r="AO15" s="3" t="s">
        <v>21</v>
      </c>
      <c r="AP15" s="28">
        <f t="shared" si="0"/>
        <v>12333.628263863746</v>
      </c>
      <c r="AQ15" s="29">
        <f t="shared" si="1"/>
        <v>-10.930636598604258</v>
      </c>
      <c r="AR15" s="8"/>
      <c r="AS15" s="8"/>
      <c r="AT15" s="8"/>
      <c r="AU15" s="8"/>
      <c r="AV15" s="8"/>
      <c r="AW15" s="8"/>
    </row>
    <row r="16" spans="1:49" s="1" customFormat="1" ht="19.5" customHeight="1" x14ac:dyDescent="0.2">
      <c r="A16" s="2" t="s">
        <v>19</v>
      </c>
      <c r="B16" s="37">
        <v>8156.2926204970008</v>
      </c>
      <c r="C16" s="37">
        <v>8574.5320683597911</v>
      </c>
      <c r="D16" s="37">
        <v>11224.360457733363</v>
      </c>
      <c r="E16" s="37">
        <v>5999.9784964833161</v>
      </c>
      <c r="F16" s="37">
        <v>5705.2319713741481</v>
      </c>
      <c r="G16" s="37">
        <v>4446.3519660894235</v>
      </c>
      <c r="H16" s="37">
        <v>11166.244052147251</v>
      </c>
      <c r="I16" s="37">
        <v>8732.0880706840289</v>
      </c>
      <c r="J16" s="37">
        <v>9626.1921859423455</v>
      </c>
      <c r="K16" s="37">
        <v>10429.30445643955</v>
      </c>
      <c r="L16" s="37">
        <v>7040.4639566209662</v>
      </c>
      <c r="M16" s="38">
        <f t="shared" si="4"/>
        <v>4.6625956127781176</v>
      </c>
      <c r="N16" s="12">
        <f t="shared" si="6"/>
        <v>4.4798983158657766</v>
      </c>
      <c r="O16" s="12">
        <f t="shared" si="7"/>
        <v>3.44168876663751</v>
      </c>
      <c r="P16" s="12">
        <f t="shared" si="8"/>
        <v>7.7998371292417046</v>
      </c>
      <c r="Q16" s="12">
        <f t="shared" si="9"/>
        <v>5.7819084063634936</v>
      </c>
      <c r="R16" s="12">
        <f t="shared" si="10"/>
        <v>7.1268740350941453</v>
      </c>
      <c r="S16" s="12">
        <f t="shared" si="11"/>
        <v>7.0191789232731425</v>
      </c>
      <c r="T16" s="12">
        <f t="shared" si="12"/>
        <v>4.8557383389850797</v>
      </c>
      <c r="U16" s="58">
        <f t="shared" si="5"/>
        <v>-32.493446844637383</v>
      </c>
      <c r="W16" s="18"/>
      <c r="X16" s="19"/>
      <c r="Y16" s="19"/>
      <c r="Z16" s="19"/>
      <c r="AA16" s="10"/>
      <c r="AB16" s="10"/>
      <c r="AC16" s="10"/>
      <c r="AD16" s="36"/>
      <c r="AE16" s="36"/>
      <c r="AF16" s="23"/>
      <c r="AN16" s="17"/>
      <c r="AO16" s="3" t="s">
        <v>22</v>
      </c>
      <c r="AP16" s="28">
        <f t="shared" si="0"/>
        <v>9476.5537017619008</v>
      </c>
      <c r="AQ16" s="29">
        <f t="shared" si="1"/>
        <v>-31.467927380813276</v>
      </c>
    </row>
    <row r="17" spans="1:43" s="1" customFormat="1" ht="19.5" customHeight="1" x14ac:dyDescent="0.2">
      <c r="A17" s="2" t="s">
        <v>20</v>
      </c>
      <c r="B17" s="37">
        <v>9236.857506600998</v>
      </c>
      <c r="C17" s="37">
        <v>7636.4221581192196</v>
      </c>
      <c r="D17" s="37">
        <v>11467.470863380531</v>
      </c>
      <c r="E17" s="37">
        <v>8294.7931659124097</v>
      </c>
      <c r="F17" s="37">
        <v>7517.6798073128002</v>
      </c>
      <c r="G17" s="37">
        <v>6849.7522346372625</v>
      </c>
      <c r="H17" s="37">
        <v>6985.0008384718385</v>
      </c>
      <c r="I17" s="37">
        <v>7900.8902474691677</v>
      </c>
      <c r="J17" s="37">
        <v>8785.0269118440792</v>
      </c>
      <c r="K17" s="37">
        <v>12848.42850617399</v>
      </c>
      <c r="L17" s="37">
        <v>9796.1166943325406</v>
      </c>
      <c r="M17" s="38">
        <f t="shared" si="4"/>
        <v>6.4459008056367733</v>
      </c>
      <c r="N17" s="12">
        <f t="shared" si="6"/>
        <v>5.9030800635240546</v>
      </c>
      <c r="O17" s="12">
        <f t="shared" si="7"/>
        <v>5.3020353539252687</v>
      </c>
      <c r="P17" s="12">
        <f t="shared" si="8"/>
        <v>4.8791579902125015</v>
      </c>
      <c r="Q17" s="12">
        <f t="shared" si="9"/>
        <v>5.2315349283941428</v>
      </c>
      <c r="R17" s="12">
        <f t="shared" si="10"/>
        <v>6.5041066068738331</v>
      </c>
      <c r="S17" s="12">
        <f t="shared" si="11"/>
        <v>8.6473090266372949</v>
      </c>
      <c r="T17" s="12">
        <f t="shared" si="12"/>
        <v>6.7562847702826705</v>
      </c>
      <c r="U17" s="58">
        <f t="shared" si="5"/>
        <v>-23.756304596898662</v>
      </c>
      <c r="W17" s="18"/>
      <c r="X17" s="19"/>
      <c r="Y17" s="19"/>
      <c r="Z17" s="19"/>
      <c r="AA17" s="10"/>
      <c r="AC17" s="10"/>
      <c r="AD17" s="36"/>
      <c r="AE17" s="36"/>
      <c r="AF17" s="23"/>
      <c r="AN17" s="17"/>
      <c r="AO17" s="3" t="s">
        <v>23</v>
      </c>
      <c r="AP17" s="28">
        <f t="shared" si="0"/>
        <v>10996.899179582402</v>
      </c>
      <c r="AQ17" s="29">
        <f t="shared" si="1"/>
        <v>-41.737859429472657</v>
      </c>
    </row>
    <row r="18" spans="1:43" s="1" customFormat="1" ht="19.5" customHeight="1" x14ac:dyDescent="0.2">
      <c r="A18" s="2" t="s">
        <v>21</v>
      </c>
      <c r="B18" s="37">
        <v>8492.9045429220023</v>
      </c>
      <c r="C18" s="37">
        <v>8898.5551975141716</v>
      </c>
      <c r="D18" s="37">
        <v>9268.4341059480703</v>
      </c>
      <c r="E18" s="37">
        <v>10311.062738892764</v>
      </c>
      <c r="F18" s="37">
        <v>5944.2507932135295</v>
      </c>
      <c r="G18" s="37">
        <v>7211.9517685126457</v>
      </c>
      <c r="H18" s="37">
        <v>5862.8220043651399</v>
      </c>
      <c r="I18" s="37">
        <v>8501.6631821592819</v>
      </c>
      <c r="J18" s="37">
        <v>12909.522650218742</v>
      </c>
      <c r="K18" s="37">
        <v>13847.217261766658</v>
      </c>
      <c r="L18" s="37">
        <v>12333.628263863746</v>
      </c>
      <c r="M18" s="38">
        <f t="shared" si="4"/>
        <v>8.0127480319503857</v>
      </c>
      <c r="N18" s="12">
        <f t="shared" si="6"/>
        <v>4.6675821861783389</v>
      </c>
      <c r="O18" s="12">
        <f t="shared" si="7"/>
        <v>5.5823950907448925</v>
      </c>
      <c r="P18" s="12">
        <f t="shared" si="8"/>
        <v>4.0952944014320432</v>
      </c>
      <c r="Q18" s="12">
        <f t="shared" si="9"/>
        <v>5.6293337198495674</v>
      </c>
      <c r="R18" s="12">
        <f t="shared" si="10"/>
        <v>9.5577295782295906</v>
      </c>
      <c r="S18" s="12">
        <f t="shared" si="11"/>
        <v>9.3195184737140409</v>
      </c>
      <c r="T18" s="12">
        <f t="shared" si="12"/>
        <v>8.5063813959750085</v>
      </c>
      <c r="U18" s="58">
        <f t="shared" si="5"/>
        <v>-10.930636598604258</v>
      </c>
      <c r="W18" s="18"/>
      <c r="X18" s="19"/>
      <c r="Y18" s="19"/>
      <c r="Z18" s="19"/>
      <c r="AA18" s="10"/>
      <c r="AB18" s="10"/>
      <c r="AC18" s="10"/>
      <c r="AD18" s="36"/>
      <c r="AE18" s="36"/>
      <c r="AF18" s="23"/>
      <c r="AO18" s="3" t="s">
        <v>24</v>
      </c>
      <c r="AP18" s="28">
        <f t="shared" si="0"/>
        <v>25256.143369493253</v>
      </c>
      <c r="AQ18" s="29">
        <f t="shared" si="1"/>
        <v>40.800114113051777</v>
      </c>
    </row>
    <row r="19" spans="1:43" s="1" customFormat="1" ht="19.5" customHeight="1" x14ac:dyDescent="0.25">
      <c r="A19" s="2" t="s">
        <v>22</v>
      </c>
      <c r="B19" s="37">
        <v>12514.620116255997</v>
      </c>
      <c r="C19" s="37">
        <v>10731.297585609453</v>
      </c>
      <c r="D19" s="37">
        <v>14779.970038353686</v>
      </c>
      <c r="E19" s="37">
        <v>8739.8404707656719</v>
      </c>
      <c r="F19" s="37">
        <v>14365.957756026388</v>
      </c>
      <c r="G19" s="37">
        <v>17269.85730980118</v>
      </c>
      <c r="H19" s="37">
        <v>11841.761255422482</v>
      </c>
      <c r="I19" s="37">
        <v>15063.659543159578</v>
      </c>
      <c r="J19" s="37">
        <v>14183.756064596068</v>
      </c>
      <c r="K19" s="37">
        <v>13827.910552801197</v>
      </c>
      <c r="L19" s="37">
        <v>9476.5537017619008</v>
      </c>
      <c r="M19" s="38">
        <f t="shared" si="4"/>
        <v>6.7917479803064449</v>
      </c>
      <c r="N19" s="12">
        <f t="shared" si="6"/>
        <v>11.280528167817932</v>
      </c>
      <c r="O19" s="12">
        <f t="shared" si="7"/>
        <v>13.367694316122888</v>
      </c>
      <c r="P19" s="12">
        <f t="shared" si="8"/>
        <v>8.2716989423044804</v>
      </c>
      <c r="Q19" s="12">
        <f t="shared" si="9"/>
        <v>9.9743267633315682</v>
      </c>
      <c r="R19" s="12">
        <f t="shared" si="10"/>
        <v>10.501124521957916</v>
      </c>
      <c r="S19" s="12">
        <f t="shared" si="11"/>
        <v>9.3065245827777705</v>
      </c>
      <c r="T19" s="12">
        <f t="shared" si="12"/>
        <v>6.535885335770006</v>
      </c>
      <c r="U19" s="58">
        <f t="shared" si="5"/>
        <v>-31.467927380813276</v>
      </c>
      <c r="W19" s="18"/>
      <c r="X19" s="19"/>
      <c r="Y19" s="19"/>
      <c r="Z19" s="19"/>
      <c r="AA19" s="10"/>
      <c r="AB19" s="10"/>
      <c r="AC19" s="10"/>
      <c r="AD19" s="36"/>
      <c r="AE19" s="36"/>
      <c r="AF19" s="36"/>
    </row>
    <row r="20" spans="1:43" s="1" customFormat="1" ht="19.5" customHeight="1" x14ac:dyDescent="0.25">
      <c r="A20" s="2" t="s">
        <v>23</v>
      </c>
      <c r="B20" s="37">
        <v>8293.5629008889991</v>
      </c>
      <c r="C20" s="37">
        <v>13742.635969865547</v>
      </c>
      <c r="D20" s="37">
        <v>15548.262440127372</v>
      </c>
      <c r="E20" s="37">
        <v>10449.915819876145</v>
      </c>
      <c r="F20" s="37">
        <v>12692.422778464579</v>
      </c>
      <c r="G20" s="37">
        <v>16136.678894941842</v>
      </c>
      <c r="H20" s="37">
        <v>15699.534266345063</v>
      </c>
      <c r="I20" s="37">
        <v>17296.697324919154</v>
      </c>
      <c r="J20" s="37">
        <v>11174.435514952173</v>
      </c>
      <c r="K20" s="37">
        <v>18874.862941691033</v>
      </c>
      <c r="L20" s="37">
        <v>10996.899179582402</v>
      </c>
      <c r="M20" s="38">
        <f t="shared" si="4"/>
        <v>8.1206510463684047</v>
      </c>
      <c r="N20" s="12">
        <f t="shared" si="6"/>
        <v>9.9664244529928467</v>
      </c>
      <c r="O20" s="12">
        <f t="shared" si="7"/>
        <v>12.490560105704636</v>
      </c>
      <c r="P20" s="12">
        <f t="shared" si="8"/>
        <v>10.966427897381749</v>
      </c>
      <c r="Q20" s="12">
        <f t="shared" si="9"/>
        <v>11.452921552753061</v>
      </c>
      <c r="R20" s="12">
        <f t="shared" si="10"/>
        <v>8.2731357103640004</v>
      </c>
      <c r="S20" s="12">
        <f t="shared" si="11"/>
        <v>12.703247919681143</v>
      </c>
      <c r="T20" s="12">
        <f t="shared" si="12"/>
        <v>7.584452570918347</v>
      </c>
      <c r="U20" s="58">
        <f t="shared" si="5"/>
        <v>-41.737859429472657</v>
      </c>
      <c r="W20" s="18"/>
      <c r="X20" s="19"/>
      <c r="Y20" s="19"/>
      <c r="Z20" s="19"/>
      <c r="AA20" s="10"/>
      <c r="AB20" s="10"/>
      <c r="AC20" s="10"/>
      <c r="AD20" s="36"/>
      <c r="AE20" s="36"/>
      <c r="AF20" s="36"/>
    </row>
    <row r="21" spans="1:43" s="1" customFormat="1" ht="19.5" customHeight="1" x14ac:dyDescent="0.25">
      <c r="A21" s="5" t="s">
        <v>24</v>
      </c>
      <c r="B21" s="39">
        <v>8846.6756839430018</v>
      </c>
      <c r="C21" s="39">
        <v>14287.087044649401</v>
      </c>
      <c r="D21" s="39">
        <v>11597.133098792654</v>
      </c>
      <c r="E21" s="39">
        <v>12221.017192123414</v>
      </c>
      <c r="F21" s="39">
        <v>9124.4037725397029</v>
      </c>
      <c r="G21" s="39">
        <v>15795.937442037344</v>
      </c>
      <c r="H21" s="39">
        <v>14837.630551348317</v>
      </c>
      <c r="I21" s="39">
        <v>14302.505170405399</v>
      </c>
      <c r="J21" s="39">
        <v>8364.68833817417</v>
      </c>
      <c r="K21" s="39">
        <v>17937.58728719104</v>
      </c>
      <c r="L21" s="39">
        <v>25256.143369493253</v>
      </c>
      <c r="M21" s="40">
        <f t="shared" si="4"/>
        <v>9.4969775603493325</v>
      </c>
      <c r="N21" s="13">
        <f t="shared" si="6"/>
        <v>7.1647220128780447</v>
      </c>
      <c r="O21" s="13">
        <f t="shared" si="7"/>
        <v>12.226809948332241</v>
      </c>
      <c r="P21" s="13">
        <f t="shared" si="8"/>
        <v>10.364371506112905</v>
      </c>
      <c r="Q21" s="13">
        <f>I21/$I$9*100</f>
        <v>9.4703322054728574</v>
      </c>
      <c r="R21" s="13">
        <f>J21/$J$9*100</f>
        <v>6.1929035881961703</v>
      </c>
      <c r="S21" s="13">
        <f>K21/$K$9*100</f>
        <v>12.072438305594055</v>
      </c>
      <c r="T21" s="13">
        <f t="shared" si="12"/>
        <v>17.418912220809283</v>
      </c>
      <c r="U21" s="41">
        <f t="shared" si="5"/>
        <v>40.800114113051777</v>
      </c>
      <c r="W21" s="18"/>
      <c r="X21" s="19"/>
      <c r="Y21" s="19"/>
      <c r="Z21" s="19"/>
      <c r="AA21" s="10"/>
      <c r="AB21" s="10"/>
      <c r="AC21" s="10"/>
      <c r="AD21" s="36"/>
      <c r="AE21" s="36"/>
      <c r="AF21" s="36"/>
    </row>
    <row r="22" spans="1:43" s="43" customFormat="1" ht="19.5" x14ac:dyDescent="0.2">
      <c r="A22" s="9" t="s">
        <v>26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P22" s="7"/>
      <c r="Q22" s="7"/>
      <c r="R22" s="7"/>
      <c r="S22" s="7"/>
      <c r="T22" s="7"/>
      <c r="U22" s="6" t="s">
        <v>25</v>
      </c>
      <c r="V22" s="42"/>
      <c r="W22" s="18"/>
      <c r="X22" s="19"/>
      <c r="Y22" s="19"/>
      <c r="Z22" s="19"/>
      <c r="AA22" s="10"/>
      <c r="AB22" s="10"/>
      <c r="AC22" s="10"/>
    </row>
    <row r="23" spans="1:43" s="43" customFormat="1" ht="19.5" x14ac:dyDescent="0.2"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18"/>
      <c r="X23" s="19"/>
      <c r="Y23" s="19"/>
      <c r="Z23" s="19"/>
      <c r="AA23" s="10"/>
      <c r="AB23" s="10"/>
      <c r="AC23" s="10"/>
    </row>
    <row r="24" spans="1:43" s="43" customFormat="1" ht="19.5" x14ac:dyDescent="0.2"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18"/>
      <c r="X24" s="19"/>
      <c r="Y24" s="19"/>
      <c r="Z24" s="19"/>
      <c r="AA24" s="10"/>
      <c r="AB24" s="10"/>
      <c r="AC24" s="10"/>
    </row>
    <row r="25" spans="1:43" s="43" customFormat="1" ht="19.5" x14ac:dyDescent="0.2"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18"/>
      <c r="X25" s="19"/>
      <c r="Y25" s="19"/>
      <c r="Z25" s="19"/>
      <c r="AA25" s="10"/>
      <c r="AB25" s="10"/>
      <c r="AC25" s="10"/>
    </row>
    <row r="26" spans="1:43" s="43" customFormat="1" ht="12" x14ac:dyDescent="0.2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</row>
    <row r="27" spans="1:43" s="43" customFormat="1" ht="12" x14ac:dyDescent="0.2"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</row>
    <row r="28" spans="1:43" x14ac:dyDescent="0.2">
      <c r="A28" s="43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43"/>
      <c r="Y28" s="43"/>
      <c r="Z28" s="43"/>
    </row>
    <row r="29" spans="1:43" x14ac:dyDescent="0.2">
      <c r="A29" s="43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43"/>
      <c r="Y29" s="43"/>
      <c r="Z29" s="43"/>
    </row>
    <row r="30" spans="1:43" x14ac:dyDescent="0.2">
      <c r="A30" s="43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43"/>
      <c r="Y30" s="43"/>
      <c r="Z30" s="43"/>
    </row>
    <row r="31" spans="1:43" x14ac:dyDescent="0.2">
      <c r="A31" s="43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43"/>
      <c r="Y31" s="43"/>
      <c r="Z31" s="43"/>
    </row>
    <row r="32" spans="1:43" x14ac:dyDescent="0.2">
      <c r="A32" s="43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43"/>
      <c r="Y32" s="43"/>
      <c r="Z32" s="43"/>
    </row>
    <row r="33" spans="1:26" x14ac:dyDescent="0.2">
      <c r="A33" s="43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43"/>
      <c r="Y33" s="43"/>
      <c r="Z33" s="43"/>
    </row>
    <row r="34" spans="1:26" x14ac:dyDescent="0.2">
      <c r="A34" s="43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43"/>
      <c r="Y34" s="43"/>
      <c r="Z34" s="43"/>
    </row>
    <row r="35" spans="1:26" x14ac:dyDescent="0.2"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</row>
    <row r="36" spans="1:26" x14ac:dyDescent="0.2"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</row>
    <row r="37" spans="1:26" x14ac:dyDescent="0.2"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</row>
    <row r="38" spans="1:26" x14ac:dyDescent="0.2"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</row>
    <row r="39" spans="1:26" x14ac:dyDescent="0.2"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</row>
    <row r="40" spans="1:26" x14ac:dyDescent="0.2"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</row>
    <row r="41" spans="1:26" x14ac:dyDescent="0.2"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</row>
    <row r="42" spans="1:26" x14ac:dyDescent="0.2"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</row>
    <row r="43" spans="1:26" x14ac:dyDescent="0.2"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</row>
    <row r="44" spans="1:26" x14ac:dyDescent="0.2"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</row>
    <row r="45" spans="1:26" x14ac:dyDescent="0.2"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</row>
    <row r="46" spans="1:26" x14ac:dyDescent="0.2"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</row>
    <row r="47" spans="1:26" x14ac:dyDescent="0.2"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</row>
    <row r="48" spans="1:26" x14ac:dyDescent="0.2"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</row>
    <row r="49" spans="2:20" x14ac:dyDescent="0.2"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</row>
    <row r="50" spans="2:20" x14ac:dyDescent="0.2"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27"/>
      <c r="N50" s="27"/>
      <c r="O50" s="27"/>
      <c r="P50" s="27"/>
      <c r="Q50" s="27"/>
      <c r="R50" s="27"/>
      <c r="S50" s="27"/>
      <c r="T50" s="27"/>
    </row>
    <row r="51" spans="2:20" x14ac:dyDescent="0.2"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27"/>
      <c r="N51" s="27"/>
      <c r="O51" s="27"/>
      <c r="P51" s="27"/>
      <c r="Q51" s="27"/>
      <c r="R51" s="27"/>
      <c r="S51" s="27"/>
      <c r="T51" s="27"/>
    </row>
    <row r="52" spans="2:20" x14ac:dyDescent="0.2"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27"/>
      <c r="N52" s="27"/>
      <c r="O52" s="27"/>
      <c r="P52" s="27"/>
      <c r="Q52" s="27"/>
      <c r="R52" s="27"/>
      <c r="S52" s="27"/>
      <c r="T52" s="27"/>
    </row>
    <row r="53" spans="2:20" x14ac:dyDescent="0.2"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27"/>
      <c r="N53" s="27"/>
      <c r="O53" s="27"/>
      <c r="P53" s="27"/>
      <c r="Q53" s="27"/>
      <c r="R53" s="27"/>
      <c r="S53" s="27"/>
      <c r="T53" s="27"/>
    </row>
    <row r="54" spans="2:20" x14ac:dyDescent="0.2"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27"/>
      <c r="N54" s="27"/>
      <c r="O54" s="27"/>
      <c r="P54" s="27"/>
      <c r="Q54" s="27"/>
      <c r="R54" s="27"/>
      <c r="S54" s="27"/>
      <c r="T54" s="27"/>
    </row>
    <row r="55" spans="2:20" x14ac:dyDescent="0.2"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27"/>
      <c r="N55" s="27"/>
      <c r="O55" s="27"/>
      <c r="P55" s="27"/>
      <c r="Q55" s="27"/>
      <c r="R55" s="27"/>
      <c r="S55" s="27"/>
      <c r="T55" s="27"/>
    </row>
    <row r="56" spans="2:20" x14ac:dyDescent="0.2"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27"/>
      <c r="N56" s="27"/>
      <c r="O56" s="27"/>
      <c r="P56" s="27"/>
      <c r="Q56" s="27"/>
      <c r="R56" s="27"/>
      <c r="S56" s="27"/>
      <c r="T56" s="27"/>
    </row>
    <row r="57" spans="2:20" x14ac:dyDescent="0.2"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27"/>
      <c r="N57" s="27"/>
      <c r="O57" s="27"/>
      <c r="P57" s="27"/>
      <c r="Q57" s="27"/>
      <c r="R57" s="27"/>
      <c r="S57" s="27"/>
      <c r="T57" s="27"/>
    </row>
    <row r="58" spans="2:20" x14ac:dyDescent="0.2">
      <c r="C58" s="45"/>
      <c r="D58" s="45"/>
      <c r="E58" s="45"/>
      <c r="F58" s="45"/>
      <c r="G58" s="45"/>
      <c r="H58" s="45"/>
      <c r="I58" s="45"/>
      <c r="J58" s="45"/>
      <c r="K58" s="45"/>
      <c r="L58" s="45"/>
    </row>
    <row r="59" spans="2:20" x14ac:dyDescent="0.2">
      <c r="C59" s="45"/>
      <c r="D59" s="45"/>
      <c r="E59" s="45"/>
      <c r="F59" s="45"/>
      <c r="G59" s="45"/>
      <c r="H59" s="45"/>
      <c r="I59" s="45"/>
      <c r="J59" s="45"/>
      <c r="K59" s="45"/>
      <c r="L59" s="45"/>
    </row>
    <row r="60" spans="2:20" x14ac:dyDescent="0.2">
      <c r="C60" s="45"/>
      <c r="D60" s="45"/>
      <c r="E60" s="45"/>
      <c r="F60" s="45"/>
      <c r="G60" s="45"/>
      <c r="H60" s="45"/>
      <c r="I60" s="45"/>
      <c r="J60" s="45"/>
      <c r="K60" s="45"/>
      <c r="L60" s="45"/>
    </row>
    <row r="61" spans="2:20" x14ac:dyDescent="0.2">
      <c r="C61" s="45"/>
      <c r="D61" s="45"/>
      <c r="E61" s="45"/>
      <c r="F61" s="45"/>
      <c r="G61" s="45"/>
      <c r="H61" s="45"/>
      <c r="I61" s="45"/>
      <c r="J61" s="45"/>
      <c r="K61" s="45"/>
      <c r="L61" s="45"/>
    </row>
    <row r="62" spans="2:20" x14ac:dyDescent="0.2">
      <c r="C62" s="45"/>
      <c r="D62" s="45"/>
      <c r="E62" s="45"/>
      <c r="F62" s="45"/>
      <c r="G62" s="45"/>
      <c r="H62" s="45"/>
      <c r="I62" s="45"/>
      <c r="J62" s="45"/>
      <c r="K62" s="45"/>
      <c r="L62" s="45"/>
    </row>
  </sheetData>
  <mergeCells count="10">
    <mergeCell ref="A2:U2"/>
    <mergeCell ref="A1:U1"/>
    <mergeCell ref="A3:U3"/>
    <mergeCell ref="A4:U4"/>
    <mergeCell ref="A5:A8"/>
    <mergeCell ref="B5:H5"/>
    <mergeCell ref="M6:S6"/>
    <mergeCell ref="M7:S7"/>
    <mergeCell ref="B6:L6"/>
    <mergeCell ref="B7:L7"/>
  </mergeCells>
  <pageMargins left="0.7" right="0.7" top="0.75" bottom="0.75" header="0.3" footer="0.3"/>
  <pageSetup paperSize="9" scale="41" orientation="portrait" horizontalDpi="4294967295" verticalDpi="4294967295" r:id="rId1"/>
  <colBreaks count="1" manualBreakCount="1">
    <brk id="22" max="4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9.4</vt:lpstr>
      <vt:lpstr>'9.4'!Print_Area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2023-01-30T03:07:51Z</cp:lastPrinted>
  <dcterms:created xsi:type="dcterms:W3CDTF">2019-09-09T05:11:24Z</dcterms:created>
  <dcterms:modified xsi:type="dcterms:W3CDTF">2023-01-30T03:07:56Z</dcterms:modified>
</cp:coreProperties>
</file>