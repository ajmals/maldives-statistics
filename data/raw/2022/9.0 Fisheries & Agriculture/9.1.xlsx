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928"/>
  <workbookPr/>
  <mc:AlternateContent xmlns:mc="http://schemas.openxmlformats.org/markup-compatibility/2006">
    <mc:Choice Requires="x15">
      <x15ac:absPath xmlns:x15ac="http://schemas.microsoft.com/office/spreadsheetml/2010/11/ac" url="\\192.168.1.8\st4\Dissemination\Publications\Statistical Year Book\YEARBOOK 2022\Final\web\Fisheries &amp; Agriculture\"/>
    </mc:Choice>
  </mc:AlternateContent>
  <xr:revisionPtr revIDLastSave="0" documentId="13_ncr:1_{6D058230-9038-4025-A156-0AE6847B3E97}" xr6:coauthVersionLast="47" xr6:coauthVersionMax="47" xr10:uidLastSave="{00000000-0000-0000-0000-000000000000}"/>
  <bookViews>
    <workbookView xWindow="-120" yWindow="-120" windowWidth="29040" windowHeight="15840" tabRatio="831" xr2:uid="{00000000-000D-0000-FFFF-FFFF00000000}"/>
  </bookViews>
  <sheets>
    <sheet name="9.1" sheetId="1" r:id="rId1"/>
  </sheets>
  <definedNames>
    <definedName name="_xlnm.Print_Area" localSheetId="0">'9.1'!$A$1:$AD$21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0" i="1" l="1"/>
  <c r="AC15" i="1" l="1"/>
  <c r="AC14" i="1"/>
  <c r="AC11" i="1"/>
  <c r="R9" i="1"/>
  <c r="AC9" i="1" s="1"/>
  <c r="AC13" i="1"/>
  <c r="AC12" i="1"/>
  <c r="AC8" i="1"/>
  <c r="AC10" i="1"/>
  <c r="Q10" i="1" l="1"/>
  <c r="AB13" i="1" s="1"/>
  <c r="AB12" i="1" l="1"/>
  <c r="AB11" i="1"/>
  <c r="AB8" i="1"/>
  <c r="Q9" i="1"/>
  <c r="AB9" i="1" s="1"/>
  <c r="AB15" i="1"/>
  <c r="AB14" i="1"/>
  <c r="AB10" i="1"/>
  <c r="P10" i="1" l="1"/>
  <c r="AA14" i="1" l="1"/>
  <c r="AA15" i="1"/>
  <c r="AA13" i="1"/>
  <c r="AA11" i="1"/>
  <c r="AA12" i="1"/>
  <c r="AA8" i="1"/>
  <c r="P9" i="1"/>
  <c r="AA9" i="1" s="1"/>
  <c r="AA10" i="1"/>
  <c r="O10" i="1" l="1"/>
  <c r="Z12" i="1" s="1"/>
  <c r="N10" i="1"/>
  <c r="Y12" i="1" s="1"/>
  <c r="M10" i="1"/>
  <c r="X15" i="1" s="1"/>
  <c r="L10" i="1"/>
  <c r="W12" i="1" s="1"/>
  <c r="K10" i="1"/>
  <c r="V10" i="1" s="1"/>
  <c r="J10" i="1"/>
  <c r="U12" i="1" s="1"/>
  <c r="I10" i="1"/>
  <c r="T12" i="1" s="1"/>
  <c r="H10" i="1"/>
  <c r="S12" i="1" s="1"/>
  <c r="G10" i="1"/>
  <c r="G9" i="1" s="1"/>
  <c r="F10" i="1"/>
  <c r="E10" i="1"/>
  <c r="D10" i="1"/>
  <c r="C10" i="1"/>
  <c r="U9" i="1"/>
  <c r="W8" i="1"/>
  <c r="H9" i="1" l="1"/>
  <c r="S9" i="1" s="1"/>
  <c r="X8" i="1"/>
  <c r="T8" i="1"/>
  <c r="X9" i="1"/>
  <c r="U8" i="1"/>
  <c r="I9" i="1"/>
  <c r="T9" i="1" s="1"/>
  <c r="Y8" i="1"/>
  <c r="Y13" i="1"/>
  <c r="Y9" i="1"/>
  <c r="Z13" i="1"/>
  <c r="Z9" i="1"/>
  <c r="Y14" i="1"/>
  <c r="Z14" i="1"/>
  <c r="Y15" i="1"/>
  <c r="Z8" i="1"/>
  <c r="Z15" i="1"/>
  <c r="V12" i="1"/>
  <c r="X11" i="1"/>
  <c r="S15" i="1"/>
  <c r="V9" i="1"/>
  <c r="Y10" i="1"/>
  <c r="Y11" i="1"/>
  <c r="T14" i="1"/>
  <c r="T15" i="1"/>
  <c r="V11" i="1"/>
  <c r="X10" i="1"/>
  <c r="X12" i="1"/>
  <c r="S14" i="1"/>
  <c r="S8" i="1"/>
  <c r="Z10" i="1"/>
  <c r="Z11" i="1"/>
  <c r="U14" i="1"/>
  <c r="U15" i="1"/>
  <c r="S11" i="1"/>
  <c r="V13" i="1"/>
  <c r="V14" i="1"/>
  <c r="T10" i="1"/>
  <c r="T11" i="1"/>
  <c r="W13" i="1"/>
  <c r="W14" i="1"/>
  <c r="W15" i="1"/>
  <c r="S10" i="1"/>
  <c r="V15" i="1"/>
  <c r="V8" i="1"/>
  <c r="L9" i="1"/>
  <c r="W9" i="1" s="1"/>
  <c r="U10" i="1"/>
  <c r="U11" i="1"/>
  <c r="X13" i="1"/>
  <c r="X14" i="1"/>
  <c r="W10" i="1"/>
  <c r="W11" i="1"/>
</calcChain>
</file>

<file path=xl/sharedStrings.xml><?xml version="1.0" encoding="utf-8"?>
<sst xmlns="http://schemas.openxmlformats.org/spreadsheetml/2006/main" count="31" uniqueCount="31">
  <si>
    <t>(cnuhWh cnwT ckircTem )</t>
  </si>
  <si>
    <t>(In '000 metric tons)</t>
  </si>
  <si>
    <t>udwdwA unuverukcnunEb cswm</t>
  </si>
  <si>
    <t>cniawtcaws ctogWviawfiheb</t>
  </si>
  <si>
    <t>Items</t>
  </si>
  <si>
    <t>Fish Production</t>
  </si>
  <si>
    <t>Percentage share</t>
  </si>
  <si>
    <t>cawtcmwTiawa</t>
  </si>
  <si>
    <t>Exports (Excluding  previous years stock)</t>
  </si>
  <si>
    <t>(Enemihun ckoTcs egurwhwaIruk) cTrOpcsckea</t>
  </si>
  <si>
    <t>Local consumption</t>
  </si>
  <si>
    <t>unuverukcnunEb</t>
  </si>
  <si>
    <t xml:space="preserve">Total Catch       </t>
  </si>
  <si>
    <t>wlcmuj eguhwm inEb / Wfih</t>
  </si>
  <si>
    <t>(iawfWnwmih udcawHwrws IdWBitcqia)  cswmwlibuLwk</t>
  </si>
  <si>
    <t>(iawfWnwmih udcawHwrws IdWBitcqia) ilencnwk</t>
  </si>
  <si>
    <t>Bigeye tuna</t>
  </si>
  <si>
    <t>ilencnwk uDobOl</t>
  </si>
  <si>
    <t>Other Tuna Related Species</t>
  </si>
  <si>
    <t>cswmiSov idwa ,iDnogWr ,iTcawl</t>
  </si>
  <si>
    <t>(iawfWnwmih udcawHwrws IdWBitcqia)  cswmurwf cnehinehea</t>
  </si>
  <si>
    <r>
      <t xml:space="preserve">Note: </t>
    </r>
    <r>
      <rPr>
        <b/>
        <i/>
        <vertAlign val="superscript"/>
        <sz val="11"/>
        <rFont val="Arial"/>
        <family val="2"/>
      </rPr>
      <t/>
    </r>
  </si>
  <si>
    <t>މަޢުލޫމާތުދެއްވި ފަރާތް: ރަށު ކައުންސިލްތައް، މޯލްޑިވްސް ކަސްޓަމްސް ސަރވިސަސް</t>
  </si>
  <si>
    <t>The Export in metric tons does not include: Articles Made Of Shells, Dried Shark Fins, Fish Soup, Flours, Meals And Pellets Of Fish, Etc, Unfit For Human Consumption, Live Grouper, Live Ornamental Fish,  Other Hides And Skins, Fresh Or Preserved, Not Tanned, Nes, Salted Dried Shark Fins &amp; Shark-Liver Oil</t>
  </si>
  <si>
    <t>Skipjack Tuna</t>
  </si>
  <si>
    <t xml:space="preserve">Yellowfin Tuna </t>
  </si>
  <si>
    <t xml:space="preserve">Other Marine Fishes </t>
  </si>
  <si>
    <t>މަޢުލޫމާތުދެއްވި ފަރާތް: މިނިސްޓްރީ އޮފް ފިޝަރީޒް، މެރިންރިސޯސަސް އެންޑް އެގްރިކަލްޗަރ</t>
  </si>
  <si>
    <t>Source: Island Councils, Maldives Customs Services and Ministry of Fisheries, Marine Resources  and Agriculture</t>
  </si>
  <si>
    <t>2021 - 2011 ,urwvcnim eguhwminEb wtwvun Wfih ecnutog egumunEbunuveruk iaWncnutwvWb eguhwm : 9.1 ulwvWt</t>
  </si>
  <si>
    <t xml:space="preserve">Table 9.1 :FISH PRODUCTION BY TYPE AND UTILIZATION, 2011 - 2021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</si>
</sst>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General_)"/>
    <numFmt numFmtId="165" formatCode="#,##0.0"/>
    <numFmt numFmtId="170" formatCode="[$-409]mmmm\ d\,\ yyyy;@"/>
  </numFmts>
  <fonts count="26" x14ac:knownFonts="1">
    <font>
      <sz val="11"/>
      <color theme="1"/>
      <name val="Calibri"/>
      <family val="2"/>
      <scheme val="minor"/>
    </font>
    <font>
      <sz val="10"/>
      <name val="Courier"/>
      <family val="3"/>
    </font>
    <font>
      <b/>
      <sz val="12"/>
      <name val="Calibri"/>
      <family val="2"/>
    </font>
    <font>
      <sz val="9"/>
      <name val="Arial"/>
      <family val="2"/>
    </font>
    <font>
      <b/>
      <sz val="11"/>
      <name val="Calibri"/>
      <family val="2"/>
    </font>
    <font>
      <b/>
      <sz val="9"/>
      <name val="Arial"/>
      <family val="2"/>
    </font>
    <font>
      <b/>
      <sz val="11"/>
      <name val="A_Waheed"/>
      <family val="3"/>
    </font>
    <font>
      <b/>
      <sz val="9"/>
      <name val="Calibri"/>
      <family val="2"/>
    </font>
    <font>
      <sz val="9.5"/>
      <name val="Courier"/>
      <family val="3"/>
    </font>
    <font>
      <b/>
      <sz val="9.5"/>
      <name val="Calibri"/>
      <family val="2"/>
    </font>
    <font>
      <sz val="9.5"/>
      <name val="A_Waheed"/>
      <family val="3"/>
    </font>
    <font>
      <sz val="9.5"/>
      <name val="Arial"/>
      <family val="2"/>
    </font>
    <font>
      <sz val="10"/>
      <name val="Calibri"/>
      <family val="2"/>
    </font>
    <font>
      <sz val="10"/>
      <name val="AKKO"/>
      <family val="2"/>
    </font>
    <font>
      <sz val="10"/>
      <name val="Arial"/>
      <family val="2"/>
    </font>
    <font>
      <b/>
      <sz val="10"/>
      <name val="Calibri"/>
      <family val="2"/>
    </font>
    <font>
      <i/>
      <sz val="9"/>
      <name val="Calibri"/>
      <family val="2"/>
      <scheme val="minor"/>
    </font>
    <font>
      <b/>
      <i/>
      <vertAlign val="superscript"/>
      <sz val="11"/>
      <name val="Arial"/>
      <family val="2"/>
    </font>
    <font>
      <sz val="9"/>
      <name val="Faruma"/>
      <family val="3"/>
    </font>
    <font>
      <i/>
      <sz val="9"/>
      <name val="Calibri"/>
      <family val="2"/>
    </font>
    <font>
      <i/>
      <sz val="9"/>
      <name val="Arial"/>
      <family val="2"/>
    </font>
    <font>
      <sz val="9"/>
      <name val="Courier"/>
      <family val="3"/>
    </font>
    <font>
      <sz val="10"/>
      <name val="MS Sans Serif"/>
      <family val="2"/>
    </font>
    <font>
      <b/>
      <sz val="10"/>
      <name val="A_Faseyha"/>
    </font>
    <font>
      <b/>
      <sz val="9.5"/>
      <name val="Arial"/>
      <family val="2"/>
    </font>
    <font>
      <sz val="10"/>
      <name val="A_Faseyha"/>
    </font>
  </fonts>
  <fills count="3">
    <fill>
      <patternFill patternType="none"/>
    </fill>
    <fill>
      <patternFill patternType="gray125"/>
    </fill>
    <fill>
      <patternFill patternType="solid">
        <fgColor theme="0"/>
        <bgColor indexed="64"/>
      </patternFill>
    </fill>
  </fills>
  <borders count="16">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hair">
        <color indexed="64"/>
      </bottom>
      <diagonal/>
    </border>
    <border>
      <left/>
      <right/>
      <top style="hair">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style="hair">
        <color indexed="64"/>
      </bottom>
      <diagonal/>
    </border>
    <border>
      <left/>
      <right style="thin">
        <color theme="1"/>
      </right>
      <top/>
      <bottom style="hair">
        <color indexed="64"/>
      </bottom>
      <diagonal/>
    </border>
    <border>
      <left/>
      <right style="thin">
        <color theme="1"/>
      </right>
      <top style="thin">
        <color indexed="64"/>
      </top>
      <bottom/>
      <diagonal/>
    </border>
    <border>
      <left/>
      <right style="thin">
        <color theme="1"/>
      </right>
      <top/>
      <bottom/>
      <diagonal/>
    </border>
    <border>
      <left/>
      <right style="thin">
        <color theme="1"/>
      </right>
      <top/>
      <bottom style="thin">
        <color indexed="64"/>
      </bottom>
      <diagonal/>
    </border>
    <border>
      <left/>
      <right style="thin">
        <color indexed="64"/>
      </right>
      <top style="hair">
        <color indexed="64"/>
      </top>
      <bottom style="thin">
        <color indexed="64"/>
      </bottom>
      <diagonal/>
    </border>
    <border>
      <left style="thin">
        <color theme="1"/>
      </left>
      <right/>
      <top/>
      <bottom style="hair">
        <color theme="1"/>
      </bottom>
      <diagonal/>
    </border>
    <border>
      <left/>
      <right/>
      <top/>
      <bottom style="hair">
        <color theme="1"/>
      </bottom>
      <diagonal/>
    </border>
  </borders>
  <cellStyleXfs count="7">
    <xf numFmtId="0" fontId="0" fillId="0" borderId="0"/>
    <xf numFmtId="164" fontId="1" fillId="0" borderId="0"/>
    <xf numFmtId="40" fontId="22" fillId="0" borderId="0" applyFont="0" applyFill="0" applyBorder="0" applyAlignment="0" applyProtection="0"/>
    <xf numFmtId="170" fontId="1" fillId="0" borderId="0"/>
    <xf numFmtId="170" fontId="1" fillId="0" borderId="0"/>
    <xf numFmtId="170" fontId="1" fillId="0" borderId="0"/>
    <xf numFmtId="0" fontId="14" fillId="0" borderId="0"/>
  </cellStyleXfs>
  <cellXfs count="57">
    <xf numFmtId="0" fontId="0" fillId="0" borderId="0" xfId="0"/>
    <xf numFmtId="164" fontId="1" fillId="2" borderId="0" xfId="1" applyFill="1" applyAlignment="1">
      <alignment vertical="center"/>
    </xf>
    <xf numFmtId="164" fontId="3" fillId="2" borderId="0" xfId="1" applyFont="1" applyFill="1" applyAlignment="1">
      <alignment vertical="center"/>
    </xf>
    <xf numFmtId="164" fontId="5" fillId="2" borderId="0" xfId="1" applyFont="1" applyFill="1" applyAlignment="1">
      <alignment horizontal="center" vertical="center"/>
    </xf>
    <xf numFmtId="164" fontId="0" fillId="2" borderId="2" xfId="0" applyNumberFormat="1" applyFill="1" applyBorder="1" applyAlignment="1">
      <alignment vertical="center"/>
    </xf>
    <xf numFmtId="164" fontId="8" fillId="2" borderId="1" xfId="1" applyFont="1" applyFill="1" applyBorder="1" applyAlignment="1">
      <alignment vertical="center"/>
    </xf>
    <xf numFmtId="1" fontId="9" fillId="2" borderId="1" xfId="1" applyNumberFormat="1" applyFont="1" applyFill="1" applyBorder="1" applyAlignment="1">
      <alignment horizontal="right" vertical="center"/>
    </xf>
    <xf numFmtId="164" fontId="10" fillId="2" borderId="1" xfId="1" applyFont="1" applyFill="1" applyBorder="1" applyAlignment="1">
      <alignment vertical="center"/>
    </xf>
    <xf numFmtId="164" fontId="11" fillId="2" borderId="0" xfId="1" applyFont="1" applyFill="1" applyAlignment="1">
      <alignment vertical="center"/>
    </xf>
    <xf numFmtId="164" fontId="8" fillId="2" borderId="0" xfId="1" applyFont="1" applyFill="1" applyAlignment="1">
      <alignment vertical="center"/>
    </xf>
    <xf numFmtId="164" fontId="12" fillId="2" borderId="0" xfId="1" applyFont="1" applyFill="1" applyAlignment="1">
      <alignment horizontal="left" vertical="center"/>
    </xf>
    <xf numFmtId="165" fontId="12" fillId="2" borderId="2" xfId="1" applyNumberFormat="1" applyFont="1" applyFill="1" applyBorder="1" applyAlignment="1" applyProtection="1">
      <alignment horizontal="right" vertical="center"/>
      <protection locked="0"/>
    </xf>
    <xf numFmtId="165" fontId="12" fillId="2" borderId="0" xfId="1" applyNumberFormat="1" applyFont="1" applyFill="1" applyAlignment="1" applyProtection="1">
      <alignment horizontal="right" vertical="center"/>
      <protection locked="0"/>
    </xf>
    <xf numFmtId="164" fontId="13" fillId="2" borderId="0" xfId="1" applyFont="1" applyFill="1" applyAlignment="1">
      <alignment horizontal="right" vertical="center"/>
    </xf>
    <xf numFmtId="164" fontId="14" fillId="2" borderId="0" xfId="1" applyFont="1" applyFill="1" applyAlignment="1">
      <alignment vertical="center"/>
    </xf>
    <xf numFmtId="164" fontId="15" fillId="2" borderId="0" xfId="1" applyFont="1" applyFill="1" applyAlignment="1">
      <alignment horizontal="left" vertical="center"/>
    </xf>
    <xf numFmtId="165" fontId="15" fillId="2" borderId="0" xfId="1" applyNumberFormat="1" applyFont="1" applyFill="1" applyAlignment="1" applyProtection="1">
      <alignment horizontal="right" vertical="center"/>
      <protection locked="0"/>
    </xf>
    <xf numFmtId="164" fontId="12" fillId="2" borderId="1" xfId="1" applyFont="1" applyFill="1" applyBorder="1" applyAlignment="1">
      <alignment horizontal="left" vertical="center"/>
    </xf>
    <xf numFmtId="165" fontId="12" fillId="2" borderId="1" xfId="1" applyNumberFormat="1" applyFont="1" applyFill="1" applyBorder="1" applyAlignment="1" applyProtection="1">
      <alignment horizontal="right" vertical="center"/>
      <protection locked="0"/>
    </xf>
    <xf numFmtId="164" fontId="16" fillId="2" borderId="0" xfId="1" applyFont="1" applyFill="1" applyAlignment="1">
      <alignment horizontal="left" vertical="center"/>
    </xf>
    <xf numFmtId="164" fontId="18" fillId="2" borderId="0" xfId="1" applyFont="1" applyFill="1" applyAlignment="1">
      <alignment horizontal="right" vertical="center"/>
    </xf>
    <xf numFmtId="164" fontId="19" fillId="2" borderId="0" xfId="1" applyFont="1" applyFill="1" applyAlignment="1">
      <alignment vertical="center" wrapText="1"/>
    </xf>
    <xf numFmtId="164" fontId="20" fillId="2" borderId="0" xfId="1" applyFont="1" applyFill="1" applyAlignment="1">
      <alignment horizontal="left" vertical="center"/>
    </xf>
    <xf numFmtId="164" fontId="21" fillId="2" borderId="0" xfId="1" applyFont="1" applyFill="1" applyAlignment="1">
      <alignment vertical="center"/>
    </xf>
    <xf numFmtId="164" fontId="19" fillId="2" borderId="0" xfId="1" applyFont="1" applyFill="1" applyAlignment="1">
      <alignment horizontal="left" vertical="center"/>
    </xf>
    <xf numFmtId="164" fontId="16" fillId="2" borderId="0" xfId="1" applyFont="1" applyFill="1" applyAlignment="1">
      <alignment horizontal="left" vertical="top"/>
    </xf>
    <xf numFmtId="164" fontId="7" fillId="2" borderId="0" xfId="1" applyFont="1" applyFill="1" applyAlignment="1">
      <alignment horizontal="left" vertical="center"/>
    </xf>
    <xf numFmtId="164" fontId="5" fillId="2" borderId="8" xfId="1" applyFont="1" applyFill="1" applyBorder="1" applyAlignment="1">
      <alignment horizontal="center" vertical="center"/>
    </xf>
    <xf numFmtId="164" fontId="6" fillId="2" borderId="2" xfId="1" applyFont="1" applyFill="1" applyBorder="1" applyAlignment="1">
      <alignment vertical="center"/>
    </xf>
    <xf numFmtId="164" fontId="5" fillId="2" borderId="1" xfId="1" applyFont="1" applyFill="1" applyBorder="1" applyAlignment="1">
      <alignment horizontal="center" vertical="center"/>
    </xf>
    <xf numFmtId="164" fontId="4" fillId="2" borderId="4" xfId="1" applyFont="1" applyFill="1" applyBorder="1" applyAlignment="1">
      <alignment vertical="center"/>
    </xf>
    <xf numFmtId="1" fontId="24" fillId="2" borderId="1" xfId="1" applyNumberFormat="1" applyFont="1" applyFill="1" applyBorder="1" applyAlignment="1">
      <alignment horizontal="right" vertical="center"/>
    </xf>
    <xf numFmtId="3" fontId="3" fillId="2" borderId="0" xfId="1" applyNumberFormat="1" applyFont="1" applyFill="1" applyAlignment="1">
      <alignment vertical="center"/>
    </xf>
    <xf numFmtId="164" fontId="25" fillId="2" borderId="0" xfId="1" applyFont="1" applyFill="1" applyAlignment="1">
      <alignment horizontal="right" vertical="center"/>
    </xf>
    <xf numFmtId="164" fontId="23" fillId="2" borderId="0" xfId="1" applyFont="1" applyFill="1" applyAlignment="1">
      <alignment horizontal="right" vertical="center"/>
    </xf>
    <xf numFmtId="164" fontId="23" fillId="2" borderId="0" xfId="0" applyNumberFormat="1" applyFont="1" applyFill="1" applyAlignment="1">
      <alignment horizontal="right" vertical="center"/>
    </xf>
    <xf numFmtId="164" fontId="25" fillId="2" borderId="1" xfId="1" applyFont="1" applyFill="1" applyBorder="1" applyAlignment="1">
      <alignment horizontal="right" vertical="center"/>
    </xf>
    <xf numFmtId="0" fontId="14" fillId="2" borderId="0" xfId="0" applyFont="1" applyFill="1" applyAlignment="1" applyProtection="1">
      <alignment vertical="center"/>
      <protection hidden="1"/>
    </xf>
    <xf numFmtId="1" fontId="9" fillId="2" borderId="5" xfId="1" applyNumberFormat="1" applyFont="1" applyFill="1" applyBorder="1" applyAlignment="1">
      <alignment horizontal="right" vertical="center"/>
    </xf>
    <xf numFmtId="1" fontId="9" fillId="2" borderId="13" xfId="1" applyNumberFormat="1" applyFont="1" applyFill="1" applyBorder="1" applyAlignment="1">
      <alignment horizontal="right" vertical="center"/>
    </xf>
    <xf numFmtId="165" fontId="12" fillId="2" borderId="10" xfId="1" applyNumberFormat="1" applyFont="1" applyFill="1" applyBorder="1" applyAlignment="1" applyProtection="1">
      <alignment horizontal="right" vertical="center"/>
      <protection locked="0"/>
    </xf>
    <xf numFmtId="165" fontId="15" fillId="2" borderId="11" xfId="1" applyNumberFormat="1" applyFont="1" applyFill="1" applyBorder="1" applyAlignment="1" applyProtection="1">
      <alignment horizontal="right" vertical="center"/>
      <protection locked="0"/>
    </xf>
    <xf numFmtId="165" fontId="12" fillId="2" borderId="11" xfId="1" applyNumberFormat="1" applyFont="1" applyFill="1" applyBorder="1" applyAlignment="1" applyProtection="1">
      <alignment horizontal="right" vertical="center"/>
      <protection locked="0"/>
    </xf>
    <xf numFmtId="165" fontId="12" fillId="2" borderId="12" xfId="1" applyNumberFormat="1" applyFont="1" applyFill="1" applyBorder="1" applyAlignment="1" applyProtection="1">
      <alignment horizontal="right" vertical="center"/>
      <protection locked="0"/>
    </xf>
    <xf numFmtId="165" fontId="12" fillId="2" borderId="6" xfId="1" applyNumberFormat="1" applyFont="1" applyFill="1" applyBorder="1" applyAlignment="1" applyProtection="1">
      <alignment horizontal="right" vertical="center"/>
      <protection locked="0"/>
    </xf>
    <xf numFmtId="164" fontId="16" fillId="2" borderId="0" xfId="1" applyFont="1" applyFill="1" applyAlignment="1">
      <alignment horizontal="left" vertical="center" wrapText="1"/>
    </xf>
    <xf numFmtId="164" fontId="23" fillId="2" borderId="0" xfId="1" applyFont="1" applyFill="1" applyAlignment="1">
      <alignment horizontal="center" vertical="center"/>
    </xf>
    <xf numFmtId="164" fontId="2" fillId="2" borderId="0" xfId="1" applyFont="1" applyFill="1" applyAlignment="1">
      <alignment horizontal="center" vertical="center" wrapText="1"/>
    </xf>
    <xf numFmtId="164" fontId="25" fillId="2" borderId="0" xfId="1" applyFont="1" applyFill="1" applyAlignment="1">
      <alignment horizontal="center" vertical="center"/>
    </xf>
    <xf numFmtId="164" fontId="4" fillId="2" borderId="1" xfId="1" applyFont="1" applyFill="1" applyBorder="1" applyAlignment="1">
      <alignment horizontal="center" vertical="center"/>
    </xf>
    <xf numFmtId="164" fontId="23" fillId="2" borderId="2" xfId="1" applyFont="1" applyFill="1" applyBorder="1" applyAlignment="1">
      <alignment horizontal="center" vertical="center"/>
    </xf>
    <xf numFmtId="164" fontId="23" fillId="2" borderId="3" xfId="1" applyFont="1" applyFill="1" applyBorder="1" applyAlignment="1">
      <alignment horizontal="center" vertical="center"/>
    </xf>
    <xf numFmtId="164" fontId="4" fillId="2" borderId="4" xfId="1" applyFont="1" applyFill="1" applyBorder="1" applyAlignment="1">
      <alignment horizontal="center" vertical="center"/>
    </xf>
    <xf numFmtId="164" fontId="4" fillId="2" borderId="9" xfId="1" applyFont="1" applyFill="1" applyBorder="1" applyAlignment="1">
      <alignment horizontal="center" vertical="center"/>
    </xf>
    <xf numFmtId="164" fontId="23" fillId="2" borderId="7" xfId="1" applyFont="1" applyFill="1" applyBorder="1" applyAlignment="1">
      <alignment horizontal="center" vertical="center"/>
    </xf>
    <xf numFmtId="164" fontId="4" fillId="2" borderId="14" xfId="1" applyFont="1" applyFill="1" applyBorder="1" applyAlignment="1">
      <alignment horizontal="center" vertical="center"/>
    </xf>
    <xf numFmtId="164" fontId="4" fillId="2" borderId="15" xfId="1" applyFont="1" applyFill="1" applyBorder="1" applyAlignment="1">
      <alignment horizontal="center" vertical="center"/>
    </xf>
  </cellXfs>
  <cellStyles count="7">
    <cellStyle name="1" xfId="6" xr:uid="{00000000-0005-0000-0000-000000000000}"/>
    <cellStyle name="Comma 2" xfId="2" xr:uid="{00000000-0005-0000-0000-000002000000}"/>
    <cellStyle name="Normal" xfId="0" builtinId="0"/>
    <cellStyle name="Normal 2_agri planning 2009 year book(final)" xfId="3" xr:uid="{00000000-0005-0000-0000-000005000000}"/>
    <cellStyle name="Normal 3_agri planning 2009 year book(final)" xfId="5" xr:uid="{00000000-0005-0000-0000-000006000000}"/>
    <cellStyle name="Normal 4_agri planning 2009 year book(final)" xfId="4" xr:uid="{00000000-0005-0000-0000-000007000000}"/>
    <cellStyle name="Normal_Fish &amp;  Agri - 8" xfId="1" xr:uid="{00000000-0005-0000-0000-00000A000000}"/>
  </cellStyles>
  <dxfs count="0"/>
  <tableStyles count="0" defaultTableStyle="TableStyleMedium2" defaultPivotStyle="PivotStyleLight16"/>
  <colors>
    <mruColors>
      <color rgb="FFFFD5D5"/>
      <color rgb="FFFFA7A7"/>
      <color rgb="FFFFE5E5"/>
      <color rgb="FF249390"/>
      <color rgb="FF33CCCC"/>
      <color rgb="FFEAFAFA"/>
      <color rgb="FFFF9900"/>
      <color rgb="FF196563"/>
      <color rgb="FF00FFCC"/>
      <color rgb="FFC8905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4A12-4300-84F4-DEF518FD09D4}"/>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4A12-4300-84F4-DEF518FD09D4}"/>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4A12-4300-84F4-DEF518FD09D4}"/>
            </c:ext>
          </c:extLst>
        </c:ser>
        <c:dLbls>
          <c:showLegendKey val="0"/>
          <c:showVal val="0"/>
          <c:showCatName val="0"/>
          <c:showSerName val="0"/>
          <c:showPercent val="0"/>
          <c:showBubbleSize val="0"/>
        </c:dLbls>
        <c:gapWidth val="150"/>
        <c:axId val="333964248"/>
        <c:axId val="333965032"/>
      </c:barChart>
      <c:catAx>
        <c:axId val="3339642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5032"/>
        <c:crosses val="autoZero"/>
        <c:auto val="1"/>
        <c:lblAlgn val="ctr"/>
        <c:lblOffset val="100"/>
        <c:tickLblSkip val="1"/>
        <c:tickMarkSkip val="1"/>
        <c:noMultiLvlLbl val="0"/>
      </c:catAx>
      <c:valAx>
        <c:axId val="333965032"/>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424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DE9A-4180-89C3-49FCB272BA63}"/>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DE9A-4180-89C3-49FCB272BA63}"/>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DE9A-4180-89C3-49FCB272BA63}"/>
            </c:ext>
          </c:extLst>
        </c:ser>
        <c:dLbls>
          <c:showLegendKey val="0"/>
          <c:showVal val="0"/>
          <c:showCatName val="0"/>
          <c:showSerName val="0"/>
          <c:showPercent val="0"/>
          <c:showBubbleSize val="0"/>
        </c:dLbls>
        <c:gapWidth val="150"/>
        <c:axId val="333960720"/>
        <c:axId val="333961504"/>
      </c:barChart>
      <c:catAx>
        <c:axId val="3339607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1504"/>
        <c:crosses val="autoZero"/>
        <c:auto val="1"/>
        <c:lblAlgn val="ctr"/>
        <c:lblOffset val="100"/>
        <c:tickLblSkip val="1"/>
        <c:tickMarkSkip val="1"/>
        <c:noMultiLvlLbl val="0"/>
      </c:catAx>
      <c:valAx>
        <c:axId val="333961504"/>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0720"/>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9B79-4CF9-AB09-589292F857A3}"/>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9B79-4CF9-AB09-589292F857A3}"/>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9B79-4CF9-AB09-589292F857A3}"/>
            </c:ext>
          </c:extLst>
        </c:ser>
        <c:dLbls>
          <c:showLegendKey val="0"/>
          <c:showVal val="0"/>
          <c:showCatName val="0"/>
          <c:showSerName val="0"/>
          <c:showPercent val="0"/>
          <c:showBubbleSize val="0"/>
        </c:dLbls>
        <c:gapWidth val="150"/>
        <c:axId val="333963464"/>
        <c:axId val="333963072"/>
      </c:barChart>
      <c:catAx>
        <c:axId val="333963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3072"/>
        <c:crosses val="autoZero"/>
        <c:auto val="1"/>
        <c:lblAlgn val="ctr"/>
        <c:lblOffset val="100"/>
        <c:tickLblSkip val="1"/>
        <c:tickMarkSkip val="1"/>
        <c:noMultiLvlLbl val="0"/>
      </c:catAx>
      <c:valAx>
        <c:axId val="333963072"/>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3464"/>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A515-4F7E-B46E-139E2A588918}"/>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A515-4F7E-B46E-139E2A588918}"/>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A515-4F7E-B46E-139E2A588918}"/>
            </c:ext>
          </c:extLst>
        </c:ser>
        <c:dLbls>
          <c:showLegendKey val="0"/>
          <c:showVal val="0"/>
          <c:showCatName val="0"/>
          <c:showSerName val="0"/>
          <c:showPercent val="0"/>
          <c:showBubbleSize val="0"/>
        </c:dLbls>
        <c:gapWidth val="150"/>
        <c:axId val="333962288"/>
        <c:axId val="333962680"/>
      </c:barChart>
      <c:catAx>
        <c:axId val="33396228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2680"/>
        <c:crosses val="autoZero"/>
        <c:auto val="1"/>
        <c:lblAlgn val="ctr"/>
        <c:lblOffset val="100"/>
        <c:tickLblSkip val="1"/>
        <c:tickMarkSkip val="1"/>
        <c:noMultiLvlLbl val="0"/>
      </c:catAx>
      <c:valAx>
        <c:axId val="33396268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228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2F4E-46FE-854F-AF2714417B24}"/>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2F4E-46FE-854F-AF2714417B24}"/>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2F4E-46FE-854F-AF2714417B24}"/>
            </c:ext>
          </c:extLst>
        </c:ser>
        <c:dLbls>
          <c:showLegendKey val="0"/>
          <c:showVal val="0"/>
          <c:showCatName val="0"/>
          <c:showSerName val="0"/>
          <c:showPercent val="0"/>
          <c:showBubbleSize val="0"/>
        </c:dLbls>
        <c:gapWidth val="150"/>
        <c:axId val="333965816"/>
        <c:axId val="333959544"/>
      </c:barChart>
      <c:catAx>
        <c:axId val="33396581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59544"/>
        <c:crosses val="autoZero"/>
        <c:auto val="1"/>
        <c:lblAlgn val="ctr"/>
        <c:lblOffset val="100"/>
        <c:tickLblSkip val="1"/>
        <c:tickMarkSkip val="1"/>
        <c:noMultiLvlLbl val="0"/>
      </c:catAx>
      <c:valAx>
        <c:axId val="333959544"/>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5816"/>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4B02-45C9-A7F1-AE4C72140150}"/>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4B02-45C9-A7F1-AE4C72140150}"/>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4B02-45C9-A7F1-AE4C72140150}"/>
            </c:ext>
          </c:extLst>
        </c:ser>
        <c:dLbls>
          <c:showLegendKey val="0"/>
          <c:showVal val="0"/>
          <c:showCatName val="0"/>
          <c:showSerName val="0"/>
          <c:showPercent val="0"/>
          <c:showBubbleSize val="0"/>
        </c:dLbls>
        <c:gapWidth val="150"/>
        <c:axId val="138720128"/>
        <c:axId val="138721696"/>
      </c:barChart>
      <c:catAx>
        <c:axId val="13872012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21696"/>
        <c:crosses val="autoZero"/>
        <c:auto val="1"/>
        <c:lblAlgn val="ctr"/>
        <c:lblOffset val="100"/>
        <c:tickLblSkip val="1"/>
        <c:tickMarkSkip val="1"/>
        <c:noMultiLvlLbl val="0"/>
      </c:catAx>
      <c:valAx>
        <c:axId val="138721696"/>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2012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A015-46F8-93C7-68F24A559195}"/>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A015-46F8-93C7-68F24A559195}"/>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A015-46F8-93C7-68F24A559195}"/>
            </c:ext>
          </c:extLst>
        </c:ser>
        <c:dLbls>
          <c:showLegendKey val="0"/>
          <c:showVal val="0"/>
          <c:showCatName val="0"/>
          <c:showSerName val="0"/>
          <c:showPercent val="0"/>
          <c:showBubbleSize val="0"/>
        </c:dLbls>
        <c:gapWidth val="150"/>
        <c:axId val="138721304"/>
        <c:axId val="138718560"/>
      </c:barChart>
      <c:catAx>
        <c:axId val="13872130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18560"/>
        <c:crosses val="autoZero"/>
        <c:auto val="1"/>
        <c:lblAlgn val="ctr"/>
        <c:lblOffset val="100"/>
        <c:tickLblSkip val="1"/>
        <c:tickMarkSkip val="1"/>
        <c:noMultiLvlLbl val="0"/>
      </c:catAx>
      <c:valAx>
        <c:axId val="13871856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21304"/>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071F-42FB-8B8F-723BFAA09005}"/>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071F-42FB-8B8F-723BFAA09005}"/>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071F-42FB-8B8F-723BFAA09005}"/>
            </c:ext>
          </c:extLst>
        </c:ser>
        <c:dLbls>
          <c:showLegendKey val="0"/>
          <c:showVal val="0"/>
          <c:showCatName val="0"/>
          <c:showSerName val="0"/>
          <c:showPercent val="0"/>
          <c:showBubbleSize val="0"/>
        </c:dLbls>
        <c:gapWidth val="150"/>
        <c:axId val="421363136"/>
        <c:axId val="421365880"/>
      </c:barChart>
      <c:catAx>
        <c:axId val="4213631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421365880"/>
        <c:crosses val="autoZero"/>
        <c:auto val="1"/>
        <c:lblAlgn val="ctr"/>
        <c:lblOffset val="100"/>
        <c:tickLblSkip val="1"/>
        <c:tickMarkSkip val="1"/>
        <c:noMultiLvlLbl val="0"/>
      </c:catAx>
      <c:valAx>
        <c:axId val="42136588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421363136"/>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1440180</xdr:colOff>
      <xdr:row>22</xdr:row>
      <xdr:rowOff>0</xdr:rowOff>
    </xdr:from>
    <xdr:to>
      <xdr:col>1</xdr:col>
      <xdr:colOff>0</xdr:colOff>
      <xdr:row>22</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3" name="Chart 1">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5" name="Chart 1">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1440180</xdr:colOff>
      <xdr:row>21</xdr:row>
      <xdr:rowOff>0</xdr:rowOff>
    </xdr:from>
    <xdr:to>
      <xdr:col>4</xdr:col>
      <xdr:colOff>0</xdr:colOff>
      <xdr:row>21</xdr:row>
      <xdr:rowOff>0</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1440180</xdr:colOff>
      <xdr:row>21</xdr:row>
      <xdr:rowOff>0</xdr:rowOff>
    </xdr:from>
    <xdr:to>
      <xdr:col>4</xdr:col>
      <xdr:colOff>0</xdr:colOff>
      <xdr:row>21</xdr:row>
      <xdr:rowOff>0</xdr:rowOff>
    </xdr:to>
    <xdr:graphicFrame macro="">
      <xdr:nvGraphicFramePr>
        <xdr:cNvPr id="7" name="Chart 1">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1440180</xdr:colOff>
      <xdr:row>21</xdr:row>
      <xdr:rowOff>0</xdr:rowOff>
    </xdr:from>
    <xdr:to>
      <xdr:col>4</xdr:col>
      <xdr:colOff>0</xdr:colOff>
      <xdr:row>21</xdr:row>
      <xdr:rowOff>0</xdr:rowOff>
    </xdr:to>
    <xdr:graphicFrame macro="">
      <xdr:nvGraphicFramePr>
        <xdr:cNvPr id="8" name="Chart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1440180</xdr:colOff>
      <xdr:row>21</xdr:row>
      <xdr:rowOff>0</xdr:rowOff>
    </xdr:from>
    <xdr:to>
      <xdr:col>4</xdr:col>
      <xdr:colOff>0</xdr:colOff>
      <xdr:row>21</xdr:row>
      <xdr:rowOff>0</xdr:rowOff>
    </xdr:to>
    <xdr:graphicFrame macro="">
      <xdr:nvGraphicFramePr>
        <xdr:cNvPr id="9" name="Chart 1">
          <a:extLst>
            <a:ext uri="{FF2B5EF4-FFF2-40B4-BE49-F238E27FC236}">
              <a16:creationId xmlns:a16="http://schemas.microsoft.com/office/drawing/2014/main" i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36"/>
  <sheetViews>
    <sheetView tabSelected="1" zoomScale="93" zoomScaleNormal="93" workbookViewId="0">
      <selection activeCell="AD35" sqref="AD35"/>
    </sheetView>
  </sheetViews>
  <sheetFormatPr defaultColWidth="8.85546875" defaultRowHeight="12" x14ac:dyDescent="0.25"/>
  <cols>
    <col min="1" max="1" width="33.28515625" style="1" customWidth="1"/>
    <col min="2" max="2" width="8.85546875" style="1" hidden="1" customWidth="1"/>
    <col min="3" max="7" width="7" style="1" hidden="1" customWidth="1"/>
    <col min="8" max="18" width="7" style="1" customWidth="1"/>
    <col min="19" max="19" width="8.85546875" style="1" bestFit="1" customWidth="1"/>
    <col min="20" max="25" width="7.28515625" style="1" customWidth="1"/>
    <col min="26" max="29" width="7.42578125" style="1" customWidth="1"/>
    <col min="30" max="30" width="41.7109375" style="1" customWidth="1"/>
    <col min="31" max="16384" width="8.85546875" style="1"/>
  </cols>
  <sheetData>
    <row r="1" spans="1:42" ht="15.75" x14ac:dyDescent="0.25">
      <c r="A1" s="46" t="s">
        <v>29</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row>
    <row r="2" spans="1:42" ht="15.75" x14ac:dyDescent="0.25">
      <c r="A2" s="47" t="s">
        <v>30</v>
      </c>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2"/>
      <c r="AF2" s="2"/>
      <c r="AG2" s="2"/>
      <c r="AH2" s="2"/>
      <c r="AI2" s="2"/>
      <c r="AJ2" s="2"/>
      <c r="AK2" s="2"/>
      <c r="AL2" s="2"/>
      <c r="AM2" s="2"/>
      <c r="AN2" s="2"/>
    </row>
    <row r="3" spans="1:42" ht="15.75" x14ac:dyDescent="0.25">
      <c r="A3" s="48" t="s">
        <v>0</v>
      </c>
      <c r="B3" s="48"/>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2"/>
      <c r="AF3" s="2"/>
      <c r="AG3" s="2"/>
      <c r="AH3" s="2"/>
      <c r="AI3" s="2"/>
      <c r="AJ3" s="2"/>
      <c r="AK3" s="2"/>
      <c r="AL3" s="2"/>
      <c r="AM3" s="2"/>
      <c r="AN3" s="2"/>
    </row>
    <row r="4" spans="1:42" ht="15" x14ac:dyDescent="0.25">
      <c r="A4" s="49" t="s">
        <v>1</v>
      </c>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2"/>
      <c r="AF4" s="2"/>
      <c r="AG4" s="2"/>
      <c r="AH4" s="2"/>
      <c r="AI4" s="2"/>
      <c r="AJ4" s="2"/>
      <c r="AK4" s="2"/>
      <c r="AL4" s="2"/>
      <c r="AM4" s="2"/>
      <c r="AN4" s="2"/>
    </row>
    <row r="5" spans="1:42" ht="17.25" x14ac:dyDescent="0.25">
      <c r="A5" s="3"/>
      <c r="B5" s="27"/>
      <c r="D5" s="28"/>
      <c r="E5" s="28"/>
      <c r="F5" s="28"/>
      <c r="G5" s="28"/>
      <c r="H5" s="50" t="s">
        <v>2</v>
      </c>
      <c r="I5" s="50"/>
      <c r="J5" s="50"/>
      <c r="K5" s="50"/>
      <c r="L5" s="50"/>
      <c r="M5" s="50"/>
      <c r="N5" s="50"/>
      <c r="O5" s="50"/>
      <c r="P5" s="50"/>
      <c r="Q5" s="50"/>
      <c r="R5" s="51"/>
      <c r="S5" s="54" t="s">
        <v>3</v>
      </c>
      <c r="T5" s="50"/>
      <c r="U5" s="50"/>
      <c r="V5" s="50"/>
      <c r="W5" s="50"/>
      <c r="X5" s="50"/>
      <c r="Y5" s="50"/>
      <c r="Z5" s="50"/>
      <c r="AA5" s="50"/>
      <c r="AB5" s="50"/>
      <c r="AC5" s="50"/>
      <c r="AD5" s="4"/>
      <c r="AE5" s="2"/>
      <c r="AF5" s="2"/>
      <c r="AG5" s="2"/>
      <c r="AH5" s="2"/>
      <c r="AI5" s="2"/>
      <c r="AJ5" s="2"/>
      <c r="AK5" s="2"/>
      <c r="AL5" s="2"/>
      <c r="AM5" s="2"/>
      <c r="AN5" s="2"/>
    </row>
    <row r="6" spans="1:42" ht="15.75" x14ac:dyDescent="0.25">
      <c r="A6" s="26" t="s">
        <v>4</v>
      </c>
      <c r="B6" s="29"/>
      <c r="D6" s="30"/>
      <c r="E6" s="30"/>
      <c r="F6" s="30"/>
      <c r="G6" s="30"/>
      <c r="H6" s="52" t="s">
        <v>5</v>
      </c>
      <c r="I6" s="52"/>
      <c r="J6" s="52"/>
      <c r="K6" s="52"/>
      <c r="L6" s="52"/>
      <c r="M6" s="52"/>
      <c r="N6" s="52"/>
      <c r="O6" s="52"/>
      <c r="P6" s="52"/>
      <c r="Q6" s="52"/>
      <c r="R6" s="53"/>
      <c r="S6" s="55" t="s">
        <v>6</v>
      </c>
      <c r="T6" s="56"/>
      <c r="U6" s="56"/>
      <c r="V6" s="56"/>
      <c r="W6" s="56"/>
      <c r="X6" s="56"/>
      <c r="Y6" s="56"/>
      <c r="Z6" s="56"/>
      <c r="AA6" s="56"/>
      <c r="AB6" s="56"/>
      <c r="AC6" s="56"/>
      <c r="AD6" s="34" t="s">
        <v>7</v>
      </c>
      <c r="AE6" s="2"/>
      <c r="AF6" s="2"/>
      <c r="AG6" s="2"/>
      <c r="AH6" s="2"/>
      <c r="AI6" s="2"/>
      <c r="AJ6" s="2"/>
      <c r="AK6" s="2"/>
      <c r="AL6" s="2"/>
      <c r="AM6" s="2"/>
      <c r="AN6" s="2"/>
    </row>
    <row r="7" spans="1:42" s="9" customFormat="1" ht="19.5" customHeight="1" x14ac:dyDescent="0.25">
      <c r="A7" s="5"/>
      <c r="B7" s="31">
        <v>2005</v>
      </c>
      <c r="C7" s="6">
        <v>2006</v>
      </c>
      <c r="D7" s="6">
        <v>2007</v>
      </c>
      <c r="E7" s="6">
        <v>2008</v>
      </c>
      <c r="F7" s="6">
        <v>2009</v>
      </c>
      <c r="G7" s="6">
        <v>2010</v>
      </c>
      <c r="H7" s="6">
        <v>2011</v>
      </c>
      <c r="I7" s="6">
        <v>2012</v>
      </c>
      <c r="J7" s="6">
        <v>2013</v>
      </c>
      <c r="K7" s="6">
        <v>2014</v>
      </c>
      <c r="L7" s="6">
        <v>2015</v>
      </c>
      <c r="M7" s="6">
        <v>2016</v>
      </c>
      <c r="N7" s="6">
        <v>2017</v>
      </c>
      <c r="O7" s="6">
        <v>2018</v>
      </c>
      <c r="P7" s="6">
        <v>2019</v>
      </c>
      <c r="Q7" s="38">
        <v>2020</v>
      </c>
      <c r="R7" s="39">
        <v>2021</v>
      </c>
      <c r="S7" s="6">
        <v>2011</v>
      </c>
      <c r="T7" s="6">
        <v>2012</v>
      </c>
      <c r="U7" s="6">
        <v>2013</v>
      </c>
      <c r="V7" s="6">
        <v>2014</v>
      </c>
      <c r="W7" s="6">
        <v>2015</v>
      </c>
      <c r="X7" s="6">
        <v>2016</v>
      </c>
      <c r="Y7" s="6">
        <v>2017</v>
      </c>
      <c r="Z7" s="6">
        <v>2018</v>
      </c>
      <c r="AA7" s="6">
        <v>2019</v>
      </c>
      <c r="AB7" s="6">
        <v>2020</v>
      </c>
      <c r="AC7" s="6">
        <v>2021</v>
      </c>
      <c r="AD7" s="7"/>
      <c r="AE7" s="8"/>
      <c r="AF7" s="8"/>
      <c r="AG7" s="8"/>
      <c r="AH7" s="8"/>
      <c r="AI7" s="8"/>
      <c r="AJ7" s="8"/>
      <c r="AK7" s="8"/>
      <c r="AL7" s="8"/>
      <c r="AM7" s="8"/>
      <c r="AN7" s="8"/>
    </row>
    <row r="8" spans="1:42" ht="22.5" customHeight="1" x14ac:dyDescent="0.25">
      <c r="A8" s="10" t="s">
        <v>8</v>
      </c>
      <c r="B8" s="12">
        <v>129.6</v>
      </c>
      <c r="C8" s="12">
        <v>148.44467879000001</v>
      </c>
      <c r="D8" s="12">
        <v>97.947148769999984</v>
      </c>
      <c r="E8" s="12">
        <v>88.402086870000019</v>
      </c>
      <c r="F8" s="12">
        <v>65.609831299999996</v>
      </c>
      <c r="G8" s="12">
        <v>59.360208729999997</v>
      </c>
      <c r="H8" s="11">
        <v>57.483915529999997</v>
      </c>
      <c r="I8" s="11">
        <v>56.340714440000021</v>
      </c>
      <c r="J8" s="11">
        <v>65.590923509000007</v>
      </c>
      <c r="K8" s="11">
        <v>64.930000000000007</v>
      </c>
      <c r="L8" s="11">
        <v>65.035457479999991</v>
      </c>
      <c r="M8" s="11">
        <v>68.271629390000015</v>
      </c>
      <c r="N8" s="11">
        <v>98.261768672168017</v>
      </c>
      <c r="O8" s="11">
        <v>105.33438042317202</v>
      </c>
      <c r="P8" s="11">
        <v>93.122168246499996</v>
      </c>
      <c r="Q8" s="11">
        <v>105.193641117808</v>
      </c>
      <c r="R8" s="40">
        <v>115.040464457</v>
      </c>
      <c r="S8" s="12">
        <f>H8/H10*100</f>
        <v>47.571833240342848</v>
      </c>
      <c r="T8" s="12">
        <f>I8/I10*100</f>
        <v>46.950231738796376</v>
      </c>
      <c r="U8" s="12">
        <f>J8/J10*100</f>
        <v>50.515506623430049</v>
      </c>
      <c r="V8" s="12">
        <f>K8/K10*100</f>
        <v>50.457236357617887</v>
      </c>
      <c r="W8" s="12">
        <f>L8/L$10*100</f>
        <v>51.068053109979104</v>
      </c>
      <c r="X8" s="12">
        <f t="shared" ref="X8:AA8" si="0">M8/M10*100</f>
        <v>52.851756708961119</v>
      </c>
      <c r="Y8" s="12">
        <f t="shared" si="0"/>
        <v>68.637743192327306</v>
      </c>
      <c r="Z8" s="12">
        <f t="shared" si="0"/>
        <v>69.746632731811147</v>
      </c>
      <c r="AA8" s="12">
        <f t="shared" si="0"/>
        <v>68.944183759061346</v>
      </c>
      <c r="AB8" s="12">
        <f>Q8/Q10*100</f>
        <v>70.797912907851696</v>
      </c>
      <c r="AC8" s="12">
        <f>R8/R10*100</f>
        <v>79.342270231095029</v>
      </c>
      <c r="AD8" s="33" t="s">
        <v>9</v>
      </c>
      <c r="AG8" s="13"/>
      <c r="AH8" s="14"/>
      <c r="AI8" s="14"/>
      <c r="AJ8" s="14"/>
      <c r="AK8" s="14"/>
      <c r="AL8" s="14"/>
      <c r="AM8" s="14"/>
      <c r="AN8" s="14"/>
      <c r="AO8" s="14"/>
      <c r="AP8" s="14"/>
    </row>
    <row r="9" spans="1:42" ht="22.5" customHeight="1" x14ac:dyDescent="0.25">
      <c r="A9" s="10" t="s">
        <v>10</v>
      </c>
      <c r="B9" s="12">
        <v>50.023182311000042</v>
      </c>
      <c r="C9" s="12">
        <v>33.123882013540019</v>
      </c>
      <c r="D9" s="12">
        <v>43.955257966350025</v>
      </c>
      <c r="E9" s="12">
        <v>42.582126319403983</v>
      </c>
      <c r="F9" s="12">
        <v>50.555216612999985</v>
      </c>
      <c r="G9" s="12">
        <f>G10-G8</f>
        <v>62.814928722012297</v>
      </c>
      <c r="H9" s="12">
        <f>H10-H8</f>
        <v>63.352116244473017</v>
      </c>
      <c r="I9" s="12">
        <f>I10-I8</f>
        <v>63.6602149557201</v>
      </c>
      <c r="J9" s="12">
        <v>64.252223463572804</v>
      </c>
      <c r="K9" s="12">
        <v>63.753227000000351</v>
      </c>
      <c r="L9" s="12">
        <f>L10-L8</f>
        <v>62.315114001432789</v>
      </c>
      <c r="M9" s="12">
        <v>60.919365716552136</v>
      </c>
      <c r="N9" s="12">
        <v>44.89819565945669</v>
      </c>
      <c r="O9" s="12">
        <v>45.689943329061933</v>
      </c>
      <c r="P9" s="12">
        <f>P10-P8</f>
        <v>41.946757323687706</v>
      </c>
      <c r="Q9" s="12">
        <f>Q10-Q8</f>
        <v>43.389328064807131</v>
      </c>
      <c r="R9" s="44">
        <f>R10-R8</f>
        <v>29.952190935805348</v>
      </c>
      <c r="S9" s="12">
        <f>H9/H10*100</f>
        <v>52.428166759657159</v>
      </c>
      <c r="T9" s="12">
        <f>I9/I10*100</f>
        <v>53.049768261203624</v>
      </c>
      <c r="U9" s="12">
        <f>J9/J10*100</f>
        <v>49.484493376569993</v>
      </c>
      <c r="V9" s="12">
        <f>K9/K10*100</f>
        <v>49.542763642382312</v>
      </c>
      <c r="W9" s="12">
        <f>L9/L$10*100</f>
        <v>48.931946890020903</v>
      </c>
      <c r="X9" s="12">
        <f t="shared" ref="X9:AA9" si="1">M9/M10*100</f>
        <v>47.160079882128031</v>
      </c>
      <c r="Y9" s="12">
        <f t="shared" si="1"/>
        <v>31.362256807672612</v>
      </c>
      <c r="Z9" s="12">
        <f t="shared" si="1"/>
        <v>30.253367268188882</v>
      </c>
      <c r="AA9" s="12">
        <f t="shared" si="1"/>
        <v>31.055816240938661</v>
      </c>
      <c r="AB9" s="12">
        <f>Q9/Q10*100</f>
        <v>29.202087092148293</v>
      </c>
      <c r="AC9" s="12">
        <f>R9/R10*100</f>
        <v>20.657729768904971</v>
      </c>
      <c r="AD9" s="33" t="s">
        <v>11</v>
      </c>
      <c r="AF9" s="14"/>
      <c r="AG9" s="14"/>
      <c r="AH9" s="14"/>
      <c r="AI9" s="14"/>
      <c r="AJ9" s="14"/>
      <c r="AK9" s="14"/>
      <c r="AL9" s="14"/>
      <c r="AM9" s="14"/>
      <c r="AN9" s="14"/>
      <c r="AO9" s="14"/>
      <c r="AP9" s="14"/>
    </row>
    <row r="10" spans="1:42" ht="22.5" customHeight="1" x14ac:dyDescent="0.25">
      <c r="A10" s="15" t="s">
        <v>12</v>
      </c>
      <c r="B10" s="16">
        <v>185.92318231100003</v>
      </c>
      <c r="C10" s="16">
        <f t="shared" ref="C10:K10" si="2">SUM(C11:C15)</f>
        <v>184.15822232267499</v>
      </c>
      <c r="D10" s="16">
        <f t="shared" si="2"/>
        <v>144.16855006704401</v>
      </c>
      <c r="E10" s="16">
        <f t="shared" si="2"/>
        <v>132.57440870271301</v>
      </c>
      <c r="F10" s="16">
        <f t="shared" si="2"/>
        <v>116.73586114053802</v>
      </c>
      <c r="G10" s="16">
        <f t="shared" si="2"/>
        <v>122.17513745201229</v>
      </c>
      <c r="H10" s="16">
        <f t="shared" si="2"/>
        <v>120.83603177447301</v>
      </c>
      <c r="I10" s="16">
        <f t="shared" si="2"/>
        <v>120.00092939572012</v>
      </c>
      <c r="J10" s="16">
        <f t="shared" si="2"/>
        <v>129.84314697257275</v>
      </c>
      <c r="K10" s="16">
        <f t="shared" si="2"/>
        <v>128.6832270000001</v>
      </c>
      <c r="L10" s="16">
        <f t="shared" ref="L10:Q10" si="3">SUM(L11:L15)</f>
        <v>127.35057148143278</v>
      </c>
      <c r="M10" s="16">
        <f t="shared" si="3"/>
        <v>129.17570510655216</v>
      </c>
      <c r="N10" s="16">
        <f t="shared" si="3"/>
        <v>143.15996433162482</v>
      </c>
      <c r="O10" s="16">
        <f t="shared" si="3"/>
        <v>151.0243237522339</v>
      </c>
      <c r="P10" s="16">
        <f t="shared" si="3"/>
        <v>135.0689255701877</v>
      </c>
      <c r="Q10" s="16">
        <f t="shared" si="3"/>
        <v>148.58296918261513</v>
      </c>
      <c r="R10" s="41">
        <f>SUM(R11:R15)</f>
        <v>144.99265539280535</v>
      </c>
      <c r="S10" s="16">
        <f t="shared" ref="S10:Y10" si="4">H10/H10*100</f>
        <v>100</v>
      </c>
      <c r="T10" s="16">
        <f>I10/I10*100</f>
        <v>100</v>
      </c>
      <c r="U10" s="16">
        <f>J10/J10*100</f>
        <v>100</v>
      </c>
      <c r="V10" s="16">
        <f>K10/K10*100</f>
        <v>100</v>
      </c>
      <c r="W10" s="16">
        <f t="shared" si="4"/>
        <v>100</v>
      </c>
      <c r="X10" s="16">
        <f t="shared" si="4"/>
        <v>100</v>
      </c>
      <c r="Y10" s="16">
        <f t="shared" si="4"/>
        <v>100</v>
      </c>
      <c r="Z10" s="16">
        <f>O10/O10*100</f>
        <v>100</v>
      </c>
      <c r="AA10" s="16">
        <f>P10/P10*100</f>
        <v>100</v>
      </c>
      <c r="AB10" s="16">
        <f>Q10/Q10*100</f>
        <v>100</v>
      </c>
      <c r="AC10" s="16">
        <f>R10/R10*100</f>
        <v>100</v>
      </c>
      <c r="AD10" s="34" t="s">
        <v>13</v>
      </c>
      <c r="AF10" s="14"/>
      <c r="AG10" s="14"/>
      <c r="AH10" s="14"/>
      <c r="AI10" s="14"/>
      <c r="AJ10" s="14"/>
      <c r="AK10" s="14"/>
      <c r="AL10" s="14"/>
      <c r="AM10" s="14"/>
      <c r="AN10" s="14"/>
      <c r="AO10" s="14"/>
      <c r="AP10" s="14"/>
    </row>
    <row r="11" spans="1:42" ht="22.5" customHeight="1" x14ac:dyDescent="0.25">
      <c r="A11" s="10" t="s">
        <v>24</v>
      </c>
      <c r="B11" s="12">
        <v>131.99824860000001</v>
      </c>
      <c r="C11" s="12">
        <v>138.45835473299999</v>
      </c>
      <c r="D11" s="12">
        <v>97.341794686838995</v>
      </c>
      <c r="E11" s="12">
        <v>87.072147391601007</v>
      </c>
      <c r="F11" s="12">
        <v>66.188623244799999</v>
      </c>
      <c r="G11" s="12">
        <v>73.72129191542227</v>
      </c>
      <c r="H11" s="12">
        <v>57.671721671347001</v>
      </c>
      <c r="I11" s="12">
        <v>53.391687689080399</v>
      </c>
      <c r="J11" s="12">
        <v>74.421630037020805</v>
      </c>
      <c r="K11" s="12">
        <v>68.521958485088447</v>
      </c>
      <c r="L11" s="12">
        <v>69.244324399131258</v>
      </c>
      <c r="M11" s="12">
        <v>69.589480938961444</v>
      </c>
      <c r="N11" s="12">
        <v>89.683148024090812</v>
      </c>
      <c r="O11" s="12">
        <v>100.0994869059859</v>
      </c>
      <c r="P11" s="12">
        <v>88.019666239199282</v>
      </c>
      <c r="Q11" s="12">
        <v>103.87066972179367</v>
      </c>
      <c r="R11" s="42">
        <v>118.68330116795289</v>
      </c>
      <c r="S11" s="12">
        <f>(H11/$H$10)*100</f>
        <v>47.727255541612656</v>
      </c>
      <c r="T11" s="12">
        <f>(I11/$I$10)*100</f>
        <v>44.492728479638458</v>
      </c>
      <c r="U11" s="12">
        <f>(J11/$J$10)*100</f>
        <v>57.316563694147959</v>
      </c>
      <c r="V11" s="12">
        <f>(K11/$K$10)*100</f>
        <v>53.248554673786963</v>
      </c>
      <c r="W11" s="12">
        <f>(L11/$L$10)*100</f>
        <v>54.372998561083655</v>
      </c>
      <c r="X11" s="12">
        <f>(M11/$M$10)*100</f>
        <v>53.87195748733069</v>
      </c>
      <c r="Y11" s="12">
        <f>(N11/$N$10)*100</f>
        <v>62.645410986791731</v>
      </c>
      <c r="Z11" s="12">
        <f>(O11/$O$10)*100</f>
        <v>66.280374193369141</v>
      </c>
      <c r="AA11" s="12">
        <f>(P11/$P$10)*100</f>
        <v>65.166481385431922</v>
      </c>
      <c r="AB11" s="12">
        <f>(Q11/$Q$10)*100</f>
        <v>69.907520554480215</v>
      </c>
      <c r="AC11" s="12">
        <f>(R11/$R$10)*100</f>
        <v>81.854698671752203</v>
      </c>
      <c r="AD11" s="33" t="s">
        <v>14</v>
      </c>
      <c r="AF11" s="14"/>
      <c r="AG11" s="14"/>
      <c r="AH11" s="14"/>
      <c r="AI11" s="14"/>
      <c r="AJ11" s="14"/>
      <c r="AK11" s="14"/>
      <c r="AL11" s="14"/>
      <c r="AM11" s="14"/>
      <c r="AN11" s="14"/>
      <c r="AO11" s="14"/>
      <c r="AP11" s="14"/>
    </row>
    <row r="12" spans="1:42" ht="22.5" customHeight="1" x14ac:dyDescent="0.25">
      <c r="A12" s="10" t="s">
        <v>25</v>
      </c>
      <c r="B12" s="12">
        <v>24.57092359</v>
      </c>
      <c r="C12" s="12">
        <v>22.953538301159995</v>
      </c>
      <c r="D12" s="12">
        <v>24.414838911040007</v>
      </c>
      <c r="E12" s="12">
        <v>23.768766590410003</v>
      </c>
      <c r="F12" s="12">
        <v>20.733008264210007</v>
      </c>
      <c r="G12" s="12">
        <v>21.835377509832018</v>
      </c>
      <c r="H12" s="12">
        <v>35.57521338092301</v>
      </c>
      <c r="I12" s="12">
        <v>44.977381086497097</v>
      </c>
      <c r="J12" s="12">
        <v>47.146416175683598</v>
      </c>
      <c r="K12" s="12">
        <v>49.100552219018809</v>
      </c>
      <c r="L12" s="12">
        <v>51.472456475638047</v>
      </c>
      <c r="M12" s="12">
        <v>53.705451966178899</v>
      </c>
      <c r="N12" s="12">
        <v>49.376811349197936</v>
      </c>
      <c r="O12" s="12">
        <v>47.21669550699999</v>
      </c>
      <c r="P12" s="12">
        <v>44.423897166028532</v>
      </c>
      <c r="Q12" s="12">
        <v>42.704576500856788</v>
      </c>
      <c r="R12" s="42">
        <v>24.547862347577325</v>
      </c>
      <c r="S12" s="12">
        <f>(H12/$H$10)*100</f>
        <v>29.440898429468604</v>
      </c>
      <c r="T12" s="12">
        <f>(I12/$I$10)*100</f>
        <v>37.480860617485547</v>
      </c>
      <c r="U12" s="12">
        <f>(J12/$J$10)*100</f>
        <v>36.310284581782746</v>
      </c>
      <c r="V12" s="12">
        <f>(K12/$K$10)*100</f>
        <v>38.156139975428786</v>
      </c>
      <c r="W12" s="12">
        <f>(L12/$L$10)*100</f>
        <v>40.417923435186573</v>
      </c>
      <c r="X12" s="12">
        <f>(M12/$M$10)*100</f>
        <v>41.575505178686115</v>
      </c>
      <c r="Y12" s="12">
        <f>(N12/$N$10)*100</f>
        <v>34.490656364525464</v>
      </c>
      <c r="Z12" s="12">
        <f>(O12/$O$10)*100</f>
        <v>31.264298580447431</v>
      </c>
      <c r="AA12" s="12">
        <f>(P12/$P$10)*100</f>
        <v>32.889798285205089</v>
      </c>
      <c r="AB12" s="12">
        <f>(Q12/$Q$10)*100</f>
        <v>28.74123241430917</v>
      </c>
      <c r="AC12" s="12">
        <f>(R12/$R$10)*100</f>
        <v>16.930417807077013</v>
      </c>
      <c r="AD12" s="33" t="s">
        <v>15</v>
      </c>
      <c r="AF12" s="14"/>
      <c r="AG12" s="14"/>
      <c r="AH12" s="14"/>
      <c r="AI12" s="13"/>
      <c r="AJ12" s="14"/>
      <c r="AK12" s="14"/>
      <c r="AL12" s="14"/>
      <c r="AM12" s="14"/>
      <c r="AN12" s="14"/>
      <c r="AO12" s="14"/>
      <c r="AP12" s="14"/>
    </row>
    <row r="13" spans="1:42" ht="22.5" customHeight="1" x14ac:dyDescent="0.25">
      <c r="A13" s="10" t="s">
        <v>16</v>
      </c>
      <c r="B13" s="12"/>
      <c r="C13" s="12">
        <v>0</v>
      </c>
      <c r="D13" s="12">
        <v>0</v>
      </c>
      <c r="E13" s="12">
        <v>0</v>
      </c>
      <c r="F13" s="12">
        <v>0</v>
      </c>
      <c r="G13" s="12">
        <v>0</v>
      </c>
      <c r="H13" s="12">
        <v>0</v>
      </c>
      <c r="I13" s="12">
        <v>0</v>
      </c>
      <c r="J13" s="12">
        <v>0</v>
      </c>
      <c r="K13" s="12">
        <v>2.3340795325544512</v>
      </c>
      <c r="L13" s="12">
        <v>1.8282678227461437</v>
      </c>
      <c r="M13" s="12">
        <v>2.4800423404201255</v>
      </c>
      <c r="N13" s="12">
        <v>1.0741737564163372</v>
      </c>
      <c r="O13" s="12">
        <v>0.43230529269740253</v>
      </c>
      <c r="P13" s="12">
        <v>0.3959811523285271</v>
      </c>
      <c r="Q13" s="12">
        <v>0.21268961995324842</v>
      </c>
      <c r="R13" s="42">
        <v>0.22422526847471425</v>
      </c>
      <c r="S13" s="12">
        <v>0</v>
      </c>
      <c r="T13" s="12">
        <v>0</v>
      </c>
      <c r="U13" s="12">
        <v>0</v>
      </c>
      <c r="V13" s="12">
        <f>(K13/$K$10)*100</f>
        <v>1.8138179986381981</v>
      </c>
      <c r="W13" s="12">
        <f>(L13/$L$10)*100</f>
        <v>1.4356180749551628</v>
      </c>
      <c r="X13" s="12">
        <f>(M13/$M$10)*100</f>
        <v>1.9198984347516681</v>
      </c>
      <c r="Y13" s="12">
        <f>(N13/$N$10)*100</f>
        <v>0.75033111486955462</v>
      </c>
      <c r="Z13" s="12">
        <f>(O13/$O$10)*100</f>
        <v>0.28624878559736511</v>
      </c>
      <c r="AA13" s="12">
        <f>(P13/$P$10)*100</f>
        <v>0.29316969144228372</v>
      </c>
      <c r="AB13" s="12">
        <f t="shared" ref="AB13:AB15" si="5">(Q13/$Q$10)*100</f>
        <v>0.14314535583943228</v>
      </c>
      <c r="AC13" s="12">
        <f>(R13/$R$10)*100</f>
        <v>0.15464594938775117</v>
      </c>
      <c r="AD13" s="35" t="s">
        <v>17</v>
      </c>
      <c r="AF13" s="14"/>
      <c r="AG13" s="14"/>
      <c r="AH13" s="14"/>
      <c r="AI13" s="13"/>
      <c r="AJ13" s="14"/>
      <c r="AK13" s="14"/>
      <c r="AL13" s="14"/>
      <c r="AM13" s="14"/>
      <c r="AN13" s="14"/>
      <c r="AO13" s="14"/>
      <c r="AP13" s="14"/>
    </row>
    <row r="14" spans="1:42" ht="22.5" customHeight="1" x14ac:dyDescent="0.25">
      <c r="A14" s="10" t="s">
        <v>18</v>
      </c>
      <c r="B14" s="12">
        <v>8.3012412409999996</v>
      </c>
      <c r="C14" s="12">
        <v>5.7175900621500002</v>
      </c>
      <c r="D14" s="12">
        <v>7.0996787907630008</v>
      </c>
      <c r="E14" s="12">
        <v>6.6990521868619997</v>
      </c>
      <c r="F14" s="12">
        <v>8.876155542958001</v>
      </c>
      <c r="G14" s="12">
        <v>7.1236269087170054</v>
      </c>
      <c r="H14" s="12">
        <v>4.9472398022119997</v>
      </c>
      <c r="I14" s="12">
        <v>2.5377990840052944</v>
      </c>
      <c r="J14" s="12">
        <v>1.6640466762930248</v>
      </c>
      <c r="K14" s="12">
        <v>1.5901763812155898</v>
      </c>
      <c r="L14" s="12">
        <v>0.38814185000950413</v>
      </c>
      <c r="M14" s="12">
        <v>0.18462584430785087</v>
      </c>
      <c r="N14" s="12">
        <v>0.5319048992427694</v>
      </c>
      <c r="O14" s="12">
        <v>0.45038129963149232</v>
      </c>
      <c r="P14" s="12">
        <v>0.18614795910647888</v>
      </c>
      <c r="Q14" s="12">
        <v>9.8424318844106906E-2</v>
      </c>
      <c r="R14" s="42">
        <v>8.5292200269940666E-2</v>
      </c>
      <c r="S14" s="12">
        <f>(H14/$H$10)*100</f>
        <v>4.094175991682242</v>
      </c>
      <c r="T14" s="12">
        <f>(I14/$I$10)*100</f>
        <v>2.1148161908284404</v>
      </c>
      <c r="U14" s="12">
        <f>(J14/$J$10)*100</f>
        <v>1.2815822129176579</v>
      </c>
      <c r="V14" s="12">
        <f>(K14/$K$10)*100</f>
        <v>1.2357293318542506</v>
      </c>
      <c r="W14" s="12">
        <f>(L14/$L$10)*100</f>
        <v>0.30478218157512837</v>
      </c>
      <c r="X14" s="12">
        <f>(M14/$M$10)*100</f>
        <v>0.14292613626963366</v>
      </c>
      <c r="Y14" s="12">
        <f>(N14/$N$10)*100</f>
        <v>0.37154584504549831</v>
      </c>
      <c r="Z14" s="12">
        <f>(O14/$O$10)*100</f>
        <v>0.29821772310689154</v>
      </c>
      <c r="AA14" s="12">
        <f>(P14/$P$10)*100</f>
        <v>0.13781701329203827</v>
      </c>
      <c r="AB14" s="12">
        <f t="shared" si="5"/>
        <v>6.6241992191675078E-2</v>
      </c>
      <c r="AC14" s="12">
        <f>(R14/$R$10)*100</f>
        <v>5.8825186723335872E-2</v>
      </c>
      <c r="AD14" s="33" t="s">
        <v>19</v>
      </c>
      <c r="AF14" s="14"/>
      <c r="AG14" s="14"/>
      <c r="AH14" s="14"/>
      <c r="AI14" s="14"/>
      <c r="AJ14" s="14"/>
      <c r="AK14" s="14"/>
      <c r="AL14" s="14"/>
      <c r="AM14" s="14"/>
      <c r="AN14" s="14"/>
      <c r="AO14" s="14"/>
      <c r="AP14" s="14"/>
    </row>
    <row r="15" spans="1:42" ht="22.5" customHeight="1" x14ac:dyDescent="0.25">
      <c r="A15" s="17" t="s">
        <v>26</v>
      </c>
      <c r="B15" s="18">
        <v>21.052768879999999</v>
      </c>
      <c r="C15" s="18">
        <v>17.028739226365001</v>
      </c>
      <c r="D15" s="18">
        <v>15.312237678402001</v>
      </c>
      <c r="E15" s="18">
        <v>15.03444253384</v>
      </c>
      <c r="F15" s="18">
        <v>20.938074088570005</v>
      </c>
      <c r="G15" s="18">
        <v>19.494841118041013</v>
      </c>
      <c r="H15" s="18">
        <v>22.641856919991007</v>
      </c>
      <c r="I15" s="18">
        <v>19.094061536137332</v>
      </c>
      <c r="J15" s="18">
        <v>6.6110540835753202</v>
      </c>
      <c r="K15" s="18">
        <v>7.1364603821227925</v>
      </c>
      <c r="L15" s="18">
        <v>4.4173809339078227</v>
      </c>
      <c r="M15" s="18">
        <v>3.2161040166838455</v>
      </c>
      <c r="N15" s="18">
        <v>2.4939263026769765</v>
      </c>
      <c r="O15" s="18">
        <v>2.8254547469191089</v>
      </c>
      <c r="P15" s="18">
        <v>2.0432330535248928</v>
      </c>
      <c r="Q15" s="18">
        <v>1.6966090211673268</v>
      </c>
      <c r="R15" s="43">
        <v>1.4519744085304567</v>
      </c>
      <c r="S15" s="18">
        <f>(H15/$H$10)*100</f>
        <v>18.737670037236501</v>
      </c>
      <c r="T15" s="18">
        <f>(I15/$I$10)*100</f>
        <v>15.911594712047563</v>
      </c>
      <c r="U15" s="18">
        <f>(J15/$J$10)*100</f>
        <v>5.0915695111516346</v>
      </c>
      <c r="V15" s="18">
        <f>(K15/$K$10)*100</f>
        <v>5.545758020291788</v>
      </c>
      <c r="W15" s="18">
        <f>(L15/$L$10)*100</f>
        <v>3.468677747199477</v>
      </c>
      <c r="X15" s="18">
        <f>(M15/$M$10)*100</f>
        <v>2.4897127629618923</v>
      </c>
      <c r="Y15" s="18">
        <f>(N15/$N$10)*100</f>
        <v>1.7420556887677672</v>
      </c>
      <c r="Z15" s="18">
        <f>(O15/$O$10)*100</f>
        <v>1.8708607174791707</v>
      </c>
      <c r="AA15" s="18">
        <f>(P15/$P$10)*100</f>
        <v>1.512733624628664</v>
      </c>
      <c r="AB15" s="18">
        <f t="shared" si="5"/>
        <v>1.1418596831795158</v>
      </c>
      <c r="AC15" s="18">
        <f>(R15/$R$10)*100</f>
        <v>1.0014123850596812</v>
      </c>
      <c r="AD15" s="36" t="s">
        <v>20</v>
      </c>
      <c r="AF15" s="14"/>
      <c r="AG15" s="14"/>
      <c r="AH15" s="14"/>
      <c r="AI15" s="14"/>
      <c r="AJ15" s="14"/>
      <c r="AK15" s="14"/>
      <c r="AL15" s="14"/>
      <c r="AM15" s="14"/>
      <c r="AN15" s="14"/>
      <c r="AO15" s="14"/>
      <c r="AP15" s="14"/>
    </row>
    <row r="16" spans="1:42" ht="22.5" customHeight="1" x14ac:dyDescent="0.25">
      <c r="A16" s="19" t="s">
        <v>21</v>
      </c>
      <c r="B16" s="19"/>
      <c r="C16" s="19"/>
      <c r="D16" s="19"/>
      <c r="E16" s="19"/>
      <c r="F16" s="19"/>
      <c r="G16" s="19"/>
      <c r="H16" s="19"/>
      <c r="I16" s="19"/>
      <c r="J16" s="19"/>
      <c r="K16" s="19"/>
      <c r="L16" s="19"/>
      <c r="AD16" s="20" t="s">
        <v>22</v>
      </c>
    </row>
    <row r="17" spans="1:40" ht="25.5" customHeight="1" x14ac:dyDescent="0.25">
      <c r="A17" s="45" t="s">
        <v>23</v>
      </c>
      <c r="B17" s="45"/>
      <c r="C17" s="45"/>
      <c r="D17" s="45"/>
      <c r="E17" s="45"/>
      <c r="F17" s="45"/>
      <c r="G17" s="45"/>
      <c r="H17" s="45"/>
      <c r="I17" s="45"/>
      <c r="J17" s="45"/>
      <c r="K17" s="45"/>
      <c r="L17" s="45"/>
      <c r="M17" s="45"/>
      <c r="N17" s="45"/>
      <c r="O17" s="45"/>
      <c r="P17" s="45"/>
      <c r="Q17" s="45"/>
      <c r="R17" s="45"/>
      <c r="S17" s="45"/>
      <c r="T17" s="45"/>
      <c r="U17" s="45"/>
      <c r="V17" s="45"/>
      <c r="W17" s="45"/>
      <c r="X17" s="21"/>
      <c r="Y17" s="21"/>
      <c r="Z17" s="21"/>
      <c r="AA17" s="21"/>
      <c r="AB17" s="21"/>
      <c r="AC17" s="21"/>
      <c r="AD17" s="20" t="s">
        <v>27</v>
      </c>
    </row>
    <row r="18" spans="1:40" s="23" customFormat="1" ht="14.25" customHeight="1" x14ac:dyDescent="0.25">
      <c r="A18" s="24" t="s">
        <v>28</v>
      </c>
      <c r="X18" s="22"/>
      <c r="Y18" s="22"/>
      <c r="Z18" s="22"/>
      <c r="AA18" s="22"/>
      <c r="AB18" s="22"/>
      <c r="AC18" s="22"/>
      <c r="AD18" s="20"/>
      <c r="AG18" s="22"/>
      <c r="AH18" s="22"/>
      <c r="AJ18" s="2"/>
      <c r="AK18" s="2"/>
      <c r="AL18" s="2"/>
      <c r="AM18" s="2"/>
      <c r="AN18" s="2"/>
    </row>
    <row r="19" spans="1:40" s="23" customFormat="1" x14ac:dyDescent="0.25">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G19" s="22"/>
      <c r="AH19" s="22"/>
      <c r="AJ19" s="2"/>
      <c r="AK19" s="2"/>
      <c r="AL19" s="2"/>
      <c r="AM19" s="2"/>
      <c r="AN19" s="2"/>
    </row>
    <row r="20" spans="1:40" s="23" customFormat="1" x14ac:dyDescent="0.25">
      <c r="A20" s="24"/>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G20" s="22"/>
      <c r="AH20" s="22"/>
      <c r="AJ20" s="2"/>
      <c r="AK20" s="2"/>
      <c r="AL20" s="2"/>
      <c r="AM20" s="2"/>
      <c r="AN20" s="2"/>
    </row>
    <row r="21" spans="1:40" s="23" customFormat="1" ht="12.75" x14ac:dyDescent="0.25">
      <c r="B21" s="32"/>
      <c r="C21" s="32"/>
      <c r="D21" s="32"/>
      <c r="E21" s="32"/>
      <c r="F21" s="2"/>
      <c r="G21" s="12"/>
      <c r="H21" s="12"/>
      <c r="I21" s="12"/>
      <c r="J21" s="12"/>
      <c r="K21" s="12"/>
      <c r="L21" s="12"/>
      <c r="S21" s="12"/>
      <c r="T21" s="12"/>
      <c r="U21" s="12"/>
      <c r="V21" s="12"/>
      <c r="W21" s="12"/>
      <c r="X21" s="12"/>
      <c r="Y21" s="12"/>
      <c r="Z21" s="12"/>
      <c r="AA21" s="12"/>
      <c r="AB21" s="12"/>
      <c r="AC21" s="12"/>
      <c r="AD21" s="2"/>
      <c r="AE21" s="2"/>
      <c r="AF21" s="2"/>
      <c r="AG21" s="2"/>
      <c r="AH21" s="2"/>
      <c r="AI21" s="2"/>
      <c r="AJ21" s="2"/>
      <c r="AK21" s="2"/>
      <c r="AL21" s="2"/>
      <c r="AM21" s="2"/>
      <c r="AN21" s="2"/>
    </row>
    <row r="22" spans="1:40" ht="12.75" x14ac:dyDescent="0.25">
      <c r="A22" s="25"/>
      <c r="B22" s="2"/>
      <c r="D22" s="2"/>
      <c r="E22" s="2"/>
      <c r="F22" s="2"/>
      <c r="G22" s="12"/>
      <c r="H22" s="12"/>
      <c r="I22" s="12"/>
      <c r="J22" s="12"/>
      <c r="K22" s="12"/>
      <c r="L22" s="12"/>
      <c r="M22" s="23"/>
      <c r="N22" s="23"/>
      <c r="O22" s="23"/>
      <c r="P22" s="23"/>
      <c r="Q22" s="23"/>
      <c r="R22" s="23"/>
      <c r="S22" s="12"/>
      <c r="T22" s="12"/>
      <c r="U22" s="12"/>
      <c r="V22" s="12"/>
      <c r="W22" s="37"/>
      <c r="X22" s="12"/>
      <c r="Y22" s="12"/>
      <c r="Z22" s="12"/>
      <c r="AA22" s="12"/>
      <c r="AB22" s="12"/>
      <c r="AC22" s="12"/>
      <c r="AD22" s="2"/>
      <c r="AE22" s="2"/>
      <c r="AF22" s="2"/>
      <c r="AG22" s="2"/>
      <c r="AH22" s="2"/>
      <c r="AI22" s="2"/>
      <c r="AJ22" s="2"/>
      <c r="AK22" s="2"/>
      <c r="AL22" s="2"/>
      <c r="AM22" s="2"/>
      <c r="AN22" s="2"/>
    </row>
    <row r="23" spans="1:40" ht="12.75" x14ac:dyDescent="0.25">
      <c r="A23" s="2"/>
      <c r="B23" s="2"/>
      <c r="C23" s="2"/>
      <c r="D23" s="2"/>
      <c r="E23" s="2"/>
      <c r="F23" s="2"/>
      <c r="G23" s="12"/>
      <c r="H23" s="12"/>
      <c r="I23" s="12"/>
      <c r="J23" s="12"/>
      <c r="K23" s="12"/>
      <c r="L23" s="12"/>
      <c r="M23" s="23"/>
      <c r="N23" s="23"/>
      <c r="O23" s="23"/>
      <c r="P23" s="23"/>
      <c r="Q23" s="23"/>
      <c r="R23" s="23"/>
      <c r="S23" s="12"/>
      <c r="T23" s="12"/>
      <c r="U23" s="12"/>
      <c r="V23" s="12"/>
      <c r="W23" s="37"/>
      <c r="X23" s="12"/>
      <c r="Y23" s="12"/>
      <c r="Z23" s="12"/>
      <c r="AA23" s="12"/>
      <c r="AB23" s="12"/>
      <c r="AC23" s="12"/>
      <c r="AD23" s="2"/>
      <c r="AE23" s="2"/>
      <c r="AF23" s="2"/>
      <c r="AG23" s="2"/>
      <c r="AH23" s="2"/>
      <c r="AI23" s="2"/>
      <c r="AJ23" s="2"/>
      <c r="AK23" s="2"/>
      <c r="AL23" s="2"/>
      <c r="AM23" s="2"/>
      <c r="AN23" s="2"/>
    </row>
    <row r="24" spans="1:40" ht="12.75" x14ac:dyDescent="0.25">
      <c r="A24" s="2"/>
      <c r="B24" s="2"/>
      <c r="C24" s="2"/>
      <c r="D24" s="2"/>
      <c r="E24" s="2"/>
      <c r="F24" s="2"/>
      <c r="G24" s="16"/>
      <c r="H24" s="16"/>
      <c r="I24" s="16"/>
      <c r="J24" s="16"/>
      <c r="K24" s="16"/>
      <c r="L24" s="16"/>
      <c r="M24" s="23"/>
      <c r="N24" s="23"/>
      <c r="O24" s="23"/>
      <c r="P24" s="23"/>
      <c r="S24" s="16"/>
      <c r="T24" s="12"/>
      <c r="U24" s="16"/>
      <c r="V24" s="16"/>
      <c r="W24" s="37"/>
      <c r="X24" s="16"/>
      <c r="Y24" s="16"/>
      <c r="Z24" s="16"/>
      <c r="AA24" s="16"/>
      <c r="AB24" s="16"/>
      <c r="AC24" s="16"/>
      <c r="AD24" s="2"/>
      <c r="AE24" s="2"/>
      <c r="AF24" s="2"/>
      <c r="AG24" s="2"/>
      <c r="AH24" s="2"/>
      <c r="AI24" s="2"/>
      <c r="AJ24" s="2"/>
      <c r="AK24" s="2"/>
      <c r="AL24" s="2"/>
      <c r="AM24" s="2"/>
      <c r="AN24" s="2"/>
    </row>
    <row r="25" spans="1:40" ht="12.75" x14ac:dyDescent="0.25">
      <c r="A25" s="2"/>
      <c r="B25" s="2"/>
      <c r="C25" s="2"/>
      <c r="D25" s="2"/>
      <c r="E25" s="2"/>
      <c r="F25" s="2"/>
      <c r="G25" s="12"/>
      <c r="H25" s="12"/>
      <c r="I25" s="12"/>
      <c r="J25" s="12"/>
      <c r="K25" s="12"/>
      <c r="L25" s="12"/>
      <c r="M25" s="23"/>
      <c r="N25" s="23"/>
      <c r="O25" s="23"/>
      <c r="P25" s="23"/>
      <c r="Q25" s="23"/>
      <c r="R25" s="23"/>
      <c r="S25" s="12"/>
      <c r="T25" s="12"/>
      <c r="U25" s="12"/>
      <c r="V25" s="12"/>
      <c r="W25" s="37"/>
      <c r="X25" s="12"/>
      <c r="Y25" s="12"/>
      <c r="Z25" s="12"/>
      <c r="AA25" s="12"/>
      <c r="AB25" s="12"/>
      <c r="AC25" s="12"/>
      <c r="AD25" s="2"/>
      <c r="AE25" s="2"/>
      <c r="AF25" s="2"/>
      <c r="AG25" s="2"/>
      <c r="AH25" s="2"/>
      <c r="AI25" s="2"/>
      <c r="AJ25" s="2"/>
      <c r="AK25" s="2"/>
      <c r="AL25" s="2"/>
      <c r="AM25" s="2"/>
      <c r="AN25" s="2"/>
    </row>
    <row r="26" spans="1:40" ht="12.75" x14ac:dyDescent="0.25">
      <c r="A26" s="2"/>
      <c r="B26" s="2"/>
      <c r="C26" s="2"/>
      <c r="D26" s="2"/>
      <c r="E26" s="2"/>
      <c r="F26" s="2"/>
      <c r="G26" s="12"/>
      <c r="H26" s="12"/>
      <c r="I26" s="12"/>
      <c r="J26" s="12"/>
      <c r="K26" s="12"/>
      <c r="L26" s="12"/>
      <c r="M26" s="23"/>
      <c r="N26" s="23"/>
      <c r="O26" s="23"/>
      <c r="P26" s="23"/>
      <c r="Q26" s="23"/>
      <c r="R26" s="23"/>
      <c r="S26" s="12"/>
      <c r="T26" s="12"/>
      <c r="U26" s="12"/>
      <c r="V26" s="12"/>
      <c r="W26" s="37"/>
      <c r="X26" s="12"/>
      <c r="Y26" s="12"/>
      <c r="Z26" s="12"/>
      <c r="AA26" s="12"/>
      <c r="AB26" s="12"/>
      <c r="AC26" s="12"/>
      <c r="AD26" s="2"/>
      <c r="AE26" s="2"/>
      <c r="AF26" s="2"/>
      <c r="AG26" s="2"/>
      <c r="AH26" s="2"/>
      <c r="AI26" s="2"/>
      <c r="AJ26" s="2"/>
      <c r="AK26" s="2"/>
      <c r="AL26" s="2"/>
      <c r="AM26" s="2"/>
      <c r="AN26" s="2"/>
    </row>
    <row r="27" spans="1:40" ht="12.75" x14ac:dyDescent="0.25">
      <c r="A27" s="2"/>
      <c r="B27" s="2"/>
      <c r="C27" s="2"/>
      <c r="D27" s="2"/>
      <c r="E27" s="2"/>
      <c r="F27" s="2"/>
      <c r="G27" s="12"/>
      <c r="H27" s="12"/>
      <c r="I27" s="12"/>
      <c r="J27" s="12"/>
      <c r="K27" s="12"/>
      <c r="L27" s="12"/>
      <c r="M27" s="23"/>
      <c r="N27" s="23"/>
      <c r="O27" s="23"/>
      <c r="P27" s="23"/>
      <c r="Q27" s="23"/>
      <c r="R27" s="23"/>
      <c r="S27" s="12"/>
      <c r="T27" s="12"/>
      <c r="U27" s="12"/>
      <c r="V27" s="12"/>
      <c r="W27" s="37"/>
      <c r="X27" s="12"/>
      <c r="Y27" s="12"/>
      <c r="Z27" s="12"/>
      <c r="AA27" s="12"/>
      <c r="AB27" s="12"/>
      <c r="AC27" s="12"/>
      <c r="AD27" s="2"/>
      <c r="AE27" s="2"/>
      <c r="AF27" s="2"/>
      <c r="AG27" s="2"/>
      <c r="AH27" s="2"/>
      <c r="AI27" s="2"/>
      <c r="AJ27" s="2"/>
      <c r="AK27" s="2"/>
      <c r="AL27" s="2"/>
      <c r="AM27" s="2"/>
      <c r="AN27" s="2"/>
    </row>
    <row r="28" spans="1:40" ht="12.75" x14ac:dyDescent="0.25">
      <c r="A28" s="2"/>
      <c r="B28" s="2"/>
      <c r="C28" s="2"/>
      <c r="D28" s="2"/>
      <c r="E28" s="2"/>
      <c r="F28" s="2"/>
      <c r="G28" s="12"/>
      <c r="H28" s="12"/>
      <c r="I28" s="12"/>
      <c r="J28" s="12"/>
      <c r="K28" s="12"/>
      <c r="L28" s="12"/>
      <c r="M28" s="23"/>
      <c r="N28" s="23"/>
      <c r="O28" s="23"/>
      <c r="P28" s="23"/>
      <c r="Q28" s="23"/>
      <c r="R28" s="23"/>
      <c r="S28" s="12"/>
      <c r="T28" s="12"/>
      <c r="U28" s="12"/>
      <c r="V28" s="12"/>
      <c r="W28" s="37"/>
      <c r="X28" s="12"/>
      <c r="Y28" s="12"/>
      <c r="Z28" s="12"/>
      <c r="AA28" s="12"/>
      <c r="AB28" s="12"/>
      <c r="AC28" s="12"/>
      <c r="AD28" s="2"/>
      <c r="AE28" s="2"/>
      <c r="AF28" s="2"/>
      <c r="AG28" s="2"/>
      <c r="AH28" s="2"/>
      <c r="AI28" s="2"/>
      <c r="AJ28" s="2"/>
      <c r="AK28" s="2"/>
      <c r="AL28" s="2"/>
      <c r="AM28" s="2"/>
      <c r="AN28" s="2"/>
    </row>
    <row r="29" spans="1:40" ht="12.75" x14ac:dyDescent="0.25">
      <c r="A29" s="2"/>
      <c r="B29" s="2"/>
      <c r="C29" s="2"/>
      <c r="D29" s="2"/>
      <c r="E29" s="2"/>
      <c r="F29" s="2"/>
      <c r="G29" s="12"/>
      <c r="H29" s="12"/>
      <c r="I29" s="12"/>
      <c r="J29" s="12"/>
      <c r="K29" s="12"/>
      <c r="L29" s="12"/>
      <c r="M29" s="23"/>
      <c r="N29" s="23"/>
      <c r="O29" s="23"/>
      <c r="P29" s="23"/>
      <c r="Q29" s="23"/>
      <c r="R29" s="23"/>
      <c r="S29" s="12"/>
      <c r="T29" s="12"/>
      <c r="U29" s="12"/>
      <c r="V29" s="12"/>
      <c r="W29" s="37"/>
      <c r="X29" s="12"/>
      <c r="Y29" s="12"/>
      <c r="Z29" s="12"/>
      <c r="AA29" s="12"/>
      <c r="AB29" s="12"/>
      <c r="AC29" s="12"/>
      <c r="AD29" s="2"/>
      <c r="AE29" s="2"/>
      <c r="AF29" s="2"/>
      <c r="AG29" s="2"/>
      <c r="AH29" s="2"/>
      <c r="AI29" s="2"/>
      <c r="AJ29" s="2"/>
      <c r="AK29" s="2"/>
      <c r="AL29" s="2"/>
      <c r="AM29" s="2"/>
      <c r="AN29" s="2"/>
    </row>
    <row r="30" spans="1:40" ht="12.75" x14ac:dyDescent="0.25">
      <c r="A30" s="2"/>
      <c r="B30" s="2"/>
      <c r="C30" s="2"/>
      <c r="D30" s="2"/>
      <c r="E30" s="2"/>
      <c r="F30" s="2"/>
      <c r="G30" s="12"/>
      <c r="H30" s="12"/>
      <c r="I30" s="12"/>
      <c r="J30" s="12"/>
      <c r="K30" s="12"/>
      <c r="L30" s="12"/>
      <c r="M30" s="23"/>
      <c r="N30" s="23"/>
      <c r="O30" s="23"/>
      <c r="P30" s="23"/>
      <c r="Q30" s="23"/>
      <c r="R30" s="23"/>
      <c r="S30" s="12"/>
      <c r="T30" s="12"/>
      <c r="U30" s="12"/>
      <c r="V30" s="12"/>
      <c r="W30" s="37"/>
      <c r="X30" s="12"/>
      <c r="Y30" s="12"/>
      <c r="Z30" s="12"/>
      <c r="AA30" s="12"/>
      <c r="AB30" s="12"/>
      <c r="AC30" s="12"/>
      <c r="AD30" s="2"/>
      <c r="AE30" s="2"/>
      <c r="AF30" s="2"/>
      <c r="AG30" s="2"/>
      <c r="AH30" s="2"/>
      <c r="AI30" s="2"/>
      <c r="AJ30" s="2"/>
      <c r="AK30" s="2"/>
      <c r="AL30" s="2"/>
      <c r="AM30" s="2"/>
      <c r="AN30" s="2"/>
    </row>
    <row r="31" spans="1:40" ht="12.75" x14ac:dyDescent="0.25">
      <c r="A31" s="2"/>
      <c r="B31" s="2"/>
      <c r="C31" s="2"/>
      <c r="D31" s="2"/>
      <c r="E31" s="2"/>
      <c r="F31" s="2"/>
      <c r="G31" s="2"/>
      <c r="H31" s="2"/>
      <c r="I31" s="2"/>
      <c r="J31" s="2"/>
      <c r="K31" s="2"/>
      <c r="L31" s="2"/>
      <c r="M31" s="23"/>
      <c r="N31" s="23"/>
      <c r="O31" s="23"/>
      <c r="P31" s="23"/>
      <c r="Q31" s="23"/>
      <c r="R31" s="23"/>
      <c r="S31" s="2"/>
      <c r="T31" s="2"/>
      <c r="U31" s="2"/>
      <c r="V31" s="2"/>
      <c r="W31" s="37"/>
      <c r="X31" s="2"/>
      <c r="Y31" s="2"/>
      <c r="Z31" s="2"/>
      <c r="AA31" s="2"/>
      <c r="AB31" s="2"/>
      <c r="AC31" s="2"/>
      <c r="AD31" s="2"/>
      <c r="AE31" s="2"/>
      <c r="AF31" s="2"/>
      <c r="AG31" s="2"/>
      <c r="AH31" s="2"/>
      <c r="AI31" s="2"/>
      <c r="AJ31" s="2"/>
      <c r="AK31" s="2"/>
      <c r="AL31" s="2"/>
      <c r="AM31" s="2"/>
      <c r="AN31" s="2"/>
    </row>
    <row r="32" spans="1:40" ht="12.75" x14ac:dyDescent="0.25">
      <c r="A32" s="2"/>
      <c r="B32" s="2"/>
      <c r="C32" s="2"/>
      <c r="D32" s="2"/>
      <c r="E32" s="2"/>
      <c r="F32" s="2"/>
      <c r="G32" s="2"/>
      <c r="H32" s="2"/>
      <c r="I32" s="2"/>
      <c r="J32" s="2"/>
      <c r="K32" s="2"/>
      <c r="L32" s="2"/>
      <c r="M32" s="2"/>
      <c r="N32" s="2"/>
      <c r="O32" s="2"/>
      <c r="P32" s="2"/>
      <c r="Q32" s="2"/>
      <c r="R32" s="2"/>
      <c r="S32" s="2"/>
      <c r="T32" s="2"/>
      <c r="U32" s="2"/>
      <c r="V32" s="2"/>
      <c r="W32" s="37"/>
      <c r="X32" s="2"/>
      <c r="Y32" s="2"/>
      <c r="Z32" s="2"/>
      <c r="AA32" s="2"/>
      <c r="AB32" s="2"/>
      <c r="AC32" s="2"/>
      <c r="AD32" s="2"/>
      <c r="AE32" s="2"/>
      <c r="AF32" s="2"/>
      <c r="AG32" s="2"/>
      <c r="AH32" s="2"/>
      <c r="AI32" s="2"/>
      <c r="AJ32" s="2"/>
      <c r="AK32" s="2"/>
      <c r="AL32" s="2"/>
      <c r="AM32" s="2"/>
      <c r="AN32" s="2"/>
    </row>
    <row r="33" spans="1:40" ht="12.75" x14ac:dyDescent="0.25">
      <c r="A33" s="2"/>
      <c r="B33" s="2"/>
      <c r="C33" s="2"/>
      <c r="D33" s="2"/>
      <c r="E33" s="2"/>
      <c r="F33" s="2"/>
      <c r="G33" s="2"/>
      <c r="H33" s="2"/>
      <c r="I33" s="2"/>
      <c r="J33" s="2"/>
      <c r="K33" s="2"/>
      <c r="L33" s="2"/>
      <c r="M33" s="2"/>
      <c r="N33" s="2"/>
      <c r="O33" s="2"/>
      <c r="P33" s="2"/>
      <c r="Q33" s="2"/>
      <c r="R33" s="2"/>
      <c r="S33" s="2"/>
      <c r="T33" s="2"/>
      <c r="U33" s="2"/>
      <c r="V33" s="2"/>
      <c r="W33" s="37"/>
      <c r="X33" s="2"/>
      <c r="Y33" s="2"/>
      <c r="Z33" s="2"/>
      <c r="AA33" s="2"/>
      <c r="AB33" s="2"/>
      <c r="AC33" s="2"/>
      <c r="AD33" s="2"/>
      <c r="AE33" s="2"/>
      <c r="AF33" s="2"/>
      <c r="AG33" s="2"/>
      <c r="AH33" s="2"/>
      <c r="AI33" s="2"/>
      <c r="AJ33" s="2"/>
      <c r="AK33" s="2"/>
      <c r="AL33" s="2"/>
      <c r="AM33" s="2"/>
      <c r="AN33" s="2"/>
    </row>
    <row r="34" spans="1:40" ht="12.75" x14ac:dyDescent="0.25">
      <c r="A34" s="2"/>
      <c r="B34" s="2"/>
      <c r="C34" s="2"/>
      <c r="D34" s="2"/>
      <c r="E34" s="2"/>
      <c r="F34" s="2"/>
      <c r="G34" s="2"/>
      <c r="H34" s="2"/>
      <c r="I34" s="2"/>
      <c r="J34" s="2"/>
      <c r="K34" s="2"/>
      <c r="L34" s="2"/>
      <c r="M34" s="2"/>
      <c r="N34" s="2"/>
      <c r="O34" s="2"/>
      <c r="P34" s="2"/>
      <c r="Q34" s="2"/>
      <c r="R34" s="2"/>
      <c r="S34" s="2"/>
      <c r="T34" s="2"/>
      <c r="U34" s="2"/>
      <c r="V34" s="2"/>
      <c r="W34" s="37"/>
      <c r="X34" s="2"/>
      <c r="Y34" s="2"/>
      <c r="Z34" s="2"/>
      <c r="AA34" s="2"/>
      <c r="AB34" s="2"/>
      <c r="AC34" s="2"/>
      <c r="AD34" s="2"/>
      <c r="AE34" s="2"/>
      <c r="AF34" s="2"/>
      <c r="AG34" s="2"/>
      <c r="AH34" s="2"/>
      <c r="AI34" s="2"/>
      <c r="AJ34" s="2"/>
      <c r="AK34" s="2"/>
      <c r="AL34" s="2"/>
      <c r="AM34" s="2"/>
      <c r="AN34" s="2"/>
    </row>
    <row r="35" spans="1:40" ht="12.75" x14ac:dyDescent="0.25">
      <c r="A35" s="2"/>
      <c r="B35" s="2"/>
      <c r="C35" s="2"/>
      <c r="D35" s="2"/>
      <c r="E35" s="2"/>
      <c r="F35" s="2"/>
      <c r="G35" s="2"/>
      <c r="H35" s="2"/>
      <c r="I35" s="2"/>
      <c r="J35" s="2"/>
      <c r="K35" s="2"/>
      <c r="L35" s="2"/>
      <c r="M35" s="2"/>
      <c r="N35" s="2"/>
      <c r="O35" s="2"/>
      <c r="P35" s="2"/>
      <c r="Q35" s="2"/>
      <c r="R35" s="2"/>
      <c r="W35" s="37"/>
      <c r="AD35" s="2"/>
      <c r="AE35" s="2"/>
      <c r="AF35" s="2"/>
      <c r="AG35" s="2"/>
      <c r="AH35" s="2"/>
      <c r="AI35" s="2"/>
      <c r="AJ35" s="2"/>
      <c r="AK35" s="2"/>
      <c r="AL35" s="2"/>
      <c r="AM35" s="2"/>
      <c r="AN35" s="2"/>
    </row>
    <row r="36" spans="1:40" ht="12.75" x14ac:dyDescent="0.25">
      <c r="B36" s="2"/>
      <c r="C36" s="2"/>
      <c r="D36" s="2"/>
      <c r="E36" s="2"/>
      <c r="F36" s="2"/>
      <c r="G36" s="2"/>
      <c r="H36" s="2"/>
      <c r="I36" s="2"/>
      <c r="J36" s="2"/>
      <c r="K36" s="2"/>
      <c r="L36" s="2"/>
      <c r="M36" s="2"/>
      <c r="N36" s="2"/>
      <c r="O36" s="2"/>
      <c r="P36" s="2"/>
      <c r="Q36" s="2"/>
      <c r="R36" s="2"/>
      <c r="W36" s="37"/>
      <c r="AE36" s="2"/>
      <c r="AF36" s="2"/>
      <c r="AG36" s="2"/>
      <c r="AH36" s="2"/>
      <c r="AI36" s="2"/>
      <c r="AJ36" s="2"/>
      <c r="AK36" s="2"/>
      <c r="AL36" s="2"/>
      <c r="AM36" s="2"/>
      <c r="AN36" s="2"/>
    </row>
  </sheetData>
  <mergeCells count="9">
    <mergeCell ref="A17:W17"/>
    <mergeCell ref="A1:AE1"/>
    <mergeCell ref="A2:AD2"/>
    <mergeCell ref="A3:AD3"/>
    <mergeCell ref="A4:AD4"/>
    <mergeCell ref="H5:R5"/>
    <mergeCell ref="H6:R6"/>
    <mergeCell ref="S5:AC5"/>
    <mergeCell ref="S6:AC6"/>
  </mergeCells>
  <pageMargins left="0.7" right="0.7" top="0.75" bottom="0.75" header="0.3" footer="0.3"/>
  <pageSetup scale="38" orientation="portrait" horizontalDpi="4294967295" verticalDpi="4294967295" r:id="rId1"/>
  <ignoredErrors>
    <ignoredError sqref="H9:O15 S13:Z15 S8:V12 X9:Z12 X8 P9:R10" unlockedFormula="1"/>
    <ignoredError sqref="W8:W12" formula="1" unlocked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9.1</vt:lpstr>
      <vt:lpstr>'9.1'!Print_Area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2023-01-30T03:02:06Z</cp:lastPrinted>
  <dcterms:created xsi:type="dcterms:W3CDTF">2019-09-09T05:11:24Z</dcterms:created>
  <dcterms:modified xsi:type="dcterms:W3CDTF">2023-01-30T03:02:12Z</dcterms:modified>
</cp:coreProperties>
</file>