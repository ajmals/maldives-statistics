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Fisheries &amp; Agriculture\"/>
    </mc:Choice>
  </mc:AlternateContent>
  <xr:revisionPtr revIDLastSave="0" documentId="13_ncr:1_{A3F45FE8-D033-492E-A778-655A2FFB6983}" xr6:coauthVersionLast="47" xr6:coauthVersionMax="47" xr10:uidLastSave="{00000000-0000-0000-0000-000000000000}"/>
  <bookViews>
    <workbookView xWindow="-120" yWindow="-120" windowWidth="29040" windowHeight="15840" tabRatio="831" xr2:uid="{00000000-000D-0000-FFFF-FFFF00000000}"/>
  </bookViews>
  <sheets>
    <sheet name="9.3" sheetId="3" r:id="rId1"/>
  </sheets>
  <definedNames>
    <definedName name="_xlnm.Print_Area" localSheetId="0">'9.3'!$A$1:$L$72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3" l="1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J11" i="3"/>
  <c r="J9" i="3" s="1"/>
  <c r="I11" i="3"/>
  <c r="I9" i="3" s="1"/>
  <c r="H11" i="3"/>
  <c r="H9" i="3" s="1"/>
  <c r="G11" i="3"/>
  <c r="G9" i="3" s="1"/>
  <c r="F11" i="3"/>
  <c r="F9" i="3" s="1"/>
  <c r="E11" i="3"/>
  <c r="E9" i="3" s="1"/>
  <c r="D11" i="3"/>
  <c r="D9" i="3" s="1"/>
  <c r="B10" i="3"/>
  <c r="B9" i="3" l="1"/>
  <c r="B11" i="3"/>
</calcChain>
</file>

<file path=xl/sharedStrings.xml><?xml version="1.0" encoding="utf-8"?>
<sst xmlns="http://schemas.openxmlformats.org/spreadsheetml/2006/main" count="74" uniqueCount="73">
  <si>
    <t>ilencnwk uDobOl</t>
  </si>
  <si>
    <t>cnwt</t>
  </si>
  <si>
    <t>Republic</t>
  </si>
  <si>
    <t>ejcaWriLum</t>
  </si>
  <si>
    <t>Male'</t>
  </si>
  <si>
    <t>elWm</t>
  </si>
  <si>
    <t>Atolls</t>
  </si>
  <si>
    <t>cawtuLotwa</t>
  </si>
  <si>
    <t>Longline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</si>
  <si>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</si>
  <si>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</si>
  <si>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</si>
  <si>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</si>
  <si>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</si>
  <si>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</si>
  <si>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</si>
  <si>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</si>
  <si>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</si>
  <si>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</si>
  <si>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</si>
  <si>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</si>
  <si>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</si>
  <si>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</si>
  <si>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</si>
  <si>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</si>
  <si>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</si>
  <si>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</si>
  <si>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</si>
  <si>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</si>
  <si>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</si>
  <si>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</si>
  <si>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</si>
  <si>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</si>
  <si>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</si>
  <si>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</si>
  <si>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</si>
  <si>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</si>
  <si>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</si>
  <si>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</si>
  <si>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</si>
  <si>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</si>
  <si>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</si>
  <si>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</si>
  <si>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</si>
  <si>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</si>
  <si>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</si>
  <si>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</si>
  <si>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</si>
  <si>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(cnunwT ckircTem)</t>
  </si>
  <si>
    <t>(In  metric tons)</t>
  </si>
  <si>
    <t>Type of fish</t>
  </si>
  <si>
    <t>މަހުގެ ބާވަތް</t>
  </si>
  <si>
    <t>Locality</t>
  </si>
  <si>
    <t>wlcmuj</t>
  </si>
  <si>
    <t>cswmwlibuLwk</t>
  </si>
  <si>
    <t>ilencnwk</t>
  </si>
  <si>
    <t>cswm iSov</t>
  </si>
  <si>
    <t>iTcawl</t>
  </si>
  <si>
    <t>iDnogWr</t>
  </si>
  <si>
    <t>cswmurwf cnehinehea</t>
  </si>
  <si>
    <t>Total</t>
  </si>
  <si>
    <t>Skipjack tuna</t>
  </si>
  <si>
    <t>Yellowfin tuna</t>
  </si>
  <si>
    <t>Big eye tuna</t>
  </si>
  <si>
    <t>Dogtooth tuna</t>
  </si>
  <si>
    <t xml:space="preserve">   Little tuna</t>
  </si>
  <si>
    <t>Frigate tuna</t>
  </si>
  <si>
    <t>Other marine fish</t>
  </si>
  <si>
    <t>މަޢުލޫމާތުދެއްވި ފަރާތް: މިނިސްޓްރީ އޮފް ފިޝަރީޒް، މެރިންރިސޯސަސް އެންޑް އެގްރިކަލްޗަރ</t>
  </si>
  <si>
    <t>cnwkirevcswmunEl</t>
  </si>
  <si>
    <t>Source: Ministry of Fisheries, Marine Resources  and Agriculture</t>
  </si>
  <si>
    <t>Table 9.3 :  FISH LANDING BY TYPE AND VESSEL LOCALITY, 2021</t>
  </si>
  <si>
    <t>2021 ,ctwvWb egEa iaWhwm inEb wtwvun ifih cnutog eguLotwa WviawfcSokIrcTcsijwr udnwLua : 9.3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</si>
</sst>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#,##0.0"/>
    <numFmt numFmtId="168" formatCode="_(* #,##0_);_(* \(#,##0\);_(* &quot;-&quot;??_);_(@_)"/>
    <numFmt numFmtId="170" formatCode="[$-409]mmmm\ d\,\ yyyy;@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name val="Calibri"/>
      <family val="2"/>
    </font>
    <font>
      <b/>
      <sz val="9"/>
      <name val="A_Waheed"/>
      <family val="3"/>
    </font>
    <font>
      <sz val="10"/>
      <name val="Arial"/>
      <family val="2"/>
    </font>
    <font>
      <b/>
      <sz val="10"/>
      <name val="A_Waheed"/>
      <family val="3"/>
    </font>
    <font>
      <sz val="9"/>
      <name val="Faruma"/>
      <family val="3"/>
    </font>
    <font>
      <i/>
      <sz val="9"/>
      <name val="Calibri"/>
      <family val="2"/>
    </font>
    <font>
      <sz val="9"/>
      <name val="A_Waheed"/>
      <family val="3"/>
    </font>
    <font>
      <i/>
      <sz val="9"/>
      <name val="Arial"/>
      <family val="2"/>
    </font>
    <font>
      <sz val="9"/>
      <name val="Courier"/>
      <family val="3"/>
    </font>
    <font>
      <b/>
      <sz val="10"/>
      <name val="Arial"/>
      <family val="2"/>
    </font>
    <font>
      <b/>
      <sz val="9"/>
      <name val="A_Randhoo"/>
    </font>
    <font>
      <sz val="9"/>
      <name val="Calibri"/>
      <family val="2"/>
    </font>
    <font>
      <b/>
      <sz val="9"/>
      <name val="Faruma"/>
      <family val="3"/>
    </font>
    <font>
      <sz val="9"/>
      <name val="Win Ahamedey PRB"/>
      <family val="2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b/>
      <sz val="10"/>
      <name val="A_Randhoo"/>
    </font>
    <font>
      <sz val="10"/>
      <name val="Calibri"/>
      <family val="2"/>
      <scheme val="minor"/>
    </font>
    <font>
      <sz val="9"/>
      <name val="A_Randhoo"/>
    </font>
    <font>
      <b/>
      <sz val="8"/>
      <name val="A_Randhoo"/>
    </font>
    <font>
      <b/>
      <sz val="10"/>
      <name val="A_Faseyha"/>
    </font>
    <font>
      <sz val="9"/>
      <name val="Calibri Light"/>
      <family val="1"/>
      <scheme val="major"/>
    </font>
    <font>
      <sz val="10"/>
      <name val="A_Faseyha"/>
    </font>
    <font>
      <b/>
      <sz val="12"/>
      <name val="A_Faseyha"/>
    </font>
    <font>
      <b/>
      <sz val="10"/>
      <name val="A_Funa"/>
    </font>
    <font>
      <b/>
      <sz val="12"/>
      <name val="A_Fun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22" fillId="0" borderId="0" applyFont="0" applyFill="0" applyBorder="0" applyAlignment="0" applyProtection="0"/>
    <xf numFmtId="0" fontId="8" fillId="0" borderId="0"/>
    <xf numFmtId="170" fontId="2" fillId="0" borderId="0"/>
    <xf numFmtId="170" fontId="2" fillId="0" borderId="0"/>
    <xf numFmtId="170" fontId="2" fillId="0" borderId="0"/>
    <xf numFmtId="0" fontId="8" fillId="0" borderId="0"/>
  </cellStyleXfs>
  <cellXfs count="96">
    <xf numFmtId="0" fontId="0" fillId="0" borderId="0" xfId="0"/>
    <xf numFmtId="164" fontId="2" fillId="2" borderId="0" xfId="2" applyFill="1" applyAlignment="1">
      <alignment vertical="center"/>
    </xf>
    <xf numFmtId="164" fontId="4" fillId="2" borderId="0" xfId="2" applyFont="1" applyFill="1" applyAlignment="1">
      <alignment vertical="center"/>
    </xf>
    <xf numFmtId="164" fontId="8" fillId="2" borderId="0" xfId="2" applyFont="1" applyFill="1" applyAlignment="1">
      <alignment vertical="center"/>
    </xf>
    <xf numFmtId="164" fontId="10" fillId="2" borderId="0" xfId="2" applyFont="1" applyFill="1" applyAlignment="1">
      <alignment horizontal="right" vertical="center"/>
    </xf>
    <xf numFmtId="164" fontId="13" fillId="2" borderId="0" xfId="2" applyFont="1" applyFill="1" applyAlignment="1">
      <alignment horizontal="left" vertical="center"/>
    </xf>
    <xf numFmtId="164" fontId="14" fillId="2" borderId="0" xfId="2" applyFont="1" applyFill="1" applyAlignment="1">
      <alignment vertical="center"/>
    </xf>
    <xf numFmtId="164" fontId="11" fillId="2" borderId="0" xfId="2" applyFont="1" applyFill="1" applyAlignment="1">
      <alignment horizontal="left" vertical="center"/>
    </xf>
    <xf numFmtId="164" fontId="15" fillId="2" borderId="0" xfId="2" applyFont="1" applyFill="1" applyAlignment="1">
      <alignment vertical="center"/>
    </xf>
    <xf numFmtId="164" fontId="5" fillId="2" borderId="0" xfId="2" applyFont="1" applyFill="1" applyAlignment="1">
      <alignment vertical="center"/>
    </xf>
    <xf numFmtId="164" fontId="17" fillId="2" borderId="0" xfId="2" applyFont="1" applyFill="1" applyAlignment="1">
      <alignment vertical="center"/>
    </xf>
    <xf numFmtId="164" fontId="6" fillId="2" borderId="0" xfId="2" applyFont="1" applyFill="1" applyAlignment="1">
      <alignment vertical="center"/>
    </xf>
    <xf numFmtId="164" fontId="14" fillId="2" borderId="0" xfId="2" applyFont="1" applyFill="1" applyAlignment="1">
      <alignment horizontal="right" vertical="center"/>
    </xf>
    <xf numFmtId="164" fontId="5" fillId="2" borderId="0" xfId="2" applyFont="1" applyFill="1" applyAlignment="1">
      <alignment horizontal="right" vertical="center"/>
    </xf>
    <xf numFmtId="164" fontId="14" fillId="2" borderId="2" xfId="2" applyFont="1" applyFill="1" applyBorder="1" applyAlignment="1">
      <alignment vertical="center"/>
    </xf>
    <xf numFmtId="164" fontId="5" fillId="2" borderId="2" xfId="2" applyFont="1" applyFill="1" applyBorder="1" applyAlignment="1">
      <alignment vertical="center"/>
    </xf>
    <xf numFmtId="164" fontId="19" fillId="2" borderId="2" xfId="2" applyFont="1" applyFill="1" applyBorder="1"/>
    <xf numFmtId="164" fontId="6" fillId="2" borderId="0" xfId="2" applyFont="1" applyFill="1" applyAlignment="1">
      <alignment horizontal="left" vertical="center" wrapText="1"/>
    </xf>
    <xf numFmtId="164" fontId="7" fillId="2" borderId="0" xfId="2" applyFont="1" applyFill="1" applyAlignment="1">
      <alignment horizontal="right" vertical="center" wrapText="1"/>
    </xf>
    <xf numFmtId="164" fontId="14" fillId="2" borderId="0" xfId="2" applyFont="1" applyFill="1" applyAlignment="1">
      <alignment vertical="center" wrapText="1"/>
    </xf>
    <xf numFmtId="164" fontId="6" fillId="2" borderId="0" xfId="2" applyFont="1" applyFill="1" applyAlignment="1">
      <alignment horizontal="right" vertical="center" wrapText="1"/>
    </xf>
    <xf numFmtId="0" fontId="20" fillId="2" borderId="0" xfId="0" applyFont="1" applyFill="1" applyAlignment="1">
      <alignment horizontal="right" vertical="center" wrapText="1"/>
    </xf>
    <xf numFmtId="164" fontId="5" fillId="2" borderId="0" xfId="2" applyFont="1" applyFill="1" applyAlignment="1">
      <alignment vertical="center" wrapText="1"/>
    </xf>
    <xf numFmtId="164" fontId="17" fillId="2" borderId="1" xfId="2" applyFont="1" applyFill="1" applyBorder="1" applyAlignment="1">
      <alignment horizontal="right" vertical="center"/>
    </xf>
    <xf numFmtId="164" fontId="6" fillId="2" borderId="1" xfId="2" applyFont="1" applyFill="1" applyBorder="1" applyAlignment="1">
      <alignment horizontal="right" vertical="center"/>
    </xf>
    <xf numFmtId="164" fontId="6" fillId="2" borderId="1" xfId="2" applyFont="1" applyFill="1" applyBorder="1" applyAlignment="1">
      <alignment horizontal="right" vertical="center" wrapText="1"/>
    </xf>
    <xf numFmtId="164" fontId="12" fillId="2" borderId="1" xfId="2" applyFont="1" applyFill="1" applyBorder="1" applyAlignment="1">
      <alignment horizontal="right" vertical="center"/>
    </xf>
    <xf numFmtId="164" fontId="21" fillId="2" borderId="0" xfId="2" applyFont="1" applyFill="1" applyAlignment="1">
      <alignment horizontal="left" vertical="center"/>
    </xf>
    <xf numFmtId="38" fontId="21" fillId="2" borderId="2" xfId="3" applyNumberFormat="1" applyFont="1" applyFill="1" applyBorder="1" applyAlignment="1" applyProtection="1">
      <alignment vertical="center"/>
    </xf>
    <xf numFmtId="38" fontId="21" fillId="2" borderId="0" xfId="3" applyNumberFormat="1" applyFont="1" applyFill="1" applyAlignment="1" applyProtection="1">
      <alignment vertical="center"/>
    </xf>
    <xf numFmtId="164" fontId="7" fillId="2" borderId="0" xfId="2" applyFont="1" applyFill="1" applyAlignment="1">
      <alignment horizontal="right" vertical="center"/>
    </xf>
    <xf numFmtId="164" fontId="16" fillId="2" borderId="0" xfId="2" applyFont="1" applyFill="1" applyAlignment="1">
      <alignment horizontal="right" vertical="center"/>
    </xf>
    <xf numFmtId="38" fontId="21" fillId="2" borderId="0" xfId="3" applyNumberFormat="1" applyFont="1" applyFill="1" applyBorder="1" applyAlignment="1" applyProtection="1">
      <alignment vertical="center"/>
    </xf>
    <xf numFmtId="38" fontId="21" fillId="2" borderId="0" xfId="3" applyNumberFormat="1" applyFont="1" applyFill="1"/>
    <xf numFmtId="38" fontId="21" fillId="2" borderId="0" xfId="3" applyNumberFormat="1" applyFont="1" applyFill="1" applyBorder="1"/>
    <xf numFmtId="164" fontId="21" fillId="2" borderId="0" xfId="2" applyFont="1" applyFill="1" applyAlignment="1">
      <alignment horizontal="left" vertical="top"/>
    </xf>
    <xf numFmtId="38" fontId="21" fillId="2" borderId="0" xfId="3" applyNumberFormat="1" applyFont="1" applyFill="1" applyBorder="1" applyAlignment="1">
      <alignment horizontal="right"/>
    </xf>
    <xf numFmtId="164" fontId="9" fillId="2" borderId="0" xfId="2" applyFont="1" applyFill="1" applyAlignment="1">
      <alignment horizontal="right" vertical="center"/>
    </xf>
    <xf numFmtId="164" fontId="23" fillId="2" borderId="0" xfId="2" applyFont="1" applyFill="1" applyAlignment="1">
      <alignment horizontal="right" vertical="center"/>
    </xf>
    <xf numFmtId="164" fontId="24" fillId="2" borderId="0" xfId="0" applyNumberFormat="1" applyFont="1" applyFill="1" applyAlignment="1">
      <alignment horizontal="left" vertical="center" indent="2"/>
    </xf>
    <xf numFmtId="38" fontId="24" fillId="2" borderId="0" xfId="3" applyNumberFormat="1" applyFont="1" applyFill="1" applyBorder="1" applyAlignment="1" applyProtection="1">
      <alignment vertical="center"/>
    </xf>
    <xf numFmtId="38" fontId="24" fillId="2" borderId="0" xfId="3" applyNumberFormat="1" applyFont="1" applyFill="1" applyBorder="1"/>
    <xf numFmtId="164" fontId="12" fillId="2" borderId="0" xfId="0" applyNumberFormat="1" applyFont="1" applyFill="1" applyAlignment="1">
      <alignment horizontal="right" vertical="center" indent="2"/>
    </xf>
    <xf numFmtId="164" fontId="25" fillId="2" borderId="0" xfId="0" applyNumberFormat="1" applyFont="1" applyFill="1" applyAlignment="1">
      <alignment horizontal="right" vertical="center"/>
    </xf>
    <xf numFmtId="164" fontId="8" fillId="2" borderId="0" xfId="0" applyNumberFormat="1" applyFont="1" applyFill="1"/>
    <xf numFmtId="164" fontId="24" fillId="2" borderId="1" xfId="0" applyNumberFormat="1" applyFont="1" applyFill="1" applyBorder="1" applyAlignment="1">
      <alignment horizontal="left" vertical="center" indent="2"/>
    </xf>
    <xf numFmtId="38" fontId="24" fillId="2" borderId="1" xfId="3" applyNumberFormat="1" applyFont="1" applyFill="1" applyBorder="1" applyAlignment="1" applyProtection="1">
      <alignment vertical="center"/>
    </xf>
    <xf numFmtId="38" fontId="21" fillId="2" borderId="1" xfId="3" applyNumberFormat="1" applyFont="1" applyFill="1" applyBorder="1" applyAlignment="1" applyProtection="1">
      <alignment vertical="center"/>
    </xf>
    <xf numFmtId="38" fontId="24" fillId="2" borderId="1" xfId="3" applyNumberFormat="1" applyFont="1" applyFill="1" applyBorder="1"/>
    <xf numFmtId="164" fontId="12" fillId="2" borderId="1" xfId="0" applyNumberFormat="1" applyFont="1" applyFill="1" applyBorder="1" applyAlignment="1">
      <alignment horizontal="right" vertical="center" indent="2"/>
    </xf>
    <xf numFmtId="164" fontId="14" fillId="2" borderId="7" xfId="2" applyFont="1" applyFill="1" applyBorder="1" applyAlignment="1">
      <alignment vertical="center"/>
    </xf>
    <xf numFmtId="164" fontId="6" fillId="2" borderId="7" xfId="2" applyFont="1" applyFill="1" applyBorder="1" applyAlignment="1">
      <alignment horizontal="left" vertical="center"/>
    </xf>
    <xf numFmtId="164" fontId="16" fillId="2" borderId="7" xfId="2" applyFont="1" applyFill="1" applyBorder="1" applyAlignment="1">
      <alignment horizontal="right" vertical="center"/>
    </xf>
    <xf numFmtId="164" fontId="26" fillId="2" borderId="7" xfId="2" applyFont="1" applyFill="1" applyBorder="1" applyAlignment="1">
      <alignment horizontal="right" vertical="center"/>
    </xf>
    <xf numFmtId="164" fontId="17" fillId="2" borderId="7" xfId="2" applyFont="1" applyFill="1" applyBorder="1" applyAlignment="1">
      <alignment horizontal="right" vertical="center"/>
    </xf>
    <xf numFmtId="164" fontId="6" fillId="2" borderId="7" xfId="2" applyFont="1" applyFill="1" applyBorder="1" applyAlignment="1">
      <alignment horizontal="right" vertical="center"/>
    </xf>
    <xf numFmtId="164" fontId="6" fillId="2" borderId="7" xfId="2" applyFont="1" applyFill="1" applyBorder="1" applyAlignment="1">
      <alignment horizontal="right" vertical="center" wrapText="1"/>
    </xf>
    <xf numFmtId="38" fontId="6" fillId="2" borderId="7" xfId="3" applyNumberFormat="1" applyFont="1" applyFill="1" applyBorder="1" applyAlignment="1" applyProtection="1">
      <alignment vertical="center"/>
    </xf>
    <xf numFmtId="3" fontId="6" fillId="2" borderId="7" xfId="2" applyNumberFormat="1" applyFont="1" applyFill="1" applyBorder="1" applyAlignment="1">
      <alignment vertical="center"/>
    </xf>
    <xf numFmtId="3" fontId="6" fillId="2" borderId="7" xfId="2" applyNumberFormat="1" applyFont="1" applyFill="1" applyBorder="1"/>
    <xf numFmtId="3" fontId="6" fillId="2" borderId="7" xfId="4" applyNumberFormat="1" applyFont="1" applyFill="1" applyBorder="1"/>
    <xf numFmtId="165" fontId="6" fillId="2" borderId="7" xfId="4" applyNumberFormat="1" applyFont="1" applyFill="1" applyBorder="1"/>
    <xf numFmtId="165" fontId="6" fillId="2" borderId="7" xfId="4" applyNumberFormat="1" applyFont="1" applyFill="1" applyBorder="1" applyAlignment="1">
      <alignment horizontal="right"/>
    </xf>
    <xf numFmtId="164" fontId="17" fillId="2" borderId="7" xfId="0" applyNumberFormat="1" applyFont="1" applyFill="1" applyBorder="1" applyAlignment="1">
      <alignment horizontal="left" vertical="center"/>
    </xf>
    <xf numFmtId="3" fontId="17" fillId="2" borderId="7" xfId="4" applyNumberFormat="1" applyFont="1" applyFill="1" applyBorder="1"/>
    <xf numFmtId="3" fontId="17" fillId="2" borderId="7" xfId="2" applyNumberFormat="1" applyFont="1" applyFill="1" applyBorder="1"/>
    <xf numFmtId="164" fontId="25" fillId="2" borderId="7" xfId="0" applyNumberFormat="1" applyFont="1" applyFill="1" applyBorder="1" applyAlignment="1">
      <alignment horizontal="right" vertical="center"/>
    </xf>
    <xf numFmtId="165" fontId="17" fillId="2" borderId="7" xfId="2" applyNumberFormat="1" applyFont="1" applyFill="1" applyBorder="1"/>
    <xf numFmtId="165" fontId="17" fillId="2" borderId="7" xfId="2" applyNumberFormat="1" applyFont="1" applyFill="1" applyBorder="1" applyAlignment="1">
      <alignment horizontal="right"/>
    </xf>
    <xf numFmtId="3" fontId="17" fillId="2" borderId="7" xfId="2" applyNumberFormat="1" applyFont="1" applyFill="1" applyBorder="1" applyAlignment="1">
      <alignment horizontal="right"/>
    </xf>
    <xf numFmtId="164" fontId="11" fillId="2" borderId="7" xfId="2" applyFont="1" applyFill="1" applyBorder="1" applyAlignment="1">
      <alignment horizontal="left" vertical="center"/>
    </xf>
    <xf numFmtId="164" fontId="13" fillId="2" borderId="7" xfId="2" applyFont="1" applyFill="1" applyBorder="1" applyAlignment="1">
      <alignment horizontal="left" vertical="center"/>
    </xf>
    <xf numFmtId="164" fontId="25" fillId="2" borderId="7" xfId="2" applyFont="1" applyFill="1" applyBorder="1" applyAlignment="1">
      <alignment horizontal="right" vertical="center"/>
    </xf>
    <xf numFmtId="164" fontId="8" fillId="2" borderId="0" xfId="2" applyFont="1" applyFill="1" applyAlignment="1">
      <alignment horizontal="right" vertical="center"/>
    </xf>
    <xf numFmtId="1" fontId="8" fillId="2" borderId="0" xfId="2" applyNumberFormat="1" applyFont="1" applyFill="1" applyAlignment="1">
      <alignment vertical="center"/>
    </xf>
    <xf numFmtId="43" fontId="14" fillId="2" borderId="0" xfId="1" applyFont="1" applyFill="1" applyAlignment="1">
      <alignment vertical="center"/>
    </xf>
    <xf numFmtId="43" fontId="4" fillId="2" borderId="0" xfId="1" applyFont="1" applyFill="1" applyAlignment="1">
      <alignment vertical="center"/>
    </xf>
    <xf numFmtId="43" fontId="8" fillId="2" borderId="0" xfId="1" applyFont="1" applyFill="1"/>
    <xf numFmtId="43" fontId="8" fillId="2" borderId="0" xfId="1" applyFont="1" applyFill="1" applyAlignment="1">
      <alignment vertical="center"/>
    </xf>
    <xf numFmtId="164" fontId="6" fillId="2" borderId="5" xfId="2" applyFont="1" applyFill="1" applyBorder="1" applyAlignment="1">
      <alignment vertical="center"/>
    </xf>
    <xf numFmtId="168" fontId="6" fillId="2" borderId="6" xfId="1" applyNumberFormat="1" applyFont="1" applyFill="1" applyBorder="1" applyAlignment="1" applyProtection="1">
      <alignment vertical="center"/>
    </xf>
    <xf numFmtId="164" fontId="28" fillId="2" borderId="7" xfId="2" applyFont="1" applyFill="1" applyBorder="1" applyAlignment="1">
      <alignment horizontal="centerContinuous" vertical="center"/>
    </xf>
    <xf numFmtId="164" fontId="6" fillId="2" borderId="0" xfId="2" applyFont="1" applyFill="1" applyAlignment="1">
      <alignment horizontal="center" vertical="center"/>
    </xf>
    <xf numFmtId="164" fontId="10" fillId="2" borderId="0" xfId="2" applyFont="1" applyFill="1" applyAlignment="1">
      <alignment horizontal="right" vertical="top" wrapText="1"/>
    </xf>
    <xf numFmtId="164" fontId="6" fillId="2" borderId="1" xfId="2" applyFont="1" applyFill="1" applyBorder="1" applyAlignment="1">
      <alignment horizontal="center" vertical="center"/>
    </xf>
    <xf numFmtId="164" fontId="29" fillId="2" borderId="0" xfId="2" applyFont="1" applyFill="1" applyAlignment="1">
      <alignment vertical="center"/>
    </xf>
    <xf numFmtId="164" fontId="27" fillId="2" borderId="0" xfId="2" applyFont="1" applyFill="1" applyAlignment="1">
      <alignment vertical="center"/>
    </xf>
    <xf numFmtId="164" fontId="31" fillId="2" borderId="0" xfId="2" applyFont="1" applyFill="1" applyAlignment="1">
      <alignment horizontal="right" vertical="center" wrapText="1"/>
    </xf>
    <xf numFmtId="164" fontId="31" fillId="2" borderId="3" xfId="2" applyFont="1" applyFill="1" applyBorder="1" applyAlignment="1">
      <alignment horizontal="right" vertical="center" wrapText="1"/>
    </xf>
    <xf numFmtId="164" fontId="11" fillId="2" borderId="0" xfId="2" applyFont="1" applyFill="1" applyAlignment="1">
      <alignment horizontal="left" vertical="top" wrapText="1"/>
    </xf>
    <xf numFmtId="164" fontId="10" fillId="2" borderId="0" xfId="2" applyFont="1" applyFill="1" applyAlignment="1">
      <alignment horizontal="right" vertical="top" wrapText="1"/>
    </xf>
    <xf numFmtId="164" fontId="30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32" fillId="2" borderId="0" xfId="2" applyFont="1" applyFill="1" applyAlignment="1">
      <alignment horizontal="center" vertical="center" wrapText="1"/>
    </xf>
    <xf numFmtId="164" fontId="6" fillId="2" borderId="4" xfId="2" applyFont="1" applyFill="1" applyBorder="1" applyAlignment="1">
      <alignment horizontal="center" vertical="center"/>
    </xf>
    <xf numFmtId="164" fontId="18" fillId="2" borderId="4" xfId="2" applyFont="1" applyFill="1" applyBorder="1" applyAlignment="1">
      <alignment horizontal="center" vertical="center"/>
    </xf>
  </cellXfs>
  <cellStyles count="9">
    <cellStyle name="1" xfId="8" xr:uid="{00000000-0005-0000-0000-000000000000}"/>
    <cellStyle name="Comma" xfId="1" builtinId="3"/>
    <cellStyle name="Comma 2" xfId="3" xr:uid="{00000000-0005-0000-0000-000002000000}"/>
    <cellStyle name="Normal" xfId="0" builtinId="0"/>
    <cellStyle name="Normal 2_agri planning 2009 year book(final)" xfId="5" xr:uid="{00000000-0005-0000-0000-000005000000}"/>
    <cellStyle name="Normal 3_agri planning 2009 year book(final)" xfId="7" xr:uid="{00000000-0005-0000-0000-000006000000}"/>
    <cellStyle name="Normal 4_agri planning 2009 year book(final)" xfId="6" xr:uid="{00000000-0005-0000-0000-000007000000}"/>
    <cellStyle name="Normal_9.3fig9.1" xfId="4" xr:uid="{00000000-0005-0000-0000-000009000000}"/>
    <cellStyle name="Normal_Fish &amp;  Agri - 8" xfId="2" xr:uid="{00000000-0005-0000-0000-00000A000000}"/>
  </cellStyles>
  <dxfs count="0"/>
  <tableStyles count="0" defaultTableStyle="TableStyleMedium2" defaultPivotStyle="PivotStyleLight16"/>
  <colors>
    <mruColors>
      <color rgb="FFFFD5D5"/>
      <color rgb="FFFFA7A7"/>
      <color rgb="FFFFE5E5"/>
      <color rgb="FF249390"/>
      <color rgb="FF33CCCC"/>
      <color rgb="FFEAFAFA"/>
      <color rgb="FFFF9900"/>
      <color rgb="FF196563"/>
      <color rgb="FF00FFCC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9.1: Fish catch by type of species, 2021</a:t>
            </a:r>
          </a:p>
        </c:rich>
      </c:tx>
      <c:layout>
        <c:manualLayout>
          <c:xMode val="edge"/>
          <c:yMode val="edge"/>
          <c:x val="0.17574387512067124"/>
          <c:y val="3.155818540433925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3250143702302482"/>
          <c:y val="0.11905520023389325"/>
          <c:w val="0.35284290332168189"/>
          <c:h val="0.81968795837295372"/>
        </c:manualLayout>
      </c:layout>
      <c:doughnutChart>
        <c:varyColors val="1"/>
        <c:ser>
          <c:idx val="0"/>
          <c:order val="0"/>
          <c:explosion val="3"/>
          <c:dPt>
            <c:idx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4-1B39-454F-A679-7E388A770785}"/>
              </c:ext>
            </c:extLst>
          </c:dPt>
          <c:dPt>
            <c:idx val="1"/>
            <c:bubble3D val="0"/>
            <c:spPr>
              <a:solidFill>
                <a:srgbClr val="FFA7A7"/>
              </a:solidFill>
            </c:spPr>
            <c:extLst>
              <c:ext xmlns:c16="http://schemas.microsoft.com/office/drawing/2014/chart" uri="{C3380CC4-5D6E-409C-BE32-E72D297353CC}">
                <c16:uniqueId val="{00000003-1B39-454F-A679-7E388A770785}"/>
              </c:ext>
            </c:extLst>
          </c:dPt>
          <c:dPt>
            <c:idx val="2"/>
            <c:bubble3D val="0"/>
            <c:spPr>
              <a:solidFill>
                <a:srgbClr val="FFD5D5"/>
              </a:solidFill>
            </c:spPr>
            <c:extLst>
              <c:ext xmlns:c16="http://schemas.microsoft.com/office/drawing/2014/chart" uri="{C3380CC4-5D6E-409C-BE32-E72D297353CC}">
                <c16:uniqueId val="{00000006-1B39-454F-A679-7E388A770785}"/>
              </c:ext>
            </c:extLst>
          </c:dPt>
          <c:dLbls>
            <c:dLbl>
              <c:idx val="2"/>
              <c:layout>
                <c:manualLayout>
                  <c:x val="0.12926549616188837"/>
                  <c:y val="3.944773175542406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B39-454F-A679-7E388A77078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'9.3'!$D$8:$J$8</c15:sqref>
                  </c15:fullRef>
                </c:ext>
              </c:extLst>
              <c:f>('9.3'!$D$8:$E$8,'9.3'!$J$8)</c:f>
              <c:strCache>
                <c:ptCount val="3"/>
                <c:pt idx="0">
                  <c:v>Skipjack tuna</c:v>
                </c:pt>
                <c:pt idx="1">
                  <c:v>Yellowfin tuna</c:v>
                </c:pt>
                <c:pt idx="2">
                  <c:v>Other marine fish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'9.3'!$D$9:$J$9</c15:sqref>
                  </c15:fullRef>
                </c:ext>
              </c:extLst>
              <c:f>('9.3'!$D$9:$E$9,'9.3'!$J$9)</c:f>
              <c:numCache>
                <c:formatCode>#,##0_);[Red]\(#,##0\)</c:formatCode>
                <c:ptCount val="3"/>
                <c:pt idx="0">
                  <c:v>118683.30116795294</c:v>
                </c:pt>
                <c:pt idx="1">
                  <c:v>24547.862347577331</c:v>
                </c:pt>
                <c:pt idx="2">
                  <c:v>1451.9744085304565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'9.3'!$F$9</c15:sqref>
                  <c15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B0AA-48C2-BC2C-3112F43E6DBB}"/>
                      </c:ext>
                    </c:extLst>
                  </c15:dLbl>
                </c15:categoryFilterException>
                <c15:categoryFilterException>
                  <c15:sqref>'9.3'!$G$9</c15:sqref>
                  <c15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B0AA-48C2-BC2C-3112F43E6DBB}"/>
                      </c:ext>
                    </c:extLst>
                  </c15:dLbl>
                </c15:categoryFilterException>
                <c15:categoryFilterException>
                  <c15:sqref>'9.3'!$H$9</c15:sqref>
                  <c15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B0AA-48C2-BC2C-3112F43E6DBB}"/>
                      </c:ext>
                    </c:extLst>
                  </c15:dLbl>
                </c15:categoryFilterException>
                <c15:categoryFilterException>
                  <c15:sqref>'9.3'!$I$9</c15:sqref>
                  <c15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B0AA-48C2-BC2C-3112F43E6DBB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C-3FA9-4570-BF8C-959C5942D2E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88"/>
        <c:holeSize val="41"/>
      </c:doughnut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2"/>
    </mc:Choice>
    <mc:Fallback>
      <c:style val="2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9.2: Fish catch by Atoll, 2021</a:t>
            </a:r>
          </a:p>
        </c:rich>
      </c:tx>
      <c:layout>
        <c:manualLayout>
          <c:xMode val="edge"/>
          <c:yMode val="edge"/>
          <c:x val="0.28172882133048877"/>
          <c:y val="3.893826201143969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8930302207521864E-2"/>
          <c:y val="0.18082264349840874"/>
          <c:w val="0.88642575634158582"/>
          <c:h val="0.714300609363242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cat>
            <c:strRef>
              <c:f>'9.3'!$A$13:$A$32</c:f>
              <c:strCache>
                <c:ptCount val="20"/>
                <c:pt idx="0">
                  <c:v> HA</c:v>
                </c:pt>
                <c:pt idx="1">
                  <c:v> HDh</c:v>
                </c:pt>
                <c:pt idx="2">
                  <c:v> Sh</c:v>
                </c:pt>
                <c:pt idx="3">
                  <c:v> N</c:v>
                </c:pt>
                <c:pt idx="4">
                  <c:v> 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 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'9.3'!$B$13:$B$32</c:f>
              <c:numCache>
                <c:formatCode>#,##0_);[Red]\(#,##0\)</c:formatCode>
                <c:ptCount val="20"/>
                <c:pt idx="0">
                  <c:v>5931.9524550622245</c:v>
                </c:pt>
                <c:pt idx="1">
                  <c:v>1797.4704761336639</c:v>
                </c:pt>
                <c:pt idx="2">
                  <c:v>4011.5190762657626</c:v>
                </c:pt>
                <c:pt idx="3">
                  <c:v>2389.9616970334964</c:v>
                </c:pt>
                <c:pt idx="4">
                  <c:v>6435.3947629282584</c:v>
                </c:pt>
                <c:pt idx="5">
                  <c:v>1343.0112167004909</c:v>
                </c:pt>
                <c:pt idx="6">
                  <c:v>6073.6380008439464</c:v>
                </c:pt>
                <c:pt idx="7">
                  <c:v>5099.2156067167571</c:v>
                </c:pt>
                <c:pt idx="8">
                  <c:v>1548.4507695258485</c:v>
                </c:pt>
                <c:pt idx="9">
                  <c:v>2241.7806051075904</c:v>
                </c:pt>
                <c:pt idx="10">
                  <c:v>456.61319352007399</c:v>
                </c:pt>
                <c:pt idx="11">
                  <c:v>3168.916039206732</c:v>
                </c:pt>
                <c:pt idx="12">
                  <c:v>2220.3880190497111</c:v>
                </c:pt>
                <c:pt idx="13">
                  <c:v>7350.6107479954862</c:v>
                </c:pt>
                <c:pt idx="14">
                  <c:v>5507.9821252969768</c:v>
                </c:pt>
                <c:pt idx="15">
                  <c:v>8713.3733898041846</c:v>
                </c:pt>
                <c:pt idx="16">
                  <c:v>27641.363022801692</c:v>
                </c:pt>
                <c:pt idx="17">
                  <c:v>15274.721541317986</c:v>
                </c:pt>
                <c:pt idx="18">
                  <c:v>2387.4367396231705</c:v>
                </c:pt>
                <c:pt idx="19">
                  <c:v>11169.695071678818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8-4493-8B6D-CD3AABE3D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axId val="107753856"/>
        <c:axId val="107755392"/>
      </c:barChart>
      <c:catAx>
        <c:axId val="10775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07755392"/>
        <c:crosses val="autoZero"/>
        <c:auto val="1"/>
        <c:lblAlgn val="ctr"/>
        <c:lblOffset val="100"/>
        <c:noMultiLvlLbl val="0"/>
      </c:catAx>
      <c:valAx>
        <c:axId val="107755392"/>
        <c:scaling>
          <c:orientation val="minMax"/>
          <c:max val="28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metric ton</a:t>
                </a:r>
              </a:p>
            </c:rich>
          </c:tx>
          <c:layout>
            <c:manualLayout>
              <c:xMode val="edge"/>
              <c:yMode val="edge"/>
              <c:x val="1.005533324727852E-2"/>
              <c:y val="6.68094210995903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07753856"/>
        <c:crosses val="autoZero"/>
        <c:crossBetween val="between"/>
        <c:majorUnit val="2000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624840</xdr:colOff>
      <xdr:row>36</xdr:row>
      <xdr:rowOff>0</xdr:rowOff>
    </xdr:from>
    <xdr:to>
      <xdr:col>7</xdr:col>
      <xdr:colOff>687705</xdr:colOff>
      <xdr:row>37</xdr:row>
      <xdr:rowOff>45721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4537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687705</xdr:colOff>
      <xdr:row>68</xdr:row>
      <xdr:rowOff>144780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4537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687705</xdr:colOff>
      <xdr:row>37</xdr:row>
      <xdr:rowOff>45721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4537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687705</xdr:colOff>
      <xdr:row>68</xdr:row>
      <xdr:rowOff>144780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4537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554355</xdr:colOff>
      <xdr:row>37</xdr:row>
      <xdr:rowOff>45721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3204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554355</xdr:colOff>
      <xdr:row>68</xdr:row>
      <xdr:rowOff>144780</xdr:rowOff>
    </xdr:to>
    <xdr:sp macro="" textlink="">
      <xdr:nvSpPr>
        <xdr:cNvPr id="10" name="Text Box 3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3204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554355</xdr:colOff>
      <xdr:row>37</xdr:row>
      <xdr:rowOff>45721</xdr:rowOff>
    </xdr:to>
    <xdr:sp macro="" textlink="">
      <xdr:nvSpPr>
        <xdr:cNvPr id="11" name="Text Box 3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3204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554355</xdr:colOff>
      <xdr:row>68</xdr:row>
      <xdr:rowOff>144780</xdr:rowOff>
    </xdr:to>
    <xdr:sp macro="" textlink="">
      <xdr:nvSpPr>
        <xdr:cNvPr id="13" name="Text Box 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3204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687705</xdr:colOff>
      <xdr:row>37</xdr:row>
      <xdr:rowOff>45721</xdr:rowOff>
    </xdr:to>
    <xdr:sp macro="" textlink="">
      <xdr:nvSpPr>
        <xdr:cNvPr id="17" name="Text Box 3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4537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687705</xdr:colOff>
      <xdr:row>68</xdr:row>
      <xdr:rowOff>144780</xdr:rowOff>
    </xdr:to>
    <xdr:sp macro="" textlink="">
      <xdr:nvSpPr>
        <xdr:cNvPr id="18" name="Text Box 3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4537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687705</xdr:colOff>
      <xdr:row>37</xdr:row>
      <xdr:rowOff>45721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4537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687705</xdr:colOff>
      <xdr:row>68</xdr:row>
      <xdr:rowOff>144780</xdr:rowOff>
    </xdr:to>
    <xdr:sp macro="" textlink="">
      <xdr:nvSpPr>
        <xdr:cNvPr id="20" name="Text Box 3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4537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554355</xdr:colOff>
      <xdr:row>37</xdr:row>
      <xdr:rowOff>45721</xdr:rowOff>
    </xdr:to>
    <xdr:sp macro="" textlink="">
      <xdr:nvSpPr>
        <xdr:cNvPr id="24" name="Text Box 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3204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554355</xdr:colOff>
      <xdr:row>68</xdr:row>
      <xdr:rowOff>144780</xdr:rowOff>
    </xdr:to>
    <xdr:sp macro="" textlink="">
      <xdr:nvSpPr>
        <xdr:cNvPr id="25" name="Text Box 3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3204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554355</xdr:colOff>
      <xdr:row>37</xdr:row>
      <xdr:rowOff>45721</xdr:rowOff>
    </xdr:to>
    <xdr:sp macro="" textlink="">
      <xdr:nvSpPr>
        <xdr:cNvPr id="26" name="Text Box 3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3204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554355</xdr:colOff>
      <xdr:row>68</xdr:row>
      <xdr:rowOff>144780</xdr:rowOff>
    </xdr:to>
    <xdr:sp macro="" textlink="">
      <xdr:nvSpPr>
        <xdr:cNvPr id="28" name="Text Box 3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3204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8</xdr:col>
      <xdr:colOff>87630</xdr:colOff>
      <xdr:row>68</xdr:row>
      <xdr:rowOff>144780</xdr:rowOff>
    </xdr:to>
    <xdr:sp macro="" textlink="">
      <xdr:nvSpPr>
        <xdr:cNvPr id="30" name="Text Box 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8</xdr:col>
      <xdr:colOff>87630</xdr:colOff>
      <xdr:row>37</xdr:row>
      <xdr:rowOff>45720</xdr:rowOff>
    </xdr:to>
    <xdr:sp macro="" textlink="">
      <xdr:nvSpPr>
        <xdr:cNvPr id="31" name="Text Box 3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8</xdr:col>
      <xdr:colOff>87630</xdr:colOff>
      <xdr:row>68</xdr:row>
      <xdr:rowOff>144780</xdr:rowOff>
    </xdr:to>
    <xdr:sp macro="" textlink="">
      <xdr:nvSpPr>
        <xdr:cNvPr id="32" name="Text Box 3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744855</xdr:colOff>
      <xdr:row>37</xdr:row>
      <xdr:rowOff>45720</xdr:rowOff>
    </xdr:to>
    <xdr:sp macro="" textlink="">
      <xdr:nvSpPr>
        <xdr:cNvPr id="35" name="Text Box 3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744855</xdr:colOff>
      <xdr:row>68</xdr:row>
      <xdr:rowOff>144780</xdr:rowOff>
    </xdr:to>
    <xdr:sp macro="" textlink="">
      <xdr:nvSpPr>
        <xdr:cNvPr id="36" name="Text Box 3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744855</xdr:colOff>
      <xdr:row>37</xdr:row>
      <xdr:rowOff>45720</xdr:rowOff>
    </xdr:to>
    <xdr:sp macro="" textlink="">
      <xdr:nvSpPr>
        <xdr:cNvPr id="37" name="Text Box 3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744855</xdr:colOff>
      <xdr:row>68</xdr:row>
      <xdr:rowOff>144780</xdr:rowOff>
    </xdr:to>
    <xdr:sp macro="" textlink="">
      <xdr:nvSpPr>
        <xdr:cNvPr id="39" name="Text Box 3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8</xdr:col>
      <xdr:colOff>87630</xdr:colOff>
      <xdr:row>37</xdr:row>
      <xdr:rowOff>45720</xdr:rowOff>
    </xdr:to>
    <xdr:sp macro="" textlink="">
      <xdr:nvSpPr>
        <xdr:cNvPr id="43" name="Text Box 3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8</xdr:col>
      <xdr:colOff>87630</xdr:colOff>
      <xdr:row>68</xdr:row>
      <xdr:rowOff>144780</xdr:rowOff>
    </xdr:to>
    <xdr:sp macro="" textlink="">
      <xdr:nvSpPr>
        <xdr:cNvPr id="44" name="Text Box 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8</xdr:col>
      <xdr:colOff>87630</xdr:colOff>
      <xdr:row>37</xdr:row>
      <xdr:rowOff>45720</xdr:rowOff>
    </xdr:to>
    <xdr:sp macro="" textlink="">
      <xdr:nvSpPr>
        <xdr:cNvPr id="45" name="Text Box 3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8</xdr:col>
      <xdr:colOff>87630</xdr:colOff>
      <xdr:row>68</xdr:row>
      <xdr:rowOff>144780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744855</xdr:colOff>
      <xdr:row>37</xdr:row>
      <xdr:rowOff>45720</xdr:rowOff>
    </xdr:to>
    <xdr:sp macro="" textlink="">
      <xdr:nvSpPr>
        <xdr:cNvPr id="50" name="Text Box 3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744855</xdr:colOff>
      <xdr:row>68</xdr:row>
      <xdr:rowOff>144780</xdr:rowOff>
    </xdr:to>
    <xdr:sp macro="" textlink="">
      <xdr:nvSpPr>
        <xdr:cNvPr id="51" name="Text Box 3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744855</xdr:colOff>
      <xdr:row>68</xdr:row>
      <xdr:rowOff>144780</xdr:rowOff>
    </xdr:to>
    <xdr:sp macro="" textlink="">
      <xdr:nvSpPr>
        <xdr:cNvPr id="53" name="Text Box 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3</xdr:col>
      <xdr:colOff>624840</xdr:colOff>
      <xdr:row>89</xdr:row>
      <xdr:rowOff>0</xdr:rowOff>
    </xdr:from>
    <xdr:ext cx="3356928" cy="204470"/>
    <xdr:sp macro="" textlink="">
      <xdr:nvSpPr>
        <xdr:cNvPr id="34" name="Text Box 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89</xdr:row>
      <xdr:rowOff>0</xdr:rowOff>
    </xdr:from>
    <xdr:ext cx="3356928" cy="204470"/>
    <xdr:sp macro="" textlink="">
      <xdr:nvSpPr>
        <xdr:cNvPr id="38" name="Text Box 3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89</xdr:row>
      <xdr:rowOff>0</xdr:rowOff>
    </xdr:from>
    <xdr:ext cx="3223578" cy="204470"/>
    <xdr:sp macro="" textlink="">
      <xdr:nvSpPr>
        <xdr:cNvPr id="40" name="Text Box 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89</xdr:row>
      <xdr:rowOff>0</xdr:rowOff>
    </xdr:from>
    <xdr:ext cx="3223578" cy="204470"/>
    <xdr:sp macro="" textlink="">
      <xdr:nvSpPr>
        <xdr:cNvPr id="41" name="Text Box 3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89</xdr:row>
      <xdr:rowOff>0</xdr:rowOff>
    </xdr:from>
    <xdr:ext cx="3356928" cy="204470"/>
    <xdr:sp macro="" textlink="">
      <xdr:nvSpPr>
        <xdr:cNvPr id="42" name="Text Box 3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89</xdr:row>
      <xdr:rowOff>0</xdr:rowOff>
    </xdr:from>
    <xdr:ext cx="3356928" cy="204470"/>
    <xdr:sp macro="" textlink="">
      <xdr:nvSpPr>
        <xdr:cNvPr id="47" name="Text Box 3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89</xdr:row>
      <xdr:rowOff>0</xdr:rowOff>
    </xdr:from>
    <xdr:ext cx="3223578" cy="204470"/>
    <xdr:sp macro="" textlink="">
      <xdr:nvSpPr>
        <xdr:cNvPr id="48" name="Text Box 3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89</xdr:row>
      <xdr:rowOff>0</xdr:rowOff>
    </xdr:from>
    <xdr:ext cx="3223578" cy="204470"/>
    <xdr:sp macro="" textlink="">
      <xdr:nvSpPr>
        <xdr:cNvPr id="49" name="Text Box 3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89</xdr:row>
      <xdr:rowOff>0</xdr:rowOff>
    </xdr:from>
    <xdr:ext cx="3550603" cy="204469"/>
    <xdr:sp macro="" textlink="">
      <xdr:nvSpPr>
        <xdr:cNvPr id="52" name="Text Box 3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89</xdr:row>
      <xdr:rowOff>0</xdr:rowOff>
    </xdr:from>
    <xdr:ext cx="3414078" cy="204469"/>
    <xdr:sp macro="" textlink="">
      <xdr:nvSpPr>
        <xdr:cNvPr id="54" name="Text Box 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89</xdr:row>
      <xdr:rowOff>0</xdr:rowOff>
    </xdr:from>
    <xdr:ext cx="3414078" cy="204469"/>
    <xdr:sp macro="" textlink="">
      <xdr:nvSpPr>
        <xdr:cNvPr id="55" name="Text Box 3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89</xdr:row>
      <xdr:rowOff>0</xdr:rowOff>
    </xdr:from>
    <xdr:ext cx="3550603" cy="204469"/>
    <xdr:sp macro="" textlink="">
      <xdr:nvSpPr>
        <xdr:cNvPr id="56" name="Text Box 3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89</xdr:row>
      <xdr:rowOff>0</xdr:rowOff>
    </xdr:from>
    <xdr:ext cx="3550603" cy="204469"/>
    <xdr:sp macro="" textlink="">
      <xdr:nvSpPr>
        <xdr:cNvPr id="57" name="Text Box 3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89</xdr:row>
      <xdr:rowOff>0</xdr:rowOff>
    </xdr:from>
    <xdr:ext cx="3414078" cy="204469"/>
    <xdr:sp macro="" textlink="">
      <xdr:nvSpPr>
        <xdr:cNvPr id="58" name="Text Box 3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3</xdr:col>
      <xdr:colOff>624840</xdr:colOff>
      <xdr:row>36</xdr:row>
      <xdr:rowOff>0</xdr:rowOff>
    </xdr:from>
    <xdr:to>
      <xdr:col>7</xdr:col>
      <xdr:colOff>687705</xdr:colOff>
      <xdr:row>37</xdr:row>
      <xdr:rowOff>45721</xdr:rowOff>
    </xdr:to>
    <xdr:sp macro="" textlink="">
      <xdr:nvSpPr>
        <xdr:cNvPr id="59" name="Text Box 3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3585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687705</xdr:colOff>
      <xdr:row>68</xdr:row>
      <xdr:rowOff>144780</xdr:rowOff>
    </xdr:to>
    <xdr:sp macro="" textlink="">
      <xdr:nvSpPr>
        <xdr:cNvPr id="60" name="Text Box 3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3585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687705</xdr:colOff>
      <xdr:row>37</xdr:row>
      <xdr:rowOff>45721</xdr:rowOff>
    </xdr:to>
    <xdr:sp macro="" textlink="">
      <xdr:nvSpPr>
        <xdr:cNvPr id="61" name="Text Box 3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3585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687705</xdr:colOff>
      <xdr:row>68</xdr:row>
      <xdr:rowOff>144780</xdr:rowOff>
    </xdr:to>
    <xdr:sp macro="" textlink="">
      <xdr:nvSpPr>
        <xdr:cNvPr id="62" name="Text Box 3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3585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554355</xdr:colOff>
      <xdr:row>37</xdr:row>
      <xdr:rowOff>45721</xdr:rowOff>
    </xdr:to>
    <xdr:sp macro="" textlink="">
      <xdr:nvSpPr>
        <xdr:cNvPr id="63" name="Text Box 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2251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554355</xdr:colOff>
      <xdr:row>68</xdr:row>
      <xdr:rowOff>144780</xdr:rowOff>
    </xdr:to>
    <xdr:sp macro="" textlink="">
      <xdr:nvSpPr>
        <xdr:cNvPr id="64" name="Text Box 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2251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554355</xdr:colOff>
      <xdr:row>37</xdr:row>
      <xdr:rowOff>45721</xdr:rowOff>
    </xdr:to>
    <xdr:sp macro="" textlink="">
      <xdr:nvSpPr>
        <xdr:cNvPr id="65" name="Text Box 3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2251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554355</xdr:colOff>
      <xdr:row>68</xdr:row>
      <xdr:rowOff>144780</xdr:rowOff>
    </xdr:to>
    <xdr:sp macro="" textlink="">
      <xdr:nvSpPr>
        <xdr:cNvPr id="66" name="Text Box 3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2251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687705</xdr:colOff>
      <xdr:row>37</xdr:row>
      <xdr:rowOff>45721</xdr:rowOff>
    </xdr:to>
    <xdr:sp macro="" textlink="">
      <xdr:nvSpPr>
        <xdr:cNvPr id="67" name="Text Box 3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3585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687705</xdr:colOff>
      <xdr:row>68</xdr:row>
      <xdr:rowOff>144780</xdr:rowOff>
    </xdr:to>
    <xdr:sp macro="" textlink="">
      <xdr:nvSpPr>
        <xdr:cNvPr id="68" name="Text Box 3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3585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687705</xdr:colOff>
      <xdr:row>37</xdr:row>
      <xdr:rowOff>45721</xdr:rowOff>
    </xdr:to>
    <xdr:sp macro="" textlink="">
      <xdr:nvSpPr>
        <xdr:cNvPr id="69" name="Text Box 3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3585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687705</xdr:colOff>
      <xdr:row>68</xdr:row>
      <xdr:rowOff>144780</xdr:rowOff>
    </xdr:to>
    <xdr:sp macro="" textlink="">
      <xdr:nvSpPr>
        <xdr:cNvPr id="70" name="Text Box 3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3585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554355</xdr:colOff>
      <xdr:row>37</xdr:row>
      <xdr:rowOff>45721</xdr:rowOff>
    </xdr:to>
    <xdr:sp macro="" textlink="">
      <xdr:nvSpPr>
        <xdr:cNvPr id="71" name="Text Box 3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2251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554355</xdr:colOff>
      <xdr:row>68</xdr:row>
      <xdr:rowOff>144780</xdr:rowOff>
    </xdr:to>
    <xdr:sp macro="" textlink="">
      <xdr:nvSpPr>
        <xdr:cNvPr id="72" name="Text Box 3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2251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554355</xdr:colOff>
      <xdr:row>37</xdr:row>
      <xdr:rowOff>45721</xdr:rowOff>
    </xdr:to>
    <xdr:sp macro="" textlink="">
      <xdr:nvSpPr>
        <xdr:cNvPr id="73" name="Text Box 3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2251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490162</xdr:colOff>
      <xdr:row>34</xdr:row>
      <xdr:rowOff>59814</xdr:rowOff>
    </xdr:from>
    <xdr:to>
      <xdr:col>10</xdr:col>
      <xdr:colOff>730192</xdr:colOff>
      <xdr:row>51</xdr:row>
      <xdr:rowOff>99729</xdr:rowOff>
    </xdr:to>
    <xdr:graphicFrame macro="">
      <xdr:nvGraphicFramePr>
        <xdr:cNvPr id="74" name="Chart 4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554355</xdr:colOff>
      <xdr:row>68</xdr:row>
      <xdr:rowOff>144780</xdr:rowOff>
    </xdr:to>
    <xdr:sp macro="" textlink="">
      <xdr:nvSpPr>
        <xdr:cNvPr id="75" name="Text Box 3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2251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461190</xdr:colOff>
      <xdr:row>53</xdr:row>
      <xdr:rowOff>127517</xdr:rowOff>
    </xdr:from>
    <xdr:to>
      <xdr:col>10</xdr:col>
      <xdr:colOff>689790</xdr:colOff>
      <xdr:row>70</xdr:row>
      <xdr:rowOff>44792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624840</xdr:colOff>
      <xdr:row>67</xdr:row>
      <xdr:rowOff>76200</xdr:rowOff>
    </xdr:from>
    <xdr:to>
      <xdr:col>8</xdr:col>
      <xdr:colOff>87630</xdr:colOff>
      <xdr:row>68</xdr:row>
      <xdr:rowOff>144780</xdr:rowOff>
    </xdr:to>
    <xdr:sp macro="" textlink="">
      <xdr:nvSpPr>
        <xdr:cNvPr id="77" name="Text Box 3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8</xdr:col>
      <xdr:colOff>87630</xdr:colOff>
      <xdr:row>37</xdr:row>
      <xdr:rowOff>45720</xdr:rowOff>
    </xdr:to>
    <xdr:sp macro="" textlink="">
      <xdr:nvSpPr>
        <xdr:cNvPr id="78" name="Text Box 3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8</xdr:col>
      <xdr:colOff>87630</xdr:colOff>
      <xdr:row>68</xdr:row>
      <xdr:rowOff>144780</xdr:rowOff>
    </xdr:to>
    <xdr:sp macro="" textlink="">
      <xdr:nvSpPr>
        <xdr:cNvPr id="79" name="Text Box 3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744855</xdr:colOff>
      <xdr:row>37</xdr:row>
      <xdr:rowOff>45720</xdr:rowOff>
    </xdr:to>
    <xdr:sp macro="" textlink="">
      <xdr:nvSpPr>
        <xdr:cNvPr id="80" name="Text Box 3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744855</xdr:colOff>
      <xdr:row>68</xdr:row>
      <xdr:rowOff>144780</xdr:rowOff>
    </xdr:to>
    <xdr:sp macro="" textlink="">
      <xdr:nvSpPr>
        <xdr:cNvPr id="81" name="Text Box 3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744855</xdr:colOff>
      <xdr:row>37</xdr:row>
      <xdr:rowOff>45720</xdr:rowOff>
    </xdr:to>
    <xdr:sp macro="" textlink="">
      <xdr:nvSpPr>
        <xdr:cNvPr id="82" name="Text Box 3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744855</xdr:colOff>
      <xdr:row>68</xdr:row>
      <xdr:rowOff>144780</xdr:rowOff>
    </xdr:to>
    <xdr:sp macro="" textlink="">
      <xdr:nvSpPr>
        <xdr:cNvPr id="83" name="Text Box 3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8</xdr:col>
      <xdr:colOff>87630</xdr:colOff>
      <xdr:row>37</xdr:row>
      <xdr:rowOff>45720</xdr:rowOff>
    </xdr:to>
    <xdr:sp macro="" textlink="">
      <xdr:nvSpPr>
        <xdr:cNvPr id="84" name="Text Box 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8</xdr:col>
      <xdr:colOff>87630</xdr:colOff>
      <xdr:row>68</xdr:row>
      <xdr:rowOff>144780</xdr:rowOff>
    </xdr:to>
    <xdr:sp macro="" textlink="">
      <xdr:nvSpPr>
        <xdr:cNvPr id="85" name="Text Box 3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8</xdr:col>
      <xdr:colOff>87630</xdr:colOff>
      <xdr:row>37</xdr:row>
      <xdr:rowOff>45720</xdr:rowOff>
    </xdr:to>
    <xdr:sp macro="" textlink="">
      <xdr:nvSpPr>
        <xdr:cNvPr id="86" name="Text Box 3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8</xdr:col>
      <xdr:colOff>87630</xdr:colOff>
      <xdr:row>68</xdr:row>
      <xdr:rowOff>144780</xdr:rowOff>
    </xdr:to>
    <xdr:sp macro="" textlink="">
      <xdr:nvSpPr>
        <xdr:cNvPr id="87" name="Text Box 3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744855</xdr:colOff>
      <xdr:row>37</xdr:row>
      <xdr:rowOff>45720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744855</xdr:colOff>
      <xdr:row>68</xdr:row>
      <xdr:rowOff>144780</xdr:rowOff>
    </xdr:to>
    <xdr:sp macro="" textlink="">
      <xdr:nvSpPr>
        <xdr:cNvPr id="89" name="Text Box 3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744855</xdr:colOff>
      <xdr:row>68</xdr:row>
      <xdr:rowOff>144780</xdr:rowOff>
    </xdr:to>
    <xdr:sp macro="" textlink="">
      <xdr:nvSpPr>
        <xdr:cNvPr id="90" name="Text Box 3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3</xdr:col>
      <xdr:colOff>624840</xdr:colOff>
      <xdr:row>89</xdr:row>
      <xdr:rowOff>0</xdr:rowOff>
    </xdr:from>
    <xdr:ext cx="3356928" cy="204470"/>
    <xdr:sp macro="" textlink="">
      <xdr:nvSpPr>
        <xdr:cNvPr id="91" name="Text Box 3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89</xdr:row>
      <xdr:rowOff>0</xdr:rowOff>
    </xdr:from>
    <xdr:ext cx="3356928" cy="204470"/>
    <xdr:sp macro="" textlink="">
      <xdr:nvSpPr>
        <xdr:cNvPr id="92" name="Text Box 3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89</xdr:row>
      <xdr:rowOff>0</xdr:rowOff>
    </xdr:from>
    <xdr:ext cx="3223578" cy="204470"/>
    <xdr:sp macro="" textlink="">
      <xdr:nvSpPr>
        <xdr:cNvPr id="93" name="Text Box 3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89</xdr:row>
      <xdr:rowOff>0</xdr:rowOff>
    </xdr:from>
    <xdr:ext cx="3223578" cy="204470"/>
    <xdr:sp macro="" textlink="">
      <xdr:nvSpPr>
        <xdr:cNvPr id="94" name="Text Box 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89</xdr:row>
      <xdr:rowOff>0</xdr:rowOff>
    </xdr:from>
    <xdr:ext cx="3356928" cy="204470"/>
    <xdr:sp macro="" textlink="">
      <xdr:nvSpPr>
        <xdr:cNvPr id="95" name="Text Box 3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89</xdr:row>
      <xdr:rowOff>0</xdr:rowOff>
    </xdr:from>
    <xdr:ext cx="3356928" cy="204470"/>
    <xdr:sp macro="" textlink="">
      <xdr:nvSpPr>
        <xdr:cNvPr id="96" name="Text Box 3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89</xdr:row>
      <xdr:rowOff>0</xdr:rowOff>
    </xdr:from>
    <xdr:ext cx="3223578" cy="204470"/>
    <xdr:sp macro="" textlink="">
      <xdr:nvSpPr>
        <xdr:cNvPr id="97" name="Text Box 3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89</xdr:row>
      <xdr:rowOff>0</xdr:rowOff>
    </xdr:from>
    <xdr:ext cx="3223578" cy="204470"/>
    <xdr:sp macro="" textlink="">
      <xdr:nvSpPr>
        <xdr:cNvPr id="98" name="Text Box 3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89</xdr:row>
      <xdr:rowOff>0</xdr:rowOff>
    </xdr:from>
    <xdr:ext cx="3550603" cy="204469"/>
    <xdr:sp macro="" textlink="">
      <xdr:nvSpPr>
        <xdr:cNvPr id="99" name="Text Box 3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89</xdr:row>
      <xdr:rowOff>0</xdr:rowOff>
    </xdr:from>
    <xdr:ext cx="3414078" cy="204469"/>
    <xdr:sp macro="" textlink="">
      <xdr:nvSpPr>
        <xdr:cNvPr id="100" name="Text Box 3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89</xdr:row>
      <xdr:rowOff>0</xdr:rowOff>
    </xdr:from>
    <xdr:ext cx="3414078" cy="204469"/>
    <xdr:sp macro="" textlink="">
      <xdr:nvSpPr>
        <xdr:cNvPr id="101" name="Text Box 3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89</xdr:row>
      <xdr:rowOff>0</xdr:rowOff>
    </xdr:from>
    <xdr:ext cx="3550603" cy="204469"/>
    <xdr:sp macro="" textlink="">
      <xdr:nvSpPr>
        <xdr:cNvPr id="102" name="Text Box 3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89</xdr:row>
      <xdr:rowOff>0</xdr:rowOff>
    </xdr:from>
    <xdr:ext cx="3550603" cy="204469"/>
    <xdr:sp macro="" textlink="">
      <xdr:nvSpPr>
        <xdr:cNvPr id="103" name="Text Box 3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89</xdr:row>
      <xdr:rowOff>0</xdr:rowOff>
    </xdr:from>
    <xdr:ext cx="3414078" cy="204469"/>
    <xdr:sp macro="" textlink="">
      <xdr:nvSpPr>
        <xdr:cNvPr id="104" name="Text Box 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75"/>
  <sheetViews>
    <sheetView tabSelected="1" zoomScale="96" zoomScaleNormal="96" zoomScaleSheetLayoutView="84" workbookViewId="0">
      <selection activeCell="AB29" sqref="AB29"/>
    </sheetView>
  </sheetViews>
  <sheetFormatPr defaultColWidth="9.140625" defaultRowHeight="12.75"/>
  <cols>
    <col min="1" max="1" width="12" style="3" customWidth="1"/>
    <col min="2" max="2" width="10.42578125" style="3" bestFit="1" customWidth="1"/>
    <col min="3" max="3" width="1.28515625" style="3" customWidth="1"/>
    <col min="4" max="5" width="12.85546875" style="3" bestFit="1" customWidth="1"/>
    <col min="6" max="6" width="11.85546875" style="73" customWidth="1"/>
    <col min="7" max="7" width="11.85546875" style="3" customWidth="1"/>
    <col min="8" max="9" width="11.85546875" style="73" customWidth="1"/>
    <col min="10" max="10" width="11.85546875" style="74" customWidth="1"/>
    <col min="11" max="11" width="22.5703125" style="3" customWidth="1"/>
    <col min="12" max="12" width="5.85546875" style="3" customWidth="1"/>
    <col min="13" max="13" width="11.28515625" style="3" customWidth="1"/>
    <col min="14" max="17" width="3.140625" style="3" customWidth="1"/>
    <col min="18" max="18" width="16.5703125" style="3" customWidth="1"/>
    <col min="19" max="19" width="3.140625" style="3" customWidth="1"/>
    <col min="20" max="20" width="6.42578125" style="3" customWidth="1"/>
    <col min="21" max="21" width="18.42578125" style="3" customWidth="1"/>
    <col min="22" max="24" width="3.140625" style="3" customWidth="1"/>
    <col min="25" max="16384" width="9.140625" style="3"/>
  </cols>
  <sheetData>
    <row r="1" spans="1:31" s="86" customFormat="1" ht="18.75">
      <c r="A1" s="91" t="s">
        <v>72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</row>
    <row r="2" spans="1:31" s="11" customFormat="1" ht="15.75">
      <c r="A2" s="92" t="s">
        <v>71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spans="1:31" s="13" customFormat="1" ht="20.25">
      <c r="A3" s="93" t="s">
        <v>48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spans="1:31" s="11" customFormat="1" ht="15.75">
      <c r="A4" s="92" t="s">
        <v>49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1" s="11" customFormat="1" ht="6" customHeight="1">
      <c r="A5" s="82"/>
      <c r="B5" s="82"/>
      <c r="C5" s="82"/>
      <c r="D5" s="84"/>
      <c r="E5" s="84"/>
      <c r="F5" s="84"/>
      <c r="G5" s="84"/>
      <c r="H5" s="84"/>
      <c r="I5" s="84"/>
      <c r="J5" s="84"/>
      <c r="K5" s="82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31" s="9" customFormat="1" ht="17.25" customHeight="1">
      <c r="A6" s="14"/>
      <c r="B6" s="15"/>
      <c r="C6" s="15"/>
      <c r="D6" s="94" t="s">
        <v>50</v>
      </c>
      <c r="E6" s="94"/>
      <c r="F6" s="94"/>
      <c r="G6" s="95" t="s">
        <v>51</v>
      </c>
      <c r="H6" s="95"/>
      <c r="I6" s="95"/>
      <c r="J6" s="95"/>
      <c r="K6" s="1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1" s="22" customFormat="1" ht="35.25" customHeight="1">
      <c r="A7" s="17" t="s">
        <v>52</v>
      </c>
      <c r="B7" s="87" t="s">
        <v>53</v>
      </c>
      <c r="C7" s="88"/>
      <c r="D7" s="88" t="s">
        <v>54</v>
      </c>
      <c r="E7" s="88" t="s">
        <v>55</v>
      </c>
      <c r="F7" s="88" t="s">
        <v>0</v>
      </c>
      <c r="G7" s="88" t="s">
        <v>56</v>
      </c>
      <c r="H7" s="88" t="s">
        <v>57</v>
      </c>
      <c r="I7" s="88" t="s">
        <v>58</v>
      </c>
      <c r="J7" s="88" t="s">
        <v>59</v>
      </c>
      <c r="K7" s="18" t="s">
        <v>1</v>
      </c>
      <c r="L7" s="19"/>
      <c r="M7" s="19"/>
      <c r="N7" s="19"/>
      <c r="O7" s="19"/>
      <c r="P7" s="19"/>
      <c r="Q7" s="20"/>
      <c r="R7" s="20"/>
      <c r="S7" s="20"/>
      <c r="T7" s="21"/>
      <c r="U7" s="20"/>
      <c r="V7" s="20"/>
      <c r="W7" s="20"/>
      <c r="X7" s="20"/>
      <c r="Y7" s="19"/>
      <c r="Z7" s="19"/>
      <c r="AA7" s="19"/>
      <c r="AB7" s="19"/>
      <c r="AC7" s="19"/>
      <c r="AD7" s="19"/>
    </row>
    <row r="8" spans="1:31" s="11" customFormat="1" ht="24">
      <c r="A8" s="23"/>
      <c r="B8" s="24" t="s">
        <v>60</v>
      </c>
      <c r="C8" s="24"/>
      <c r="D8" s="25" t="s">
        <v>61</v>
      </c>
      <c r="E8" s="25" t="s">
        <v>62</v>
      </c>
      <c r="F8" s="25" t="s">
        <v>63</v>
      </c>
      <c r="G8" s="25" t="s">
        <v>64</v>
      </c>
      <c r="H8" s="25" t="s">
        <v>65</v>
      </c>
      <c r="I8" s="25" t="s">
        <v>66</v>
      </c>
      <c r="J8" s="25" t="s">
        <v>67</v>
      </c>
      <c r="K8" s="26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1" s="9" customFormat="1" ht="15">
      <c r="A9" s="27" t="s">
        <v>2</v>
      </c>
      <c r="B9" s="28">
        <f>SUM(D9:J9)</f>
        <v>144992.65539280538</v>
      </c>
      <c r="C9" s="29"/>
      <c r="D9" s="28">
        <f t="shared" ref="D9:J9" si="0">D10+D11+D12</f>
        <v>118683.30116795294</v>
      </c>
      <c r="E9" s="28">
        <f t="shared" si="0"/>
        <v>24547.862347577331</v>
      </c>
      <c r="F9" s="28">
        <f t="shared" si="0"/>
        <v>224.22526847471423</v>
      </c>
      <c r="G9" s="28">
        <f t="shared" si="0"/>
        <v>8.8261215710391134</v>
      </c>
      <c r="H9" s="28">
        <f t="shared" si="0"/>
        <v>14.803570791022615</v>
      </c>
      <c r="I9" s="28">
        <f t="shared" si="0"/>
        <v>61.662507907878933</v>
      </c>
      <c r="J9" s="28">
        <f t="shared" si="0"/>
        <v>1451.9744085304565</v>
      </c>
      <c r="K9" s="30" t="s">
        <v>3</v>
      </c>
      <c r="L9" s="31"/>
      <c r="M9" s="31"/>
      <c r="N9" s="31"/>
      <c r="O9" s="31"/>
      <c r="P9" s="31"/>
      <c r="Q9" s="31"/>
      <c r="R9" s="31"/>
      <c r="S9" s="31"/>
      <c r="T9" s="31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1:31" s="9" customFormat="1" ht="15">
      <c r="A10" s="27" t="s">
        <v>4</v>
      </c>
      <c r="B10" s="32">
        <f>SUM(D10:J10)</f>
        <v>24229.160836192506</v>
      </c>
      <c r="C10" s="33"/>
      <c r="D10" s="41">
        <v>21302.401823359607</v>
      </c>
      <c r="E10" s="34">
        <v>2820.6261310706823</v>
      </c>
      <c r="F10" s="34">
        <v>39.31280377199932</v>
      </c>
      <c r="G10" s="34">
        <v>2.8308520101359449E-2</v>
      </c>
      <c r="H10" s="34">
        <v>2.4389479652417303</v>
      </c>
      <c r="I10" s="34">
        <v>1.753343024295912</v>
      </c>
      <c r="J10" s="34">
        <v>62.599478480580615</v>
      </c>
      <c r="K10" s="30" t="s">
        <v>5</v>
      </c>
      <c r="L10" s="31"/>
      <c r="M10" s="75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s="9" customFormat="1" ht="15">
      <c r="A11" s="27" t="s">
        <v>6</v>
      </c>
      <c r="B11" s="32">
        <f>SUM(D11:J11)</f>
        <v>120763.49455661289</v>
      </c>
      <c r="C11" s="33"/>
      <c r="D11" s="34">
        <f t="shared" ref="D11:J11" si="1">SUM(D13:D32)</f>
        <v>97380.89934459333</v>
      </c>
      <c r="E11" s="34">
        <f t="shared" si="1"/>
        <v>21727.236216506648</v>
      </c>
      <c r="F11" s="34">
        <f t="shared" si="1"/>
        <v>184.91246470271491</v>
      </c>
      <c r="G11" s="34">
        <f t="shared" si="1"/>
        <v>8.7978130509377532</v>
      </c>
      <c r="H11" s="34">
        <f t="shared" si="1"/>
        <v>12.364622825780884</v>
      </c>
      <c r="I11" s="34">
        <f t="shared" si="1"/>
        <v>59.909164883583024</v>
      </c>
      <c r="J11" s="34">
        <f t="shared" si="1"/>
        <v>1389.374930049876</v>
      </c>
      <c r="K11" s="30" t="s">
        <v>7</v>
      </c>
      <c r="L11" s="31"/>
      <c r="M11" s="75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s="9" customFormat="1" ht="15.75" hidden="1">
      <c r="A12" s="35" t="s">
        <v>8</v>
      </c>
      <c r="B12" s="32">
        <f>SUM(D12:J12)</f>
        <v>0</v>
      </c>
      <c r="C12" s="29"/>
      <c r="D12" s="34"/>
      <c r="E12" s="34"/>
      <c r="F12" s="34"/>
      <c r="G12" s="34"/>
      <c r="H12" s="34"/>
      <c r="I12" s="34"/>
      <c r="J12" s="36"/>
      <c r="K12" s="37" t="s">
        <v>69</v>
      </c>
      <c r="L12" s="38"/>
      <c r="M12" s="75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1" s="9" customFormat="1" ht="15">
      <c r="A13" s="39" t="s">
        <v>9</v>
      </c>
      <c r="B13" s="40">
        <f t="shared" ref="B13:B32" si="2">SUM(D13:J13)</f>
        <v>5931.9524550622245</v>
      </c>
      <c r="C13" s="29"/>
      <c r="D13" s="41">
        <v>4564.9262887187879</v>
      </c>
      <c r="E13" s="41">
        <v>1302.8308906790339</v>
      </c>
      <c r="F13" s="41">
        <v>3.4029200205175831</v>
      </c>
      <c r="G13" s="41">
        <v>6.5606908072745204E-2</v>
      </c>
      <c r="H13" s="41">
        <v>3.1878964078107487E-3</v>
      </c>
      <c r="I13" s="41">
        <v>6.6575869185899288</v>
      </c>
      <c r="J13" s="41">
        <v>54.065973920814471</v>
      </c>
      <c r="K13" s="42" t="s">
        <v>10</v>
      </c>
      <c r="L13" s="43"/>
      <c r="M13" s="75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s="9" customFormat="1" ht="15">
      <c r="A14" s="39" t="s">
        <v>11</v>
      </c>
      <c r="B14" s="40">
        <f t="shared" si="2"/>
        <v>1797.4704761336639</v>
      </c>
      <c r="C14" s="29"/>
      <c r="D14" s="41">
        <v>931.64353404631618</v>
      </c>
      <c r="E14" s="41">
        <v>860.57701864607259</v>
      </c>
      <c r="F14" s="41">
        <v>2.126326904009769</v>
      </c>
      <c r="G14" s="41">
        <v>2.9456162808171316E-2</v>
      </c>
      <c r="H14" s="41">
        <v>0</v>
      </c>
      <c r="I14" s="41">
        <v>0</v>
      </c>
      <c r="J14" s="41">
        <v>3.0941403744570346</v>
      </c>
      <c r="K14" s="42" t="s">
        <v>12</v>
      </c>
      <c r="L14" s="43"/>
      <c r="M14" s="75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spans="1:31" s="9" customFormat="1" ht="15">
      <c r="A15" s="39" t="s">
        <v>13</v>
      </c>
      <c r="B15" s="40">
        <f t="shared" si="2"/>
        <v>4011.5190762657626</v>
      </c>
      <c r="C15" s="29"/>
      <c r="D15" s="41">
        <v>2680.6341871345685</v>
      </c>
      <c r="E15" s="41">
        <v>860.51222465158367</v>
      </c>
      <c r="F15" s="41">
        <v>2.5423473852290721</v>
      </c>
      <c r="G15" s="41">
        <v>6.3757928156214977E-2</v>
      </c>
      <c r="H15" s="41">
        <v>1.9450790537436891</v>
      </c>
      <c r="I15" s="41">
        <v>17.214640602178044</v>
      </c>
      <c r="J15" s="41">
        <v>448.60683951030347</v>
      </c>
      <c r="K15" s="42" t="s">
        <v>14</v>
      </c>
      <c r="L15" s="43"/>
      <c r="M15" s="75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 s="9" customFormat="1" ht="15">
      <c r="A16" s="39" t="s">
        <v>15</v>
      </c>
      <c r="B16" s="40">
        <f t="shared" si="2"/>
        <v>2389.9616970334964</v>
      </c>
      <c r="C16" s="29"/>
      <c r="D16" s="41">
        <v>1499.2470867826014</v>
      </c>
      <c r="E16" s="41">
        <v>888.96499706539657</v>
      </c>
      <c r="F16" s="41">
        <v>1.698606842973801</v>
      </c>
      <c r="G16" s="41">
        <v>0</v>
      </c>
      <c r="H16" s="41">
        <v>0</v>
      </c>
      <c r="I16" s="41">
        <v>0</v>
      </c>
      <c r="J16" s="41">
        <v>5.1006342524971972E-2</v>
      </c>
      <c r="K16" s="42" t="s">
        <v>16</v>
      </c>
      <c r="L16" s="43"/>
      <c r="M16" s="75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s="2" customFormat="1" ht="15">
      <c r="A17" s="39" t="s">
        <v>17</v>
      </c>
      <c r="B17" s="40">
        <f t="shared" si="2"/>
        <v>6435.3947629282584</v>
      </c>
      <c r="C17" s="29"/>
      <c r="D17" s="41">
        <v>4716.9923584205153</v>
      </c>
      <c r="E17" s="41">
        <v>1641.536754873086</v>
      </c>
      <c r="F17" s="41">
        <v>2.4123609092005891</v>
      </c>
      <c r="G17" s="41">
        <v>0</v>
      </c>
      <c r="H17" s="41">
        <v>1.6417666500225354</v>
      </c>
      <c r="I17" s="41">
        <v>13.236145885230229</v>
      </c>
      <c r="J17" s="41">
        <v>59.575376190203194</v>
      </c>
      <c r="K17" s="42" t="s">
        <v>18</v>
      </c>
      <c r="L17" s="43"/>
      <c r="M17" s="75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s="2" customFormat="1" ht="15">
      <c r="A18" s="39" t="s">
        <v>19</v>
      </c>
      <c r="B18" s="40">
        <f t="shared" si="2"/>
        <v>1343.0112167004909</v>
      </c>
      <c r="C18" s="29"/>
      <c r="D18" s="41">
        <v>608.33125651044452</v>
      </c>
      <c r="E18" s="41">
        <v>723.20852217980575</v>
      </c>
      <c r="F18" s="41">
        <v>3.5713365877422247</v>
      </c>
      <c r="G18" s="41">
        <v>0.13723894035625273</v>
      </c>
      <c r="H18" s="41">
        <v>0.76696005727314898</v>
      </c>
      <c r="I18" s="41">
        <v>2.8141952514051334</v>
      </c>
      <c r="J18" s="41">
        <v>4.1817071734637095</v>
      </c>
      <c r="K18" s="42" t="s">
        <v>20</v>
      </c>
      <c r="L18" s="43"/>
      <c r="M18" s="75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s="2" customFormat="1" ht="15">
      <c r="A19" s="39" t="s">
        <v>21</v>
      </c>
      <c r="B19" s="40">
        <f t="shared" si="2"/>
        <v>6073.6380008439464</v>
      </c>
      <c r="C19" s="29"/>
      <c r="D19" s="41">
        <v>5322.4042669165437</v>
      </c>
      <c r="E19" s="41">
        <v>736.9535519686151</v>
      </c>
      <c r="F19" s="41">
        <v>3.2229632682966667</v>
      </c>
      <c r="G19" s="41">
        <v>0</v>
      </c>
      <c r="H19" s="41">
        <v>0</v>
      </c>
      <c r="I19" s="41">
        <v>4.1442653301539734</v>
      </c>
      <c r="J19" s="41">
        <v>6.9129533603376077</v>
      </c>
      <c r="K19" s="42" t="s">
        <v>22</v>
      </c>
      <c r="L19" s="43"/>
      <c r="M19" s="75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s="2" customFormat="1" ht="15">
      <c r="A20" s="39" t="s">
        <v>23</v>
      </c>
      <c r="B20" s="40">
        <f t="shared" si="2"/>
        <v>5099.2156067167571</v>
      </c>
      <c r="C20" s="29"/>
      <c r="D20" s="41">
        <v>3797.8508774141219</v>
      </c>
      <c r="E20" s="41">
        <v>1297.360763293389</v>
      </c>
      <c r="F20" s="41">
        <v>1.3973346929536463</v>
      </c>
      <c r="G20" s="41">
        <v>0</v>
      </c>
      <c r="H20" s="41">
        <v>0.46788755577438362</v>
      </c>
      <c r="I20" s="41">
        <v>1.3214627584477505</v>
      </c>
      <c r="J20" s="41">
        <v>0.81728100207044152</v>
      </c>
      <c r="K20" s="42" t="s">
        <v>24</v>
      </c>
      <c r="L20" s="43"/>
      <c r="M20" s="76"/>
      <c r="O20" s="6"/>
      <c r="AA20" s="6"/>
      <c r="AB20" s="6"/>
      <c r="AC20" s="6"/>
      <c r="AD20" s="6"/>
      <c r="AE20" s="6"/>
    </row>
    <row r="21" spans="1:31" s="2" customFormat="1" ht="15">
      <c r="A21" s="39" t="s">
        <v>25</v>
      </c>
      <c r="B21" s="40">
        <f t="shared" si="2"/>
        <v>1548.4507695258485</v>
      </c>
      <c r="C21" s="29"/>
      <c r="D21" s="41">
        <v>324.8900949839537</v>
      </c>
      <c r="E21" s="41">
        <v>1218.2375410596146</v>
      </c>
      <c r="F21" s="41">
        <v>0.72365248457303988</v>
      </c>
      <c r="G21" s="41">
        <v>0</v>
      </c>
      <c r="H21" s="41">
        <v>7.9697410195268714E-2</v>
      </c>
      <c r="I21" s="41">
        <v>0.47818446117161229</v>
      </c>
      <c r="J21" s="41">
        <v>4.0415991263404285</v>
      </c>
      <c r="K21" s="42" t="s">
        <v>26</v>
      </c>
      <c r="L21" s="43"/>
      <c r="M21" s="76"/>
      <c r="O21" s="6"/>
      <c r="AA21" s="6"/>
      <c r="AB21" s="6"/>
      <c r="AC21" s="6"/>
      <c r="AD21" s="6"/>
      <c r="AE21" s="6"/>
    </row>
    <row r="22" spans="1:31" s="2" customFormat="1" ht="15">
      <c r="A22" s="39" t="s">
        <v>27</v>
      </c>
      <c r="B22" s="40">
        <f t="shared" si="2"/>
        <v>2241.7806051075904</v>
      </c>
      <c r="C22" s="29"/>
      <c r="D22" s="41">
        <v>383.98430602984388</v>
      </c>
      <c r="E22" s="41">
        <v>1845.4747766113994</v>
      </c>
      <c r="F22" s="41">
        <v>0.80295140771733231</v>
      </c>
      <c r="G22" s="41">
        <v>2.6379842774633948E-2</v>
      </c>
      <c r="H22" s="41">
        <v>5.4290832193939389</v>
      </c>
      <c r="I22" s="41">
        <v>0</v>
      </c>
      <c r="J22" s="41">
        <v>6.0631079964613797</v>
      </c>
      <c r="K22" s="42" t="s">
        <v>28</v>
      </c>
      <c r="L22" s="43"/>
      <c r="M22" s="76"/>
      <c r="O22" s="6"/>
      <c r="AA22" s="6"/>
      <c r="AB22" s="6"/>
      <c r="AC22" s="6"/>
      <c r="AD22" s="6"/>
      <c r="AE22" s="6"/>
    </row>
    <row r="23" spans="1:31" s="2" customFormat="1" ht="15">
      <c r="A23" s="39" t="s">
        <v>29</v>
      </c>
      <c r="B23" s="40">
        <f t="shared" si="2"/>
        <v>456.61319352007399</v>
      </c>
      <c r="C23" s="29"/>
      <c r="D23" s="41">
        <v>339.59090393427061</v>
      </c>
      <c r="E23" s="41">
        <v>117.02228958580341</v>
      </c>
      <c r="F23" s="41">
        <v>0</v>
      </c>
      <c r="G23" s="41">
        <v>0</v>
      </c>
      <c r="H23" s="41">
        <v>0</v>
      </c>
      <c r="I23" s="41">
        <v>0</v>
      </c>
      <c r="J23" s="41">
        <v>0</v>
      </c>
      <c r="K23" s="42" t="s">
        <v>30</v>
      </c>
      <c r="L23" s="43"/>
      <c r="M23" s="76"/>
      <c r="O23" s="6"/>
      <c r="AA23" s="6"/>
      <c r="AB23" s="6"/>
      <c r="AC23" s="6"/>
      <c r="AD23" s="6"/>
      <c r="AE23" s="6"/>
    </row>
    <row r="24" spans="1:31" s="2" customFormat="1" ht="15">
      <c r="A24" s="39" t="s">
        <v>31</v>
      </c>
      <c r="B24" s="40">
        <f t="shared" si="2"/>
        <v>3168.916039206732</v>
      </c>
      <c r="C24" s="29"/>
      <c r="D24" s="41">
        <v>2431.0507010470365</v>
      </c>
      <c r="E24" s="41">
        <v>723.2178308373168</v>
      </c>
      <c r="F24" s="41">
        <v>12.203442783401977</v>
      </c>
      <c r="G24" s="41">
        <v>0</v>
      </c>
      <c r="H24" s="41">
        <v>1.2751585631242994</v>
      </c>
      <c r="I24" s="41">
        <v>0.31878964078107486</v>
      </c>
      <c r="J24" s="41">
        <v>0.85011633507089235</v>
      </c>
      <c r="K24" s="42" t="s">
        <v>32</v>
      </c>
      <c r="L24" s="43"/>
      <c r="M24" s="76"/>
      <c r="O24" s="6"/>
      <c r="AA24" s="6"/>
      <c r="AB24" s="6"/>
      <c r="AC24" s="6"/>
      <c r="AD24" s="6"/>
      <c r="AE24" s="6"/>
    </row>
    <row r="25" spans="1:31" s="2" customFormat="1" ht="15">
      <c r="A25" s="39" t="s">
        <v>33</v>
      </c>
      <c r="B25" s="40">
        <f t="shared" si="2"/>
        <v>2220.3880190497111</v>
      </c>
      <c r="C25" s="29"/>
      <c r="D25" s="41">
        <v>536.24289279564084</v>
      </c>
      <c r="E25" s="41">
        <v>1024.335877945118</v>
      </c>
      <c r="F25" s="41">
        <v>0.19764957728426641</v>
      </c>
      <c r="G25" s="41">
        <v>3.1241384796545334E-3</v>
      </c>
      <c r="H25" s="41">
        <v>0</v>
      </c>
      <c r="I25" s="41">
        <v>0</v>
      </c>
      <c r="J25" s="41">
        <v>659.60847459318802</v>
      </c>
      <c r="K25" s="42" t="s">
        <v>34</v>
      </c>
      <c r="L25" s="43"/>
      <c r="M25" s="76"/>
      <c r="O25" s="6"/>
      <c r="AA25" s="6"/>
      <c r="AB25" s="6"/>
      <c r="AC25" s="6"/>
      <c r="AD25" s="6"/>
      <c r="AE25" s="6"/>
    </row>
    <row r="26" spans="1:31" s="2" customFormat="1" ht="15">
      <c r="A26" s="39" t="s">
        <v>35</v>
      </c>
      <c r="B26" s="40">
        <f t="shared" si="2"/>
        <v>7350.6107479954862</v>
      </c>
      <c r="C26" s="29"/>
      <c r="D26" s="41">
        <v>3805.505415176327</v>
      </c>
      <c r="E26" s="41">
        <v>3532.8952910901926</v>
      </c>
      <c r="F26" s="41">
        <v>5.3524780687142464</v>
      </c>
      <c r="G26" s="41">
        <v>0.22516112328367319</v>
      </c>
      <c r="H26" s="41">
        <v>0.75580241984581142</v>
      </c>
      <c r="I26" s="41">
        <v>0.55788187136688094</v>
      </c>
      <c r="J26" s="41">
        <v>5.3187182457555311</v>
      </c>
      <c r="K26" s="42" t="s">
        <v>36</v>
      </c>
      <c r="L26" s="43"/>
      <c r="M26" s="77"/>
      <c r="N26" s="44"/>
      <c r="O26" s="6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31" ht="15">
      <c r="A27" s="39" t="s">
        <v>37</v>
      </c>
      <c r="B27" s="40">
        <f t="shared" si="2"/>
        <v>5507.9821252969768</v>
      </c>
      <c r="C27" s="29"/>
      <c r="D27" s="41">
        <v>4704.7552673905284</v>
      </c>
      <c r="E27" s="41">
        <v>657.064931746806</v>
      </c>
      <c r="F27" s="41">
        <v>10.679452966166007</v>
      </c>
      <c r="G27" s="41">
        <v>8.114790306082261</v>
      </c>
      <c r="H27" s="41">
        <v>0</v>
      </c>
      <c r="I27" s="41">
        <v>10.679452966166009</v>
      </c>
      <c r="J27" s="41">
        <v>116.68822992122894</v>
      </c>
      <c r="K27" s="42" t="s">
        <v>38</v>
      </c>
      <c r="L27" s="43"/>
      <c r="M27" s="78"/>
      <c r="O27" s="6"/>
    </row>
    <row r="28" spans="1:31" ht="15">
      <c r="A28" s="39" t="s">
        <v>39</v>
      </c>
      <c r="B28" s="40">
        <f t="shared" si="2"/>
        <v>8713.3733898041846</v>
      </c>
      <c r="C28" s="29"/>
      <c r="D28" s="41">
        <v>7909.7330139151964</v>
      </c>
      <c r="E28" s="41">
        <v>797.2319071351867</v>
      </c>
      <c r="F28" s="41">
        <v>3.2118056308693288</v>
      </c>
      <c r="G28" s="41">
        <v>0.13229770092414608</v>
      </c>
      <c r="H28" s="41">
        <v>0</v>
      </c>
      <c r="I28" s="41">
        <v>2.4865591980923845</v>
      </c>
      <c r="J28" s="41">
        <v>0.57780622391569825</v>
      </c>
      <c r="K28" s="42" t="s">
        <v>40</v>
      </c>
      <c r="L28" s="43"/>
      <c r="M28" s="78"/>
      <c r="O28" s="6"/>
    </row>
    <row r="29" spans="1:31" ht="15">
      <c r="A29" s="39" t="s">
        <v>41</v>
      </c>
      <c r="B29" s="40">
        <f t="shared" si="2"/>
        <v>27641.363022801692</v>
      </c>
      <c r="C29" s="29"/>
      <c r="D29" s="41">
        <v>26010.203062009812</v>
      </c>
      <c r="E29" s="41">
        <v>1552.6420722675011</v>
      </c>
      <c r="F29" s="41">
        <v>59.607287033245385</v>
      </c>
      <c r="G29" s="41">
        <v>0</v>
      </c>
      <c r="H29" s="41">
        <v>0</v>
      </c>
      <c r="I29" s="41">
        <v>0</v>
      </c>
      <c r="J29" s="41">
        <v>18.91060149113336</v>
      </c>
      <c r="K29" s="42" t="s">
        <v>42</v>
      </c>
      <c r="L29" s="43"/>
      <c r="M29" s="78"/>
      <c r="O29" s="6"/>
    </row>
    <row r="30" spans="1:31" ht="15">
      <c r="A30" s="39" t="s">
        <v>43</v>
      </c>
      <c r="B30" s="40">
        <f t="shared" si="2"/>
        <v>15274.721541317986</v>
      </c>
      <c r="C30" s="29"/>
      <c r="D30" s="41">
        <v>14451.705210759734</v>
      </c>
      <c r="E30" s="41">
        <v>804.35454438174816</v>
      </c>
      <c r="F30" s="41">
        <v>18.650787933896783</v>
      </c>
      <c r="G30" s="41">
        <v>0</v>
      </c>
      <c r="H30" s="41">
        <v>0</v>
      </c>
      <c r="I30" s="41">
        <v>0</v>
      </c>
      <c r="J30" s="41">
        <v>1.0998242606947083E-2</v>
      </c>
      <c r="K30" s="42" t="s">
        <v>44</v>
      </c>
      <c r="L30" s="43"/>
      <c r="M30" s="78"/>
      <c r="O30" s="6"/>
    </row>
    <row r="31" spans="1:31" ht="15">
      <c r="A31" s="39" t="s">
        <v>45</v>
      </c>
      <c r="B31" s="40">
        <f t="shared" si="2"/>
        <v>2387.4367396231705</v>
      </c>
      <c r="C31" s="29"/>
      <c r="D31" s="41">
        <v>1868.5474478341248</v>
      </c>
      <c r="E31" s="41">
        <v>489.74235493243236</v>
      </c>
      <c r="F31" s="41">
        <v>29.146936856613671</v>
      </c>
      <c r="G31" s="41">
        <v>0</v>
      </c>
      <c r="H31" s="41">
        <v>0</v>
      </c>
      <c r="I31" s="41">
        <v>0</v>
      </c>
      <c r="J31" s="41">
        <v>0</v>
      </c>
      <c r="K31" s="42" t="s">
        <v>46</v>
      </c>
      <c r="L31" s="43"/>
      <c r="M31" s="78"/>
      <c r="O31" s="6"/>
    </row>
    <row r="32" spans="1:31" ht="15">
      <c r="A32" s="45" t="s">
        <v>14</v>
      </c>
      <c r="B32" s="46">
        <f t="shared" si="2"/>
        <v>11169.695071678818</v>
      </c>
      <c r="C32" s="47"/>
      <c r="D32" s="48">
        <v>10492.661172772967</v>
      </c>
      <c r="E32" s="48">
        <v>653.07207555654134</v>
      </c>
      <c r="F32" s="48">
        <v>23.961823349309501</v>
      </c>
      <c r="G32" s="48">
        <v>0</v>
      </c>
      <c r="H32" s="48">
        <v>0</v>
      </c>
      <c r="I32" s="48">
        <v>0</v>
      </c>
      <c r="J32" s="48">
        <v>0</v>
      </c>
      <c r="K32" s="49" t="s">
        <v>47</v>
      </c>
      <c r="L32" s="43"/>
      <c r="M32" s="78"/>
      <c r="O32" s="6"/>
    </row>
    <row r="33" spans="1:29" ht="17.25">
      <c r="A33" s="7" t="s">
        <v>70</v>
      </c>
      <c r="B33" s="5"/>
      <c r="C33" s="5"/>
      <c r="D33" s="5"/>
      <c r="E33" s="5"/>
      <c r="F33" s="5"/>
      <c r="G33" s="5"/>
      <c r="H33" s="5"/>
      <c r="I33" s="5"/>
      <c r="J33" s="5"/>
      <c r="K33" s="4" t="s">
        <v>68</v>
      </c>
    </row>
    <row r="34" spans="1:29" s="8" customFormat="1">
      <c r="A34" s="3"/>
      <c r="B34" s="3"/>
      <c r="C34" s="3"/>
      <c r="D34" s="3"/>
      <c r="E34" s="3"/>
      <c r="F34" s="73"/>
      <c r="G34" s="90"/>
      <c r="H34" s="90"/>
      <c r="I34" s="90"/>
      <c r="J34" s="90"/>
      <c r="K34" s="90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s="8" customFormat="1" ht="19.5" customHeight="1">
      <c r="A35" s="3"/>
      <c r="B35" s="3"/>
      <c r="C35" s="3"/>
      <c r="D35" s="3"/>
      <c r="E35" s="3"/>
      <c r="F35" s="73"/>
      <c r="G35" s="90"/>
      <c r="H35" s="90"/>
      <c r="I35" s="90"/>
      <c r="J35" s="90"/>
      <c r="K35" s="90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s="8" customFormat="1" ht="19.5" customHeight="1">
      <c r="A36" s="3"/>
      <c r="B36" s="3"/>
      <c r="C36" s="3"/>
      <c r="D36" s="3"/>
      <c r="E36" s="3"/>
      <c r="F36" s="73"/>
      <c r="G36" s="83"/>
      <c r="H36" s="83"/>
      <c r="I36" s="83"/>
      <c r="J36" s="83"/>
      <c r="K36" s="8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s="13" customFormat="1">
      <c r="A37" s="89"/>
      <c r="B37" s="89"/>
      <c r="C37" s="89"/>
      <c r="D37" s="89"/>
      <c r="E37" s="89"/>
      <c r="F37" s="89"/>
      <c r="G37" s="3"/>
      <c r="H37" s="73"/>
      <c r="I37" s="73"/>
      <c r="J37" s="74"/>
      <c r="K37" s="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2"/>
    </row>
    <row r="38" spans="1:29" s="11" customFormat="1" ht="12">
      <c r="A38" s="79"/>
      <c r="D38" s="80"/>
      <c r="E38" s="80"/>
      <c r="F38" s="80"/>
      <c r="G38" s="80"/>
      <c r="H38" s="80"/>
      <c r="I38" s="80"/>
      <c r="J38" s="80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0"/>
    </row>
    <row r="39" spans="1:29" s="9" customFormat="1" ht="12">
      <c r="A39" s="50"/>
      <c r="B39" s="51"/>
      <c r="C39" s="51"/>
      <c r="D39" s="81"/>
      <c r="E39" s="81"/>
      <c r="F39" s="81"/>
      <c r="G39" s="81"/>
      <c r="H39" s="81"/>
      <c r="I39" s="81"/>
      <c r="J39" s="81"/>
      <c r="K39" s="6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6"/>
    </row>
    <row r="40" spans="1:29" s="9" customFormat="1" ht="15">
      <c r="A40" s="51"/>
      <c r="B40" s="53"/>
      <c r="C40" s="53"/>
      <c r="D40" s="53"/>
      <c r="E40" s="53"/>
      <c r="F40" s="53"/>
      <c r="G40" s="53"/>
      <c r="H40" s="53"/>
      <c r="I40" s="53"/>
      <c r="J40" s="52"/>
      <c r="K40" s="6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6"/>
    </row>
    <row r="41" spans="1:29" s="11" customFormat="1" ht="12">
      <c r="A41" s="54"/>
      <c r="B41" s="55"/>
      <c r="C41" s="55"/>
      <c r="D41" s="56"/>
      <c r="E41" s="56"/>
      <c r="F41" s="56"/>
      <c r="G41" s="56"/>
      <c r="H41" s="56"/>
      <c r="I41" s="56"/>
      <c r="J41" s="54"/>
      <c r="K41" s="10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0"/>
    </row>
    <row r="42" spans="1:29" s="9" customFormat="1" ht="15">
      <c r="A42" s="51"/>
      <c r="B42" s="57"/>
      <c r="C42" s="57"/>
      <c r="D42" s="58"/>
      <c r="E42" s="58"/>
      <c r="F42" s="58"/>
      <c r="G42" s="58"/>
      <c r="H42" s="58"/>
      <c r="I42" s="58"/>
      <c r="J42" s="52"/>
      <c r="K42" s="6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6"/>
    </row>
    <row r="43" spans="1:29" s="9" customFormat="1" ht="15">
      <c r="A43" s="51"/>
      <c r="B43" s="59"/>
      <c r="C43" s="59"/>
      <c r="D43" s="60"/>
      <c r="E43" s="60"/>
      <c r="F43" s="60"/>
      <c r="G43" s="60"/>
      <c r="H43" s="60"/>
      <c r="I43" s="60"/>
      <c r="J43" s="52"/>
      <c r="K43" s="6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6"/>
    </row>
    <row r="44" spans="1:29" s="9" customFormat="1" ht="15">
      <c r="A44" s="51"/>
      <c r="B44" s="59"/>
      <c r="C44" s="59"/>
      <c r="D44" s="59"/>
      <c r="E44" s="59"/>
      <c r="F44" s="59"/>
      <c r="G44" s="59"/>
      <c r="H44" s="59"/>
      <c r="I44" s="59"/>
      <c r="J44" s="52"/>
      <c r="K44" s="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6"/>
    </row>
    <row r="45" spans="1:29" s="9" customFormat="1" ht="15">
      <c r="A45" s="51"/>
      <c r="B45" s="58"/>
      <c r="C45" s="58"/>
      <c r="D45" s="61"/>
      <c r="E45" s="60"/>
      <c r="F45" s="62"/>
      <c r="G45" s="62"/>
      <c r="H45" s="62"/>
      <c r="I45" s="60"/>
      <c r="J45" s="52"/>
      <c r="K45" s="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6"/>
    </row>
    <row r="46" spans="1:29" s="9" customFormat="1" ht="15">
      <c r="A46" s="63"/>
      <c r="B46" s="58"/>
      <c r="C46" s="58"/>
      <c r="D46" s="64"/>
      <c r="E46" s="65"/>
      <c r="F46" s="65"/>
      <c r="G46" s="65"/>
      <c r="H46" s="65"/>
      <c r="I46" s="65"/>
      <c r="J46" s="66"/>
      <c r="K46" s="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6"/>
    </row>
    <row r="47" spans="1:29" s="9" customFormat="1" ht="15">
      <c r="A47" s="63"/>
      <c r="B47" s="58"/>
      <c r="C47" s="58"/>
      <c r="D47" s="64"/>
      <c r="E47" s="65"/>
      <c r="F47" s="65"/>
      <c r="G47" s="65"/>
      <c r="H47" s="65"/>
      <c r="I47" s="65"/>
      <c r="J47" s="66"/>
      <c r="K47" s="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6"/>
    </row>
    <row r="48" spans="1:29" s="9" customFormat="1" ht="15">
      <c r="A48" s="63"/>
      <c r="B48" s="58"/>
      <c r="C48" s="58"/>
      <c r="D48" s="64"/>
      <c r="E48" s="65"/>
      <c r="F48" s="65"/>
      <c r="G48" s="65"/>
      <c r="H48" s="65"/>
      <c r="I48" s="65"/>
      <c r="J48" s="66"/>
      <c r="K48" s="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6"/>
    </row>
    <row r="49" spans="1:29" s="9" customFormat="1" ht="15">
      <c r="A49" s="63"/>
      <c r="B49" s="58"/>
      <c r="C49" s="58"/>
      <c r="D49" s="64"/>
      <c r="E49" s="65"/>
      <c r="F49" s="67"/>
      <c r="G49" s="65"/>
      <c r="H49" s="65"/>
      <c r="I49" s="65"/>
      <c r="J49" s="66"/>
      <c r="K49" s="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6"/>
    </row>
    <row r="50" spans="1:29" s="2" customFormat="1" ht="15">
      <c r="A50" s="63"/>
      <c r="B50" s="58"/>
      <c r="C50" s="58"/>
      <c r="D50" s="64"/>
      <c r="E50" s="65"/>
      <c r="F50" s="65"/>
      <c r="G50" s="65"/>
      <c r="H50" s="65"/>
      <c r="I50" s="65"/>
      <c r="J50" s="66"/>
      <c r="K50" s="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6"/>
    </row>
    <row r="51" spans="1:29" s="2" customFormat="1" ht="15">
      <c r="A51" s="63"/>
      <c r="B51" s="58"/>
      <c r="C51" s="58"/>
      <c r="D51" s="64"/>
      <c r="E51" s="65"/>
      <c r="F51" s="65"/>
      <c r="G51" s="65"/>
      <c r="H51" s="65"/>
      <c r="I51" s="65"/>
      <c r="J51" s="66"/>
      <c r="K51" s="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6"/>
    </row>
    <row r="52" spans="1:29" s="2" customFormat="1" ht="15">
      <c r="A52" s="63"/>
      <c r="B52" s="58"/>
      <c r="C52" s="58"/>
      <c r="D52" s="64"/>
      <c r="E52" s="65"/>
      <c r="F52" s="65"/>
      <c r="G52" s="65"/>
      <c r="H52" s="65"/>
      <c r="I52" s="65"/>
      <c r="J52" s="66"/>
      <c r="K52" s="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6"/>
    </row>
    <row r="53" spans="1:29" s="2" customFormat="1" ht="15">
      <c r="A53" s="63"/>
      <c r="B53" s="58"/>
      <c r="C53" s="58"/>
      <c r="D53" s="64"/>
      <c r="E53" s="65"/>
      <c r="F53" s="65"/>
      <c r="G53" s="65"/>
      <c r="H53" s="65"/>
      <c r="I53" s="65"/>
      <c r="J53" s="66"/>
      <c r="V53" s="6"/>
      <c r="W53" s="6"/>
      <c r="X53" s="6"/>
      <c r="Y53" s="6"/>
      <c r="Z53" s="6"/>
      <c r="AA53" s="6"/>
      <c r="AB53" s="6"/>
      <c r="AC53" s="6"/>
    </row>
    <row r="54" spans="1:29" s="2" customFormat="1" ht="15">
      <c r="A54" s="63"/>
      <c r="B54" s="58"/>
      <c r="C54" s="58"/>
      <c r="D54" s="64"/>
      <c r="E54" s="65"/>
      <c r="F54" s="65"/>
      <c r="G54" s="65"/>
      <c r="H54" s="65"/>
      <c r="I54" s="65"/>
      <c r="J54" s="66"/>
      <c r="V54" s="6"/>
      <c r="W54" s="6"/>
      <c r="X54" s="6"/>
      <c r="Y54" s="6"/>
      <c r="Z54" s="6"/>
      <c r="AA54" s="6"/>
      <c r="AB54" s="6"/>
      <c r="AC54" s="6"/>
    </row>
    <row r="55" spans="1:29" s="2" customFormat="1" ht="15">
      <c r="A55" s="63"/>
      <c r="B55" s="58"/>
      <c r="C55" s="58"/>
      <c r="D55" s="64"/>
      <c r="E55" s="65"/>
      <c r="F55" s="65"/>
      <c r="G55" s="65"/>
      <c r="H55" s="65"/>
      <c r="I55" s="65"/>
      <c r="J55" s="66"/>
      <c r="V55" s="6"/>
      <c r="W55" s="6"/>
      <c r="X55" s="6"/>
      <c r="Y55" s="6"/>
      <c r="Z55" s="6"/>
      <c r="AA55" s="6"/>
      <c r="AB55" s="6"/>
      <c r="AC55" s="6"/>
    </row>
    <row r="56" spans="1:29" s="2" customFormat="1" ht="15">
      <c r="A56" s="63"/>
      <c r="B56" s="58"/>
      <c r="C56" s="58"/>
      <c r="D56" s="64"/>
      <c r="E56" s="65"/>
      <c r="F56" s="65"/>
      <c r="G56" s="65"/>
      <c r="H56" s="65"/>
      <c r="I56" s="65"/>
      <c r="J56" s="66"/>
      <c r="V56" s="6"/>
      <c r="W56" s="6"/>
      <c r="X56" s="6"/>
      <c r="Y56" s="6"/>
      <c r="Z56" s="6"/>
      <c r="AA56" s="6"/>
      <c r="AB56" s="6"/>
      <c r="AC56" s="6"/>
    </row>
    <row r="57" spans="1:29" s="2" customFormat="1" ht="15">
      <c r="A57" s="63"/>
      <c r="B57" s="58"/>
      <c r="C57" s="58"/>
      <c r="D57" s="64"/>
      <c r="E57" s="65"/>
      <c r="F57" s="68"/>
      <c r="G57" s="65"/>
      <c r="H57" s="65"/>
      <c r="I57" s="65"/>
      <c r="J57" s="66"/>
      <c r="V57" s="6"/>
      <c r="W57" s="6"/>
      <c r="X57" s="6"/>
      <c r="Y57" s="6"/>
      <c r="Z57" s="6"/>
      <c r="AA57" s="6"/>
      <c r="AB57" s="6"/>
      <c r="AC57" s="6"/>
    </row>
    <row r="58" spans="1:29" s="2" customFormat="1" ht="15">
      <c r="A58" s="63"/>
      <c r="B58" s="58"/>
      <c r="C58" s="58"/>
      <c r="D58" s="64"/>
      <c r="E58" s="65"/>
      <c r="F58" s="65"/>
      <c r="G58" s="65"/>
      <c r="H58" s="65"/>
      <c r="I58" s="65"/>
      <c r="J58" s="66"/>
      <c r="V58" s="6"/>
      <c r="W58" s="6"/>
      <c r="X58" s="6"/>
      <c r="Y58" s="6"/>
      <c r="Z58" s="6"/>
      <c r="AA58" s="6"/>
      <c r="AB58" s="6"/>
      <c r="AC58" s="6"/>
    </row>
    <row r="59" spans="1:29" s="2" customFormat="1" ht="15">
      <c r="A59" s="63"/>
      <c r="B59" s="58"/>
      <c r="C59" s="58"/>
      <c r="D59" s="64"/>
      <c r="E59" s="65"/>
      <c r="F59" s="65"/>
      <c r="G59" s="65"/>
      <c r="H59" s="65"/>
      <c r="I59" s="65"/>
      <c r="J59" s="66"/>
      <c r="K59" s="44"/>
      <c r="L59" s="44"/>
      <c r="M59" s="44"/>
      <c r="N59" s="44"/>
      <c r="O59" s="44"/>
      <c r="P59" s="44"/>
      <c r="Q59" s="44"/>
      <c r="R59" s="44"/>
    </row>
    <row r="60" spans="1:29" ht="15">
      <c r="A60" s="63"/>
      <c r="B60" s="58"/>
      <c r="C60" s="58"/>
      <c r="D60" s="64"/>
      <c r="E60" s="65"/>
      <c r="F60" s="65"/>
      <c r="G60" s="65"/>
      <c r="H60" s="65"/>
      <c r="I60" s="65"/>
      <c r="J60" s="66"/>
    </row>
    <row r="61" spans="1:29" ht="15">
      <c r="A61" s="63"/>
      <c r="B61" s="58"/>
      <c r="C61" s="58"/>
      <c r="D61" s="64"/>
      <c r="E61" s="65"/>
      <c r="F61" s="65"/>
      <c r="G61" s="65"/>
      <c r="H61" s="65"/>
      <c r="I61" s="65"/>
      <c r="J61" s="66"/>
    </row>
    <row r="62" spans="1:29" ht="15">
      <c r="A62" s="63"/>
      <c r="B62" s="58"/>
      <c r="C62" s="58"/>
      <c r="D62" s="64"/>
      <c r="E62" s="65"/>
      <c r="F62" s="69"/>
      <c r="G62" s="67"/>
      <c r="H62" s="65"/>
      <c r="I62" s="65"/>
      <c r="J62" s="66"/>
    </row>
    <row r="63" spans="1:29" ht="15">
      <c r="A63" s="63"/>
      <c r="B63" s="58"/>
      <c r="C63" s="58"/>
      <c r="D63" s="64"/>
      <c r="E63" s="65"/>
      <c r="F63" s="67"/>
      <c r="G63" s="65"/>
      <c r="H63" s="65"/>
      <c r="I63" s="65"/>
      <c r="J63" s="66"/>
    </row>
    <row r="64" spans="1:29" ht="15">
      <c r="A64" s="63"/>
      <c r="B64" s="58"/>
      <c r="C64" s="58"/>
      <c r="D64" s="64"/>
      <c r="E64" s="65"/>
      <c r="F64" s="67"/>
      <c r="G64" s="67"/>
      <c r="H64" s="67"/>
      <c r="I64" s="65"/>
      <c r="J64" s="66"/>
    </row>
    <row r="65" spans="1:10" ht="15">
      <c r="A65" s="63"/>
      <c r="B65" s="58"/>
      <c r="C65" s="58"/>
      <c r="D65" s="64"/>
      <c r="E65" s="65"/>
      <c r="F65" s="67"/>
      <c r="G65" s="67"/>
      <c r="H65" s="67"/>
      <c r="I65" s="65"/>
      <c r="J65" s="66"/>
    </row>
    <row r="66" spans="1:10" ht="15">
      <c r="A66" s="70"/>
      <c r="B66" s="71"/>
      <c r="C66" s="71"/>
      <c r="D66" s="71"/>
      <c r="E66" s="71"/>
      <c r="F66" s="71"/>
      <c r="G66" s="71"/>
      <c r="H66" s="71"/>
      <c r="I66" s="71"/>
      <c r="J66" s="72"/>
    </row>
    <row r="67" spans="1:10">
      <c r="A67" s="5"/>
    </row>
    <row r="71" spans="1:10">
      <c r="B71" s="74"/>
      <c r="C71" s="74"/>
      <c r="D71" s="74"/>
      <c r="E71" s="74"/>
      <c r="F71" s="74"/>
      <c r="G71" s="74"/>
      <c r="H71" s="74"/>
      <c r="I71" s="74"/>
    </row>
    <row r="72" spans="1:10">
      <c r="B72" s="74"/>
      <c r="C72" s="74"/>
      <c r="D72" s="74"/>
      <c r="E72" s="74"/>
      <c r="F72" s="74"/>
      <c r="G72" s="74"/>
      <c r="H72" s="74"/>
      <c r="I72" s="74"/>
    </row>
    <row r="73" spans="1:10">
      <c r="B73" s="74"/>
      <c r="C73" s="74"/>
      <c r="D73" s="74"/>
      <c r="E73" s="74"/>
      <c r="F73" s="74"/>
      <c r="G73" s="74"/>
      <c r="H73" s="74"/>
      <c r="I73" s="74"/>
    </row>
    <row r="74" spans="1:10">
      <c r="B74" s="74"/>
      <c r="C74" s="74"/>
      <c r="D74" s="74"/>
      <c r="E74" s="74"/>
      <c r="F74" s="74"/>
      <c r="G74" s="74"/>
      <c r="H74" s="74"/>
      <c r="I74" s="74"/>
    </row>
    <row r="75" spans="1:10">
      <c r="B75" s="74"/>
      <c r="C75" s="74"/>
      <c r="D75" s="74"/>
      <c r="E75" s="74"/>
      <c r="F75" s="74"/>
      <c r="G75" s="74"/>
      <c r="H75" s="74"/>
      <c r="I75" s="74"/>
    </row>
  </sheetData>
  <mergeCells count="8">
    <mergeCell ref="A37:F37"/>
    <mergeCell ref="G34:K35"/>
    <mergeCell ref="A1:K1"/>
    <mergeCell ref="A2:K2"/>
    <mergeCell ref="A3:K3"/>
    <mergeCell ref="A4:K4"/>
    <mergeCell ref="D6:F6"/>
    <mergeCell ref="G6:J6"/>
  </mergeCells>
  <pageMargins left="0.7" right="0.7" top="0.75" bottom="0.75" header="0.3" footer="0.3"/>
  <pageSetup paperSize="9" scale="63" orientation="portrait" r:id="rId1"/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9.3</vt:lpstr>
      <vt:lpstr>'9.3'!Print_Area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2023-01-30T03:05:46Z</cp:lastPrinted>
  <dcterms:created xsi:type="dcterms:W3CDTF">2019-09-09T05:11:24Z</dcterms:created>
  <dcterms:modified xsi:type="dcterms:W3CDTF">2023-01-30T03:05:59Z</dcterms:modified>
</cp:coreProperties>
</file>