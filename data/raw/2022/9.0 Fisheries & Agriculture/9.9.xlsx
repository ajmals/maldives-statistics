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11C260C7-4EAC-445D-A6D5-F4507646CC17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9" sheetId="9" r:id="rId1"/>
  </sheets>
  <definedNames>
    <definedName name="_xlnm.Print_Area" localSheetId="0">'9.9'!$A$1:$J$58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9" l="1"/>
  <c r="B15" i="9"/>
  <c r="B14" i="9"/>
  <c r="B13" i="9"/>
  <c r="B12" i="9"/>
  <c r="B11" i="9"/>
  <c r="B10" i="9"/>
  <c r="B9" i="9"/>
  <c r="B8" i="9"/>
  <c r="B7" i="9"/>
  <c r="H6" i="9"/>
  <c r="H22" i="9" s="1"/>
  <c r="G6" i="9"/>
  <c r="G22" i="9" s="1"/>
  <c r="F6" i="9"/>
  <c r="F23" i="9" s="1"/>
  <c r="D6" i="9"/>
  <c r="D25" i="9" s="1"/>
  <c r="C6" i="9"/>
  <c r="C20" i="9" s="1"/>
  <c r="H16" i="9" l="1"/>
  <c r="H29" i="9"/>
  <c r="F18" i="9"/>
  <c r="D19" i="9"/>
  <c r="C34" i="9"/>
  <c r="F25" i="9"/>
  <c r="H24" i="9"/>
  <c r="F31" i="9"/>
  <c r="G31" i="9"/>
  <c r="G24" i="9"/>
  <c r="G16" i="9"/>
  <c r="G17" i="9"/>
  <c r="G25" i="9"/>
  <c r="G19" i="9"/>
  <c r="G23" i="9"/>
  <c r="F16" i="9"/>
  <c r="F20" i="9"/>
  <c r="F17" i="9"/>
  <c r="F24" i="9"/>
  <c r="F33" i="9"/>
  <c r="G32" i="9"/>
  <c r="H31" i="9"/>
  <c r="C29" i="9"/>
  <c r="C28" i="9"/>
  <c r="D28" i="9"/>
  <c r="C27" i="9"/>
  <c r="D27" i="9"/>
  <c r="D20" i="9"/>
  <c r="D18" i="9"/>
  <c r="B6" i="9"/>
  <c r="B19" i="9" s="1"/>
  <c r="C21" i="9"/>
  <c r="C19" i="9"/>
  <c r="AD5" i="9"/>
  <c r="H23" i="9"/>
  <c r="F32" i="9"/>
  <c r="D34" i="9"/>
  <c r="H17" i="9"/>
  <c r="G18" i="9"/>
  <c r="F19" i="9"/>
  <c r="D21" i="9"/>
  <c r="C22" i="9"/>
  <c r="H25" i="9"/>
  <c r="F27" i="9"/>
  <c r="D29" i="9"/>
  <c r="H32" i="9"/>
  <c r="G33" i="9"/>
  <c r="F34" i="9"/>
  <c r="H18" i="9"/>
  <c r="D22" i="9"/>
  <c r="C23" i="9"/>
  <c r="G27" i="9"/>
  <c r="F28" i="9"/>
  <c r="H33" i="9"/>
  <c r="G34" i="9"/>
  <c r="C16" i="9"/>
  <c r="H19" i="9"/>
  <c r="G20" i="9"/>
  <c r="F21" i="9"/>
  <c r="D23" i="9"/>
  <c r="C24" i="9"/>
  <c r="H27" i="9"/>
  <c r="G28" i="9"/>
  <c r="F29" i="9"/>
  <c r="C31" i="9"/>
  <c r="H34" i="9"/>
  <c r="D16" i="9"/>
  <c r="C17" i="9"/>
  <c r="H20" i="9"/>
  <c r="G21" i="9"/>
  <c r="F22" i="9"/>
  <c r="D24" i="9"/>
  <c r="C25" i="9"/>
  <c r="H28" i="9"/>
  <c r="G29" i="9"/>
  <c r="D31" i="9"/>
  <c r="C32" i="9"/>
  <c r="D17" i="9"/>
  <c r="C18" i="9"/>
  <c r="H21" i="9"/>
  <c r="D32" i="9"/>
  <c r="C33" i="9"/>
  <c r="D33" i="9"/>
  <c r="B31" i="9" l="1"/>
  <c r="B27" i="9"/>
  <c r="B34" i="9"/>
  <c r="AA5" i="9"/>
  <c r="B29" i="9"/>
  <c r="AC5" i="9"/>
  <c r="B17" i="9"/>
  <c r="B23" i="9"/>
  <c r="AB5" i="9"/>
  <c r="B18" i="9"/>
  <c r="B28" i="9"/>
  <c r="B20" i="9"/>
  <c r="F26" i="9"/>
  <c r="H26" i="9"/>
  <c r="B16" i="9"/>
  <c r="B21" i="9"/>
  <c r="B22" i="9"/>
  <c r="B24" i="9"/>
  <c r="G26" i="9"/>
  <c r="B25" i="9"/>
  <c r="C26" i="9"/>
  <c r="D26" i="9"/>
  <c r="B32" i="9"/>
  <c r="B33" i="9"/>
  <c r="B26" i="9" l="1"/>
</calcChain>
</file>

<file path=xl/sharedStrings.xml><?xml version="1.0" encoding="utf-8"?>
<sst xmlns="http://schemas.openxmlformats.org/spreadsheetml/2006/main" count="76" uniqueCount="35">
  <si>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</si>
  <si>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</si>
  <si>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</si>
  <si>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</si>
  <si>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</si>
  <si>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</si>
  <si>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</si>
  <si>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</si>
  <si>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</si>
  <si>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</si>
  <si>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</si>
  <si>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</si>
  <si>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</si>
  <si>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</si>
  <si>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</si>
  <si>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</si>
  <si>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ilencnwk ugid ctwfcnwk</t>
  </si>
  <si>
    <t>Skipjack</t>
  </si>
  <si>
    <t>Little tuna</t>
  </si>
  <si>
    <t>Albacore</t>
  </si>
  <si>
    <r>
      <t xml:space="preserve">Fishing methods  </t>
    </r>
    <r>
      <rPr>
        <b/>
        <sz val="10"/>
        <rFont val="Faruma"/>
        <family val="3"/>
      </rPr>
      <t xml:space="preserve">   މަސްބޭނިގޮތް</t>
    </r>
  </si>
  <si>
    <t>Pole and Line</t>
  </si>
  <si>
    <t>Trolling</t>
  </si>
  <si>
    <t>Hand  Line</t>
  </si>
  <si>
    <t>Other methods</t>
  </si>
  <si>
    <t>Other tuna</t>
  </si>
  <si>
    <t>cswmuDnwk cnehinehea</t>
  </si>
  <si>
    <t>Percentage share ( % )</t>
  </si>
  <si>
    <t xml:space="preserve"> (%) cniawtcaws ctogWviawfiheb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</si>
  <si>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</si>
  <si>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</si>
  <si>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Grouper </t>
  </si>
  <si>
    <t xml:space="preserve">Reef </t>
  </si>
  <si>
    <t>Table 9.9 :  FISH CATCH BY TYPE AND FISHING METHODS, 2021 (In metric tons)</t>
  </si>
  <si>
    <t>ތާވަލު 9.9: މަހުގެ ބާވަތުންނާއި މަސްބާނާފައިވާގޮތުން ބޭނުނު އަދަދު،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</si>
</sst>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7" formatCode="0.0"/>
    <numFmt numFmtId="170" formatCode="[$-409]mmmm\ d\,\ yyyy;@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b/>
      <sz val="12"/>
      <name val="Faruma"/>
      <family val="3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  <font>
      <sz val="9"/>
      <name val="Candara"/>
      <family val="2"/>
    </font>
    <font>
      <b/>
      <sz val="9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7">
    <xf numFmtId="0" fontId="0" fillId="0" borderId="0"/>
    <xf numFmtId="164" fontId="1" fillId="0" borderId="0"/>
    <xf numFmtId="40" fontId="16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7" fillId="0" borderId="0"/>
  </cellStyleXfs>
  <cellXfs count="52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>
      <alignment horizontal="right" vertical="center" wrapText="1"/>
    </xf>
    <xf numFmtId="164" fontId="8" fillId="2" borderId="0" xfId="1" applyFont="1" applyFill="1" applyAlignment="1">
      <alignment horizontal="center" vertical="center"/>
    </xf>
    <xf numFmtId="164" fontId="13" fillId="2" borderId="0" xfId="1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164" fontId="6" fillId="2" borderId="1" xfId="0" applyNumberFormat="1" applyFont="1" applyFill="1" applyBorder="1" applyAlignment="1">
      <alignment horizontal="right" vertical="center"/>
    </xf>
    <xf numFmtId="164" fontId="7" fillId="2" borderId="0" xfId="1" applyFont="1" applyFill="1" applyAlignment="1">
      <alignment horizontal="center" vertical="center"/>
    </xf>
    <xf numFmtId="164" fontId="20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right" vertical="center" wrapText="1"/>
    </xf>
    <xf numFmtId="164" fontId="11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>
      <alignment horizontal="left" vertical="center"/>
    </xf>
    <xf numFmtId="3" fontId="15" fillId="2" borderId="0" xfId="1" applyNumberFormat="1" applyFont="1" applyFill="1" applyAlignment="1">
      <alignment horizontal="right" vertical="center"/>
    </xf>
    <xf numFmtId="164" fontId="13" fillId="2" borderId="0" xfId="1" applyFont="1" applyFill="1" applyAlignment="1">
      <alignment horizontal="left" vertical="center" wrapText="1"/>
    </xf>
    <xf numFmtId="3" fontId="17" fillId="2" borderId="0" xfId="1" applyNumberFormat="1" applyFont="1" applyFill="1" applyAlignment="1">
      <alignment horizontal="right" vertical="center"/>
    </xf>
    <xf numFmtId="167" fontId="23" fillId="2" borderId="0" xfId="1" applyNumberFormat="1" applyFont="1" applyFill="1" applyAlignment="1">
      <alignment vertical="center"/>
    </xf>
    <xf numFmtId="164" fontId="13" fillId="2" borderId="3" xfId="1" applyFont="1" applyFill="1" applyBorder="1" applyAlignment="1">
      <alignment horizontal="left" vertical="center" wrapText="1"/>
    </xf>
    <xf numFmtId="3" fontId="15" fillId="2" borderId="3" xfId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164" fontId="13" fillId="2" borderId="6" xfId="1" applyFont="1" applyFill="1" applyBorder="1" applyAlignment="1">
      <alignment horizontal="left" vertical="center" wrapText="1"/>
    </xf>
    <xf numFmtId="3" fontId="15" fillId="2" borderId="6" xfId="1" applyNumberFormat="1" applyFont="1" applyFill="1" applyBorder="1" applyAlignment="1">
      <alignment horizontal="right" vertical="center"/>
    </xf>
    <xf numFmtId="3" fontId="17" fillId="2" borderId="6" xfId="1" applyNumberFormat="1" applyFont="1" applyFill="1" applyBorder="1" applyAlignment="1">
      <alignment horizontal="right" vertical="center"/>
    </xf>
    <xf numFmtId="1" fontId="15" fillId="2" borderId="0" xfId="1" applyNumberFormat="1" applyFont="1" applyFill="1" applyAlignment="1">
      <alignment vertical="center"/>
    </xf>
    <xf numFmtId="1" fontId="15" fillId="2" borderId="3" xfId="1" applyNumberFormat="1" applyFont="1" applyFill="1" applyBorder="1" applyAlignment="1">
      <alignment vertical="center"/>
    </xf>
    <xf numFmtId="164" fontId="13" fillId="2" borderId="1" xfId="1" applyFont="1" applyFill="1" applyBorder="1" applyAlignment="1">
      <alignment horizontal="left" vertical="center" wrapText="1"/>
    </xf>
    <xf numFmtId="1" fontId="15" fillId="2" borderId="1" xfId="1" applyNumberFormat="1" applyFont="1" applyFill="1" applyBorder="1" applyAlignment="1">
      <alignment vertical="center"/>
    </xf>
    <xf numFmtId="3" fontId="17" fillId="2" borderId="1" xfId="1" applyNumberFormat="1" applyFont="1" applyFill="1" applyBorder="1" applyAlignment="1">
      <alignment horizontal="right" vertical="center"/>
    </xf>
    <xf numFmtId="164" fontId="18" fillId="2" borderId="0" xfId="0" applyNumberFormat="1" applyFont="1" applyFill="1" applyAlignment="1">
      <alignment horizontal="right"/>
    </xf>
    <xf numFmtId="164" fontId="24" fillId="2" borderId="0" xfId="1" applyFont="1" applyFill="1" applyAlignment="1">
      <alignment horizontal="right" vertical="center"/>
    </xf>
    <xf numFmtId="164" fontId="25" fillId="2" borderId="0" xfId="0" applyNumberFormat="1" applyFont="1" applyFill="1" applyAlignment="1">
      <alignment horizontal="right" vertical="center"/>
    </xf>
    <xf numFmtId="164" fontId="25" fillId="2" borderId="3" xfId="0" applyNumberFormat="1" applyFont="1" applyFill="1" applyBorder="1" applyAlignment="1">
      <alignment horizontal="right" vertical="center"/>
    </xf>
    <xf numFmtId="164" fontId="25" fillId="2" borderId="6" xfId="0" applyNumberFormat="1" applyFont="1" applyFill="1" applyBorder="1" applyAlignment="1">
      <alignment horizontal="right" vertical="center"/>
    </xf>
    <xf numFmtId="164" fontId="5" fillId="2" borderId="2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8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164" fontId="19" fillId="2" borderId="0" xfId="1" applyFont="1" applyFill="1" applyAlignment="1">
      <alignment horizontal="center" vertical="center"/>
    </xf>
    <xf numFmtId="164" fontId="8" fillId="2" borderId="5" xfId="1" applyFont="1" applyFill="1" applyBorder="1" applyAlignment="1">
      <alignment horizontal="center" vertical="center"/>
    </xf>
    <xf numFmtId="164" fontId="22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C21-4E73-B27E-27370CF4E0CB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C21-4E73-B27E-27370CF4E0CB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1C21-4E73-B27E-27370CF4E0CB}"/>
              </c:ext>
            </c:extLst>
          </c:dPt>
          <c:dLbls>
            <c:dLbl>
              <c:idx val="0"/>
              <c:layout>
                <c:manualLayout>
                  <c:x val="-0.15866483675905557"/>
                  <c:y val="-0.202361761117888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1-4E73-B27E-27370CF4E0CB}"/>
                </c:ext>
              </c:extLst>
            </c:dLbl>
            <c:dLbl>
              <c:idx val="1"/>
              <c:layout>
                <c:manualLayout>
                  <c:x val="0.10231184798246662"/>
                  <c:y val="0.16233603193966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21-4E73-B27E-27370CF4E0CB}"/>
                </c:ext>
              </c:extLst>
            </c:dLbl>
            <c:dLbl>
              <c:idx val="2"/>
              <c:layout>
                <c:manualLayout>
                  <c:x val="1.828119583477535E-2"/>
                  <c:y val="7.44283020960408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21-4E73-B27E-27370CF4E0CB}"/>
                </c:ext>
              </c:extLst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21-4E73-B27E-27370CF4E0CB}"/>
                </c:ext>
              </c:extLst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C21-4E73-B27E-27370CF4E0CB}"/>
                </c:ext>
              </c:extLst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21-4E73-B27E-27370CF4E0CB}"/>
                </c:ext>
              </c:extLst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21-4E73-B27E-27370CF4E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'9.9'!$AE$6:$AG$6</c:f>
              <c:numCache>
                <c:formatCode>General_)</c:formatCode>
                <c:ptCount val="3"/>
              </c:numCache>
            </c:numRef>
          </c:cat>
          <c:val>
            <c:numRef>
              <c:f>'9.9'!$AE$7:$AG$7</c:f>
              <c:numCache>
                <c:formatCode>General_)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A-1C21-4E73-B27E-27370CF4E0C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0D8-4C8E-8B04-8C5640AF69C5}"/>
              </c:ext>
            </c:extLst>
          </c:dPt>
          <c:dPt>
            <c:idx val="1"/>
            <c:bubble3D val="0"/>
            <c:spPr>
              <a:solidFill>
                <a:srgbClr val="FFA7A7"/>
              </a:solidFill>
            </c:spPr>
            <c:extLst>
              <c:ext xmlns:c16="http://schemas.microsoft.com/office/drawing/2014/chart" uri="{C3380CC4-5D6E-409C-BE32-E72D297353CC}">
                <c16:uniqueId val="{00000003-80D8-4C8E-8B04-8C5640AF69C5}"/>
              </c:ext>
            </c:extLst>
          </c:dPt>
          <c:dPt>
            <c:idx val="2"/>
            <c:bubble3D val="0"/>
            <c:spPr>
              <a:solidFill>
                <a:srgbClr val="FFD5D5"/>
              </a:solidFill>
            </c:spPr>
            <c:extLst>
              <c:ext xmlns:c16="http://schemas.microsoft.com/office/drawing/2014/chart" uri="{C3380CC4-5D6E-409C-BE32-E72D297353CC}">
                <c16:uniqueId val="{00000008-80D8-4C8E-8B04-8C5640AF69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'9.9'!$A$17:$A$24</c15:sqref>
                  </c15:fullRef>
                </c:ext>
              </c:extLst>
              <c:f>('9.9'!$A$17:$A$18,'9.9'!$A$20,'9.9'!$A$24)</c:f>
              <c:strCache>
                <c:ptCount val="3"/>
                <c:pt idx="0">
                  <c:v>Skipjack</c:v>
                </c:pt>
                <c:pt idx="1">
                  <c:v>Yellowfin tuna</c:v>
                </c:pt>
                <c:pt idx="2">
                  <c:v>Other marine fish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'9.9'!$B$17:$B$24</c15:sqref>
                  </c15:fullRef>
                </c:ext>
              </c:extLst>
              <c:f>('9.9'!$B$17:$B$18,'9.9'!$B$20,'9.9'!$B$24)</c:f>
              <c:numCache>
                <c:formatCode>#,##0</c:formatCode>
                <c:ptCount val="3"/>
                <c:pt idx="0">
                  <c:v>81.854698671752104</c:v>
                </c:pt>
                <c:pt idx="1">
                  <c:v>16.93041780707712</c:v>
                </c:pt>
                <c:pt idx="2">
                  <c:v>1.0014123850596854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'9.9'!$B$23</c15:sqref>
                  <c15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Hand line (Reef)
1%</a:t>
                          </a:r>
                        </a:p>
                      </c:rich>
                    </c:tx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3C9D-457C-BBFF-4D789BA4479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80D8-4C8E-8B04-8C5640AF69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37</xdr:row>
      <xdr:rowOff>9524</xdr:rowOff>
    </xdr:from>
    <xdr:to>
      <xdr:col>8</xdr:col>
      <xdr:colOff>457200</xdr:colOff>
      <xdr:row>57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15875</xdr:colOff>
      <xdr:row>36</xdr:row>
      <xdr:rowOff>73024</xdr:rowOff>
    </xdr:from>
    <xdr:to>
      <xdr:col>8</xdr:col>
      <xdr:colOff>1127125</xdr:colOff>
      <xdr:row>57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0.89071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3250" y="114303"/>
          <a:ext cx="5467051" cy="266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2017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0.01271</cdr:x>
      <cdr:y>0.06657</cdr:y>
    </cdr:from>
    <cdr:to>
      <cdr:x>0.98762</cdr:x>
      <cdr:y>0.15678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8819" y="233109"/>
          <a:ext cx="5278916" cy="315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2021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7"/>
  <sheetViews>
    <sheetView tabSelected="1" zoomScale="130" zoomScaleNormal="130" workbookViewId="0">
      <selection activeCell="P42" sqref="P42"/>
    </sheetView>
  </sheetViews>
  <sheetFormatPr defaultColWidth="9.140625" defaultRowHeight="12.75" x14ac:dyDescent="0.25"/>
  <cols>
    <col min="1" max="1" width="16.85546875" style="3" customWidth="1"/>
    <col min="2" max="2" width="12.28515625" style="7" customWidth="1"/>
    <col min="3" max="3" width="12.28515625" style="3" customWidth="1"/>
    <col min="4" max="4" width="10.7109375" style="3" customWidth="1"/>
    <col min="5" max="5" width="8.28515625" style="3" customWidth="1"/>
    <col min="6" max="6" width="11" style="3" customWidth="1"/>
    <col min="7" max="7" width="11.85546875" style="3" customWidth="1"/>
    <col min="8" max="8" width="11.28515625" style="3" customWidth="1"/>
    <col min="9" max="9" width="21.5703125" style="3" customWidth="1"/>
    <col min="10" max="16384" width="9.140625" style="3"/>
  </cols>
  <sheetData>
    <row r="1" spans="1:31" s="16" customFormat="1" ht="21.75" x14ac:dyDescent="0.25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2" spans="1:31" s="18" customFormat="1" ht="15" x14ac:dyDescent="0.25">
      <c r="A2" s="46" t="s">
        <v>33</v>
      </c>
      <c r="B2" s="46"/>
      <c r="C2" s="46"/>
      <c r="D2" s="46"/>
      <c r="E2" s="46"/>
      <c r="F2" s="46"/>
      <c r="G2" s="46"/>
      <c r="H2" s="46"/>
      <c r="I2" s="46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s="7" customFormat="1" x14ac:dyDescent="0.25">
      <c r="A3" s="47"/>
      <c r="B3" s="45"/>
      <c r="C3" s="45"/>
      <c r="D3" s="45"/>
      <c r="E3" s="45"/>
      <c r="F3" s="45"/>
      <c r="G3" s="45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0"/>
      <c r="AB3" s="20"/>
      <c r="AC3" s="20"/>
      <c r="AD3" s="20"/>
      <c r="AE3" s="1"/>
    </row>
    <row r="4" spans="1:31" s="8" customFormat="1" ht="24" x14ac:dyDescent="0.25">
      <c r="A4" s="43" t="s">
        <v>2</v>
      </c>
      <c r="B4" s="49" t="s">
        <v>20</v>
      </c>
      <c r="C4" s="49"/>
      <c r="D4" s="49"/>
      <c r="E4" s="49"/>
      <c r="F4" s="49"/>
      <c r="G4" s="49"/>
      <c r="H4" s="49"/>
      <c r="I4" s="50" t="s">
        <v>13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11" t="s">
        <v>21</v>
      </c>
      <c r="AB4" s="11" t="s">
        <v>23</v>
      </c>
      <c r="AC4" s="11" t="s">
        <v>24</v>
      </c>
      <c r="AD4" s="5"/>
      <c r="AE4" s="5"/>
    </row>
    <row r="5" spans="1:31" s="21" customFormat="1" ht="12" x14ac:dyDescent="0.25">
      <c r="A5" s="44"/>
      <c r="B5" s="11" t="s">
        <v>8</v>
      </c>
      <c r="C5" s="11" t="s">
        <v>21</v>
      </c>
      <c r="D5" s="11" t="s">
        <v>22</v>
      </c>
      <c r="E5" s="11"/>
      <c r="F5" s="11" t="s">
        <v>23</v>
      </c>
      <c r="G5" s="11" t="s">
        <v>31</v>
      </c>
      <c r="H5" s="19" t="s">
        <v>32</v>
      </c>
      <c r="I5" s="51"/>
      <c r="J5" s="20"/>
      <c r="K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6">
        <f>C6/$B$6*100</f>
        <v>88.959857113285651</v>
      </c>
      <c r="AB5" s="26">
        <f>F6/$B$6*100</f>
        <v>10.056005312141743</v>
      </c>
      <c r="AC5" s="26" t="e">
        <f>AD5/B6*100</f>
        <v>#REF!</v>
      </c>
      <c r="AD5" s="5" t="e">
        <f>D6+E6+G6+H6+#REF!+#REF!</f>
        <v>#REF!</v>
      </c>
    </row>
    <row r="6" spans="1:31" s="8" customFormat="1" ht="15.75" x14ac:dyDescent="0.4">
      <c r="A6" s="22" t="s">
        <v>8</v>
      </c>
      <c r="B6" s="23">
        <f>SUM(B7:B15)</f>
        <v>144992.65539280474</v>
      </c>
      <c r="C6" s="23">
        <f>SUM(C7:C14)</f>
        <v>128985.25906219774</v>
      </c>
      <c r="D6" s="23">
        <f>SUM(D7:D14)</f>
        <v>31.695660034658363</v>
      </c>
      <c r="E6" s="23"/>
      <c r="F6" s="23">
        <f>SUM(F7:F14)</f>
        <v>14580.469128515815</v>
      </c>
      <c r="G6" s="23">
        <f>SUM(G7:G14)</f>
        <v>1298.2184508824291</v>
      </c>
      <c r="H6" s="23">
        <f>SUM(H7:H14)</f>
        <v>97.013091174092324</v>
      </c>
      <c r="I6" s="38" t="s">
        <v>14</v>
      </c>
      <c r="J6" s="5"/>
      <c r="K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26"/>
      <c r="AB6" s="26"/>
      <c r="AC6" s="26"/>
      <c r="AD6" s="5"/>
    </row>
    <row r="7" spans="1:31" s="8" customFormat="1" ht="15.75" x14ac:dyDescent="0.25">
      <c r="A7" s="24" t="s">
        <v>17</v>
      </c>
      <c r="B7" s="23">
        <f t="shared" ref="B7:B15" si="0">SUM(C7:H7)</f>
        <v>118683.30116795225</v>
      </c>
      <c r="C7" s="25">
        <v>118517.2406155678</v>
      </c>
      <c r="D7" s="25">
        <v>6.5750363411096675</v>
      </c>
      <c r="E7" s="25"/>
      <c r="F7" s="25">
        <v>159.48551604333966</v>
      </c>
      <c r="G7" s="25">
        <v>0</v>
      </c>
      <c r="H7" s="25">
        <v>0</v>
      </c>
      <c r="I7" s="40" t="s">
        <v>15</v>
      </c>
      <c r="J7" s="5"/>
      <c r="K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1" s="8" customFormat="1" ht="15.75" x14ac:dyDescent="0.25">
      <c r="A8" s="13" t="s">
        <v>9</v>
      </c>
      <c r="B8" s="23">
        <f t="shared" si="0"/>
        <v>24547.862347577375</v>
      </c>
      <c r="C8" s="25">
        <v>10167.196284127229</v>
      </c>
      <c r="D8" s="25">
        <v>10.901011766508853</v>
      </c>
      <c r="E8" s="25"/>
      <c r="F8" s="25">
        <v>14369.765051683637</v>
      </c>
      <c r="G8" s="25">
        <v>0</v>
      </c>
      <c r="H8" s="25">
        <v>0</v>
      </c>
      <c r="I8" s="40" t="s">
        <v>3</v>
      </c>
      <c r="J8" s="5"/>
      <c r="K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1" s="8" customFormat="1" ht="15.75" x14ac:dyDescent="0.25">
      <c r="A9" s="13" t="s">
        <v>0</v>
      </c>
      <c r="B9" s="23">
        <f t="shared" si="0"/>
        <v>224.22526847471417</v>
      </c>
      <c r="C9" s="25">
        <v>206.83852928496046</v>
      </c>
      <c r="D9" s="25">
        <v>0</v>
      </c>
      <c r="E9" s="25"/>
      <c r="F9" s="25">
        <v>17.386739189753705</v>
      </c>
      <c r="G9" s="25">
        <v>0</v>
      </c>
      <c r="H9" s="25">
        <v>0</v>
      </c>
      <c r="I9" s="40" t="s">
        <v>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1" s="8" customFormat="1" ht="15.75" hidden="1" x14ac:dyDescent="0.2">
      <c r="A10" s="14" t="s">
        <v>19</v>
      </c>
      <c r="B10" s="23">
        <f t="shared" si="0"/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40" t="s">
        <v>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1" s="8" customFormat="1" ht="15.75" x14ac:dyDescent="0.25">
      <c r="A11" s="24" t="s">
        <v>10</v>
      </c>
      <c r="B11" s="23">
        <f t="shared" si="0"/>
        <v>8.8261215710391134</v>
      </c>
      <c r="C11" s="25">
        <v>0.20083747369207719</v>
      </c>
      <c r="D11" s="25">
        <v>6.3757928156214973E-3</v>
      </c>
      <c r="E11" s="25"/>
      <c r="F11" s="25">
        <v>0.3636911616850893</v>
      </c>
      <c r="G11" s="25">
        <v>0</v>
      </c>
      <c r="H11" s="25">
        <v>8.255217142846325</v>
      </c>
      <c r="I11" s="40" t="s">
        <v>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1" s="8" customFormat="1" ht="15.75" x14ac:dyDescent="0.25">
      <c r="A12" s="24" t="s">
        <v>18</v>
      </c>
      <c r="B12" s="23">
        <f t="shared" si="0"/>
        <v>14.803570791022619</v>
      </c>
      <c r="C12" s="25">
        <v>2.5495839100748023</v>
      </c>
      <c r="D12" s="25">
        <v>2.048223442018406</v>
      </c>
      <c r="E12" s="25"/>
      <c r="F12" s="25">
        <v>10.205763438929409</v>
      </c>
      <c r="G12" s="25">
        <v>0</v>
      </c>
      <c r="H12" s="25">
        <v>0</v>
      </c>
      <c r="I12" s="40" t="s">
        <v>5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1" s="8" customFormat="1" ht="15.75" x14ac:dyDescent="0.25">
      <c r="A13" s="24" t="s">
        <v>11</v>
      </c>
      <c r="B13" s="23">
        <f t="shared" si="0"/>
        <v>61.662507907878933</v>
      </c>
      <c r="C13" s="25">
        <v>58.097897781557187</v>
      </c>
      <c r="D13" s="25">
        <v>0.47180866835599067</v>
      </c>
      <c r="E13" s="25"/>
      <c r="F13" s="25">
        <v>3.0928014579657539</v>
      </c>
      <c r="G13" s="25">
        <v>0</v>
      </c>
      <c r="H13" s="25">
        <v>0</v>
      </c>
      <c r="I13" s="40" t="s">
        <v>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1" s="8" customFormat="1" ht="15.75" x14ac:dyDescent="0.25">
      <c r="A14" s="27" t="s">
        <v>12</v>
      </c>
      <c r="B14" s="28">
        <f t="shared" si="0"/>
        <v>1451.9744085304567</v>
      </c>
      <c r="C14" s="29">
        <v>33.135314052425699</v>
      </c>
      <c r="D14" s="29">
        <v>11.693204023849827</v>
      </c>
      <c r="E14" s="29"/>
      <c r="F14" s="29">
        <v>20.169565540505996</v>
      </c>
      <c r="G14" s="29">
        <v>1298.2184508824291</v>
      </c>
      <c r="H14" s="29">
        <v>88.757874031246004</v>
      </c>
      <c r="I14" s="41" t="s">
        <v>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1" s="8" customFormat="1" ht="15.75" hidden="1" x14ac:dyDescent="0.25">
      <c r="A15" s="30" t="s">
        <v>25</v>
      </c>
      <c r="B15" s="31">
        <f t="shared" si="0"/>
        <v>0</v>
      </c>
      <c r="C15" s="29"/>
      <c r="D15" s="29"/>
      <c r="E15" s="29"/>
      <c r="F15" s="29"/>
      <c r="G15" s="29"/>
      <c r="H15" s="29"/>
      <c r="I15" s="41" t="s">
        <v>26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1" s="2" customFormat="1" ht="14.25" x14ac:dyDescent="0.25">
      <c r="A16" s="10" t="s">
        <v>27</v>
      </c>
      <c r="B16" s="23">
        <f t="shared" ref="B16:G16" si="1">B6/B6*100</f>
        <v>100</v>
      </c>
      <c r="C16" s="23">
        <f>C6/C6*100</f>
        <v>100</v>
      </c>
      <c r="D16" s="23">
        <f t="shared" si="1"/>
        <v>100</v>
      </c>
      <c r="E16" s="23"/>
      <c r="F16" s="23">
        <f t="shared" si="1"/>
        <v>100</v>
      </c>
      <c r="G16" s="23">
        <f t="shared" si="1"/>
        <v>100</v>
      </c>
      <c r="H16" s="23">
        <f>H6/H6*100</f>
        <v>100</v>
      </c>
      <c r="I16" s="39" t="s">
        <v>28</v>
      </c>
    </row>
    <row r="17" spans="1:31" s="2" customFormat="1" ht="15.75" x14ac:dyDescent="0.25">
      <c r="A17" s="24" t="s">
        <v>17</v>
      </c>
      <c r="B17" s="23">
        <f>B7/B6*100</f>
        <v>81.854698671752104</v>
      </c>
      <c r="C17" s="25">
        <f>C7/C6*100</f>
        <v>91.884329633681489</v>
      </c>
      <c r="D17" s="25">
        <f t="shared" ref="D17:H17" si="2">D7/D6*100</f>
        <v>20.744279607744527</v>
      </c>
      <c r="E17" s="25"/>
      <c r="F17" s="25">
        <f t="shared" si="2"/>
        <v>1.0938297981882159</v>
      </c>
      <c r="G17" s="25">
        <f t="shared" si="2"/>
        <v>0</v>
      </c>
      <c r="H17" s="25">
        <f t="shared" si="2"/>
        <v>0</v>
      </c>
      <c r="I17" s="40" t="s">
        <v>15</v>
      </c>
    </row>
    <row r="18" spans="1:31" s="8" customFormat="1" ht="15.75" x14ac:dyDescent="0.25">
      <c r="A18" s="13" t="s">
        <v>9</v>
      </c>
      <c r="B18" s="23">
        <f>B8/B6*100</f>
        <v>16.93041780707712</v>
      </c>
      <c r="C18" s="25">
        <f>C8/C6*100</f>
        <v>7.8824482410230488</v>
      </c>
      <c r="D18" s="25">
        <f t="shared" ref="D18:H18" si="3">D8/D6*100</f>
        <v>34.392758360573296</v>
      </c>
      <c r="E18" s="25"/>
      <c r="F18" s="25">
        <f t="shared" si="3"/>
        <v>98.554888220845427</v>
      </c>
      <c r="G18" s="25">
        <f t="shared" si="3"/>
        <v>0</v>
      </c>
      <c r="H18" s="25">
        <f t="shared" si="3"/>
        <v>0</v>
      </c>
      <c r="I18" s="40" t="s">
        <v>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s="8" customFormat="1" ht="15.75" x14ac:dyDescent="0.25">
      <c r="A19" s="13" t="s">
        <v>0</v>
      </c>
      <c r="B19" s="23">
        <f>B9/B6*100</f>
        <v>0.15464594938775178</v>
      </c>
      <c r="C19" s="25">
        <f>C9/C6*100</f>
        <v>0.1603582694555982</v>
      </c>
      <c r="D19" s="25">
        <f t="shared" ref="D19:H19" si="4">D9/D6*100</f>
        <v>0</v>
      </c>
      <c r="E19" s="25"/>
      <c r="F19" s="25">
        <f t="shared" si="4"/>
        <v>0.11924677482255706</v>
      </c>
      <c r="G19" s="25">
        <f t="shared" si="4"/>
        <v>0</v>
      </c>
      <c r="H19" s="25">
        <f t="shared" si="4"/>
        <v>0</v>
      </c>
      <c r="I19" s="40" t="s">
        <v>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s="8" customFormat="1" ht="15.75" hidden="1" x14ac:dyDescent="0.2">
      <c r="A20" s="14" t="s">
        <v>19</v>
      </c>
      <c r="B20" s="23">
        <f t="shared" ref="B20:H20" si="5">B10/B6*100</f>
        <v>0</v>
      </c>
      <c r="C20" s="25">
        <f t="shared" si="5"/>
        <v>0</v>
      </c>
      <c r="D20" s="25">
        <f>D10/D6*100</f>
        <v>0</v>
      </c>
      <c r="E20" s="25"/>
      <c r="F20" s="25">
        <f t="shared" si="5"/>
        <v>0</v>
      </c>
      <c r="G20" s="25">
        <f t="shared" si="5"/>
        <v>0</v>
      </c>
      <c r="H20" s="25">
        <f t="shared" si="5"/>
        <v>0</v>
      </c>
      <c r="I20" s="40" t="s">
        <v>16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s="8" customFormat="1" ht="15.75" x14ac:dyDescent="0.25">
      <c r="A21" s="24" t="s">
        <v>10</v>
      </c>
      <c r="B21" s="23">
        <f t="shared" ref="B21:H21" si="6">B11/B6*100</f>
        <v>6.0872887299897741E-3</v>
      </c>
      <c r="C21" s="25">
        <f t="shared" si="6"/>
        <v>1.5570575672932651E-4</v>
      </c>
      <c r="D21" s="25">
        <f t="shared" si="6"/>
        <v>2.0115665074176517E-2</v>
      </c>
      <c r="E21" s="25"/>
      <c r="F21" s="25">
        <f t="shared" si="6"/>
        <v>2.4943721527711255E-3</v>
      </c>
      <c r="G21" s="25">
        <f t="shared" si="6"/>
        <v>0</v>
      </c>
      <c r="H21" s="25">
        <f t="shared" si="6"/>
        <v>8.5093847056498166</v>
      </c>
      <c r="I21" s="40" t="s">
        <v>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s="8" customFormat="1" ht="15.75" x14ac:dyDescent="0.25">
      <c r="A22" s="24" t="s">
        <v>18</v>
      </c>
      <c r="B22" s="23">
        <f>B12/B6*100</f>
        <v>1.0209876321609353E-2</v>
      </c>
      <c r="C22" s="25">
        <f t="shared" ref="C22:H22" si="7">C12/C6*100</f>
        <v>1.9766475088795784E-3</v>
      </c>
      <c r="D22" s="25">
        <f t="shared" si="7"/>
        <v>6.462157405079207</v>
      </c>
      <c r="E22" s="25"/>
      <c r="F22" s="25">
        <f t="shared" si="7"/>
        <v>6.999612528906525E-2</v>
      </c>
      <c r="G22" s="25">
        <f t="shared" si="7"/>
        <v>0</v>
      </c>
      <c r="H22" s="25">
        <f t="shared" si="7"/>
        <v>0</v>
      </c>
      <c r="I22" s="40" t="s">
        <v>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s="8" customFormat="1" ht="15.75" x14ac:dyDescent="0.25">
      <c r="A23" s="24" t="s">
        <v>11</v>
      </c>
      <c r="B23" s="23">
        <f t="shared" ref="B23:H23" si="8">B13/B6*100</f>
        <v>4.2528021671736992E-2</v>
      </c>
      <c r="C23" s="25">
        <f t="shared" si="8"/>
        <v>4.5042277081865541E-2</v>
      </c>
      <c r="D23" s="25">
        <f t="shared" si="8"/>
        <v>1.4885592154890619</v>
      </c>
      <c r="E23" s="25"/>
      <c r="F23" s="25">
        <f t="shared" si="8"/>
        <v>2.1211947508033156E-2</v>
      </c>
      <c r="G23" s="25">
        <f t="shared" si="8"/>
        <v>0</v>
      </c>
      <c r="H23" s="25">
        <f t="shared" si="8"/>
        <v>0</v>
      </c>
      <c r="I23" s="40" t="s">
        <v>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s="8" customFormat="1" ht="15.75" x14ac:dyDescent="0.25">
      <c r="A24" s="27" t="s">
        <v>12</v>
      </c>
      <c r="B24" s="28">
        <f>B14/B6*100</f>
        <v>1.0014123850596854</v>
      </c>
      <c r="C24" s="29">
        <f t="shared" ref="C24:H24" si="9">C14/C6*100</f>
        <v>2.568922549238559E-2</v>
      </c>
      <c r="D24" s="29">
        <f t="shared" si="9"/>
        <v>36.892129746039735</v>
      </c>
      <c r="E24" s="29"/>
      <c r="F24" s="29">
        <f t="shared" si="9"/>
        <v>0.13833276119394047</v>
      </c>
      <c r="G24" s="29">
        <f t="shared" si="9"/>
        <v>100</v>
      </c>
      <c r="H24" s="29">
        <f t="shared" si="9"/>
        <v>91.490615294350192</v>
      </c>
      <c r="I24" s="41" t="s">
        <v>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s="8" customFormat="1" ht="15.75" hidden="1" x14ac:dyDescent="0.25">
      <c r="A25" s="30" t="s">
        <v>25</v>
      </c>
      <c r="B25" s="31">
        <f t="shared" ref="B25:H25" si="10">B15/B6*100</f>
        <v>0</v>
      </c>
      <c r="C25" s="32">
        <f t="shared" si="10"/>
        <v>0</v>
      </c>
      <c r="D25" s="32">
        <f t="shared" si="10"/>
        <v>0</v>
      </c>
      <c r="E25" s="32"/>
      <c r="F25" s="32">
        <f t="shared" si="10"/>
        <v>0</v>
      </c>
      <c r="G25" s="32">
        <f t="shared" si="10"/>
        <v>0</v>
      </c>
      <c r="H25" s="32">
        <f t="shared" si="10"/>
        <v>0</v>
      </c>
      <c r="I25" s="42" t="s">
        <v>26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ht="14.25" x14ac:dyDescent="0.25">
      <c r="A26" s="10" t="s">
        <v>27</v>
      </c>
      <c r="B26" s="33">
        <f>SUM(C26:H26)</f>
        <v>100</v>
      </c>
      <c r="C26" s="23">
        <f>(C6/$B$6)*100</f>
        <v>88.959857113285651</v>
      </c>
      <c r="D26" s="23">
        <f t="shared" ref="D26:G26" si="11">(D6/$B$6)*100</f>
        <v>2.1860183158098959E-2</v>
      </c>
      <c r="E26" s="23"/>
      <c r="F26" s="23">
        <f t="shared" si="11"/>
        <v>10.056005312141743</v>
      </c>
      <c r="G26" s="23">
        <f t="shared" si="11"/>
        <v>0.89536842219033763</v>
      </c>
      <c r="H26" s="23">
        <f>(H6/$B$6)*100</f>
        <v>6.6908969224179479E-2</v>
      </c>
      <c r="I26" s="39" t="s">
        <v>28</v>
      </c>
    </row>
    <row r="27" spans="1:31" ht="15.75" x14ac:dyDescent="0.25">
      <c r="A27" s="24" t="s">
        <v>17</v>
      </c>
      <c r="B27" s="33">
        <f>SUM(C27:H27)</f>
        <v>100</v>
      </c>
      <c r="C27" s="25">
        <f>(C7/$B$7)*100</f>
        <v>99.860080945886864</v>
      </c>
      <c r="D27" s="25">
        <f t="shared" ref="D27:H27" si="12">(D7/$B$7)*100</f>
        <v>5.5399843755653032E-3</v>
      </c>
      <c r="E27" s="25"/>
      <c r="F27" s="25">
        <f t="shared" si="12"/>
        <v>0.1343790697375758</v>
      </c>
      <c r="G27" s="25">
        <f t="shared" si="12"/>
        <v>0</v>
      </c>
      <c r="H27" s="25">
        <f t="shared" si="12"/>
        <v>0</v>
      </c>
      <c r="I27" s="40" t="s">
        <v>15</v>
      </c>
    </row>
    <row r="28" spans="1:31" ht="15.75" x14ac:dyDescent="0.25">
      <c r="A28" s="13" t="s">
        <v>9</v>
      </c>
      <c r="B28" s="33">
        <f>SUM(C28:H28)</f>
        <v>100</v>
      </c>
      <c r="C28" s="25">
        <f>(C8/$B$8)*100</f>
        <v>41.417847876805567</v>
      </c>
      <c r="D28" s="25">
        <f t="shared" ref="D28:H28" si="13">(D8/$B$8)*100</f>
        <v>4.4407173268937089E-2</v>
      </c>
      <c r="E28" s="25"/>
      <c r="F28" s="25">
        <f>(F8/$B$8)*100</f>
        <v>58.537744949925496</v>
      </c>
      <c r="G28" s="25">
        <f t="shared" si="13"/>
        <v>0</v>
      </c>
      <c r="H28" s="25">
        <f t="shared" si="13"/>
        <v>0</v>
      </c>
      <c r="I28" s="40" t="s">
        <v>3</v>
      </c>
    </row>
    <row r="29" spans="1:31" ht="15.75" x14ac:dyDescent="0.25">
      <c r="A29" s="13" t="s">
        <v>0</v>
      </c>
      <c r="B29" s="33">
        <f>SUM(C29:H29)</f>
        <v>99.999999999999986</v>
      </c>
      <c r="C29" s="25">
        <f>(C9/$B$9)*100</f>
        <v>92.245860911204829</v>
      </c>
      <c r="D29" s="25">
        <f t="shared" ref="D29:H29" si="14">(D9/$B$9)*100</f>
        <v>0</v>
      </c>
      <c r="E29" s="25"/>
      <c r="F29" s="25">
        <f t="shared" si="14"/>
        <v>7.7541390887951618</v>
      </c>
      <c r="G29" s="25">
        <f t="shared" si="14"/>
        <v>0</v>
      </c>
      <c r="H29" s="25">
        <f t="shared" si="14"/>
        <v>0</v>
      </c>
      <c r="I29" s="40" t="s">
        <v>1</v>
      </c>
    </row>
    <row r="30" spans="1:31" ht="15.75" hidden="1" x14ac:dyDescent="0.2">
      <c r="A30" s="14" t="s">
        <v>19</v>
      </c>
      <c r="B30" s="33">
        <v>0</v>
      </c>
      <c r="C30" s="25">
        <v>0</v>
      </c>
      <c r="D30" s="25">
        <v>0</v>
      </c>
      <c r="E30" s="25"/>
      <c r="F30" s="25">
        <v>0</v>
      </c>
      <c r="G30" s="25">
        <v>0</v>
      </c>
      <c r="H30" s="25">
        <v>0</v>
      </c>
      <c r="I30" s="40" t="s">
        <v>16</v>
      </c>
    </row>
    <row r="31" spans="1:31" ht="15.75" x14ac:dyDescent="0.25">
      <c r="A31" s="24" t="s">
        <v>10</v>
      </c>
      <c r="B31" s="33">
        <f>SUM(C31:H31)</f>
        <v>99.999999999999986</v>
      </c>
      <c r="C31" s="25">
        <f>(C11/$B$11)*100</f>
        <v>2.2754895462926679</v>
      </c>
      <c r="D31" s="25">
        <f t="shared" ref="D31:H31" si="15">(D11/$B$11)*100</f>
        <v>7.2237763374370392E-2</v>
      </c>
      <c r="E31" s="25"/>
      <c r="F31" s="25">
        <f t="shared" si="15"/>
        <v>4.1206226172825238</v>
      </c>
      <c r="G31" s="25">
        <f t="shared" si="15"/>
        <v>0</v>
      </c>
      <c r="H31" s="25">
        <f t="shared" si="15"/>
        <v>93.531650073050429</v>
      </c>
      <c r="I31" s="40" t="s">
        <v>4</v>
      </c>
    </row>
    <row r="32" spans="1:31" ht="15.75" x14ac:dyDescent="0.25">
      <c r="A32" s="24" t="s">
        <v>18</v>
      </c>
      <c r="B32" s="33">
        <f>SUM(C32:H32)</f>
        <v>99.999999999999986</v>
      </c>
      <c r="C32" s="25">
        <f>(C12/$B$12)*100</f>
        <v>17.222762981083967</v>
      </c>
      <c r="D32" s="25">
        <f t="shared" ref="D32:H32" si="16">(D12/$B$12)*100</f>
        <v>13.836009371877475</v>
      </c>
      <c r="E32" s="25"/>
      <c r="F32" s="25">
        <f t="shared" si="16"/>
        <v>68.941227647038545</v>
      </c>
      <c r="G32" s="25">
        <f t="shared" si="16"/>
        <v>0</v>
      </c>
      <c r="H32" s="25">
        <f t="shared" si="16"/>
        <v>0</v>
      </c>
      <c r="I32" s="40" t="s">
        <v>5</v>
      </c>
    </row>
    <row r="33" spans="1:9" ht="15.75" x14ac:dyDescent="0.25">
      <c r="A33" s="24" t="s">
        <v>11</v>
      </c>
      <c r="B33" s="33">
        <f>SUM(C33:H33)</f>
        <v>100.00000000000001</v>
      </c>
      <c r="C33" s="25">
        <f>(C13/$B$13)*100</f>
        <v>94.219161290606095</v>
      </c>
      <c r="D33" s="25">
        <f t="shared" ref="D33:H33" si="17">(D13/$B$13)*100</f>
        <v>0.76514673885929518</v>
      </c>
      <c r="E33" s="25"/>
      <c r="F33" s="25">
        <f t="shared" si="17"/>
        <v>5.0156919705346121</v>
      </c>
      <c r="G33" s="25">
        <f t="shared" si="17"/>
        <v>0</v>
      </c>
      <c r="H33" s="25">
        <f t="shared" si="17"/>
        <v>0</v>
      </c>
      <c r="I33" s="40" t="s">
        <v>6</v>
      </c>
    </row>
    <row r="34" spans="1:9" ht="15.75" x14ac:dyDescent="0.25">
      <c r="A34" s="27" t="s">
        <v>12</v>
      </c>
      <c r="B34" s="34">
        <f>SUM(C34:H34)</f>
        <v>100</v>
      </c>
      <c r="C34" s="29">
        <f>(C14/$B$14)*100</f>
        <v>2.2820866440726011</v>
      </c>
      <c r="D34" s="29">
        <f t="shared" ref="D34:H34" si="18">(D14/$B$14)*100</f>
        <v>0.80533127547919514</v>
      </c>
      <c r="E34" s="29"/>
      <c r="F34" s="29">
        <f t="shared" si="18"/>
        <v>1.3891130189353416</v>
      </c>
      <c r="G34" s="29">
        <f t="shared" si="18"/>
        <v>89.410560079798927</v>
      </c>
      <c r="H34" s="29">
        <f t="shared" si="18"/>
        <v>6.1129089817139306</v>
      </c>
      <c r="I34" s="41" t="s">
        <v>7</v>
      </c>
    </row>
    <row r="35" spans="1:9" ht="15" hidden="1" x14ac:dyDescent="0.25">
      <c r="A35" s="35" t="s">
        <v>25</v>
      </c>
      <c r="B35" s="36">
        <f>SUM(C35:H35)</f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15" t="s">
        <v>26</v>
      </c>
    </row>
    <row r="36" spans="1:9" s="9" customFormat="1" ht="17.25" x14ac:dyDescent="0.25">
      <c r="A36" s="6" t="s">
        <v>30</v>
      </c>
      <c r="B36" s="22"/>
      <c r="C36" s="13"/>
      <c r="D36" s="13"/>
      <c r="E36" s="13"/>
      <c r="F36" s="13"/>
      <c r="G36" s="13"/>
      <c r="H36" s="13"/>
      <c r="I36" s="4" t="s">
        <v>29</v>
      </c>
    </row>
    <row r="47" spans="1:9" x14ac:dyDescent="0.25">
      <c r="B47" s="3"/>
    </row>
  </sheetData>
  <mergeCells count="6">
    <mergeCell ref="A1:I1"/>
    <mergeCell ref="A2:I2"/>
    <mergeCell ref="A3:G3"/>
    <mergeCell ref="A4:A5"/>
    <mergeCell ref="B4:H4"/>
    <mergeCell ref="I4:I5"/>
  </mergeCells>
  <pageMargins left="0.7" right="0.7" top="0.75" bottom="0.75" header="0.3" footer="0.3"/>
  <pageSetup paperSize="9" scale="69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2023-01-30T03:14:02Z</cp:lastPrinted>
  <dcterms:created xsi:type="dcterms:W3CDTF">2019-09-09T05:11:24Z</dcterms:created>
  <dcterms:modified xsi:type="dcterms:W3CDTF">2023-01-30T03:14:13Z</dcterms:modified>
</cp:coreProperties>
</file>