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Fisheries &amp; Agriculture\"/>
    </mc:Choice>
  </mc:AlternateContent>
  <xr:revisionPtr revIDLastSave="0" documentId="13_ncr:1_{D4B5618D-D89C-4C06-83F2-49690621A27A}" xr6:coauthVersionLast="47" xr6:coauthVersionMax="47" xr10:uidLastSave="{00000000-0000-0000-0000-000000000000}"/>
  <bookViews>
    <workbookView xWindow="-120" yWindow="-120" windowWidth="29040" windowHeight="15840" tabRatio="831" xr2:uid="{00000000-000D-0000-FFFF-FFFF00000000}"/>
  </bookViews>
  <sheets>
    <sheet name="9.8" sheetId="8" r:id="rId1"/>
  </sheets>
  <definedNames>
    <definedName name="_xlnm.Print_Area" localSheetId="0">'9.8'!$A$1:$E$65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3" i="8" l="1"/>
  <c r="C40" i="8" s="1"/>
  <c r="B43" i="8"/>
  <c r="B40" i="8" s="1"/>
  <c r="C12" i="8"/>
  <c r="C9" i="8" s="1"/>
  <c r="B12" i="8"/>
  <c r="B9" i="8" s="1"/>
</calcChain>
</file>

<file path=xl/sharedStrings.xml><?xml version="1.0" encoding="utf-8"?>
<sst xmlns="http://schemas.openxmlformats.org/spreadsheetml/2006/main" count="118" uniqueCount="62">
  <si>
    <t xml:space="preserve"> Locality</t>
  </si>
  <si>
    <t>Republic</t>
  </si>
  <si>
    <t>ejcaWriLum</t>
  </si>
  <si>
    <t>Male'</t>
  </si>
  <si>
    <t>elWm</t>
  </si>
  <si>
    <t>Atolls</t>
  </si>
  <si>
    <t>cawtuLotwa</t>
  </si>
  <si>
    <t>Longline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</si>
  <si>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</si>
  <si>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</si>
  <si>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</si>
  <si>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</si>
  <si>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</si>
  <si>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</si>
  <si>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</si>
  <si>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</si>
  <si>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</si>
  <si>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</si>
  <si>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</si>
  <si>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</si>
  <si>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</si>
  <si>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</si>
  <si>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</si>
  <si>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</si>
  <si>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</si>
  <si>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</si>
  <si>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</si>
  <si>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</si>
  <si>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</si>
  <si>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</si>
  <si>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</si>
  <si>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</si>
  <si>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</si>
  <si>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</si>
  <si>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</si>
  <si>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</si>
  <si>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</si>
  <si>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</si>
  <si>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</si>
  <si>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</si>
  <si>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</si>
  <si>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</si>
  <si>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</si>
  <si>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</si>
  <si>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</si>
  <si>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</si>
  <si>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Other vessels</t>
  </si>
  <si>
    <t>inOdcswm cnehinehea</t>
  </si>
  <si>
    <t>ތަން</t>
  </si>
  <si>
    <t>inOdcswm iLeaunIjcnia</t>
  </si>
  <si>
    <t>Mechanised</t>
  </si>
  <si>
    <t>Masdhoni</t>
  </si>
  <si>
    <t xml:space="preserve"> AA</t>
  </si>
  <si>
    <t>Table 9.7  ( continued )</t>
  </si>
  <si>
    <r>
      <rPr>
        <b/>
        <sz val="10"/>
        <rFont val="Calibri"/>
        <family val="2"/>
      </rPr>
      <t xml:space="preserve">Average no. of vessels engaged per month  </t>
    </r>
    <r>
      <rPr>
        <b/>
        <sz val="10"/>
        <rFont val="A_Randhoo"/>
      </rPr>
      <t xml:space="preserve">      </t>
    </r>
  </si>
  <si>
    <t>inOdcswmiLeaunIjcnia</t>
  </si>
  <si>
    <t>މަޢުލޫމާތުދެއްވި ފަރާތް: މިނިސްޓްރީ އޮފް ފިޝަރީޒް، މެރިންރިސޯސަސް އެންޑް އެގްރިކަލްޗަރ</t>
  </si>
  <si>
    <t>cnwkirevcswmunEl</t>
  </si>
  <si>
    <t>Source:  Ministry of Fisheries, Marine Resources and Agriculture</t>
  </si>
  <si>
    <t>2020 ,udwdwA irufcSwhwm urwhwfinOd iaWdwdwA egurwhwfudnwLua Wrukcnwkirevcswm irufcSwhwm ukwhwm emcnok cSokcjercvea ,cnutog eguLotwa WviawfcSokIrcTcsijwr udnwLua : 9.8 ulwvWt</t>
  </si>
  <si>
    <t>Table 9.8 :  NUMBER OF VESSELS ENGAGED PER MONTH IN FISHING AND NUMBER OF FISHING TRIPS BY VESSEL LOCALITY, 2021</t>
  </si>
  <si>
    <r>
      <t xml:space="preserve">  </t>
    </r>
    <r>
      <rPr>
        <b/>
        <sz val="10"/>
        <rFont val="Calibri"/>
        <family val="2"/>
        <scheme val="minor"/>
      </rPr>
      <t xml:space="preserve">   Fishing Trips</t>
    </r>
    <r>
      <rPr>
        <b/>
        <sz val="10"/>
        <rFont val="A_Funa"/>
      </rPr>
      <t xml:space="preserve">                       urwhwfirufcSwhwm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</si>
</sst>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70" formatCode="[$-409]mmmm\ d\,\ yyyy;@"/>
  </numFmts>
  <fonts count="17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9"/>
      <name val="Faruma"/>
      <family val="3"/>
    </font>
    <font>
      <b/>
      <sz val="10"/>
      <name val="Faruma"/>
      <family val="3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0"/>
      <name val="A_Randhoo"/>
    </font>
    <font>
      <b/>
      <sz val="10"/>
      <name val="A_Faseyha"/>
    </font>
    <font>
      <b/>
      <sz val="10"/>
      <name val="Courier"/>
      <family val="3"/>
    </font>
    <font>
      <i/>
      <sz val="10"/>
      <name val="Calibri"/>
      <family val="2"/>
    </font>
    <font>
      <b/>
      <sz val="11"/>
      <name val="A_Faseyha"/>
    </font>
    <font>
      <sz val="10"/>
      <name val="A_Faseyha"/>
    </font>
    <font>
      <b/>
      <sz val="10"/>
      <name val="A_Fun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7">
    <xf numFmtId="0" fontId="0" fillId="0" borderId="0"/>
    <xf numFmtId="164" fontId="1" fillId="0" borderId="0"/>
    <xf numFmtId="40" fontId="9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  <xf numFmtId="0" fontId="4" fillId="0" borderId="0"/>
  </cellStyleXfs>
  <cellXfs count="49">
    <xf numFmtId="0" fontId="0" fillId="0" borderId="0" xfId="0"/>
    <xf numFmtId="164" fontId="4" fillId="2" borderId="0" xfId="1" applyFont="1" applyFill="1" applyAlignment="1">
      <alignment vertical="center"/>
    </xf>
    <xf numFmtId="164" fontId="5" fillId="2" borderId="0" xfId="1" applyFont="1" applyFill="1" applyAlignment="1">
      <alignment horizontal="left" vertical="center"/>
    </xf>
    <xf numFmtId="164" fontId="6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vertical="center"/>
    </xf>
    <xf numFmtId="164" fontId="1" fillId="2" borderId="0" xfId="0" applyNumberFormat="1" applyFont="1" applyFill="1"/>
    <xf numFmtId="164" fontId="3" fillId="2" borderId="0" xfId="0" applyNumberFormat="1" applyFont="1" applyFill="1"/>
    <xf numFmtId="164" fontId="1" fillId="2" borderId="0" xfId="0" applyNumberFormat="1" applyFont="1" applyFill="1" applyAlignment="1">
      <alignment wrapText="1"/>
    </xf>
    <xf numFmtId="164" fontId="12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right"/>
    </xf>
    <xf numFmtId="164" fontId="5" fillId="2" borderId="5" xfId="1" applyFont="1" applyFill="1" applyBorder="1" applyAlignment="1">
      <alignment horizontal="right"/>
    </xf>
    <xf numFmtId="1" fontId="3" fillId="2" borderId="0" xfId="0" applyNumberFormat="1" applyFont="1" applyFill="1" applyAlignment="1">
      <alignment vertical="center"/>
    </xf>
    <xf numFmtId="164" fontId="5" fillId="2" borderId="1" xfId="0" applyNumberFormat="1" applyFont="1" applyFill="1" applyBorder="1" applyAlignment="1">
      <alignment horizontal="right"/>
    </xf>
    <xf numFmtId="164" fontId="5" fillId="2" borderId="0" xfId="1" applyFont="1" applyFill="1" applyAlignment="1">
      <alignment horizontal="left" vertical="center" indent="2"/>
    </xf>
    <xf numFmtId="3" fontId="5" fillId="2" borderId="2" xfId="0" applyNumberFormat="1" applyFont="1" applyFill="1" applyBorder="1" applyAlignment="1">
      <alignment horizontal="right" vertical="center"/>
    </xf>
    <xf numFmtId="1" fontId="12" fillId="2" borderId="0" xfId="0" applyNumberFormat="1" applyFont="1" applyFill="1" applyAlignment="1">
      <alignment vertical="center"/>
    </xf>
    <xf numFmtId="3" fontId="5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 indent="2"/>
    </xf>
    <xf numFmtId="3" fontId="3" fillId="2" borderId="0" xfId="0" applyNumberFormat="1" applyFont="1" applyFill="1" applyAlignment="1">
      <alignment horizontal="right" vertical="center"/>
    </xf>
    <xf numFmtId="1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3" fillId="2" borderId="1" xfId="0" applyNumberFormat="1" applyFont="1" applyFill="1" applyBorder="1" applyAlignment="1">
      <alignment horizontal="left" vertical="center" indent="2"/>
    </xf>
    <xf numFmtId="3" fontId="3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vertical="center"/>
    </xf>
    <xf numFmtId="164" fontId="10" fillId="2" borderId="3" xfId="0" applyNumberFormat="1" applyFont="1" applyFill="1" applyBorder="1" applyAlignment="1">
      <alignment horizontal="right" vertical="center" wrapText="1"/>
    </xf>
    <xf numFmtId="164" fontId="10" fillId="2" borderId="3" xfId="0" applyNumberFormat="1" applyFont="1" applyFill="1" applyBorder="1" applyAlignment="1">
      <alignment vertical="center" wrapText="1"/>
    </xf>
    <xf numFmtId="164" fontId="12" fillId="2" borderId="0" xfId="0" applyNumberFormat="1" applyFont="1" applyFill="1"/>
    <xf numFmtId="164" fontId="3" fillId="2" borderId="0" xfId="0" applyNumberFormat="1" applyFont="1" applyFill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164" fontId="13" fillId="2" borderId="0" xfId="1" applyFont="1" applyFill="1" applyAlignment="1">
      <alignment horizontal="left" vertical="center"/>
    </xf>
    <xf numFmtId="164" fontId="11" fillId="2" borderId="0" xfId="1" applyFont="1" applyFill="1" applyAlignment="1">
      <alignment horizontal="right" vertical="center"/>
    </xf>
    <xf numFmtId="164" fontId="15" fillId="2" borderId="0" xfId="0" applyNumberFormat="1" applyFont="1" applyFill="1" applyAlignment="1">
      <alignment horizontal="right" vertical="center" indent="1"/>
    </xf>
    <xf numFmtId="164" fontId="15" fillId="2" borderId="1" xfId="0" applyNumberFormat="1" applyFont="1" applyFill="1" applyBorder="1" applyAlignment="1">
      <alignment horizontal="right" vertical="center" indent="1"/>
    </xf>
    <xf numFmtId="164" fontId="16" fillId="2" borderId="4" xfId="0" applyNumberFormat="1" applyFont="1" applyFill="1" applyBorder="1" applyAlignment="1">
      <alignment horizontal="right" vertical="center" wrapText="1"/>
    </xf>
    <xf numFmtId="164" fontId="16" fillId="2" borderId="0" xfId="1" applyFont="1" applyFill="1" applyAlignment="1">
      <alignment horizontal="right" vertical="center"/>
    </xf>
    <xf numFmtId="164" fontId="11" fillId="2" borderId="4" xfId="0" applyNumberFormat="1" applyFont="1" applyFill="1" applyBorder="1" applyAlignment="1">
      <alignment horizontal="right" vertical="center" wrapText="1"/>
    </xf>
    <xf numFmtId="164" fontId="15" fillId="2" borderId="0" xfId="0" applyNumberFormat="1" applyFont="1" applyFill="1" applyAlignment="1">
      <alignment horizontal="right" vertical="center"/>
    </xf>
    <xf numFmtId="164" fontId="15" fillId="2" borderId="1" xfId="0" applyNumberFormat="1" applyFont="1" applyFill="1" applyBorder="1" applyAlignment="1">
      <alignment horizontal="right" vertical="center"/>
    </xf>
    <xf numFmtId="164" fontId="5" fillId="2" borderId="2" xfId="0" applyNumberFormat="1" applyFont="1" applyFill="1" applyBorder="1" applyAlignment="1">
      <alignment horizontal="left" vertical="center"/>
    </xf>
    <xf numFmtId="164" fontId="5" fillId="2" borderId="0" xfId="0" applyNumberFormat="1" applyFont="1" applyFill="1" applyAlignment="1">
      <alignment horizontal="left" vertical="center"/>
    </xf>
    <xf numFmtId="164" fontId="5" fillId="2" borderId="1" xfId="0" applyNumberFormat="1" applyFont="1" applyFill="1" applyBorder="1" applyAlignment="1">
      <alignment horizontal="left" vertical="center"/>
    </xf>
    <xf numFmtId="164" fontId="7" fillId="2" borderId="2" xfId="0" applyNumberFormat="1" applyFont="1" applyFill="1" applyBorder="1" applyAlignment="1">
      <alignment horizontal="right" vertical="center"/>
    </xf>
    <xf numFmtId="164" fontId="7" fillId="2" borderId="0" xfId="0" applyNumberFormat="1" applyFont="1" applyFill="1" applyAlignment="1">
      <alignment horizontal="right" vertical="center"/>
    </xf>
    <xf numFmtId="164" fontId="7" fillId="2" borderId="1" xfId="0" applyNumberFormat="1" applyFont="1" applyFill="1" applyBorder="1" applyAlignment="1">
      <alignment horizontal="right" vertical="center"/>
    </xf>
    <xf numFmtId="164" fontId="14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top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16" fillId="2" borderId="3" xfId="0" applyNumberFormat="1" applyFont="1" applyFill="1" applyBorder="1" applyAlignment="1">
      <alignment horizontal="center" vertical="center"/>
    </xf>
  </cellXfs>
  <cellStyles count="7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Fish &amp;  Agri - 8" xfId="1" xr:uid="{00000000-0005-0000-0000-00000A000000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S65"/>
  <sheetViews>
    <sheetView tabSelected="1" zoomScale="130" zoomScaleNormal="130" workbookViewId="0">
      <selection activeCell="B39" sqref="B39"/>
    </sheetView>
  </sheetViews>
  <sheetFormatPr defaultColWidth="9.140625" defaultRowHeight="12" x14ac:dyDescent="0.15"/>
  <cols>
    <col min="1" max="1" width="15.140625" style="5" customWidth="1"/>
    <col min="2" max="2" width="41.140625" style="5" customWidth="1"/>
    <col min="3" max="3" width="31.5703125" style="5" customWidth="1"/>
    <col min="4" max="4" width="37" style="5" customWidth="1"/>
    <col min="5" max="5" width="9.140625" style="5"/>
    <col min="6" max="6" width="20.28515625" style="5" customWidth="1"/>
    <col min="7" max="16384" width="9.140625" style="5"/>
  </cols>
  <sheetData>
    <row r="1" spans="1:227" ht="27" customHeight="1" x14ac:dyDescent="0.15">
      <c r="A1" s="44" t="s">
        <v>59</v>
      </c>
      <c r="B1" s="44"/>
      <c r="C1" s="44"/>
      <c r="D1" s="44"/>
    </row>
    <row r="2" spans="1:227" s="6" customFormat="1" ht="23.25" customHeight="1" x14ac:dyDescent="0.2">
      <c r="A2" s="45" t="s">
        <v>60</v>
      </c>
      <c r="B2" s="45"/>
      <c r="C2" s="45"/>
      <c r="D2" s="45"/>
    </row>
    <row r="3" spans="1:227" s="6" customFormat="1" ht="12.75" x14ac:dyDescent="0.2">
      <c r="A3" s="46"/>
      <c r="B3" s="47"/>
      <c r="C3" s="47"/>
    </row>
    <row r="4" spans="1:227" ht="16.5" x14ac:dyDescent="0.15">
      <c r="A4" s="38" t="s">
        <v>0</v>
      </c>
      <c r="B4" s="48" t="s">
        <v>61</v>
      </c>
      <c r="C4" s="48"/>
      <c r="D4" s="41" t="s">
        <v>48</v>
      </c>
    </row>
    <row r="5" spans="1:227" s="7" customFormat="1" ht="39" customHeight="1" x14ac:dyDescent="0.15">
      <c r="A5" s="39"/>
      <c r="B5" s="33" t="s">
        <v>49</v>
      </c>
      <c r="C5" s="34" t="s">
        <v>47</v>
      </c>
      <c r="D5" s="42"/>
    </row>
    <row r="6" spans="1:227" ht="1.1499999999999999" customHeight="1" x14ac:dyDescent="0.15">
      <c r="A6" s="39"/>
      <c r="B6" s="8"/>
      <c r="C6" s="8"/>
      <c r="D6" s="42"/>
    </row>
    <row r="7" spans="1:227" s="11" customFormat="1" ht="12" customHeight="1" x14ac:dyDescent="0.2">
      <c r="A7" s="39"/>
      <c r="B7" s="9" t="s">
        <v>50</v>
      </c>
      <c r="C7" s="10" t="s">
        <v>46</v>
      </c>
      <c r="D7" s="42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</row>
    <row r="8" spans="1:227" s="11" customFormat="1" ht="12.75" x14ac:dyDescent="0.2">
      <c r="A8" s="40"/>
      <c r="B8" s="12" t="s">
        <v>51</v>
      </c>
      <c r="C8" s="12"/>
      <c r="D8" s="4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</row>
    <row r="9" spans="1:227" s="15" customFormat="1" ht="15.75" x14ac:dyDescent="0.25">
      <c r="A9" s="13" t="s">
        <v>1</v>
      </c>
      <c r="B9" s="14">
        <f>B10+B12+B11</f>
        <v>46436</v>
      </c>
      <c r="C9" s="14">
        <f>C10+C12+C11</f>
        <v>214</v>
      </c>
      <c r="D9" s="30" t="s">
        <v>2</v>
      </c>
    </row>
    <row r="10" spans="1:227" s="15" customFormat="1" ht="15.75" x14ac:dyDescent="0.25">
      <c r="A10" s="13" t="s">
        <v>3</v>
      </c>
      <c r="B10" s="16">
        <v>6309</v>
      </c>
      <c r="C10" s="16">
        <v>1</v>
      </c>
      <c r="D10" s="30" t="s">
        <v>4</v>
      </c>
    </row>
    <row r="11" spans="1:227" s="15" customFormat="1" ht="15.75" hidden="1" x14ac:dyDescent="0.25">
      <c r="A11" s="13" t="s">
        <v>7</v>
      </c>
      <c r="B11" s="16"/>
      <c r="C11" s="16"/>
      <c r="D11" s="30" t="s">
        <v>57</v>
      </c>
    </row>
    <row r="12" spans="1:227" s="15" customFormat="1" ht="15.75" x14ac:dyDescent="0.25">
      <c r="A12" s="13" t="s">
        <v>5</v>
      </c>
      <c r="B12" s="16">
        <f>SUM(B13:B32)</f>
        <v>40127</v>
      </c>
      <c r="C12" s="16">
        <f>SUM(C13:C32)</f>
        <v>213</v>
      </c>
      <c r="D12" s="30" t="s">
        <v>6</v>
      </c>
    </row>
    <row r="13" spans="1:227" s="19" customFormat="1" ht="15.75" x14ac:dyDescent="0.25">
      <c r="A13" s="17" t="s">
        <v>8</v>
      </c>
      <c r="B13" s="18">
        <v>2081</v>
      </c>
      <c r="C13" s="18">
        <v>0</v>
      </c>
      <c r="D13" s="31" t="s">
        <v>9</v>
      </c>
    </row>
    <row r="14" spans="1:227" s="19" customFormat="1" ht="15.75" x14ac:dyDescent="0.25">
      <c r="A14" s="17" t="s">
        <v>10</v>
      </c>
      <c r="B14" s="18">
        <v>1441</v>
      </c>
      <c r="C14" s="18">
        <v>2</v>
      </c>
      <c r="D14" s="31" t="s">
        <v>11</v>
      </c>
    </row>
    <row r="15" spans="1:227" s="19" customFormat="1" ht="15.75" x14ac:dyDescent="0.25">
      <c r="A15" s="17" t="s">
        <v>12</v>
      </c>
      <c r="B15" s="18">
        <v>1879</v>
      </c>
      <c r="C15" s="18">
        <v>0</v>
      </c>
      <c r="D15" s="31" t="s">
        <v>13</v>
      </c>
    </row>
    <row r="16" spans="1:227" s="19" customFormat="1" ht="15.75" x14ac:dyDescent="0.25">
      <c r="A16" s="17" t="s">
        <v>14</v>
      </c>
      <c r="B16" s="18">
        <v>1172</v>
      </c>
      <c r="C16" s="18">
        <v>0</v>
      </c>
      <c r="D16" s="31" t="s">
        <v>15</v>
      </c>
    </row>
    <row r="17" spans="1:227" s="19" customFormat="1" ht="15.75" x14ac:dyDescent="0.25">
      <c r="A17" s="17" t="s">
        <v>16</v>
      </c>
      <c r="B17" s="18">
        <v>2580</v>
      </c>
      <c r="C17" s="18">
        <v>0</v>
      </c>
      <c r="D17" s="31" t="s">
        <v>17</v>
      </c>
    </row>
    <row r="18" spans="1:227" s="19" customFormat="1" ht="15.75" x14ac:dyDescent="0.25">
      <c r="A18" s="17" t="s">
        <v>18</v>
      </c>
      <c r="B18" s="18">
        <v>970</v>
      </c>
      <c r="C18" s="18">
        <v>0</v>
      </c>
      <c r="D18" s="31" t="s">
        <v>19</v>
      </c>
    </row>
    <row r="19" spans="1:227" s="19" customFormat="1" ht="15.75" x14ac:dyDescent="0.25">
      <c r="A19" s="17" t="s">
        <v>20</v>
      </c>
      <c r="B19" s="18">
        <v>1433</v>
      </c>
      <c r="C19" s="18">
        <v>0</v>
      </c>
      <c r="D19" s="31" t="s">
        <v>21</v>
      </c>
    </row>
    <row r="20" spans="1:227" s="19" customFormat="1" ht="15.75" x14ac:dyDescent="0.25">
      <c r="A20" s="17" t="s">
        <v>22</v>
      </c>
      <c r="B20" s="18">
        <v>2176</v>
      </c>
      <c r="C20" s="18">
        <v>0</v>
      </c>
      <c r="D20" s="31" t="s">
        <v>23</v>
      </c>
    </row>
    <row r="21" spans="1:227" s="19" customFormat="1" ht="15.75" x14ac:dyDescent="0.25">
      <c r="A21" s="17" t="s">
        <v>52</v>
      </c>
      <c r="B21" s="18">
        <v>1643</v>
      </c>
      <c r="C21" s="18">
        <v>0</v>
      </c>
      <c r="D21" s="31" t="s">
        <v>24</v>
      </c>
    </row>
    <row r="22" spans="1:227" s="19" customFormat="1" ht="15.75" x14ac:dyDescent="0.25">
      <c r="A22" s="17" t="s">
        <v>25</v>
      </c>
      <c r="B22" s="18">
        <v>2580</v>
      </c>
      <c r="C22" s="18">
        <v>4</v>
      </c>
      <c r="D22" s="31" t="s">
        <v>26</v>
      </c>
    </row>
    <row r="23" spans="1:227" s="19" customFormat="1" ht="15.75" x14ac:dyDescent="0.25">
      <c r="A23" s="17" t="s">
        <v>27</v>
      </c>
      <c r="B23" s="18">
        <v>204</v>
      </c>
      <c r="C23" s="18">
        <v>0</v>
      </c>
      <c r="D23" s="31" t="s">
        <v>28</v>
      </c>
    </row>
    <row r="24" spans="1:227" s="19" customFormat="1" ht="15.75" x14ac:dyDescent="0.25">
      <c r="A24" s="17" t="s">
        <v>29</v>
      </c>
      <c r="B24" s="18">
        <v>1063</v>
      </c>
      <c r="C24" s="18">
        <v>0</v>
      </c>
      <c r="D24" s="31" t="s">
        <v>30</v>
      </c>
    </row>
    <row r="25" spans="1:227" s="19" customFormat="1" ht="15.75" x14ac:dyDescent="0.25">
      <c r="A25" s="17" t="s">
        <v>31</v>
      </c>
      <c r="B25" s="18">
        <v>1451</v>
      </c>
      <c r="C25" s="18">
        <v>2</v>
      </c>
      <c r="D25" s="31" t="s">
        <v>32</v>
      </c>
    </row>
    <row r="26" spans="1:227" ht="15.75" x14ac:dyDescent="0.15">
      <c r="A26" s="17" t="s">
        <v>33</v>
      </c>
      <c r="B26" s="18">
        <v>3869</v>
      </c>
      <c r="C26" s="18">
        <v>0</v>
      </c>
      <c r="D26" s="31" t="s">
        <v>34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</row>
    <row r="27" spans="1:227" ht="15.75" x14ac:dyDescent="0.15">
      <c r="A27" s="17" t="s">
        <v>35</v>
      </c>
      <c r="B27" s="18">
        <v>1889</v>
      </c>
      <c r="C27" s="18">
        <v>7</v>
      </c>
      <c r="D27" s="31" t="s">
        <v>36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</row>
    <row r="28" spans="1:227" ht="15.75" x14ac:dyDescent="0.15">
      <c r="A28" s="17" t="s">
        <v>37</v>
      </c>
      <c r="B28" s="18">
        <v>2394</v>
      </c>
      <c r="C28" s="18">
        <v>97</v>
      </c>
      <c r="D28" s="31" t="s">
        <v>38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</row>
    <row r="29" spans="1:227" s="20" customFormat="1" ht="15.75" x14ac:dyDescent="0.25">
      <c r="A29" s="17" t="s">
        <v>39</v>
      </c>
      <c r="B29" s="18">
        <v>5331</v>
      </c>
      <c r="C29" s="18">
        <v>0</v>
      </c>
      <c r="D29" s="31" t="s">
        <v>40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</row>
    <row r="30" spans="1:227" s="20" customFormat="1" ht="15.75" x14ac:dyDescent="0.25">
      <c r="A30" s="17" t="s">
        <v>41</v>
      </c>
      <c r="B30" s="18">
        <v>2934</v>
      </c>
      <c r="C30" s="18">
        <v>0</v>
      </c>
      <c r="D30" s="31" t="s">
        <v>42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</row>
    <row r="31" spans="1:227" s="20" customFormat="1" ht="15.75" x14ac:dyDescent="0.25">
      <c r="A31" s="17" t="s">
        <v>43</v>
      </c>
      <c r="B31" s="18">
        <v>1379</v>
      </c>
      <c r="C31" s="18">
        <v>13</v>
      </c>
      <c r="D31" s="31" t="s">
        <v>44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</row>
    <row r="32" spans="1:227" s="20" customFormat="1" ht="15.75" x14ac:dyDescent="0.25">
      <c r="A32" s="21" t="s">
        <v>13</v>
      </c>
      <c r="B32" s="22">
        <v>1658</v>
      </c>
      <c r="C32" s="22">
        <v>88</v>
      </c>
      <c r="D32" s="32" t="s">
        <v>45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</row>
    <row r="33" spans="1:227" s="20" customFormat="1" ht="17.25" x14ac:dyDescent="0.15">
      <c r="D33" s="3" t="s">
        <v>56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</row>
    <row r="34" spans="1:227" ht="12.75" x14ac:dyDescent="0.15">
      <c r="A34" s="23" t="s">
        <v>53</v>
      </c>
    </row>
    <row r="36" spans="1:227" ht="39" customHeight="1" x14ac:dyDescent="0.15">
      <c r="A36" s="38" t="s">
        <v>0</v>
      </c>
      <c r="B36" s="24" t="s">
        <v>54</v>
      </c>
      <c r="C36" s="25"/>
      <c r="D36" s="41" t="s">
        <v>48</v>
      </c>
    </row>
    <row r="37" spans="1:227" ht="40.15" customHeight="1" x14ac:dyDescent="0.15">
      <c r="A37" s="39"/>
      <c r="B37" s="35" t="s">
        <v>55</v>
      </c>
      <c r="C37" s="30" t="s">
        <v>47</v>
      </c>
      <c r="D37" s="42"/>
    </row>
    <row r="38" spans="1:227" ht="12.75" x14ac:dyDescent="0.2">
      <c r="A38" s="39"/>
      <c r="B38" s="9" t="s">
        <v>50</v>
      </c>
      <c r="C38" s="10" t="s">
        <v>46</v>
      </c>
      <c r="D38" s="42"/>
    </row>
    <row r="39" spans="1:227" ht="12.75" x14ac:dyDescent="0.2">
      <c r="A39" s="40"/>
      <c r="B39" s="12" t="s">
        <v>51</v>
      </c>
      <c r="C39" s="12"/>
      <c r="D39" s="43"/>
    </row>
    <row r="40" spans="1:227" ht="15.75" x14ac:dyDescent="0.15">
      <c r="A40" s="2" t="s">
        <v>1</v>
      </c>
      <c r="B40" s="16">
        <f>B41+B43+B42</f>
        <v>730</v>
      </c>
      <c r="C40" s="16">
        <f>C41+C43+C42</f>
        <v>21</v>
      </c>
      <c r="D40" s="30" t="s">
        <v>2</v>
      </c>
    </row>
    <row r="41" spans="1:227" ht="15.75" x14ac:dyDescent="0.15">
      <c r="A41" s="2" t="s">
        <v>3</v>
      </c>
      <c r="B41" s="16">
        <v>95</v>
      </c>
      <c r="C41" s="16">
        <v>1</v>
      </c>
      <c r="D41" s="30" t="s">
        <v>4</v>
      </c>
    </row>
    <row r="42" spans="1:227" s="26" customFormat="1" ht="15.75" hidden="1" x14ac:dyDescent="0.15">
      <c r="A42" s="4" t="s">
        <v>7</v>
      </c>
      <c r="B42" s="16"/>
      <c r="C42" s="16"/>
      <c r="D42" s="30" t="s">
        <v>57</v>
      </c>
    </row>
    <row r="43" spans="1:227" ht="15.75" x14ac:dyDescent="0.15">
      <c r="A43" s="2" t="s">
        <v>5</v>
      </c>
      <c r="B43" s="16">
        <f>SUM(B44:B63)</f>
        <v>635</v>
      </c>
      <c r="C43" s="16">
        <f>SUM(C44:C63)</f>
        <v>20</v>
      </c>
      <c r="D43" s="30" t="s">
        <v>6</v>
      </c>
    </row>
    <row r="44" spans="1:227" ht="15.75" x14ac:dyDescent="0.15">
      <c r="A44" s="27" t="s">
        <v>8</v>
      </c>
      <c r="B44" s="18">
        <v>48</v>
      </c>
      <c r="C44" s="18">
        <v>0</v>
      </c>
      <c r="D44" s="36" t="s">
        <v>9</v>
      </c>
    </row>
    <row r="45" spans="1:227" ht="15.75" x14ac:dyDescent="0.15">
      <c r="A45" s="27" t="s">
        <v>10</v>
      </c>
      <c r="B45" s="18">
        <v>27</v>
      </c>
      <c r="C45" s="18">
        <v>1</v>
      </c>
      <c r="D45" s="36" t="s">
        <v>11</v>
      </c>
    </row>
    <row r="46" spans="1:227" ht="15.75" x14ac:dyDescent="0.15">
      <c r="A46" s="27" t="s">
        <v>12</v>
      </c>
      <c r="B46" s="18">
        <v>29</v>
      </c>
      <c r="C46" s="18">
        <v>0</v>
      </c>
      <c r="D46" s="36" t="s">
        <v>13</v>
      </c>
    </row>
    <row r="47" spans="1:227" ht="15.75" x14ac:dyDescent="0.15">
      <c r="A47" s="27" t="s">
        <v>14</v>
      </c>
      <c r="B47" s="18">
        <v>23</v>
      </c>
      <c r="C47" s="18">
        <v>0</v>
      </c>
      <c r="D47" s="36" t="s">
        <v>15</v>
      </c>
    </row>
    <row r="48" spans="1:227" ht="15.75" x14ac:dyDescent="0.15">
      <c r="A48" s="27" t="s">
        <v>16</v>
      </c>
      <c r="B48" s="18">
        <v>52</v>
      </c>
      <c r="C48" s="18">
        <v>0</v>
      </c>
      <c r="D48" s="36" t="s">
        <v>17</v>
      </c>
    </row>
    <row r="49" spans="1:4" ht="15.75" x14ac:dyDescent="0.15">
      <c r="A49" s="27" t="s">
        <v>18</v>
      </c>
      <c r="B49" s="18">
        <v>22</v>
      </c>
      <c r="C49" s="18">
        <v>0</v>
      </c>
      <c r="D49" s="36" t="s">
        <v>19</v>
      </c>
    </row>
    <row r="50" spans="1:4" ht="15.75" x14ac:dyDescent="0.15">
      <c r="A50" s="27" t="s">
        <v>20</v>
      </c>
      <c r="B50" s="18">
        <v>22</v>
      </c>
      <c r="C50" s="18">
        <v>0</v>
      </c>
      <c r="D50" s="36" t="s">
        <v>21</v>
      </c>
    </row>
    <row r="51" spans="1:4" ht="15.75" x14ac:dyDescent="0.15">
      <c r="A51" s="27" t="s">
        <v>22</v>
      </c>
      <c r="B51" s="18">
        <v>36</v>
      </c>
      <c r="C51" s="18">
        <v>0</v>
      </c>
      <c r="D51" s="36" t="s">
        <v>23</v>
      </c>
    </row>
    <row r="52" spans="1:4" ht="15.75" x14ac:dyDescent="0.15">
      <c r="A52" s="27" t="s">
        <v>52</v>
      </c>
      <c r="B52" s="18">
        <v>24</v>
      </c>
      <c r="C52" s="18">
        <v>0</v>
      </c>
      <c r="D52" s="36" t="s">
        <v>24</v>
      </c>
    </row>
    <row r="53" spans="1:4" ht="15.75" x14ac:dyDescent="0.15">
      <c r="A53" s="27" t="s">
        <v>25</v>
      </c>
      <c r="B53" s="18">
        <v>26</v>
      </c>
      <c r="C53" s="18">
        <v>1</v>
      </c>
      <c r="D53" s="36" t="s">
        <v>26</v>
      </c>
    </row>
    <row r="54" spans="1:4" ht="15.75" x14ac:dyDescent="0.15">
      <c r="A54" s="27" t="s">
        <v>27</v>
      </c>
      <c r="B54" s="18">
        <v>5</v>
      </c>
      <c r="C54" s="18">
        <v>0</v>
      </c>
      <c r="D54" s="36" t="s">
        <v>28</v>
      </c>
    </row>
    <row r="55" spans="1:4" ht="15.75" x14ac:dyDescent="0.15">
      <c r="A55" s="27" t="s">
        <v>29</v>
      </c>
      <c r="B55" s="18">
        <v>26</v>
      </c>
      <c r="C55" s="18">
        <v>0</v>
      </c>
      <c r="D55" s="36" t="s">
        <v>30</v>
      </c>
    </row>
    <row r="56" spans="1:4" ht="15.75" x14ac:dyDescent="0.15">
      <c r="A56" s="27" t="s">
        <v>31</v>
      </c>
      <c r="B56" s="18">
        <v>23</v>
      </c>
      <c r="C56" s="18">
        <v>2</v>
      </c>
      <c r="D56" s="36" t="s">
        <v>32</v>
      </c>
    </row>
    <row r="57" spans="1:4" ht="15.75" x14ac:dyDescent="0.15">
      <c r="A57" s="27" t="s">
        <v>33</v>
      </c>
      <c r="B57" s="18">
        <v>60</v>
      </c>
      <c r="C57" s="18">
        <v>0</v>
      </c>
      <c r="D57" s="36" t="s">
        <v>34</v>
      </c>
    </row>
    <row r="58" spans="1:4" ht="15.75" x14ac:dyDescent="0.15">
      <c r="A58" s="27" t="s">
        <v>35</v>
      </c>
      <c r="B58" s="18">
        <v>29</v>
      </c>
      <c r="C58" s="18">
        <v>3</v>
      </c>
      <c r="D58" s="36" t="s">
        <v>36</v>
      </c>
    </row>
    <row r="59" spans="1:4" ht="15.75" x14ac:dyDescent="0.15">
      <c r="A59" s="27" t="s">
        <v>37</v>
      </c>
      <c r="B59" s="18">
        <v>39</v>
      </c>
      <c r="C59" s="18">
        <v>2</v>
      </c>
      <c r="D59" s="36" t="s">
        <v>38</v>
      </c>
    </row>
    <row r="60" spans="1:4" ht="15.75" x14ac:dyDescent="0.15">
      <c r="A60" s="27" t="s">
        <v>39</v>
      </c>
      <c r="B60" s="18">
        <v>44</v>
      </c>
      <c r="C60" s="18">
        <v>0</v>
      </c>
      <c r="D60" s="36" t="s">
        <v>40</v>
      </c>
    </row>
    <row r="61" spans="1:4" ht="15.75" x14ac:dyDescent="0.15">
      <c r="A61" s="27" t="s">
        <v>41</v>
      </c>
      <c r="B61" s="18">
        <v>31</v>
      </c>
      <c r="C61" s="18">
        <v>0</v>
      </c>
      <c r="D61" s="36" t="s">
        <v>42</v>
      </c>
    </row>
    <row r="62" spans="1:4" ht="15.75" x14ac:dyDescent="0.15">
      <c r="A62" s="27" t="s">
        <v>43</v>
      </c>
      <c r="B62" s="18">
        <v>39</v>
      </c>
      <c r="C62" s="18">
        <v>2</v>
      </c>
      <c r="D62" s="36" t="s">
        <v>44</v>
      </c>
    </row>
    <row r="63" spans="1:4" ht="15.75" x14ac:dyDescent="0.15">
      <c r="A63" s="28" t="s">
        <v>13</v>
      </c>
      <c r="B63" s="22">
        <v>30</v>
      </c>
      <c r="C63" s="22">
        <v>9</v>
      </c>
      <c r="D63" s="37" t="s">
        <v>45</v>
      </c>
    </row>
    <row r="64" spans="1:4" s="1" customFormat="1" ht="17.25" x14ac:dyDescent="0.25">
      <c r="A64" s="29" t="s">
        <v>58</v>
      </c>
      <c r="B64" s="29"/>
      <c r="C64" s="29"/>
      <c r="D64" s="3" t="s">
        <v>56</v>
      </c>
    </row>
    <row r="65" spans="1:4" s="1" customFormat="1" ht="17.25" x14ac:dyDescent="0.25">
      <c r="A65" s="29"/>
      <c r="B65" s="29"/>
      <c r="C65" s="29"/>
      <c r="D65" s="3"/>
    </row>
  </sheetData>
  <mergeCells count="8">
    <mergeCell ref="A36:A39"/>
    <mergeCell ref="D36:D39"/>
    <mergeCell ref="A1:D1"/>
    <mergeCell ref="A2:D2"/>
    <mergeCell ref="A3:C3"/>
    <mergeCell ref="A4:A8"/>
    <mergeCell ref="D4:D8"/>
    <mergeCell ref="B4:C4"/>
  </mergeCells>
  <pageMargins left="0.7" right="0.7" top="0.75" bottom="0.75" header="0.3" footer="0.3"/>
  <pageSetup paperSize="9" scale="65" orientation="portrait" horizontalDpi="4294967295" verticalDpi="4294967295" r:id="rId1"/>
  <colBreaks count="1" manualBreakCount="1">
    <brk id="5" max="6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9.8</vt:lpstr>
      <vt:lpstr>'9.8'!Print_Area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2023-01-30T03:12:51Z</cp:lastPrinted>
  <dcterms:created xsi:type="dcterms:W3CDTF">2019-09-09T05:11:24Z</dcterms:created>
  <dcterms:modified xsi:type="dcterms:W3CDTF">2023-01-30T03:12:59Z</dcterms:modified>
</cp:coreProperties>
</file>