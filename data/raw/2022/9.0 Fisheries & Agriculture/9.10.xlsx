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045F607C-EC4A-4682-A9AD-D20CCD957D33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10" sheetId="10" r:id="rId1"/>
  </sheets>
  <definedNames>
    <definedName name="_xlnm.Print_Area" localSheetId="0">'9.10'!$A$1:$I$33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0" l="1"/>
  <c r="H7" i="10" s="1"/>
  <c r="G9" i="10"/>
  <c r="G7" i="10" s="1"/>
  <c r="C9" i="10"/>
  <c r="C7" i="10" s="1"/>
  <c r="B9" i="10"/>
  <c r="B7" i="10" s="1"/>
  <c r="E9" i="10" l="1"/>
  <c r="E7" i="10" s="1"/>
  <c r="F9" i="10"/>
  <c r="F7" i="10" s="1"/>
</calcChain>
</file>

<file path=xl/sharedStrings.xml><?xml version="1.0" encoding="utf-8"?>
<sst xmlns="http://schemas.openxmlformats.org/spreadsheetml/2006/main" count="41" uniqueCount="35">
  <si>
    <t>Republic</t>
  </si>
  <si>
    <t>Male'</t>
  </si>
  <si>
    <t>Atolls</t>
  </si>
  <si>
    <t>Longline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</si>
  <si>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</si>
  <si>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</si>
  <si>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</si>
  <si>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</si>
  <si>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</si>
  <si>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</si>
  <si>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</si>
  <si>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</si>
  <si>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</si>
  <si>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</si>
  <si>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</si>
  <si>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</si>
  <si>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</si>
  <si>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</si>
  <si>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</si>
  <si>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</si>
  <si>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</si>
  <si>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</si>
  <si>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</si>
  <si>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</si>
  <si>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Locality</t>
  </si>
  <si>
    <t>Other vessels</t>
  </si>
  <si>
    <t>Mechanised</t>
  </si>
  <si>
    <t xml:space="preserve"> AA</t>
  </si>
  <si>
    <t>Fish Catch (metric tonnes)</t>
  </si>
  <si>
    <t>Catch per unit effort (metric tonnes)</t>
  </si>
  <si>
    <t>Fishing Trips</t>
  </si>
  <si>
    <t>Masdhonis</t>
  </si>
  <si>
    <t xml:space="preserve">މައުލޫމާތު ދެއްވި ފަރާތް: މިނިސްޓްރީ އޮފް ފިޝަރީޒް އެންޑް އެގްރިކަލްޗަރ </t>
  </si>
  <si>
    <t>Table 9.10: FISH CATCH, FISHING TRIPS AND CATCH PER UNIT EFFORT BY LOCALITY, 2021</t>
  </si>
  <si>
    <t>ތާވަލު 9.10: ބޭނުނު މަހުގެ އަދަދު، މަސްދަތުރުގެ އަދަދު އަދި ތަނުގެ ގޮތުން ބޭނިފައިވާ މަހުގެ ނިސްބަތް،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</si>
</sst>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"/>
    <numFmt numFmtId="170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2"/>
      <name val="Faruma"/>
      <family val="3"/>
    </font>
    <font>
      <b/>
      <sz val="11"/>
      <name val="Faruma"/>
      <family val="3"/>
    </font>
    <font>
      <b/>
      <sz val="11"/>
      <color theme="1"/>
      <name val="Calibri"/>
      <family val="2"/>
    </font>
    <font>
      <sz val="9"/>
      <color theme="1"/>
      <name val="Faruma"/>
      <family val="3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6" fillId="0" borderId="0"/>
  </cellStyleXfs>
  <cellXfs count="50">
    <xf numFmtId="0" fontId="0" fillId="0" borderId="0" xfId="0"/>
    <xf numFmtId="164" fontId="6" fillId="2" borderId="0" xfId="2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 indent="1"/>
    </xf>
    <xf numFmtId="164" fontId="5" fillId="2" borderId="1" xfId="0" applyNumberFormat="1" applyFont="1" applyFill="1" applyBorder="1" applyAlignment="1">
      <alignment horizontal="left" vertical="center" indent="1"/>
    </xf>
    <xf numFmtId="164" fontId="4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3" fontId="7" fillId="2" borderId="2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3" fontId="5" fillId="2" borderId="0" xfId="2" applyNumberFormat="1" applyFont="1" applyFill="1" applyAlignment="1">
      <alignment horizontal="right" vertical="center"/>
    </xf>
    <xf numFmtId="3" fontId="5" fillId="2" borderId="1" xfId="2" applyNumberFormat="1" applyFont="1" applyFill="1" applyBorder="1" applyAlignment="1">
      <alignment horizontal="right" vertical="center"/>
    </xf>
    <xf numFmtId="164" fontId="7" fillId="2" borderId="1" xfId="2" applyFont="1" applyFill="1" applyBorder="1" applyAlignment="1">
      <alignment horizontal="right" vertical="center"/>
    </xf>
    <xf numFmtId="164" fontId="10" fillId="2" borderId="0" xfId="2" applyFont="1" applyFill="1" applyAlignment="1">
      <alignment horizontal="right" vertical="center"/>
    </xf>
    <xf numFmtId="164" fontId="7" fillId="2" borderId="10" xfId="2" applyFont="1" applyFill="1" applyBorder="1" applyAlignment="1">
      <alignment horizontal="right"/>
    </xf>
    <xf numFmtId="164" fontId="7" fillId="2" borderId="0" xfId="2" applyFont="1" applyFill="1" applyAlignment="1">
      <alignment horizontal="right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7" fillId="2" borderId="0" xfId="2" applyFont="1" applyFill="1" applyAlignment="1">
      <alignment horizontal="right" vertical="center"/>
    </xf>
    <xf numFmtId="164" fontId="7" fillId="2" borderId="7" xfId="2" applyFont="1" applyFill="1" applyBorder="1" applyAlignment="1">
      <alignment horizontal="right" vertical="center"/>
    </xf>
    <xf numFmtId="164" fontId="7" fillId="2" borderId="12" xfId="2" applyFont="1" applyFill="1" applyBorder="1" applyAlignment="1">
      <alignment horizontal="right"/>
    </xf>
    <xf numFmtId="164" fontId="7" fillId="2" borderId="8" xfId="2" applyFont="1" applyFill="1" applyBorder="1" applyAlignment="1">
      <alignment horizontal="right" vertical="center"/>
    </xf>
    <xf numFmtId="164" fontId="7" fillId="2" borderId="4" xfId="2" applyFont="1" applyFill="1" applyBorder="1" applyAlignment="1">
      <alignment horizontal="right" vertical="center"/>
    </xf>
    <xf numFmtId="165" fontId="7" fillId="2" borderId="6" xfId="2" applyNumberFormat="1" applyFont="1" applyFill="1" applyBorder="1" applyAlignment="1">
      <alignment horizontal="right" vertical="center" indent="3"/>
    </xf>
    <xf numFmtId="165" fontId="7" fillId="2" borderId="3" xfId="2" applyNumberFormat="1" applyFont="1" applyFill="1" applyBorder="1" applyAlignment="1">
      <alignment horizontal="right" vertical="center" indent="3"/>
    </xf>
    <xf numFmtId="3" fontId="7" fillId="2" borderId="2" xfId="2" applyNumberFormat="1" applyFont="1" applyFill="1" applyBorder="1" applyAlignment="1">
      <alignment horizontal="right" vertical="center" indent="1"/>
    </xf>
    <xf numFmtId="3" fontId="4" fillId="2" borderId="0" xfId="2" applyNumberFormat="1" applyFont="1" applyFill="1" applyAlignment="1">
      <alignment horizontal="right" vertical="center"/>
    </xf>
    <xf numFmtId="165" fontId="7" fillId="2" borderId="7" xfId="2" applyNumberFormat="1" applyFont="1" applyFill="1" applyBorder="1" applyAlignment="1">
      <alignment horizontal="right" vertical="center" indent="3"/>
    </xf>
    <xf numFmtId="3" fontId="7" fillId="2" borderId="0" xfId="2" applyNumberFormat="1" applyFont="1" applyFill="1" applyAlignment="1">
      <alignment horizontal="right" vertical="center" indent="1"/>
    </xf>
    <xf numFmtId="165" fontId="5" fillId="2" borderId="7" xfId="2" applyNumberFormat="1" applyFont="1" applyFill="1" applyBorder="1" applyAlignment="1">
      <alignment horizontal="right" vertical="center" indent="3"/>
    </xf>
    <xf numFmtId="165" fontId="5" fillId="2" borderId="3" xfId="2" applyNumberFormat="1" applyFont="1" applyFill="1" applyBorder="1" applyAlignment="1">
      <alignment horizontal="right" vertical="center" indent="3"/>
    </xf>
    <xf numFmtId="3" fontId="5" fillId="2" borderId="0" xfId="2" applyNumberFormat="1" applyFont="1" applyFill="1" applyAlignment="1">
      <alignment horizontal="right" vertical="center" indent="1"/>
    </xf>
    <xf numFmtId="164" fontId="3" fillId="2" borderId="0" xfId="2" applyFont="1" applyFill="1" applyAlignment="1">
      <alignment horizontal="right" vertical="center"/>
    </xf>
    <xf numFmtId="165" fontId="5" fillId="2" borderId="8" xfId="2" applyNumberFormat="1" applyFont="1" applyFill="1" applyBorder="1" applyAlignment="1">
      <alignment horizontal="right" vertical="center" indent="3"/>
    </xf>
    <xf numFmtId="165" fontId="5" fillId="2" borderId="4" xfId="2" applyNumberFormat="1" applyFont="1" applyFill="1" applyBorder="1" applyAlignment="1">
      <alignment horizontal="right" vertical="center" indent="3"/>
    </xf>
    <xf numFmtId="3" fontId="5" fillId="2" borderId="1" xfId="2" applyNumberFormat="1" applyFont="1" applyFill="1" applyBorder="1" applyAlignment="1">
      <alignment horizontal="right" vertical="center" indent="1"/>
    </xf>
    <xf numFmtId="164" fontId="10" fillId="2" borderId="0" xfId="2" applyFont="1" applyFill="1" applyAlignment="1">
      <alignment horizontal="right" vertical="center" indent="1"/>
    </xf>
    <xf numFmtId="0" fontId="15" fillId="2" borderId="0" xfId="0" applyFont="1" applyFill="1" applyAlignment="1">
      <alignment horizontal="right" indent="1"/>
    </xf>
    <xf numFmtId="164" fontId="7" fillId="2" borderId="1" xfId="2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164" fontId="7" fillId="2" borderId="1" xfId="2" applyFont="1" applyFill="1" applyBorder="1" applyAlignment="1">
      <alignment horizontal="center" vertical="center"/>
    </xf>
    <xf numFmtId="164" fontId="12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7" fillId="2" borderId="2" xfId="2" applyFont="1" applyFill="1" applyBorder="1" applyAlignment="1">
      <alignment horizontal="center" vertical="center"/>
    </xf>
    <xf numFmtId="164" fontId="7" fillId="2" borderId="5" xfId="2" applyFont="1" applyFill="1" applyBorder="1" applyAlignment="1">
      <alignment horizontal="center" vertical="center"/>
    </xf>
    <xf numFmtId="164" fontId="7" fillId="2" borderId="11" xfId="2" applyFont="1" applyFill="1" applyBorder="1" applyAlignment="1">
      <alignment horizontal="center" vertical="center"/>
    </xf>
    <xf numFmtId="164" fontId="7" fillId="2" borderId="9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tabSelected="1" zoomScaleNormal="100" workbookViewId="0">
      <selection activeCell="D17" sqref="D17"/>
    </sheetView>
  </sheetViews>
  <sheetFormatPr defaultColWidth="10" defaultRowHeight="12.75" x14ac:dyDescent="0.25"/>
  <cols>
    <col min="1" max="1" width="10" style="1"/>
    <col min="2" max="2" width="13" style="1" customWidth="1"/>
    <col min="3" max="4" width="14.28515625" style="1" customWidth="1"/>
    <col min="5" max="6" width="15.5703125" style="1" customWidth="1"/>
    <col min="7" max="8" width="13.140625" style="1" customWidth="1"/>
    <col min="9" max="9" width="6.5703125" style="1" customWidth="1"/>
    <col min="10" max="10" width="12.28515625" style="1" customWidth="1"/>
    <col min="11" max="11" width="11.7109375" style="1" customWidth="1"/>
    <col min="12" max="16384" width="10" style="1"/>
  </cols>
  <sheetData>
    <row r="1" spans="1:12" ht="21.75" x14ac:dyDescent="0.25">
      <c r="A1" s="44" t="s">
        <v>34</v>
      </c>
      <c r="B1" s="44"/>
      <c r="C1" s="44"/>
      <c r="D1" s="44"/>
      <c r="E1" s="44"/>
      <c r="F1" s="44"/>
      <c r="G1" s="44"/>
      <c r="H1" s="44"/>
      <c r="I1" s="18"/>
      <c r="J1" s="18"/>
      <c r="K1" s="18"/>
    </row>
    <row r="2" spans="1:12" s="4" customFormat="1" ht="15.75" x14ac:dyDescent="0.25">
      <c r="A2" s="45" t="s">
        <v>33</v>
      </c>
      <c r="B2" s="45"/>
      <c r="C2" s="45"/>
      <c r="D2" s="45"/>
      <c r="E2" s="45"/>
      <c r="F2" s="45"/>
      <c r="G2" s="45"/>
      <c r="H2" s="45"/>
      <c r="I2" s="19"/>
      <c r="J2" s="19"/>
      <c r="K2" s="19"/>
    </row>
    <row r="3" spans="1:12" s="4" customFormat="1" x14ac:dyDescent="0.25">
      <c r="A3" s="9"/>
      <c r="B3" s="40"/>
      <c r="C3" s="40"/>
      <c r="D3" s="40"/>
      <c r="E3" s="40"/>
      <c r="F3" s="40"/>
      <c r="G3" s="40"/>
      <c r="H3" s="40"/>
      <c r="I3" s="9"/>
      <c r="J3" s="9"/>
      <c r="K3" s="9"/>
    </row>
    <row r="4" spans="1:12" s="4" customFormat="1" x14ac:dyDescent="0.25">
      <c r="A4" s="46" t="s">
        <v>24</v>
      </c>
      <c r="B4" s="47" t="s">
        <v>28</v>
      </c>
      <c r="C4" s="47"/>
      <c r="D4" s="48"/>
      <c r="E4" s="49" t="s">
        <v>29</v>
      </c>
      <c r="F4" s="48"/>
      <c r="G4" s="47" t="s">
        <v>30</v>
      </c>
      <c r="H4" s="47"/>
    </row>
    <row r="5" spans="1:12" s="4" customFormat="1" x14ac:dyDescent="0.2">
      <c r="A5" s="42"/>
      <c r="B5" s="20" t="s">
        <v>26</v>
      </c>
      <c r="C5" s="16" t="s">
        <v>25</v>
      </c>
      <c r="D5" s="17"/>
      <c r="E5" s="21" t="s">
        <v>26</v>
      </c>
      <c r="F5" s="22" t="s">
        <v>25</v>
      </c>
      <c r="G5" s="20" t="s">
        <v>26</v>
      </c>
      <c r="H5" s="16" t="s">
        <v>25</v>
      </c>
      <c r="L5" s="5"/>
    </row>
    <row r="6" spans="1:12" s="4" customFormat="1" x14ac:dyDescent="0.25">
      <c r="A6" s="43"/>
      <c r="B6" s="14" t="s">
        <v>31</v>
      </c>
      <c r="C6" s="14"/>
      <c r="D6" s="14"/>
      <c r="E6" s="23" t="s">
        <v>31</v>
      </c>
      <c r="F6" s="24"/>
      <c r="G6" s="20" t="s">
        <v>31</v>
      </c>
      <c r="H6" s="20"/>
    </row>
    <row r="7" spans="1:12" s="8" customFormat="1" x14ac:dyDescent="0.25">
      <c r="A7" s="2" t="s">
        <v>0</v>
      </c>
      <c r="B7" s="11">
        <f>B8+B9</f>
        <v>144506.83681234816</v>
      </c>
      <c r="C7" s="11">
        <f>C8+C9</f>
        <v>485.81858045732491</v>
      </c>
      <c r="D7" s="10"/>
      <c r="E7" s="25">
        <f>E8+E9+E10</f>
        <v>2.9974487097300311</v>
      </c>
      <c r="F7" s="26">
        <f t="shared" ref="F7:H7" si="0">F8+F9+F10</f>
        <v>2.2763858275868603</v>
      </c>
      <c r="G7" s="10">
        <f t="shared" si="0"/>
        <v>46436</v>
      </c>
      <c r="H7" s="27">
        <f t="shared" si="0"/>
        <v>214</v>
      </c>
      <c r="J7" s="41"/>
      <c r="L7" s="28"/>
    </row>
    <row r="8" spans="1:12" s="8" customFormat="1" x14ac:dyDescent="0.25">
      <c r="A8" s="2" t="s">
        <v>1</v>
      </c>
      <c r="B8" s="11">
        <v>24228.2124370112</v>
      </c>
      <c r="C8" s="12">
        <v>0.9483991813236976</v>
      </c>
      <c r="D8" s="11"/>
      <c r="E8" s="29">
        <v>0</v>
      </c>
      <c r="F8" s="26">
        <v>0</v>
      </c>
      <c r="G8" s="11">
        <v>6309</v>
      </c>
      <c r="H8" s="30">
        <v>1</v>
      </c>
      <c r="L8" s="28"/>
    </row>
    <row r="9" spans="1:12" s="8" customFormat="1" x14ac:dyDescent="0.25">
      <c r="A9" s="2" t="s">
        <v>2</v>
      </c>
      <c r="B9" s="11">
        <f>SUM(B11:B30)</f>
        <v>120278.62437533695</v>
      </c>
      <c r="C9" s="11">
        <f>SUM(C11:C30)</f>
        <v>484.87018127600123</v>
      </c>
      <c r="D9" s="11"/>
      <c r="E9" s="29">
        <f>B9/G9</f>
        <v>2.9974487097300311</v>
      </c>
      <c r="F9" s="26">
        <f>C9/H9</f>
        <v>2.2763858275868603</v>
      </c>
      <c r="G9" s="11">
        <f>SUM(G11:G30)</f>
        <v>40127</v>
      </c>
      <c r="H9" s="30">
        <f>SUM(H11:H30)</f>
        <v>213</v>
      </c>
      <c r="L9" s="28"/>
    </row>
    <row r="10" spans="1:12" s="8" customFormat="1" hidden="1" x14ac:dyDescent="0.25">
      <c r="A10" s="2" t="s">
        <v>3</v>
      </c>
      <c r="B10" s="11"/>
      <c r="C10" s="11"/>
      <c r="D10" s="11"/>
      <c r="E10" s="29"/>
      <c r="F10" s="26"/>
      <c r="G10" s="11"/>
      <c r="H10" s="30"/>
      <c r="L10" s="28"/>
    </row>
    <row r="11" spans="1:12" s="8" customFormat="1" x14ac:dyDescent="0.25">
      <c r="A11" s="6" t="s">
        <v>4</v>
      </c>
      <c r="B11" s="12">
        <v>5931.9524550622255</v>
      </c>
      <c r="C11" s="12">
        <v>0</v>
      </c>
      <c r="D11" s="12"/>
      <c r="E11" s="31">
        <v>0</v>
      </c>
      <c r="F11" s="32">
        <v>0</v>
      </c>
      <c r="G11" s="12">
        <v>2081</v>
      </c>
      <c r="H11" s="33">
        <v>0</v>
      </c>
      <c r="L11" s="28"/>
    </row>
    <row r="12" spans="1:12" s="8" customFormat="1" x14ac:dyDescent="0.25">
      <c r="A12" s="6" t="s">
        <v>5</v>
      </c>
      <c r="B12" s="12">
        <v>1797.4704761336652</v>
      </c>
      <c r="C12" s="12">
        <v>0</v>
      </c>
      <c r="D12" s="12"/>
      <c r="E12" s="31">
        <v>0</v>
      </c>
      <c r="F12" s="32">
        <v>0</v>
      </c>
      <c r="G12" s="12">
        <v>1441</v>
      </c>
      <c r="H12" s="33">
        <v>2</v>
      </c>
      <c r="L12" s="28"/>
    </row>
    <row r="13" spans="1:12" s="8" customFormat="1" x14ac:dyDescent="0.25">
      <c r="A13" s="6" t="s">
        <v>6</v>
      </c>
      <c r="B13" s="12">
        <v>4011.519076265768</v>
      </c>
      <c r="C13" s="12">
        <v>0</v>
      </c>
      <c r="D13" s="12"/>
      <c r="E13" s="31">
        <v>0</v>
      </c>
      <c r="F13" s="32">
        <v>0</v>
      </c>
      <c r="G13" s="12">
        <v>1879</v>
      </c>
      <c r="H13" s="33">
        <v>0</v>
      </c>
      <c r="L13" s="28"/>
    </row>
    <row r="14" spans="1:12" s="8" customFormat="1" x14ac:dyDescent="0.25">
      <c r="A14" s="6" t="s">
        <v>8</v>
      </c>
      <c r="B14" s="12">
        <v>2389.9616970334946</v>
      </c>
      <c r="C14" s="12">
        <v>0</v>
      </c>
      <c r="D14" s="12"/>
      <c r="E14" s="31">
        <v>0</v>
      </c>
      <c r="F14" s="32">
        <v>0</v>
      </c>
      <c r="G14" s="12">
        <v>1172</v>
      </c>
      <c r="H14" s="33">
        <v>0</v>
      </c>
      <c r="L14" s="28"/>
    </row>
    <row r="15" spans="1:12" s="8" customFormat="1" x14ac:dyDescent="0.25">
      <c r="A15" s="6" t="s">
        <v>9</v>
      </c>
      <c r="B15" s="12">
        <v>6435.3947629282557</v>
      </c>
      <c r="C15" s="12">
        <v>0</v>
      </c>
      <c r="D15" s="12"/>
      <c r="E15" s="31">
        <v>0</v>
      </c>
      <c r="F15" s="32">
        <v>0</v>
      </c>
      <c r="G15" s="12">
        <v>2580</v>
      </c>
      <c r="H15" s="33">
        <v>0</v>
      </c>
      <c r="L15" s="28"/>
    </row>
    <row r="16" spans="1:12" s="8" customFormat="1" x14ac:dyDescent="0.25">
      <c r="A16" s="6" t="s">
        <v>10</v>
      </c>
      <c r="B16" s="12">
        <v>1343.0112167004902</v>
      </c>
      <c r="C16" s="12">
        <v>0</v>
      </c>
      <c r="D16" s="12"/>
      <c r="E16" s="31">
        <v>0</v>
      </c>
      <c r="F16" s="32">
        <v>0</v>
      </c>
      <c r="G16" s="12">
        <v>970</v>
      </c>
      <c r="H16" s="33">
        <v>0</v>
      </c>
      <c r="L16" s="28"/>
    </row>
    <row r="17" spans="1:12" s="8" customFormat="1" x14ac:dyDescent="0.25">
      <c r="A17" s="6" t="s">
        <v>11</v>
      </c>
      <c r="B17" s="12">
        <v>6073.6380008439419</v>
      </c>
      <c r="C17" s="12">
        <v>0</v>
      </c>
      <c r="D17" s="12"/>
      <c r="E17" s="31">
        <v>0</v>
      </c>
      <c r="F17" s="32">
        <v>0</v>
      </c>
      <c r="G17" s="12">
        <v>1433</v>
      </c>
      <c r="H17" s="33">
        <v>0</v>
      </c>
      <c r="L17" s="28"/>
    </row>
    <row r="18" spans="1:12" s="8" customFormat="1" x14ac:dyDescent="0.25">
      <c r="A18" s="6" t="s">
        <v>12</v>
      </c>
      <c r="B18" s="12">
        <v>5099.2156067167607</v>
      </c>
      <c r="C18" s="12">
        <v>0</v>
      </c>
      <c r="D18" s="12"/>
      <c r="E18" s="31">
        <v>0</v>
      </c>
      <c r="F18" s="32">
        <v>0</v>
      </c>
      <c r="G18" s="12">
        <v>2176</v>
      </c>
      <c r="H18" s="33">
        <v>0</v>
      </c>
      <c r="L18" s="28"/>
    </row>
    <row r="19" spans="1:12" s="8" customFormat="1" x14ac:dyDescent="0.25">
      <c r="A19" s="6" t="s">
        <v>27</v>
      </c>
      <c r="B19" s="12">
        <v>1548.4507695258485</v>
      </c>
      <c r="C19" s="12">
        <v>0</v>
      </c>
      <c r="D19" s="12"/>
      <c r="E19" s="31">
        <v>0</v>
      </c>
      <c r="F19" s="32">
        <v>0</v>
      </c>
      <c r="G19" s="12">
        <v>1643</v>
      </c>
      <c r="H19" s="33">
        <v>0</v>
      </c>
      <c r="L19" s="28"/>
    </row>
    <row r="20" spans="1:12" s="8" customFormat="1" x14ac:dyDescent="0.25">
      <c r="A20" s="6" t="s">
        <v>13</v>
      </c>
      <c r="B20" s="12">
        <v>2225.8745959808207</v>
      </c>
      <c r="C20" s="12">
        <v>15.90600912677173</v>
      </c>
      <c r="D20" s="12"/>
      <c r="E20" s="31">
        <v>0</v>
      </c>
      <c r="F20" s="32">
        <v>0</v>
      </c>
      <c r="G20" s="12">
        <v>2580</v>
      </c>
      <c r="H20" s="33">
        <v>4</v>
      </c>
      <c r="L20" s="28"/>
    </row>
    <row r="21" spans="1:12" s="8" customFormat="1" x14ac:dyDescent="0.25">
      <c r="A21" s="6" t="s">
        <v>14</v>
      </c>
      <c r="B21" s="12">
        <v>456.61319352007399</v>
      </c>
      <c r="C21" s="12">
        <v>0</v>
      </c>
      <c r="D21" s="12"/>
      <c r="E21" s="31">
        <v>0</v>
      </c>
      <c r="F21" s="32">
        <v>0</v>
      </c>
      <c r="G21" s="12">
        <v>204</v>
      </c>
      <c r="H21" s="33">
        <v>0</v>
      </c>
      <c r="L21" s="28"/>
    </row>
    <row r="22" spans="1:12" s="34" customFormat="1" x14ac:dyDescent="0.25">
      <c r="A22" s="6" t="s">
        <v>15</v>
      </c>
      <c r="B22" s="12">
        <v>3168.9160392067315</v>
      </c>
      <c r="C22" s="12">
        <v>0</v>
      </c>
      <c r="D22" s="12"/>
      <c r="E22" s="31">
        <v>0</v>
      </c>
      <c r="F22" s="32">
        <v>0</v>
      </c>
      <c r="G22" s="12">
        <v>1063</v>
      </c>
      <c r="H22" s="33">
        <v>0</v>
      </c>
      <c r="J22" s="8"/>
      <c r="L22" s="28"/>
    </row>
    <row r="23" spans="1:12" s="34" customFormat="1" x14ac:dyDescent="0.25">
      <c r="A23" s="6" t="s">
        <v>16</v>
      </c>
      <c r="B23" s="12">
        <v>2211.9974757043533</v>
      </c>
      <c r="C23" s="12">
        <v>8.3905433453578908</v>
      </c>
      <c r="D23" s="12"/>
      <c r="E23" s="31">
        <v>0</v>
      </c>
      <c r="F23" s="32">
        <v>0</v>
      </c>
      <c r="G23" s="12">
        <v>1451</v>
      </c>
      <c r="H23" s="33">
        <v>2</v>
      </c>
      <c r="J23" s="8"/>
      <c r="L23" s="28"/>
    </row>
    <row r="24" spans="1:12" s="34" customFormat="1" x14ac:dyDescent="0.25">
      <c r="A24" s="6" t="s">
        <v>17</v>
      </c>
      <c r="B24" s="12">
        <v>7350.6107479954853</v>
      </c>
      <c r="C24" s="12">
        <v>0</v>
      </c>
      <c r="D24" s="12"/>
      <c r="E24" s="31">
        <v>0</v>
      </c>
      <c r="F24" s="32">
        <v>0</v>
      </c>
      <c r="G24" s="12">
        <v>3869</v>
      </c>
      <c r="H24" s="33">
        <v>0</v>
      </c>
      <c r="J24" s="8"/>
      <c r="L24" s="28"/>
    </row>
    <row r="25" spans="1:12" s="34" customFormat="1" x14ac:dyDescent="0.25">
      <c r="A25" s="6" t="s">
        <v>18</v>
      </c>
      <c r="B25" s="12">
        <v>5487.3687726975468</v>
      </c>
      <c r="C25" s="12">
        <v>20.613352599437317</v>
      </c>
      <c r="D25" s="12"/>
      <c r="E25" s="31">
        <v>0</v>
      </c>
      <c r="F25" s="32">
        <v>0</v>
      </c>
      <c r="G25" s="12">
        <v>1889</v>
      </c>
      <c r="H25" s="33">
        <v>7</v>
      </c>
      <c r="J25" s="8"/>
      <c r="L25" s="28"/>
    </row>
    <row r="26" spans="1:12" s="34" customFormat="1" x14ac:dyDescent="0.25">
      <c r="A26" s="6" t="s">
        <v>19</v>
      </c>
      <c r="B26" s="12">
        <v>8330.2835915668929</v>
      </c>
      <c r="C26" s="12">
        <v>383.08979823729447</v>
      </c>
      <c r="D26" s="12"/>
      <c r="E26" s="31">
        <v>0</v>
      </c>
      <c r="F26" s="32">
        <v>0</v>
      </c>
      <c r="G26" s="12">
        <v>2394</v>
      </c>
      <c r="H26" s="33">
        <v>97</v>
      </c>
      <c r="J26" s="8"/>
      <c r="L26" s="28"/>
    </row>
    <row r="27" spans="1:12" s="34" customFormat="1" x14ac:dyDescent="0.25">
      <c r="A27" s="6" t="s">
        <v>20</v>
      </c>
      <c r="B27" s="12">
        <v>27641.363022801728</v>
      </c>
      <c r="C27" s="12">
        <v>0</v>
      </c>
      <c r="D27" s="12"/>
      <c r="E27" s="31">
        <v>0</v>
      </c>
      <c r="F27" s="32">
        <v>0</v>
      </c>
      <c r="G27" s="12">
        <v>5331</v>
      </c>
      <c r="H27" s="33">
        <v>0</v>
      </c>
      <c r="J27" s="8"/>
      <c r="L27" s="28"/>
    </row>
    <row r="28" spans="1:12" s="34" customFormat="1" x14ac:dyDescent="0.25">
      <c r="A28" s="6" t="s">
        <v>21</v>
      </c>
      <c r="B28" s="12">
        <v>15274.721541318009</v>
      </c>
      <c r="C28" s="12">
        <v>0</v>
      </c>
      <c r="D28" s="12"/>
      <c r="E28" s="31">
        <v>0</v>
      </c>
      <c r="F28" s="32">
        <v>0</v>
      </c>
      <c r="G28" s="12">
        <v>2934</v>
      </c>
      <c r="H28" s="33">
        <v>0</v>
      </c>
      <c r="J28" s="8"/>
      <c r="L28" s="28"/>
    </row>
    <row r="29" spans="1:12" s="34" customFormat="1" x14ac:dyDescent="0.25">
      <c r="A29" s="6" t="s">
        <v>22</v>
      </c>
      <c r="B29" s="12">
        <v>2379.0541660188369</v>
      </c>
      <c r="C29" s="12">
        <v>8.382573604338365</v>
      </c>
      <c r="D29" s="12"/>
      <c r="E29" s="31">
        <v>0</v>
      </c>
      <c r="F29" s="32">
        <v>0</v>
      </c>
      <c r="G29" s="12">
        <v>1379</v>
      </c>
      <c r="H29" s="33">
        <v>13</v>
      </c>
      <c r="J29" s="8"/>
      <c r="L29" s="28"/>
    </row>
    <row r="30" spans="1:12" s="34" customFormat="1" x14ac:dyDescent="0.25">
      <c r="A30" s="7" t="s">
        <v>7</v>
      </c>
      <c r="B30" s="13">
        <v>11121.207167316014</v>
      </c>
      <c r="C30" s="13">
        <v>48.487904362801487</v>
      </c>
      <c r="D30" s="13"/>
      <c r="E30" s="35">
        <v>0</v>
      </c>
      <c r="F30" s="36">
        <v>0</v>
      </c>
      <c r="G30" s="13">
        <v>1658</v>
      </c>
      <c r="H30" s="37">
        <v>88</v>
      </c>
      <c r="J30" s="8"/>
      <c r="L30" s="28"/>
    </row>
    <row r="31" spans="1:12" s="34" customFormat="1" ht="17.25" x14ac:dyDescent="0.45">
      <c r="A31" s="3" t="s">
        <v>23</v>
      </c>
      <c r="B31" s="15"/>
      <c r="C31" s="15"/>
      <c r="D31" s="15"/>
      <c r="E31" s="15"/>
      <c r="F31" s="15"/>
      <c r="G31" s="15"/>
      <c r="H31" s="39" t="s">
        <v>32</v>
      </c>
    </row>
    <row r="32" spans="1:12" s="34" customFormat="1" ht="12" x14ac:dyDescent="0.25">
      <c r="A32" s="3"/>
      <c r="B32" s="15"/>
      <c r="C32" s="15"/>
      <c r="D32" s="15"/>
      <c r="E32" s="15"/>
      <c r="F32" s="15"/>
      <c r="G32" s="15"/>
      <c r="H32" s="38"/>
    </row>
    <row r="33" spans="1:8" s="34" customFormat="1" ht="12" x14ac:dyDescent="0.25">
      <c r="A33" s="3"/>
      <c r="B33" s="15"/>
      <c r="C33" s="15"/>
      <c r="D33" s="15"/>
      <c r="E33" s="15"/>
      <c r="F33" s="15"/>
      <c r="G33" s="15"/>
      <c r="H33" s="38"/>
    </row>
  </sheetData>
  <mergeCells count="6">
    <mergeCell ref="A1:H1"/>
    <mergeCell ref="A2:H2"/>
    <mergeCell ref="A4:A6"/>
    <mergeCell ref="B4:D4"/>
    <mergeCell ref="E4:F4"/>
    <mergeCell ref="G4:H4"/>
  </mergeCells>
  <pageMargins left="0.7" right="0.7" top="0.75" bottom="0.75" header="0.3" footer="0.3"/>
  <pageSetup paperSize="9" scale="71" orientation="portrait" horizontalDpi="4294967295" verticalDpi="4294967295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2023-01-30T03:14:53Z</cp:lastPrinted>
  <dcterms:created xsi:type="dcterms:W3CDTF">2019-09-09T05:11:24Z</dcterms:created>
  <dcterms:modified xsi:type="dcterms:W3CDTF">2023-01-30T03:15:05Z</dcterms:modified>
</cp:coreProperties>
</file>