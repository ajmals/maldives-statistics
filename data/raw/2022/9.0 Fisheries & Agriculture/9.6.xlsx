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E669832A-040F-4360-A59E-3E21B9AFE353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6" sheetId="6" r:id="rId1"/>
  </sheets>
  <definedNames>
    <definedName name="_xlnm.Print_Area" localSheetId="0">'9.6'!$A$1:$T$59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6" l="1"/>
  <c r="S7" i="6" l="1"/>
  <c r="S8" i="6"/>
  <c r="S9" i="6"/>
  <c r="S10" i="6"/>
  <c r="S11" i="6"/>
  <c r="S12" i="6"/>
  <c r="S13" i="6"/>
  <c r="S20" i="6"/>
  <c r="S6" i="6" l="1"/>
  <c r="R7" i="6" l="1"/>
  <c r="R8" i="6"/>
  <c r="R9" i="6"/>
  <c r="R10" i="6"/>
  <c r="R11" i="6"/>
  <c r="R12" i="6"/>
  <c r="R27" i="6"/>
  <c r="R20" i="6"/>
  <c r="R13" i="6"/>
  <c r="R6" i="6" l="1"/>
  <c r="Q7" i="6" l="1"/>
  <c r="Q8" i="6"/>
  <c r="Q9" i="6"/>
  <c r="Q10" i="6"/>
  <c r="Q11" i="6"/>
  <c r="Q12" i="6"/>
  <c r="Q27" i="6"/>
  <c r="Q20" i="6"/>
  <c r="Q13" i="6"/>
  <c r="Q6" i="6" l="1"/>
  <c r="F39" i="6" l="1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P10" i="6"/>
  <c r="O10" i="6"/>
  <c r="N10" i="6"/>
  <c r="M10" i="6"/>
  <c r="L10" i="6"/>
  <c r="K10" i="6"/>
  <c r="J10" i="6"/>
  <c r="I10" i="6"/>
  <c r="H10" i="6"/>
  <c r="G10" i="6"/>
  <c r="P9" i="6"/>
  <c r="O9" i="6"/>
  <c r="N9" i="6"/>
  <c r="M9" i="6"/>
  <c r="L9" i="6"/>
  <c r="K9" i="6"/>
  <c r="J9" i="6"/>
  <c r="I9" i="6"/>
  <c r="H9" i="6"/>
  <c r="G9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P7" i="6"/>
  <c r="O7" i="6"/>
  <c r="O6" i="6" s="1"/>
  <c r="N7" i="6"/>
  <c r="M7" i="6"/>
  <c r="L7" i="6"/>
  <c r="K7" i="6"/>
  <c r="J7" i="6"/>
  <c r="J6" i="6" s="1"/>
  <c r="I7" i="6"/>
  <c r="I6" i="6" s="1"/>
  <c r="H7" i="6"/>
  <c r="H6" i="6" s="1"/>
  <c r="G7" i="6"/>
  <c r="G6" i="6" s="1"/>
  <c r="F7" i="6"/>
  <c r="F6" i="6" s="1"/>
  <c r="E7" i="6"/>
  <c r="D7" i="6"/>
  <c r="D6" i="6" s="1"/>
  <c r="C7" i="6"/>
  <c r="C13" i="6" s="1"/>
  <c r="E6" i="6"/>
  <c r="P6" i="6" l="1"/>
  <c r="N6" i="6"/>
  <c r="L6" i="6"/>
  <c r="K6" i="6"/>
  <c r="M6" i="6"/>
  <c r="C6" i="6"/>
</calcChain>
</file>

<file path=xl/sharedStrings.xml><?xml version="1.0" encoding="utf-8"?>
<sst xmlns="http://schemas.openxmlformats.org/spreadsheetml/2006/main" count="42" uniqueCount="22">
  <si>
    <t>Bigeye tuna</t>
  </si>
  <si>
    <t>(cnunwT ckircTem)</t>
  </si>
  <si>
    <t>Yellowfin tuna</t>
  </si>
  <si>
    <t>(In metric tons)</t>
  </si>
  <si>
    <t>Skipjack</t>
  </si>
  <si>
    <t>-</t>
  </si>
  <si>
    <t>Type of vessel &amp; species</t>
  </si>
  <si>
    <t>All Vessels</t>
  </si>
  <si>
    <t>Albacore</t>
  </si>
  <si>
    <t>Other tuna related species</t>
  </si>
  <si>
    <t>Other Marine Fishes</t>
  </si>
  <si>
    <t>Mechanised Masdhoni</t>
  </si>
  <si>
    <t>Other vessels</t>
  </si>
  <si>
    <t>Longline vessels</t>
  </si>
  <si>
    <t>Sail Masdhoni</t>
  </si>
  <si>
    <t>Vadhu dhoni</t>
  </si>
  <si>
    <t>Rowing Boats</t>
  </si>
  <si>
    <t>EEZ</t>
  </si>
  <si>
    <t>Miscellaneous</t>
  </si>
  <si>
    <t>Source: Ministry of Fisheries, Marine Resources and Agriculture</t>
  </si>
  <si>
    <t>Table 9.6 :  FISH CATCH BY TYPE OF VESSELS AND SPECIES, 2013 - 2021</t>
  </si>
  <si>
    <t>2021 - 2013 ,cswminEb wtwvun ifih cnutog egutwvWb eguhwm iaWncnutog egudnwLua : 9.6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</si>
</sst>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7" formatCode="0.0"/>
    <numFmt numFmtId="169" formatCode="#,##0.0_);[Red]\(#,##0.0\)"/>
    <numFmt numFmtId="170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53">
    <xf numFmtId="0" fontId="0" fillId="0" borderId="0" xfId="0"/>
    <xf numFmtId="164" fontId="2" fillId="2" borderId="0" xfId="2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vertical="center"/>
    </xf>
    <xf numFmtId="164" fontId="9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3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4" fillId="2" borderId="0" xfId="2" applyFont="1" applyFill="1" applyAlignment="1">
      <alignment horizontal="left" vertical="center"/>
    </xf>
    <xf numFmtId="1" fontId="8" fillId="2" borderId="0" xfId="2" applyNumberFormat="1" applyFont="1" applyFill="1" applyAlignment="1">
      <alignment vertical="center"/>
    </xf>
    <xf numFmtId="164" fontId="13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9" fillId="2" borderId="3" xfId="2" applyFont="1" applyFill="1" applyBorder="1" applyAlignment="1">
      <alignment horizontal="left" vertical="center"/>
    </xf>
    <xf numFmtId="164" fontId="9" fillId="2" borderId="3" xfId="2" applyFont="1" applyFill="1" applyBorder="1" applyAlignment="1">
      <alignment horizontal="right" vertical="center"/>
    </xf>
    <xf numFmtId="164" fontId="14" fillId="2" borderId="3" xfId="2" applyFont="1" applyFill="1" applyBorder="1" applyAlignment="1">
      <alignment horizontal="right" vertical="center"/>
    </xf>
    <xf numFmtId="38" fontId="9" fillId="2" borderId="0" xfId="4" applyNumberFormat="1" applyFont="1" applyFill="1" applyAlignment="1" applyProtection="1">
      <alignment horizontal="right" vertical="center"/>
    </xf>
    <xf numFmtId="38" fontId="14" fillId="2" borderId="0" xfId="4" applyNumberFormat="1" applyFont="1" applyFill="1" applyAlignment="1" applyProtection="1">
      <alignment horizontal="right" vertical="center"/>
    </xf>
    <xf numFmtId="38" fontId="14" fillId="2" borderId="0" xfId="3" applyNumberFormat="1" applyFont="1" applyFill="1" applyAlignment="1" applyProtection="1">
      <alignment horizontal="right" vertical="center"/>
    </xf>
    <xf numFmtId="9" fontId="11" fillId="2" borderId="0" xfId="1" applyFont="1" applyFill="1" applyAlignment="1">
      <alignment vertical="center"/>
    </xf>
    <xf numFmtId="0" fontId="14" fillId="2" borderId="0" xfId="0" applyFont="1" applyFill="1" applyAlignment="1">
      <alignment horizontal="left"/>
    </xf>
    <xf numFmtId="164" fontId="9" fillId="2" borderId="2" xfId="2" applyFont="1" applyFill="1" applyBorder="1" applyAlignment="1">
      <alignment horizontal="left" vertical="center"/>
    </xf>
    <xf numFmtId="38" fontId="9" fillId="2" borderId="2" xfId="4" applyNumberFormat="1" applyFont="1" applyFill="1" applyBorder="1" applyAlignment="1" applyProtection="1">
      <alignment horizontal="right" vertical="center"/>
    </xf>
    <xf numFmtId="38" fontId="14" fillId="2" borderId="2" xfId="3" applyNumberFormat="1" applyFont="1" applyFill="1" applyBorder="1" applyAlignment="1" applyProtection="1">
      <alignment horizontal="right" vertical="center"/>
    </xf>
    <xf numFmtId="38" fontId="7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3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vertical="center"/>
    </xf>
    <xf numFmtId="0" fontId="16" fillId="2" borderId="0" xfId="0" applyFont="1" applyFill="1" applyAlignment="1">
      <alignment horizontal="left"/>
    </xf>
    <xf numFmtId="164" fontId="7" fillId="2" borderId="2" xfId="2" applyFont="1" applyFill="1" applyBorder="1" applyAlignment="1">
      <alignment horizontal="left" vertical="center"/>
    </xf>
    <xf numFmtId="38" fontId="7" fillId="2" borderId="2" xfId="4" applyNumberFormat="1" applyFont="1" applyFill="1" applyBorder="1" applyAlignment="1" applyProtection="1">
      <alignment horizontal="right" vertical="center"/>
      <protection locked="0"/>
    </xf>
    <xf numFmtId="38" fontId="16" fillId="2" borderId="2" xfId="4" applyNumberFormat="1" applyFont="1" applyFill="1" applyBorder="1" applyAlignment="1" applyProtection="1">
      <alignment horizontal="right" vertical="center"/>
      <protection locked="0"/>
    </xf>
    <xf numFmtId="38" fontId="16" fillId="2" borderId="2" xfId="3" applyNumberFormat="1" applyFont="1" applyFill="1" applyBorder="1" applyAlignment="1" applyProtection="1">
      <alignment horizontal="right" vertical="center"/>
      <protection locked="0"/>
    </xf>
    <xf numFmtId="38" fontId="9" fillId="2" borderId="0" xfId="4" applyNumberFormat="1" applyFont="1" applyFill="1" applyBorder="1" applyAlignment="1" applyProtection="1">
      <alignment horizontal="right" vertical="center"/>
    </xf>
    <xf numFmtId="38" fontId="16" fillId="2" borderId="0" xfId="4" applyNumberFormat="1" applyFont="1" applyFill="1" applyAlignment="1" applyProtection="1">
      <alignment horizontal="right" vertical="center"/>
    </xf>
    <xf numFmtId="169" fontId="4" fillId="2" borderId="0" xfId="4" applyNumberFormat="1" applyFont="1" applyFill="1" applyAlignment="1" applyProtection="1">
      <alignment horizontal="right" vertical="center"/>
    </xf>
    <xf numFmtId="169" fontId="4" fillId="2" borderId="0" xfId="3" applyNumberFormat="1" applyFont="1" applyFill="1" applyAlignment="1" applyProtection="1">
      <alignment horizontal="right" vertical="center"/>
    </xf>
    <xf numFmtId="38" fontId="7" fillId="2" borderId="1" xfId="4" applyNumberFormat="1" applyFont="1" applyFill="1" applyBorder="1" applyAlignment="1" applyProtection="1">
      <alignment horizontal="right" vertical="center"/>
      <protection locked="0"/>
    </xf>
    <xf numFmtId="38" fontId="16" fillId="2" borderId="1" xfId="4" applyNumberFormat="1" applyFont="1" applyFill="1" applyBorder="1" applyAlignment="1" applyProtection="1">
      <alignment horizontal="right" vertical="center"/>
      <protection locked="0"/>
    </xf>
    <xf numFmtId="164" fontId="18" fillId="2" borderId="0" xfId="2" applyFont="1" applyFill="1" applyAlignment="1">
      <alignment horizontal="left" vertical="center"/>
    </xf>
    <xf numFmtId="164" fontId="7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38" fontId="6" fillId="2" borderId="0" xfId="4" applyNumberFormat="1" applyFont="1" applyFill="1" applyAlignment="1" applyProtection="1">
      <alignment horizontal="right" vertical="center"/>
    </xf>
    <xf numFmtId="164" fontId="14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164" fontId="1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2" xfId="3" xr:uid="{00000000-0005-0000-0000-000002000000}"/>
    <cellStyle name="Comma_Fish &amp;  Agri - 8" xfId="4" xr:uid="{00000000-0005-0000-0000-000003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Fish &amp;  Agri - 8" xfId="2" xr:uid="{00000000-0005-0000-0000-00000A000000}"/>
    <cellStyle name="Percent" xfId="1" builtinId="5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2021</a:t>
            </a:r>
          </a:p>
        </c:rich>
      </c:tx>
      <c:layout>
        <c:manualLayout>
          <c:xMode val="edge"/>
          <c:yMode val="edge"/>
          <c:x val="0.26653168350348005"/>
          <c:y val="4.0782819475183127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3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72519268419857E-2"/>
          <c:y val="0.12948593423709584"/>
          <c:w val="0.88333527228578002"/>
          <c:h val="0.794067492330554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0-1FF1-4EFD-9D1F-8BA242AEDB13}"/>
              </c:ext>
            </c:extLst>
          </c:dPt>
          <c:dPt>
            <c:idx val="1"/>
            <c:bubble3D val="0"/>
            <c:spPr>
              <a:solidFill>
                <a:srgbClr val="FFA7A7"/>
              </a:solidFill>
            </c:spPr>
            <c:extLst>
              <c:ext xmlns:c16="http://schemas.microsoft.com/office/drawing/2014/chart" uri="{C3380CC4-5D6E-409C-BE32-E72D297353CC}">
                <c16:uniqueId val="{00000001-1FF1-4EFD-9D1F-8BA242AEDB1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('9.6'!$A$7:$A$8,'9.6'!$A$12)</c:f>
              <c:strCache>
                <c:ptCount val="3"/>
                <c:pt idx="0">
                  <c:v>Skipjack</c:v>
                </c:pt>
                <c:pt idx="1">
                  <c:v>Yellowfin tuna</c:v>
                </c:pt>
                <c:pt idx="2">
                  <c:v>Other Marine Fishes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'9.6'!$S$7:$S$12</c15:sqref>
                  </c15:fullRef>
                </c:ext>
              </c:extLst>
              <c:f>('9.6'!$S$7:$S$8,'9.6'!$S$12)</c:f>
              <c:numCache>
                <c:formatCode>#,##0_);[Red]\(#,##0\)</c:formatCode>
                <c:ptCount val="3"/>
                <c:pt idx="0">
                  <c:v>118683.30116795225</c:v>
                </c:pt>
                <c:pt idx="1">
                  <c:v>24547.862347577371</c:v>
                </c:pt>
                <c:pt idx="2">
                  <c:v>1451.9744085304569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'9.6'!$S$11</c15:sqref>
                  <c15:spPr xmlns:c15="http://schemas.microsoft.com/office/drawing/2012/chart">
                    <a:solidFill>
                      <a:srgbClr val="FFD5D5"/>
                    </a:solidFill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FFE5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1352315</xdr:colOff>
      <xdr:row>34</xdr:row>
      <xdr:rowOff>147893</xdr:rowOff>
    </xdr:from>
    <xdr:to>
      <xdr:col>18</xdr:col>
      <xdr:colOff>258703</xdr:colOff>
      <xdr:row>58</xdr:row>
      <xdr:rowOff>58797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51"/>
  <sheetViews>
    <sheetView tabSelected="1" zoomScale="95" zoomScaleNormal="95" workbookViewId="0">
      <selection activeCell="V56" sqref="V56"/>
    </sheetView>
  </sheetViews>
  <sheetFormatPr defaultColWidth="8.85546875" defaultRowHeight="12.75" x14ac:dyDescent="0.25"/>
  <cols>
    <col min="1" max="1" width="24.7109375" style="3" customWidth="1"/>
    <col min="2" max="2" width="0" style="3" hidden="1" customWidth="1"/>
    <col min="3" max="6" width="0" style="44" hidden="1" customWidth="1"/>
    <col min="7" max="7" width="12.7109375" style="44" hidden="1" customWidth="1"/>
    <col min="8" max="8" width="13" style="44" hidden="1" customWidth="1"/>
    <col min="9" max="9" width="13.28515625" style="44" hidden="1" customWidth="1"/>
    <col min="10" max="10" width="13" style="44" hidden="1" customWidth="1"/>
    <col min="11" max="18" width="12.7109375" style="44" customWidth="1"/>
    <col min="19" max="19" width="14.42578125" style="3" customWidth="1"/>
    <col min="20" max="23" width="8.85546875" style="3"/>
    <col min="24" max="24" width="22.28515625" style="3" bestFit="1" customWidth="1"/>
    <col min="25" max="16384" width="8.85546875" style="3"/>
  </cols>
  <sheetData>
    <row r="1" spans="1:38" s="8" customFormat="1" ht="18.75" x14ac:dyDescent="0.25">
      <c r="A1" s="49" t="s">
        <v>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s="15" customFormat="1" ht="15.75" x14ac:dyDescent="0.25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9" customFormat="1" ht="15.75" x14ac:dyDescent="0.25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s="11" customFormat="1" ht="12.95" customHeight="1" x14ac:dyDescent="0.25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s="8" customFormat="1" x14ac:dyDescent="0.25">
      <c r="A5" s="16" t="s">
        <v>6</v>
      </c>
      <c r="B5" s="17">
        <v>2001</v>
      </c>
      <c r="C5" s="18">
        <v>2005</v>
      </c>
      <c r="D5" s="18">
        <v>2006</v>
      </c>
      <c r="E5" s="18">
        <v>2007</v>
      </c>
      <c r="F5" s="18">
        <v>2008</v>
      </c>
      <c r="G5" s="18">
        <v>2009</v>
      </c>
      <c r="H5" s="18">
        <v>2010</v>
      </c>
      <c r="I5" s="18">
        <v>2011</v>
      </c>
      <c r="J5" s="18">
        <v>2012</v>
      </c>
      <c r="K5" s="18">
        <v>2013</v>
      </c>
      <c r="L5" s="18">
        <v>2014</v>
      </c>
      <c r="M5" s="18">
        <v>2015</v>
      </c>
      <c r="N5" s="18">
        <v>2016</v>
      </c>
      <c r="O5" s="18">
        <v>2017</v>
      </c>
      <c r="P5" s="18">
        <v>2018</v>
      </c>
      <c r="Q5" s="18">
        <v>2019</v>
      </c>
      <c r="R5" s="18">
        <v>2020</v>
      </c>
      <c r="S5" s="18">
        <v>2021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s="9" customFormat="1" x14ac:dyDescent="0.25">
      <c r="A6" s="4" t="s">
        <v>7</v>
      </c>
      <c r="B6" s="19">
        <v>127183.61479999998</v>
      </c>
      <c r="C6" s="20" t="e">
        <f t="shared" ref="C6:I6" si="0">SUM(C7:C12)</f>
        <v>#REF!</v>
      </c>
      <c r="D6" s="20" t="e">
        <f t="shared" si="0"/>
        <v>#REF!</v>
      </c>
      <c r="E6" s="20" t="e">
        <f t="shared" si="0"/>
        <v>#REF!</v>
      </c>
      <c r="F6" s="20" t="e">
        <f t="shared" si="0"/>
        <v>#REF!</v>
      </c>
      <c r="G6" s="20" t="e">
        <f t="shared" si="0"/>
        <v>#REF!</v>
      </c>
      <c r="H6" s="20" t="e">
        <f t="shared" si="0"/>
        <v>#REF!</v>
      </c>
      <c r="I6" s="20" t="e">
        <f t="shared" si="0"/>
        <v>#REF!</v>
      </c>
      <c r="J6" s="21" t="e">
        <f t="shared" ref="J6:P6" si="1">SUM(J7:J12)</f>
        <v>#REF!</v>
      </c>
      <c r="K6" s="20">
        <f>SUM(K7:K12)</f>
        <v>129843.14697257294</v>
      </c>
      <c r="L6" s="20">
        <f t="shared" si="1"/>
        <v>128683.22700000007</v>
      </c>
      <c r="M6" s="20">
        <f t="shared" si="1"/>
        <v>127351.81848143297</v>
      </c>
      <c r="N6" s="20">
        <f t="shared" si="1"/>
        <v>129190.99510655231</v>
      </c>
      <c r="O6" s="20">
        <f t="shared" si="1"/>
        <v>143159.96433162465</v>
      </c>
      <c r="P6" s="20">
        <f t="shared" si="1"/>
        <v>151024.32375223361</v>
      </c>
      <c r="Q6" s="20">
        <f>SUM(Q7:Q12)</f>
        <v>135068.92557018774</v>
      </c>
      <c r="R6" s="20">
        <f>SUM(R7:R12)</f>
        <v>148582.96918261508</v>
      </c>
      <c r="S6" s="20">
        <f>SUM(S7:S12)</f>
        <v>144992.65539280474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s="9" customFormat="1" x14ac:dyDescent="0.25">
      <c r="A7" s="4" t="s">
        <v>4</v>
      </c>
      <c r="B7" s="19">
        <v>88043.980999999985</v>
      </c>
      <c r="C7" s="21" t="e">
        <f>C14+#REF!+#REF!+#REF!+C28+#REF!+#REF!</f>
        <v>#REF!</v>
      </c>
      <c r="D7" s="21" t="e">
        <f>D14+#REF!+#REF!+#REF!+D28+V28+#REF!</f>
        <v>#REF!</v>
      </c>
      <c r="E7" s="21" t="e">
        <f>E14+#REF!+#REF!+#REF!+E28+W28+#REF!</f>
        <v>#REF!</v>
      </c>
      <c r="F7" s="21" t="e">
        <f>F14+#REF!+#REF!+#REF!+F28+X28+#REF!</f>
        <v>#REF!</v>
      </c>
      <c r="G7" s="21" t="e">
        <f>G14+#REF!+#REF!+#REF!+G28+Y28+#REF!</f>
        <v>#REF!</v>
      </c>
      <c r="H7" s="21" t="e">
        <f>H14+#REF!+#REF!+#REF!+H28+Z28+#REF!</f>
        <v>#REF!</v>
      </c>
      <c r="I7" s="21" t="e">
        <f>I14+#REF!+#REF!+#REF!+I28+AA28+#REF!</f>
        <v>#REF!</v>
      </c>
      <c r="J7" s="21" t="e">
        <f>J14+#REF!+#REF!+#REF!+J28+AB28+#REF!</f>
        <v>#REF!</v>
      </c>
      <c r="K7" s="21">
        <f t="shared" ref="K7:P12" si="2">K14+K21+K28</f>
        <v>74421.630037020906</v>
      </c>
      <c r="L7" s="21">
        <f t="shared" si="2"/>
        <v>68521.958485088442</v>
      </c>
      <c r="M7" s="21">
        <f t="shared" si="2"/>
        <v>69244.324399131321</v>
      </c>
      <c r="N7" s="21">
        <f t="shared" si="2"/>
        <v>69589.480938961424</v>
      </c>
      <c r="O7" s="21">
        <f t="shared" si="2"/>
        <v>89683.148024090726</v>
      </c>
      <c r="P7" s="21">
        <f t="shared" si="2"/>
        <v>100099.48690598567</v>
      </c>
      <c r="Q7" s="21">
        <f t="shared" ref="Q7:R12" si="3">Q14+Q21+Q28</f>
        <v>88019.666239199301</v>
      </c>
      <c r="R7" s="21">
        <f t="shared" si="3"/>
        <v>103870.66972179353</v>
      </c>
      <c r="S7" s="21">
        <f t="shared" ref="S7" si="4">S14+S21+S28</f>
        <v>118683.30116795225</v>
      </c>
      <c r="T7" s="22"/>
      <c r="U7" s="22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 s="9" customFormat="1" x14ac:dyDescent="0.25">
      <c r="A8" s="4" t="s">
        <v>2</v>
      </c>
      <c r="B8" s="19">
        <v>15246.67</v>
      </c>
      <c r="C8" s="21" t="e">
        <f>C15+#REF!+#REF!+#REF!+C29+#REF!+#REF!</f>
        <v>#REF!</v>
      </c>
      <c r="D8" s="21" t="e">
        <f>D15+#REF!+#REF!+#REF!+D29+V29+#REF!</f>
        <v>#REF!</v>
      </c>
      <c r="E8" s="21" t="e">
        <f>E15+#REF!+#REF!+#REF!+E29+W29+#REF!</f>
        <v>#REF!</v>
      </c>
      <c r="F8" s="21" t="e">
        <f>F15+#REF!+#REF!+#REF!+F29+X29+#REF!</f>
        <v>#REF!</v>
      </c>
      <c r="G8" s="21" t="e">
        <f>G15+#REF!+#REF!+#REF!+G29+Y29+#REF!</f>
        <v>#REF!</v>
      </c>
      <c r="H8" s="21" t="e">
        <f>H15+#REF!+#REF!+#REF!+H29+Z29+#REF!</f>
        <v>#REF!</v>
      </c>
      <c r="I8" s="21" t="e">
        <f>I15+#REF!+#REF!+#REF!+I29+AA29+#REF!</f>
        <v>#REF!</v>
      </c>
      <c r="J8" s="21" t="e">
        <f>J15+#REF!+#REF!+#REF!+J29+AB29+#REF!</f>
        <v>#REF!</v>
      </c>
      <c r="K8" s="21">
        <f>K15+K22+K29</f>
        <v>45626.057995683717</v>
      </c>
      <c r="L8" s="21">
        <f t="shared" si="2"/>
        <v>49100.552219018806</v>
      </c>
      <c r="M8" s="21">
        <f t="shared" si="2"/>
        <v>51472.456475638181</v>
      </c>
      <c r="N8" s="21">
        <f t="shared" si="2"/>
        <v>53705.451966179055</v>
      </c>
      <c r="O8" s="21">
        <f t="shared" si="2"/>
        <v>49376.811349197844</v>
      </c>
      <c r="P8" s="21">
        <f t="shared" si="2"/>
        <v>47216.695506999946</v>
      </c>
      <c r="Q8" s="21">
        <f t="shared" si="3"/>
        <v>44423.897166028532</v>
      </c>
      <c r="R8" s="21">
        <f t="shared" si="3"/>
        <v>42704.576500856863</v>
      </c>
      <c r="S8" s="21">
        <f t="shared" ref="S8" si="5">S15+S22+S29</f>
        <v>24547.862347577371</v>
      </c>
      <c r="T8" s="22"/>
      <c r="U8" s="22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s="9" customFormat="1" x14ac:dyDescent="0.25">
      <c r="A9" s="4" t="s">
        <v>0</v>
      </c>
      <c r="B9" s="19"/>
      <c r="C9" s="21"/>
      <c r="D9" s="21"/>
      <c r="E9" s="21"/>
      <c r="F9" s="21"/>
      <c r="G9" s="21" t="e">
        <f>G16+#REF!+#REF!+#REF!+G30+Y30+#REF!</f>
        <v>#REF!</v>
      </c>
      <c r="H9" s="21" t="e">
        <f>H16+#REF!+#REF!+#REF!+H30+Z30+#REF!</f>
        <v>#REF!</v>
      </c>
      <c r="I9" s="21" t="e">
        <f>I16+#REF!+#REF!+#REF!+I30+AA30+#REF!</f>
        <v>#REF!</v>
      </c>
      <c r="J9" s="21" t="e">
        <f>J16+#REF!+#REF!+#REF!+J30+AB30+#REF!</f>
        <v>#REF!</v>
      </c>
      <c r="K9" s="21">
        <f>K16+K23+K30</f>
        <v>1520.3581800000002</v>
      </c>
      <c r="L9" s="21">
        <f t="shared" si="2"/>
        <v>2334.0795325544514</v>
      </c>
      <c r="M9" s="21">
        <f t="shared" si="2"/>
        <v>1828.2678227461424</v>
      </c>
      <c r="N9" s="21">
        <f t="shared" si="2"/>
        <v>2480.0423404201283</v>
      </c>
      <c r="O9" s="21">
        <f t="shared" si="2"/>
        <v>1074.1737564163373</v>
      </c>
      <c r="P9" s="21">
        <f t="shared" si="2"/>
        <v>432.30529269740236</v>
      </c>
      <c r="Q9" s="21">
        <f t="shared" si="3"/>
        <v>395.98115232852712</v>
      </c>
      <c r="R9" s="21">
        <f t="shared" si="3"/>
        <v>212.68961995324838</v>
      </c>
      <c r="S9" s="21">
        <f t="shared" ref="S9" si="6">S16+S23+S30</f>
        <v>224.22526847471417</v>
      </c>
      <c r="T9" s="22"/>
      <c r="U9" s="22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38" s="9" customFormat="1" x14ac:dyDescent="0.2">
      <c r="A10" s="23" t="s">
        <v>8</v>
      </c>
      <c r="B10" s="19"/>
      <c r="C10" s="21"/>
      <c r="D10" s="21"/>
      <c r="E10" s="21"/>
      <c r="F10" s="21"/>
      <c r="G10" s="21" t="e">
        <f>G17+#REF!+#REF!+#REF!+G31+Y31+#REF!</f>
        <v>#REF!</v>
      </c>
      <c r="H10" s="21" t="e">
        <f>H17+#REF!+#REF!+#REF!+H31+Z31+#REF!</f>
        <v>#REF!</v>
      </c>
      <c r="I10" s="21" t="e">
        <f>I17+#REF!+#REF!+#REF!+I31+AA31+#REF!</f>
        <v>#REF!</v>
      </c>
      <c r="J10" s="21" t="e">
        <f>J17+#REF!+#REF!+#REF!+J31+AB31+#REF!</f>
        <v>#REF!</v>
      </c>
      <c r="K10" s="21">
        <f>K17+K24+K31</f>
        <v>0</v>
      </c>
      <c r="L10" s="21">
        <f t="shared" si="2"/>
        <v>0</v>
      </c>
      <c r="M10" s="21">
        <f t="shared" si="2"/>
        <v>1.2469999999999999</v>
      </c>
      <c r="N10" s="21">
        <f t="shared" si="2"/>
        <v>15.290000000000001</v>
      </c>
      <c r="O10" s="21">
        <f t="shared" si="2"/>
        <v>3.4710000000000005</v>
      </c>
      <c r="P10" s="21">
        <f t="shared" si="2"/>
        <v>10.569000000000001</v>
      </c>
      <c r="Q10" s="21">
        <f t="shared" si="3"/>
        <v>4.1649999999999991</v>
      </c>
      <c r="R10" s="21">
        <f t="shared" si="3"/>
        <v>0</v>
      </c>
      <c r="S10" s="21">
        <f t="shared" ref="S10" si="7">S17+S24+S31</f>
        <v>0</v>
      </c>
      <c r="T10" s="22"/>
      <c r="U10" s="22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 s="9" customFormat="1" x14ac:dyDescent="0.25">
      <c r="A11" s="4" t="s">
        <v>9</v>
      </c>
      <c r="B11" s="19">
        <v>6777.5630000000001</v>
      </c>
      <c r="C11" s="21" t="e">
        <f>C18+#REF!+#REF!+#REF!+C32+#REF!+#REF!</f>
        <v>#REF!</v>
      </c>
      <c r="D11" s="21" t="e">
        <f>D18+#REF!+#REF!+#REF!+D32+V32+#REF!</f>
        <v>#REF!</v>
      </c>
      <c r="E11" s="21" t="e">
        <f>E18+#REF!+#REF!+#REF!+E32+W32+#REF!</f>
        <v>#REF!</v>
      </c>
      <c r="F11" s="21" t="e">
        <f>F18+#REF!+#REF!+#REF!+F32+X32+#REF!</f>
        <v>#REF!</v>
      </c>
      <c r="G11" s="21" t="e">
        <f>G18+#REF!+#REF!+#REF!+G32+Y32+#REF!</f>
        <v>#REF!</v>
      </c>
      <c r="H11" s="21" t="e">
        <f>H18+#REF!+#REF!+#REF!+H32+Z32+#REF!</f>
        <v>#REF!</v>
      </c>
      <c r="I11" s="21" t="e">
        <f>I18+#REF!+#REF!+#REF!+I32+AA32+#REF!</f>
        <v>#REF!</v>
      </c>
      <c r="J11" s="21" t="e">
        <f>J18+#REF!+#REF!+#REF!+J32+AB32+#REF!</f>
        <v>#REF!</v>
      </c>
      <c r="K11" s="21">
        <f>K18+K25+K32</f>
        <v>1664.0466762930218</v>
      </c>
      <c r="L11" s="21">
        <f t="shared" si="2"/>
        <v>1590.1763812155898</v>
      </c>
      <c r="M11" s="21">
        <f t="shared" si="2"/>
        <v>388.14185000950374</v>
      </c>
      <c r="N11" s="21">
        <f t="shared" si="2"/>
        <v>184.62584430785094</v>
      </c>
      <c r="O11" s="21">
        <f t="shared" si="2"/>
        <v>528.43389924277017</v>
      </c>
      <c r="P11" s="21">
        <f t="shared" si="2"/>
        <v>439.81229963149298</v>
      </c>
      <c r="Q11" s="21">
        <f t="shared" si="3"/>
        <v>181.98295910647892</v>
      </c>
      <c r="R11" s="21">
        <f t="shared" si="3"/>
        <v>98.424318844106836</v>
      </c>
      <c r="S11" s="21">
        <f t="shared" ref="S11" si="8">S18+S25+S32</f>
        <v>85.292200269940651</v>
      </c>
      <c r="T11" s="22"/>
      <c r="U11" s="22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 s="9" customFormat="1" x14ac:dyDescent="0.25">
      <c r="A12" s="24" t="s">
        <v>10</v>
      </c>
      <c r="B12" s="25">
        <v>17115.400799999999</v>
      </c>
      <c r="C12" s="26" t="e">
        <f>C19+#REF!+#REF!+#REF!+C33+#REF!+#REF!</f>
        <v>#REF!</v>
      </c>
      <c r="D12" s="26" t="e">
        <f>D19+#REF!+#REF!+#REF!+D33+V33+#REF!</f>
        <v>#REF!</v>
      </c>
      <c r="E12" s="26" t="e">
        <f>E19+#REF!+#REF!+#REF!+E33+W33+#REF!</f>
        <v>#REF!</v>
      </c>
      <c r="F12" s="26" t="e">
        <f>F19+#REF!+#REF!+#REF!+F33+X33+#REF!</f>
        <v>#REF!</v>
      </c>
      <c r="G12" s="26" t="e">
        <f>G19+#REF!+#REF!+#REF!+G33+Y33+#REF!</f>
        <v>#REF!</v>
      </c>
      <c r="H12" s="26" t="e">
        <f>H19+#REF!+#REF!+#REF!+H33+Z33+#REF!</f>
        <v>#REF!</v>
      </c>
      <c r="I12" s="26" t="e">
        <f>I19+#REF!+#REF!+#REF!+I33+AA33+#REF!</f>
        <v>#REF!</v>
      </c>
      <c r="J12" s="26" t="e">
        <f>J19+#REF!+#REF!+#REF!+J33+AB33+#REF!</f>
        <v>#REF!</v>
      </c>
      <c r="K12" s="26">
        <f>K19+K26+K33</f>
        <v>6611.0540835753118</v>
      </c>
      <c r="L12" s="26">
        <f t="shared" si="2"/>
        <v>7136.4603821227938</v>
      </c>
      <c r="M12" s="26">
        <f t="shared" si="2"/>
        <v>4417.3809339078243</v>
      </c>
      <c r="N12" s="26">
        <f t="shared" si="2"/>
        <v>3216.1040166838497</v>
      </c>
      <c r="O12" s="26">
        <f t="shared" si="2"/>
        <v>2493.9263026769804</v>
      </c>
      <c r="P12" s="26">
        <f t="shared" si="2"/>
        <v>2825.4547469191102</v>
      </c>
      <c r="Q12" s="26">
        <f t="shared" si="3"/>
        <v>2043.233053524893</v>
      </c>
      <c r="R12" s="26">
        <f t="shared" si="3"/>
        <v>1696.6090211673259</v>
      </c>
      <c r="S12" s="26">
        <f t="shared" ref="S12" si="9">S19+S26+S33</f>
        <v>1451.9744085304569</v>
      </c>
      <c r="T12" s="22"/>
      <c r="U12" s="22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spans="1:38" s="9" customFormat="1" x14ac:dyDescent="0.25">
      <c r="A13" s="4" t="s">
        <v>11</v>
      </c>
      <c r="B13" s="19">
        <v>123441.52179999999</v>
      </c>
      <c r="C13" s="20" t="e">
        <f>SUM(C7:C12)</f>
        <v>#REF!</v>
      </c>
      <c r="D13" s="20">
        <f t="shared" ref="D13:P13" si="10">SUM(D14:D19)</f>
        <v>179098.81922800001</v>
      </c>
      <c r="E13" s="20">
        <f t="shared" si="10"/>
        <v>138531.81159499998</v>
      </c>
      <c r="F13" s="20">
        <f t="shared" si="10"/>
        <v>123326.2542388</v>
      </c>
      <c r="G13" s="20">
        <f t="shared" si="10"/>
        <v>106772.492109</v>
      </c>
      <c r="H13" s="20">
        <f t="shared" si="10"/>
        <v>109453.65800629825</v>
      </c>
      <c r="I13" s="20">
        <f t="shared" si="10"/>
        <v>114902.46807111595</v>
      </c>
      <c r="J13" s="20">
        <f t="shared" si="10"/>
        <v>116940.02259357934</v>
      </c>
      <c r="K13" s="20">
        <f t="shared" si="10"/>
        <v>127749.7519243329</v>
      </c>
      <c r="L13" s="20">
        <f t="shared" si="10"/>
        <v>125719.12905590361</v>
      </c>
      <c r="M13" s="20">
        <f t="shared" si="10"/>
        <v>126033.20197139472</v>
      </c>
      <c r="N13" s="20">
        <f t="shared" si="10"/>
        <v>126998.75543939034</v>
      </c>
      <c r="O13" s="20">
        <f t="shared" si="10"/>
        <v>140592.52760031726</v>
      </c>
      <c r="P13" s="20">
        <f t="shared" si="10"/>
        <v>149483.07983864215</v>
      </c>
      <c r="Q13" s="20">
        <f>SUM(Q14:Q19)</f>
        <v>134369.24852018774</v>
      </c>
      <c r="R13" s="20">
        <f>SUM(R14:R19)</f>
        <v>148465.82010228059</v>
      </c>
      <c r="S13" s="20">
        <f>SUM(S14:S19)</f>
        <v>144506.83681234741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s="9" customFormat="1" x14ac:dyDescent="0.25">
      <c r="A14" s="2" t="s">
        <v>4</v>
      </c>
      <c r="B14" s="27">
        <v>87847.14</v>
      </c>
      <c r="C14" s="28">
        <v>131059.01283817913</v>
      </c>
      <c r="D14" s="28">
        <v>137538.1894</v>
      </c>
      <c r="E14" s="28">
        <v>95867.160529999994</v>
      </c>
      <c r="F14" s="29">
        <v>81988.624779999998</v>
      </c>
      <c r="G14" s="29">
        <v>59828.945319999999</v>
      </c>
      <c r="H14" s="29">
        <v>68277.277675476245</v>
      </c>
      <c r="I14" s="29">
        <v>54422.884471610952</v>
      </c>
      <c r="J14" s="29">
        <v>51815.356512558494</v>
      </c>
      <c r="K14" s="29">
        <v>74320.951139064913</v>
      </c>
      <c r="L14" s="29">
        <v>68264.06166711259</v>
      </c>
      <c r="M14" s="29">
        <v>68993.039348680875</v>
      </c>
      <c r="N14" s="29">
        <v>69296.858985614817</v>
      </c>
      <c r="O14" s="29">
        <v>89674.12634652984</v>
      </c>
      <c r="P14" s="29">
        <v>99948.05043073585</v>
      </c>
      <c r="Q14" s="29">
        <v>88018.208239199303</v>
      </c>
      <c r="R14" s="29">
        <v>103788.1665485936</v>
      </c>
      <c r="S14" s="29">
        <v>118277.83007352566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s="9" customFormat="1" x14ac:dyDescent="0.25">
      <c r="A15" s="2" t="s">
        <v>2</v>
      </c>
      <c r="B15" s="27">
        <v>14539.53</v>
      </c>
      <c r="C15" s="28">
        <v>21460.484190571817</v>
      </c>
      <c r="D15" s="28">
        <v>19627.635699999999</v>
      </c>
      <c r="E15" s="28">
        <v>21449.080109999999</v>
      </c>
      <c r="F15" s="29">
        <v>21301.63421</v>
      </c>
      <c r="G15" s="29">
        <v>18860.525280000002</v>
      </c>
      <c r="H15" s="29">
        <v>16212.205000281998</v>
      </c>
      <c r="I15" s="29">
        <v>33476.492815308986</v>
      </c>
      <c r="J15" s="29">
        <v>44130.616418938866</v>
      </c>
      <c r="K15" s="29">
        <v>45098.605516431489</v>
      </c>
      <c r="L15" s="29">
        <v>48392.262881971219</v>
      </c>
      <c r="M15" s="29">
        <v>50839.521094786913</v>
      </c>
      <c r="N15" s="29">
        <v>52923.722126591507</v>
      </c>
      <c r="O15" s="29">
        <v>48084.267819922592</v>
      </c>
      <c r="P15" s="29">
        <v>46558.076742999947</v>
      </c>
      <c r="Q15" s="29">
        <v>43944.683666028533</v>
      </c>
      <c r="R15" s="29">
        <v>42670.296822357966</v>
      </c>
      <c r="S15" s="29">
        <v>24475.863962238676</v>
      </c>
      <c r="T15" s="6"/>
      <c r="U15" s="6"/>
      <c r="V15" s="6"/>
      <c r="W15" s="6"/>
      <c r="X15" s="4"/>
      <c r="Y15" s="6"/>
      <c r="Z15" s="6"/>
      <c r="AA15" s="6"/>
      <c r="AB15" s="4"/>
      <c r="AC15" s="20"/>
      <c r="AD15" s="30"/>
      <c r="AE15" s="6"/>
      <c r="AF15" s="6"/>
      <c r="AG15" s="6"/>
      <c r="AH15" s="6"/>
      <c r="AI15" s="6"/>
      <c r="AJ15" s="6"/>
      <c r="AK15" s="6"/>
      <c r="AL15" s="6"/>
    </row>
    <row r="16" spans="1:38" s="9" customFormat="1" x14ac:dyDescent="0.25">
      <c r="A16" s="2" t="s">
        <v>0</v>
      </c>
      <c r="B16" s="27"/>
      <c r="C16" s="28"/>
      <c r="D16" s="28"/>
      <c r="E16" s="28"/>
      <c r="F16" s="29"/>
      <c r="G16" s="29">
        <v>0</v>
      </c>
      <c r="H16" s="29">
        <v>0</v>
      </c>
      <c r="I16" s="29">
        <v>0</v>
      </c>
      <c r="J16" s="29">
        <v>0</v>
      </c>
      <c r="K16" s="29">
        <v>461.89524</v>
      </c>
      <c r="L16" s="29">
        <v>832.08553255445054</v>
      </c>
      <c r="M16" s="29">
        <v>1597.0517227461426</v>
      </c>
      <c r="N16" s="29">
        <v>1850.7364661923034</v>
      </c>
      <c r="O16" s="29">
        <v>382.19979641633751</v>
      </c>
      <c r="P16" s="29">
        <v>267.71670285126027</v>
      </c>
      <c r="Q16" s="29">
        <v>312.38460232852714</v>
      </c>
      <c r="R16" s="29">
        <v>212.323391317589</v>
      </c>
      <c r="S16" s="29">
        <v>215.95905308926089</v>
      </c>
      <c r="T16" s="6"/>
      <c r="U16" s="6"/>
      <c r="V16" s="6"/>
      <c r="W16" s="6"/>
      <c r="X16" s="4"/>
      <c r="Y16" s="6"/>
      <c r="Z16" s="6"/>
      <c r="AA16" s="6"/>
      <c r="AB16" s="4"/>
      <c r="AC16" s="20"/>
      <c r="AD16" s="30"/>
      <c r="AE16" s="6"/>
      <c r="AF16" s="6"/>
      <c r="AG16" s="6"/>
      <c r="AH16" s="6"/>
      <c r="AI16" s="6"/>
      <c r="AJ16" s="6"/>
      <c r="AK16" s="6"/>
      <c r="AL16" s="6"/>
    </row>
    <row r="17" spans="1:38" s="9" customFormat="1" x14ac:dyDescent="0.2">
      <c r="A17" s="31" t="s">
        <v>8</v>
      </c>
      <c r="B17" s="27"/>
      <c r="C17" s="28"/>
      <c r="D17" s="28"/>
      <c r="E17" s="28"/>
      <c r="F17" s="29"/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6"/>
      <c r="U17" s="6"/>
      <c r="V17" s="6"/>
      <c r="W17" s="6"/>
      <c r="X17" s="4"/>
      <c r="Y17" s="6"/>
      <c r="Z17" s="6"/>
      <c r="AA17" s="6"/>
      <c r="AB17" s="4"/>
      <c r="AC17" s="20"/>
      <c r="AD17" s="30"/>
      <c r="AE17" s="6"/>
      <c r="AF17" s="6"/>
      <c r="AG17" s="6"/>
      <c r="AH17" s="6"/>
      <c r="AI17" s="6"/>
      <c r="AJ17" s="6"/>
      <c r="AK17" s="6"/>
      <c r="AL17" s="6"/>
    </row>
    <row r="18" spans="1:38" s="9" customFormat="1" x14ac:dyDescent="0.25">
      <c r="A18" s="2" t="s">
        <v>9</v>
      </c>
      <c r="B18" s="27">
        <v>6485.2039999999997</v>
      </c>
      <c r="C18" s="28">
        <v>8093.4694342817056</v>
      </c>
      <c r="D18" s="28">
        <v>5580.3521579999997</v>
      </c>
      <c r="E18" s="28">
        <v>6842.8306849999999</v>
      </c>
      <c r="F18" s="29">
        <v>6333.590475</v>
      </c>
      <c r="G18" s="29">
        <v>8375.7986290000008</v>
      </c>
      <c r="H18" s="29">
        <v>6891.0496869969984</v>
      </c>
      <c r="I18" s="29">
        <v>4864.9074575819986</v>
      </c>
      <c r="J18" s="29">
        <v>2458.4200803633976</v>
      </c>
      <c r="K18" s="29">
        <v>1633.567275997812</v>
      </c>
      <c r="L18" s="29">
        <v>1578.9184695880226</v>
      </c>
      <c r="M18" s="29">
        <v>382.14671124456078</v>
      </c>
      <c r="N18" s="29">
        <v>184.62584430785094</v>
      </c>
      <c r="O18" s="29">
        <v>528.43389924277017</v>
      </c>
      <c r="P18" s="29">
        <v>420.82297649699524</v>
      </c>
      <c r="Q18" s="29">
        <v>181.98295910647892</v>
      </c>
      <c r="R18" s="29">
        <v>98.424318844106836</v>
      </c>
      <c r="S18" s="29">
        <v>85.289012373532842</v>
      </c>
      <c r="T18" s="6"/>
      <c r="U18" s="6"/>
      <c r="V18" s="6"/>
      <c r="W18" s="6"/>
      <c r="X18" s="4"/>
      <c r="Y18" s="6"/>
      <c r="Z18" s="6"/>
      <c r="AA18" s="6"/>
      <c r="AB18" s="4"/>
      <c r="AC18" s="20"/>
      <c r="AD18" s="30"/>
      <c r="AE18" s="6"/>
      <c r="AF18" s="6"/>
      <c r="AG18" s="6"/>
      <c r="AH18" s="6"/>
      <c r="AI18" s="6"/>
      <c r="AJ18" s="6"/>
      <c r="AK18" s="6"/>
      <c r="AL18" s="6"/>
    </row>
    <row r="19" spans="1:38" s="9" customFormat="1" x14ac:dyDescent="0.25">
      <c r="A19" s="32" t="s">
        <v>10</v>
      </c>
      <c r="B19" s="33">
        <v>14569.647799999999</v>
      </c>
      <c r="C19" s="34">
        <v>19358.525576055014</v>
      </c>
      <c r="D19" s="34">
        <v>16352.641970000001</v>
      </c>
      <c r="E19" s="34">
        <v>14372.74027</v>
      </c>
      <c r="F19" s="35">
        <v>13702.404773800001</v>
      </c>
      <c r="G19" s="35">
        <v>19707.222880000001</v>
      </c>
      <c r="H19" s="35">
        <v>18073.125643543015</v>
      </c>
      <c r="I19" s="35">
        <v>22138.183326613998</v>
      </c>
      <c r="J19" s="35">
        <v>18535.629581718593</v>
      </c>
      <c r="K19" s="35">
        <v>6234.7327528386877</v>
      </c>
      <c r="L19" s="35">
        <v>6651.8005046773324</v>
      </c>
      <c r="M19" s="35">
        <v>4221.4430939362337</v>
      </c>
      <c r="N19" s="35">
        <v>2742.8120166838498</v>
      </c>
      <c r="O19" s="35">
        <v>1923.4997382057331</v>
      </c>
      <c r="P19" s="35">
        <v>2288.4129855580886</v>
      </c>
      <c r="Q19" s="35">
        <v>1911.9890535248931</v>
      </c>
      <c r="R19" s="35">
        <v>1696.6090211673259</v>
      </c>
      <c r="S19" s="35">
        <v>1451.8947111202617</v>
      </c>
      <c r="T19" s="6"/>
      <c r="U19" s="6"/>
      <c r="V19" s="6"/>
      <c r="W19" s="6"/>
      <c r="X19" s="4"/>
      <c r="Y19" s="6"/>
      <c r="Z19" s="6"/>
      <c r="AA19" s="6"/>
      <c r="AB19" s="4"/>
      <c r="AC19" s="20"/>
      <c r="AD19" s="30"/>
      <c r="AE19" s="6"/>
      <c r="AF19" s="6"/>
      <c r="AG19" s="6"/>
      <c r="AH19" s="6"/>
      <c r="AI19" s="6"/>
      <c r="AJ19" s="6"/>
      <c r="AK19" s="6"/>
      <c r="AL19" s="6"/>
    </row>
    <row r="20" spans="1:38" s="9" customFormat="1" x14ac:dyDescent="0.25">
      <c r="A20" s="4" t="s">
        <v>12</v>
      </c>
      <c r="B20" s="19">
        <v>429.96600000000001</v>
      </c>
      <c r="C20" s="20">
        <f>SUM(C21:C26)</f>
        <v>58.925099017143246</v>
      </c>
      <c r="D20" s="20">
        <f t="shared" ref="D20:P20" si="11">SUM(D21:D26)</f>
        <v>69.595798700000003</v>
      </c>
      <c r="E20" s="20">
        <f t="shared" si="11"/>
        <v>231.71674548999999</v>
      </c>
      <c r="F20" s="20">
        <f t="shared" si="11"/>
        <v>5911.7731307599997</v>
      </c>
      <c r="G20" s="20">
        <f t="shared" si="11"/>
        <v>7132.3696824999997</v>
      </c>
      <c r="H20" s="20">
        <f t="shared" si="11"/>
        <v>5020.7373510580001</v>
      </c>
      <c r="I20" s="20">
        <f t="shared" si="11"/>
        <v>2404.4193284139997</v>
      </c>
      <c r="J20" s="20">
        <f t="shared" si="11"/>
        <v>1005.9614987606687</v>
      </c>
      <c r="K20" s="20">
        <f t="shared" si="11"/>
        <v>492.97239824004771</v>
      </c>
      <c r="L20" s="20">
        <f t="shared" si="11"/>
        <v>840.85994409647162</v>
      </c>
      <c r="M20" s="20">
        <f t="shared" si="11"/>
        <v>834.73882003824372</v>
      </c>
      <c r="N20" s="20">
        <f t="shared" si="11"/>
        <v>350.24466716197429</v>
      </c>
      <c r="O20" s="20">
        <f t="shared" si="11"/>
        <v>31.751651307386688</v>
      </c>
      <c r="P20" s="20">
        <f t="shared" si="11"/>
        <v>195.73893359147394</v>
      </c>
      <c r="Q20" s="20">
        <f>SUM(Q21:Q26)</f>
        <v>0</v>
      </c>
      <c r="R20" s="20">
        <f>SUM(R21:R26)</f>
        <v>117.14908033448833</v>
      </c>
      <c r="S20" s="20">
        <f>SUM(S21:S26)</f>
        <v>485.81858045732497</v>
      </c>
      <c r="T20" s="6"/>
      <c r="U20" s="6"/>
      <c r="V20" s="6"/>
      <c r="W20" s="6"/>
      <c r="X20" s="4"/>
      <c r="Y20" s="6"/>
      <c r="Z20" s="6"/>
      <c r="AA20" s="6"/>
      <c r="AB20" s="4"/>
      <c r="AC20" s="20"/>
      <c r="AD20" s="30"/>
      <c r="AE20" s="6"/>
      <c r="AF20" s="6"/>
      <c r="AG20" s="6"/>
      <c r="AH20" s="6"/>
      <c r="AI20" s="6"/>
      <c r="AJ20" s="6"/>
      <c r="AK20" s="6"/>
      <c r="AL20" s="6"/>
    </row>
    <row r="21" spans="1:38" s="9" customFormat="1" x14ac:dyDescent="0.25">
      <c r="A21" s="2" t="s">
        <v>4</v>
      </c>
      <c r="B21" s="27">
        <v>157.41200000000001</v>
      </c>
      <c r="C21" s="28">
        <v>28.089599071979521</v>
      </c>
      <c r="D21" s="28">
        <v>31.27739871</v>
      </c>
      <c r="E21" s="28">
        <v>174.49349509999999</v>
      </c>
      <c r="F21" s="29">
        <v>4254.2962399999997</v>
      </c>
      <c r="G21" s="29">
        <v>5966.0160379999998</v>
      </c>
      <c r="H21" s="29">
        <v>4546.45069642</v>
      </c>
      <c r="I21" s="29">
        <v>1956.0335058009998</v>
      </c>
      <c r="J21" s="29">
        <v>905.66866325578246</v>
      </c>
      <c r="K21" s="29">
        <v>74.834397955989857</v>
      </c>
      <c r="L21" s="29">
        <v>257.56381797585459</v>
      </c>
      <c r="M21" s="29">
        <v>250.95905045044441</v>
      </c>
      <c r="N21" s="29">
        <v>290.20995334660569</v>
      </c>
      <c r="O21" s="29">
        <v>7.8696775608898752</v>
      </c>
      <c r="P21" s="29">
        <v>147.77947524981249</v>
      </c>
      <c r="Q21" s="29">
        <v>0</v>
      </c>
      <c r="R21" s="29">
        <v>82.503173199933457</v>
      </c>
      <c r="S21" s="29">
        <v>405.47109442657546</v>
      </c>
      <c r="T21" s="6"/>
      <c r="U21" s="6"/>
      <c r="V21" s="6"/>
      <c r="W21" s="6"/>
      <c r="X21" s="4"/>
      <c r="Y21" s="6"/>
      <c r="Z21" s="6"/>
      <c r="AA21" s="6"/>
      <c r="AB21" s="4"/>
      <c r="AC21" s="20"/>
      <c r="AD21" s="30"/>
      <c r="AE21" s="6"/>
      <c r="AF21" s="6"/>
      <c r="AG21" s="6"/>
      <c r="AH21" s="6"/>
      <c r="AI21" s="6"/>
      <c r="AJ21" s="6"/>
      <c r="AK21" s="6"/>
      <c r="AL21" s="6"/>
    </row>
    <row r="22" spans="1:38" s="9" customFormat="1" x14ac:dyDescent="0.25">
      <c r="A22" s="2" t="s">
        <v>2</v>
      </c>
      <c r="B22" s="27">
        <v>24.353000000000002</v>
      </c>
      <c r="C22" s="28">
        <v>8.6059995746612543</v>
      </c>
      <c r="D22" s="28">
        <v>13.64219952</v>
      </c>
      <c r="E22" s="28">
        <v>20.61539952</v>
      </c>
      <c r="F22" s="29">
        <v>1286.2701850000001</v>
      </c>
      <c r="G22" s="29">
        <v>657.33698560000005</v>
      </c>
      <c r="H22" s="29">
        <v>279.00243961700028</v>
      </c>
      <c r="I22" s="29">
        <v>393.20454459599989</v>
      </c>
      <c r="J22" s="29">
        <v>85.784520867374269</v>
      </c>
      <c r="K22" s="29">
        <v>283.11389925222397</v>
      </c>
      <c r="L22" s="29">
        <v>515.8723370475883</v>
      </c>
      <c r="M22" s="29">
        <v>520.86879085126566</v>
      </c>
      <c r="N22" s="29">
        <v>54.944839587543285</v>
      </c>
      <c r="O22" s="29">
        <v>23.359729275249677</v>
      </c>
      <c r="P22" s="29">
        <v>24.767424000000002</v>
      </c>
      <c r="Q22" s="29">
        <v>0</v>
      </c>
      <c r="R22" s="29">
        <v>34.279678498895493</v>
      </c>
      <c r="S22" s="29">
        <v>71.998385338693126</v>
      </c>
      <c r="T22" s="6"/>
      <c r="U22" s="6"/>
      <c r="V22" s="6"/>
      <c r="W22" s="6"/>
      <c r="X22" s="4"/>
      <c r="Y22" s="6"/>
      <c r="Z22" s="6"/>
      <c r="AA22" s="6"/>
      <c r="AB22" s="4"/>
      <c r="AC22" s="20"/>
      <c r="AD22" s="30"/>
      <c r="AE22" s="6"/>
      <c r="AF22" s="6"/>
      <c r="AG22" s="6"/>
      <c r="AH22" s="6"/>
      <c r="AI22" s="6"/>
      <c r="AJ22" s="6"/>
      <c r="AK22" s="6"/>
      <c r="AL22" s="6"/>
    </row>
    <row r="23" spans="1:38" s="9" customFormat="1" x14ac:dyDescent="0.25">
      <c r="A23" s="2" t="s">
        <v>0</v>
      </c>
      <c r="B23" s="27"/>
      <c r="C23" s="28"/>
      <c r="D23" s="28"/>
      <c r="E23" s="28"/>
      <c r="F23" s="29"/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5.089874227825316</v>
      </c>
      <c r="O23" s="29">
        <v>0</v>
      </c>
      <c r="P23" s="29">
        <v>0.64744984614212131</v>
      </c>
      <c r="Q23" s="29">
        <v>0</v>
      </c>
      <c r="R23" s="29">
        <v>0.36622863565938402</v>
      </c>
      <c r="S23" s="29">
        <v>8.2662153854532718</v>
      </c>
      <c r="T23" s="6"/>
      <c r="U23" s="6"/>
      <c r="V23" s="6"/>
      <c r="W23" s="6"/>
      <c r="X23" s="4"/>
      <c r="Y23" s="6"/>
      <c r="Z23" s="6"/>
      <c r="AA23" s="6"/>
      <c r="AB23" s="4"/>
      <c r="AC23" s="20"/>
      <c r="AD23" s="30"/>
      <c r="AE23" s="6"/>
      <c r="AF23" s="6"/>
      <c r="AG23" s="6"/>
      <c r="AH23" s="6"/>
      <c r="AI23" s="6"/>
      <c r="AJ23" s="6"/>
      <c r="AK23" s="6"/>
      <c r="AL23" s="6"/>
    </row>
    <row r="24" spans="1:38" s="9" customFormat="1" x14ac:dyDescent="0.2">
      <c r="A24" s="31" t="s">
        <v>8</v>
      </c>
      <c r="B24" s="27"/>
      <c r="C24" s="28"/>
      <c r="D24" s="28"/>
      <c r="E24" s="28"/>
      <c r="F24" s="29"/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6"/>
      <c r="U24" s="6"/>
      <c r="V24" s="6"/>
      <c r="W24" s="6"/>
      <c r="X24" s="4"/>
      <c r="Y24" s="6"/>
      <c r="Z24" s="6"/>
      <c r="AA24" s="6"/>
      <c r="AB24" s="4"/>
      <c r="AC24" s="20"/>
      <c r="AD24" s="30"/>
      <c r="AE24" s="6"/>
      <c r="AF24" s="6"/>
      <c r="AG24" s="6"/>
      <c r="AH24" s="6"/>
      <c r="AI24" s="6"/>
      <c r="AJ24" s="6"/>
      <c r="AK24" s="6"/>
      <c r="AL24" s="6"/>
    </row>
    <row r="25" spans="1:38" s="9" customFormat="1" x14ac:dyDescent="0.25">
      <c r="A25" s="2" t="s">
        <v>9</v>
      </c>
      <c r="B25" s="27">
        <v>89.188999999999993</v>
      </c>
      <c r="C25" s="28">
        <v>14.053500182628632</v>
      </c>
      <c r="D25" s="28">
        <v>10.215200210000001</v>
      </c>
      <c r="E25" s="28">
        <v>23.694000679999998</v>
      </c>
      <c r="F25" s="29">
        <v>156.36760495999999</v>
      </c>
      <c r="G25" s="29">
        <v>237.0726071</v>
      </c>
      <c r="H25" s="29">
        <v>84.076735112000009</v>
      </c>
      <c r="I25" s="29">
        <v>15.668938939</v>
      </c>
      <c r="J25" s="29">
        <v>1.793792020538612</v>
      </c>
      <c r="K25" s="29">
        <v>28.987400295209881</v>
      </c>
      <c r="L25" s="29">
        <v>11.257911627567223</v>
      </c>
      <c r="M25" s="29">
        <v>5.9951387649429648</v>
      </c>
      <c r="N25" s="29">
        <v>0</v>
      </c>
      <c r="O25" s="29">
        <v>0</v>
      </c>
      <c r="P25" s="29">
        <v>18.989323134497742</v>
      </c>
      <c r="Q25" s="29">
        <v>0</v>
      </c>
      <c r="R25" s="29">
        <v>0</v>
      </c>
      <c r="S25" s="29">
        <v>3.1878964078107487E-3</v>
      </c>
      <c r="T25" s="6"/>
      <c r="U25" s="6"/>
      <c r="V25" s="6"/>
      <c r="W25" s="6"/>
      <c r="X25" s="4"/>
      <c r="Y25" s="6"/>
      <c r="Z25" s="6"/>
      <c r="AA25" s="6"/>
      <c r="AB25" s="4"/>
      <c r="AC25" s="20"/>
      <c r="AD25" s="30"/>
      <c r="AE25" s="6"/>
      <c r="AF25" s="6"/>
      <c r="AG25" s="6"/>
      <c r="AH25" s="6"/>
      <c r="AI25" s="6"/>
      <c r="AJ25" s="6"/>
      <c r="AK25" s="6"/>
      <c r="AL25" s="6"/>
    </row>
    <row r="26" spans="1:38" s="9" customFormat="1" x14ac:dyDescent="0.25">
      <c r="A26" s="32" t="s">
        <v>10</v>
      </c>
      <c r="B26" s="33">
        <v>159.012</v>
      </c>
      <c r="C26" s="34">
        <v>8.1760001878738393</v>
      </c>
      <c r="D26" s="34">
        <v>14.46100026</v>
      </c>
      <c r="E26" s="34">
        <v>12.91385019</v>
      </c>
      <c r="F26" s="35">
        <v>214.83910080000001</v>
      </c>
      <c r="G26" s="35">
        <v>271.94405180000001</v>
      </c>
      <c r="H26" s="35">
        <v>111.207479909</v>
      </c>
      <c r="I26" s="35">
        <v>39.512339077999989</v>
      </c>
      <c r="J26" s="35">
        <v>12.714522616973507</v>
      </c>
      <c r="K26" s="35">
        <v>106.03670073662398</v>
      </c>
      <c r="L26" s="35">
        <v>56.165877445461554</v>
      </c>
      <c r="M26" s="35">
        <v>56.915839971590572</v>
      </c>
      <c r="N26" s="35">
        <v>0</v>
      </c>
      <c r="O26" s="35">
        <v>0.5222444712471328</v>
      </c>
      <c r="P26" s="35">
        <v>3.5552613610215893</v>
      </c>
      <c r="Q26" s="35">
        <v>0</v>
      </c>
      <c r="R26" s="35">
        <v>0</v>
      </c>
      <c r="S26" s="35">
        <v>7.9697410195268714E-2</v>
      </c>
      <c r="T26" s="6"/>
      <c r="U26" s="6"/>
      <c r="V26" s="6"/>
      <c r="W26" s="6"/>
      <c r="X26" s="4"/>
      <c r="Y26" s="6"/>
      <c r="Z26" s="6"/>
      <c r="AA26" s="6"/>
      <c r="AB26" s="4"/>
      <c r="AC26" s="20"/>
      <c r="AD26" s="30"/>
      <c r="AE26" s="6"/>
      <c r="AF26" s="6"/>
      <c r="AG26" s="6"/>
      <c r="AH26" s="6"/>
      <c r="AI26" s="6"/>
      <c r="AJ26" s="6"/>
      <c r="AK26" s="6"/>
      <c r="AL26" s="6"/>
    </row>
    <row r="27" spans="1:38" s="9" customFormat="1" x14ac:dyDescent="0.25">
      <c r="A27" s="4" t="s">
        <v>13</v>
      </c>
      <c r="B27" s="19">
        <v>2212.69</v>
      </c>
      <c r="C27" s="20">
        <f t="shared" ref="C27:N27" si="12">SUM(C28:C33)</f>
        <v>3011.2780008999998</v>
      </c>
      <c r="D27" s="20">
        <f t="shared" si="12"/>
        <v>3177.06800204</v>
      </c>
      <c r="E27" s="20">
        <f t="shared" si="12"/>
        <v>3047.8236006000002</v>
      </c>
      <c r="F27" s="20">
        <f t="shared" si="12"/>
        <v>1349.825001405</v>
      </c>
      <c r="G27" s="20">
        <f t="shared" si="12"/>
        <v>1337.8850005019999</v>
      </c>
      <c r="H27" s="20">
        <f t="shared" si="12"/>
        <v>0</v>
      </c>
      <c r="I27" s="20">
        <f t="shared" si="12"/>
        <v>0</v>
      </c>
      <c r="J27" s="20">
        <f t="shared" si="12"/>
        <v>134.74387105900715</v>
      </c>
      <c r="K27" s="20">
        <f t="shared" si="12"/>
        <v>1600.4226500000002</v>
      </c>
      <c r="L27" s="20">
        <f t="shared" si="12"/>
        <v>2123.2380000000007</v>
      </c>
      <c r="M27" s="20">
        <f t="shared" si="12"/>
        <v>483.87768999999992</v>
      </c>
      <c r="N27" s="20">
        <f t="shared" si="12"/>
        <v>1841.9949999999999</v>
      </c>
      <c r="O27" s="20">
        <f>SUM(O28:O33)</f>
        <v>2535.6850800000002</v>
      </c>
      <c r="P27" s="20">
        <f>SUM(P28:P33)</f>
        <v>1345.5049800000002</v>
      </c>
      <c r="Q27" s="20">
        <f>SUM(Q28:Q33)</f>
        <v>699.67705000000001</v>
      </c>
      <c r="R27" s="20">
        <f>SUM(R28:R33)</f>
        <v>0</v>
      </c>
      <c r="S27" s="20">
        <f>SUM(S28:S33)</f>
        <v>0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s="9" customFormat="1" x14ac:dyDescent="0.25">
      <c r="A28" s="2" t="s">
        <v>4</v>
      </c>
      <c r="B28" s="36" t="s">
        <v>5</v>
      </c>
      <c r="C28" s="37">
        <v>0.2</v>
      </c>
      <c r="D28" s="37">
        <v>0.2</v>
      </c>
      <c r="E28" s="37">
        <v>0</v>
      </c>
      <c r="F28" s="37">
        <v>9.9000001000000004E-2</v>
      </c>
      <c r="G28" s="37">
        <v>1.597</v>
      </c>
      <c r="H28" s="37">
        <v>0</v>
      </c>
      <c r="I28" s="37">
        <v>0</v>
      </c>
      <c r="J28" s="37">
        <v>0</v>
      </c>
      <c r="K28" s="37">
        <v>25.8445</v>
      </c>
      <c r="L28" s="37">
        <v>0.33300000000000007</v>
      </c>
      <c r="M28" s="37">
        <v>0.32600000000000001</v>
      </c>
      <c r="N28" s="37">
        <v>2.4120000000000004</v>
      </c>
      <c r="O28" s="37">
        <v>1.1520000000000001</v>
      </c>
      <c r="P28" s="37">
        <v>3.657</v>
      </c>
      <c r="Q28" s="37">
        <v>1.458</v>
      </c>
      <c r="R28" s="37">
        <v>0</v>
      </c>
      <c r="S28" s="37">
        <v>0</v>
      </c>
      <c r="T28" s="38"/>
      <c r="U28" s="38"/>
      <c r="V28" s="38"/>
      <c r="W28" s="38"/>
      <c r="X28" s="39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s="9" customFormat="1" x14ac:dyDescent="0.25">
      <c r="A29" s="2" t="s">
        <v>2</v>
      </c>
      <c r="B29" s="27">
        <v>667.65800000000002</v>
      </c>
      <c r="C29" s="28">
        <v>2860.9250010000001</v>
      </c>
      <c r="D29" s="28">
        <v>3083.443002</v>
      </c>
      <c r="E29" s="28">
        <v>2792.3116</v>
      </c>
      <c r="F29" s="28">
        <v>1080.7790010000001</v>
      </c>
      <c r="G29" s="28">
        <v>1095.0540000000001</v>
      </c>
      <c r="H29" s="28">
        <v>0</v>
      </c>
      <c r="I29" s="28">
        <v>0</v>
      </c>
      <c r="J29" s="28">
        <v>113.2043318935259</v>
      </c>
      <c r="K29" s="28">
        <v>244.33858000000012</v>
      </c>
      <c r="L29" s="28">
        <v>192.41699999999997</v>
      </c>
      <c r="M29" s="28">
        <v>112.06659000000001</v>
      </c>
      <c r="N29" s="28">
        <v>726.78499999999997</v>
      </c>
      <c r="O29" s="28">
        <v>1269.1838000000002</v>
      </c>
      <c r="P29" s="28">
        <v>633.85134000000016</v>
      </c>
      <c r="Q29" s="28">
        <v>479.21350000000007</v>
      </c>
      <c r="R29" s="28">
        <v>0</v>
      </c>
      <c r="S29" s="28">
        <v>0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s="9" customFormat="1" x14ac:dyDescent="0.25">
      <c r="A30" s="2" t="s">
        <v>0</v>
      </c>
      <c r="B30" s="27"/>
      <c r="C30" s="28"/>
      <c r="D30" s="28"/>
      <c r="E30" s="28"/>
      <c r="F30" s="28"/>
      <c r="G30" s="28">
        <v>0</v>
      </c>
      <c r="H30" s="28">
        <v>0</v>
      </c>
      <c r="I30" s="28">
        <v>0</v>
      </c>
      <c r="J30" s="28">
        <v>0</v>
      </c>
      <c r="K30" s="28">
        <v>1058.4629400000001</v>
      </c>
      <c r="L30" s="28">
        <v>1501.9940000000006</v>
      </c>
      <c r="M30" s="28">
        <v>231.21609999999993</v>
      </c>
      <c r="N30" s="28">
        <v>624.21599999999989</v>
      </c>
      <c r="O30" s="28">
        <v>691.97395999999981</v>
      </c>
      <c r="P30" s="28">
        <v>163.94113999999999</v>
      </c>
      <c r="Q30" s="28">
        <v>83.596549999999993</v>
      </c>
      <c r="R30" s="28">
        <v>0</v>
      </c>
      <c r="S30" s="28">
        <v>0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s="9" customFormat="1" x14ac:dyDescent="0.2">
      <c r="A31" s="31" t="s">
        <v>8</v>
      </c>
      <c r="B31" s="27"/>
      <c r="C31" s="28"/>
      <c r="D31" s="28"/>
      <c r="E31" s="28"/>
      <c r="F31" s="28"/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1.2469999999999999</v>
      </c>
      <c r="N31" s="28">
        <v>15.290000000000001</v>
      </c>
      <c r="O31" s="28">
        <v>3.4710000000000005</v>
      </c>
      <c r="P31" s="28">
        <v>10.569000000000001</v>
      </c>
      <c r="Q31" s="28">
        <v>4.1649999999999991</v>
      </c>
      <c r="R31" s="28">
        <v>0</v>
      </c>
      <c r="S31" s="28">
        <v>0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s="9" customFormat="1" x14ac:dyDescent="0.25">
      <c r="A32" s="2" t="s">
        <v>9</v>
      </c>
      <c r="B32" s="27"/>
      <c r="C32" s="28">
        <v>0</v>
      </c>
      <c r="D32" s="28">
        <v>0</v>
      </c>
      <c r="E32" s="28">
        <v>0</v>
      </c>
      <c r="F32" s="28">
        <v>0.15200000399999999</v>
      </c>
      <c r="G32" s="28">
        <v>8.9000001999999995E-2</v>
      </c>
      <c r="H32" s="28">
        <v>0</v>
      </c>
      <c r="I32" s="28">
        <v>0</v>
      </c>
      <c r="J32" s="28">
        <v>0</v>
      </c>
      <c r="K32" s="28">
        <v>1.4919999999999998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s="9" customFormat="1" x14ac:dyDescent="0.25">
      <c r="A33" s="5" t="s">
        <v>10</v>
      </c>
      <c r="B33" s="40">
        <v>1545.0320000000002</v>
      </c>
      <c r="C33" s="41">
        <v>150.1529999</v>
      </c>
      <c r="D33" s="41">
        <v>93.42500004</v>
      </c>
      <c r="E33" s="41">
        <v>255.51200059999999</v>
      </c>
      <c r="F33" s="41">
        <v>268.79500039999999</v>
      </c>
      <c r="G33" s="41">
        <v>241.14500050000001</v>
      </c>
      <c r="H33" s="41">
        <v>0</v>
      </c>
      <c r="I33" s="41">
        <v>0</v>
      </c>
      <c r="J33" s="41">
        <v>21.539539165481248</v>
      </c>
      <c r="K33" s="41">
        <v>270.28463000000005</v>
      </c>
      <c r="L33" s="41">
        <v>428.49399999999997</v>
      </c>
      <c r="M33" s="41">
        <v>139.02200000000002</v>
      </c>
      <c r="N33" s="41">
        <v>473.29199999999992</v>
      </c>
      <c r="O33" s="41">
        <v>569.90431999999998</v>
      </c>
      <c r="P33" s="41">
        <v>533.48649999999998</v>
      </c>
      <c r="Q33" s="41">
        <v>131.24399999999997</v>
      </c>
      <c r="R33" s="41">
        <v>0</v>
      </c>
      <c r="S33" s="41">
        <v>0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19.5" customHeight="1" x14ac:dyDescent="0.25">
      <c r="A34" s="7" t="s">
        <v>19</v>
      </c>
      <c r="B34" s="7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</row>
    <row r="35" spans="1:38" x14ac:dyDescent="0.25">
      <c r="A35" s="43"/>
      <c r="B35" s="43"/>
    </row>
    <row r="36" spans="1:38" x14ac:dyDescent="0.25">
      <c r="A36" s="43"/>
      <c r="B36" s="43"/>
    </row>
    <row r="37" spans="1:38" x14ac:dyDescent="0.25">
      <c r="A37" s="43"/>
      <c r="B37" s="43"/>
    </row>
    <row r="39" spans="1:38" s="9" customFormat="1" x14ac:dyDescent="0.25">
      <c r="B39" s="45">
        <v>127183.61479999998</v>
      </c>
      <c r="C39" s="20"/>
      <c r="D39" s="20"/>
      <c r="E39" s="12" t="s">
        <v>7</v>
      </c>
      <c r="F39" s="20">
        <f>SUM(F40:F45)</f>
        <v>120000.92939572007</v>
      </c>
      <c r="G39" s="20"/>
      <c r="H39" s="20"/>
      <c r="I39" s="20"/>
      <c r="J39" s="46"/>
      <c r="K39" s="46"/>
      <c r="L39" s="46"/>
      <c r="M39" s="46"/>
      <c r="N39" s="46"/>
      <c r="O39" s="46"/>
      <c r="P39" s="46"/>
      <c r="Q39" s="46"/>
      <c r="R39" s="4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38" s="9" customFormat="1" x14ac:dyDescent="0.25">
      <c r="B40" s="45">
        <v>123441.52179999999</v>
      </c>
      <c r="C40" s="20"/>
      <c r="D40" s="20"/>
      <c r="E40" s="12" t="s">
        <v>11</v>
      </c>
      <c r="F40" s="20">
        <v>116940.02259357934</v>
      </c>
      <c r="G40" s="20"/>
      <c r="H40" s="20"/>
      <c r="I40" s="20"/>
      <c r="J40" s="46"/>
      <c r="K40" s="46"/>
      <c r="L40" s="46"/>
      <c r="M40" s="46"/>
      <c r="N40" s="46"/>
      <c r="O40" s="46"/>
      <c r="P40" s="46"/>
      <c r="Q40" s="46"/>
      <c r="R40" s="46"/>
      <c r="S40" s="6"/>
      <c r="T40" s="6"/>
      <c r="U40" s="6"/>
      <c r="V40" s="6"/>
      <c r="W40" s="6"/>
      <c r="Y40" s="4"/>
      <c r="Z40" s="47"/>
      <c r="AA40" s="20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38" s="9" customFormat="1" ht="15" x14ac:dyDescent="0.25">
      <c r="B41" s="45">
        <v>429.96600000000001</v>
      </c>
      <c r="C41" s="20"/>
      <c r="D41" s="20"/>
      <c r="E41" s="12" t="s">
        <v>14</v>
      </c>
      <c r="F41" s="20">
        <v>1005.9614987606687</v>
      </c>
      <c r="G41" s="20"/>
      <c r="H41" s="20"/>
      <c r="I41" s="20"/>
      <c r="J41" s="46"/>
      <c r="K41" s="46"/>
      <c r="L41" s="46"/>
      <c r="M41" s="46"/>
      <c r="N41" s="46"/>
      <c r="O41" s="46"/>
      <c r="P41" s="46"/>
      <c r="Q41" s="46"/>
      <c r="R41" s="46"/>
      <c r="S41" s="6"/>
      <c r="T41" s="6"/>
      <c r="U41" s="6"/>
      <c r="V41" s="6"/>
      <c r="W41" s="6"/>
      <c r="Y41" s="4"/>
      <c r="Z41" s="48"/>
      <c r="AA41" s="21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 s="9" customFormat="1" x14ac:dyDescent="0.25">
      <c r="B42" s="45">
        <v>494.35300000000001</v>
      </c>
      <c r="C42" s="20"/>
      <c r="D42" s="20"/>
      <c r="E42" s="12" t="s">
        <v>15</v>
      </c>
      <c r="F42" s="20">
        <v>677.87643155977037</v>
      </c>
      <c r="G42" s="20"/>
      <c r="H42" s="20"/>
      <c r="I42" s="20"/>
      <c r="J42" s="46"/>
      <c r="K42" s="46"/>
      <c r="L42" s="46"/>
      <c r="M42" s="46"/>
      <c r="N42" s="46"/>
      <c r="O42" s="46"/>
      <c r="P42" s="46"/>
      <c r="Q42" s="46"/>
      <c r="R42" s="46"/>
      <c r="S42" s="6"/>
      <c r="T42" s="6"/>
      <c r="U42" s="6"/>
      <c r="V42" s="6"/>
      <c r="W42" s="6"/>
      <c r="Y42" s="4"/>
      <c r="Z42" s="47"/>
      <c r="AA42" s="21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s="9" customFormat="1" x14ac:dyDescent="0.25">
      <c r="B43" s="45">
        <v>73.063000000000002</v>
      </c>
      <c r="C43" s="20"/>
      <c r="D43" s="20"/>
      <c r="E43" s="12" t="s">
        <v>16</v>
      </c>
      <c r="F43" s="20">
        <v>1060.6535379842462</v>
      </c>
      <c r="G43" s="20"/>
      <c r="H43" s="20"/>
      <c r="I43" s="20"/>
      <c r="J43" s="46"/>
      <c r="K43" s="46"/>
      <c r="L43" s="46"/>
      <c r="M43" s="46"/>
      <c r="N43" s="46"/>
      <c r="O43" s="46"/>
      <c r="P43" s="46"/>
      <c r="Q43" s="46"/>
      <c r="R43" s="46"/>
      <c r="S43" s="6"/>
      <c r="T43" s="6"/>
      <c r="U43" s="6"/>
      <c r="V43" s="6"/>
      <c r="W43" s="6"/>
      <c r="Y43" s="4"/>
      <c r="Z43" s="47"/>
      <c r="AA43" s="21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38" s="9" customFormat="1" x14ac:dyDescent="0.25">
      <c r="B44" s="45">
        <v>2212.69</v>
      </c>
      <c r="C44" s="20"/>
      <c r="D44" s="20"/>
      <c r="E44" s="12" t="s">
        <v>17</v>
      </c>
      <c r="F44" s="20">
        <v>134.74387105900715</v>
      </c>
      <c r="G44" s="20"/>
      <c r="H44" s="20"/>
      <c r="I44" s="20"/>
      <c r="J44" s="46"/>
      <c r="K44" s="46"/>
      <c r="L44" s="46"/>
      <c r="M44" s="46"/>
      <c r="N44" s="46"/>
      <c r="O44" s="46"/>
      <c r="P44" s="46"/>
      <c r="Q44" s="46"/>
      <c r="R44" s="46"/>
      <c r="S44" s="6"/>
      <c r="T44" s="6"/>
      <c r="U44" s="6"/>
      <c r="V44" s="6"/>
      <c r="W44" s="6"/>
      <c r="Y44" s="4"/>
      <c r="Z44" s="47"/>
      <c r="AA44" s="21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 s="9" customFormat="1" x14ac:dyDescent="0.25">
      <c r="B45" s="45">
        <v>532.16600000000005</v>
      </c>
      <c r="C45" s="20"/>
      <c r="D45" s="20"/>
      <c r="E45" s="12" t="s">
        <v>18</v>
      </c>
      <c r="F45" s="20">
        <v>181.67146277704833</v>
      </c>
      <c r="G45" s="20"/>
      <c r="H45" s="20"/>
      <c r="I45" s="20"/>
      <c r="J45" s="46"/>
      <c r="K45" s="46"/>
      <c r="L45" s="46"/>
      <c r="M45" s="46"/>
      <c r="N45" s="46"/>
      <c r="O45" s="46"/>
      <c r="P45" s="46"/>
      <c r="Q45" s="46"/>
      <c r="R45" s="46"/>
      <c r="S45" s="6"/>
      <c r="T45" s="6"/>
      <c r="U45" s="6"/>
      <c r="V45" s="6"/>
      <c r="W45" s="6"/>
      <c r="Z45" s="47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38" x14ac:dyDescent="0.25">
      <c r="Y46" s="4"/>
      <c r="Z46" s="13"/>
      <c r="AA46" s="20"/>
    </row>
    <row r="47" spans="1:38" x14ac:dyDescent="0.25">
      <c r="Y47" s="4"/>
      <c r="Z47" s="13"/>
      <c r="AA47" s="6"/>
    </row>
    <row r="48" spans="1:38" x14ac:dyDescent="0.25">
      <c r="Y48" s="4"/>
      <c r="Z48" s="13"/>
      <c r="AA48" s="6"/>
    </row>
    <row r="49" spans="25:27" x14ac:dyDescent="0.25">
      <c r="Y49" s="4"/>
      <c r="Z49" s="13"/>
      <c r="AA49" s="6"/>
    </row>
    <row r="50" spans="25:27" x14ac:dyDescent="0.25">
      <c r="Y50" s="4"/>
      <c r="Z50" s="13"/>
      <c r="AA50" s="6"/>
    </row>
    <row r="51" spans="25:27" x14ac:dyDescent="0.25">
      <c r="Y51" s="4"/>
      <c r="Z51" s="13"/>
      <c r="AA51" s="6"/>
    </row>
  </sheetData>
  <mergeCells count="4">
    <mergeCell ref="A4:S4"/>
    <mergeCell ref="A2:S2"/>
    <mergeCell ref="A1:S1"/>
    <mergeCell ref="A3:S3"/>
  </mergeCells>
  <pageMargins left="0.7" right="0.7" top="0.75" bottom="0.75" header="0.3" footer="0.3"/>
  <pageSetup paperSize="9" scale="58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2023-01-30T03:09:34Z</cp:lastPrinted>
  <dcterms:created xsi:type="dcterms:W3CDTF">2019-09-09T05:11:24Z</dcterms:created>
  <dcterms:modified xsi:type="dcterms:W3CDTF">2023-01-30T03:09:45Z</dcterms:modified>
</cp:coreProperties>
</file>