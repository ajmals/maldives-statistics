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FE800CF4-3805-443B-98B2-BBB44DE681CB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8" sheetId="7" r:id="rId1"/>
  </sheets>
  <definedNames>
    <definedName name="_xlnm.Print_Area" localSheetId="0">'5.8'!$A$1:$M$81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7" l="1"/>
  <c r="D56" i="7"/>
  <c r="C56" i="7"/>
  <c r="D53" i="7"/>
  <c r="C51" i="7"/>
  <c r="D50" i="7"/>
  <c r="F48" i="7"/>
  <c r="D47" i="7"/>
  <c r="F46" i="7"/>
  <c r="C47" i="7"/>
  <c r="J47" i="7"/>
  <c r="C48" i="7"/>
  <c r="C49" i="7"/>
  <c r="F49" i="7"/>
  <c r="C50" i="7"/>
  <c r="J50" i="7"/>
  <c r="D51" i="7"/>
  <c r="F51" i="7"/>
  <c r="J51" i="7"/>
  <c r="C52" i="7"/>
  <c r="C53" i="7"/>
  <c r="J53" i="7"/>
  <c r="C54" i="7"/>
  <c r="F54" i="7"/>
  <c r="C55" i="7"/>
  <c r="F55" i="7"/>
  <c r="F56" i="7"/>
  <c r="J56" i="7"/>
  <c r="C57" i="7"/>
  <c r="D57" i="7"/>
  <c r="F57" i="7"/>
  <c r="J57" i="7"/>
  <c r="C58" i="7"/>
  <c r="C59" i="7"/>
  <c r="J59" i="7"/>
  <c r="C60" i="7"/>
  <c r="F60" i="7"/>
  <c r="J46" i="7"/>
  <c r="C46" i="7"/>
  <c r="B51" i="7" l="1"/>
  <c r="J52" i="7"/>
  <c r="J58" i="7"/>
  <c r="B57" i="7"/>
  <c r="F50" i="7"/>
  <c r="B50" i="7" s="1"/>
  <c r="D52" i="7"/>
  <c r="D58" i="7"/>
  <c r="D48" i="7"/>
  <c r="D54" i="7"/>
  <c r="D60" i="7"/>
  <c r="D49" i="7"/>
  <c r="D55" i="7"/>
  <c r="J60" i="7"/>
  <c r="B60" i="7" s="1"/>
  <c r="J54" i="7"/>
  <c r="B54" i="7" s="1"/>
  <c r="J48" i="7"/>
  <c r="B48" i="7" s="1"/>
  <c r="F59" i="7"/>
  <c r="B59" i="7" s="1"/>
  <c r="F53" i="7"/>
  <c r="B53" i="7" s="1"/>
  <c r="F47" i="7"/>
  <c r="B47" i="7" s="1"/>
  <c r="J55" i="7"/>
  <c r="B55" i="7" s="1"/>
  <c r="J49" i="7"/>
  <c r="B49" i="7" s="1"/>
  <c r="D46" i="7"/>
  <c r="F58" i="7"/>
  <c r="B58" i="7" s="1"/>
  <c r="F52" i="7"/>
  <c r="B56" i="7"/>
  <c r="B46" i="7"/>
  <c r="B52" i="7" l="1"/>
  <c r="C45" i="7" l="1"/>
  <c r="D45" i="7"/>
  <c r="F45" i="7"/>
  <c r="J45" i="7"/>
  <c r="B45" i="7" l="1"/>
  <c r="J42" i="7" l="1"/>
  <c r="J43" i="7"/>
  <c r="J44" i="7"/>
  <c r="C41" i="7"/>
  <c r="D41" i="7"/>
  <c r="F41" i="7"/>
  <c r="C42" i="7"/>
  <c r="D42" i="7"/>
  <c r="F42" i="7"/>
  <c r="C43" i="7"/>
  <c r="D43" i="7"/>
  <c r="F43" i="7"/>
  <c r="C44" i="7"/>
  <c r="D44" i="7"/>
  <c r="F44" i="7"/>
  <c r="B43" i="7" l="1"/>
  <c r="B42" i="7"/>
  <c r="B44" i="7"/>
  <c r="G8" i="7" l="1"/>
  <c r="AC68" i="7" s="1"/>
  <c r="L8" i="7" l="1"/>
  <c r="AD69" i="7" s="1"/>
  <c r="K8" i="7"/>
  <c r="AC69" i="7" s="1"/>
  <c r="H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B41" i="7" s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F8" i="7" l="1"/>
  <c r="AB68" i="7" s="1"/>
  <c r="AD68" i="7"/>
  <c r="B39" i="7"/>
  <c r="B23" i="7"/>
  <c r="B15" i="7"/>
  <c r="B35" i="7"/>
  <c r="B19" i="7"/>
  <c r="B29" i="7"/>
  <c r="B36" i="7"/>
  <c r="B28" i="7"/>
  <c r="B20" i="7"/>
  <c r="B27" i="7"/>
  <c r="B11" i="7"/>
  <c r="B34" i="7"/>
  <c r="B26" i="7"/>
  <c r="B18" i="7"/>
  <c r="B10" i="7"/>
  <c r="B38" i="7"/>
  <c r="B30" i="7"/>
  <c r="B22" i="7"/>
  <c r="B14" i="7"/>
  <c r="B21" i="7"/>
  <c r="B12" i="7"/>
  <c r="B31" i="7"/>
  <c r="B37" i="7"/>
  <c r="B13" i="7"/>
  <c r="J8" i="7"/>
  <c r="D8" i="7"/>
  <c r="C8" i="7"/>
  <c r="B33" i="7"/>
  <c r="B25" i="7"/>
  <c r="B17" i="7"/>
  <c r="B9" i="7"/>
  <c r="B40" i="7"/>
  <c r="B32" i="7"/>
  <c r="B24" i="7"/>
  <c r="B16" i="7"/>
  <c r="B8" i="7" l="1"/>
  <c r="AB69" i="7"/>
</calcChain>
</file>

<file path=xl/sharedStrings.xml><?xml version="1.0" encoding="utf-8"?>
<sst xmlns="http://schemas.openxmlformats.org/spreadsheetml/2006/main" count="86" uniqueCount="67">
  <si>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</si>
  <si>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</si>
  <si>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</si>
  <si>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</si>
  <si>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</si>
  <si>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</si>
  <si>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</si>
  <si>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</si>
  <si>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</si>
  <si>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</si>
  <si>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</si>
  <si>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</si>
  <si>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</si>
  <si>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</si>
  <si>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</si>
  <si>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</si>
  <si>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</si>
  <si>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</si>
  <si>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</si>
  <si>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</si>
  <si>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</si>
  <si>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</si>
  <si>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</si>
  <si>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</si>
  <si>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</si>
  <si>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</si>
  <si>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</si>
  <si>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</si>
  <si>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</si>
  <si>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</si>
  <si>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</si>
  <si>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</si>
  <si>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</si>
  <si>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</si>
  <si>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</si>
  <si>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</si>
  <si>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</si>
  <si>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</si>
  <si>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</si>
  <si>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</si>
  <si>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</si>
  <si>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</si>
  <si>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Occupation</t>
  </si>
  <si>
    <t>Locals</t>
  </si>
  <si>
    <t>Foreigners</t>
  </si>
  <si>
    <t>VAAIZ</t>
  </si>
  <si>
    <t>GENERAL MEDICAL DOCTORS</t>
  </si>
  <si>
    <t>SPECIALIST MEDICAL PRACTITIONER</t>
  </si>
  <si>
    <t>PSYCHOLOGISTS</t>
  </si>
  <si>
    <t>FOREIGN SERVICE</t>
  </si>
  <si>
    <t xml:space="preserve"> </t>
  </si>
  <si>
    <t>Table 5.8: CIVIL SERVANTS CLASSIFIED BY OCCUPATION, NATIONALITY AND SEX, 2021</t>
  </si>
  <si>
    <t>ތާވަލު 5.8: އަދާކުރާ ވަޒީފާގެ ގޮތުން ދިވެހިންނާއި އަދި ބިދޭސީ ސިވިލް ސަރވަންޓުން ބެހިފައިވާ ގޮތް އަދި ޖިންސް، 2021</t>
  </si>
  <si>
    <t>Chief Excecutive, Utility Regulatory Authority</t>
  </si>
  <si>
    <t>COUNCIL OFFICERS</t>
  </si>
  <si>
    <t>EDUCATION DEVELOPMENT OFFICERS</t>
  </si>
  <si>
    <t>ELEMENTARY OCCUPATIONS (IMMIGRATION SECTOR) (TRANSPORT SERVICE ASSISTANTS)</t>
  </si>
  <si>
    <t>ELEMENTARY OCCUPATIONS (IMMIGRATION SECTOR)(SUPPORT SERVICE ASSISTANTS)</t>
  </si>
  <si>
    <t>FINANCE AND ACCOUNTING</t>
  </si>
  <si>
    <t>Foreign Service (Administration)</t>
  </si>
  <si>
    <t>Foreign Service (Core Function)</t>
  </si>
  <si>
    <t>Foreign Service (Corporate Function-Technical)</t>
  </si>
  <si>
    <t>FINANCE MINISTRY - TECHNICAL</t>
  </si>
  <si>
    <t>FINANCE MINISTRY- ADMINISTRATIVE</t>
  </si>
  <si>
    <t>LABOUR RELATIONS AUTHORITY (TECHNICAL)</t>
  </si>
  <si>
    <t>METEOROLOGICAL DIRECTORS (METEOROLOGY)</t>
  </si>
  <si>
    <t>MEDICAL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</si>
</sst>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-* #,##0\ _ރ_._-;_-* #,##0\ _ރ_.\-;_-* &quot;-&quot;??\ _ރ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</cellStyleXfs>
  <cellXfs count="29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right" vertical="center" readingOrder="2"/>
    </xf>
    <xf numFmtId="165" fontId="5" fillId="2" borderId="2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3" fontId="7" fillId="2" borderId="2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165" fontId="5" fillId="2" borderId="1" xfId="1" applyNumberFormat="1" applyFont="1" applyFill="1" applyBorder="1" applyAlignment="1">
      <alignment horizontal="center" vertical="center"/>
    </xf>
    <xf numFmtId="3" fontId="0" fillId="2" borderId="2" xfId="0" applyNumberFormat="1" applyFill="1" applyBorder="1"/>
    <xf numFmtId="3" fontId="5" fillId="2" borderId="1" xfId="1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3" fontId="14" fillId="3" borderId="0" xfId="0" applyNumberFormat="1" applyFont="1" applyFill="1" applyAlignment="1">
      <alignment horizontal="right" vertical="center"/>
    </xf>
    <xf numFmtId="0" fontId="13" fillId="3" borderId="3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5" fillId="2" borderId="4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8">
    <cellStyle name="1" xfId="7" xr:uid="{00000000-0005-0000-0000-000000000000}"/>
    <cellStyle name="Comma" xfId="1" builtinId="3"/>
    <cellStyle name="Comma 3" xfId="5" xr:uid="{00000000-0005-0000-0000-000002000000}"/>
    <cellStyle name="Normal" xfId="0" builtinId="0"/>
    <cellStyle name="Normal 11" xfId="6" xr:uid="{00000000-0005-0000-0000-000004000000}"/>
    <cellStyle name="Normal 2" xfId="2" xr:uid="{00000000-0005-0000-0000-000005000000}"/>
    <cellStyle name="Normal 4" xfId="3" xr:uid="{00000000-0005-0000-0000-000006000000}"/>
    <cellStyle name="Normal 5" xfId="4" xr:uid="{00000000-0005-0000-0000-000007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5.10: Number of civil servants by nationality and sex,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90825378671238E-2"/>
          <c:y val="0.14029312331592886"/>
          <c:w val="0.90522500329916866"/>
          <c:h val="0.77176001954706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'5.8'!$AC$67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ABAB"/>
            </a:solidFill>
            <a:ln>
              <a:noFill/>
            </a:ln>
            <a:effectLst/>
          </c:spPr>
          <c:invertIfNegative val="0"/>
          <c:cat>
            <c:strRef>
              <c:f>'5.8'!$AA$68:$AA$69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'5.8'!$AC$68:$AC$69</c:f>
              <c:numCache>
                <c:formatCode>#,##0</c:formatCode>
                <c:ptCount val="2"/>
                <c:pt idx="0">
                  <c:v>9053</c:v>
                </c:pt>
                <c:pt idx="1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2-493F-9C89-D0791A6263CE}"/>
            </c:ext>
          </c:extLst>
        </c:ser>
        <c:ser>
          <c:idx val="2"/>
          <c:order val="2"/>
          <c:tx>
            <c:strRef>
              <c:f>'5.8'!$AD$67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'5.8'!$AA$68:$AA$69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'5.8'!$AD$68:$AD$69</c:f>
              <c:numCache>
                <c:formatCode>#,##0</c:formatCode>
                <c:ptCount val="2"/>
                <c:pt idx="0">
                  <c:v>16631</c:v>
                </c:pt>
                <c:pt idx="1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2-493F-9C89-D0791A626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2"/>
        <c:axId val="485850072"/>
        <c:axId val="485850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'5.8'!$AB$67</c15:sqref>
                        </c15:formulaRef>
                      </c:ext>
                    </c:extLst>
                    <c:strCache>
                      <c:ptCount val="1"/>
                      <c:pt idx="0">
                        <c:v>Both Sexes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'5.8'!$AA$68:$AA$69</c15:sqref>
                        </c15:formulaRef>
                      </c:ext>
                    </c:extLst>
                    <c:strCache>
                      <c:ptCount val="2"/>
                      <c:pt idx="0">
                        <c:v>Locals</c:v>
                      </c:pt>
                      <c:pt idx="1">
                        <c:v>Foreigners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'5.8'!$AB$68:$AB$69</c15:sqref>
                        </c15:formulaRef>
                      </c:ext>
                    </c:extLst>
                    <c:numCache>
                      <c:formatCode>#,##0</c:formatCode>
                      <c:ptCount val="2"/>
                      <c:pt idx="0">
                        <c:v>25684</c:v>
                      </c:pt>
                      <c:pt idx="1">
                        <c:v>1150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8A2-493F-9C89-D0791A6263CE}"/>
                  </c:ext>
                </c:extLst>
              </c15:ser>
            </c15:filteredBarSeries>
          </c:ext>
        </c:extLst>
      </c:barChart>
      <c:catAx>
        <c:axId val="48585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0464"/>
        <c:crosses val="autoZero"/>
        <c:auto val="1"/>
        <c:lblAlgn val="ctr"/>
        <c:lblOffset val="100"/>
        <c:noMultiLvlLbl val="0"/>
      </c:catAx>
      <c:valAx>
        <c:axId val="485850464"/>
        <c:scaling>
          <c:orientation val="minMax"/>
          <c:max val="18000"/>
        </c:scaling>
        <c:delete val="0"/>
        <c:axPos val="l"/>
        <c:majorGridlines>
          <c:spPr>
            <a:ln w="9525" cap="flat" cmpd="sng" algn="ctr">
              <a:solidFill>
                <a:srgbClr val="FFDDDD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0072"/>
        <c:crosses val="autoZero"/>
        <c:crossBetween val="between"/>
      </c:valAx>
      <c:spPr>
        <a:solidFill>
          <a:srgbClr val="FFEFEF"/>
        </a:solidFill>
        <a:ln>
          <a:solidFill>
            <a:srgbClr val="FFDDDD"/>
          </a:solidFill>
        </a:ln>
        <a:effectLst/>
      </c:spPr>
    </c:plotArea>
    <c:legend>
      <c:legendPos val="b"/>
      <c:layout>
        <c:manualLayout>
          <c:xMode val="edge"/>
          <c:yMode val="edge"/>
          <c:x val="0.68437631050308656"/>
          <c:y val="0.24397129703895354"/>
          <c:w val="0.19363172480534904"/>
          <c:h val="7.583371362554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1390650</xdr:colOff>
      <xdr:row>62</xdr:row>
      <xdr:rowOff>14286</xdr:rowOff>
    </xdr:from>
    <xdr:to>
      <xdr:col>10</xdr:col>
      <xdr:colOff>419100</xdr:colOff>
      <xdr:row>79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AF74"/>
  <sheetViews>
    <sheetView tabSelected="1" zoomScaleNormal="100" zoomScaleSheetLayoutView="87" workbookViewId="0">
      <selection activeCell="R67" sqref="R67"/>
    </sheetView>
  </sheetViews>
  <sheetFormatPr defaultRowHeight="15" x14ac:dyDescent="0.25"/>
  <cols>
    <col min="1" max="1" width="48" style="1" bestFit="1" customWidth="1"/>
    <col min="2" max="2" width="10.28515625" style="1" customWidth="1"/>
    <col min="3" max="4" width="9.140625" style="1"/>
    <col min="5" max="5" width="2" style="1" customWidth="1"/>
    <col min="6" max="8" width="9.140625" style="1"/>
    <col min="9" max="9" width="1.7109375" style="1" customWidth="1"/>
    <col min="10" max="12" width="9.140625" style="1"/>
    <col min="13" max="13" width="3.140625" style="1" customWidth="1"/>
    <col min="14" max="16384" width="9.140625" style="1"/>
  </cols>
  <sheetData>
    <row r="2" spans="1:32" ht="21" x14ac:dyDescent="0.55000000000000004">
      <c r="A2" s="23" t="s">
        <v>52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32" x14ac:dyDescent="0.25">
      <c r="A3" s="24" t="s">
        <v>51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5" spans="1:32" x14ac:dyDescent="0.25">
      <c r="A5" s="26" t="s">
        <v>42</v>
      </c>
      <c r="B5" s="25" t="s">
        <v>6</v>
      </c>
      <c r="C5" s="25"/>
      <c r="D5" s="25"/>
      <c r="E5" s="10"/>
      <c r="F5" s="25" t="s">
        <v>43</v>
      </c>
      <c r="G5" s="25"/>
      <c r="H5" s="25"/>
      <c r="I5" s="10"/>
      <c r="J5" s="25" t="s">
        <v>44</v>
      </c>
      <c r="K5" s="25"/>
      <c r="L5" s="25"/>
    </row>
    <row r="6" spans="1:32" ht="18.75" x14ac:dyDescent="0.25">
      <c r="A6" s="27"/>
      <c r="B6" s="2" t="s">
        <v>0</v>
      </c>
      <c r="C6" s="2" t="s">
        <v>1</v>
      </c>
      <c r="D6" s="2" t="s">
        <v>2</v>
      </c>
      <c r="E6" s="2"/>
      <c r="F6" s="2" t="s">
        <v>0</v>
      </c>
      <c r="G6" s="2" t="s">
        <v>1</v>
      </c>
      <c r="H6" s="2" t="s">
        <v>2</v>
      </c>
      <c r="I6" s="2"/>
      <c r="J6" s="2" t="s">
        <v>0</v>
      </c>
      <c r="K6" s="2" t="s">
        <v>1</v>
      </c>
      <c r="L6" s="2" t="s">
        <v>2</v>
      </c>
    </row>
    <row r="7" spans="1:32" x14ac:dyDescent="0.25">
      <c r="A7" s="28"/>
      <c r="B7" s="3" t="s">
        <v>3</v>
      </c>
      <c r="C7" s="3" t="s">
        <v>4</v>
      </c>
      <c r="D7" s="3" t="s">
        <v>5</v>
      </c>
      <c r="E7" s="3"/>
      <c r="F7" s="3" t="s">
        <v>3</v>
      </c>
      <c r="G7" s="3" t="s">
        <v>4</v>
      </c>
      <c r="H7" s="3" t="s">
        <v>5</v>
      </c>
      <c r="I7" s="3"/>
      <c r="J7" s="3" t="s">
        <v>3</v>
      </c>
      <c r="K7" s="3" t="s">
        <v>4</v>
      </c>
      <c r="L7" s="3" t="s">
        <v>5</v>
      </c>
    </row>
    <row r="8" spans="1:32" ht="16.149999999999999" customHeight="1" x14ac:dyDescent="0.25">
      <c r="A8" s="20" t="s">
        <v>6</v>
      </c>
      <c r="B8" s="4">
        <f>F8+J8</f>
        <v>26834</v>
      </c>
      <c r="C8" s="4">
        <f>G8+K8</f>
        <v>9695</v>
      </c>
      <c r="D8" s="4">
        <f t="shared" ref="D8" si="0">H8+L8</f>
        <v>17139</v>
      </c>
      <c r="E8" s="4"/>
      <c r="F8" s="4">
        <f>G8+H8</f>
        <v>25684</v>
      </c>
      <c r="G8" s="4">
        <f>SUM(G9:G60)</f>
        <v>9053</v>
      </c>
      <c r="H8" s="4">
        <f>SUM(H9:H60)</f>
        <v>16631</v>
      </c>
      <c r="I8" s="12"/>
      <c r="J8" s="4">
        <f>K8+L8</f>
        <v>1150</v>
      </c>
      <c r="K8" s="4">
        <f>SUM(K9:K60)</f>
        <v>642</v>
      </c>
      <c r="L8" s="4">
        <f>SUM(L9:L60)</f>
        <v>508</v>
      </c>
    </row>
    <row r="9" spans="1:32" ht="16.149999999999999" customHeight="1" x14ac:dyDescent="0.25">
      <c r="A9" s="13" t="s">
        <v>9</v>
      </c>
      <c r="B9" s="4">
        <f>F9+J9</f>
        <v>415</v>
      </c>
      <c r="C9" s="5">
        <f>G9+K9</f>
        <v>140</v>
      </c>
      <c r="D9" s="5">
        <f t="shared" ref="D9:D40" si="1">H9+L9</f>
        <v>275</v>
      </c>
      <c r="E9" s="4"/>
      <c r="F9" s="4">
        <f t="shared" ref="F9:F40" si="2">G9+H9</f>
        <v>415</v>
      </c>
      <c r="G9" s="21">
        <v>140</v>
      </c>
      <c r="H9" s="21">
        <v>275</v>
      </c>
      <c r="I9" s="8"/>
      <c r="J9" s="4">
        <f t="shared" ref="J9:J44" si="3">K9+L9</f>
        <v>0</v>
      </c>
      <c r="K9" s="21">
        <v>0</v>
      </c>
      <c r="L9" s="21">
        <v>0</v>
      </c>
    </row>
    <row r="10" spans="1:32" ht="16.149999999999999" customHeight="1" x14ac:dyDescent="0.25">
      <c r="A10" s="13" t="s">
        <v>10</v>
      </c>
      <c r="B10" s="4">
        <f t="shared" ref="B10:B40" si="4">F10+J10</f>
        <v>4207</v>
      </c>
      <c r="C10" s="5">
        <f t="shared" ref="C10:C40" si="5">G10+K10</f>
        <v>1454</v>
      </c>
      <c r="D10" s="5">
        <f t="shared" si="1"/>
        <v>2753</v>
      </c>
      <c r="E10" s="4"/>
      <c r="F10" s="4">
        <f t="shared" si="2"/>
        <v>4207</v>
      </c>
      <c r="G10" s="21">
        <v>1454</v>
      </c>
      <c r="H10" s="21">
        <v>2753</v>
      </c>
      <c r="I10" s="8"/>
      <c r="J10" s="4">
        <f t="shared" si="3"/>
        <v>0</v>
      </c>
      <c r="K10" s="21">
        <v>0</v>
      </c>
      <c r="L10" s="21">
        <v>0</v>
      </c>
    </row>
    <row r="11" spans="1:32" ht="16.149999999999999" customHeight="1" x14ac:dyDescent="0.25">
      <c r="A11" s="13" t="s">
        <v>11</v>
      </c>
      <c r="B11" s="4">
        <f t="shared" si="4"/>
        <v>35</v>
      </c>
      <c r="C11" s="5">
        <f t="shared" si="5"/>
        <v>13</v>
      </c>
      <c r="D11" s="5">
        <f t="shared" si="1"/>
        <v>22</v>
      </c>
      <c r="E11" s="4"/>
      <c r="F11" s="4">
        <f t="shared" si="2"/>
        <v>35</v>
      </c>
      <c r="G11" s="21">
        <v>13</v>
      </c>
      <c r="H11" s="21">
        <v>22</v>
      </c>
      <c r="I11" s="8"/>
      <c r="J11" s="4">
        <f t="shared" si="3"/>
        <v>0</v>
      </c>
      <c r="K11" s="21">
        <v>0</v>
      </c>
      <c r="L11" s="21">
        <v>0</v>
      </c>
    </row>
    <row r="12" spans="1:32" ht="16.149999999999999" customHeight="1" x14ac:dyDescent="0.25">
      <c r="A12" s="13" t="s">
        <v>12</v>
      </c>
      <c r="B12" s="4">
        <f t="shared" si="4"/>
        <v>0</v>
      </c>
      <c r="C12" s="5">
        <f t="shared" si="5"/>
        <v>0</v>
      </c>
      <c r="D12" s="5">
        <f t="shared" si="1"/>
        <v>0</v>
      </c>
      <c r="E12" s="4"/>
      <c r="F12" s="4">
        <f t="shared" si="2"/>
        <v>0</v>
      </c>
      <c r="G12" s="21">
        <v>0</v>
      </c>
      <c r="H12" s="21">
        <v>0</v>
      </c>
      <c r="I12" s="8"/>
      <c r="J12" s="4">
        <f t="shared" si="3"/>
        <v>0</v>
      </c>
      <c r="K12" s="21">
        <v>0</v>
      </c>
      <c r="L12" s="21">
        <v>0</v>
      </c>
    </row>
    <row r="13" spans="1:32" ht="16.149999999999999" customHeight="1" x14ac:dyDescent="0.25">
      <c r="A13" s="13" t="s">
        <v>13</v>
      </c>
      <c r="B13" s="4">
        <f t="shared" si="4"/>
        <v>596</v>
      </c>
      <c r="C13" s="5">
        <f t="shared" si="5"/>
        <v>427</v>
      </c>
      <c r="D13" s="5">
        <f t="shared" si="1"/>
        <v>169</v>
      </c>
      <c r="E13" s="4"/>
      <c r="F13" s="4">
        <f t="shared" si="2"/>
        <v>596</v>
      </c>
      <c r="G13" s="21">
        <v>427</v>
      </c>
      <c r="H13" s="21">
        <v>169</v>
      </c>
      <c r="I13" s="8"/>
      <c r="J13" s="4">
        <f t="shared" si="3"/>
        <v>0</v>
      </c>
      <c r="K13" s="21">
        <v>0</v>
      </c>
      <c r="L13" s="21">
        <v>0</v>
      </c>
    </row>
    <row r="14" spans="1:32" ht="16.149999999999999" customHeight="1" x14ac:dyDescent="0.25">
      <c r="A14" s="13" t="s">
        <v>14</v>
      </c>
      <c r="B14" s="4">
        <f t="shared" si="4"/>
        <v>17</v>
      </c>
      <c r="C14" s="5">
        <f t="shared" si="5"/>
        <v>4</v>
      </c>
      <c r="D14" s="5">
        <f t="shared" si="1"/>
        <v>13</v>
      </c>
      <c r="E14" s="4"/>
      <c r="F14" s="4">
        <f t="shared" si="2"/>
        <v>17</v>
      </c>
      <c r="G14" s="21">
        <v>4</v>
      </c>
      <c r="H14" s="21">
        <v>13</v>
      </c>
      <c r="I14" s="8"/>
      <c r="J14" s="4">
        <f t="shared" si="3"/>
        <v>0</v>
      </c>
      <c r="K14" s="21">
        <v>0</v>
      </c>
      <c r="L14" s="21">
        <v>0</v>
      </c>
    </row>
    <row r="15" spans="1:32" ht="16.149999999999999" customHeight="1" x14ac:dyDescent="0.25">
      <c r="A15" s="13" t="s">
        <v>15</v>
      </c>
      <c r="B15" s="4">
        <f t="shared" si="4"/>
        <v>3366</v>
      </c>
      <c r="C15" s="5">
        <f t="shared" si="5"/>
        <v>950</v>
      </c>
      <c r="D15" s="5">
        <f t="shared" si="1"/>
        <v>2416</v>
      </c>
      <c r="E15" s="4"/>
      <c r="F15" s="4">
        <f t="shared" si="2"/>
        <v>3360</v>
      </c>
      <c r="G15" s="21">
        <v>944</v>
      </c>
      <c r="H15" s="21">
        <v>2416</v>
      </c>
      <c r="I15" s="8"/>
      <c r="J15" s="4">
        <f t="shared" si="3"/>
        <v>6</v>
      </c>
      <c r="K15" s="21">
        <v>6</v>
      </c>
      <c r="L15" s="21">
        <v>0</v>
      </c>
    </row>
    <row r="16" spans="1:32" ht="16.149999999999999" customHeight="1" x14ac:dyDescent="0.25">
      <c r="A16" s="13" t="s">
        <v>16</v>
      </c>
      <c r="B16" s="4">
        <f t="shared" si="4"/>
        <v>292</v>
      </c>
      <c r="C16" s="5">
        <f t="shared" si="5"/>
        <v>124</v>
      </c>
      <c r="D16" s="5">
        <f t="shared" si="1"/>
        <v>168</v>
      </c>
      <c r="E16" s="4"/>
      <c r="F16" s="4">
        <f t="shared" si="2"/>
        <v>292</v>
      </c>
      <c r="G16" s="21">
        <v>124</v>
      </c>
      <c r="H16" s="21">
        <v>168</v>
      </c>
      <c r="I16" s="8"/>
      <c r="J16" s="4">
        <f t="shared" si="3"/>
        <v>0</v>
      </c>
      <c r="K16" s="21">
        <v>0</v>
      </c>
      <c r="L16" s="21">
        <v>0</v>
      </c>
    </row>
    <row r="17" spans="1:12" ht="16.149999999999999" customHeight="1" x14ac:dyDescent="0.25">
      <c r="A17" s="13" t="s">
        <v>17</v>
      </c>
      <c r="B17" s="4">
        <f t="shared" si="4"/>
        <v>0</v>
      </c>
      <c r="C17" s="5">
        <f t="shared" si="5"/>
        <v>0</v>
      </c>
      <c r="D17" s="5">
        <f t="shared" si="1"/>
        <v>0</v>
      </c>
      <c r="E17" s="4"/>
      <c r="F17" s="4">
        <f t="shared" si="2"/>
        <v>0</v>
      </c>
      <c r="G17" s="21">
        <v>0</v>
      </c>
      <c r="H17" s="21">
        <v>0</v>
      </c>
      <c r="I17" s="8"/>
      <c r="J17" s="4">
        <f t="shared" si="3"/>
        <v>0</v>
      </c>
      <c r="K17" s="21">
        <v>0</v>
      </c>
      <c r="L17" s="21">
        <v>0</v>
      </c>
    </row>
    <row r="18" spans="1:12" ht="16.149999999999999" customHeight="1" x14ac:dyDescent="0.25">
      <c r="A18" s="13" t="s">
        <v>18</v>
      </c>
      <c r="B18" s="4">
        <f t="shared" si="4"/>
        <v>16</v>
      </c>
      <c r="C18" s="5">
        <f t="shared" si="5"/>
        <v>9</v>
      </c>
      <c r="D18" s="5">
        <f t="shared" si="1"/>
        <v>7</v>
      </c>
      <c r="E18" s="4"/>
      <c r="F18" s="4">
        <f t="shared" si="2"/>
        <v>7</v>
      </c>
      <c r="G18" s="21">
        <v>1</v>
      </c>
      <c r="H18" s="21">
        <v>6</v>
      </c>
      <c r="I18" s="8"/>
      <c r="J18" s="4">
        <f t="shared" si="3"/>
        <v>9</v>
      </c>
      <c r="K18" s="21">
        <v>8</v>
      </c>
      <c r="L18" s="21">
        <v>1</v>
      </c>
    </row>
    <row r="19" spans="1:12" ht="16.149999999999999" customHeight="1" x14ac:dyDescent="0.25">
      <c r="A19" s="13" t="s">
        <v>19</v>
      </c>
      <c r="B19" s="4">
        <f t="shared" si="4"/>
        <v>9</v>
      </c>
      <c r="C19" s="5">
        <f t="shared" si="5"/>
        <v>6</v>
      </c>
      <c r="D19" s="5">
        <f t="shared" si="1"/>
        <v>3</v>
      </c>
      <c r="E19" s="4"/>
      <c r="F19" s="4">
        <f t="shared" si="2"/>
        <v>3</v>
      </c>
      <c r="G19" s="21">
        <v>1</v>
      </c>
      <c r="H19" s="21">
        <v>2</v>
      </c>
      <c r="I19" s="8"/>
      <c r="J19" s="4">
        <f t="shared" si="3"/>
        <v>6</v>
      </c>
      <c r="K19" s="21">
        <v>5</v>
      </c>
      <c r="L19" s="21">
        <v>1</v>
      </c>
    </row>
    <row r="20" spans="1:12" ht="16.149999999999999" customHeight="1" x14ac:dyDescent="0.25">
      <c r="A20" s="13" t="s">
        <v>20</v>
      </c>
      <c r="B20" s="4">
        <f t="shared" si="4"/>
        <v>259</v>
      </c>
      <c r="C20" s="5">
        <f t="shared" si="5"/>
        <v>158</v>
      </c>
      <c r="D20" s="5">
        <f t="shared" si="1"/>
        <v>101</v>
      </c>
      <c r="E20" s="4"/>
      <c r="F20" s="4">
        <f t="shared" si="2"/>
        <v>259</v>
      </c>
      <c r="G20" s="21">
        <v>158</v>
      </c>
      <c r="H20" s="21">
        <v>101</v>
      </c>
      <c r="I20" s="8"/>
      <c r="J20" s="4">
        <f t="shared" si="3"/>
        <v>0</v>
      </c>
      <c r="K20" s="21">
        <v>0</v>
      </c>
      <c r="L20" s="21">
        <v>0</v>
      </c>
    </row>
    <row r="21" spans="1:12" ht="16.149999999999999" customHeight="1" x14ac:dyDescent="0.25">
      <c r="A21" s="13" t="s">
        <v>21</v>
      </c>
      <c r="B21" s="4">
        <f t="shared" si="4"/>
        <v>66</v>
      </c>
      <c r="C21" s="5">
        <f t="shared" si="5"/>
        <v>43</v>
      </c>
      <c r="D21" s="5">
        <f t="shared" si="1"/>
        <v>23</v>
      </c>
      <c r="E21" s="4"/>
      <c r="F21" s="4">
        <f t="shared" si="2"/>
        <v>66</v>
      </c>
      <c r="G21" s="21">
        <v>43</v>
      </c>
      <c r="H21" s="21">
        <v>23</v>
      </c>
      <c r="I21" s="8"/>
      <c r="J21" s="4">
        <f t="shared" si="3"/>
        <v>0</v>
      </c>
      <c r="K21" s="21">
        <v>0</v>
      </c>
      <c r="L21" s="21">
        <v>0</v>
      </c>
    </row>
    <row r="22" spans="1:12" ht="16.149999999999999" customHeight="1" x14ac:dyDescent="0.25">
      <c r="A22" s="13" t="s">
        <v>22</v>
      </c>
      <c r="B22" s="4">
        <f t="shared" si="4"/>
        <v>280</v>
      </c>
      <c r="C22" s="5">
        <f t="shared" si="5"/>
        <v>165</v>
      </c>
      <c r="D22" s="5">
        <f t="shared" si="1"/>
        <v>115</v>
      </c>
      <c r="E22" s="4"/>
      <c r="F22" s="4">
        <f t="shared" si="2"/>
        <v>280</v>
      </c>
      <c r="G22" s="21">
        <v>165</v>
      </c>
      <c r="H22" s="21">
        <v>115</v>
      </c>
      <c r="I22" s="8"/>
      <c r="J22" s="4">
        <f t="shared" si="3"/>
        <v>0</v>
      </c>
      <c r="K22" s="21">
        <v>0</v>
      </c>
      <c r="L22" s="21">
        <v>0</v>
      </c>
    </row>
    <row r="23" spans="1:12" ht="16.149999999999999" customHeight="1" x14ac:dyDescent="0.25">
      <c r="A23" s="13" t="s">
        <v>23</v>
      </c>
      <c r="B23" s="4">
        <f t="shared" si="4"/>
        <v>243</v>
      </c>
      <c r="C23" s="5">
        <f t="shared" si="5"/>
        <v>197</v>
      </c>
      <c r="D23" s="5">
        <f t="shared" si="1"/>
        <v>46</v>
      </c>
      <c r="E23" s="4"/>
      <c r="F23" s="4">
        <f t="shared" si="2"/>
        <v>243</v>
      </c>
      <c r="G23" s="21">
        <v>197</v>
      </c>
      <c r="H23" s="21">
        <v>46</v>
      </c>
      <c r="I23" s="8"/>
      <c r="J23" s="4">
        <f t="shared" si="3"/>
        <v>0</v>
      </c>
      <c r="K23" s="21">
        <v>0</v>
      </c>
      <c r="L23" s="21">
        <v>0</v>
      </c>
    </row>
    <row r="24" spans="1:12" ht="15" customHeight="1" x14ac:dyDescent="0.25">
      <c r="A24" s="13" t="s">
        <v>24</v>
      </c>
      <c r="B24" s="4">
        <f t="shared" si="4"/>
        <v>326</v>
      </c>
      <c r="C24" s="5">
        <f t="shared" si="5"/>
        <v>82</v>
      </c>
      <c r="D24" s="5">
        <f t="shared" si="1"/>
        <v>244</v>
      </c>
      <c r="E24" s="4"/>
      <c r="F24" s="4">
        <f t="shared" si="2"/>
        <v>273</v>
      </c>
      <c r="G24" s="21">
        <v>47</v>
      </c>
      <c r="H24" s="21">
        <v>226</v>
      </c>
      <c r="I24" s="8"/>
      <c r="J24" s="4">
        <f t="shared" si="3"/>
        <v>53</v>
      </c>
      <c r="K24" s="21">
        <v>35</v>
      </c>
      <c r="L24" s="21">
        <v>18</v>
      </c>
    </row>
    <row r="25" spans="1:12" ht="16.149999999999999" customHeight="1" x14ac:dyDescent="0.25">
      <c r="A25" s="13" t="s">
        <v>25</v>
      </c>
      <c r="B25" s="4">
        <f t="shared" si="4"/>
        <v>63</v>
      </c>
      <c r="C25" s="5">
        <f t="shared" si="5"/>
        <v>23</v>
      </c>
      <c r="D25" s="5">
        <f t="shared" si="1"/>
        <v>40</v>
      </c>
      <c r="E25" s="4"/>
      <c r="F25" s="4">
        <f t="shared" si="2"/>
        <v>63</v>
      </c>
      <c r="G25" s="21">
        <v>23</v>
      </c>
      <c r="H25" s="21">
        <v>40</v>
      </c>
      <c r="I25" s="8"/>
      <c r="J25" s="4">
        <f t="shared" si="3"/>
        <v>0</v>
      </c>
      <c r="K25" s="21">
        <v>0</v>
      </c>
      <c r="L25" s="21">
        <v>0</v>
      </c>
    </row>
    <row r="26" spans="1:12" ht="16.149999999999999" customHeight="1" x14ac:dyDescent="0.25">
      <c r="A26" s="13" t="s">
        <v>26</v>
      </c>
      <c r="B26" s="4">
        <f t="shared" si="4"/>
        <v>23</v>
      </c>
      <c r="C26" s="5">
        <f t="shared" si="5"/>
        <v>21</v>
      </c>
      <c r="D26" s="5">
        <f t="shared" si="1"/>
        <v>2</v>
      </c>
      <c r="E26" s="4"/>
      <c r="F26" s="4">
        <f t="shared" si="2"/>
        <v>23</v>
      </c>
      <c r="G26" s="21">
        <v>21</v>
      </c>
      <c r="H26" s="21">
        <v>2</v>
      </c>
      <c r="I26" s="8"/>
      <c r="J26" s="4">
        <f t="shared" si="3"/>
        <v>0</v>
      </c>
      <c r="K26" s="21">
        <v>0</v>
      </c>
      <c r="L26" s="21">
        <v>0</v>
      </c>
    </row>
    <row r="27" spans="1:12" ht="16.149999999999999" customHeight="1" x14ac:dyDescent="0.25">
      <c r="A27" s="14" t="s">
        <v>27</v>
      </c>
      <c r="B27" s="4">
        <f t="shared" si="4"/>
        <v>6</v>
      </c>
      <c r="C27" s="5">
        <f t="shared" si="5"/>
        <v>6</v>
      </c>
      <c r="D27" s="5">
        <f t="shared" si="1"/>
        <v>0</v>
      </c>
      <c r="E27" s="4"/>
      <c r="F27" s="4">
        <f t="shared" si="2"/>
        <v>6</v>
      </c>
      <c r="G27" s="21">
        <v>6</v>
      </c>
      <c r="H27" s="21">
        <v>0</v>
      </c>
      <c r="I27" s="8"/>
      <c r="J27" s="4">
        <f t="shared" si="3"/>
        <v>0</v>
      </c>
      <c r="K27" s="21">
        <v>0</v>
      </c>
      <c r="L27" s="21">
        <v>0</v>
      </c>
    </row>
    <row r="28" spans="1:12" ht="16.149999999999999" customHeight="1" x14ac:dyDescent="0.25">
      <c r="A28" s="13" t="s">
        <v>28</v>
      </c>
      <c r="B28" s="4">
        <f t="shared" si="4"/>
        <v>67</v>
      </c>
      <c r="C28" s="5">
        <f t="shared" si="5"/>
        <v>47</v>
      </c>
      <c r="D28" s="5">
        <f t="shared" si="1"/>
        <v>20</v>
      </c>
      <c r="E28" s="4"/>
      <c r="F28" s="4">
        <f t="shared" si="2"/>
        <v>67</v>
      </c>
      <c r="G28" s="21">
        <v>47</v>
      </c>
      <c r="H28" s="21">
        <v>20</v>
      </c>
      <c r="I28" s="8"/>
      <c r="J28" s="4">
        <f t="shared" si="3"/>
        <v>0</v>
      </c>
      <c r="K28" s="21">
        <v>0</v>
      </c>
      <c r="L28" s="21">
        <v>0</v>
      </c>
    </row>
    <row r="29" spans="1:12" ht="16.149999999999999" customHeight="1" x14ac:dyDescent="0.25">
      <c r="A29" s="13" t="s">
        <v>29</v>
      </c>
      <c r="B29" s="4">
        <f t="shared" si="4"/>
        <v>547</v>
      </c>
      <c r="C29" s="5">
        <f t="shared" si="5"/>
        <v>494</v>
      </c>
      <c r="D29" s="5">
        <f t="shared" si="1"/>
        <v>53</v>
      </c>
      <c r="E29" s="4"/>
      <c r="F29" s="4">
        <f t="shared" si="2"/>
        <v>547</v>
      </c>
      <c r="G29" s="21">
        <v>494</v>
      </c>
      <c r="H29" s="21">
        <v>53</v>
      </c>
      <c r="I29" s="8"/>
      <c r="J29" s="4">
        <f t="shared" si="3"/>
        <v>0</v>
      </c>
      <c r="K29" s="21">
        <v>0</v>
      </c>
      <c r="L29" s="21">
        <v>0</v>
      </c>
    </row>
    <row r="30" spans="1:12" ht="16.149999999999999" customHeight="1" x14ac:dyDescent="0.25">
      <c r="A30" s="13" t="s">
        <v>30</v>
      </c>
      <c r="B30" s="4">
        <f t="shared" si="4"/>
        <v>44</v>
      </c>
      <c r="C30" s="5">
        <f t="shared" si="5"/>
        <v>21</v>
      </c>
      <c r="D30" s="5">
        <f t="shared" si="1"/>
        <v>23</v>
      </c>
      <c r="E30" s="4"/>
      <c r="F30" s="4">
        <f t="shared" si="2"/>
        <v>44</v>
      </c>
      <c r="G30" s="21">
        <v>21</v>
      </c>
      <c r="H30" s="21">
        <v>23</v>
      </c>
      <c r="I30" s="8"/>
      <c r="J30" s="4">
        <f t="shared" si="3"/>
        <v>0</v>
      </c>
      <c r="K30" s="21">
        <v>0</v>
      </c>
      <c r="L30" s="21">
        <v>0</v>
      </c>
    </row>
    <row r="31" spans="1:12" ht="16.149999999999999" customHeight="1" x14ac:dyDescent="0.25">
      <c r="A31" s="13" t="s">
        <v>31</v>
      </c>
      <c r="B31" s="4">
        <f t="shared" si="4"/>
        <v>2021</v>
      </c>
      <c r="C31" s="5">
        <f t="shared" si="5"/>
        <v>74</v>
      </c>
      <c r="D31" s="5">
        <f t="shared" si="1"/>
        <v>1947</v>
      </c>
      <c r="E31" s="4"/>
      <c r="F31" s="4">
        <f t="shared" si="2"/>
        <v>1706</v>
      </c>
      <c r="G31" s="21">
        <v>18</v>
      </c>
      <c r="H31" s="21">
        <v>1688</v>
      </c>
      <c r="I31" s="8"/>
      <c r="J31" s="4">
        <f t="shared" si="3"/>
        <v>315</v>
      </c>
      <c r="K31" s="21">
        <v>56</v>
      </c>
      <c r="L31" s="21">
        <v>259</v>
      </c>
    </row>
    <row r="32" spans="1:12" ht="16.149999999999999" customHeight="1" x14ac:dyDescent="0.25">
      <c r="A32" s="13" t="s">
        <v>32</v>
      </c>
      <c r="B32" s="4">
        <f t="shared" si="4"/>
        <v>178</v>
      </c>
      <c r="C32" s="5">
        <f t="shared" si="5"/>
        <v>40</v>
      </c>
      <c r="D32" s="5">
        <f t="shared" si="1"/>
        <v>138</v>
      </c>
      <c r="E32" s="4"/>
      <c r="F32" s="4">
        <f t="shared" si="2"/>
        <v>151</v>
      </c>
      <c r="G32" s="21">
        <v>21</v>
      </c>
      <c r="H32" s="21">
        <v>130</v>
      </c>
      <c r="I32" s="8"/>
      <c r="J32" s="4">
        <f t="shared" si="3"/>
        <v>27</v>
      </c>
      <c r="K32" s="21">
        <v>19</v>
      </c>
      <c r="L32" s="21">
        <v>8</v>
      </c>
    </row>
    <row r="33" spans="1:12" ht="16.149999999999999" customHeight="1" x14ac:dyDescent="0.25">
      <c r="A33" s="13" t="s">
        <v>33</v>
      </c>
      <c r="B33" s="4">
        <f t="shared" si="4"/>
        <v>7</v>
      </c>
      <c r="C33" s="5">
        <f t="shared" si="5"/>
        <v>5</v>
      </c>
      <c r="D33" s="5">
        <f t="shared" si="1"/>
        <v>2</v>
      </c>
      <c r="E33" s="4"/>
      <c r="F33" s="4">
        <f t="shared" si="2"/>
        <v>7</v>
      </c>
      <c r="G33" s="21">
        <v>5</v>
      </c>
      <c r="H33" s="21">
        <v>2</v>
      </c>
      <c r="I33" s="8"/>
      <c r="J33" s="4">
        <f t="shared" si="3"/>
        <v>0</v>
      </c>
      <c r="K33" s="21">
        <v>0</v>
      </c>
      <c r="L33" s="21">
        <v>0</v>
      </c>
    </row>
    <row r="34" spans="1:12" ht="16.149999999999999" customHeight="1" x14ac:dyDescent="0.25">
      <c r="A34" s="13" t="s">
        <v>34</v>
      </c>
      <c r="B34" s="4">
        <f t="shared" si="4"/>
        <v>436</v>
      </c>
      <c r="C34" s="5">
        <f t="shared" si="5"/>
        <v>411</v>
      </c>
      <c r="D34" s="5">
        <f t="shared" si="1"/>
        <v>25</v>
      </c>
      <c r="E34" s="4"/>
      <c r="F34" s="4">
        <f t="shared" si="2"/>
        <v>436</v>
      </c>
      <c r="G34" s="21">
        <v>411</v>
      </c>
      <c r="H34" s="21">
        <v>25</v>
      </c>
      <c r="I34" s="8"/>
      <c r="J34" s="4">
        <f t="shared" si="3"/>
        <v>0</v>
      </c>
      <c r="K34" s="21">
        <v>0</v>
      </c>
      <c r="L34" s="21">
        <v>0</v>
      </c>
    </row>
    <row r="35" spans="1:12" ht="16.149999999999999" customHeight="1" x14ac:dyDescent="0.25">
      <c r="A35" s="13" t="s">
        <v>35</v>
      </c>
      <c r="B35" s="4">
        <f t="shared" si="4"/>
        <v>533</v>
      </c>
      <c r="C35" s="5">
        <f t="shared" si="5"/>
        <v>173</v>
      </c>
      <c r="D35" s="5">
        <f t="shared" si="1"/>
        <v>360</v>
      </c>
      <c r="E35" s="4"/>
      <c r="F35" s="4">
        <f t="shared" si="2"/>
        <v>533</v>
      </c>
      <c r="G35" s="21">
        <v>173</v>
      </c>
      <c r="H35" s="21">
        <v>360</v>
      </c>
      <c r="I35" s="8"/>
      <c r="J35" s="4">
        <f t="shared" si="3"/>
        <v>0</v>
      </c>
      <c r="K35" s="21">
        <v>0</v>
      </c>
      <c r="L35" s="21">
        <v>0</v>
      </c>
    </row>
    <row r="36" spans="1:12" ht="16.149999999999999" customHeight="1" x14ac:dyDescent="0.25">
      <c r="A36" s="13" t="s">
        <v>36</v>
      </c>
      <c r="B36" s="4">
        <f t="shared" si="4"/>
        <v>1</v>
      </c>
      <c r="C36" s="5">
        <f t="shared" si="5"/>
        <v>1</v>
      </c>
      <c r="D36" s="5">
        <f t="shared" si="1"/>
        <v>0</v>
      </c>
      <c r="E36" s="4"/>
      <c r="F36" s="4">
        <f t="shared" si="2"/>
        <v>1</v>
      </c>
      <c r="G36" s="21">
        <v>1</v>
      </c>
      <c r="H36" s="21">
        <v>0</v>
      </c>
      <c r="I36" s="8"/>
      <c r="J36" s="4">
        <f t="shared" si="3"/>
        <v>0</v>
      </c>
      <c r="K36" s="21">
        <v>0</v>
      </c>
      <c r="L36" s="21">
        <v>0</v>
      </c>
    </row>
    <row r="37" spans="1:12" ht="16.149999999999999" customHeight="1" x14ac:dyDescent="0.25">
      <c r="A37" s="13" t="s">
        <v>37</v>
      </c>
      <c r="B37" s="4">
        <f t="shared" si="4"/>
        <v>460</v>
      </c>
      <c r="C37" s="5">
        <f t="shared" si="5"/>
        <v>73</v>
      </c>
      <c r="D37" s="5">
        <f t="shared" si="1"/>
        <v>387</v>
      </c>
      <c r="E37" s="4"/>
      <c r="F37" s="4">
        <f t="shared" si="2"/>
        <v>459</v>
      </c>
      <c r="G37" s="21">
        <v>72</v>
      </c>
      <c r="H37" s="21">
        <v>387</v>
      </c>
      <c r="I37" s="8"/>
      <c r="J37" s="4">
        <f t="shared" si="3"/>
        <v>1</v>
      </c>
      <c r="K37" s="21">
        <v>1</v>
      </c>
      <c r="L37" s="21">
        <v>0</v>
      </c>
    </row>
    <row r="38" spans="1:12" ht="16.149999999999999" customHeight="1" x14ac:dyDescent="0.25">
      <c r="A38" s="13" t="s">
        <v>38</v>
      </c>
      <c r="B38" s="4">
        <f t="shared" si="4"/>
        <v>7206</v>
      </c>
      <c r="C38" s="5">
        <f t="shared" si="5"/>
        <v>1622</v>
      </c>
      <c r="D38" s="5">
        <f t="shared" si="1"/>
        <v>5584</v>
      </c>
      <c r="E38" s="4"/>
      <c r="F38" s="4">
        <f t="shared" si="2"/>
        <v>6665</v>
      </c>
      <c r="G38" s="21">
        <v>1279</v>
      </c>
      <c r="H38" s="21">
        <v>5386</v>
      </c>
      <c r="I38" s="8"/>
      <c r="J38" s="4">
        <f t="shared" si="3"/>
        <v>541</v>
      </c>
      <c r="K38" s="21">
        <v>343</v>
      </c>
      <c r="L38" s="21">
        <v>198</v>
      </c>
    </row>
    <row r="39" spans="1:12" x14ac:dyDescent="0.25">
      <c r="A39" s="13" t="s">
        <v>39</v>
      </c>
      <c r="B39" s="4">
        <f t="shared" si="4"/>
        <v>595</v>
      </c>
      <c r="C39" s="5">
        <f t="shared" si="5"/>
        <v>594</v>
      </c>
      <c r="D39" s="5">
        <f t="shared" si="1"/>
        <v>1</v>
      </c>
      <c r="E39" s="4"/>
      <c r="F39" s="4">
        <f t="shared" si="2"/>
        <v>594</v>
      </c>
      <c r="G39" s="21">
        <v>593</v>
      </c>
      <c r="H39" s="21">
        <v>1</v>
      </c>
      <c r="I39" s="8"/>
      <c r="J39" s="4">
        <f t="shared" si="3"/>
        <v>1</v>
      </c>
      <c r="K39" s="21">
        <v>1</v>
      </c>
      <c r="L39" s="21">
        <v>0</v>
      </c>
    </row>
    <row r="40" spans="1:12" x14ac:dyDescent="0.25">
      <c r="A40" s="13" t="s">
        <v>45</v>
      </c>
      <c r="B40" s="4">
        <f t="shared" si="4"/>
        <v>3</v>
      </c>
      <c r="C40" s="5">
        <f t="shared" si="5"/>
        <v>3</v>
      </c>
      <c r="D40" s="5">
        <f t="shared" si="1"/>
        <v>0</v>
      </c>
      <c r="E40" s="4"/>
      <c r="F40" s="4">
        <f t="shared" si="2"/>
        <v>3</v>
      </c>
      <c r="G40" s="21">
        <v>3</v>
      </c>
      <c r="H40" s="21">
        <v>0</v>
      </c>
      <c r="I40" s="8"/>
      <c r="J40" s="4">
        <f t="shared" si="3"/>
        <v>0</v>
      </c>
      <c r="K40" s="21">
        <v>0</v>
      </c>
      <c r="L40" s="21">
        <v>0</v>
      </c>
    </row>
    <row r="41" spans="1:12" x14ac:dyDescent="0.25">
      <c r="A41" s="13" t="s">
        <v>40</v>
      </c>
      <c r="B41" s="4">
        <f t="shared" ref="B41:B44" si="6">F41+J41</f>
        <v>645</v>
      </c>
      <c r="C41" s="5">
        <f t="shared" ref="C41:C44" si="7">G41+K41</f>
        <v>187</v>
      </c>
      <c r="D41" s="5">
        <f t="shared" ref="D41:D44" si="8">H41+L41</f>
        <v>458</v>
      </c>
      <c r="E41" s="4"/>
      <c r="F41" s="4">
        <f t="shared" ref="F41:F44" si="9">G41+H41</f>
        <v>645</v>
      </c>
      <c r="G41" s="21">
        <v>187</v>
      </c>
      <c r="H41" s="21">
        <v>458</v>
      </c>
      <c r="I41" s="8"/>
      <c r="J41" s="4">
        <f t="shared" si="3"/>
        <v>0</v>
      </c>
      <c r="K41" s="21">
        <v>0</v>
      </c>
      <c r="L41" s="21">
        <v>0</v>
      </c>
    </row>
    <row r="42" spans="1:12" x14ac:dyDescent="0.25">
      <c r="A42" s="13" t="s">
        <v>41</v>
      </c>
      <c r="B42" s="4">
        <f t="shared" si="6"/>
        <v>0</v>
      </c>
      <c r="C42" s="5">
        <f t="shared" si="7"/>
        <v>0</v>
      </c>
      <c r="D42" s="5">
        <f t="shared" si="8"/>
        <v>0</v>
      </c>
      <c r="E42" s="4"/>
      <c r="F42" s="4">
        <f t="shared" si="9"/>
        <v>0</v>
      </c>
      <c r="G42" s="21">
        <v>0</v>
      </c>
      <c r="H42" s="21">
        <v>0</v>
      </c>
      <c r="I42" s="8"/>
      <c r="J42" s="4">
        <f t="shared" si="3"/>
        <v>0</v>
      </c>
      <c r="K42" s="21">
        <v>0</v>
      </c>
      <c r="L42" s="21">
        <v>0</v>
      </c>
    </row>
    <row r="43" spans="1:12" x14ac:dyDescent="0.25">
      <c r="A43" s="13" t="s">
        <v>46</v>
      </c>
      <c r="B43" s="4">
        <f t="shared" si="6"/>
        <v>283</v>
      </c>
      <c r="C43" s="5">
        <f t="shared" si="7"/>
        <v>150</v>
      </c>
      <c r="D43" s="5">
        <f t="shared" si="8"/>
        <v>133</v>
      </c>
      <c r="E43" s="4"/>
      <c r="F43" s="4">
        <f t="shared" si="9"/>
        <v>173</v>
      </c>
      <c r="G43" s="21">
        <v>52</v>
      </c>
      <c r="H43" s="21">
        <v>121</v>
      </c>
      <c r="I43" s="8"/>
      <c r="J43" s="4">
        <f t="shared" si="3"/>
        <v>110</v>
      </c>
      <c r="K43" s="21">
        <v>98</v>
      </c>
      <c r="L43" s="21">
        <v>12</v>
      </c>
    </row>
    <row r="44" spans="1:12" x14ac:dyDescent="0.25">
      <c r="A44" s="13" t="s">
        <v>47</v>
      </c>
      <c r="B44" s="4">
        <f t="shared" si="6"/>
        <v>167</v>
      </c>
      <c r="C44" s="5">
        <f t="shared" si="7"/>
        <v>104</v>
      </c>
      <c r="D44" s="5">
        <f t="shared" si="8"/>
        <v>63</v>
      </c>
      <c r="E44" s="4"/>
      <c r="F44" s="4">
        <f t="shared" si="9"/>
        <v>100</v>
      </c>
      <c r="G44" s="21">
        <v>48</v>
      </c>
      <c r="H44" s="21">
        <v>52</v>
      </c>
      <c r="I44" s="8"/>
      <c r="J44" s="4">
        <f t="shared" si="3"/>
        <v>67</v>
      </c>
      <c r="K44" s="21">
        <v>56</v>
      </c>
      <c r="L44" s="21">
        <v>11</v>
      </c>
    </row>
    <row r="45" spans="1:12" x14ac:dyDescent="0.25">
      <c r="A45" s="13" t="s">
        <v>49</v>
      </c>
      <c r="B45" s="4">
        <f t="shared" ref="B45" si="10">F45+J45</f>
        <v>0</v>
      </c>
      <c r="C45" s="5">
        <f t="shared" ref="C45" si="11">G45+K45</f>
        <v>0</v>
      </c>
      <c r="D45" s="5">
        <f t="shared" ref="D45" si="12">H45+L45</f>
        <v>0</v>
      </c>
      <c r="E45" s="4"/>
      <c r="F45" s="4">
        <f t="shared" ref="F45" si="13">G45+H45</f>
        <v>0</v>
      </c>
      <c r="G45" s="21">
        <v>0</v>
      </c>
      <c r="H45" s="21">
        <v>0</v>
      </c>
      <c r="I45" s="8"/>
      <c r="J45" s="4">
        <f t="shared" ref="J45" si="14">K45+L45</f>
        <v>0</v>
      </c>
      <c r="K45" s="21">
        <v>0</v>
      </c>
      <c r="L45" s="21">
        <v>0</v>
      </c>
    </row>
    <row r="46" spans="1:12" x14ac:dyDescent="0.25">
      <c r="A46" s="13" t="s">
        <v>53</v>
      </c>
      <c r="B46" s="4">
        <f>F46+J46</f>
        <v>1</v>
      </c>
      <c r="C46" s="5">
        <f>G46+K46</f>
        <v>1</v>
      </c>
      <c r="D46" s="5">
        <f>H46+L46</f>
        <v>0</v>
      </c>
      <c r="E46" s="4"/>
      <c r="F46" s="4">
        <f>G46+H46</f>
        <v>1</v>
      </c>
      <c r="G46" s="21">
        <v>1</v>
      </c>
      <c r="H46" s="21">
        <v>0</v>
      </c>
      <c r="I46" s="8"/>
      <c r="J46" s="4">
        <f>K46+L46</f>
        <v>0</v>
      </c>
      <c r="K46" s="21">
        <v>0</v>
      </c>
      <c r="L46" s="21">
        <v>0</v>
      </c>
    </row>
    <row r="47" spans="1:12" x14ac:dyDescent="0.25">
      <c r="A47" s="13" t="s">
        <v>54</v>
      </c>
      <c r="B47" s="4">
        <f t="shared" ref="B47:B60" si="15">F47+J47</f>
        <v>3211</v>
      </c>
      <c r="C47" s="5">
        <f t="shared" ref="C47:C60" si="16">G47+K47</f>
        <v>1796</v>
      </c>
      <c r="D47" s="5">
        <f t="shared" ref="D47:D60" si="17">H47+L47</f>
        <v>1415</v>
      </c>
      <c r="E47" s="4"/>
      <c r="F47" s="4">
        <f t="shared" ref="F47:F60" si="18">G47+H47</f>
        <v>3197</v>
      </c>
      <c r="G47" s="21">
        <v>1782</v>
      </c>
      <c r="H47" s="21">
        <v>1415</v>
      </c>
      <c r="I47" s="8"/>
      <c r="J47" s="4">
        <f t="shared" ref="J47:J60" si="19">K47+L47</f>
        <v>14</v>
      </c>
      <c r="K47" s="21">
        <v>14</v>
      </c>
      <c r="L47" s="21">
        <v>0</v>
      </c>
    </row>
    <row r="48" spans="1:12" x14ac:dyDescent="0.25">
      <c r="A48" s="13" t="s">
        <v>55</v>
      </c>
      <c r="B48" s="4">
        <f t="shared" si="15"/>
        <v>59</v>
      </c>
      <c r="C48" s="5">
        <f t="shared" si="16"/>
        <v>24</v>
      </c>
      <c r="D48" s="5">
        <f t="shared" si="17"/>
        <v>35</v>
      </c>
      <c r="E48" s="4"/>
      <c r="F48" s="4">
        <f t="shared" si="18"/>
        <v>59</v>
      </c>
      <c r="G48" s="21">
        <v>24</v>
      </c>
      <c r="H48" s="21">
        <v>35</v>
      </c>
      <c r="I48" s="8"/>
      <c r="J48" s="4">
        <f t="shared" si="19"/>
        <v>0</v>
      </c>
      <c r="K48" s="21">
        <v>0</v>
      </c>
      <c r="L48" s="21">
        <v>0</v>
      </c>
    </row>
    <row r="49" spans="1:27" x14ac:dyDescent="0.25">
      <c r="A49" s="13" t="s">
        <v>56</v>
      </c>
      <c r="B49" s="4">
        <f t="shared" si="15"/>
        <v>1</v>
      </c>
      <c r="C49" s="5">
        <f t="shared" si="16"/>
        <v>1</v>
      </c>
      <c r="D49" s="5">
        <f t="shared" si="17"/>
        <v>0</v>
      </c>
      <c r="E49" s="4"/>
      <c r="F49" s="4">
        <f t="shared" si="18"/>
        <v>1</v>
      </c>
      <c r="G49" s="21">
        <v>1</v>
      </c>
      <c r="H49" s="21">
        <v>0</v>
      </c>
      <c r="I49" s="8"/>
      <c r="J49" s="4">
        <f t="shared" si="19"/>
        <v>0</v>
      </c>
      <c r="K49" s="21">
        <v>0</v>
      </c>
      <c r="L49" s="21">
        <v>0</v>
      </c>
    </row>
    <row r="50" spans="1:27" x14ac:dyDescent="0.25">
      <c r="A50" s="13" t="s">
        <v>57</v>
      </c>
      <c r="B50" s="4">
        <f t="shared" si="15"/>
        <v>2</v>
      </c>
      <c r="C50" s="5">
        <f t="shared" si="16"/>
        <v>1</v>
      </c>
      <c r="D50" s="5">
        <f t="shared" si="17"/>
        <v>1</v>
      </c>
      <c r="E50" s="4"/>
      <c r="F50" s="4">
        <f t="shared" si="18"/>
        <v>2</v>
      </c>
      <c r="G50" s="21">
        <v>1</v>
      </c>
      <c r="H50" s="21">
        <v>1</v>
      </c>
      <c r="I50" s="8"/>
      <c r="J50" s="4">
        <f t="shared" si="19"/>
        <v>0</v>
      </c>
      <c r="K50" s="21">
        <v>0</v>
      </c>
      <c r="L50" s="21">
        <v>0</v>
      </c>
    </row>
    <row r="51" spans="1:27" x14ac:dyDescent="0.25">
      <c r="A51" s="13" t="s">
        <v>58</v>
      </c>
      <c r="B51" s="4">
        <f t="shared" si="15"/>
        <v>2</v>
      </c>
      <c r="C51" s="5">
        <f t="shared" si="16"/>
        <v>1</v>
      </c>
      <c r="D51" s="5">
        <f t="shared" si="17"/>
        <v>1</v>
      </c>
      <c r="E51" s="4"/>
      <c r="F51" s="4">
        <f t="shared" si="18"/>
        <v>2</v>
      </c>
      <c r="G51" s="21">
        <v>1</v>
      </c>
      <c r="H51" s="21">
        <v>1</v>
      </c>
      <c r="I51" s="8"/>
      <c r="J51" s="4">
        <f t="shared" si="19"/>
        <v>0</v>
      </c>
      <c r="K51" s="21">
        <v>0</v>
      </c>
      <c r="L51" s="21">
        <v>0</v>
      </c>
    </row>
    <row r="52" spans="1:27" x14ac:dyDescent="0.25">
      <c r="A52" s="13" t="s">
        <v>59</v>
      </c>
      <c r="B52" s="4">
        <f t="shared" si="15"/>
        <v>7</v>
      </c>
      <c r="C52" s="5">
        <f t="shared" si="16"/>
        <v>3</v>
      </c>
      <c r="D52" s="5">
        <f t="shared" si="17"/>
        <v>4</v>
      </c>
      <c r="E52" s="4"/>
      <c r="F52" s="4">
        <f t="shared" si="18"/>
        <v>7</v>
      </c>
      <c r="G52" s="21">
        <v>3</v>
      </c>
      <c r="H52" s="21">
        <v>4</v>
      </c>
      <c r="I52" s="8"/>
      <c r="J52" s="4">
        <f t="shared" si="19"/>
        <v>0</v>
      </c>
      <c r="K52" s="21">
        <v>0</v>
      </c>
      <c r="L52" s="21">
        <v>0</v>
      </c>
    </row>
    <row r="53" spans="1:27" x14ac:dyDescent="0.25">
      <c r="A53" s="13" t="s">
        <v>60</v>
      </c>
      <c r="B53" s="4">
        <f t="shared" si="15"/>
        <v>15</v>
      </c>
      <c r="C53" s="5">
        <f t="shared" si="16"/>
        <v>4</v>
      </c>
      <c r="D53" s="5">
        <f t="shared" si="17"/>
        <v>11</v>
      </c>
      <c r="E53" s="4"/>
      <c r="F53" s="4">
        <f t="shared" si="18"/>
        <v>15</v>
      </c>
      <c r="G53" s="21">
        <v>4</v>
      </c>
      <c r="H53" s="21">
        <v>11</v>
      </c>
      <c r="I53" s="8"/>
      <c r="J53" s="4">
        <f t="shared" si="19"/>
        <v>0</v>
      </c>
      <c r="K53" s="21">
        <v>0</v>
      </c>
      <c r="L53" s="21">
        <v>0</v>
      </c>
    </row>
    <row r="54" spans="1:27" x14ac:dyDescent="0.25">
      <c r="A54" s="13" t="s">
        <v>61</v>
      </c>
      <c r="B54" s="4">
        <f t="shared" si="15"/>
        <v>1</v>
      </c>
      <c r="C54" s="5">
        <f t="shared" si="16"/>
        <v>0</v>
      </c>
      <c r="D54" s="5">
        <f t="shared" si="17"/>
        <v>1</v>
      </c>
      <c r="E54" s="4"/>
      <c r="F54" s="4">
        <f t="shared" si="18"/>
        <v>1</v>
      </c>
      <c r="G54" s="21">
        <v>0</v>
      </c>
      <c r="H54" s="21">
        <v>1</v>
      </c>
      <c r="I54" s="8"/>
      <c r="J54" s="4">
        <f t="shared" si="19"/>
        <v>0</v>
      </c>
      <c r="K54" s="21">
        <v>0</v>
      </c>
      <c r="L54" s="21">
        <v>0</v>
      </c>
    </row>
    <row r="55" spans="1:27" x14ac:dyDescent="0.25">
      <c r="A55" s="13" t="s">
        <v>62</v>
      </c>
      <c r="B55" s="4">
        <f t="shared" si="15"/>
        <v>74</v>
      </c>
      <c r="C55" s="5">
        <f t="shared" si="16"/>
        <v>22</v>
      </c>
      <c r="D55" s="5">
        <f t="shared" si="17"/>
        <v>52</v>
      </c>
      <c r="E55" s="4"/>
      <c r="F55" s="4">
        <f t="shared" si="18"/>
        <v>74</v>
      </c>
      <c r="G55" s="21">
        <v>22</v>
      </c>
      <c r="H55" s="21">
        <v>52</v>
      </c>
      <c r="I55" s="8"/>
      <c r="J55" s="4">
        <f t="shared" si="19"/>
        <v>0</v>
      </c>
      <c r="K55" s="21">
        <v>0</v>
      </c>
      <c r="L55" s="21">
        <v>0</v>
      </c>
    </row>
    <row r="56" spans="1:27" x14ac:dyDescent="0.25">
      <c r="A56" s="13" t="s">
        <v>63</v>
      </c>
      <c r="B56" s="4">
        <f t="shared" si="15"/>
        <v>19</v>
      </c>
      <c r="C56" s="5">
        <f t="shared" si="16"/>
        <v>11</v>
      </c>
      <c r="D56" s="5">
        <f t="shared" si="17"/>
        <v>8</v>
      </c>
      <c r="E56" s="4"/>
      <c r="F56" s="4">
        <f t="shared" si="18"/>
        <v>19</v>
      </c>
      <c r="G56" s="21">
        <v>11</v>
      </c>
      <c r="H56" s="21">
        <v>8</v>
      </c>
      <c r="I56" s="8"/>
      <c r="J56" s="4">
        <f t="shared" si="19"/>
        <v>0</v>
      </c>
      <c r="K56" s="21">
        <v>0</v>
      </c>
      <c r="L56" s="21">
        <v>0</v>
      </c>
    </row>
    <row r="57" spans="1:27" x14ac:dyDescent="0.25">
      <c r="A57" s="13" t="s">
        <v>64</v>
      </c>
      <c r="B57" s="4">
        <f t="shared" si="15"/>
        <v>5</v>
      </c>
      <c r="C57" s="5">
        <f t="shared" si="16"/>
        <v>2</v>
      </c>
      <c r="D57" s="5">
        <f t="shared" si="17"/>
        <v>3</v>
      </c>
      <c r="E57" s="4"/>
      <c r="F57" s="4">
        <f t="shared" si="18"/>
        <v>5</v>
      </c>
      <c r="G57" s="21">
        <v>2</v>
      </c>
      <c r="H57" s="21">
        <v>3</v>
      </c>
      <c r="I57" s="8"/>
      <c r="J57" s="4">
        <f t="shared" si="19"/>
        <v>0</v>
      </c>
      <c r="K57" s="21">
        <v>0</v>
      </c>
      <c r="L57" s="21">
        <v>0</v>
      </c>
    </row>
    <row r="58" spans="1:27" x14ac:dyDescent="0.25">
      <c r="A58" s="13" t="s">
        <v>65</v>
      </c>
      <c r="B58" s="4">
        <f t="shared" si="15"/>
        <v>4</v>
      </c>
      <c r="C58" s="5">
        <f t="shared" si="16"/>
        <v>4</v>
      </c>
      <c r="D58" s="5">
        <f t="shared" si="17"/>
        <v>0</v>
      </c>
      <c r="E58" s="4"/>
      <c r="F58" s="4">
        <f t="shared" si="18"/>
        <v>4</v>
      </c>
      <c r="G58" s="21">
        <v>4</v>
      </c>
      <c r="H58" s="21">
        <v>0</v>
      </c>
      <c r="I58" s="8"/>
      <c r="J58" s="4">
        <f t="shared" si="19"/>
        <v>0</v>
      </c>
      <c r="K58" s="21">
        <v>0</v>
      </c>
      <c r="L58" s="21">
        <v>0</v>
      </c>
      <c r="AA58" s="1" t="s">
        <v>50</v>
      </c>
    </row>
    <row r="59" spans="1:27" x14ac:dyDescent="0.25">
      <c r="A59" s="13" t="s">
        <v>66</v>
      </c>
      <c r="B59" s="4">
        <f t="shared" si="15"/>
        <v>13</v>
      </c>
      <c r="C59" s="5">
        <f t="shared" si="16"/>
        <v>2</v>
      </c>
      <c r="D59" s="5">
        <f t="shared" si="17"/>
        <v>11</v>
      </c>
      <c r="E59" s="4"/>
      <c r="F59" s="4">
        <f t="shared" si="18"/>
        <v>13</v>
      </c>
      <c r="G59" s="21">
        <v>2</v>
      </c>
      <c r="H59" s="21">
        <v>11</v>
      </c>
      <c r="I59" s="8"/>
      <c r="J59" s="4">
        <f t="shared" si="19"/>
        <v>0</v>
      </c>
      <c r="K59" s="21">
        <v>0</v>
      </c>
      <c r="L59" s="21">
        <v>0</v>
      </c>
    </row>
    <row r="60" spans="1:27" x14ac:dyDescent="0.25">
      <c r="A60" s="17" t="s">
        <v>48</v>
      </c>
      <c r="B60" s="7">
        <f t="shared" si="15"/>
        <v>8</v>
      </c>
      <c r="C60" s="6">
        <f t="shared" si="16"/>
        <v>2</v>
      </c>
      <c r="D60" s="6">
        <f t="shared" si="17"/>
        <v>6</v>
      </c>
      <c r="E60" s="7"/>
      <c r="F60" s="7">
        <f t="shared" si="18"/>
        <v>8</v>
      </c>
      <c r="G60" s="22">
        <v>2</v>
      </c>
      <c r="H60" s="22">
        <v>6</v>
      </c>
      <c r="I60" s="11"/>
      <c r="J60" s="7">
        <f t="shared" si="19"/>
        <v>0</v>
      </c>
      <c r="K60" s="22">
        <v>0</v>
      </c>
      <c r="L60" s="22">
        <v>0</v>
      </c>
    </row>
    <row r="61" spans="1:27" ht="17.25" x14ac:dyDescent="0.25">
      <c r="A61" s="16" t="s">
        <v>7</v>
      </c>
      <c r="L61" s="15" t="s">
        <v>8</v>
      </c>
    </row>
    <row r="66" spans="1:32" ht="21" x14ac:dyDescent="0.55000000000000004">
      <c r="AA66" s="18"/>
      <c r="AB66" s="1" t="s">
        <v>6</v>
      </c>
    </row>
    <row r="67" spans="1:32" x14ac:dyDescent="0.25">
      <c r="AA67" s="19"/>
      <c r="AB67" s="1" t="s">
        <v>3</v>
      </c>
      <c r="AC67" s="1" t="s">
        <v>4</v>
      </c>
      <c r="AD67" s="1" t="s">
        <v>5</v>
      </c>
    </row>
    <row r="68" spans="1:32" x14ac:dyDescent="0.25">
      <c r="AA68" s="1" t="s">
        <v>43</v>
      </c>
      <c r="AB68" s="8">
        <f>F8</f>
        <v>25684</v>
      </c>
      <c r="AC68" s="8">
        <f>G8</f>
        <v>9053</v>
      </c>
      <c r="AD68" s="8">
        <f>H8</f>
        <v>16631</v>
      </c>
    </row>
    <row r="69" spans="1:32" x14ac:dyDescent="0.25">
      <c r="AA69" s="1" t="s">
        <v>44</v>
      </c>
      <c r="AB69" s="8">
        <f>J8</f>
        <v>1150</v>
      </c>
      <c r="AC69" s="8">
        <f>K8</f>
        <v>642</v>
      </c>
      <c r="AD69" s="8">
        <f>L8</f>
        <v>508</v>
      </c>
    </row>
    <row r="73" spans="1:32" ht="21" x14ac:dyDescent="0.55000000000000004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3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AF74" s="9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75" bottom="0.75" header="0.3" footer="0.3"/>
  <pageSetup paperSize="9" scale="59" orientation="portrait" horizontalDpi="4294967295" verticalDpi="4294967295" r:id="rId1"/>
  <rowBreaks count="1" manualBreakCount="1">
    <brk id="8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2023-01-25T04:23:41Z</cp:lastPrinted>
  <dcterms:created xsi:type="dcterms:W3CDTF">2019-06-03T04:17:39Z</dcterms:created>
  <dcterms:modified xsi:type="dcterms:W3CDTF">2023-01-25T04:23:56Z</dcterms:modified>
</cp:coreProperties>
</file>