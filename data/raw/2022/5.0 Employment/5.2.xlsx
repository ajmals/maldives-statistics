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mployment\"/>
    </mc:Choice>
  </mc:AlternateContent>
  <xr:revisionPtr revIDLastSave="0" documentId="13_ncr:1_{DF7F6065-D311-442F-8324-EA0E42073FCD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2" sheetId="2" r:id="rId1"/>
  </sheets>
  <definedNames>
    <definedName name="_xlnm.Print_Area" localSheetId="0">'5.2'!$A$1:$N$57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2" l="1"/>
  <c r="AR31" i="2" s="1"/>
  <c r="L10" i="2"/>
  <c r="AQ31" i="2" s="1"/>
  <c r="I10" i="2"/>
  <c r="AO31" i="2" s="1"/>
  <c r="H10" i="2"/>
  <c r="AN31" i="2" s="1"/>
  <c r="K11" i="2"/>
  <c r="K12" i="2"/>
  <c r="K13" i="2"/>
  <c r="K14" i="2"/>
  <c r="K15" i="2"/>
  <c r="K16" i="2"/>
  <c r="K17" i="2"/>
  <c r="K18" i="2"/>
  <c r="K19" i="2"/>
  <c r="K20" i="2"/>
  <c r="K21" i="2"/>
  <c r="G11" i="2"/>
  <c r="G12" i="2"/>
  <c r="G13" i="2"/>
  <c r="G14" i="2"/>
  <c r="G15" i="2"/>
  <c r="G16" i="2"/>
  <c r="G17" i="2"/>
  <c r="G18" i="2"/>
  <c r="G19" i="2"/>
  <c r="G20" i="2"/>
  <c r="G21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C15" i="2" l="1"/>
  <c r="C16" i="2"/>
  <c r="C14" i="2"/>
  <c r="C21" i="2"/>
  <c r="C20" i="2"/>
  <c r="C12" i="2"/>
  <c r="C19" i="2"/>
  <c r="C11" i="2"/>
  <c r="C13" i="2"/>
  <c r="K10" i="2"/>
  <c r="AP31" i="2" s="1"/>
  <c r="E10" i="2"/>
  <c r="AL31" i="2" s="1"/>
  <c r="D10" i="2"/>
  <c r="AK31" i="2" s="1"/>
  <c r="G10" i="2"/>
  <c r="AM31" i="2" s="1"/>
  <c r="C18" i="2"/>
  <c r="C17" i="2"/>
  <c r="C10" i="2" l="1"/>
  <c r="AJ31" i="2" s="1"/>
</calcChain>
</file>

<file path=xl/sharedStrings.xml><?xml version="1.0" encoding="utf-8"?>
<sst xmlns="http://schemas.openxmlformats.org/spreadsheetml/2006/main" count="68" uniqueCount="30">
  <si>
    <t>Republic</t>
  </si>
  <si>
    <t>Male'</t>
  </si>
  <si>
    <t>ދެޖިންސް</t>
  </si>
  <si>
    <t>ފިރިހެން</t>
  </si>
  <si>
    <t>އަންހެން</t>
  </si>
  <si>
    <t>Male</t>
  </si>
  <si>
    <t>Female</t>
  </si>
  <si>
    <t>Source: Civil Service Commision</t>
  </si>
  <si>
    <t>މަޢުލޫމާތު ދެއްވި ފަރާތް: ސިވިލް ސަރވިސް ކޮމިޝަން</t>
  </si>
  <si>
    <t>އުމުރުފުރާ</t>
  </si>
  <si>
    <t xml:space="preserve"> މުޅިރާއްޖެ</t>
  </si>
  <si>
    <t>މާލެ</t>
  </si>
  <si>
    <t>އަތޮޅުތައް</t>
  </si>
  <si>
    <t>Atolls</t>
  </si>
  <si>
    <t>Age groups</t>
  </si>
  <si>
    <t>Both sexes</t>
  </si>
  <si>
    <t xml:space="preserve">     Total</t>
  </si>
  <si>
    <t xml:space="preserve">     15-19</t>
  </si>
  <si>
    <t xml:space="preserve">     20-24</t>
  </si>
  <si>
    <t xml:space="preserve">     25-29</t>
  </si>
  <si>
    <t xml:space="preserve">     30-34</t>
  </si>
  <si>
    <t xml:space="preserve">     35-39</t>
  </si>
  <si>
    <t xml:space="preserve">     40-44</t>
  </si>
  <si>
    <t xml:space="preserve">     45-49</t>
  </si>
  <si>
    <t xml:space="preserve">     50-54</t>
  </si>
  <si>
    <t xml:space="preserve">     55-59</t>
  </si>
  <si>
    <t xml:space="preserve">     60-64</t>
  </si>
  <si>
    <t xml:space="preserve">     65+</t>
  </si>
  <si>
    <t>Table 5.2 :  CIVIL SERVANTS CLASSIFIED BY AGE AND SEX, 2021</t>
  </si>
  <si>
    <t>ތާވަލް 5.2: ސިވިލް ސަރވަންޓުން ބެހިފައިވާ ގޮތް، ޖިންސް އަދި އުމުރުފުރާއިން،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</si>
</sst>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General_)"/>
    <numFmt numFmtId="165" formatCode="_-* #,##0\ _ރ_._-;_-* #,##0\ _ރ_.\-;_-* &quot;-&quot;??\ _ރ_._-;_-@_-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Faruma"/>
    </font>
    <font>
      <i/>
      <sz val="10"/>
      <name val="Calibri"/>
      <family val="2"/>
      <scheme val="minor"/>
    </font>
    <font>
      <b/>
      <sz val="1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43" fontId="3" fillId="0" borderId="0" applyFont="0" applyFill="0" applyBorder="0" applyAlignment="0" applyProtection="0"/>
    <xf numFmtId="0" fontId="17" fillId="0" borderId="0"/>
    <xf numFmtId="0" fontId="3" fillId="0" borderId="0"/>
  </cellStyleXfs>
  <cellXfs count="52">
    <xf numFmtId="0" fontId="0" fillId="0" borderId="0" xfId="0"/>
    <xf numFmtId="0" fontId="0" fillId="2" borderId="0" xfId="0" applyFill="1"/>
    <xf numFmtId="0" fontId="8" fillId="2" borderId="0" xfId="0" applyFont="1" applyFill="1"/>
    <xf numFmtId="0" fontId="6" fillId="2" borderId="0" xfId="0" applyFont="1" applyFill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9" fillId="2" borderId="4" xfId="4" applyFont="1" applyFill="1" applyBorder="1" applyAlignment="1">
      <alignment vertical="center"/>
    </xf>
    <xf numFmtId="3" fontId="0" fillId="2" borderId="0" xfId="0" applyNumberFormat="1" applyFill="1"/>
    <xf numFmtId="3" fontId="10" fillId="2" borderId="0" xfId="5" applyNumberFormat="1" applyFont="1" applyFill="1" applyAlignment="1">
      <alignment horizontal="right" vertical="center"/>
    </xf>
    <xf numFmtId="164" fontId="11" fillId="2" borderId="1" xfId="3" applyNumberFormat="1" applyFont="1" applyFill="1" applyBorder="1" applyAlignment="1">
      <alignment horizontal="center" vertical="center"/>
    </xf>
    <xf numFmtId="0" fontId="12" fillId="2" borderId="1" xfId="5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3" fillId="2" borderId="0" xfId="0" applyFont="1" applyFill="1" applyAlignment="1">
      <alignment horizontal="center" readingOrder="2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3" fontId="6" fillId="2" borderId="0" xfId="0" applyNumberFormat="1" applyFont="1" applyFill="1" applyAlignment="1">
      <alignment horizontal="right" vertical="center"/>
    </xf>
    <xf numFmtId="1" fontId="0" fillId="2" borderId="0" xfId="0" applyNumberFormat="1" applyFill="1"/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3" fontId="8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 applyProtection="1">
      <alignment horizontal="right" vertical="center"/>
      <protection locked="0"/>
    </xf>
    <xf numFmtId="0" fontId="8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/>
    </xf>
    <xf numFmtId="3" fontId="6" fillId="2" borderId="3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 applyProtection="1">
      <alignment horizontal="right" vertical="center"/>
      <protection locked="0"/>
    </xf>
    <xf numFmtId="0" fontId="14" fillId="2" borderId="0" xfId="4" applyFont="1" applyFill="1"/>
    <xf numFmtId="3" fontId="8" fillId="2" borderId="0" xfId="0" applyNumberFormat="1" applyFont="1" applyFill="1"/>
    <xf numFmtId="0" fontId="6" fillId="2" borderId="1" xfId="0" applyFont="1" applyFill="1" applyBorder="1"/>
    <xf numFmtId="166" fontId="0" fillId="2" borderId="0" xfId="1" applyNumberFormat="1" applyFont="1" applyFill="1"/>
    <xf numFmtId="3" fontId="8" fillId="2" borderId="0" xfId="0" applyNumberFormat="1" applyFont="1" applyFill="1" applyProtection="1">
      <protection locked="0"/>
    </xf>
    <xf numFmtId="3" fontId="8" fillId="2" borderId="3" xfId="0" applyNumberFormat="1" applyFont="1" applyFill="1" applyBorder="1" applyProtection="1">
      <protection locked="0"/>
    </xf>
    <xf numFmtId="0" fontId="7" fillId="2" borderId="3" xfId="0" applyFont="1" applyFill="1" applyBorder="1" applyAlignment="1">
      <alignment horizontal="right" vertical="center" readingOrder="2"/>
    </xf>
    <xf numFmtId="0" fontId="6" fillId="2" borderId="0" xfId="0" applyFont="1" applyFill="1" applyAlignment="1">
      <alignment horizontal="center" vertical="center"/>
    </xf>
    <xf numFmtId="164" fontId="11" fillId="2" borderId="0" xfId="3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right" vertical="center" wrapText="1"/>
    </xf>
    <xf numFmtId="3" fontId="8" fillId="2" borderId="0" xfId="0" applyNumberFormat="1" applyFont="1" applyFill="1" applyAlignment="1">
      <alignment horizontal="right" vertical="center" wrapText="1"/>
    </xf>
    <xf numFmtId="0" fontId="8" fillId="2" borderId="3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4" fontId="5" fillId="2" borderId="0" xfId="3" applyNumberFormat="1" applyFont="1" applyFill="1" applyAlignment="1">
      <alignment horizontal="center" vertical="center"/>
    </xf>
    <xf numFmtId="165" fontId="6" fillId="2" borderId="2" xfId="1" applyNumberFormat="1" applyFont="1" applyFill="1" applyBorder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164" fontId="11" fillId="2" borderId="0" xfId="3" applyNumberFormat="1" applyFont="1" applyFill="1" applyAlignment="1">
      <alignment horizontal="center" vertical="center"/>
    </xf>
    <xf numFmtId="164" fontId="12" fillId="2" borderId="1" xfId="3" applyNumberFormat="1" applyFont="1" applyFill="1" applyBorder="1" applyAlignment="1">
      <alignment horizontal="center" vertical="center"/>
    </xf>
    <xf numFmtId="164" fontId="12" fillId="2" borderId="0" xfId="3" applyNumberFormat="1" applyFont="1" applyFill="1" applyAlignment="1">
      <alignment horizontal="center" vertical="center"/>
    </xf>
    <xf numFmtId="0" fontId="12" fillId="2" borderId="1" xfId="5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</cellXfs>
  <cellStyles count="12">
    <cellStyle name="1" xfId="11" xr:uid="{00000000-0005-0000-0000-000000000000}"/>
    <cellStyle name="Comma" xfId="1" builtinId="3"/>
    <cellStyle name="Comma 3" xfId="9" xr:uid="{00000000-0005-0000-0000-000002000000}"/>
    <cellStyle name="Normal" xfId="0" builtinId="0"/>
    <cellStyle name="Normal 11" xfId="10" xr:uid="{00000000-0005-0000-0000-000004000000}"/>
    <cellStyle name="Normal 2" xfId="6" xr:uid="{00000000-0005-0000-0000-000005000000}"/>
    <cellStyle name="Normal 4" xfId="7" xr:uid="{00000000-0005-0000-0000-000006000000}"/>
    <cellStyle name="Normal 5" xfId="8" xr:uid="{00000000-0005-0000-0000-000007000000}"/>
    <cellStyle name="Normal_5 Employment_done" xfId="2" xr:uid="{00000000-0005-0000-0000-000008000000}"/>
    <cellStyle name="Normal_II-16(Populaion)" xfId="5" xr:uid="{00000000-0005-0000-0000-00000A000000}"/>
    <cellStyle name="Normal_po" xfId="4" xr:uid="{00000000-0005-0000-0000-00000C000000}"/>
    <cellStyle name="Normal_Population - II 2" xfId="3" xr:uid="{00000000-0005-0000-0000-00000D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ABAB"/>
      <color rgb="FFFFEBEB"/>
      <color rgb="FFFFDDDD"/>
      <color rgb="FFFFEFEF"/>
      <color rgb="FFFFD1D1"/>
      <color rgb="FFFFC5C5"/>
      <color rgb="FFEAFAFA"/>
      <color rgb="FF33CCCC"/>
      <color rgb="FFFF9900"/>
      <color rgb="FFB2ED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050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 5.2: </a:t>
            </a:r>
            <a:r>
              <a:rPr lang="en-US" sz="1050" baseline="0">
                <a:latin typeface="Consolas" pitchFamily="49" charset="0"/>
                <a:cs typeface="Consolas" pitchFamily="49" charset="0"/>
              </a:rPr>
              <a:t>Number of civil servants by locaity &amp; sex, 2019 - 2021</a:t>
            </a:r>
            <a:endParaRPr lang="en-US" sz="105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3576125442589781"/>
          <c:y val="2.41149009239130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292521477303956"/>
          <c:y val="0.14420086562027432"/>
          <c:w val="0.87286885800883374"/>
          <c:h val="0.6911525522885244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'5.2'!$AI$29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multiLvlStrRef>
              <c:f>'5.2'!$AJ$20:$AR$21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 Republic </c:v>
                  </c:pt>
                  <c:pt idx="3">
                    <c:v> Male' </c:v>
                  </c:pt>
                  <c:pt idx="6">
                    <c:v> Atolls </c:v>
                  </c:pt>
                </c:lvl>
              </c:multiLvlStrCache>
            </c:multiLvlStrRef>
          </c:cat>
          <c:val>
            <c:numRef>
              <c:f>'5.2'!$AJ$29:$AR$29</c:f>
              <c:numCache>
                <c:formatCode>General</c:formatCode>
                <c:ptCount val="9"/>
                <c:pt idx="0">
                  <c:v>25652</c:v>
                </c:pt>
                <c:pt idx="1">
                  <c:v>9573</c:v>
                </c:pt>
                <c:pt idx="2">
                  <c:v>16079</c:v>
                </c:pt>
                <c:pt idx="3">
                  <c:v>9280</c:v>
                </c:pt>
                <c:pt idx="4">
                  <c:v>3678</c:v>
                </c:pt>
                <c:pt idx="5">
                  <c:v>5602</c:v>
                </c:pt>
                <c:pt idx="6">
                  <c:v>16372</c:v>
                </c:pt>
                <c:pt idx="7">
                  <c:v>5895</c:v>
                </c:pt>
                <c:pt idx="8">
                  <c:v>10477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7-4E3E-BD02-64200FB07299}"/>
            </c:ext>
          </c:extLst>
        </c:ser>
        <c:ser>
          <c:idx val="3"/>
          <c:order val="1"/>
          <c:tx>
            <c:strRef>
              <c:f>'5.2'!$AI$30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FFABAB"/>
            </a:solidFill>
          </c:spPr>
          <c:invertIfNegative val="0"/>
          <c:cat>
            <c:multiLvlStrRef>
              <c:f>'5.2'!$AJ$20:$AR$21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 Republic </c:v>
                  </c:pt>
                  <c:pt idx="3">
                    <c:v> Male' </c:v>
                  </c:pt>
                  <c:pt idx="6">
                    <c:v> Atolls </c:v>
                  </c:pt>
                </c:lvl>
              </c:multiLvlStrCache>
            </c:multiLvlStrRef>
          </c:cat>
          <c:val>
            <c:numRef>
              <c:f>'5.2'!$AJ$30:$AR$30</c:f>
              <c:numCache>
                <c:formatCode>General</c:formatCode>
                <c:ptCount val="9"/>
                <c:pt idx="0">
                  <c:v>26668</c:v>
                </c:pt>
                <c:pt idx="1">
                  <c:v>10075</c:v>
                </c:pt>
                <c:pt idx="2">
                  <c:v>16593</c:v>
                </c:pt>
                <c:pt idx="3">
                  <c:v>10067</c:v>
                </c:pt>
                <c:pt idx="4">
                  <c:v>3932</c:v>
                </c:pt>
                <c:pt idx="5">
                  <c:v>6135</c:v>
                </c:pt>
                <c:pt idx="6">
                  <c:v>16601</c:v>
                </c:pt>
                <c:pt idx="7">
                  <c:v>6143</c:v>
                </c:pt>
                <c:pt idx="8">
                  <c:v>10458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47-4E3E-BD02-64200FB07299}"/>
            </c:ext>
          </c:extLst>
        </c:ser>
        <c:ser>
          <c:idx val="0"/>
          <c:order val="2"/>
          <c:tx>
            <c:strRef>
              <c:f>'5.2'!$AI$31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FFD1D1"/>
            </a:solidFill>
          </c:spPr>
          <c:invertIfNegative val="0"/>
          <c:cat>
            <c:multiLvlStrRef>
              <c:f>'5.2'!$AJ$20:$AR$21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 Republic </c:v>
                  </c:pt>
                  <c:pt idx="3">
                    <c:v> Male' </c:v>
                  </c:pt>
                  <c:pt idx="6">
                    <c:v> Atolls </c:v>
                  </c:pt>
                </c:lvl>
              </c:multiLvlStrCache>
            </c:multiLvlStrRef>
          </c:cat>
          <c:val>
            <c:numRef>
              <c:f>'5.2'!$AJ$31:$AR$31</c:f>
              <c:numCache>
                <c:formatCode>#,##0</c:formatCode>
                <c:ptCount val="9"/>
                <c:pt idx="0">
                  <c:v>26834</c:v>
                </c:pt>
                <c:pt idx="1">
                  <c:v>9695</c:v>
                </c:pt>
                <c:pt idx="2">
                  <c:v>17139</c:v>
                </c:pt>
                <c:pt idx="3">
                  <c:v>9683</c:v>
                </c:pt>
                <c:pt idx="4">
                  <c:v>3547</c:v>
                </c:pt>
                <c:pt idx="5">
                  <c:v>6136</c:v>
                </c:pt>
                <c:pt idx="6">
                  <c:v>17151</c:v>
                </c:pt>
                <c:pt idx="7">
                  <c:v>6148</c:v>
                </c:pt>
                <c:pt idx="8">
                  <c:v>11003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1-4ABC-A5F6-F745EBF1E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484289152"/>
        <c:axId val="484293072"/>
      </c:barChart>
      <c:catAx>
        <c:axId val="484289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n-GB" b="0"/>
            </a:pPr>
            <a:endParaRPr lang="en-US"/>
          </a:p>
        </c:txPr>
        <c:crossAx val="484293072"/>
        <c:crosses val="autoZero"/>
        <c:auto val="1"/>
        <c:lblAlgn val="ctr"/>
        <c:lblOffset val="100"/>
        <c:noMultiLvlLbl val="0"/>
      </c:catAx>
      <c:valAx>
        <c:axId val="484293072"/>
        <c:scaling>
          <c:orientation val="minMax"/>
          <c:max val="30000"/>
        </c:scaling>
        <c:delete val="0"/>
        <c:axPos val="l"/>
        <c:majorGridlines>
          <c:spPr>
            <a:ln>
              <a:solidFill>
                <a:srgbClr val="FFDDDD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4.0247093544262952E-3"/>
              <c:y val="0.3749882877869576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n-GB" sz="900"/>
            </a:pPr>
            <a:endParaRPr lang="en-US"/>
          </a:p>
        </c:txPr>
        <c:crossAx val="484289152"/>
        <c:crosses val="autoZero"/>
        <c:crossBetween val="between"/>
      </c:valAx>
      <c:spPr>
        <a:solidFill>
          <a:srgbClr val="FFEBEB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3759916201673572"/>
          <c:y val="0.15956920549384232"/>
          <c:w val="0.21100593836999509"/>
          <c:h val="0.11621840095296272"/>
        </c:manualLayout>
      </c:layout>
      <c:overlay val="0"/>
      <c:txPr>
        <a:bodyPr/>
        <a:lstStyle/>
        <a:p>
          <a:pPr>
            <a:defRPr lang="en-GB" sz="10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072375030277044E-2"/>
          <c:y val="0.15587257475168545"/>
          <c:w val="0.87558990658188318"/>
          <c:h val="0.69328892745482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'5.2'!$D$7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'5.2'!$D$11:$D$21</c:f>
              <c:numCache>
                <c:formatCode>#,##0</c:formatCode>
                <c:ptCount val="11"/>
                <c:pt idx="0">
                  <c:v>5</c:v>
                </c:pt>
                <c:pt idx="1">
                  <c:v>299</c:v>
                </c:pt>
                <c:pt idx="2">
                  <c:v>855</c:v>
                </c:pt>
                <c:pt idx="3">
                  <c:v>1491</c:v>
                </c:pt>
                <c:pt idx="4">
                  <c:v>1757</c:v>
                </c:pt>
                <c:pt idx="5">
                  <c:v>1402</c:v>
                </c:pt>
                <c:pt idx="6">
                  <c:v>1174</c:v>
                </c:pt>
                <c:pt idx="7">
                  <c:v>1148</c:v>
                </c:pt>
                <c:pt idx="8">
                  <c:v>847</c:v>
                </c:pt>
                <c:pt idx="9">
                  <c:v>651</c:v>
                </c:pt>
                <c:pt idx="1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F-461E-9AB1-DC66E6E19A18}"/>
            </c:ext>
          </c:extLst>
        </c:ser>
        <c:ser>
          <c:idx val="1"/>
          <c:order val="1"/>
          <c:tx>
            <c:strRef>
              <c:f>'5.2'!$E$7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ABAB"/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'5.2'!$E$11:$E$21</c:f>
              <c:numCache>
                <c:formatCode>#,##0</c:formatCode>
                <c:ptCount val="11"/>
                <c:pt idx="0">
                  <c:v>7</c:v>
                </c:pt>
                <c:pt idx="1">
                  <c:v>761</c:v>
                </c:pt>
                <c:pt idx="2">
                  <c:v>2876</c:v>
                </c:pt>
                <c:pt idx="3">
                  <c:v>3643</c:v>
                </c:pt>
                <c:pt idx="4">
                  <c:v>3228</c:v>
                </c:pt>
                <c:pt idx="5">
                  <c:v>2320</c:v>
                </c:pt>
                <c:pt idx="6">
                  <c:v>1785</c:v>
                </c:pt>
                <c:pt idx="7">
                  <c:v>1298</c:v>
                </c:pt>
                <c:pt idx="8">
                  <c:v>831</c:v>
                </c:pt>
                <c:pt idx="9">
                  <c:v>363</c:v>
                </c:pt>
                <c:pt idx="1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F-461E-9AB1-DC66E6E19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84290720"/>
        <c:axId val="484294248"/>
      </c:barChart>
      <c:catAx>
        <c:axId val="4842907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4294248"/>
        <c:crosses val="autoZero"/>
        <c:auto val="1"/>
        <c:lblAlgn val="ctr"/>
        <c:lblOffset val="100"/>
        <c:noMultiLvlLbl val="0"/>
      </c:catAx>
      <c:valAx>
        <c:axId val="484294248"/>
        <c:scaling>
          <c:orientation val="minMax"/>
        </c:scaling>
        <c:delete val="0"/>
        <c:axPos val="l"/>
        <c:majorGridlines>
          <c:spPr>
            <a:ln>
              <a:solidFill>
                <a:srgbClr val="FFDDDD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crossAx val="484290720"/>
        <c:crosses val="autoZero"/>
        <c:crossBetween val="between"/>
      </c:valAx>
      <c:spPr>
        <a:solidFill>
          <a:srgbClr val="FFEFE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7447953272104222"/>
          <c:y val="0.29010687389566503"/>
          <c:w val="0.20023697491671336"/>
          <c:h val="6.5582531350247872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23</xdr:row>
      <xdr:rowOff>114299</xdr:rowOff>
    </xdr:from>
    <xdr:to>
      <xdr:col>12</xdr:col>
      <xdr:colOff>523875</xdr:colOff>
      <xdr:row>39</xdr:row>
      <xdr:rowOff>43960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168449</xdr:colOff>
      <xdr:row>39</xdr:row>
      <xdr:rowOff>148616</xdr:rowOff>
    </xdr:from>
    <xdr:to>
      <xdr:col>12</xdr:col>
      <xdr:colOff>549449</xdr:colOff>
      <xdr:row>55</xdr:row>
      <xdr:rowOff>15266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187762</xdr:colOff>
      <xdr:row>44</xdr:row>
      <xdr:rowOff>185715</xdr:rowOff>
    </xdr:from>
    <xdr:to>
      <xdr:col>0</xdr:col>
      <xdr:colOff>395983</xdr:colOff>
      <xdr:row>48</xdr:row>
      <xdr:rowOff>114549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 rot="16200000">
          <a:off x="-53544" y="8647096"/>
          <a:ext cx="690834" cy="208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Number</a:t>
          </a:r>
        </a:p>
      </xdr:txBody>
    </xdr:sp>
    <xdr:clientData/>
  </xdr:twoCellAnchor>
  <xdr:twoCellAnchor>
    <xdr:from>
      <xdr:col>6</xdr:col>
      <xdr:colOff>182301</xdr:colOff>
      <xdr:row>54</xdr:row>
      <xdr:rowOff>777</xdr:rowOff>
    </xdr:from>
    <xdr:to>
      <xdr:col>7</xdr:col>
      <xdr:colOff>391919</xdr:colOff>
      <xdr:row>55</xdr:row>
      <xdr:rowOff>26872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935026" y="10125852"/>
          <a:ext cx="819218" cy="216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Age Group</a:t>
          </a:r>
        </a:p>
      </xdr:txBody>
    </xdr:sp>
    <xdr:clientData/>
  </xdr:twoCellAnchor>
  <xdr:twoCellAnchor>
    <xdr:from>
      <xdr:col>2</xdr:col>
      <xdr:colOff>294311</xdr:colOff>
      <xdr:row>39</xdr:row>
      <xdr:rowOff>160536</xdr:rowOff>
    </xdr:from>
    <xdr:to>
      <xdr:col>12</xdr:col>
      <xdr:colOff>133777</xdr:colOff>
      <xdr:row>41</xdr:row>
      <xdr:rowOff>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103936" y="7428111"/>
          <a:ext cx="4944866" cy="220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5.3: Number of civil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servants by sex and age group, 2021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AS60"/>
  <sheetViews>
    <sheetView tabSelected="1" zoomScaleNormal="100" workbookViewId="0">
      <selection activeCell="U14" sqref="U14"/>
    </sheetView>
  </sheetViews>
  <sheetFormatPr defaultRowHeight="15" x14ac:dyDescent="0.25"/>
  <cols>
    <col min="1" max="1" width="10.28515625" style="1" customWidth="1"/>
    <col min="2" max="2" width="1.85546875" style="1" customWidth="1"/>
    <col min="3" max="5" width="9.140625" style="1"/>
    <col min="6" max="6" width="1.7109375" style="1" customWidth="1"/>
    <col min="7" max="9" width="9.140625" style="1"/>
    <col min="10" max="10" width="1.7109375" style="1" customWidth="1"/>
    <col min="11" max="13" width="9.140625" style="1"/>
    <col min="14" max="29" width="7.28515625" style="1" customWidth="1"/>
    <col min="30" max="16384" width="9.140625" style="1"/>
  </cols>
  <sheetData>
    <row r="2" spans="1:36" ht="21" x14ac:dyDescent="0.25">
      <c r="A2" s="45" t="s">
        <v>29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36" x14ac:dyDescent="0.25">
      <c r="A3" s="43" t="s">
        <v>28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36" ht="1.1499999999999999" customHeigh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36" ht="13.5" customHeight="1" x14ac:dyDescent="0.25">
      <c r="A5" s="47" t="s">
        <v>9</v>
      </c>
      <c r="B5" s="10"/>
      <c r="C5" s="49" t="s">
        <v>10</v>
      </c>
      <c r="D5" s="49"/>
      <c r="E5" s="49"/>
      <c r="F5" s="11"/>
      <c r="G5" s="49" t="s">
        <v>11</v>
      </c>
      <c r="H5" s="49"/>
      <c r="I5" s="49"/>
      <c r="J5" s="11"/>
      <c r="K5" s="49" t="s">
        <v>12</v>
      </c>
      <c r="L5" s="49"/>
      <c r="M5" s="49"/>
    </row>
    <row r="6" spans="1:36" ht="12" customHeight="1" x14ac:dyDescent="0.25">
      <c r="A6" s="48"/>
      <c r="B6" s="12"/>
      <c r="C6" s="50" t="s">
        <v>0</v>
      </c>
      <c r="D6" s="50"/>
      <c r="E6" s="50"/>
      <c r="F6" s="12"/>
      <c r="G6" s="51" t="s">
        <v>1</v>
      </c>
      <c r="H6" s="51"/>
      <c r="I6" s="51"/>
      <c r="J6" s="12"/>
      <c r="K6" s="51" t="s">
        <v>13</v>
      </c>
      <c r="L6" s="51"/>
      <c r="M6" s="51"/>
    </row>
    <row r="7" spans="1:36" x14ac:dyDescent="0.25">
      <c r="A7" s="41" t="s">
        <v>14</v>
      </c>
      <c r="B7" s="12"/>
      <c r="C7" s="3" t="s">
        <v>15</v>
      </c>
      <c r="D7" s="3" t="s">
        <v>5</v>
      </c>
      <c r="E7" s="3" t="s">
        <v>6</v>
      </c>
      <c r="F7" s="36"/>
      <c r="G7" s="3" t="s">
        <v>15</v>
      </c>
      <c r="H7" s="3" t="s">
        <v>5</v>
      </c>
      <c r="I7" s="3" t="s">
        <v>6</v>
      </c>
      <c r="J7" s="36"/>
      <c r="K7" s="3" t="s">
        <v>15</v>
      </c>
      <c r="L7" s="3" t="s">
        <v>5</v>
      </c>
      <c r="M7" s="3" t="s">
        <v>6</v>
      </c>
    </row>
    <row r="8" spans="1:36" ht="18.75" x14ac:dyDescent="0.25">
      <c r="A8" s="42"/>
      <c r="B8" s="13"/>
      <c r="C8" s="35" t="s">
        <v>2</v>
      </c>
      <c r="D8" s="35" t="s">
        <v>3</v>
      </c>
      <c r="E8" s="35" t="s">
        <v>4</v>
      </c>
      <c r="F8" s="4"/>
      <c r="G8" s="35" t="s">
        <v>2</v>
      </c>
      <c r="H8" s="35" t="s">
        <v>3</v>
      </c>
      <c r="I8" s="35" t="s">
        <v>4</v>
      </c>
      <c r="J8" s="4"/>
      <c r="K8" s="35" t="s">
        <v>2</v>
      </c>
      <c r="L8" s="35" t="s">
        <v>3</v>
      </c>
      <c r="M8" s="35" t="s">
        <v>4</v>
      </c>
    </row>
    <row r="9" spans="1:36" ht="9.6" customHeight="1" x14ac:dyDescent="0.55000000000000004">
      <c r="A9" s="36"/>
      <c r="B9" s="12"/>
      <c r="C9" s="14"/>
      <c r="D9" s="14"/>
      <c r="E9" s="14"/>
      <c r="F9" s="15"/>
      <c r="G9" s="14"/>
      <c r="H9" s="14"/>
      <c r="I9" s="14"/>
      <c r="J9" s="15"/>
      <c r="K9" s="14"/>
      <c r="L9" s="14"/>
      <c r="M9" s="14"/>
    </row>
    <row r="10" spans="1:36" x14ac:dyDescent="0.25">
      <c r="A10" s="16" t="s">
        <v>16</v>
      </c>
      <c r="B10" s="17"/>
      <c r="C10" s="18">
        <f>G10+K10</f>
        <v>26834</v>
      </c>
      <c r="D10" s="18">
        <f t="shared" ref="D10:E10" si="0">H10+L10</f>
        <v>9695</v>
      </c>
      <c r="E10" s="18">
        <f t="shared" si="0"/>
        <v>17139</v>
      </c>
      <c r="F10" s="18"/>
      <c r="G10" s="18">
        <f>SUM(H10:I10)</f>
        <v>9683</v>
      </c>
      <c r="H10" s="18">
        <f>SUM(H11:H21)</f>
        <v>3547</v>
      </c>
      <c r="I10" s="18">
        <f>SUM(I11:I21)</f>
        <v>6136</v>
      </c>
      <c r="J10" s="18"/>
      <c r="K10" s="18">
        <f>SUM(L10:M10)</f>
        <v>17151</v>
      </c>
      <c r="L10" s="18">
        <f>SUM(L11:L21)</f>
        <v>6148</v>
      </c>
      <c r="M10" s="18">
        <f>SUM(M11:M21)</f>
        <v>11003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spans="1:36" x14ac:dyDescent="0.25">
      <c r="A11" s="20" t="s">
        <v>17</v>
      </c>
      <c r="B11" s="21"/>
      <c r="C11" s="18">
        <f t="shared" ref="C11:C21" si="1">G11+K11</f>
        <v>12</v>
      </c>
      <c r="D11" s="22">
        <f t="shared" ref="D11:D21" si="2">H11+L11</f>
        <v>5</v>
      </c>
      <c r="E11" s="22">
        <f t="shared" ref="E11:E21" si="3">I11+M11</f>
        <v>7</v>
      </c>
      <c r="F11" s="23"/>
      <c r="G11" s="18">
        <f t="shared" ref="G11:G21" si="4">SUM(H11:I11)</f>
        <v>4</v>
      </c>
      <c r="H11" s="38">
        <v>2</v>
      </c>
      <c r="I11" s="38">
        <v>2</v>
      </c>
      <c r="J11" s="23"/>
      <c r="K11" s="18">
        <f t="shared" ref="K11:K21" si="5">SUM(L11:M11)</f>
        <v>8</v>
      </c>
      <c r="L11" s="38">
        <v>3</v>
      </c>
      <c r="M11" s="38">
        <v>5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pans="1:36" x14ac:dyDescent="0.25">
      <c r="A12" s="20" t="s">
        <v>18</v>
      </c>
      <c r="B12" s="21"/>
      <c r="C12" s="18">
        <f t="shared" si="1"/>
        <v>1060</v>
      </c>
      <c r="D12" s="22">
        <f t="shared" si="2"/>
        <v>299</v>
      </c>
      <c r="E12" s="22">
        <f t="shared" si="3"/>
        <v>761</v>
      </c>
      <c r="F12" s="23"/>
      <c r="G12" s="18">
        <f t="shared" si="4"/>
        <v>518</v>
      </c>
      <c r="H12" s="38">
        <v>172</v>
      </c>
      <c r="I12" s="38">
        <v>346</v>
      </c>
      <c r="J12" s="23"/>
      <c r="K12" s="18">
        <f t="shared" si="5"/>
        <v>542</v>
      </c>
      <c r="L12" s="38">
        <v>127</v>
      </c>
      <c r="M12" s="38">
        <v>415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pans="1:36" x14ac:dyDescent="0.25">
      <c r="A13" s="20" t="s">
        <v>19</v>
      </c>
      <c r="B13" s="21"/>
      <c r="C13" s="18">
        <f t="shared" si="1"/>
        <v>3731</v>
      </c>
      <c r="D13" s="22">
        <f t="shared" si="2"/>
        <v>855</v>
      </c>
      <c r="E13" s="22">
        <f t="shared" si="3"/>
        <v>2876</v>
      </c>
      <c r="F13" s="23"/>
      <c r="G13" s="18">
        <f t="shared" si="4"/>
        <v>1361</v>
      </c>
      <c r="H13" s="38">
        <v>356</v>
      </c>
      <c r="I13" s="39">
        <v>1005</v>
      </c>
      <c r="J13" s="23"/>
      <c r="K13" s="18">
        <f t="shared" si="5"/>
        <v>2370</v>
      </c>
      <c r="L13" s="38">
        <v>499</v>
      </c>
      <c r="M13" s="38">
        <v>1871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6"/>
      <c r="AC13" s="6"/>
      <c r="AD13" s="6"/>
      <c r="AE13" s="5"/>
      <c r="AF13" s="6"/>
      <c r="AG13" s="6"/>
      <c r="AH13" s="6"/>
      <c r="AI13" s="5"/>
      <c r="AJ13" s="6"/>
    </row>
    <row r="14" spans="1:36" x14ac:dyDescent="0.25">
      <c r="A14" s="20" t="s">
        <v>20</v>
      </c>
      <c r="B14" s="21"/>
      <c r="C14" s="18">
        <f t="shared" si="1"/>
        <v>5134</v>
      </c>
      <c r="D14" s="22">
        <f t="shared" si="2"/>
        <v>1491</v>
      </c>
      <c r="E14" s="22">
        <f t="shared" si="3"/>
        <v>3643</v>
      </c>
      <c r="F14" s="23"/>
      <c r="G14" s="18">
        <f t="shared" si="4"/>
        <v>1604</v>
      </c>
      <c r="H14" s="38">
        <v>478</v>
      </c>
      <c r="I14" s="39">
        <v>1126</v>
      </c>
      <c r="J14" s="23"/>
      <c r="K14" s="18">
        <f t="shared" si="5"/>
        <v>3530</v>
      </c>
      <c r="L14" s="38">
        <v>1013</v>
      </c>
      <c r="M14" s="38">
        <v>2517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1:36" x14ac:dyDescent="0.25">
      <c r="A15" s="20" t="s">
        <v>21</v>
      </c>
      <c r="B15" s="21"/>
      <c r="C15" s="18">
        <f t="shared" si="1"/>
        <v>4985</v>
      </c>
      <c r="D15" s="22">
        <f t="shared" si="2"/>
        <v>1757</v>
      </c>
      <c r="E15" s="22">
        <f t="shared" si="3"/>
        <v>3228</v>
      </c>
      <c r="F15" s="23"/>
      <c r="G15" s="18">
        <f t="shared" si="4"/>
        <v>1625</v>
      </c>
      <c r="H15" s="38">
        <v>579</v>
      </c>
      <c r="I15" s="38">
        <v>1046</v>
      </c>
      <c r="J15" s="23"/>
      <c r="K15" s="18">
        <f t="shared" si="5"/>
        <v>3360</v>
      </c>
      <c r="L15" s="38">
        <v>1178</v>
      </c>
      <c r="M15" s="38">
        <v>2182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6" x14ac:dyDescent="0.25">
      <c r="A16" s="20" t="s">
        <v>22</v>
      </c>
      <c r="B16" s="21"/>
      <c r="C16" s="18">
        <f t="shared" si="1"/>
        <v>3722</v>
      </c>
      <c r="D16" s="22">
        <f t="shared" si="2"/>
        <v>1402</v>
      </c>
      <c r="E16" s="22">
        <f t="shared" si="3"/>
        <v>2320</v>
      </c>
      <c r="F16" s="23"/>
      <c r="G16" s="18">
        <f t="shared" si="4"/>
        <v>1385</v>
      </c>
      <c r="H16" s="38">
        <v>513</v>
      </c>
      <c r="I16" s="38">
        <v>872</v>
      </c>
      <c r="J16" s="23"/>
      <c r="K16" s="18">
        <f t="shared" si="5"/>
        <v>2337</v>
      </c>
      <c r="L16" s="38">
        <v>889</v>
      </c>
      <c r="M16" s="38">
        <v>1448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pans="1:45" x14ac:dyDescent="0.25">
      <c r="A17" s="20" t="s">
        <v>23</v>
      </c>
      <c r="B17" s="21"/>
      <c r="C17" s="18">
        <f t="shared" si="1"/>
        <v>2959</v>
      </c>
      <c r="D17" s="22">
        <f t="shared" si="2"/>
        <v>1174</v>
      </c>
      <c r="E17" s="22">
        <f t="shared" si="3"/>
        <v>1785</v>
      </c>
      <c r="F17" s="23"/>
      <c r="G17" s="18">
        <f t="shared" si="4"/>
        <v>1156</v>
      </c>
      <c r="H17" s="38">
        <v>422</v>
      </c>
      <c r="I17" s="38">
        <v>734</v>
      </c>
      <c r="J17" s="23"/>
      <c r="K17" s="18">
        <f t="shared" si="5"/>
        <v>1803</v>
      </c>
      <c r="L17" s="38">
        <v>752</v>
      </c>
      <c r="M17" s="38">
        <v>1051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45" x14ac:dyDescent="0.25">
      <c r="A18" s="20" t="s">
        <v>24</v>
      </c>
      <c r="B18" s="21"/>
      <c r="C18" s="18">
        <f t="shared" si="1"/>
        <v>2446</v>
      </c>
      <c r="D18" s="22">
        <f t="shared" si="2"/>
        <v>1148</v>
      </c>
      <c r="E18" s="22">
        <f t="shared" si="3"/>
        <v>1298</v>
      </c>
      <c r="F18" s="23"/>
      <c r="G18" s="18">
        <f t="shared" si="4"/>
        <v>962</v>
      </c>
      <c r="H18" s="38">
        <v>441</v>
      </c>
      <c r="I18" s="38">
        <v>521</v>
      </c>
      <c r="J18" s="23"/>
      <c r="K18" s="18">
        <f t="shared" si="5"/>
        <v>1484</v>
      </c>
      <c r="L18" s="38">
        <v>707</v>
      </c>
      <c r="M18" s="38">
        <v>777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spans="1:45" x14ac:dyDescent="0.25">
      <c r="A19" s="20" t="s">
        <v>25</v>
      </c>
      <c r="B19" s="21"/>
      <c r="C19" s="18">
        <f t="shared" si="1"/>
        <v>1678</v>
      </c>
      <c r="D19" s="22">
        <f t="shared" si="2"/>
        <v>847</v>
      </c>
      <c r="E19" s="22">
        <f t="shared" si="3"/>
        <v>831</v>
      </c>
      <c r="F19" s="23"/>
      <c r="G19" s="18">
        <f t="shared" si="4"/>
        <v>645</v>
      </c>
      <c r="H19" s="38">
        <v>321</v>
      </c>
      <c r="I19" s="38">
        <v>324</v>
      </c>
      <c r="J19" s="23"/>
      <c r="K19" s="18">
        <f t="shared" si="5"/>
        <v>1033</v>
      </c>
      <c r="L19" s="38">
        <v>526</v>
      </c>
      <c r="M19" s="38">
        <v>507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45" x14ac:dyDescent="0.25">
      <c r="A20" s="20" t="s">
        <v>26</v>
      </c>
      <c r="B20" s="21"/>
      <c r="C20" s="18">
        <f t="shared" si="1"/>
        <v>1014</v>
      </c>
      <c r="D20" s="22">
        <f t="shared" si="2"/>
        <v>651</v>
      </c>
      <c r="E20" s="22">
        <f t="shared" si="3"/>
        <v>363</v>
      </c>
      <c r="F20" s="23"/>
      <c r="G20" s="18">
        <f t="shared" si="4"/>
        <v>383</v>
      </c>
      <c r="H20" s="38">
        <v>236</v>
      </c>
      <c r="I20" s="38">
        <v>147</v>
      </c>
      <c r="J20" s="23"/>
      <c r="K20" s="18">
        <f t="shared" si="5"/>
        <v>631</v>
      </c>
      <c r="L20" s="38">
        <v>415</v>
      </c>
      <c r="M20" s="38">
        <v>216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J20" s="44" t="s">
        <v>0</v>
      </c>
      <c r="AK20" s="44"/>
      <c r="AL20" s="44"/>
      <c r="AM20" s="44" t="s">
        <v>1</v>
      </c>
      <c r="AN20" s="44"/>
      <c r="AO20" s="44"/>
      <c r="AP20" s="44" t="s">
        <v>13</v>
      </c>
      <c r="AQ20" s="44"/>
      <c r="AR20" s="44"/>
    </row>
    <row r="21" spans="1:45" x14ac:dyDescent="0.25">
      <c r="A21" s="24" t="s">
        <v>27</v>
      </c>
      <c r="B21" s="25"/>
      <c r="C21" s="26">
        <f t="shared" si="1"/>
        <v>93</v>
      </c>
      <c r="D21" s="27">
        <f t="shared" si="2"/>
        <v>66</v>
      </c>
      <c r="E21" s="27">
        <f t="shared" si="3"/>
        <v>27</v>
      </c>
      <c r="F21" s="28"/>
      <c r="G21" s="26">
        <f t="shared" si="4"/>
        <v>40</v>
      </c>
      <c r="H21" s="40">
        <v>27</v>
      </c>
      <c r="I21" s="40">
        <v>13</v>
      </c>
      <c r="J21" s="28"/>
      <c r="K21" s="26">
        <f t="shared" si="5"/>
        <v>53</v>
      </c>
      <c r="L21" s="40">
        <v>39</v>
      </c>
      <c r="M21" s="40">
        <v>14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I21" s="12"/>
      <c r="AJ21" s="3" t="s">
        <v>15</v>
      </c>
      <c r="AK21" s="3" t="s">
        <v>5</v>
      </c>
      <c r="AL21" s="3" t="s">
        <v>6</v>
      </c>
      <c r="AM21" s="3" t="s">
        <v>15</v>
      </c>
      <c r="AN21" s="3" t="s">
        <v>5</v>
      </c>
      <c r="AO21" s="3" t="s">
        <v>6</v>
      </c>
      <c r="AP21" s="3" t="s">
        <v>15</v>
      </c>
      <c r="AQ21" s="3" t="s">
        <v>5</v>
      </c>
      <c r="AR21" s="3" t="s">
        <v>6</v>
      </c>
    </row>
    <row r="22" spans="1:45" s="2" customFormat="1" ht="17.25" x14ac:dyDescent="0.25">
      <c r="A22" s="7" t="s">
        <v>7</v>
      </c>
      <c r="B22" s="29"/>
      <c r="C22" s="30"/>
      <c r="D22" s="30"/>
      <c r="E22" s="30"/>
      <c r="F22" s="30"/>
      <c r="G22" s="30"/>
      <c r="H22" s="30"/>
      <c r="I22" s="30"/>
      <c r="M22" s="9" t="s">
        <v>8</v>
      </c>
      <c r="AI22" s="1">
        <v>2012</v>
      </c>
      <c r="AJ22" s="32">
        <v>17657</v>
      </c>
      <c r="AK22" s="32">
        <v>8603</v>
      </c>
      <c r="AL22" s="32">
        <v>9054</v>
      </c>
      <c r="AM22" s="32">
        <v>7540</v>
      </c>
      <c r="AN22" s="32">
        <v>3549</v>
      </c>
      <c r="AO22" s="32">
        <v>3991</v>
      </c>
      <c r="AP22" s="32">
        <v>10117</v>
      </c>
      <c r="AQ22" s="32">
        <v>5054</v>
      </c>
      <c r="AR22" s="32">
        <v>5063</v>
      </c>
      <c r="AS22" s="1"/>
    </row>
    <row r="23" spans="1:45" x14ac:dyDescent="0.25">
      <c r="AI23" s="1">
        <v>2013</v>
      </c>
      <c r="AJ23" s="1">
        <v>24207</v>
      </c>
      <c r="AK23" s="1">
        <v>11219</v>
      </c>
      <c r="AL23" s="1">
        <v>12988</v>
      </c>
      <c r="AM23" s="1">
        <v>8522</v>
      </c>
      <c r="AN23" s="1">
        <v>3837</v>
      </c>
      <c r="AO23" s="1">
        <v>4685</v>
      </c>
      <c r="AP23" s="1">
        <v>15685</v>
      </c>
      <c r="AQ23" s="1">
        <v>7382</v>
      </c>
      <c r="AR23" s="1">
        <v>8303</v>
      </c>
    </row>
    <row r="24" spans="1:45" x14ac:dyDescent="0.25">
      <c r="AI24" s="31">
        <v>2014</v>
      </c>
      <c r="AJ24" s="8">
        <v>24883</v>
      </c>
      <c r="AK24" s="8">
        <v>11547</v>
      </c>
      <c r="AL24" s="8">
        <v>13336</v>
      </c>
      <c r="AM24" s="8">
        <v>8749</v>
      </c>
      <c r="AN24" s="8">
        <v>3839</v>
      </c>
      <c r="AO24" s="8">
        <v>4910</v>
      </c>
      <c r="AP24" s="8">
        <v>16134</v>
      </c>
      <c r="AQ24" s="8">
        <v>7708</v>
      </c>
      <c r="AR24" s="8">
        <v>8426</v>
      </c>
    </row>
    <row r="25" spans="1:45" x14ac:dyDescent="0.25">
      <c r="AI25" s="1">
        <v>2015</v>
      </c>
      <c r="AJ25" s="8">
        <v>24696</v>
      </c>
      <c r="AK25" s="8">
        <v>11191</v>
      </c>
      <c r="AL25" s="8">
        <v>13505</v>
      </c>
      <c r="AM25" s="8">
        <v>8549</v>
      </c>
      <c r="AN25" s="8">
        <v>3692</v>
      </c>
      <c r="AO25" s="8">
        <v>4857</v>
      </c>
      <c r="AP25" s="8">
        <v>16147</v>
      </c>
      <c r="AQ25" s="8">
        <v>7499</v>
      </c>
      <c r="AR25" s="8">
        <v>8648</v>
      </c>
    </row>
    <row r="26" spans="1:45" x14ac:dyDescent="0.25">
      <c r="AI26" s="1">
        <v>2016</v>
      </c>
      <c r="AJ26" s="1">
        <v>24501</v>
      </c>
      <c r="AK26" s="1">
        <v>10881</v>
      </c>
      <c r="AL26" s="1">
        <v>13620</v>
      </c>
      <c r="AM26" s="1">
        <v>9500</v>
      </c>
      <c r="AN26" s="1">
        <v>4500</v>
      </c>
      <c r="AO26" s="1">
        <v>5000</v>
      </c>
      <c r="AP26" s="1">
        <v>15001</v>
      </c>
      <c r="AQ26" s="1">
        <v>6381</v>
      </c>
      <c r="AR26" s="1">
        <v>8620</v>
      </c>
    </row>
    <row r="27" spans="1:45" x14ac:dyDescent="0.25">
      <c r="C27" s="12" t="s">
        <v>14</v>
      </c>
      <c r="D27" s="1" t="s">
        <v>5</v>
      </c>
      <c r="E27" s="1" t="s">
        <v>6</v>
      </c>
      <c r="AI27" s="1">
        <v>2017</v>
      </c>
      <c r="AJ27" s="1">
        <v>22082</v>
      </c>
      <c r="AK27" s="1">
        <v>8907</v>
      </c>
      <c r="AL27" s="1">
        <v>13175</v>
      </c>
      <c r="AM27" s="1">
        <v>8977</v>
      </c>
      <c r="AN27" s="1">
        <v>4008</v>
      </c>
      <c r="AO27" s="1">
        <v>4969</v>
      </c>
      <c r="AP27" s="1">
        <v>13105</v>
      </c>
      <c r="AQ27" s="1">
        <v>4899</v>
      </c>
      <c r="AR27" s="1">
        <v>8206</v>
      </c>
    </row>
    <row r="28" spans="1:45" x14ac:dyDescent="0.25">
      <c r="C28" s="21" t="s">
        <v>17</v>
      </c>
      <c r="D28" s="33">
        <v>8</v>
      </c>
      <c r="E28" s="33">
        <v>12</v>
      </c>
      <c r="AI28" s="1">
        <v>2018</v>
      </c>
      <c r="AJ28" s="1">
        <v>23647</v>
      </c>
      <c r="AK28" s="1">
        <v>9122</v>
      </c>
      <c r="AL28" s="1">
        <v>14525</v>
      </c>
      <c r="AM28" s="1">
        <v>8833</v>
      </c>
      <c r="AN28" s="1">
        <v>3791</v>
      </c>
      <c r="AO28" s="1">
        <v>5042</v>
      </c>
      <c r="AP28" s="1">
        <v>14814</v>
      </c>
      <c r="AQ28" s="1">
        <v>5331</v>
      </c>
      <c r="AR28" s="1">
        <v>9483</v>
      </c>
    </row>
    <row r="29" spans="1:45" x14ac:dyDescent="0.25">
      <c r="C29" s="21" t="s">
        <v>18</v>
      </c>
      <c r="D29" s="33">
        <v>554</v>
      </c>
      <c r="E29" s="33">
        <v>736</v>
      </c>
      <c r="AI29" s="1">
        <v>2019</v>
      </c>
      <c r="AJ29" s="1">
        <v>25652</v>
      </c>
      <c r="AK29" s="1">
        <v>9573</v>
      </c>
      <c r="AL29" s="1">
        <v>16079</v>
      </c>
      <c r="AM29" s="1">
        <v>9280</v>
      </c>
      <c r="AN29" s="1">
        <v>3678</v>
      </c>
      <c r="AO29" s="1">
        <v>5602</v>
      </c>
      <c r="AP29" s="1">
        <v>16372</v>
      </c>
      <c r="AQ29" s="1">
        <v>5895</v>
      </c>
      <c r="AR29" s="1">
        <v>10477</v>
      </c>
    </row>
    <row r="30" spans="1:45" x14ac:dyDescent="0.25">
      <c r="C30" s="21" t="s">
        <v>19</v>
      </c>
      <c r="D30" s="33">
        <v>1534</v>
      </c>
      <c r="E30" s="33">
        <v>2232</v>
      </c>
      <c r="AI30" s="1">
        <v>2020</v>
      </c>
      <c r="AJ30" s="1">
        <v>26668</v>
      </c>
      <c r="AK30" s="1">
        <v>10075</v>
      </c>
      <c r="AL30" s="1">
        <v>16593</v>
      </c>
      <c r="AM30" s="1">
        <v>10067</v>
      </c>
      <c r="AN30" s="1">
        <v>3932</v>
      </c>
      <c r="AO30" s="1">
        <v>6135</v>
      </c>
      <c r="AP30" s="1">
        <v>16601</v>
      </c>
      <c r="AQ30" s="1">
        <v>6143</v>
      </c>
      <c r="AR30" s="1">
        <v>10458</v>
      </c>
    </row>
    <row r="31" spans="1:45" x14ac:dyDescent="0.25">
      <c r="C31" s="21" t="s">
        <v>20</v>
      </c>
      <c r="D31" s="33">
        <v>1451</v>
      </c>
      <c r="E31" s="33">
        <v>1873</v>
      </c>
      <c r="AI31" s="1">
        <v>2021</v>
      </c>
      <c r="AJ31" s="8">
        <f>C10</f>
        <v>26834</v>
      </c>
      <c r="AK31" s="8">
        <f>D10</f>
        <v>9695</v>
      </c>
      <c r="AL31" s="8">
        <f>E10</f>
        <v>17139</v>
      </c>
      <c r="AM31" s="8">
        <f>G10</f>
        <v>9683</v>
      </c>
      <c r="AN31" s="8">
        <f>H10</f>
        <v>3547</v>
      </c>
      <c r="AO31" s="8">
        <f>I10</f>
        <v>6136</v>
      </c>
      <c r="AP31" s="8">
        <f>K10</f>
        <v>17151</v>
      </c>
      <c r="AQ31" s="8">
        <f>L10</f>
        <v>6148</v>
      </c>
      <c r="AR31" s="8">
        <f>M10</f>
        <v>11003</v>
      </c>
    </row>
    <row r="32" spans="1:45" x14ac:dyDescent="0.25">
      <c r="C32" s="21" t="s">
        <v>21</v>
      </c>
      <c r="D32" s="33">
        <v>1208</v>
      </c>
      <c r="E32" s="33">
        <v>1440</v>
      </c>
    </row>
    <row r="33" spans="3:5" x14ac:dyDescent="0.25">
      <c r="C33" s="21" t="s">
        <v>22</v>
      </c>
      <c r="D33" s="33">
        <v>1108</v>
      </c>
      <c r="E33" s="33">
        <v>1123</v>
      </c>
    </row>
    <row r="34" spans="3:5" x14ac:dyDescent="0.25">
      <c r="C34" s="21" t="s">
        <v>23</v>
      </c>
      <c r="D34" s="33">
        <v>954</v>
      </c>
      <c r="E34" s="33">
        <v>776</v>
      </c>
    </row>
    <row r="35" spans="3:5" x14ac:dyDescent="0.25">
      <c r="C35" s="21" t="s">
        <v>24</v>
      </c>
      <c r="D35" s="33">
        <v>781</v>
      </c>
      <c r="E35" s="33">
        <v>448</v>
      </c>
    </row>
    <row r="36" spans="3:5" x14ac:dyDescent="0.25">
      <c r="C36" s="21" t="s">
        <v>25</v>
      </c>
      <c r="D36" s="33">
        <v>611</v>
      </c>
      <c r="E36" s="33">
        <v>282</v>
      </c>
    </row>
    <row r="37" spans="3:5" x14ac:dyDescent="0.25">
      <c r="C37" s="21" t="s">
        <v>26</v>
      </c>
      <c r="D37" s="33">
        <v>327</v>
      </c>
      <c r="E37" s="33">
        <v>114</v>
      </c>
    </row>
    <row r="38" spans="3:5" x14ac:dyDescent="0.25">
      <c r="C38" s="25" t="s">
        <v>27</v>
      </c>
      <c r="D38" s="34">
        <v>67</v>
      </c>
      <c r="E38" s="34">
        <v>18</v>
      </c>
    </row>
    <row r="49" spans="15:35" x14ac:dyDescent="0.25"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</row>
    <row r="50" spans="15:35" x14ac:dyDescent="0.25"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</row>
    <row r="51" spans="15:35" x14ac:dyDescent="0.25"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</row>
    <row r="52" spans="15:35" x14ac:dyDescent="0.25"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</row>
    <row r="53" spans="15:35" x14ac:dyDescent="0.25"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</row>
    <row r="54" spans="15:35" x14ac:dyDescent="0.25"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</row>
    <row r="55" spans="15:35" x14ac:dyDescent="0.25"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</row>
    <row r="56" spans="15:35" x14ac:dyDescent="0.25"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</row>
    <row r="57" spans="15:35" x14ac:dyDescent="0.25"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</row>
    <row r="58" spans="15:35" x14ac:dyDescent="0.25"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</row>
    <row r="59" spans="15:35" x14ac:dyDescent="0.25"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</row>
    <row r="60" spans="15:35" x14ac:dyDescent="0.25"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</row>
  </sheetData>
  <mergeCells count="14">
    <mergeCell ref="A7:A8"/>
    <mergeCell ref="AJ20:AL20"/>
    <mergeCell ref="AM20:AO20"/>
    <mergeCell ref="AP20:AR20"/>
    <mergeCell ref="A2:M2"/>
    <mergeCell ref="A3:M3"/>
    <mergeCell ref="A4:N4"/>
    <mergeCell ref="A5:A6"/>
    <mergeCell ref="C5:E5"/>
    <mergeCell ref="G5:I5"/>
    <mergeCell ref="K5:M5"/>
    <mergeCell ref="C6:E6"/>
    <mergeCell ref="G6:I6"/>
    <mergeCell ref="K6:M6"/>
  </mergeCells>
  <pageMargins left="0.7" right="0.7" top="0.75" bottom="0.75" header="0.3" footer="0.3"/>
  <pageSetup paperSize="9" scale="83" orientation="portrait" horizontalDpi="4294967295" verticalDpi="4294967295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5.2</vt:lpstr>
      <vt:lpstr>'5.2'!Print_Area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2023-01-24T09:08:44Z</cp:lastPrinted>
  <dcterms:created xsi:type="dcterms:W3CDTF">2019-06-03T04:17:39Z</dcterms:created>
  <dcterms:modified xsi:type="dcterms:W3CDTF">2023-01-24T09:09:28Z</dcterms:modified>
</cp:coreProperties>
</file>