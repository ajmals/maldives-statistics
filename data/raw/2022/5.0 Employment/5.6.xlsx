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BB90400D-E3A5-48E0-A8C0-41F42F2AAA11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6" sheetId="5" r:id="rId1"/>
  </sheets>
  <definedNames>
    <definedName name="_xlnm.Print_Area" localSheetId="0">'5.6'!$A$1:$N$48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2" i="5" l="1"/>
  <c r="AJ21" i="5"/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4" i="5" l="1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<sst xmlns="http://schemas.openxmlformats.org/spreadsheetml/2006/main" count="44" uniqueCount="28">
  <si>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</si>
  <si>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</si>
  <si>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</si>
  <si>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</si>
  <si>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</si>
  <si>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</si>
  <si>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</si>
  <si>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</si>
  <si>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</si>
  <si>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</si>
  <si>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</si>
  <si>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</si>
  <si>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</si>
  <si>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</si>
  <si>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</si>
  <si>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</si>
  <si>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</si>
  <si>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</si>
  <si>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</si>
  <si>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</si>
  <si>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</si>
  <si>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</si>
  <si>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</si>
  <si>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</si>
  <si>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</si>
  <si>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</si>
  <si>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ތާވަލު 5.6: ސިވިލް ސަރވަންޓުންގެ މަގާމުތައް އަސާސީ މުސާރަ އަދި ޖިންސްއިން ކްލެސިފައިކުރެވިފައިވާ ގޮތް ، 2021</t>
  </si>
  <si>
    <t>Table 5.6: CIVIL SERVANTS CLASSIFIED BY  BASIC SALARY, SEX AND LOCALITY,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</si>
</sst>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0" fontId="16" fillId="0" borderId="0"/>
    <xf numFmtId="0" fontId="4" fillId="0" borderId="0"/>
  </cellStyleXfs>
  <cellXfs count="69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3" fontId="8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3" fontId="10" fillId="2" borderId="0" xfId="4" applyNumberFormat="1" applyFont="1" applyFill="1" applyAlignment="1">
      <alignment horizontal="right" vertical="center"/>
    </xf>
    <xf numFmtId="0" fontId="11" fillId="2" borderId="1" xfId="4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readingOrder="2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5" xfId="3" applyFont="1" applyFill="1" applyBorder="1"/>
    <xf numFmtId="0" fontId="0" fillId="2" borderId="1" xfId="0" applyFill="1" applyBorder="1"/>
    <xf numFmtId="0" fontId="11" fillId="2" borderId="7" xfId="4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167" fontId="0" fillId="2" borderId="0" xfId="0" applyNumberFormat="1" applyFill="1"/>
    <xf numFmtId="3" fontId="3" fillId="2" borderId="0" xfId="0" applyNumberFormat="1" applyFont="1" applyFill="1" applyAlignment="1">
      <alignment horizontal="right" readingOrder="2"/>
    </xf>
    <xf numFmtId="3" fontId="3" fillId="2" borderId="3" xfId="0" applyNumberFormat="1" applyFont="1" applyFill="1" applyBorder="1" applyAlignment="1">
      <alignment horizontal="right" readingOrder="2"/>
    </xf>
    <xf numFmtId="3" fontId="5" fillId="2" borderId="0" xfId="0" applyNumberFormat="1" applyFont="1" applyFill="1" applyAlignment="1">
      <alignment horizontal="right" vertical="center" readingOrder="2"/>
    </xf>
    <xf numFmtId="3" fontId="3" fillId="2" borderId="8" xfId="0" applyNumberFormat="1" applyFont="1" applyFill="1" applyBorder="1" applyAlignment="1">
      <alignment horizontal="right" readingOrder="2"/>
    </xf>
    <xf numFmtId="0" fontId="12" fillId="2" borderId="1" xfId="0" applyFont="1" applyFill="1" applyBorder="1" applyAlignment="1">
      <alignment horizontal="right" indent="1"/>
    </xf>
    <xf numFmtId="3" fontId="0" fillId="2" borderId="0" xfId="0" applyNumberFormat="1" applyFill="1" applyAlignment="1">
      <alignment horizontal="right" readingOrder="2"/>
    </xf>
    <xf numFmtId="0" fontId="0" fillId="2" borderId="3" xfId="0" applyFill="1" applyBorder="1"/>
    <xf numFmtId="3" fontId="13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 indent="1"/>
    </xf>
    <xf numFmtId="3" fontId="3" fillId="2" borderId="2" xfId="0" applyNumberFormat="1" applyFont="1" applyFill="1" applyBorder="1" applyAlignment="1">
      <alignment horizontal="right" readingOrder="2"/>
    </xf>
    <xf numFmtId="3" fontId="0" fillId="2" borderId="2" xfId="0" applyNumberFormat="1" applyFill="1" applyBorder="1" applyAlignment="1">
      <alignment horizontal="right" readingOrder="2"/>
    </xf>
    <xf numFmtId="0" fontId="0" fillId="2" borderId="11" xfId="0" applyFill="1" applyBorder="1"/>
    <xf numFmtId="3" fontId="5" fillId="2" borderId="2" xfId="0" applyNumberFormat="1" applyFont="1" applyFill="1" applyBorder="1" applyAlignment="1">
      <alignment horizontal="right" vertical="center" readingOrder="2"/>
    </xf>
    <xf numFmtId="3" fontId="13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3" fontId="0" fillId="2" borderId="0" xfId="0" applyNumberFormat="1" applyFill="1" applyAlignment="1">
      <alignment horizontal="right" wrapText="1"/>
    </xf>
    <xf numFmtId="3" fontId="0" fillId="2" borderId="4" xfId="0" applyNumberFormat="1" applyFill="1" applyBorder="1" applyAlignment="1">
      <alignment horizontal="right" wrapText="1"/>
    </xf>
    <xf numFmtId="0" fontId="0" fillId="2" borderId="4" xfId="0" applyFill="1" applyBorder="1" applyAlignment="1">
      <alignment horizontal="right" wrapText="1"/>
    </xf>
    <xf numFmtId="0" fontId="0" fillId="2" borderId="12" xfId="0" applyFill="1" applyBorder="1" applyAlignment="1">
      <alignment horizontal="right" wrapText="1"/>
    </xf>
    <xf numFmtId="0" fontId="11" fillId="2" borderId="0" xfId="4" applyFont="1" applyFill="1" applyAlignment="1">
      <alignment horizontal="center" vertical="center"/>
    </xf>
    <xf numFmtId="0" fontId="12" fillId="2" borderId="0" xfId="0" applyFont="1" applyFill="1"/>
    <xf numFmtId="0" fontId="9" fillId="2" borderId="0" xfId="3" applyFont="1" applyFill="1"/>
    <xf numFmtId="0" fontId="7" fillId="2" borderId="0" xfId="0" applyFont="1" applyFill="1" applyAlignment="1">
      <alignment horizontal="center" readingOrder="2"/>
    </xf>
    <xf numFmtId="0" fontId="12" fillId="2" borderId="0" xfId="0" applyFont="1" applyFill="1" applyAlignment="1">
      <alignment horizontal="right" indent="1"/>
    </xf>
    <xf numFmtId="0" fontId="11" fillId="2" borderId="0" xfId="4" applyFont="1" applyFill="1" applyAlignment="1">
      <alignment vertical="top"/>
    </xf>
    <xf numFmtId="0" fontId="11" fillId="2" borderId="1" xfId="4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1" fillId="2" borderId="8" xfId="4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4" xr:uid="{00000000-0005-0000-0000-00000A000000}"/>
    <cellStyle name="Normal_po" xfId="3" xr:uid="{00000000-0005-0000-0000-00000C000000}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4404</c:v>
                </c:pt>
                <c:pt idx="1">
                  <c:v>4594</c:v>
                </c:pt>
                <c:pt idx="2">
                  <c:v>392</c:v>
                </c:pt>
                <c:pt idx="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ABAB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5914</c:v>
                </c:pt>
                <c:pt idx="1">
                  <c:v>10205</c:v>
                </c:pt>
                <c:pt idx="2">
                  <c:v>795</c:v>
                </c:pt>
                <c:pt idx="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rgbClr val="FFEFE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2021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69566965689178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</c:formatCode>
                <c:ptCount val="4"/>
                <c:pt idx="0">
                  <c:v>38.451218603264515</c:v>
                </c:pt>
                <c:pt idx="1">
                  <c:v>55.150182604158907</c:v>
                </c:pt>
                <c:pt idx="2">
                  <c:v>4.4234925840351789</c:v>
                </c:pt>
                <c:pt idx="3">
                  <c:v>1.9751062085414026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rgbClr val="FFEFEF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2021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0.45543</cdr:x>
      <cdr:y>0.26531</cdr:y>
    </cdr:from>
    <cdr:to>
      <cdr:x>0.89415</cdr:x>
      <cdr:y>0.65889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114689" y="866788"/>
          <a:ext cx="3000384" cy="128585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DF7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rgbClr val="FF000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94</a:t>
          </a:r>
          <a:r>
            <a:rPr lang="en-US" sz="1300" b="1" i="1" baseline="0">
              <a:solidFill>
                <a:srgbClr val="FF000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 </a:t>
          </a:r>
          <a:r>
            <a:rPr lang="en-US" sz="1300" b="1" i="1" baseline="0">
              <a:solidFill>
                <a:srgbClr val="C00000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percent of the civil servants get a  salary less than 10,000 MVR per month.</a:t>
          </a:r>
          <a:endParaRPr lang="en-US" sz="1300" i="1">
            <a:solidFill>
              <a:srgbClr val="C00000"/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L73"/>
  <sheetViews>
    <sheetView tabSelected="1" zoomScaleNormal="100" workbookViewId="0">
      <selection activeCell="AL40" sqref="AL40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4" ht="21" x14ac:dyDescent="0.55000000000000004">
      <c r="A2" s="62" t="s">
        <v>26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4" x14ac:dyDescent="0.25">
      <c r="A3" s="65" t="s">
        <v>27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14"/>
    </row>
    <row r="4" spans="1:14" ht="7.5" customHeight="1" x14ac:dyDescent="0.25"/>
    <row r="5" spans="1:14" ht="18.75" customHeight="1" x14ac:dyDescent="0.25">
      <c r="A5" s="17"/>
      <c r="B5" s="59" t="s">
        <v>10</v>
      </c>
      <c r="C5" s="59"/>
      <c r="D5" s="59"/>
      <c r="E5" s="18"/>
      <c r="F5" s="59" t="s">
        <v>11</v>
      </c>
      <c r="G5" s="59"/>
      <c r="H5" s="64"/>
      <c r="I5" s="8"/>
      <c r="J5" s="59" t="s">
        <v>12</v>
      </c>
      <c r="K5" s="59"/>
      <c r="L5" s="59"/>
      <c r="M5" s="66" t="s">
        <v>16</v>
      </c>
    </row>
    <row r="6" spans="1:14" ht="15" customHeight="1" x14ac:dyDescent="0.25">
      <c r="A6" s="15" t="s">
        <v>17</v>
      </c>
      <c r="B6" s="60" t="s">
        <v>0</v>
      </c>
      <c r="C6" s="60"/>
      <c r="D6" s="60"/>
      <c r="E6" s="19"/>
      <c r="F6" s="61" t="s">
        <v>1</v>
      </c>
      <c r="G6" s="61"/>
      <c r="H6" s="63"/>
      <c r="I6" s="45"/>
      <c r="J6" s="61" t="s">
        <v>13</v>
      </c>
      <c r="K6" s="61"/>
      <c r="L6" s="61"/>
      <c r="M6" s="67"/>
    </row>
    <row r="7" spans="1:14" ht="15" customHeight="1" x14ac:dyDescent="0.25">
      <c r="B7" s="2" t="s">
        <v>14</v>
      </c>
      <c r="C7" s="2" t="s">
        <v>5</v>
      </c>
      <c r="D7" s="2" t="s">
        <v>6</v>
      </c>
      <c r="E7" s="20"/>
      <c r="F7" s="2" t="s">
        <v>14</v>
      </c>
      <c r="G7" s="2" t="s">
        <v>5</v>
      </c>
      <c r="H7" s="21" t="s">
        <v>6</v>
      </c>
      <c r="I7" s="43"/>
      <c r="J7" s="2" t="s">
        <v>14</v>
      </c>
      <c r="K7" s="2" t="s">
        <v>5</v>
      </c>
      <c r="L7" s="2" t="s">
        <v>6</v>
      </c>
      <c r="M7" s="67"/>
    </row>
    <row r="8" spans="1:14" ht="18.75" customHeight="1" x14ac:dyDescent="0.5">
      <c r="A8" s="22"/>
      <c r="B8" s="10" t="s">
        <v>2</v>
      </c>
      <c r="C8" s="10" t="s">
        <v>3</v>
      </c>
      <c r="D8" s="10" t="s">
        <v>4</v>
      </c>
      <c r="E8" s="23"/>
      <c r="F8" s="10" t="s">
        <v>2</v>
      </c>
      <c r="G8" s="10" t="s">
        <v>3</v>
      </c>
      <c r="H8" s="24" t="s">
        <v>4</v>
      </c>
      <c r="I8" s="44"/>
      <c r="J8" s="10" t="s">
        <v>2</v>
      </c>
      <c r="K8" s="10" t="s">
        <v>3</v>
      </c>
      <c r="L8" s="10" t="s">
        <v>4</v>
      </c>
      <c r="M8" s="68"/>
    </row>
    <row r="9" spans="1:14" ht="21" x14ac:dyDescent="0.55000000000000004">
      <c r="A9" s="46" t="s">
        <v>7</v>
      </c>
      <c r="B9" s="26">
        <f>F9+J9</f>
        <v>26834</v>
      </c>
      <c r="C9" s="26">
        <f t="shared" ref="C9:D13" si="0">G9+K9</f>
        <v>9695</v>
      </c>
      <c r="D9" s="26">
        <f t="shared" si="0"/>
        <v>17139</v>
      </c>
      <c r="E9" s="27"/>
      <c r="F9" s="28">
        <f>G9+H9</f>
        <v>9683</v>
      </c>
      <c r="G9" s="26">
        <f>SUM(G10:G13)</f>
        <v>3547</v>
      </c>
      <c r="H9" s="29">
        <f>SUM(H10:H13)</f>
        <v>6136</v>
      </c>
      <c r="I9" s="26"/>
      <c r="J9" s="28">
        <f>K9+L9</f>
        <v>17151</v>
      </c>
      <c r="K9" s="26">
        <f>SUM(K10:K13)</f>
        <v>6148</v>
      </c>
      <c r="L9" s="26">
        <f>SUM(L10:L13)</f>
        <v>11003</v>
      </c>
      <c r="M9" s="30" t="s">
        <v>15</v>
      </c>
    </row>
    <row r="10" spans="1:14" ht="21" x14ac:dyDescent="0.55000000000000004">
      <c r="A10" s="1" t="s">
        <v>18</v>
      </c>
      <c r="B10" s="26">
        <f>F10+J10</f>
        <v>10318</v>
      </c>
      <c r="C10" s="31">
        <f t="shared" si="0"/>
        <v>4404</v>
      </c>
      <c r="D10" s="31">
        <f t="shared" si="0"/>
        <v>5914</v>
      </c>
      <c r="E10" s="32"/>
      <c r="F10" s="28">
        <f t="shared" ref="F10:F13" si="1">G10+H10</f>
        <v>2809</v>
      </c>
      <c r="G10" s="49">
        <v>1148</v>
      </c>
      <c r="H10" s="50">
        <v>1661</v>
      </c>
      <c r="I10" s="6"/>
      <c r="J10" s="28">
        <f t="shared" ref="J10:J13" si="2">K10+L10</f>
        <v>7509</v>
      </c>
      <c r="K10" s="49">
        <v>3256</v>
      </c>
      <c r="L10" s="49">
        <v>4253</v>
      </c>
      <c r="M10" s="33" t="s">
        <v>19</v>
      </c>
    </row>
    <row r="11" spans="1:14" ht="21" x14ac:dyDescent="0.55000000000000004">
      <c r="A11" s="1" t="s">
        <v>20</v>
      </c>
      <c r="B11" s="26">
        <f t="shared" ref="B11:B13" si="3">F11+J11</f>
        <v>14799</v>
      </c>
      <c r="C11" s="31">
        <f t="shared" si="0"/>
        <v>4594</v>
      </c>
      <c r="D11" s="31">
        <f t="shared" si="0"/>
        <v>10205</v>
      </c>
      <c r="E11" s="32"/>
      <c r="F11" s="28">
        <f t="shared" si="1"/>
        <v>5771</v>
      </c>
      <c r="G11" s="49">
        <v>2013</v>
      </c>
      <c r="H11" s="50">
        <v>3758</v>
      </c>
      <c r="I11" s="6"/>
      <c r="J11" s="28">
        <f t="shared" si="2"/>
        <v>9028</v>
      </c>
      <c r="K11" s="49">
        <v>2581</v>
      </c>
      <c r="L11" s="49">
        <v>6447</v>
      </c>
      <c r="M11" s="34" t="s">
        <v>21</v>
      </c>
    </row>
    <row r="12" spans="1:14" ht="21" x14ac:dyDescent="0.55000000000000004">
      <c r="A12" s="1" t="s">
        <v>22</v>
      </c>
      <c r="B12" s="26">
        <f t="shared" si="3"/>
        <v>1187</v>
      </c>
      <c r="C12" s="31">
        <f t="shared" si="0"/>
        <v>392</v>
      </c>
      <c r="D12" s="31">
        <f t="shared" si="0"/>
        <v>795</v>
      </c>
      <c r="E12" s="32"/>
      <c r="F12" s="28">
        <f t="shared" si="1"/>
        <v>783</v>
      </c>
      <c r="G12" s="47">
        <v>248</v>
      </c>
      <c r="H12" s="51">
        <v>535</v>
      </c>
      <c r="J12" s="28">
        <f t="shared" si="2"/>
        <v>404</v>
      </c>
      <c r="K12" s="47">
        <v>144</v>
      </c>
      <c r="L12" s="47">
        <v>260</v>
      </c>
      <c r="M12" s="34" t="s">
        <v>23</v>
      </c>
    </row>
    <row r="13" spans="1:14" ht="21" x14ac:dyDescent="0.55000000000000004">
      <c r="A13" s="22" t="s">
        <v>24</v>
      </c>
      <c r="B13" s="35">
        <f t="shared" si="3"/>
        <v>530</v>
      </c>
      <c r="C13" s="36">
        <f t="shared" si="0"/>
        <v>305</v>
      </c>
      <c r="D13" s="36">
        <f t="shared" si="0"/>
        <v>225</v>
      </c>
      <c r="E13" s="37"/>
      <c r="F13" s="38">
        <f t="shared" si="1"/>
        <v>320</v>
      </c>
      <c r="G13" s="48">
        <v>138</v>
      </c>
      <c r="H13" s="52">
        <v>182</v>
      </c>
      <c r="I13" s="22"/>
      <c r="J13" s="38">
        <f t="shared" si="2"/>
        <v>210</v>
      </c>
      <c r="K13" s="48">
        <v>167</v>
      </c>
      <c r="L13" s="48">
        <v>43</v>
      </c>
      <c r="M13" s="39" t="s">
        <v>25</v>
      </c>
    </row>
    <row r="14" spans="1:14" ht="17.25" x14ac:dyDescent="0.25">
      <c r="A14" s="16" t="s">
        <v>8</v>
      </c>
      <c r="B14" s="5"/>
      <c r="C14" s="3"/>
      <c r="D14" s="5"/>
      <c r="E14" s="5"/>
      <c r="F14" s="5"/>
      <c r="G14" s="3"/>
      <c r="J14" s="15"/>
      <c r="M14" s="7" t="s">
        <v>9</v>
      </c>
    </row>
    <row r="15" spans="1:14" x14ac:dyDescent="0.25">
      <c r="F15" s="15"/>
    </row>
    <row r="21" spans="16:38" x14ac:dyDescent="0.25">
      <c r="AI21" s="1" t="s">
        <v>18</v>
      </c>
      <c r="AJ21" s="13">
        <f>B10/B9*100</f>
        <v>38.451218603264515</v>
      </c>
      <c r="AK21" s="13"/>
    </row>
    <row r="22" spans="16:38" x14ac:dyDescent="0.25">
      <c r="AI22" s="1" t="s">
        <v>20</v>
      </c>
      <c r="AJ22" s="13">
        <f>B11/B9*100</f>
        <v>55.150182604158907</v>
      </c>
    </row>
    <row r="23" spans="16:38" x14ac:dyDescent="0.25">
      <c r="AI23" s="1" t="s">
        <v>22</v>
      </c>
      <c r="AJ23" s="13">
        <f>B12/B9*100</f>
        <v>4.4234925840351789</v>
      </c>
      <c r="AL23" s="25"/>
    </row>
    <row r="24" spans="16:38" x14ac:dyDescent="0.25">
      <c r="AI24" s="22" t="s">
        <v>24</v>
      </c>
      <c r="AJ24" s="13">
        <f>B13/B9*100</f>
        <v>1.9751062085414026</v>
      </c>
    </row>
    <row r="29" spans="16:38" ht="19.899999999999999" customHeight="1" x14ac:dyDescent="0.25"/>
    <row r="30" spans="16:38" ht="19.899999999999999" customHeight="1" x14ac:dyDescent="0.25"/>
    <row r="31" spans="16:38" ht="19.899999999999999" customHeight="1" x14ac:dyDescent="0.25"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 spans="16:38" ht="19.899999999999999" customHeight="1" x14ac:dyDescent="0.25"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 spans="7:33" ht="19.899999999999999" customHeight="1" x14ac:dyDescent="0.25"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spans="7:33" ht="19.899999999999999" customHeight="1" x14ac:dyDescent="0.25"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48" spans="7:33" x14ac:dyDescent="0.25">
      <c r="G48" s="42"/>
    </row>
    <row r="61" spans="1:13" ht="21" x14ac:dyDescent="0.55000000000000004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8.75" customHeight="1" x14ac:dyDescent="0.25"/>
    <row r="64" spans="1:13" ht="15" customHeight="1" x14ac:dyDescent="0.25">
      <c r="B64" s="58"/>
      <c r="C64" s="58"/>
      <c r="D64" s="58"/>
      <c r="E64" s="53"/>
      <c r="F64" s="58"/>
      <c r="G64" s="58"/>
      <c r="H64" s="58"/>
      <c r="I64" s="53"/>
      <c r="J64" s="58"/>
      <c r="K64" s="58"/>
      <c r="L64" s="58"/>
      <c r="M64" s="41"/>
    </row>
    <row r="65" spans="1:13" ht="15" customHeight="1" x14ac:dyDescent="0.25">
      <c r="A65" s="15"/>
      <c r="B65" s="11"/>
      <c r="C65" s="11"/>
      <c r="D65" s="11"/>
      <c r="E65" s="9"/>
      <c r="F65" s="12"/>
      <c r="G65" s="12"/>
      <c r="H65" s="12"/>
      <c r="I65" s="9"/>
      <c r="J65" s="12"/>
      <c r="K65" s="12"/>
      <c r="L65" s="12"/>
      <c r="M65" s="41"/>
    </row>
    <row r="66" spans="1:13" ht="18.75" customHeight="1" x14ac:dyDescent="0.25">
      <c r="B66" s="2"/>
      <c r="C66" s="2"/>
      <c r="D66" s="2"/>
      <c r="E66" s="43"/>
      <c r="F66" s="2"/>
      <c r="G66" s="2"/>
      <c r="H66" s="2"/>
      <c r="I66" s="43"/>
      <c r="J66" s="2"/>
      <c r="K66" s="2"/>
      <c r="L66" s="2"/>
      <c r="M66" s="41"/>
    </row>
    <row r="67" spans="1:13" ht="18.75" customHeight="1" x14ac:dyDescent="0.5">
      <c r="B67" s="56"/>
      <c r="C67" s="56"/>
      <c r="D67" s="56"/>
      <c r="E67" s="43"/>
      <c r="F67" s="56"/>
      <c r="G67" s="56"/>
      <c r="H67" s="56"/>
      <c r="I67" s="43"/>
      <c r="J67" s="56"/>
      <c r="K67" s="56"/>
      <c r="L67" s="56"/>
      <c r="M67" s="41"/>
    </row>
    <row r="68" spans="1:13" ht="21" x14ac:dyDescent="0.55000000000000004">
      <c r="A68" s="46"/>
      <c r="B68" s="26"/>
      <c r="C68" s="26"/>
      <c r="D68" s="26"/>
      <c r="E68" s="26"/>
      <c r="F68" s="28"/>
      <c r="G68" s="26"/>
      <c r="H68" s="26"/>
      <c r="I68" s="26"/>
      <c r="J68" s="28"/>
      <c r="K68" s="26"/>
      <c r="L68" s="26"/>
      <c r="M68" s="57"/>
    </row>
    <row r="69" spans="1:13" ht="21" x14ac:dyDescent="0.55000000000000004">
      <c r="B69" s="26"/>
      <c r="C69" s="31"/>
      <c r="D69" s="31"/>
      <c r="F69" s="28"/>
      <c r="G69" s="49"/>
      <c r="H69" s="49"/>
      <c r="I69" s="6"/>
      <c r="J69" s="28"/>
      <c r="K69" s="49"/>
      <c r="L69" s="49"/>
      <c r="M69" s="33"/>
    </row>
    <row r="70" spans="1:13" ht="21" x14ac:dyDescent="0.55000000000000004">
      <c r="B70" s="26"/>
      <c r="C70" s="31"/>
      <c r="D70" s="31"/>
      <c r="F70" s="28"/>
      <c r="G70" s="49"/>
      <c r="H70" s="49"/>
      <c r="I70" s="6"/>
      <c r="J70" s="28"/>
      <c r="K70" s="49"/>
      <c r="L70" s="49"/>
      <c r="M70" s="34"/>
    </row>
    <row r="71" spans="1:13" ht="21" x14ac:dyDescent="0.55000000000000004">
      <c r="B71" s="26"/>
      <c r="C71" s="31"/>
      <c r="D71" s="31"/>
      <c r="F71" s="28"/>
      <c r="G71" s="47"/>
      <c r="H71" s="47"/>
      <c r="J71" s="28"/>
      <c r="K71" s="47"/>
      <c r="L71" s="47"/>
      <c r="M71" s="34"/>
    </row>
    <row r="72" spans="1:13" ht="21" x14ac:dyDescent="0.55000000000000004">
      <c r="B72" s="26"/>
      <c r="C72" s="31"/>
      <c r="D72" s="31"/>
      <c r="F72" s="28"/>
      <c r="G72" s="47"/>
      <c r="H72" s="47"/>
      <c r="J72" s="28"/>
      <c r="K72" s="47"/>
      <c r="L72" s="47"/>
      <c r="M72" s="33"/>
    </row>
    <row r="73" spans="1:13" ht="17.25" x14ac:dyDescent="0.25">
      <c r="A73" s="55"/>
      <c r="B73" s="5"/>
      <c r="C73" s="3"/>
      <c r="D73" s="5"/>
      <c r="E73" s="5"/>
      <c r="F73" s="5"/>
      <c r="G73" s="3"/>
      <c r="J73" s="15"/>
      <c r="M73" s="7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2023-01-25T04:21:24Z</cp:lastPrinted>
  <dcterms:created xsi:type="dcterms:W3CDTF">2019-06-03T04:17:39Z</dcterms:created>
  <dcterms:modified xsi:type="dcterms:W3CDTF">2023-01-25T04:21:38Z</dcterms:modified>
</cp:coreProperties>
</file>