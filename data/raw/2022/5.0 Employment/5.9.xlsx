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D6B6ABA1-592A-4CD1-B6FF-4418C1B5081F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9" sheetId="8" r:id="rId1"/>
  </sheets>
  <definedNames>
    <definedName name="_xlnm.Print_Area" localSheetId="0">'5.9'!$A$1:$P$44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D7" i="8" l="1"/>
  <c r="E7" i="8"/>
  <c r="F7" i="8"/>
  <c r="G7" i="8"/>
  <c r="H7" i="8"/>
  <c r="I7" i="8"/>
  <c r="I5" i="8" s="1"/>
  <c r="J7" i="8"/>
  <c r="J5" i="8" s="1"/>
  <c r="K7" i="8"/>
  <c r="K5" i="8" s="1"/>
  <c r="L7" i="8"/>
  <c r="L5" i="8" s="1"/>
  <c r="M7" i="8"/>
  <c r="M5" i="8" s="1"/>
  <c r="N7" i="8"/>
  <c r="N5" i="8" s="1"/>
  <c r="O7" i="8"/>
  <c r="O5" i="8" s="1"/>
  <c r="B6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8" i="8"/>
  <c r="B7" i="8" l="1"/>
  <c r="B5" i="8" s="1"/>
  <c r="AT38" i="8" l="1"/>
  <c r="D5" i="8" l="1"/>
  <c r="E5" i="8"/>
  <c r="F5" i="8"/>
  <c r="G5" i="8"/>
  <c r="H5" i="8"/>
  <c r="C5" i="8"/>
  <c r="AN38" i="8" l="1"/>
  <c r="AN37" i="8"/>
  <c r="AS38" i="8" l="1"/>
  <c r="AR38" i="8"/>
  <c r="AQ38" i="8"/>
  <c r="AP38" i="8"/>
  <c r="AO38" i="8"/>
  <c r="AT37" i="8"/>
  <c r="AS37" i="8"/>
  <c r="AR37" i="8"/>
  <c r="AQ37" i="8"/>
  <c r="AP37" i="8"/>
  <c r="AO37" i="8"/>
</calcChain>
</file>

<file path=xl/sharedStrings.xml><?xml version="1.0" encoding="utf-8"?>
<sst xmlns="http://schemas.openxmlformats.org/spreadsheetml/2006/main" count="51" uniqueCount="48">
  <si>
    <t>Total</t>
  </si>
  <si>
    <t>Source: Civil Service Commision</t>
  </si>
  <si>
    <t>މަޢުލޫމާތު ދެއްވި ފަރާތް: ސިވިލް ސަރވިސް ކޮމިޝަން</t>
  </si>
  <si>
    <t>Locality</t>
  </si>
  <si>
    <t>REPUBLIC</t>
  </si>
  <si>
    <t>MALE'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</si>
  <si>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</si>
  <si>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</si>
  <si>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</si>
  <si>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</si>
  <si>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</si>
  <si>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</si>
  <si>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</si>
  <si>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</si>
  <si>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</si>
  <si>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</si>
  <si>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</si>
  <si>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</si>
  <si>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</si>
  <si>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</si>
  <si>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</si>
  <si>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</si>
  <si>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</si>
  <si>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</si>
  <si>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</si>
  <si>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</si>
  <si>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Schools</t>
  </si>
  <si>
    <t>Hospitals</t>
  </si>
  <si>
    <t>Island Councils</t>
  </si>
  <si>
    <t>Government Ministries</t>
  </si>
  <si>
    <t>other offices</t>
  </si>
  <si>
    <t>All ATOLL</t>
  </si>
  <si>
    <t>City / Atoll Councils</t>
  </si>
  <si>
    <t xml:space="preserve"> ATOLL</t>
  </si>
  <si>
    <t>Table 5.9: Civil Servants Classified by sector, 2021</t>
  </si>
  <si>
    <t>ތާވަލު 5.9: ވަޒީފާ އަދާކުރާ ދާއިރާގެ ގޮތުން ސިވިލް ސަރވަންޓުން ބެހިފައިވާ ގޮތް، 2021</t>
  </si>
  <si>
    <t>Agency</t>
  </si>
  <si>
    <t>Atoll Council</t>
  </si>
  <si>
    <t>Authority</t>
  </si>
  <si>
    <t>Bureau</t>
  </si>
  <si>
    <t>City Council</t>
  </si>
  <si>
    <t>Department</t>
  </si>
  <si>
    <t>Health Centre</t>
  </si>
  <si>
    <t>Health Services Center</t>
  </si>
  <si>
    <t>Island Council</t>
  </si>
  <si>
    <t>Ministry</t>
  </si>
  <si>
    <t>Other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</si>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</sst>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</cellStyleXfs>
  <cellXfs count="3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3" fontId="7" fillId="2" borderId="0" xfId="3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0" fontId="5" fillId="2" borderId="0" xfId="4" applyFont="1" applyFill="1" applyAlignment="1">
      <alignment horizontal="left" vertical="center" indent="2"/>
    </xf>
    <xf numFmtId="0" fontId="5" fillId="2" borderId="2" xfId="4" applyFont="1" applyFill="1" applyBorder="1" applyAlignment="1">
      <alignment horizontal="left" vertical="center" indent="2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center" vertical="center" wrapText="1"/>
    </xf>
    <xf numFmtId="0" fontId="6" fillId="2" borderId="4" xfId="2" applyFont="1" applyFill="1" applyBorder="1" applyAlignment="1">
      <alignment vertical="center"/>
    </xf>
    <xf numFmtId="166" fontId="3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166" fontId="0" fillId="2" borderId="0" xfId="1" applyNumberFormat="1" applyFont="1" applyFill="1" applyAlignment="1">
      <alignment vertic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" xfId="1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horizontal="right" vertical="center" wrapText="1"/>
    </xf>
    <xf numFmtId="3" fontId="3" fillId="2" borderId="0" xfId="1" applyNumberFormat="1" applyFont="1" applyFill="1" applyBorder="1" applyAlignment="1">
      <alignment vertical="center"/>
    </xf>
    <xf numFmtId="3" fontId="3" fillId="2" borderId="2" xfId="1" applyNumberFormat="1" applyFont="1" applyFill="1" applyBorder="1" applyAlignment="1">
      <alignment horizontal="right" vertical="center" wrapText="1"/>
    </xf>
    <xf numFmtId="3" fontId="0" fillId="2" borderId="2" xfId="0" applyNumberFormat="1" applyFill="1" applyBorder="1" applyAlignment="1">
      <alignment horizontal="right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3" xr:uid="{00000000-0005-0000-0000-00000A000000}"/>
    <cellStyle name="Normal_immunization" xfId="4" xr:uid="{00000000-0005-0000-0000-00000B000000}"/>
    <cellStyle name="Normal_po" xfId="2" xr:uid="{00000000-0005-0000-0000-00000C000000}"/>
  </cellStyles>
  <dxfs count="1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Column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43035722229632E-2"/>
          <c:y val="0.17527656026859695"/>
          <c:w val="0.90719056304402623"/>
          <c:h val="0.6669672841113201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'5.9'!$AM$37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'5.9'!$AO$36:$AT$36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'5.9'!$AO$37:$AT$37</c:f>
              <c:numCache>
                <c:formatCode>_(* #,##0_);_(* \(#,##0\);_(* "-"??_);_(@_)</c:formatCode>
                <c:ptCount val="6"/>
                <c:pt idx="0">
                  <c:v>196</c:v>
                </c:pt>
                <c:pt idx="1">
                  <c:v>0</c:v>
                </c:pt>
                <c:pt idx="2">
                  <c:v>225</c:v>
                </c:pt>
                <c:pt idx="3">
                  <c:v>37</c:v>
                </c:pt>
                <c:pt idx="4">
                  <c:v>300</c:v>
                </c:pt>
                <c:pt idx="5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5-4F60-BED7-35477A829E47}"/>
            </c:ext>
          </c:extLst>
        </c:ser>
        <c:ser>
          <c:idx val="0"/>
          <c:order val="1"/>
          <c:tx>
            <c:strRef>
              <c:f>'5.9'!$AM$38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rgbClr val="FFABAB"/>
            </a:solidFill>
          </c:spPr>
          <c:invertIfNegative val="0"/>
          <c:dLbls>
            <c:dLbl>
              <c:idx val="2"/>
              <c:layout>
                <c:manualLayout>
                  <c:x val="3.766478342749529E-3"/>
                  <c:y val="-6.6541900603035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9D-42A3-AC67-8C30462B63F3}"/>
                </c:ext>
              </c:extLst>
            </c:dLbl>
            <c:dLbl>
              <c:idx val="5"/>
              <c:layout>
                <c:manualLayout>
                  <c:x val="1.8832391713746264E-3"/>
                  <c:y val="-3.7429819089207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9D-42A3-AC67-8C30462B63F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'5.9'!$AO$36:$AT$36</c:f>
              <c:strCache>
                <c:ptCount val="6"/>
                <c:pt idx="0">
                  <c:v>Schools</c:v>
                </c:pt>
                <c:pt idx="1">
                  <c:v>Hospitals</c:v>
                </c:pt>
                <c:pt idx="2">
                  <c:v>City / Atoll Councils</c:v>
                </c:pt>
                <c:pt idx="3">
                  <c:v>Island Councils</c:v>
                </c:pt>
                <c:pt idx="4">
                  <c:v>Government Ministries</c:v>
                </c:pt>
                <c:pt idx="5">
                  <c:v>other offices</c:v>
                </c:pt>
              </c:strCache>
            </c:strRef>
          </c:cat>
          <c:val>
            <c:numRef>
              <c:f>'5.9'!$AO$38:$AT$38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505</c:v>
                </c:pt>
                <c:pt idx="2">
                  <c:v>0</c:v>
                </c:pt>
                <c:pt idx="3">
                  <c:v>0</c:v>
                </c:pt>
                <c:pt idx="4">
                  <c:v>503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5-4F60-BED7-35477A82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85855952"/>
        <c:axId val="485855168"/>
      </c:barChart>
      <c:catAx>
        <c:axId val="48585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5855168"/>
        <c:crosses val="autoZero"/>
        <c:auto val="1"/>
        <c:lblAlgn val="ctr"/>
        <c:lblOffset val="100"/>
        <c:noMultiLvlLbl val="0"/>
      </c:catAx>
      <c:valAx>
        <c:axId val="4858551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8585595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495664867734231"/>
          <c:y val="0.24365043889164509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spPr>
    <a:solidFill>
      <a:srgbClr val="FFEBEB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28</xdr:row>
      <xdr:rowOff>137159</xdr:rowOff>
    </xdr:from>
    <xdr:to>
      <xdr:col>12</xdr:col>
      <xdr:colOff>409575</xdr:colOff>
      <xdr:row>41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0.07884</cdr:x>
      <cdr:y>0.04368</cdr:y>
    </cdr:from>
    <cdr:to>
      <cdr:x>0.93644</cdr:x>
      <cdr:y>0.12041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31670" y="133381"/>
          <a:ext cx="5783397" cy="23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5.11: Number of Civil Servants by sector for Male' &amp; Atolls, </a:t>
          </a:r>
          <a:r>
            <a:rPr lang="en-US" sz="1100" b="1" i="0" baseline="0">
              <a:solidFill>
                <a:schemeClr val="tx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2021</a:t>
          </a:r>
          <a:endParaRPr lang="en-US" sz="1100">
            <a:solidFill>
              <a:schemeClr val="tx1"/>
            </a:solidFill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T38"/>
  <sheetViews>
    <sheetView tabSelected="1" zoomScaleNormal="100" workbookViewId="0">
      <selection activeCell="R19" sqref="R19"/>
    </sheetView>
  </sheetViews>
  <sheetFormatPr defaultRowHeight="15" x14ac:dyDescent="0.25"/>
  <cols>
    <col min="1" max="1" width="26" style="1" customWidth="1"/>
    <col min="2" max="2" width="9" style="1" customWidth="1"/>
    <col min="3" max="4" width="9" style="20" customWidth="1"/>
    <col min="5" max="5" width="9.7109375" style="20" customWidth="1"/>
    <col min="6" max="6" width="9" style="20" customWidth="1"/>
    <col min="7" max="7" width="9.42578125" style="20" customWidth="1"/>
    <col min="8" max="8" width="11.42578125" style="20" customWidth="1"/>
    <col min="9" max="11" width="9" style="20" customWidth="1"/>
    <col min="12" max="12" width="9.28515625" style="20" customWidth="1"/>
    <col min="13" max="15" width="9" style="20" customWidth="1"/>
    <col min="16" max="36" width="12.42578125" style="18" customWidth="1"/>
    <col min="37" max="39" width="9.140625" style="1"/>
    <col min="40" max="40" width="10.5703125" style="1" bestFit="1" customWidth="1"/>
    <col min="41" max="42" width="9.5703125" style="1" bestFit="1" customWidth="1"/>
    <col min="43" max="43" width="9.28515625" style="1" bestFit="1" customWidth="1"/>
    <col min="44" max="46" width="9.5703125" style="1" bestFit="1" customWidth="1"/>
    <col min="47" max="16384" width="9.140625" style="1"/>
  </cols>
  <sheetData>
    <row r="1" spans="1:39" s="2" customFormat="1" ht="21" x14ac:dyDescent="0.25">
      <c r="A1" s="28" t="s">
        <v>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</row>
    <row r="2" spans="1:39" ht="19.149999999999999" customHeight="1" x14ac:dyDescent="0.25">
      <c r="A2" s="29" t="s">
        <v>34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9" ht="4.9000000000000004" customHeight="1" x14ac:dyDescent="0.25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9" ht="54.75" customHeight="1" x14ac:dyDescent="0.25">
      <c r="A4" s="12" t="s">
        <v>3</v>
      </c>
      <c r="B4" s="13" t="s">
        <v>0</v>
      </c>
      <c r="C4" s="13" t="s">
        <v>36</v>
      </c>
      <c r="D4" s="13" t="s">
        <v>37</v>
      </c>
      <c r="E4" s="13" t="s">
        <v>38</v>
      </c>
      <c r="F4" s="13" t="s">
        <v>39</v>
      </c>
      <c r="G4" s="13" t="s">
        <v>40</v>
      </c>
      <c r="H4" s="13" t="s">
        <v>41</v>
      </c>
      <c r="I4" s="13" t="s">
        <v>42</v>
      </c>
      <c r="J4" s="13" t="s">
        <v>43</v>
      </c>
      <c r="K4" s="13" t="s">
        <v>27</v>
      </c>
      <c r="L4" s="13" t="s">
        <v>44</v>
      </c>
      <c r="M4" s="13" t="s">
        <v>45</v>
      </c>
      <c r="N4" s="13" t="s">
        <v>46</v>
      </c>
      <c r="O4" s="13" t="s">
        <v>47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9" s="6" customFormat="1" x14ac:dyDescent="0.25">
      <c r="A5" s="14" t="s">
        <v>4</v>
      </c>
      <c r="B5" s="23">
        <f>SUM(B6:B7)</f>
        <v>26834</v>
      </c>
      <c r="C5" s="23">
        <f t="shared" ref="C5:G5" si="0">SUM(C6:C7)</f>
        <v>196</v>
      </c>
      <c r="D5" s="23">
        <f t="shared" si="0"/>
        <v>505</v>
      </c>
      <c r="E5" s="23">
        <f t="shared" si="0"/>
        <v>225</v>
      </c>
      <c r="F5" s="23">
        <f t="shared" si="0"/>
        <v>37</v>
      </c>
      <c r="G5" s="23">
        <f t="shared" si="0"/>
        <v>803</v>
      </c>
      <c r="H5" s="23">
        <f>SUM(H6:H7)</f>
        <v>478</v>
      </c>
      <c r="I5" s="23">
        <f t="shared" ref="I5:O5" si="1">SUM(I6:I7)</f>
        <v>159</v>
      </c>
      <c r="J5" s="23">
        <f t="shared" si="1"/>
        <v>267</v>
      </c>
      <c r="K5" s="23">
        <f t="shared" si="1"/>
        <v>6904</v>
      </c>
      <c r="L5" s="23">
        <f t="shared" si="1"/>
        <v>2523</v>
      </c>
      <c r="M5" s="23">
        <f t="shared" si="1"/>
        <v>2994</v>
      </c>
      <c r="N5" s="23">
        <f t="shared" si="1"/>
        <v>1432</v>
      </c>
      <c r="O5" s="23">
        <f t="shared" si="1"/>
        <v>10311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spans="1:39" s="6" customFormat="1" x14ac:dyDescent="0.25">
      <c r="A6" s="14" t="s">
        <v>5</v>
      </c>
      <c r="B6" s="24">
        <f>SUM(C6:O6)</f>
        <v>9683</v>
      </c>
      <c r="C6" s="22">
        <v>196</v>
      </c>
      <c r="D6" s="22">
        <v>0</v>
      </c>
      <c r="E6" s="22">
        <v>225</v>
      </c>
      <c r="F6" s="22">
        <v>37</v>
      </c>
      <c r="G6" s="22">
        <v>300</v>
      </c>
      <c r="H6" s="22">
        <v>478</v>
      </c>
      <c r="I6" s="22">
        <v>0</v>
      </c>
      <c r="J6" s="22">
        <v>267</v>
      </c>
      <c r="K6" s="22">
        <v>1477</v>
      </c>
      <c r="L6" s="22">
        <v>0</v>
      </c>
      <c r="M6" s="22">
        <v>2994</v>
      </c>
      <c r="N6" s="22">
        <v>1421</v>
      </c>
      <c r="O6" s="22">
        <v>2288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39" s="6" customFormat="1" x14ac:dyDescent="0.25">
      <c r="A7" s="14" t="s">
        <v>31</v>
      </c>
      <c r="B7" s="24">
        <f>SUM(C7:O7)</f>
        <v>17151</v>
      </c>
      <c r="C7" s="25">
        <f>SUM(C8:C27)</f>
        <v>0</v>
      </c>
      <c r="D7" s="25">
        <f t="shared" ref="D7:O7" si="2">SUM(D8:D27)</f>
        <v>505</v>
      </c>
      <c r="E7" s="25">
        <f t="shared" si="2"/>
        <v>0</v>
      </c>
      <c r="F7" s="25">
        <f t="shared" si="2"/>
        <v>0</v>
      </c>
      <c r="G7" s="25">
        <f t="shared" si="2"/>
        <v>503</v>
      </c>
      <c r="H7" s="25">
        <f t="shared" si="2"/>
        <v>0</v>
      </c>
      <c r="I7" s="25">
        <f t="shared" si="2"/>
        <v>159</v>
      </c>
      <c r="J7" s="25">
        <f t="shared" si="2"/>
        <v>0</v>
      </c>
      <c r="K7" s="25">
        <f t="shared" si="2"/>
        <v>5427</v>
      </c>
      <c r="L7" s="25">
        <f t="shared" si="2"/>
        <v>2523</v>
      </c>
      <c r="M7" s="25">
        <f t="shared" si="2"/>
        <v>0</v>
      </c>
      <c r="N7" s="25">
        <f t="shared" si="2"/>
        <v>11</v>
      </c>
      <c r="O7" s="25">
        <f t="shared" si="2"/>
        <v>8023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1:39" x14ac:dyDescent="0.25">
      <c r="A8" s="7" t="s">
        <v>6</v>
      </c>
      <c r="B8" s="24">
        <f>SUM(C8:O8)</f>
        <v>1162</v>
      </c>
      <c r="C8" s="21">
        <v>0</v>
      </c>
      <c r="D8" s="21">
        <v>36</v>
      </c>
      <c r="E8" s="21">
        <v>0</v>
      </c>
      <c r="F8" s="21">
        <v>0</v>
      </c>
      <c r="G8" s="21">
        <v>0</v>
      </c>
      <c r="H8" s="21">
        <v>0</v>
      </c>
      <c r="I8" s="21">
        <v>5</v>
      </c>
      <c r="J8" s="21">
        <v>0</v>
      </c>
      <c r="K8" s="21">
        <v>329</v>
      </c>
      <c r="L8" s="21">
        <v>226</v>
      </c>
      <c r="M8" s="21">
        <v>0</v>
      </c>
      <c r="N8" s="21">
        <v>0</v>
      </c>
      <c r="O8" s="21">
        <v>566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9" x14ac:dyDescent="0.25">
      <c r="A9" s="7" t="s">
        <v>7</v>
      </c>
      <c r="B9" s="24">
        <f t="shared" ref="B9:B27" si="3">SUM(C9:O9)</f>
        <v>1557</v>
      </c>
      <c r="C9" s="21">
        <v>0</v>
      </c>
      <c r="D9" s="21">
        <v>35</v>
      </c>
      <c r="E9" s="21">
        <v>0</v>
      </c>
      <c r="F9" s="21">
        <v>0</v>
      </c>
      <c r="G9" s="21">
        <v>60</v>
      </c>
      <c r="H9" s="21">
        <v>0</v>
      </c>
      <c r="I9" s="21">
        <v>0</v>
      </c>
      <c r="J9" s="21">
        <v>0</v>
      </c>
      <c r="K9" s="21">
        <v>536</v>
      </c>
      <c r="L9" s="21">
        <v>171</v>
      </c>
      <c r="M9" s="21">
        <v>0</v>
      </c>
      <c r="N9" s="21">
        <v>0</v>
      </c>
      <c r="O9" s="21">
        <v>755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9" x14ac:dyDescent="0.25">
      <c r="A10" s="7" t="s">
        <v>8</v>
      </c>
      <c r="B10" s="24">
        <f t="shared" si="3"/>
        <v>1169</v>
      </c>
      <c r="C10" s="21">
        <v>0</v>
      </c>
      <c r="D10" s="21">
        <v>36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396</v>
      </c>
      <c r="L10" s="21">
        <v>192</v>
      </c>
      <c r="M10" s="21">
        <v>0</v>
      </c>
      <c r="N10" s="21">
        <v>0</v>
      </c>
      <c r="O10" s="21">
        <v>545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9" x14ac:dyDescent="0.25">
      <c r="A11" s="7" t="s">
        <v>9</v>
      </c>
      <c r="B11" s="24">
        <f t="shared" si="3"/>
        <v>948</v>
      </c>
      <c r="C11" s="21">
        <v>0</v>
      </c>
      <c r="D11" s="21">
        <v>27</v>
      </c>
      <c r="E11" s="21">
        <v>0</v>
      </c>
      <c r="F11" s="21">
        <v>0</v>
      </c>
      <c r="G11" s="21">
        <v>0</v>
      </c>
      <c r="H11" s="21">
        <v>0</v>
      </c>
      <c r="I11" s="21">
        <v>13</v>
      </c>
      <c r="J11" s="21">
        <v>0</v>
      </c>
      <c r="K11" s="21">
        <v>240</v>
      </c>
      <c r="L11" s="21">
        <v>162</v>
      </c>
      <c r="M11" s="21">
        <v>0</v>
      </c>
      <c r="N11" s="21">
        <v>0</v>
      </c>
      <c r="O11" s="21">
        <v>506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9" x14ac:dyDescent="0.25">
      <c r="A12" s="7" t="s">
        <v>10</v>
      </c>
      <c r="B12" s="24">
        <f t="shared" si="3"/>
        <v>1318</v>
      </c>
      <c r="C12" s="21">
        <v>0</v>
      </c>
      <c r="D12" s="21">
        <v>28</v>
      </c>
      <c r="E12" s="21">
        <v>0</v>
      </c>
      <c r="F12" s="21">
        <v>0</v>
      </c>
      <c r="G12" s="21">
        <v>0</v>
      </c>
      <c r="H12" s="21">
        <v>0</v>
      </c>
      <c r="I12" s="21">
        <v>28</v>
      </c>
      <c r="J12" s="21">
        <v>0</v>
      </c>
      <c r="K12" s="21">
        <v>373</v>
      </c>
      <c r="L12" s="21">
        <v>216</v>
      </c>
      <c r="M12" s="21">
        <v>0</v>
      </c>
      <c r="N12" s="21">
        <v>0</v>
      </c>
      <c r="O12" s="21">
        <v>673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9" x14ac:dyDescent="0.25">
      <c r="A13" s="7" t="s">
        <v>11</v>
      </c>
      <c r="B13" s="24">
        <f t="shared" si="3"/>
        <v>925</v>
      </c>
      <c r="C13" s="21">
        <v>0</v>
      </c>
      <c r="D13" s="21">
        <v>28</v>
      </c>
      <c r="E13" s="21">
        <v>0</v>
      </c>
      <c r="F13" s="21">
        <v>0</v>
      </c>
      <c r="G13" s="21">
        <v>0</v>
      </c>
      <c r="H13" s="21">
        <v>0</v>
      </c>
      <c r="I13" s="21">
        <v>45</v>
      </c>
      <c r="J13" s="21">
        <v>0</v>
      </c>
      <c r="K13" s="21">
        <v>271</v>
      </c>
      <c r="L13" s="21">
        <v>141</v>
      </c>
      <c r="M13" s="21">
        <v>0</v>
      </c>
      <c r="N13" s="21">
        <v>11</v>
      </c>
      <c r="O13" s="21">
        <v>429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9" x14ac:dyDescent="0.25">
      <c r="A14" s="7" t="s">
        <v>12</v>
      </c>
      <c r="B14" s="24">
        <f t="shared" si="3"/>
        <v>539</v>
      </c>
      <c r="C14" s="21">
        <v>0</v>
      </c>
      <c r="D14" s="21">
        <v>25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209</v>
      </c>
      <c r="L14" s="21">
        <v>78</v>
      </c>
      <c r="M14" s="21">
        <v>0</v>
      </c>
      <c r="N14" s="21">
        <v>0</v>
      </c>
      <c r="O14" s="21">
        <v>227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9" x14ac:dyDescent="0.25">
      <c r="A15" s="7" t="s">
        <v>13</v>
      </c>
      <c r="B15" s="24">
        <f t="shared" si="3"/>
        <v>878</v>
      </c>
      <c r="C15" s="21">
        <v>0</v>
      </c>
      <c r="D15" s="21">
        <v>19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366</v>
      </c>
      <c r="L15" s="21">
        <v>133</v>
      </c>
      <c r="M15" s="21">
        <v>0</v>
      </c>
      <c r="N15" s="21">
        <v>0</v>
      </c>
      <c r="O15" s="21">
        <v>360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9" x14ac:dyDescent="0.25">
      <c r="A16" s="7" t="s">
        <v>14</v>
      </c>
      <c r="B16" s="24">
        <f t="shared" si="3"/>
        <v>560</v>
      </c>
      <c r="C16" s="21">
        <v>0</v>
      </c>
      <c r="D16" s="21">
        <v>24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160</v>
      </c>
      <c r="L16" s="21">
        <v>106</v>
      </c>
      <c r="M16" s="21">
        <v>0</v>
      </c>
      <c r="N16" s="21">
        <v>0</v>
      </c>
      <c r="O16" s="21">
        <v>270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7" x14ac:dyDescent="0.25">
      <c r="A17" s="7" t="s">
        <v>15</v>
      </c>
      <c r="B17" s="24">
        <f t="shared" si="3"/>
        <v>711</v>
      </c>
      <c r="C17" s="21">
        <v>0</v>
      </c>
      <c r="D17" s="21">
        <v>23</v>
      </c>
      <c r="E17" s="21">
        <v>0</v>
      </c>
      <c r="F17" s="21">
        <v>0</v>
      </c>
      <c r="G17" s="21">
        <v>0</v>
      </c>
      <c r="H17" s="21">
        <v>0</v>
      </c>
      <c r="I17" s="21">
        <v>19</v>
      </c>
      <c r="J17" s="21">
        <v>0</v>
      </c>
      <c r="K17" s="21">
        <v>224</v>
      </c>
      <c r="L17" s="21">
        <v>124</v>
      </c>
      <c r="M17" s="21">
        <v>0</v>
      </c>
      <c r="N17" s="21">
        <v>0</v>
      </c>
      <c r="O17" s="21">
        <v>321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7" x14ac:dyDescent="0.25">
      <c r="A18" s="7" t="s">
        <v>16</v>
      </c>
      <c r="B18" s="24">
        <f t="shared" si="3"/>
        <v>198</v>
      </c>
      <c r="C18" s="21">
        <v>0</v>
      </c>
      <c r="D18" s="21">
        <v>20</v>
      </c>
      <c r="E18" s="21">
        <v>0</v>
      </c>
      <c r="F18" s="21">
        <v>0</v>
      </c>
      <c r="G18" s="21">
        <v>0</v>
      </c>
      <c r="H18" s="21">
        <v>0</v>
      </c>
      <c r="I18" s="21">
        <v>6</v>
      </c>
      <c r="J18" s="21">
        <v>0</v>
      </c>
      <c r="K18" s="21">
        <v>56</v>
      </c>
      <c r="L18" s="21">
        <v>35</v>
      </c>
      <c r="M18" s="21">
        <v>0</v>
      </c>
      <c r="N18" s="21">
        <v>0</v>
      </c>
      <c r="O18" s="21">
        <v>81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7" x14ac:dyDescent="0.25">
      <c r="A19" s="7" t="s">
        <v>17</v>
      </c>
      <c r="B19" s="24">
        <f t="shared" si="3"/>
        <v>528</v>
      </c>
      <c r="C19" s="21">
        <v>0</v>
      </c>
      <c r="D19" s="21">
        <v>29</v>
      </c>
      <c r="E19" s="21">
        <v>0</v>
      </c>
      <c r="F19" s="21">
        <v>0</v>
      </c>
      <c r="G19" s="21">
        <v>0</v>
      </c>
      <c r="H19" s="21">
        <v>0</v>
      </c>
      <c r="I19" s="21">
        <v>24</v>
      </c>
      <c r="J19" s="21">
        <v>0</v>
      </c>
      <c r="K19" s="21">
        <v>161</v>
      </c>
      <c r="L19" s="21">
        <v>98</v>
      </c>
      <c r="M19" s="21">
        <v>0</v>
      </c>
      <c r="N19" s="21">
        <v>0</v>
      </c>
      <c r="O19" s="21">
        <v>216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7" x14ac:dyDescent="0.25">
      <c r="A20" s="7" t="s">
        <v>18</v>
      </c>
      <c r="B20" s="24">
        <f t="shared" si="3"/>
        <v>534</v>
      </c>
      <c r="C20" s="21">
        <v>0</v>
      </c>
      <c r="D20" s="21">
        <v>32</v>
      </c>
      <c r="E20" s="21">
        <v>0</v>
      </c>
      <c r="F20" s="21">
        <v>0</v>
      </c>
      <c r="G20" s="21">
        <v>0</v>
      </c>
      <c r="H20" s="21">
        <v>0</v>
      </c>
      <c r="I20" s="21">
        <v>6</v>
      </c>
      <c r="J20" s="21">
        <v>0</v>
      </c>
      <c r="K20" s="21">
        <v>173</v>
      </c>
      <c r="L20" s="21">
        <v>90</v>
      </c>
      <c r="M20" s="21">
        <v>0</v>
      </c>
      <c r="N20" s="21">
        <v>0</v>
      </c>
      <c r="O20" s="21">
        <v>233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7" x14ac:dyDescent="0.25">
      <c r="A21" s="7" t="s">
        <v>19</v>
      </c>
      <c r="B21" s="24">
        <f t="shared" si="3"/>
        <v>562</v>
      </c>
      <c r="C21" s="21">
        <v>0</v>
      </c>
      <c r="D21" s="21">
        <v>24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179</v>
      </c>
      <c r="L21" s="21">
        <v>97</v>
      </c>
      <c r="M21" s="21">
        <v>0</v>
      </c>
      <c r="N21" s="21">
        <v>0</v>
      </c>
      <c r="O21" s="21">
        <v>262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7" x14ac:dyDescent="0.25">
      <c r="A22" s="7" t="s">
        <v>20</v>
      </c>
      <c r="B22" s="24">
        <f t="shared" si="3"/>
        <v>1019</v>
      </c>
      <c r="C22" s="21">
        <v>0</v>
      </c>
      <c r="D22" s="21">
        <v>36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345</v>
      </c>
      <c r="L22" s="21">
        <v>194</v>
      </c>
      <c r="M22" s="21">
        <v>0</v>
      </c>
      <c r="N22" s="21">
        <v>0</v>
      </c>
      <c r="O22" s="21">
        <v>444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7" x14ac:dyDescent="0.25">
      <c r="A23" s="7" t="s">
        <v>21</v>
      </c>
      <c r="B23" s="24">
        <f t="shared" si="3"/>
        <v>1046</v>
      </c>
      <c r="C23" s="21">
        <v>0</v>
      </c>
      <c r="D23" s="21">
        <v>33</v>
      </c>
      <c r="E23" s="21">
        <v>0</v>
      </c>
      <c r="F23" s="21">
        <v>0</v>
      </c>
      <c r="G23" s="21">
        <v>0</v>
      </c>
      <c r="H23" s="21">
        <v>0</v>
      </c>
      <c r="I23" s="21">
        <v>3</v>
      </c>
      <c r="J23" s="21">
        <v>0</v>
      </c>
      <c r="K23" s="21">
        <v>337</v>
      </c>
      <c r="L23" s="21">
        <v>203</v>
      </c>
      <c r="M23" s="21">
        <v>0</v>
      </c>
      <c r="N23" s="21">
        <v>0</v>
      </c>
      <c r="O23" s="21">
        <v>470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7" x14ac:dyDescent="0.25">
      <c r="A24" s="7" t="s">
        <v>22</v>
      </c>
      <c r="B24" s="24">
        <f t="shared" si="3"/>
        <v>699</v>
      </c>
      <c r="C24" s="21">
        <v>0</v>
      </c>
      <c r="D24" s="21">
        <v>20</v>
      </c>
      <c r="E24" s="21">
        <v>0</v>
      </c>
      <c r="F24" s="21">
        <v>0</v>
      </c>
      <c r="G24" s="21">
        <v>0</v>
      </c>
      <c r="H24" s="21">
        <v>0</v>
      </c>
      <c r="I24" s="21">
        <v>10</v>
      </c>
      <c r="J24" s="21">
        <v>0</v>
      </c>
      <c r="K24" s="21">
        <v>239</v>
      </c>
      <c r="L24" s="21">
        <v>124</v>
      </c>
      <c r="M24" s="21">
        <v>0</v>
      </c>
      <c r="N24" s="21">
        <v>0</v>
      </c>
      <c r="O24" s="21">
        <v>306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7" x14ac:dyDescent="0.25">
      <c r="A25" s="7" t="s">
        <v>23</v>
      </c>
      <c r="B25" s="24">
        <f t="shared" si="3"/>
        <v>960</v>
      </c>
      <c r="C25" s="21">
        <v>0</v>
      </c>
      <c r="D25" s="21">
        <v>30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369</v>
      </c>
      <c r="L25" s="21">
        <v>133</v>
      </c>
      <c r="M25" s="21">
        <v>0</v>
      </c>
      <c r="N25" s="21">
        <v>0</v>
      </c>
      <c r="O25" s="21">
        <v>428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7" x14ac:dyDescent="0.25">
      <c r="A26" s="7" t="s">
        <v>24</v>
      </c>
      <c r="B26" s="24">
        <f t="shared" si="3"/>
        <v>612</v>
      </c>
      <c r="C26" s="21">
        <v>0</v>
      </c>
      <c r="D26" s="21">
        <v>0</v>
      </c>
      <c r="E26" s="21">
        <v>0</v>
      </c>
      <c r="F26" s="21">
        <v>0</v>
      </c>
      <c r="G26" s="21">
        <v>183</v>
      </c>
      <c r="H26" s="21">
        <v>0</v>
      </c>
      <c r="I26" s="21">
        <v>0</v>
      </c>
      <c r="J26" s="21">
        <v>0</v>
      </c>
      <c r="K26" s="21">
        <v>116</v>
      </c>
      <c r="L26" s="21">
        <v>0</v>
      </c>
      <c r="M26" s="21">
        <v>0</v>
      </c>
      <c r="N26" s="21">
        <v>0</v>
      </c>
      <c r="O26" s="21">
        <v>313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7" x14ac:dyDescent="0.25">
      <c r="A27" s="8" t="s">
        <v>25</v>
      </c>
      <c r="B27" s="26">
        <f t="shared" si="3"/>
        <v>1226</v>
      </c>
      <c r="C27" s="27">
        <v>0</v>
      </c>
      <c r="D27" s="27">
        <v>0</v>
      </c>
      <c r="E27" s="27">
        <v>0</v>
      </c>
      <c r="F27" s="27">
        <v>0</v>
      </c>
      <c r="G27" s="27">
        <v>260</v>
      </c>
      <c r="H27" s="27">
        <v>0</v>
      </c>
      <c r="I27" s="27">
        <v>0</v>
      </c>
      <c r="J27" s="27">
        <v>0</v>
      </c>
      <c r="K27" s="27">
        <v>348</v>
      </c>
      <c r="L27" s="27">
        <v>0</v>
      </c>
      <c r="M27" s="27">
        <v>0</v>
      </c>
      <c r="N27" s="27">
        <v>0</v>
      </c>
      <c r="O27" s="27">
        <v>618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7" s="2" customFormat="1" ht="17.25" x14ac:dyDescent="0.25">
      <c r="A28" s="16" t="s">
        <v>1</v>
      </c>
      <c r="B28" s="17"/>
      <c r="C28" s="10"/>
      <c r="D28" s="10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4" t="s">
        <v>2</v>
      </c>
      <c r="AK28" s="3"/>
    </row>
    <row r="36" spans="39:46" ht="60" x14ac:dyDescent="0.25">
      <c r="AN36" s="1" t="s">
        <v>0</v>
      </c>
      <c r="AO36" s="13" t="s">
        <v>26</v>
      </c>
      <c r="AP36" s="13" t="s">
        <v>27</v>
      </c>
      <c r="AQ36" s="13" t="s">
        <v>32</v>
      </c>
      <c r="AR36" s="13" t="s">
        <v>28</v>
      </c>
      <c r="AS36" s="13" t="s">
        <v>29</v>
      </c>
      <c r="AT36" s="13" t="s">
        <v>30</v>
      </c>
    </row>
    <row r="37" spans="39:46" x14ac:dyDescent="0.25">
      <c r="AM37" s="14" t="s">
        <v>5</v>
      </c>
      <c r="AN37" s="19">
        <f>B6</f>
        <v>9683</v>
      </c>
      <c r="AO37" s="19">
        <f t="shared" ref="AO37:AT38" si="4">C6</f>
        <v>196</v>
      </c>
      <c r="AP37" s="19">
        <f t="shared" si="4"/>
        <v>0</v>
      </c>
      <c r="AQ37" s="19">
        <f t="shared" si="4"/>
        <v>225</v>
      </c>
      <c r="AR37" s="19">
        <f t="shared" si="4"/>
        <v>37</v>
      </c>
      <c r="AS37" s="19">
        <f t="shared" si="4"/>
        <v>300</v>
      </c>
      <c r="AT37" s="19">
        <f t="shared" si="4"/>
        <v>478</v>
      </c>
    </row>
    <row r="38" spans="39:46" x14ac:dyDescent="0.25">
      <c r="AM38" s="14" t="s">
        <v>33</v>
      </c>
      <c r="AN38" s="19">
        <f>B7</f>
        <v>17151</v>
      </c>
      <c r="AO38" s="19">
        <f t="shared" si="4"/>
        <v>0</v>
      </c>
      <c r="AP38" s="19">
        <f t="shared" si="4"/>
        <v>505</v>
      </c>
      <c r="AQ38" s="19">
        <f t="shared" si="4"/>
        <v>0</v>
      </c>
      <c r="AR38" s="19">
        <f t="shared" si="4"/>
        <v>0</v>
      </c>
      <c r="AS38" s="19">
        <f t="shared" si="4"/>
        <v>503</v>
      </c>
      <c r="AT38" s="19">
        <f t="shared" si="4"/>
        <v>0</v>
      </c>
    </row>
  </sheetData>
  <mergeCells count="2">
    <mergeCell ref="A1:O1"/>
    <mergeCell ref="A2:O2"/>
  </mergeCells>
  <conditionalFormatting sqref="C4:O4">
    <cfRule type="duplicateValues" dxfId="0" priority="1"/>
  </conditionalFormatting>
  <pageMargins left="0.7" right="0.7" top="0.75" bottom="0.75" header="0.3" footer="0.3"/>
  <pageSetup paperSize="9" scale="51" orientation="portrait" horizontalDpi="4294967295" verticalDpi="4294967295" r:id="rId1"/>
  <colBreaks count="1" manualBreakCount="1">
    <brk id="16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2023-01-24T09:34:36Z</cp:lastPrinted>
  <dcterms:created xsi:type="dcterms:W3CDTF">2019-06-03T04:17:39Z</dcterms:created>
  <dcterms:modified xsi:type="dcterms:W3CDTF">2023-01-24T09:37:30Z</dcterms:modified>
</cp:coreProperties>
</file>