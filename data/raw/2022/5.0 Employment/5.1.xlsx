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mployment\"/>
    </mc:Choice>
  </mc:AlternateContent>
  <xr:revisionPtr revIDLastSave="0" documentId="13_ncr:1_{A1373625-14E5-4811-975F-0A83248FA5A5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1" sheetId="1" r:id="rId1"/>
  </sheets>
  <definedNames>
    <definedName name="_xlnm.Print_Area" localSheetId="0">'5.1'!$A$1:$M$133</definedName>
    <definedName name="_xlnm.Print_Titles" localSheetId="0">'5.1'!$4:$7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41" i="1" l="1"/>
  <c r="AD141" i="1"/>
  <c r="AB141" i="1"/>
  <c r="D10" i="1" l="1"/>
  <c r="K9" i="1"/>
  <c r="H9" i="1"/>
  <c r="C111" i="1"/>
  <c r="D111" i="1"/>
  <c r="F111" i="1"/>
  <c r="J111" i="1"/>
  <c r="C112" i="1"/>
  <c r="D112" i="1"/>
  <c r="F112" i="1"/>
  <c r="J112" i="1"/>
  <c r="C113" i="1"/>
  <c r="D113" i="1"/>
  <c r="F113" i="1"/>
  <c r="J113" i="1"/>
  <c r="C114" i="1"/>
  <c r="D114" i="1"/>
  <c r="F114" i="1"/>
  <c r="J114" i="1"/>
  <c r="J110" i="1"/>
  <c r="F110" i="1"/>
  <c r="D110" i="1"/>
  <c r="C110" i="1"/>
  <c r="B113" i="1" l="1"/>
  <c r="B111" i="1"/>
  <c r="B110" i="1"/>
  <c r="B112" i="1"/>
  <c r="B114" i="1"/>
  <c r="L9" i="1" l="1"/>
  <c r="J108" i="1"/>
  <c r="J109" i="1"/>
  <c r="F108" i="1"/>
  <c r="F109" i="1"/>
  <c r="C108" i="1"/>
  <c r="D108" i="1"/>
  <c r="C109" i="1"/>
  <c r="D109" i="1"/>
  <c r="J9" i="1" l="1"/>
  <c r="D9" i="1"/>
  <c r="B108" i="1"/>
  <c r="B109" i="1"/>
  <c r="C11" i="1" l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B104" i="1" l="1"/>
  <c r="B100" i="1"/>
  <c r="B103" i="1"/>
  <c r="B16" i="1"/>
  <c r="B28" i="1"/>
  <c r="B36" i="1"/>
  <c r="B44" i="1"/>
  <c r="B52" i="1"/>
  <c r="B60" i="1"/>
  <c r="B72" i="1"/>
  <c r="B96" i="1"/>
  <c r="B99" i="1"/>
  <c r="B12" i="1"/>
  <c r="B20" i="1"/>
  <c r="B24" i="1"/>
  <c r="B32" i="1"/>
  <c r="B40" i="1"/>
  <c r="B48" i="1"/>
  <c r="B56" i="1"/>
  <c r="B64" i="1"/>
  <c r="B68" i="1"/>
  <c r="B76" i="1"/>
  <c r="B80" i="1"/>
  <c r="B84" i="1"/>
  <c r="B88" i="1"/>
  <c r="B92" i="1"/>
  <c r="B106" i="1"/>
  <c r="B107" i="1"/>
  <c r="B13" i="1"/>
  <c r="B17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4" i="1"/>
  <c r="B18" i="1"/>
  <c r="B22" i="1"/>
  <c r="B26" i="1"/>
  <c r="B30" i="1"/>
  <c r="B34" i="1"/>
  <c r="B38" i="1"/>
  <c r="B42" i="1"/>
  <c r="B46" i="1"/>
  <c r="B50" i="1"/>
  <c r="B54" i="1"/>
  <c r="B58" i="1"/>
  <c r="B62" i="1"/>
  <c r="B66" i="1"/>
  <c r="B70" i="1"/>
  <c r="B74" i="1"/>
  <c r="B78" i="1"/>
  <c r="B82" i="1"/>
  <c r="B86" i="1"/>
  <c r="B90" i="1"/>
  <c r="B94" i="1"/>
  <c r="B98" i="1"/>
  <c r="B102" i="1"/>
  <c r="B11" i="1"/>
  <c r="B15" i="1"/>
  <c r="B19" i="1"/>
  <c r="B23" i="1"/>
  <c r="B27" i="1"/>
  <c r="B31" i="1"/>
  <c r="B35" i="1"/>
  <c r="B39" i="1"/>
  <c r="B43" i="1"/>
  <c r="B47" i="1"/>
  <c r="B51" i="1"/>
  <c r="B55" i="1"/>
  <c r="B59" i="1"/>
  <c r="B63" i="1"/>
  <c r="B67" i="1"/>
  <c r="B71" i="1"/>
  <c r="B75" i="1"/>
  <c r="B79" i="1"/>
  <c r="B83" i="1"/>
  <c r="B87" i="1"/>
  <c r="B91" i="1"/>
  <c r="B95" i="1"/>
  <c r="C10" i="1" l="1"/>
  <c r="F10" i="1"/>
  <c r="B10" i="1" s="1"/>
  <c r="G9" i="1"/>
  <c r="F9" i="1" l="1"/>
  <c r="B9" i="1" s="1"/>
  <c r="C9" i="1"/>
</calcChain>
</file>

<file path=xl/sharedStrings.xml><?xml version="1.0" encoding="utf-8"?>
<sst xmlns="http://schemas.openxmlformats.org/spreadsheetml/2006/main" count="143" uniqueCount="122">
  <si>
    <t>ރޭންކް</t>
  </si>
  <si>
    <t>No. of Employees</t>
  </si>
  <si>
    <t>މުވައްޒަފުންގެ އަދަދު</t>
  </si>
  <si>
    <t>Republic</t>
  </si>
  <si>
    <t>Male'</t>
  </si>
  <si>
    <t xml:space="preserve">Atolls </t>
  </si>
  <si>
    <t>Rank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</si>
  <si>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</si>
  <si>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</si>
  <si>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</si>
  <si>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</si>
  <si>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</si>
  <si>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</si>
  <si>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</si>
  <si>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CIVIL SERVICE 10-1</t>
  </si>
  <si>
    <t>CIVIL SERVICE 10-2</t>
  </si>
  <si>
    <t>CIVIL SERVICE 10-3</t>
  </si>
  <si>
    <t>CIVIL SERVICE 10-5</t>
  </si>
  <si>
    <t>CIVIL SERVICE 11-1</t>
  </si>
  <si>
    <t>CIVIL SERVICE 11-2</t>
  </si>
  <si>
    <t>CIVIL SERVICE 11-3</t>
  </si>
  <si>
    <t>CIVIL SERVICE 11-4</t>
  </si>
  <si>
    <t>CIVIL SERVICE 11-5</t>
  </si>
  <si>
    <t>CIVIL SERVICE 12-1</t>
  </si>
  <si>
    <t>CIVIL SERVICE 12-2</t>
  </si>
  <si>
    <t>CIVIL SERVICE 12-3</t>
  </si>
  <si>
    <t>CIVIL SERVICE 12-4</t>
  </si>
  <si>
    <t>CIVIL SERVICE 12-5</t>
  </si>
  <si>
    <t>CIVIL SERVICE 13-1</t>
  </si>
  <si>
    <t>CIVIL SERVICE 13-2</t>
  </si>
  <si>
    <t>CIVIL SERVICE 13-3</t>
  </si>
  <si>
    <t>CIVIL SERVICE 13-4</t>
  </si>
  <si>
    <t>CIVIL SERVICE 13-5</t>
  </si>
  <si>
    <t>CIVIL SERVICE 14</t>
  </si>
  <si>
    <t>CIVIL SERVICE 14-1</t>
  </si>
  <si>
    <t>CIVIL SERVICE 14-2</t>
  </si>
  <si>
    <t>CIVIL SERVICE 14-3</t>
  </si>
  <si>
    <t>CIVIL SERVICE 14-4</t>
  </si>
  <si>
    <t>CIVIL SERVICE 14-5</t>
  </si>
  <si>
    <t>CIVIL SERVICE 15</t>
  </si>
  <si>
    <t>CIVIL SERVICE 15-1</t>
  </si>
  <si>
    <t>CIVIL SERVICE 15-2</t>
  </si>
  <si>
    <t>CIVIL SERVICE 15-3</t>
  </si>
  <si>
    <t>CIVIL SERVICE 15-4</t>
  </si>
  <si>
    <t>CIVIL SERVICE 15-5</t>
  </si>
  <si>
    <t>CIVIL SERVICE 16</t>
  </si>
  <si>
    <t>CIVIL SERVICE 16-1</t>
  </si>
  <si>
    <t>CIVIL SERVICE 16-2</t>
  </si>
  <si>
    <t>CIVIL SERVICE 16-3</t>
  </si>
  <si>
    <t>CIVIL SERVICE 16-4</t>
  </si>
  <si>
    <t>CIVIL SERVICE 16-5</t>
  </si>
  <si>
    <t>CIVIL SERVICE 17</t>
  </si>
  <si>
    <t>CIVIL SERVICE 17-2</t>
  </si>
  <si>
    <t>CIVIL SERVICE 17-3</t>
  </si>
  <si>
    <t>CIVIL SERVICE 17-4</t>
  </si>
  <si>
    <t>CIVIL SERVICE 17-6</t>
  </si>
  <si>
    <t>CIVIL SERVICE 18</t>
  </si>
  <si>
    <t>CIVIL SERVICE 18-1</t>
  </si>
  <si>
    <t>CIVIL SERVICE 18-2</t>
  </si>
  <si>
    <t>CIVIL SERVICE 18-3</t>
  </si>
  <si>
    <t>CIVIL SERVICE 18-4</t>
  </si>
  <si>
    <t>CIVIL SERVICE 2</t>
  </si>
  <si>
    <t>CIVIL SERVICE 2-1</t>
  </si>
  <si>
    <t>CIVIL SERVICE 3-1</t>
  </si>
  <si>
    <t>CIVIL SERVICE 3-2</t>
  </si>
  <si>
    <t>CIVIL SERVICE 3-3</t>
  </si>
  <si>
    <t>CIVIL SERVICE 3-4</t>
  </si>
  <si>
    <t>CIVIL SERVICE 3-5</t>
  </si>
  <si>
    <t>CIVIL SERVICE 4-2</t>
  </si>
  <si>
    <t>CIVIL SERVICE 4-3</t>
  </si>
  <si>
    <t>CIVIL SERVICE 4-4</t>
  </si>
  <si>
    <t>CIVIL SERVICE 4-5</t>
  </si>
  <si>
    <t>CIVIL SERVICE 5-1</t>
  </si>
  <si>
    <t>CIVIL SERVICE 5-2</t>
  </si>
  <si>
    <t>CIVIL SERVICE 5-3</t>
  </si>
  <si>
    <t>CIVIL SERVICE 6-1</t>
  </si>
  <si>
    <t>CIVIL SERVICE 6-2</t>
  </si>
  <si>
    <t>CIVIL SERVICE 6-3</t>
  </si>
  <si>
    <t>CIVIL SERVICE 6-4</t>
  </si>
  <si>
    <t>CIVIL SERVICE 6-5</t>
  </si>
  <si>
    <t>CIVIL SERVICE 7-1</t>
  </si>
  <si>
    <t>CIVIL SERVICE 7-2</t>
  </si>
  <si>
    <t>CIVIL SERVICE 7-3</t>
  </si>
  <si>
    <t>CIVIL SERVICE 7-4</t>
  </si>
  <si>
    <t>CIVIL SERVICE 7-5</t>
  </si>
  <si>
    <t>CIVIL SERVICE 8-1</t>
  </si>
  <si>
    <t>CIVIL SERVICE 8-2</t>
  </si>
  <si>
    <t>CIVIL SERVICE 8-3</t>
  </si>
  <si>
    <t>CIVIL SERVICE 9-1</t>
  </si>
  <si>
    <t>CIVIL SERVICE 9-2</t>
  </si>
  <si>
    <t>CIVIL SERVICE 9-3</t>
  </si>
  <si>
    <t>CIVIL SERVICE 9-4</t>
  </si>
  <si>
    <t>CIVIL SERVICE 9-5</t>
  </si>
  <si>
    <t>EXECUTIVE 1</t>
  </si>
  <si>
    <t>EXECUTIVE 2</t>
  </si>
  <si>
    <t>EXECUTIVE 3</t>
  </si>
  <si>
    <t>EXECUTIVE 4</t>
  </si>
  <si>
    <t>EXECUTIVE 5</t>
  </si>
  <si>
    <t>EXECUTIVE 6</t>
  </si>
  <si>
    <t>EXECUTIVE 7</t>
  </si>
  <si>
    <t>GENERAL SERVICE 1</t>
  </si>
  <si>
    <t>GENERAL SERVICE 2</t>
  </si>
  <si>
    <t>GENERAL SERVICE 3</t>
  </si>
  <si>
    <t>GENERAL SERVICE 4</t>
  </si>
  <si>
    <t>MANAGERIAL SERVICE 1</t>
  </si>
  <si>
    <t>MANAGERIAL SERVICE 2</t>
  </si>
  <si>
    <t>MANAGERIAL SERVICE 3</t>
  </si>
  <si>
    <t>MANAGERIAL SERVICE 4</t>
  </si>
  <si>
    <t>SUPPORT SERVICE 1</t>
  </si>
  <si>
    <t>SUPPORT SERVICE 2</t>
  </si>
  <si>
    <t>SUPPORT SERVICE 3</t>
  </si>
  <si>
    <t>SUPPORT SERVICE 4</t>
  </si>
  <si>
    <t>ZIMMAADHAARU VERIYAA 7</t>
  </si>
  <si>
    <t>Source: Civil Service Commision</t>
  </si>
  <si>
    <t>CIVIL SERVICE 17-5</t>
  </si>
  <si>
    <t>CIVIL SERVICE 1</t>
  </si>
  <si>
    <t>Table 5.1 :  CIVIL SERVANTS CLASSIFIED BY JOB RANK AND SEX, 2021</t>
  </si>
  <si>
    <t>ތާވަލް 5.1: ސިވިލް ސަރވިސްގައި ވަޒީފާއަދާކުރާ މުވައްޒަފުން އަދި ރޭންކު، 2021</t>
  </si>
  <si>
    <t>CIVIL SERVICE 18-5</t>
  </si>
  <si>
    <t>ZIMMAADHAARU VERIYAA 7-1</t>
  </si>
  <si>
    <t>ZIMMAADHAARU VERIYAA 7-2</t>
  </si>
  <si>
    <t>ZIMMAADHAARU VERIYAA 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</si>
</sst>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Faruma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</font>
    <font>
      <sz val="11"/>
      <color rgb="FF000000"/>
      <name val="Calibri"/>
    </font>
    <font>
      <i/>
      <sz val="9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17" fillId="0" borderId="0"/>
    <xf numFmtId="0" fontId="3" fillId="0" borderId="0"/>
    <xf numFmtId="43" fontId="3" fillId="0" borderId="0" applyFont="0" applyFill="0" applyBorder="0" applyAlignment="0" applyProtection="0"/>
    <xf numFmtId="0" fontId="18" fillId="0" borderId="0"/>
    <xf numFmtId="0" fontId="3" fillId="0" borderId="0"/>
  </cellStyleXfs>
  <cellXfs count="66">
    <xf numFmtId="0" fontId="0" fillId="0" borderId="0" xfId="0"/>
    <xf numFmtId="0" fontId="4" fillId="2" borderId="0" xfId="2" applyFont="1" applyFill="1"/>
    <xf numFmtId="0" fontId="0" fillId="2" borderId="0" xfId="0" applyFill="1"/>
    <xf numFmtId="0" fontId="0" fillId="2" borderId="0" xfId="0" applyFill="1" applyAlignment="1">
      <alignment vertical="center"/>
    </xf>
    <xf numFmtId="164" fontId="7" fillId="2" borderId="0" xfId="3" applyNumberFormat="1" applyFont="1" applyFill="1" applyAlignment="1">
      <alignment vertical="center"/>
    </xf>
    <xf numFmtId="0" fontId="10" fillId="2" borderId="0" xfId="0" applyFont="1" applyFill="1"/>
    <xf numFmtId="0" fontId="9" fillId="2" borderId="0" xfId="0" applyFont="1" applyFill="1" applyAlignment="1">
      <alignment horizontal="right" vertical="center" readingOrder="2"/>
    </xf>
    <xf numFmtId="0" fontId="10" fillId="2" borderId="0" xfId="0" applyFont="1" applyFill="1" applyAlignment="1">
      <alignment vertical="center"/>
    </xf>
    <xf numFmtId="0" fontId="9" fillId="2" borderId="8" xfId="0" applyFont="1" applyFill="1" applyBorder="1" applyAlignment="1">
      <alignment horizontal="right" vertical="center" readingOrder="2"/>
    </xf>
    <xf numFmtId="0" fontId="9" fillId="2" borderId="9" xfId="0" applyFont="1" applyFill="1" applyBorder="1" applyAlignment="1">
      <alignment horizontal="right" vertical="center" readingOrder="2"/>
    </xf>
    <xf numFmtId="165" fontId="8" fillId="2" borderId="10" xfId="1" applyNumberFormat="1" applyFont="1" applyFill="1" applyBorder="1" applyAlignment="1">
      <alignment horizontal="right" vertical="center"/>
    </xf>
    <xf numFmtId="165" fontId="8" fillId="2" borderId="11" xfId="1" applyNumberFormat="1" applyFont="1" applyFill="1" applyBorder="1" applyAlignment="1">
      <alignment horizontal="right" vertical="center"/>
    </xf>
    <xf numFmtId="165" fontId="8" fillId="2" borderId="12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165" fontId="8" fillId="2" borderId="0" xfId="1" applyNumberFormat="1" applyFont="1" applyFill="1" applyBorder="1" applyAlignment="1">
      <alignment horizontal="center" vertical="center"/>
    </xf>
    <xf numFmtId="165" fontId="8" fillId="2" borderId="8" xfId="1" applyNumberFormat="1" applyFont="1" applyFill="1" applyBorder="1" applyAlignment="1">
      <alignment horizontal="center" vertical="center"/>
    </xf>
    <xf numFmtId="165" fontId="8" fillId="2" borderId="9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/>
    </xf>
    <xf numFmtId="0" fontId="11" fillId="2" borderId="0" xfId="0" applyFont="1" applyFill="1" applyAlignment="1">
      <alignment vertical="center"/>
    </xf>
    <xf numFmtId="165" fontId="1" fillId="2" borderId="0" xfId="1" applyNumberFormat="1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165" fontId="11" fillId="2" borderId="0" xfId="1" applyNumberFormat="1" applyFont="1" applyFill="1" applyBorder="1" applyAlignment="1">
      <alignment vertical="center"/>
    </xf>
    <xf numFmtId="165" fontId="0" fillId="2" borderId="0" xfId="1" applyNumberFormat="1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165" fontId="2" fillId="2" borderId="0" xfId="1" applyNumberFormat="1" applyFont="1" applyFill="1" applyBorder="1" applyAlignment="1">
      <alignment vertical="center"/>
    </xf>
    <xf numFmtId="166" fontId="0" fillId="2" borderId="0" xfId="1" applyNumberFormat="1" applyFont="1" applyFill="1" applyBorder="1" applyAlignment="1">
      <alignment vertical="center"/>
    </xf>
    <xf numFmtId="165" fontId="8" fillId="2" borderId="7" xfId="1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3" fontId="16" fillId="3" borderId="0" xfId="0" applyNumberFormat="1" applyFont="1" applyFill="1" applyAlignment="1">
      <alignment horizontal="right" vertical="center"/>
    </xf>
    <xf numFmtId="3" fontId="16" fillId="3" borderId="13" xfId="0" applyNumberFormat="1" applyFont="1" applyFill="1" applyBorder="1" applyAlignment="1">
      <alignment horizontal="right" vertical="center"/>
    </xf>
    <xf numFmtId="3" fontId="16" fillId="3" borderId="14" xfId="0" applyNumberFormat="1" applyFont="1" applyFill="1" applyBorder="1" applyAlignment="1">
      <alignment horizontal="right" vertical="center"/>
    </xf>
    <xf numFmtId="3" fontId="15" fillId="3" borderId="0" xfId="0" applyNumberFormat="1" applyFont="1" applyFill="1" applyAlignment="1">
      <alignment horizontal="right" vertical="center"/>
    </xf>
    <xf numFmtId="3" fontId="15" fillId="3" borderId="1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left" vertical="center" indent="1"/>
    </xf>
    <xf numFmtId="0" fontId="20" fillId="5" borderId="0" xfId="0" applyFont="1" applyFill="1" applyAlignment="1">
      <alignment horizontal="left" vertical="center" indent="1"/>
    </xf>
    <xf numFmtId="0" fontId="15" fillId="5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 wrapText="1"/>
    </xf>
    <xf numFmtId="3" fontId="0" fillId="2" borderId="0" xfId="0" applyNumberFormat="1" applyFill="1" applyAlignment="1">
      <alignment horizontal="right" vertical="center" wrapText="1"/>
    </xf>
    <xf numFmtId="0" fontId="21" fillId="5" borderId="15" xfId="0" applyFont="1" applyFill="1" applyBorder="1" applyAlignment="1">
      <alignment vertical="center"/>
    </xf>
    <xf numFmtId="166" fontId="2" fillId="2" borderId="2" xfId="1" applyNumberFormat="1" applyFont="1" applyFill="1" applyBorder="1" applyAlignment="1">
      <alignment horizontal="right" vertical="center"/>
    </xf>
    <xf numFmtId="166" fontId="1" fillId="2" borderId="2" xfId="1" applyNumberFormat="1" applyFont="1" applyFill="1" applyBorder="1" applyAlignment="1">
      <alignment horizontal="right" vertical="center"/>
    </xf>
    <xf numFmtId="165" fontId="8" fillId="2" borderId="0" xfId="1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vertical="center"/>
    </xf>
    <xf numFmtId="3" fontId="19" fillId="4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4" fillId="2" borderId="0" xfId="2" applyFont="1" applyFill="1" applyAlignment="1">
      <alignment horizontal="center"/>
    </xf>
    <xf numFmtId="164" fontId="6" fillId="2" borderId="0" xfId="3" applyNumberFormat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readingOrder="2"/>
    </xf>
    <xf numFmtId="0" fontId="9" fillId="2" borderId="0" xfId="0" applyFont="1" applyFill="1" applyAlignment="1">
      <alignment horizontal="center" vertical="center" readingOrder="2"/>
    </xf>
    <xf numFmtId="0" fontId="13" fillId="2" borderId="3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vertical="center" readingOrder="2"/>
    </xf>
    <xf numFmtId="165" fontId="8" fillId="2" borderId="4" xfId="1" applyNumberFormat="1" applyFont="1" applyFill="1" applyBorder="1" applyAlignment="1">
      <alignment horizontal="center" vertical="center"/>
    </xf>
    <xf numFmtId="165" fontId="8" fillId="2" borderId="6" xfId="1" applyNumberFormat="1" applyFont="1" applyFill="1" applyBorder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3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 readingOrder="2"/>
    </xf>
    <xf numFmtId="165" fontId="8" fillId="2" borderId="0" xfId="1" applyNumberFormat="1" applyFont="1" applyFill="1" applyBorder="1" applyAlignment="1">
      <alignment horizontal="center" vertical="center"/>
    </xf>
  </cellXfs>
  <cellStyles count="10">
    <cellStyle name="1" xfId="9" xr:uid="{00000000-0005-0000-0000-000000000000}"/>
    <cellStyle name="Comma" xfId="1" builtinId="3"/>
    <cellStyle name="Comma 3" xfId="7" xr:uid="{00000000-0005-0000-0000-000002000000}"/>
    <cellStyle name="Normal" xfId="0" builtinId="0"/>
    <cellStyle name="Normal 11" xfId="8" xr:uid="{00000000-0005-0000-0000-000004000000}"/>
    <cellStyle name="Normal 2" xfId="4" xr:uid="{00000000-0005-0000-0000-000005000000}"/>
    <cellStyle name="Normal 4" xfId="5" xr:uid="{00000000-0005-0000-0000-000006000000}"/>
    <cellStyle name="Normal 5" xfId="6" xr:uid="{00000000-0005-0000-0000-000007000000}"/>
    <cellStyle name="Normal_5 Employment_done" xfId="2" xr:uid="{00000000-0005-0000-0000-000008000000}"/>
    <cellStyle name="Normal_Population - II 2" xfId="3" xr:uid="{00000000-0005-0000-0000-00000D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ABAB"/>
      <color rgb="FFFFEBEB"/>
      <color rgb="FFFFDDDD"/>
      <color rgb="FFFFEFEF"/>
      <color rgb="FFFFD1D1"/>
      <color rgb="FFFFC5C5"/>
      <color rgb="FFEAFAFA"/>
      <color rgb="FF33CCCC"/>
      <color rgb="FFFF9900"/>
      <color rgb="FFB2E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effectLst/>
              </a:rPr>
              <a:t>Figure 5.1: Number of civil servants by sex and</a:t>
            </a:r>
            <a:r>
              <a:rPr lang="en-US" sz="1200" b="1" baseline="0">
                <a:effectLst/>
              </a:rPr>
              <a:t> </a:t>
            </a:r>
            <a:r>
              <a:rPr lang="en-US" sz="1200" b="1">
                <a:effectLst/>
              </a:rPr>
              <a:t>job ranks, 2021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5354943472532859"/>
          <c:y val="3.4934492477928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42522068009981"/>
          <c:y val="0.14396892511181789"/>
          <c:w val="0.8795518653553519"/>
          <c:h val="0.7427528502328049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'5.1'!$AB$134</c:f>
              <c:strCache>
                <c:ptCount val="1"/>
                <c:pt idx="0">
                  <c:v>Both Sexes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'5.1'!$AA$135:$AA$140</c:f>
              <c:strCache>
                <c:ptCount val="6"/>
                <c:pt idx="0">
                  <c:v>SUPPORT SERVICE 1</c:v>
                </c:pt>
                <c:pt idx="1">
                  <c:v>GENERAL SERVICE 3</c:v>
                </c:pt>
                <c:pt idx="2">
                  <c:v>CIVIL SERVICE 13-2</c:v>
                </c:pt>
                <c:pt idx="3">
                  <c:v>SUPPORT SERVICE 2</c:v>
                </c:pt>
                <c:pt idx="4">
                  <c:v>CIVIL SERVICE 15-2</c:v>
                </c:pt>
                <c:pt idx="5">
                  <c:v>MANAGERIAL SERVICE 1</c:v>
                </c:pt>
              </c:strCache>
            </c:strRef>
          </c:cat>
          <c:val>
            <c:numRef>
              <c:f>'5.1'!$AB$135:$AB$140</c:f>
              <c:numCache>
                <c:formatCode>General</c:formatCode>
                <c:ptCount val="6"/>
                <c:pt idx="0">
                  <c:v>3980</c:v>
                </c:pt>
                <c:pt idx="1">
                  <c:v>3467</c:v>
                </c:pt>
                <c:pt idx="2">
                  <c:v>2265</c:v>
                </c:pt>
                <c:pt idx="3">
                  <c:v>1904</c:v>
                </c:pt>
                <c:pt idx="4">
                  <c:v>1578</c:v>
                </c:pt>
                <c:pt idx="5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3-4DA6-A392-7EC8E4744D95}"/>
            </c:ext>
          </c:extLst>
        </c:ser>
        <c:ser>
          <c:idx val="2"/>
          <c:order val="1"/>
          <c:tx>
            <c:strRef>
              <c:f>'5.1'!$AC$134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C5C5"/>
            </a:solidFill>
            <a:ln>
              <a:noFill/>
            </a:ln>
            <a:effectLst/>
          </c:spPr>
          <c:invertIfNegative val="0"/>
          <c:cat>
            <c:strRef>
              <c:f>'5.1'!$AA$135:$AA$140</c:f>
              <c:strCache>
                <c:ptCount val="6"/>
                <c:pt idx="0">
                  <c:v>SUPPORT SERVICE 1</c:v>
                </c:pt>
                <c:pt idx="1">
                  <c:v>GENERAL SERVICE 3</c:v>
                </c:pt>
                <c:pt idx="2">
                  <c:v>CIVIL SERVICE 13-2</c:v>
                </c:pt>
                <c:pt idx="3">
                  <c:v>SUPPORT SERVICE 2</c:v>
                </c:pt>
                <c:pt idx="4">
                  <c:v>CIVIL SERVICE 15-2</c:v>
                </c:pt>
                <c:pt idx="5">
                  <c:v>MANAGERIAL SERVICE 1</c:v>
                </c:pt>
              </c:strCache>
            </c:strRef>
          </c:cat>
          <c:val>
            <c:numRef>
              <c:f>'5.1'!$AC$135:$AC$140</c:f>
              <c:numCache>
                <c:formatCode>General</c:formatCode>
                <c:ptCount val="6"/>
                <c:pt idx="0">
                  <c:v>1703</c:v>
                </c:pt>
                <c:pt idx="1">
                  <c:v>1227</c:v>
                </c:pt>
                <c:pt idx="2">
                  <c:v>647</c:v>
                </c:pt>
                <c:pt idx="3">
                  <c:v>1086</c:v>
                </c:pt>
                <c:pt idx="4">
                  <c:v>330</c:v>
                </c:pt>
                <c:pt idx="5">
                  <c:v>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33-4DA6-A392-7EC8E4744D95}"/>
            </c:ext>
          </c:extLst>
        </c:ser>
        <c:ser>
          <c:idx val="0"/>
          <c:order val="2"/>
          <c:tx>
            <c:strRef>
              <c:f>'5.1'!$AD$134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DDD"/>
            </a:solidFill>
            <a:ln>
              <a:noFill/>
            </a:ln>
            <a:effectLst/>
          </c:spPr>
          <c:invertIfNegative val="0"/>
          <c:cat>
            <c:strRef>
              <c:f>'5.1'!$AA$135:$AA$140</c:f>
              <c:strCache>
                <c:ptCount val="6"/>
                <c:pt idx="0">
                  <c:v>SUPPORT SERVICE 1</c:v>
                </c:pt>
                <c:pt idx="1">
                  <c:v>GENERAL SERVICE 3</c:v>
                </c:pt>
                <c:pt idx="2">
                  <c:v>CIVIL SERVICE 13-2</c:v>
                </c:pt>
                <c:pt idx="3">
                  <c:v>SUPPORT SERVICE 2</c:v>
                </c:pt>
                <c:pt idx="4">
                  <c:v>CIVIL SERVICE 15-2</c:v>
                </c:pt>
                <c:pt idx="5">
                  <c:v>MANAGERIAL SERVICE 1</c:v>
                </c:pt>
              </c:strCache>
            </c:strRef>
          </c:cat>
          <c:val>
            <c:numRef>
              <c:f>'5.1'!$AD$135:$AD$140</c:f>
              <c:numCache>
                <c:formatCode>General</c:formatCode>
                <c:ptCount val="6"/>
                <c:pt idx="0">
                  <c:v>2277</c:v>
                </c:pt>
                <c:pt idx="1">
                  <c:v>2240</c:v>
                </c:pt>
                <c:pt idx="2">
                  <c:v>1618</c:v>
                </c:pt>
                <c:pt idx="3">
                  <c:v>818</c:v>
                </c:pt>
                <c:pt idx="4">
                  <c:v>1248</c:v>
                </c:pt>
                <c:pt idx="5">
                  <c:v>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5-4736-9902-E814C6CAF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axId val="484293856"/>
        <c:axId val="484288760"/>
      </c:barChart>
      <c:catAx>
        <c:axId val="4842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88760"/>
        <c:crosses val="autoZero"/>
        <c:auto val="1"/>
        <c:lblAlgn val="ctr"/>
        <c:lblOffset val="100"/>
        <c:noMultiLvlLbl val="0"/>
      </c:catAx>
      <c:valAx>
        <c:axId val="484288760"/>
        <c:scaling>
          <c:orientation val="minMax"/>
          <c:max val="4000"/>
          <c:min val="0"/>
        </c:scaling>
        <c:delete val="0"/>
        <c:axPos val="l"/>
        <c:majorGridlines>
          <c:spPr>
            <a:ln w="9525" cap="flat" cmpd="sng" algn="ctr">
              <a:solidFill>
                <a:srgbClr val="FFDDDD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93856"/>
        <c:crosses val="autoZero"/>
        <c:crossBetween val="between"/>
      </c:valAx>
      <c:spPr>
        <a:solidFill>
          <a:srgbClr val="FFEFEF"/>
        </a:solidFill>
        <a:ln>
          <a:solidFill>
            <a:srgbClr val="EAFAFA"/>
          </a:solidFill>
        </a:ln>
        <a:effectLst/>
      </c:spPr>
    </c:plotArea>
    <c:legend>
      <c:legendPos val="b"/>
      <c:layout>
        <c:manualLayout>
          <c:xMode val="edge"/>
          <c:yMode val="edge"/>
          <c:x val="0.68184793874179939"/>
          <c:y val="0.2510921090480478"/>
          <c:w val="0.27789289274721118"/>
          <c:h val="7.64538730950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116</xdr:row>
      <xdr:rowOff>71437</xdr:rowOff>
    </xdr:from>
    <xdr:to>
      <xdr:col>11</xdr:col>
      <xdr:colOff>438149</xdr:colOff>
      <xdr:row>132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247115</xdr:colOff>
      <xdr:row>119</xdr:row>
      <xdr:rowOff>187269</xdr:rowOff>
    </xdr:from>
    <xdr:to>
      <xdr:col>0</xdr:col>
      <xdr:colOff>523340</xdr:colOff>
      <xdr:row>127</xdr:row>
      <xdr:rowOff>142517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>
          <a:off x="-430596" y="24172655"/>
          <a:ext cx="1631648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 sz="1050" b="1">
            <a:effectLst/>
          </a:endParaRPr>
        </a:p>
        <a:p>
          <a:endParaRPr lang="en-US" sz="105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D261"/>
  <sheetViews>
    <sheetView tabSelected="1" zoomScale="93" zoomScaleNormal="93" workbookViewId="0">
      <selection activeCell="G88" sqref="G88"/>
    </sheetView>
  </sheetViews>
  <sheetFormatPr defaultRowHeight="15" x14ac:dyDescent="0.25"/>
  <cols>
    <col min="1" max="1" width="25.7109375" style="27" customWidth="1"/>
    <col min="2" max="2" width="10.7109375" style="28" customWidth="1"/>
    <col min="3" max="4" width="9.140625" style="20" customWidth="1"/>
    <col min="5" max="5" width="2.140625" style="20" customWidth="1"/>
    <col min="6" max="6" width="11.28515625" style="20" customWidth="1"/>
    <col min="7" max="7" width="9.28515625" style="20" customWidth="1"/>
    <col min="8" max="8" width="9.140625" style="20" customWidth="1"/>
    <col min="9" max="9" width="0.85546875" style="20" customWidth="1"/>
    <col min="10" max="10" width="10.7109375" style="20" customWidth="1"/>
    <col min="11" max="12" width="9.140625" style="20" customWidth="1"/>
    <col min="13" max="13" width="1.42578125" style="3" customWidth="1"/>
    <col min="14" max="14" width="9.140625" style="3"/>
    <col min="15" max="16" width="9.28515625" style="3" customWidth="1"/>
    <col min="17" max="17" width="24.28515625" style="3" customWidth="1"/>
    <col min="18" max="18" width="10.5703125" style="3" bestFit="1" customWidth="1"/>
    <col min="19" max="19" width="9.28515625" style="3" customWidth="1"/>
    <col min="20" max="20" width="10.5703125" style="3" bestFit="1" customWidth="1"/>
    <col min="21" max="26" width="9.140625" style="3"/>
    <col min="27" max="27" width="25.140625" style="3" bestFit="1" customWidth="1"/>
    <col min="28" max="16384" width="9.140625" style="3"/>
  </cols>
  <sheetData>
    <row r="1" spans="1:23" ht="21" x14ac:dyDescent="0.55000000000000004">
      <c r="A1" s="52" t="s">
        <v>117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x14ac:dyDescent="0.25">
      <c r="A2" s="53" t="s">
        <v>116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4.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s="5" customFormat="1" ht="18.600000000000001" customHeight="1" x14ac:dyDescent="0.2">
      <c r="A4" s="55" t="s">
        <v>0</v>
      </c>
      <c r="B4" s="57" t="s">
        <v>1</v>
      </c>
      <c r="C4" s="57"/>
      <c r="D4" s="57"/>
      <c r="E4" s="57"/>
      <c r="F4" s="57"/>
      <c r="G4" s="58" t="s">
        <v>2</v>
      </c>
      <c r="H4" s="58"/>
      <c r="I4" s="58"/>
      <c r="J4" s="58"/>
      <c r="K4" s="58"/>
      <c r="L4" s="58"/>
      <c r="P4" s="6"/>
      <c r="Q4" s="6"/>
      <c r="R4" s="6"/>
      <c r="S4" s="6"/>
      <c r="T4" s="6"/>
      <c r="U4" s="6"/>
      <c r="V4" s="6"/>
      <c r="W4" s="6"/>
    </row>
    <row r="5" spans="1:23" s="7" customFormat="1" ht="15" customHeight="1" x14ac:dyDescent="0.25">
      <c r="A5" s="56"/>
      <c r="B5" s="59" t="s">
        <v>3</v>
      </c>
      <c r="C5" s="59"/>
      <c r="D5" s="59"/>
      <c r="E5" s="41"/>
      <c r="F5" s="60" t="s">
        <v>4</v>
      </c>
      <c r="G5" s="61"/>
      <c r="H5" s="61"/>
      <c r="I5" s="30"/>
      <c r="J5" s="59" t="s">
        <v>5</v>
      </c>
      <c r="K5" s="59"/>
      <c r="L5" s="59"/>
    </row>
    <row r="6" spans="1:23" s="7" customFormat="1" ht="18.75" x14ac:dyDescent="0.25">
      <c r="A6" s="50" t="s">
        <v>6</v>
      </c>
      <c r="B6" s="6" t="s">
        <v>7</v>
      </c>
      <c r="C6" s="6" t="s">
        <v>8</v>
      </c>
      <c r="D6" s="6" t="s">
        <v>9</v>
      </c>
      <c r="E6" s="6"/>
      <c r="F6" s="8" t="s">
        <v>7</v>
      </c>
      <c r="G6" s="6" t="s">
        <v>8</v>
      </c>
      <c r="H6" s="6" t="s">
        <v>9</v>
      </c>
      <c r="I6" s="9"/>
      <c r="J6" s="6" t="s">
        <v>7</v>
      </c>
      <c r="K6" s="6" t="s">
        <v>8</v>
      </c>
      <c r="L6" s="6" t="s">
        <v>9</v>
      </c>
    </row>
    <row r="7" spans="1:23" s="13" customFormat="1" ht="12.75" x14ac:dyDescent="0.25">
      <c r="A7" s="51"/>
      <c r="B7" s="10" t="s">
        <v>10</v>
      </c>
      <c r="C7" s="10" t="s">
        <v>11</v>
      </c>
      <c r="D7" s="10" t="s">
        <v>12</v>
      </c>
      <c r="E7" s="10"/>
      <c r="F7" s="11" t="s">
        <v>10</v>
      </c>
      <c r="G7" s="10" t="s">
        <v>11</v>
      </c>
      <c r="H7" s="10" t="s">
        <v>12</v>
      </c>
      <c r="I7" s="12"/>
      <c r="J7" s="10" t="s">
        <v>10</v>
      </c>
      <c r="K7" s="10" t="s">
        <v>11</v>
      </c>
      <c r="L7" s="10" t="s">
        <v>12</v>
      </c>
    </row>
    <row r="8" spans="1:23" s="13" customFormat="1" ht="12" customHeight="1" x14ac:dyDescent="0.25">
      <c r="A8" s="40"/>
      <c r="B8" s="14"/>
      <c r="C8" s="14"/>
      <c r="D8" s="14"/>
      <c r="E8" s="14"/>
      <c r="F8" s="15"/>
      <c r="G8" s="14"/>
      <c r="H8" s="14"/>
      <c r="I8" s="16"/>
      <c r="J8" s="14"/>
      <c r="K8" s="14"/>
      <c r="L8" s="14"/>
    </row>
    <row r="9" spans="1:23" s="17" customFormat="1" ht="16.899999999999999" customHeight="1" x14ac:dyDescent="0.25">
      <c r="A9" s="31" t="s">
        <v>13</v>
      </c>
      <c r="B9" s="32">
        <f>F9+J9</f>
        <v>26834</v>
      </c>
      <c r="C9" s="32">
        <f>G9+K9</f>
        <v>9695</v>
      </c>
      <c r="D9" s="32">
        <f>H9+L9</f>
        <v>17139</v>
      </c>
      <c r="E9" s="32"/>
      <c r="F9" s="33">
        <f>SUM(G9:H9)</f>
        <v>9683</v>
      </c>
      <c r="G9" s="32">
        <f>SUM(G10:G114)</f>
        <v>3547</v>
      </c>
      <c r="H9" s="32">
        <f>SUM(H10:H114)</f>
        <v>6136</v>
      </c>
      <c r="I9" s="34"/>
      <c r="J9" s="33">
        <f>SUM(K9:L9)</f>
        <v>17151</v>
      </c>
      <c r="K9" s="32">
        <f>SUM(K10:K114)</f>
        <v>6148</v>
      </c>
      <c r="L9" s="32">
        <f>SUM(L10:L114)</f>
        <v>11003</v>
      </c>
    </row>
    <row r="10" spans="1:23" ht="16.899999999999999" customHeight="1" x14ac:dyDescent="0.25">
      <c r="A10" s="37" t="s">
        <v>14</v>
      </c>
      <c r="B10" s="32">
        <f t="shared" ref="B10:B73" si="0">F10+J10</f>
        <v>352</v>
      </c>
      <c r="C10" s="32">
        <f t="shared" ref="C10:C73" si="1">G10+K10</f>
        <v>6</v>
      </c>
      <c r="D10" s="32">
        <f>H10+L10</f>
        <v>346</v>
      </c>
      <c r="E10" s="35"/>
      <c r="F10" s="33">
        <f t="shared" ref="F10:F73" si="2">SUM(G10:H10)</f>
        <v>139</v>
      </c>
      <c r="G10" s="42">
        <v>4</v>
      </c>
      <c r="H10" s="42">
        <v>135</v>
      </c>
      <c r="I10" s="36"/>
      <c r="J10" s="33">
        <f t="shared" ref="J10:J73" si="3">SUM(K10:L10)</f>
        <v>213</v>
      </c>
      <c r="K10" s="42">
        <v>2</v>
      </c>
      <c r="L10" s="42">
        <v>211</v>
      </c>
      <c r="M10" s="2"/>
      <c r="N10" s="18"/>
      <c r="O10" s="2"/>
      <c r="P10" s="2"/>
      <c r="Q10" s="2"/>
      <c r="R10" s="2"/>
      <c r="S10" s="2"/>
      <c r="T10" s="2"/>
      <c r="U10" s="2"/>
      <c r="V10" s="2"/>
      <c r="W10" s="2"/>
    </row>
    <row r="11" spans="1:23" ht="16.899999999999999" customHeight="1" x14ac:dyDescent="0.25">
      <c r="A11" s="37" t="s">
        <v>15</v>
      </c>
      <c r="B11" s="32">
        <f t="shared" si="0"/>
        <v>33</v>
      </c>
      <c r="C11" s="32">
        <f t="shared" si="1"/>
        <v>5</v>
      </c>
      <c r="D11" s="32">
        <f t="shared" ref="D11:D73" si="4">H11+L11</f>
        <v>28</v>
      </c>
      <c r="E11" s="35"/>
      <c r="F11" s="33">
        <f t="shared" si="2"/>
        <v>14</v>
      </c>
      <c r="G11" s="42">
        <v>5</v>
      </c>
      <c r="H11" s="42">
        <v>9</v>
      </c>
      <c r="I11" s="36"/>
      <c r="J11" s="33">
        <f t="shared" si="3"/>
        <v>19</v>
      </c>
      <c r="K11" s="42">
        <v>0</v>
      </c>
      <c r="L11" s="42">
        <v>19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6.899999999999999" customHeight="1" x14ac:dyDescent="0.25">
      <c r="A12" s="37" t="s">
        <v>16</v>
      </c>
      <c r="B12" s="32">
        <f t="shared" si="0"/>
        <v>10</v>
      </c>
      <c r="C12" s="32">
        <f t="shared" si="1"/>
        <v>5</v>
      </c>
      <c r="D12" s="32">
        <f t="shared" si="4"/>
        <v>5</v>
      </c>
      <c r="E12" s="35"/>
      <c r="F12" s="33">
        <f t="shared" si="2"/>
        <v>8</v>
      </c>
      <c r="G12" s="42">
        <v>5</v>
      </c>
      <c r="H12" s="42">
        <v>3</v>
      </c>
      <c r="I12" s="36"/>
      <c r="J12" s="33">
        <f t="shared" si="3"/>
        <v>2</v>
      </c>
      <c r="K12" s="42">
        <v>0</v>
      </c>
      <c r="L12" s="42">
        <v>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6.899999999999999" customHeight="1" x14ac:dyDescent="0.25">
      <c r="A13" s="37" t="s">
        <v>17</v>
      </c>
      <c r="B13" s="32">
        <f t="shared" si="0"/>
        <v>5</v>
      </c>
      <c r="C13" s="32">
        <f t="shared" si="1"/>
        <v>3</v>
      </c>
      <c r="D13" s="32">
        <f t="shared" si="4"/>
        <v>2</v>
      </c>
      <c r="E13" s="35"/>
      <c r="F13" s="33">
        <f t="shared" si="2"/>
        <v>5</v>
      </c>
      <c r="G13" s="42">
        <v>3</v>
      </c>
      <c r="H13" s="42">
        <v>2</v>
      </c>
      <c r="I13" s="36"/>
      <c r="J13" s="33">
        <f t="shared" si="3"/>
        <v>0</v>
      </c>
      <c r="K13" s="42">
        <v>0</v>
      </c>
      <c r="L13" s="42"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6.899999999999999" customHeight="1" x14ac:dyDescent="0.25">
      <c r="A14" s="37" t="s">
        <v>18</v>
      </c>
      <c r="B14" s="32">
        <f t="shared" si="0"/>
        <v>55</v>
      </c>
      <c r="C14" s="32">
        <f t="shared" si="1"/>
        <v>0</v>
      </c>
      <c r="D14" s="32">
        <f t="shared" si="4"/>
        <v>55</v>
      </c>
      <c r="E14" s="35"/>
      <c r="F14" s="33">
        <f t="shared" si="2"/>
        <v>33</v>
      </c>
      <c r="G14" s="42">
        <v>0</v>
      </c>
      <c r="H14" s="42">
        <v>33</v>
      </c>
      <c r="I14" s="36"/>
      <c r="J14" s="33">
        <f t="shared" si="3"/>
        <v>22</v>
      </c>
      <c r="K14" s="42">
        <v>0</v>
      </c>
      <c r="L14" s="42">
        <v>22</v>
      </c>
      <c r="M14" s="2"/>
      <c r="N14" s="18"/>
      <c r="O14" s="2"/>
      <c r="P14" s="2"/>
      <c r="Q14" s="2"/>
      <c r="R14" s="2"/>
      <c r="S14" s="2"/>
      <c r="T14" s="2"/>
      <c r="U14" s="2"/>
      <c r="V14" s="2"/>
      <c r="W14" s="2"/>
    </row>
    <row r="15" spans="1:23" ht="16.899999999999999" customHeight="1" x14ac:dyDescent="0.25">
      <c r="A15" s="37" t="s">
        <v>19</v>
      </c>
      <c r="B15" s="32">
        <f t="shared" si="0"/>
        <v>954</v>
      </c>
      <c r="C15" s="32">
        <f t="shared" si="1"/>
        <v>131</v>
      </c>
      <c r="D15" s="32">
        <f t="shared" si="4"/>
        <v>823</v>
      </c>
      <c r="E15" s="35"/>
      <c r="F15" s="33">
        <f t="shared" si="2"/>
        <v>166</v>
      </c>
      <c r="G15" s="42">
        <v>15</v>
      </c>
      <c r="H15" s="42">
        <v>151</v>
      </c>
      <c r="I15" s="36"/>
      <c r="J15" s="33">
        <f t="shared" si="3"/>
        <v>788</v>
      </c>
      <c r="K15" s="42">
        <v>116</v>
      </c>
      <c r="L15" s="42">
        <v>672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6.899999999999999" customHeight="1" x14ac:dyDescent="0.25">
      <c r="A16" s="37" t="s">
        <v>20</v>
      </c>
      <c r="B16" s="32">
        <f t="shared" si="0"/>
        <v>418</v>
      </c>
      <c r="C16" s="32">
        <f t="shared" si="1"/>
        <v>51</v>
      </c>
      <c r="D16" s="32">
        <f t="shared" si="4"/>
        <v>367</v>
      </c>
      <c r="E16" s="35"/>
      <c r="F16" s="33">
        <f t="shared" si="2"/>
        <v>70</v>
      </c>
      <c r="G16" s="42">
        <v>9</v>
      </c>
      <c r="H16" s="42">
        <v>61</v>
      </c>
      <c r="I16" s="36"/>
      <c r="J16" s="33">
        <f t="shared" si="3"/>
        <v>348</v>
      </c>
      <c r="K16" s="42">
        <v>42</v>
      </c>
      <c r="L16" s="42">
        <v>306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15" ht="16.899999999999999" customHeight="1" x14ac:dyDescent="0.25">
      <c r="A17" s="37" t="s">
        <v>21</v>
      </c>
      <c r="B17" s="32">
        <f t="shared" si="0"/>
        <v>294</v>
      </c>
      <c r="C17" s="32">
        <f t="shared" si="1"/>
        <v>72</v>
      </c>
      <c r="D17" s="32">
        <f t="shared" si="4"/>
        <v>222</v>
      </c>
      <c r="E17" s="35"/>
      <c r="F17" s="33">
        <f t="shared" si="2"/>
        <v>38</v>
      </c>
      <c r="G17" s="42">
        <v>2</v>
      </c>
      <c r="H17" s="42">
        <v>36</v>
      </c>
      <c r="I17" s="36"/>
      <c r="J17" s="33">
        <f t="shared" si="3"/>
        <v>256</v>
      </c>
      <c r="K17" s="42">
        <v>70</v>
      </c>
      <c r="L17" s="42">
        <v>186</v>
      </c>
      <c r="M17" s="2"/>
      <c r="N17" s="2"/>
      <c r="O17" s="2"/>
    </row>
    <row r="18" spans="1:15" ht="16.899999999999999" customHeight="1" x14ac:dyDescent="0.25">
      <c r="A18" s="37" t="s">
        <v>22</v>
      </c>
      <c r="B18" s="32">
        <f t="shared" si="0"/>
        <v>93</v>
      </c>
      <c r="C18" s="32">
        <f t="shared" si="1"/>
        <v>26</v>
      </c>
      <c r="D18" s="32">
        <f t="shared" si="4"/>
        <v>67</v>
      </c>
      <c r="E18" s="35"/>
      <c r="F18" s="33">
        <f t="shared" si="2"/>
        <v>12</v>
      </c>
      <c r="G18" s="42">
        <v>2</v>
      </c>
      <c r="H18" s="42">
        <v>10</v>
      </c>
      <c r="I18" s="36"/>
      <c r="J18" s="33">
        <f t="shared" si="3"/>
        <v>81</v>
      </c>
      <c r="K18" s="42">
        <v>24</v>
      </c>
      <c r="L18" s="42">
        <v>57</v>
      </c>
      <c r="M18" s="2"/>
      <c r="N18" s="2"/>
      <c r="O18" s="2"/>
    </row>
    <row r="19" spans="1:15" ht="16.899999999999999" customHeight="1" x14ac:dyDescent="0.25">
      <c r="A19" s="37" t="s">
        <v>23</v>
      </c>
      <c r="B19" s="32">
        <f t="shared" si="0"/>
        <v>378</v>
      </c>
      <c r="C19" s="32">
        <f t="shared" si="1"/>
        <v>144</v>
      </c>
      <c r="D19" s="32">
        <f t="shared" si="4"/>
        <v>234</v>
      </c>
      <c r="E19" s="35"/>
      <c r="F19" s="33">
        <f t="shared" si="2"/>
        <v>198</v>
      </c>
      <c r="G19" s="42">
        <v>36</v>
      </c>
      <c r="H19" s="42">
        <v>162</v>
      </c>
      <c r="I19" s="36"/>
      <c r="J19" s="33">
        <f t="shared" si="3"/>
        <v>180</v>
      </c>
      <c r="K19" s="42">
        <v>108</v>
      </c>
      <c r="L19" s="42">
        <v>72</v>
      </c>
      <c r="M19" s="2"/>
      <c r="N19" s="2"/>
      <c r="O19" s="2"/>
    </row>
    <row r="20" spans="1:15" ht="16.899999999999999" customHeight="1" x14ac:dyDescent="0.25">
      <c r="A20" s="37" t="s">
        <v>24</v>
      </c>
      <c r="B20" s="32">
        <f t="shared" si="0"/>
        <v>33</v>
      </c>
      <c r="C20" s="32">
        <f t="shared" si="1"/>
        <v>12</v>
      </c>
      <c r="D20" s="32">
        <f t="shared" si="4"/>
        <v>21</v>
      </c>
      <c r="E20" s="35"/>
      <c r="F20" s="33">
        <f t="shared" si="2"/>
        <v>26</v>
      </c>
      <c r="G20" s="42">
        <v>8</v>
      </c>
      <c r="H20" s="42">
        <v>18</v>
      </c>
      <c r="I20" s="36"/>
      <c r="J20" s="33">
        <f t="shared" si="3"/>
        <v>7</v>
      </c>
      <c r="K20" s="42">
        <v>4</v>
      </c>
      <c r="L20" s="42">
        <v>3</v>
      </c>
      <c r="M20" s="2"/>
      <c r="N20" s="2"/>
      <c r="O20" s="2"/>
    </row>
    <row r="21" spans="1:15" ht="16.899999999999999" customHeight="1" x14ac:dyDescent="0.25">
      <c r="A21" s="37" t="s">
        <v>25</v>
      </c>
      <c r="B21" s="32">
        <f t="shared" si="0"/>
        <v>17</v>
      </c>
      <c r="C21" s="32">
        <f t="shared" si="1"/>
        <v>6</v>
      </c>
      <c r="D21" s="32">
        <f t="shared" si="4"/>
        <v>11</v>
      </c>
      <c r="E21" s="35"/>
      <c r="F21" s="33">
        <f t="shared" si="2"/>
        <v>16</v>
      </c>
      <c r="G21" s="42">
        <v>5</v>
      </c>
      <c r="H21" s="42">
        <v>11</v>
      </c>
      <c r="I21" s="36"/>
      <c r="J21" s="33">
        <f t="shared" si="3"/>
        <v>1</v>
      </c>
      <c r="K21" s="42">
        <v>1</v>
      </c>
      <c r="L21" s="42">
        <v>0</v>
      </c>
      <c r="M21" s="2"/>
      <c r="N21" s="2"/>
      <c r="O21" s="2"/>
    </row>
    <row r="22" spans="1:15" ht="16.899999999999999" customHeight="1" x14ac:dyDescent="0.25">
      <c r="A22" s="37" t="s">
        <v>26</v>
      </c>
      <c r="B22" s="32">
        <f t="shared" si="0"/>
        <v>1</v>
      </c>
      <c r="C22" s="32">
        <f t="shared" si="1"/>
        <v>0</v>
      </c>
      <c r="D22" s="32">
        <f t="shared" si="4"/>
        <v>1</v>
      </c>
      <c r="E22" s="35"/>
      <c r="F22" s="33">
        <f t="shared" si="2"/>
        <v>1</v>
      </c>
      <c r="G22" s="42">
        <v>0</v>
      </c>
      <c r="H22" s="42">
        <v>1</v>
      </c>
      <c r="I22" s="36"/>
      <c r="J22" s="33">
        <f t="shared" si="3"/>
        <v>0</v>
      </c>
      <c r="K22" s="42">
        <v>0</v>
      </c>
      <c r="L22" s="42">
        <v>0</v>
      </c>
      <c r="M22" s="2"/>
      <c r="N22" s="18"/>
      <c r="O22" s="2"/>
    </row>
    <row r="23" spans="1:15" ht="16.899999999999999" customHeight="1" x14ac:dyDescent="0.25">
      <c r="A23" s="37" t="s">
        <v>27</v>
      </c>
      <c r="B23" s="32">
        <f t="shared" si="0"/>
        <v>2</v>
      </c>
      <c r="C23" s="32">
        <f t="shared" si="1"/>
        <v>2</v>
      </c>
      <c r="D23" s="32">
        <f t="shared" si="4"/>
        <v>0</v>
      </c>
      <c r="E23" s="35"/>
      <c r="F23" s="33">
        <f t="shared" si="2"/>
        <v>2</v>
      </c>
      <c r="G23" s="42">
        <v>2</v>
      </c>
      <c r="H23" s="42">
        <v>0</v>
      </c>
      <c r="I23" s="36"/>
      <c r="J23" s="33">
        <f t="shared" si="3"/>
        <v>0</v>
      </c>
      <c r="K23" s="42">
        <v>0</v>
      </c>
      <c r="L23" s="42">
        <v>0</v>
      </c>
      <c r="M23" s="2"/>
      <c r="N23" s="2"/>
      <c r="O23" s="2"/>
    </row>
    <row r="24" spans="1:15" ht="16.899999999999999" customHeight="1" x14ac:dyDescent="0.25">
      <c r="A24" s="37" t="s">
        <v>28</v>
      </c>
      <c r="B24" s="32">
        <f t="shared" si="0"/>
        <v>8</v>
      </c>
      <c r="C24" s="32">
        <f t="shared" si="1"/>
        <v>8</v>
      </c>
      <c r="D24" s="32">
        <f t="shared" si="4"/>
        <v>0</v>
      </c>
      <c r="E24" s="35"/>
      <c r="F24" s="33">
        <f t="shared" si="2"/>
        <v>2</v>
      </c>
      <c r="G24" s="42">
        <v>2</v>
      </c>
      <c r="H24" s="42">
        <v>0</v>
      </c>
      <c r="I24" s="36"/>
      <c r="J24" s="33">
        <f t="shared" si="3"/>
        <v>6</v>
      </c>
      <c r="K24" s="42">
        <v>6</v>
      </c>
      <c r="L24" s="42">
        <v>0</v>
      </c>
      <c r="M24" s="2"/>
      <c r="N24" s="2"/>
      <c r="O24" s="2"/>
    </row>
    <row r="25" spans="1:15" ht="16.899999999999999" customHeight="1" x14ac:dyDescent="0.25">
      <c r="A25" s="37" t="s">
        <v>29</v>
      </c>
      <c r="B25" s="32">
        <f t="shared" si="0"/>
        <v>2265</v>
      </c>
      <c r="C25" s="32">
        <f t="shared" si="1"/>
        <v>647</v>
      </c>
      <c r="D25" s="32">
        <f t="shared" si="4"/>
        <v>1618</v>
      </c>
      <c r="E25" s="35"/>
      <c r="F25" s="33">
        <f t="shared" si="2"/>
        <v>435</v>
      </c>
      <c r="G25" s="42">
        <v>106</v>
      </c>
      <c r="H25" s="42">
        <v>329</v>
      </c>
      <c r="I25" s="36"/>
      <c r="J25" s="33">
        <f t="shared" si="3"/>
        <v>1830</v>
      </c>
      <c r="K25" s="42">
        <v>541</v>
      </c>
      <c r="L25" s="43">
        <v>1289</v>
      </c>
      <c r="M25" s="2"/>
      <c r="N25" s="2"/>
      <c r="O25" s="2"/>
    </row>
    <row r="26" spans="1:15" ht="16.899999999999999" customHeight="1" x14ac:dyDescent="0.25">
      <c r="A26" s="37" t="s">
        <v>30</v>
      </c>
      <c r="B26" s="32">
        <f t="shared" si="0"/>
        <v>598</v>
      </c>
      <c r="C26" s="32">
        <f t="shared" si="1"/>
        <v>98</v>
      </c>
      <c r="D26" s="32">
        <f t="shared" si="4"/>
        <v>500</v>
      </c>
      <c r="E26" s="35"/>
      <c r="F26" s="33">
        <f t="shared" si="2"/>
        <v>189</v>
      </c>
      <c r="G26" s="42">
        <v>27</v>
      </c>
      <c r="H26" s="42">
        <v>162</v>
      </c>
      <c r="I26" s="36"/>
      <c r="J26" s="33">
        <f t="shared" si="3"/>
        <v>409</v>
      </c>
      <c r="K26" s="42">
        <v>71</v>
      </c>
      <c r="L26" s="42">
        <v>338</v>
      </c>
      <c r="M26" s="2"/>
      <c r="N26" s="2"/>
      <c r="O26" s="2"/>
    </row>
    <row r="27" spans="1:15" ht="16.899999999999999" customHeight="1" x14ac:dyDescent="0.25">
      <c r="A27" s="37" t="s">
        <v>31</v>
      </c>
      <c r="B27" s="32">
        <f t="shared" si="0"/>
        <v>316</v>
      </c>
      <c r="C27" s="32">
        <f t="shared" si="1"/>
        <v>85</v>
      </c>
      <c r="D27" s="32">
        <f t="shared" si="4"/>
        <v>231</v>
      </c>
      <c r="E27" s="35"/>
      <c r="F27" s="33">
        <f t="shared" si="2"/>
        <v>117</v>
      </c>
      <c r="G27" s="42">
        <v>21</v>
      </c>
      <c r="H27" s="42">
        <v>96</v>
      </c>
      <c r="I27" s="36"/>
      <c r="J27" s="33">
        <f t="shared" si="3"/>
        <v>199</v>
      </c>
      <c r="K27" s="42">
        <v>64</v>
      </c>
      <c r="L27" s="42">
        <v>135</v>
      </c>
      <c r="M27" s="2"/>
      <c r="N27" s="2"/>
      <c r="O27" s="2"/>
    </row>
    <row r="28" spans="1:15" ht="16.899999999999999" customHeight="1" x14ac:dyDescent="0.25">
      <c r="A28" s="37" t="s">
        <v>32</v>
      </c>
      <c r="B28" s="32">
        <f t="shared" si="0"/>
        <v>151</v>
      </c>
      <c r="C28" s="32">
        <f t="shared" si="1"/>
        <v>52</v>
      </c>
      <c r="D28" s="32">
        <f t="shared" si="4"/>
        <v>99</v>
      </c>
      <c r="E28" s="35"/>
      <c r="F28" s="33">
        <f t="shared" si="2"/>
        <v>60</v>
      </c>
      <c r="G28" s="42">
        <v>16</v>
      </c>
      <c r="H28" s="42">
        <v>44</v>
      </c>
      <c r="I28" s="36"/>
      <c r="J28" s="33">
        <f t="shared" si="3"/>
        <v>91</v>
      </c>
      <c r="K28" s="42">
        <v>36</v>
      </c>
      <c r="L28" s="42">
        <v>55</v>
      </c>
      <c r="M28" s="2"/>
      <c r="N28" s="2"/>
      <c r="O28" s="2"/>
    </row>
    <row r="29" spans="1:15" ht="16.899999999999999" customHeight="1" x14ac:dyDescent="0.25">
      <c r="A29" s="37" t="s">
        <v>33</v>
      </c>
      <c r="B29" s="32">
        <f t="shared" si="0"/>
        <v>0</v>
      </c>
      <c r="C29" s="32">
        <f t="shared" si="1"/>
        <v>0</v>
      </c>
      <c r="D29" s="32">
        <f t="shared" si="4"/>
        <v>0</v>
      </c>
      <c r="E29" s="35"/>
      <c r="F29" s="33">
        <f t="shared" si="2"/>
        <v>0</v>
      </c>
      <c r="G29" s="42">
        <v>0</v>
      </c>
      <c r="H29" s="42">
        <v>0</v>
      </c>
      <c r="I29" s="36"/>
      <c r="J29" s="33">
        <f t="shared" si="3"/>
        <v>0</v>
      </c>
      <c r="K29" s="42">
        <v>0</v>
      </c>
      <c r="L29" s="42">
        <v>0</v>
      </c>
      <c r="M29" s="2"/>
      <c r="N29" s="2"/>
      <c r="O29" s="2"/>
    </row>
    <row r="30" spans="1:15" ht="16.899999999999999" customHeight="1" x14ac:dyDescent="0.25">
      <c r="A30" s="37" t="s">
        <v>34</v>
      </c>
      <c r="B30" s="32">
        <f t="shared" si="0"/>
        <v>5</v>
      </c>
      <c r="C30" s="32">
        <f t="shared" si="1"/>
        <v>3</v>
      </c>
      <c r="D30" s="32">
        <f t="shared" si="4"/>
        <v>2</v>
      </c>
      <c r="E30" s="35"/>
      <c r="F30" s="33">
        <f t="shared" si="2"/>
        <v>5</v>
      </c>
      <c r="G30" s="42">
        <v>3</v>
      </c>
      <c r="H30" s="42">
        <v>2</v>
      </c>
      <c r="I30" s="36"/>
      <c r="J30" s="33">
        <f t="shared" si="3"/>
        <v>0</v>
      </c>
      <c r="K30" s="42">
        <v>0</v>
      </c>
      <c r="L30" s="42">
        <v>0</v>
      </c>
      <c r="M30" s="2"/>
      <c r="N30" s="2"/>
      <c r="O30" s="2"/>
    </row>
    <row r="31" spans="1:15" ht="16.899999999999999" customHeight="1" x14ac:dyDescent="0.25">
      <c r="A31" s="37" t="s">
        <v>35</v>
      </c>
      <c r="B31" s="32">
        <f t="shared" si="0"/>
        <v>4</v>
      </c>
      <c r="C31" s="32">
        <f t="shared" si="1"/>
        <v>3</v>
      </c>
      <c r="D31" s="32">
        <f t="shared" si="4"/>
        <v>1</v>
      </c>
      <c r="E31" s="35"/>
      <c r="F31" s="33">
        <f t="shared" si="2"/>
        <v>4</v>
      </c>
      <c r="G31" s="42">
        <v>3</v>
      </c>
      <c r="H31" s="42">
        <v>1</v>
      </c>
      <c r="I31" s="36"/>
      <c r="J31" s="33">
        <f t="shared" si="3"/>
        <v>0</v>
      </c>
      <c r="K31" s="42">
        <v>0</v>
      </c>
      <c r="L31" s="42">
        <v>0</v>
      </c>
      <c r="M31" s="2"/>
      <c r="N31" s="2"/>
      <c r="O31" s="2"/>
    </row>
    <row r="32" spans="1:15" ht="16.899999999999999" customHeight="1" x14ac:dyDescent="0.25">
      <c r="A32" s="37" t="s">
        <v>36</v>
      </c>
      <c r="B32" s="32">
        <f t="shared" si="0"/>
        <v>6</v>
      </c>
      <c r="C32" s="32">
        <f t="shared" si="1"/>
        <v>4</v>
      </c>
      <c r="D32" s="32">
        <f t="shared" si="4"/>
        <v>2</v>
      </c>
      <c r="E32" s="35"/>
      <c r="F32" s="33">
        <f t="shared" si="2"/>
        <v>6</v>
      </c>
      <c r="G32" s="42">
        <v>4</v>
      </c>
      <c r="H32" s="42">
        <v>2</v>
      </c>
      <c r="I32" s="36"/>
      <c r="J32" s="33">
        <f t="shared" si="3"/>
        <v>0</v>
      </c>
      <c r="K32" s="42">
        <v>0</v>
      </c>
      <c r="L32" s="42">
        <v>0</v>
      </c>
      <c r="M32" s="2"/>
      <c r="N32" s="2"/>
      <c r="O32" s="2"/>
    </row>
    <row r="33" spans="1:18" ht="16.899999999999999" customHeight="1" x14ac:dyDescent="0.25">
      <c r="A33" s="37" t="s">
        <v>37</v>
      </c>
      <c r="B33" s="32">
        <f t="shared" si="0"/>
        <v>1</v>
      </c>
      <c r="C33" s="32">
        <f t="shared" si="1"/>
        <v>1</v>
      </c>
      <c r="D33" s="32">
        <f t="shared" si="4"/>
        <v>0</v>
      </c>
      <c r="E33" s="35"/>
      <c r="F33" s="33">
        <f t="shared" si="2"/>
        <v>1</v>
      </c>
      <c r="G33" s="42">
        <v>1</v>
      </c>
      <c r="H33" s="42">
        <v>0</v>
      </c>
      <c r="I33" s="36"/>
      <c r="J33" s="33">
        <f t="shared" si="3"/>
        <v>0</v>
      </c>
      <c r="K33" s="42">
        <v>0</v>
      </c>
      <c r="L33" s="42">
        <v>0</v>
      </c>
      <c r="M33" s="2"/>
      <c r="N33" s="2"/>
      <c r="O33" s="2"/>
    </row>
    <row r="34" spans="1:18" ht="16.899999999999999" customHeight="1" x14ac:dyDescent="0.25">
      <c r="A34" s="37" t="s">
        <v>38</v>
      </c>
      <c r="B34" s="32">
        <f t="shared" si="0"/>
        <v>0</v>
      </c>
      <c r="C34" s="32">
        <f t="shared" si="1"/>
        <v>0</v>
      </c>
      <c r="D34" s="32">
        <f t="shared" si="4"/>
        <v>0</v>
      </c>
      <c r="E34" s="35"/>
      <c r="F34" s="33">
        <f t="shared" si="2"/>
        <v>0</v>
      </c>
      <c r="G34" s="42">
        <v>0</v>
      </c>
      <c r="H34" s="42">
        <v>0</v>
      </c>
      <c r="I34" s="36"/>
      <c r="J34" s="33">
        <f t="shared" si="3"/>
        <v>0</v>
      </c>
      <c r="K34" s="42">
        <v>0</v>
      </c>
      <c r="L34" s="42">
        <v>0</v>
      </c>
      <c r="M34" s="2"/>
      <c r="N34" s="2"/>
      <c r="O34" s="2"/>
    </row>
    <row r="35" spans="1:18" ht="16.899999999999999" customHeight="1" x14ac:dyDescent="0.25">
      <c r="A35" s="37" t="s">
        <v>39</v>
      </c>
      <c r="B35" s="32">
        <f t="shared" si="0"/>
        <v>2</v>
      </c>
      <c r="C35" s="32">
        <f t="shared" si="1"/>
        <v>1</v>
      </c>
      <c r="D35" s="32">
        <f t="shared" si="4"/>
        <v>1</v>
      </c>
      <c r="E35" s="35"/>
      <c r="F35" s="33">
        <f t="shared" si="2"/>
        <v>2</v>
      </c>
      <c r="G35" s="42">
        <v>1</v>
      </c>
      <c r="H35" s="42">
        <v>1</v>
      </c>
      <c r="I35" s="36"/>
      <c r="J35" s="33">
        <f t="shared" si="3"/>
        <v>0</v>
      </c>
      <c r="K35" s="42">
        <v>0</v>
      </c>
      <c r="L35" s="42">
        <v>0</v>
      </c>
      <c r="M35" s="2"/>
      <c r="N35" s="2"/>
      <c r="O35" s="2"/>
    </row>
    <row r="36" spans="1:18" ht="16.899999999999999" customHeight="1" x14ac:dyDescent="0.25">
      <c r="A36" s="37" t="s">
        <v>40</v>
      </c>
      <c r="B36" s="32">
        <f t="shared" si="0"/>
        <v>88</v>
      </c>
      <c r="C36" s="32">
        <f t="shared" si="1"/>
        <v>60</v>
      </c>
      <c r="D36" s="32">
        <f t="shared" si="4"/>
        <v>28</v>
      </c>
      <c r="E36" s="35"/>
      <c r="F36" s="33">
        <f t="shared" si="2"/>
        <v>40</v>
      </c>
      <c r="G36" s="42">
        <v>22</v>
      </c>
      <c r="H36" s="42">
        <v>18</v>
      </c>
      <c r="I36" s="36"/>
      <c r="J36" s="33">
        <f t="shared" si="3"/>
        <v>48</v>
      </c>
      <c r="K36" s="42">
        <v>38</v>
      </c>
      <c r="L36" s="42">
        <v>10</v>
      </c>
      <c r="M36" s="2"/>
      <c r="N36" s="2"/>
      <c r="O36" s="2"/>
    </row>
    <row r="37" spans="1:18" ht="16.899999999999999" customHeight="1" x14ac:dyDescent="0.25">
      <c r="A37" s="37" t="s">
        <v>41</v>
      </c>
      <c r="B37" s="32">
        <f t="shared" si="0"/>
        <v>1578</v>
      </c>
      <c r="C37" s="32">
        <f t="shared" si="1"/>
        <v>330</v>
      </c>
      <c r="D37" s="32">
        <f t="shared" si="4"/>
        <v>1248</v>
      </c>
      <c r="E37" s="35"/>
      <c r="F37" s="33">
        <f t="shared" si="2"/>
        <v>432</v>
      </c>
      <c r="G37" s="42">
        <v>52</v>
      </c>
      <c r="H37" s="42">
        <v>380</v>
      </c>
      <c r="I37" s="36"/>
      <c r="J37" s="33">
        <f t="shared" si="3"/>
        <v>1146</v>
      </c>
      <c r="K37" s="42">
        <v>278</v>
      </c>
      <c r="L37" s="42">
        <v>868</v>
      </c>
      <c r="M37" s="2"/>
      <c r="N37" s="2"/>
      <c r="O37" s="2"/>
    </row>
    <row r="38" spans="1:18" ht="16.899999999999999" customHeight="1" x14ac:dyDescent="0.25">
      <c r="A38" s="37" t="s">
        <v>42</v>
      </c>
      <c r="B38" s="32">
        <f t="shared" si="0"/>
        <v>414</v>
      </c>
      <c r="C38" s="32">
        <f t="shared" si="1"/>
        <v>103</v>
      </c>
      <c r="D38" s="32">
        <f t="shared" si="4"/>
        <v>311</v>
      </c>
      <c r="E38" s="35"/>
      <c r="F38" s="33">
        <f t="shared" si="2"/>
        <v>199</v>
      </c>
      <c r="G38" s="42">
        <v>22</v>
      </c>
      <c r="H38" s="42">
        <v>177</v>
      </c>
      <c r="I38" s="36"/>
      <c r="J38" s="33">
        <f t="shared" si="3"/>
        <v>215</v>
      </c>
      <c r="K38" s="42">
        <v>81</v>
      </c>
      <c r="L38" s="42">
        <v>134</v>
      </c>
      <c r="M38" s="2"/>
      <c r="N38" s="2"/>
      <c r="O38" s="2"/>
    </row>
    <row r="39" spans="1:18" ht="16.899999999999999" customHeight="1" x14ac:dyDescent="0.25">
      <c r="A39" s="37" t="s">
        <v>43</v>
      </c>
      <c r="B39" s="32">
        <f t="shared" si="0"/>
        <v>116</v>
      </c>
      <c r="C39" s="32">
        <f t="shared" si="1"/>
        <v>23</v>
      </c>
      <c r="D39" s="32">
        <f t="shared" si="4"/>
        <v>93</v>
      </c>
      <c r="E39" s="35"/>
      <c r="F39" s="33">
        <f t="shared" si="2"/>
        <v>76</v>
      </c>
      <c r="G39" s="42">
        <v>14</v>
      </c>
      <c r="H39" s="42">
        <v>62</v>
      </c>
      <c r="I39" s="36"/>
      <c r="J39" s="33">
        <f t="shared" si="3"/>
        <v>40</v>
      </c>
      <c r="K39" s="42">
        <v>9</v>
      </c>
      <c r="L39" s="42">
        <v>31</v>
      </c>
      <c r="M39" s="2"/>
      <c r="N39" s="2"/>
      <c r="O39" s="2"/>
    </row>
    <row r="40" spans="1:18" ht="16.899999999999999" customHeight="1" x14ac:dyDescent="0.25">
      <c r="A40" s="37" t="s">
        <v>44</v>
      </c>
      <c r="B40" s="32">
        <f t="shared" si="0"/>
        <v>41</v>
      </c>
      <c r="C40" s="32">
        <f t="shared" si="1"/>
        <v>14</v>
      </c>
      <c r="D40" s="32">
        <f t="shared" si="4"/>
        <v>27</v>
      </c>
      <c r="E40" s="35"/>
      <c r="F40" s="33">
        <f t="shared" si="2"/>
        <v>25</v>
      </c>
      <c r="G40" s="42">
        <v>8</v>
      </c>
      <c r="H40" s="42">
        <v>17</v>
      </c>
      <c r="I40" s="36"/>
      <c r="J40" s="33">
        <f t="shared" si="3"/>
        <v>16</v>
      </c>
      <c r="K40" s="42">
        <v>6</v>
      </c>
      <c r="L40" s="42">
        <v>10</v>
      </c>
      <c r="M40" s="2"/>
      <c r="N40" s="2"/>
      <c r="O40" s="2"/>
      <c r="P40" s="2"/>
      <c r="Q40" s="2"/>
      <c r="R40" s="2"/>
    </row>
    <row r="41" spans="1:18" ht="16.899999999999999" customHeight="1" x14ac:dyDescent="0.25">
      <c r="A41" s="37" t="s">
        <v>45</v>
      </c>
      <c r="B41" s="32">
        <f t="shared" si="0"/>
        <v>2</v>
      </c>
      <c r="C41" s="32">
        <f t="shared" si="1"/>
        <v>0</v>
      </c>
      <c r="D41" s="32">
        <f t="shared" si="4"/>
        <v>2</v>
      </c>
      <c r="E41" s="35"/>
      <c r="F41" s="33">
        <f t="shared" si="2"/>
        <v>2</v>
      </c>
      <c r="G41" s="42">
        <v>0</v>
      </c>
      <c r="H41" s="42">
        <v>2</v>
      </c>
      <c r="I41" s="36"/>
      <c r="J41" s="33">
        <f t="shared" si="3"/>
        <v>0</v>
      </c>
      <c r="K41" s="42">
        <v>0</v>
      </c>
      <c r="L41" s="42">
        <v>0</v>
      </c>
      <c r="M41" s="2"/>
      <c r="N41" s="2"/>
      <c r="O41" s="2"/>
      <c r="P41" s="2"/>
      <c r="Q41" s="2"/>
      <c r="R41" s="2"/>
    </row>
    <row r="42" spans="1:18" ht="16.899999999999999" customHeight="1" x14ac:dyDescent="0.25">
      <c r="A42" s="37" t="s">
        <v>46</v>
      </c>
      <c r="B42" s="32">
        <f t="shared" si="0"/>
        <v>8</v>
      </c>
      <c r="C42" s="32">
        <f t="shared" si="1"/>
        <v>2</v>
      </c>
      <c r="D42" s="32">
        <f t="shared" si="4"/>
        <v>6</v>
      </c>
      <c r="E42" s="35"/>
      <c r="F42" s="33">
        <f t="shared" si="2"/>
        <v>7</v>
      </c>
      <c r="G42" s="42">
        <v>2</v>
      </c>
      <c r="H42" s="42">
        <v>5</v>
      </c>
      <c r="I42" s="36"/>
      <c r="J42" s="33">
        <f t="shared" si="3"/>
        <v>1</v>
      </c>
      <c r="K42" s="42">
        <v>0</v>
      </c>
      <c r="L42" s="42">
        <v>1</v>
      </c>
      <c r="M42" s="2"/>
      <c r="N42" s="2"/>
      <c r="O42" s="2"/>
      <c r="P42" s="2"/>
      <c r="Q42" s="2"/>
      <c r="R42" s="2"/>
    </row>
    <row r="43" spans="1:18" ht="16.899999999999999" customHeight="1" x14ac:dyDescent="0.25">
      <c r="A43" s="37" t="s">
        <v>47</v>
      </c>
      <c r="B43" s="32">
        <f t="shared" si="0"/>
        <v>2</v>
      </c>
      <c r="C43" s="32">
        <f t="shared" si="1"/>
        <v>2</v>
      </c>
      <c r="D43" s="32">
        <f t="shared" si="4"/>
        <v>0</v>
      </c>
      <c r="E43" s="35"/>
      <c r="F43" s="33">
        <f t="shared" si="2"/>
        <v>2</v>
      </c>
      <c r="G43" s="42">
        <v>2</v>
      </c>
      <c r="H43" s="42">
        <v>0</v>
      </c>
      <c r="I43" s="36"/>
      <c r="J43" s="33">
        <f t="shared" si="3"/>
        <v>0</v>
      </c>
      <c r="K43" s="42">
        <v>0</v>
      </c>
      <c r="L43" s="42">
        <v>0</v>
      </c>
      <c r="M43" s="2"/>
      <c r="N43" s="2"/>
      <c r="O43" s="2"/>
      <c r="P43" s="2"/>
      <c r="Q43" s="2"/>
      <c r="R43" s="2"/>
    </row>
    <row r="44" spans="1:18" ht="16.899999999999999" customHeight="1" x14ac:dyDescent="0.25">
      <c r="A44" s="37" t="s">
        <v>48</v>
      </c>
      <c r="B44" s="32">
        <f t="shared" si="0"/>
        <v>2</v>
      </c>
      <c r="C44" s="32">
        <f t="shared" si="1"/>
        <v>2</v>
      </c>
      <c r="D44" s="32">
        <f t="shared" si="4"/>
        <v>0</v>
      </c>
      <c r="E44" s="35"/>
      <c r="F44" s="33">
        <f t="shared" si="2"/>
        <v>2</v>
      </c>
      <c r="G44" s="42">
        <v>2</v>
      </c>
      <c r="H44" s="42">
        <v>0</v>
      </c>
      <c r="I44" s="36"/>
      <c r="J44" s="33">
        <f t="shared" si="3"/>
        <v>0</v>
      </c>
      <c r="K44" s="42">
        <v>0</v>
      </c>
      <c r="L44" s="42">
        <v>0</v>
      </c>
      <c r="M44" s="2"/>
      <c r="N44" s="2"/>
      <c r="O44" s="2"/>
      <c r="P44" s="19"/>
      <c r="Q44" s="19"/>
      <c r="R44" s="19"/>
    </row>
    <row r="45" spans="1:18" ht="16.899999999999999" customHeight="1" x14ac:dyDescent="0.25">
      <c r="A45" s="37" t="s">
        <v>49</v>
      </c>
      <c r="B45" s="32">
        <f t="shared" si="0"/>
        <v>0</v>
      </c>
      <c r="C45" s="32">
        <f t="shared" si="1"/>
        <v>0</v>
      </c>
      <c r="D45" s="32">
        <f t="shared" si="4"/>
        <v>0</v>
      </c>
      <c r="E45" s="35"/>
      <c r="F45" s="33">
        <f t="shared" si="2"/>
        <v>0</v>
      </c>
      <c r="G45" s="42">
        <v>0</v>
      </c>
      <c r="H45" s="42">
        <v>0</v>
      </c>
      <c r="I45" s="36"/>
      <c r="J45" s="33">
        <f t="shared" si="3"/>
        <v>0</v>
      </c>
      <c r="K45" s="42">
        <v>0</v>
      </c>
      <c r="L45" s="42">
        <v>0</v>
      </c>
      <c r="M45" s="2"/>
      <c r="N45" s="2"/>
      <c r="O45" s="2"/>
      <c r="P45" s="2"/>
      <c r="Q45" s="2"/>
      <c r="R45" s="2"/>
    </row>
    <row r="46" spans="1:18" ht="16.899999999999999" customHeight="1" x14ac:dyDescent="0.25">
      <c r="A46" s="37" t="s">
        <v>50</v>
      </c>
      <c r="B46" s="32">
        <f t="shared" si="0"/>
        <v>1</v>
      </c>
      <c r="C46" s="32">
        <f t="shared" si="1"/>
        <v>1</v>
      </c>
      <c r="D46" s="32">
        <f t="shared" si="4"/>
        <v>0</v>
      </c>
      <c r="E46" s="35"/>
      <c r="F46" s="33">
        <f t="shared" si="2"/>
        <v>1</v>
      </c>
      <c r="G46" s="42">
        <v>1</v>
      </c>
      <c r="H46" s="42">
        <v>0</v>
      </c>
      <c r="I46" s="36"/>
      <c r="J46" s="33">
        <f t="shared" si="3"/>
        <v>0</v>
      </c>
      <c r="K46" s="42">
        <v>0</v>
      </c>
      <c r="L46" s="42">
        <v>0</v>
      </c>
      <c r="M46" s="2"/>
      <c r="N46" s="2"/>
      <c r="O46" s="2"/>
    </row>
    <row r="47" spans="1:18" ht="16.899999999999999" customHeight="1" x14ac:dyDescent="0.25">
      <c r="A47" s="37" t="s">
        <v>51</v>
      </c>
      <c r="B47" s="32">
        <f t="shared" si="0"/>
        <v>2</v>
      </c>
      <c r="C47" s="32">
        <f t="shared" si="1"/>
        <v>0</v>
      </c>
      <c r="D47" s="32">
        <f t="shared" si="4"/>
        <v>2</v>
      </c>
      <c r="E47" s="35"/>
      <c r="F47" s="33">
        <f t="shared" si="2"/>
        <v>2</v>
      </c>
      <c r="G47" s="42">
        <v>0</v>
      </c>
      <c r="H47" s="42">
        <v>2</v>
      </c>
      <c r="I47" s="36"/>
      <c r="J47" s="33">
        <f t="shared" si="3"/>
        <v>0</v>
      </c>
      <c r="K47" s="42">
        <v>0</v>
      </c>
      <c r="L47" s="42">
        <v>0</v>
      </c>
      <c r="M47" s="2"/>
      <c r="N47" s="2"/>
      <c r="O47" s="2"/>
    </row>
    <row r="48" spans="1:18" ht="16.899999999999999" customHeight="1" x14ac:dyDescent="0.25">
      <c r="A48" s="37" t="s">
        <v>52</v>
      </c>
      <c r="B48" s="32">
        <f t="shared" si="0"/>
        <v>6</v>
      </c>
      <c r="C48" s="32">
        <f t="shared" si="1"/>
        <v>4</v>
      </c>
      <c r="D48" s="32">
        <f t="shared" si="4"/>
        <v>2</v>
      </c>
      <c r="E48" s="35"/>
      <c r="F48" s="33">
        <f t="shared" si="2"/>
        <v>6</v>
      </c>
      <c r="G48" s="42">
        <v>4</v>
      </c>
      <c r="H48" s="42">
        <v>2</v>
      </c>
      <c r="I48" s="36"/>
      <c r="J48" s="33">
        <f t="shared" si="3"/>
        <v>0</v>
      </c>
      <c r="K48" s="42">
        <v>0</v>
      </c>
      <c r="L48" s="42">
        <v>0</v>
      </c>
      <c r="M48" s="2"/>
      <c r="N48" s="2"/>
      <c r="O48" s="2"/>
      <c r="P48" s="2"/>
      <c r="Q48" s="2"/>
      <c r="R48" s="2"/>
    </row>
    <row r="49" spans="1:18" ht="16.899999999999999" customHeight="1" x14ac:dyDescent="0.25">
      <c r="A49" s="37" t="s">
        <v>53</v>
      </c>
      <c r="B49" s="32">
        <f t="shared" si="0"/>
        <v>2</v>
      </c>
      <c r="C49" s="32">
        <f t="shared" si="1"/>
        <v>2</v>
      </c>
      <c r="D49" s="32">
        <f t="shared" si="4"/>
        <v>0</v>
      </c>
      <c r="E49" s="35"/>
      <c r="F49" s="33">
        <f t="shared" si="2"/>
        <v>2</v>
      </c>
      <c r="G49" s="42">
        <v>2</v>
      </c>
      <c r="H49" s="42">
        <v>0</v>
      </c>
      <c r="I49" s="36"/>
      <c r="J49" s="33">
        <f t="shared" si="3"/>
        <v>0</v>
      </c>
      <c r="K49" s="42">
        <v>0</v>
      </c>
      <c r="L49" s="42">
        <v>0</v>
      </c>
      <c r="M49" s="2"/>
      <c r="N49" s="2"/>
      <c r="O49" s="2"/>
    </row>
    <row r="50" spans="1:18" ht="16.899999999999999" customHeight="1" x14ac:dyDescent="0.25">
      <c r="A50" s="37" t="s">
        <v>54</v>
      </c>
      <c r="B50" s="32">
        <f t="shared" si="0"/>
        <v>2</v>
      </c>
      <c r="C50" s="32">
        <f t="shared" si="1"/>
        <v>0</v>
      </c>
      <c r="D50" s="32">
        <f t="shared" si="4"/>
        <v>2</v>
      </c>
      <c r="E50" s="35"/>
      <c r="F50" s="33">
        <f t="shared" si="2"/>
        <v>2</v>
      </c>
      <c r="G50" s="42">
        <v>0</v>
      </c>
      <c r="H50" s="42">
        <v>2</v>
      </c>
      <c r="I50" s="36"/>
      <c r="J50" s="33">
        <f t="shared" si="3"/>
        <v>0</v>
      </c>
      <c r="K50" s="42">
        <v>0</v>
      </c>
      <c r="L50" s="42">
        <v>0</v>
      </c>
      <c r="M50" s="2"/>
      <c r="N50" s="2"/>
      <c r="O50" s="2"/>
      <c r="P50" s="2"/>
      <c r="Q50" s="2"/>
      <c r="R50" s="2"/>
    </row>
    <row r="51" spans="1:18" ht="16.899999999999999" customHeight="1" x14ac:dyDescent="0.25">
      <c r="A51" s="38" t="s">
        <v>114</v>
      </c>
      <c r="B51" s="32">
        <f t="shared" si="0"/>
        <v>4</v>
      </c>
      <c r="C51" s="32">
        <f t="shared" si="1"/>
        <v>3</v>
      </c>
      <c r="D51" s="32">
        <f t="shared" si="4"/>
        <v>1</v>
      </c>
      <c r="E51" s="35"/>
      <c r="F51" s="33">
        <f t="shared" si="2"/>
        <v>4</v>
      </c>
      <c r="G51" s="42">
        <v>3</v>
      </c>
      <c r="H51" s="42">
        <v>1</v>
      </c>
      <c r="I51" s="36"/>
      <c r="J51" s="33">
        <f t="shared" si="3"/>
        <v>0</v>
      </c>
      <c r="K51" s="42">
        <v>0</v>
      </c>
      <c r="L51" s="42">
        <v>0</v>
      </c>
      <c r="M51" s="2"/>
      <c r="N51" s="18"/>
      <c r="O51" s="2"/>
    </row>
    <row r="52" spans="1:18" ht="16.899999999999999" customHeight="1" x14ac:dyDescent="0.25">
      <c r="A52" s="37" t="s">
        <v>55</v>
      </c>
      <c r="B52" s="32">
        <f t="shared" si="0"/>
        <v>1</v>
      </c>
      <c r="C52" s="32">
        <f t="shared" si="1"/>
        <v>0</v>
      </c>
      <c r="D52" s="32">
        <f t="shared" si="4"/>
        <v>1</v>
      </c>
      <c r="E52" s="35"/>
      <c r="F52" s="33">
        <f t="shared" si="2"/>
        <v>1</v>
      </c>
      <c r="G52" s="42">
        <v>0</v>
      </c>
      <c r="H52" s="42">
        <v>1</v>
      </c>
      <c r="I52" s="36"/>
      <c r="J52" s="33">
        <f t="shared" si="3"/>
        <v>0</v>
      </c>
      <c r="K52" s="42">
        <v>0</v>
      </c>
      <c r="L52" s="42">
        <v>0</v>
      </c>
      <c r="M52" s="2"/>
      <c r="N52" s="18"/>
      <c r="O52" s="2"/>
    </row>
    <row r="53" spans="1:18" ht="16.899999999999999" customHeight="1" x14ac:dyDescent="0.25">
      <c r="A53" s="37" t="s">
        <v>56</v>
      </c>
      <c r="B53" s="32">
        <f t="shared" si="0"/>
        <v>5</v>
      </c>
      <c r="C53" s="32">
        <f t="shared" si="1"/>
        <v>2</v>
      </c>
      <c r="D53" s="32">
        <f t="shared" si="4"/>
        <v>3</v>
      </c>
      <c r="E53" s="35"/>
      <c r="F53" s="33">
        <f t="shared" si="2"/>
        <v>5</v>
      </c>
      <c r="G53" s="42">
        <v>2</v>
      </c>
      <c r="H53" s="42">
        <v>3</v>
      </c>
      <c r="I53" s="36"/>
      <c r="J53" s="33">
        <f t="shared" si="3"/>
        <v>0</v>
      </c>
      <c r="K53" s="42">
        <v>0</v>
      </c>
      <c r="L53" s="42">
        <v>0</v>
      </c>
      <c r="M53" s="2"/>
      <c r="N53" s="2"/>
      <c r="O53" s="2"/>
      <c r="P53" s="2"/>
      <c r="Q53" s="2"/>
      <c r="R53" s="2"/>
    </row>
    <row r="54" spans="1:18" ht="16.899999999999999" customHeight="1" x14ac:dyDescent="0.25">
      <c r="A54" s="37" t="s">
        <v>57</v>
      </c>
      <c r="B54" s="32">
        <f t="shared" si="0"/>
        <v>0</v>
      </c>
      <c r="C54" s="32">
        <f t="shared" si="1"/>
        <v>0</v>
      </c>
      <c r="D54" s="32">
        <f t="shared" si="4"/>
        <v>0</v>
      </c>
      <c r="E54" s="35"/>
      <c r="F54" s="33">
        <f t="shared" si="2"/>
        <v>0</v>
      </c>
      <c r="G54" s="42">
        <v>0</v>
      </c>
      <c r="H54" s="42">
        <v>0</v>
      </c>
      <c r="I54" s="36"/>
      <c r="J54" s="33">
        <f t="shared" si="3"/>
        <v>0</v>
      </c>
      <c r="K54" s="42">
        <v>0</v>
      </c>
      <c r="L54" s="42">
        <v>0</v>
      </c>
      <c r="M54" s="2"/>
      <c r="N54" s="18"/>
      <c r="O54" s="2"/>
    </row>
    <row r="55" spans="1:18" ht="16.899999999999999" customHeight="1" x14ac:dyDescent="0.25">
      <c r="A55" s="37" t="s">
        <v>58</v>
      </c>
      <c r="B55" s="32">
        <f t="shared" si="0"/>
        <v>0</v>
      </c>
      <c r="C55" s="32">
        <f t="shared" si="1"/>
        <v>0</v>
      </c>
      <c r="D55" s="32">
        <f t="shared" si="4"/>
        <v>0</v>
      </c>
      <c r="E55" s="35"/>
      <c r="F55" s="33">
        <f t="shared" si="2"/>
        <v>0</v>
      </c>
      <c r="G55" s="42">
        <v>0</v>
      </c>
      <c r="H55" s="42">
        <v>0</v>
      </c>
      <c r="I55" s="36"/>
      <c r="J55" s="33">
        <f t="shared" si="3"/>
        <v>0</v>
      </c>
      <c r="K55" s="42">
        <v>0</v>
      </c>
      <c r="L55" s="42">
        <v>0</v>
      </c>
      <c r="M55" s="2"/>
      <c r="N55" s="18"/>
      <c r="O55" s="2"/>
    </row>
    <row r="56" spans="1:18" ht="16.899999999999999" customHeight="1" x14ac:dyDescent="0.25">
      <c r="A56" s="37" t="s">
        <v>59</v>
      </c>
      <c r="B56" s="32">
        <f t="shared" si="0"/>
        <v>1</v>
      </c>
      <c r="C56" s="32">
        <f t="shared" si="1"/>
        <v>1</v>
      </c>
      <c r="D56" s="32">
        <f t="shared" si="4"/>
        <v>0</v>
      </c>
      <c r="E56" s="35"/>
      <c r="F56" s="33">
        <f t="shared" si="2"/>
        <v>1</v>
      </c>
      <c r="G56" s="42">
        <v>1</v>
      </c>
      <c r="H56" s="42">
        <v>0</v>
      </c>
      <c r="I56" s="36"/>
      <c r="J56" s="33">
        <f t="shared" si="3"/>
        <v>0</v>
      </c>
      <c r="K56" s="42">
        <v>0</v>
      </c>
      <c r="L56" s="42">
        <v>0</v>
      </c>
      <c r="M56" s="2"/>
      <c r="N56" s="18"/>
      <c r="O56" s="2"/>
    </row>
    <row r="57" spans="1:18" ht="16.899999999999999" customHeight="1" x14ac:dyDescent="0.25">
      <c r="A57" s="37" t="s">
        <v>60</v>
      </c>
      <c r="B57" s="32">
        <f t="shared" si="0"/>
        <v>0</v>
      </c>
      <c r="C57" s="32">
        <f t="shared" si="1"/>
        <v>0</v>
      </c>
      <c r="D57" s="32">
        <f t="shared" si="4"/>
        <v>0</v>
      </c>
      <c r="E57" s="35"/>
      <c r="F57" s="33">
        <f t="shared" si="2"/>
        <v>0</v>
      </c>
      <c r="G57" s="42">
        <v>0</v>
      </c>
      <c r="H57" s="42">
        <v>0</v>
      </c>
      <c r="I57" s="36"/>
      <c r="J57" s="33">
        <f t="shared" si="3"/>
        <v>0</v>
      </c>
      <c r="K57" s="42">
        <v>0</v>
      </c>
      <c r="L57" s="42">
        <v>0</v>
      </c>
      <c r="M57" s="2"/>
      <c r="N57" s="2"/>
      <c r="O57" s="2"/>
      <c r="P57" s="2"/>
      <c r="Q57" s="2"/>
      <c r="R57" s="2"/>
    </row>
    <row r="58" spans="1:18" ht="16.899999999999999" customHeight="1" x14ac:dyDescent="0.25">
      <c r="A58" s="37" t="s">
        <v>115</v>
      </c>
      <c r="B58" s="32">
        <f t="shared" si="0"/>
        <v>3</v>
      </c>
      <c r="C58" s="32">
        <f t="shared" si="1"/>
        <v>2</v>
      </c>
      <c r="D58" s="32">
        <f t="shared" si="4"/>
        <v>1</v>
      </c>
      <c r="E58" s="35"/>
      <c r="F58" s="33">
        <f t="shared" si="2"/>
        <v>3</v>
      </c>
      <c r="G58" s="42">
        <v>2</v>
      </c>
      <c r="H58" s="42">
        <v>1</v>
      </c>
      <c r="I58" s="36"/>
      <c r="J58" s="33">
        <f t="shared" si="3"/>
        <v>0</v>
      </c>
      <c r="K58" s="42">
        <v>0</v>
      </c>
      <c r="L58" s="42">
        <v>0</v>
      </c>
      <c r="M58" s="2"/>
      <c r="N58" s="2"/>
      <c r="O58" s="2"/>
      <c r="P58" s="2"/>
      <c r="Q58" s="2"/>
      <c r="R58" s="2"/>
    </row>
    <row r="59" spans="1:18" ht="16.899999999999999" customHeight="1" x14ac:dyDescent="0.25">
      <c r="A59" s="37" t="s">
        <v>61</v>
      </c>
      <c r="B59" s="32">
        <f t="shared" si="0"/>
        <v>14</v>
      </c>
      <c r="C59" s="32">
        <f t="shared" si="1"/>
        <v>8</v>
      </c>
      <c r="D59" s="32">
        <f t="shared" si="4"/>
        <v>6</v>
      </c>
      <c r="E59" s="35"/>
      <c r="F59" s="33">
        <f t="shared" si="2"/>
        <v>14</v>
      </c>
      <c r="G59" s="42">
        <v>8</v>
      </c>
      <c r="H59" s="42">
        <v>6</v>
      </c>
      <c r="I59" s="36"/>
      <c r="J59" s="33">
        <f t="shared" si="3"/>
        <v>0</v>
      </c>
      <c r="K59" s="42">
        <v>0</v>
      </c>
      <c r="L59" s="42">
        <v>0</v>
      </c>
      <c r="M59" s="2"/>
      <c r="N59" s="18"/>
      <c r="O59" s="2"/>
    </row>
    <row r="60" spans="1:18" ht="16.899999999999999" customHeight="1" x14ac:dyDescent="0.25">
      <c r="A60" s="37" t="s">
        <v>62</v>
      </c>
      <c r="B60" s="32">
        <f t="shared" si="0"/>
        <v>0</v>
      </c>
      <c r="C60" s="32">
        <f t="shared" si="1"/>
        <v>0</v>
      </c>
      <c r="D60" s="32">
        <f t="shared" si="4"/>
        <v>0</v>
      </c>
      <c r="E60" s="35"/>
      <c r="F60" s="33">
        <f t="shared" si="2"/>
        <v>0</v>
      </c>
      <c r="G60" s="42">
        <v>0</v>
      </c>
      <c r="H60" s="42">
        <v>0</v>
      </c>
      <c r="I60" s="36"/>
      <c r="J60" s="33">
        <f t="shared" si="3"/>
        <v>0</v>
      </c>
      <c r="K60" s="42">
        <v>0</v>
      </c>
      <c r="L60" s="42">
        <v>0</v>
      </c>
      <c r="M60" s="2"/>
      <c r="N60" s="18"/>
      <c r="O60" s="2"/>
      <c r="P60" s="2"/>
      <c r="Q60" s="2"/>
      <c r="R60" s="2"/>
    </row>
    <row r="61" spans="1:18" ht="16.899999999999999" customHeight="1" x14ac:dyDescent="0.25">
      <c r="A61" s="37" t="s">
        <v>63</v>
      </c>
      <c r="B61" s="32">
        <f t="shared" si="0"/>
        <v>260</v>
      </c>
      <c r="C61" s="32">
        <f t="shared" si="1"/>
        <v>140</v>
      </c>
      <c r="D61" s="32">
        <f t="shared" si="4"/>
        <v>120</v>
      </c>
      <c r="E61" s="35"/>
      <c r="F61" s="33">
        <f t="shared" si="2"/>
        <v>260</v>
      </c>
      <c r="G61" s="42">
        <v>140</v>
      </c>
      <c r="H61" s="42">
        <v>120</v>
      </c>
      <c r="I61" s="36"/>
      <c r="J61" s="33">
        <f t="shared" si="3"/>
        <v>0</v>
      </c>
      <c r="K61" s="42">
        <v>0</v>
      </c>
      <c r="L61" s="42">
        <v>0</v>
      </c>
      <c r="M61" s="2"/>
      <c r="N61" s="18"/>
      <c r="O61" s="2"/>
      <c r="P61" s="2"/>
      <c r="Q61" s="2"/>
      <c r="R61" s="2"/>
    </row>
    <row r="62" spans="1:18" ht="16.899999999999999" customHeight="1" x14ac:dyDescent="0.25">
      <c r="A62" s="37" t="s">
        <v>64</v>
      </c>
      <c r="B62" s="32">
        <f t="shared" si="0"/>
        <v>78</v>
      </c>
      <c r="C62" s="32">
        <f t="shared" si="1"/>
        <v>59</v>
      </c>
      <c r="D62" s="32">
        <f t="shared" si="4"/>
        <v>19</v>
      </c>
      <c r="E62" s="35"/>
      <c r="F62" s="33">
        <f t="shared" si="2"/>
        <v>78</v>
      </c>
      <c r="G62" s="42">
        <v>59</v>
      </c>
      <c r="H62" s="42">
        <v>19</v>
      </c>
      <c r="I62" s="36"/>
      <c r="J62" s="33">
        <f t="shared" si="3"/>
        <v>0</v>
      </c>
      <c r="K62" s="42">
        <v>0</v>
      </c>
      <c r="L62" s="42">
        <v>0</v>
      </c>
      <c r="M62" s="2"/>
      <c r="N62" s="18"/>
      <c r="O62" s="2"/>
      <c r="P62" s="2"/>
      <c r="Q62" s="2"/>
      <c r="R62" s="2"/>
    </row>
    <row r="63" spans="1:18" ht="16.899999999999999" customHeight="1" x14ac:dyDescent="0.25">
      <c r="A63" s="37" t="s">
        <v>65</v>
      </c>
      <c r="B63" s="32">
        <f t="shared" si="0"/>
        <v>88</v>
      </c>
      <c r="C63" s="32">
        <f t="shared" si="1"/>
        <v>59</v>
      </c>
      <c r="D63" s="32">
        <f t="shared" si="4"/>
        <v>29</v>
      </c>
      <c r="E63" s="35"/>
      <c r="F63" s="33">
        <f t="shared" si="2"/>
        <v>88</v>
      </c>
      <c r="G63" s="42">
        <v>59</v>
      </c>
      <c r="H63" s="42">
        <v>29</v>
      </c>
      <c r="I63" s="36"/>
      <c r="J63" s="33">
        <f t="shared" si="3"/>
        <v>0</v>
      </c>
      <c r="K63" s="42">
        <v>0</v>
      </c>
      <c r="L63" s="42">
        <v>0</v>
      </c>
      <c r="M63" s="2"/>
      <c r="N63" s="18"/>
      <c r="O63" s="2"/>
      <c r="P63" s="2"/>
      <c r="Q63" s="2"/>
      <c r="R63" s="2"/>
    </row>
    <row r="64" spans="1:18" ht="16.899999999999999" customHeight="1" x14ac:dyDescent="0.25">
      <c r="A64" s="37" t="s">
        <v>66</v>
      </c>
      <c r="B64" s="32">
        <f t="shared" si="0"/>
        <v>39</v>
      </c>
      <c r="C64" s="32">
        <f t="shared" si="1"/>
        <v>26</v>
      </c>
      <c r="D64" s="32">
        <f t="shared" si="4"/>
        <v>13</v>
      </c>
      <c r="E64" s="35"/>
      <c r="F64" s="33">
        <f t="shared" si="2"/>
        <v>39</v>
      </c>
      <c r="G64" s="42">
        <v>26</v>
      </c>
      <c r="H64" s="42">
        <v>13</v>
      </c>
      <c r="I64" s="36"/>
      <c r="J64" s="33">
        <f t="shared" si="3"/>
        <v>0</v>
      </c>
      <c r="K64" s="42">
        <v>0</v>
      </c>
      <c r="L64" s="42">
        <v>0</v>
      </c>
      <c r="M64" s="2"/>
      <c r="N64" s="18"/>
      <c r="O64" s="2"/>
      <c r="P64" s="2"/>
      <c r="Q64" s="2"/>
      <c r="R64" s="2"/>
    </row>
    <row r="65" spans="1:18" ht="16.899999999999999" customHeight="1" x14ac:dyDescent="0.25">
      <c r="A65" s="37" t="s">
        <v>67</v>
      </c>
      <c r="B65" s="32">
        <f t="shared" si="0"/>
        <v>38</v>
      </c>
      <c r="C65" s="32">
        <f t="shared" si="1"/>
        <v>35</v>
      </c>
      <c r="D65" s="32">
        <f t="shared" si="4"/>
        <v>3</v>
      </c>
      <c r="E65" s="35"/>
      <c r="F65" s="33">
        <f t="shared" si="2"/>
        <v>38</v>
      </c>
      <c r="G65" s="42">
        <v>35</v>
      </c>
      <c r="H65" s="42">
        <v>3</v>
      </c>
      <c r="I65" s="36"/>
      <c r="J65" s="33">
        <f t="shared" si="3"/>
        <v>0</v>
      </c>
      <c r="K65" s="42">
        <v>0</v>
      </c>
      <c r="L65" s="42">
        <v>0</v>
      </c>
      <c r="M65" s="2"/>
      <c r="N65" s="18"/>
      <c r="O65" s="2"/>
    </row>
    <row r="66" spans="1:18" ht="16.899999999999999" customHeight="1" x14ac:dyDescent="0.25">
      <c r="A66" s="37" t="s">
        <v>68</v>
      </c>
      <c r="B66" s="32">
        <f t="shared" si="0"/>
        <v>7</v>
      </c>
      <c r="C66" s="32">
        <f t="shared" si="1"/>
        <v>7</v>
      </c>
      <c r="D66" s="32">
        <f t="shared" si="4"/>
        <v>0</v>
      </c>
      <c r="E66" s="35"/>
      <c r="F66" s="33">
        <f t="shared" si="2"/>
        <v>7</v>
      </c>
      <c r="G66" s="42">
        <v>7</v>
      </c>
      <c r="H66" s="42">
        <v>0</v>
      </c>
      <c r="I66" s="36"/>
      <c r="J66" s="33">
        <f t="shared" si="3"/>
        <v>0</v>
      </c>
      <c r="K66" s="42">
        <v>0</v>
      </c>
      <c r="L66" s="42">
        <v>0</v>
      </c>
      <c r="M66" s="2"/>
      <c r="N66" s="18"/>
      <c r="O66" s="2"/>
      <c r="P66" s="2"/>
      <c r="Q66" s="2"/>
      <c r="R66" s="2"/>
    </row>
    <row r="67" spans="1:18" ht="16.899999999999999" customHeight="1" x14ac:dyDescent="0.25">
      <c r="A67" s="37" t="s">
        <v>69</v>
      </c>
      <c r="B67" s="32">
        <f t="shared" si="0"/>
        <v>3</v>
      </c>
      <c r="C67" s="32">
        <f t="shared" si="1"/>
        <v>2</v>
      </c>
      <c r="D67" s="32">
        <f t="shared" si="4"/>
        <v>1</v>
      </c>
      <c r="E67" s="35"/>
      <c r="F67" s="33">
        <f t="shared" si="2"/>
        <v>3</v>
      </c>
      <c r="G67" s="42">
        <v>2</v>
      </c>
      <c r="H67" s="42">
        <v>1</v>
      </c>
      <c r="I67" s="36"/>
      <c r="J67" s="33">
        <f t="shared" si="3"/>
        <v>0</v>
      </c>
      <c r="K67" s="42">
        <v>0</v>
      </c>
      <c r="L67" s="42">
        <v>0</v>
      </c>
      <c r="M67" s="2"/>
      <c r="N67" s="18"/>
      <c r="O67" s="2"/>
    </row>
    <row r="68" spans="1:18" ht="16.899999999999999" customHeight="1" x14ac:dyDescent="0.25">
      <c r="A68" s="37" t="s">
        <v>70</v>
      </c>
      <c r="B68" s="32">
        <f t="shared" si="0"/>
        <v>1</v>
      </c>
      <c r="C68" s="32">
        <f t="shared" si="1"/>
        <v>0</v>
      </c>
      <c r="D68" s="32">
        <f t="shared" si="4"/>
        <v>1</v>
      </c>
      <c r="E68" s="35"/>
      <c r="F68" s="33">
        <f t="shared" si="2"/>
        <v>1</v>
      </c>
      <c r="G68" s="42">
        <v>0</v>
      </c>
      <c r="H68" s="42">
        <v>1</v>
      </c>
      <c r="I68" s="36"/>
      <c r="J68" s="33">
        <f t="shared" si="3"/>
        <v>0</v>
      </c>
      <c r="K68" s="42">
        <v>0</v>
      </c>
      <c r="L68" s="42">
        <v>0</v>
      </c>
      <c r="M68" s="2"/>
      <c r="N68" s="18"/>
      <c r="O68" s="2"/>
      <c r="P68" s="2"/>
      <c r="Q68" s="2"/>
      <c r="R68" s="2"/>
    </row>
    <row r="69" spans="1:18" ht="16.899999999999999" customHeight="1" x14ac:dyDescent="0.25">
      <c r="A69" s="37" t="s">
        <v>71</v>
      </c>
      <c r="B69" s="32">
        <f t="shared" si="0"/>
        <v>12</v>
      </c>
      <c r="C69" s="32">
        <f t="shared" si="1"/>
        <v>8</v>
      </c>
      <c r="D69" s="32">
        <f t="shared" si="4"/>
        <v>4</v>
      </c>
      <c r="E69" s="35"/>
      <c r="F69" s="33">
        <f t="shared" si="2"/>
        <v>12</v>
      </c>
      <c r="G69" s="42">
        <v>8</v>
      </c>
      <c r="H69" s="42">
        <v>4</v>
      </c>
      <c r="I69" s="36"/>
      <c r="J69" s="33">
        <f t="shared" si="3"/>
        <v>0</v>
      </c>
      <c r="K69" s="42">
        <v>0</v>
      </c>
      <c r="L69" s="42">
        <v>0</v>
      </c>
      <c r="M69" s="2"/>
      <c r="N69" s="18"/>
      <c r="O69" s="2"/>
      <c r="P69" s="2"/>
      <c r="Q69" s="2"/>
      <c r="R69" s="2"/>
    </row>
    <row r="70" spans="1:18" ht="16.899999999999999" customHeight="1" x14ac:dyDescent="0.25">
      <c r="A70" s="37" t="s">
        <v>72</v>
      </c>
      <c r="B70" s="32">
        <f t="shared" si="0"/>
        <v>56</v>
      </c>
      <c r="C70" s="32">
        <f t="shared" si="1"/>
        <v>51</v>
      </c>
      <c r="D70" s="32">
        <f t="shared" si="4"/>
        <v>5</v>
      </c>
      <c r="E70" s="35"/>
      <c r="F70" s="33">
        <f t="shared" si="2"/>
        <v>56</v>
      </c>
      <c r="G70" s="42">
        <v>51</v>
      </c>
      <c r="H70" s="42">
        <v>5</v>
      </c>
      <c r="I70" s="36"/>
      <c r="J70" s="33">
        <f t="shared" si="3"/>
        <v>0</v>
      </c>
      <c r="K70" s="42">
        <v>0</v>
      </c>
      <c r="L70" s="42">
        <v>0</v>
      </c>
      <c r="M70" s="2"/>
      <c r="N70" s="18"/>
      <c r="O70" s="2"/>
    </row>
    <row r="71" spans="1:18" ht="16.899999999999999" customHeight="1" x14ac:dyDescent="0.25">
      <c r="A71" s="37" t="s">
        <v>73</v>
      </c>
      <c r="B71" s="32">
        <f t="shared" si="0"/>
        <v>56</v>
      </c>
      <c r="C71" s="32">
        <f t="shared" si="1"/>
        <v>43</v>
      </c>
      <c r="D71" s="32">
        <f t="shared" si="4"/>
        <v>13</v>
      </c>
      <c r="E71" s="35"/>
      <c r="F71" s="33">
        <f t="shared" si="2"/>
        <v>56</v>
      </c>
      <c r="G71" s="42">
        <v>43</v>
      </c>
      <c r="H71" s="42">
        <v>13</v>
      </c>
      <c r="I71" s="36"/>
      <c r="J71" s="33">
        <f t="shared" si="3"/>
        <v>0</v>
      </c>
      <c r="K71" s="42">
        <v>0</v>
      </c>
      <c r="L71" s="42">
        <v>0</v>
      </c>
      <c r="M71" s="2"/>
      <c r="N71" s="18"/>
      <c r="O71" s="2"/>
    </row>
    <row r="72" spans="1:18" ht="16.899999999999999" customHeight="1" x14ac:dyDescent="0.25">
      <c r="A72" s="37" t="s">
        <v>74</v>
      </c>
      <c r="B72" s="32">
        <f t="shared" si="0"/>
        <v>65</v>
      </c>
      <c r="C72" s="32">
        <f t="shared" si="1"/>
        <v>47</v>
      </c>
      <c r="D72" s="32">
        <f t="shared" si="4"/>
        <v>18</v>
      </c>
      <c r="E72" s="35"/>
      <c r="F72" s="33">
        <f t="shared" si="2"/>
        <v>65</v>
      </c>
      <c r="G72" s="42">
        <v>47</v>
      </c>
      <c r="H72" s="42">
        <v>18</v>
      </c>
      <c r="I72" s="36"/>
      <c r="J72" s="33">
        <f t="shared" si="3"/>
        <v>0</v>
      </c>
      <c r="K72" s="42">
        <v>0</v>
      </c>
      <c r="L72" s="42">
        <v>0</v>
      </c>
      <c r="M72" s="2"/>
      <c r="N72" s="18"/>
      <c r="O72" s="2"/>
      <c r="P72" s="2"/>
      <c r="Q72" s="2"/>
      <c r="R72" s="2"/>
    </row>
    <row r="73" spans="1:18" ht="16.899999999999999" customHeight="1" x14ac:dyDescent="0.25">
      <c r="A73" s="37" t="s">
        <v>75</v>
      </c>
      <c r="B73" s="32">
        <f t="shared" si="0"/>
        <v>83</v>
      </c>
      <c r="C73" s="32">
        <f t="shared" si="1"/>
        <v>35</v>
      </c>
      <c r="D73" s="32">
        <f t="shared" si="4"/>
        <v>48</v>
      </c>
      <c r="E73" s="35"/>
      <c r="F73" s="33">
        <f t="shared" si="2"/>
        <v>49</v>
      </c>
      <c r="G73" s="42">
        <v>34</v>
      </c>
      <c r="H73" s="42">
        <v>15</v>
      </c>
      <c r="I73" s="36"/>
      <c r="J73" s="33">
        <f t="shared" si="3"/>
        <v>34</v>
      </c>
      <c r="K73" s="42">
        <v>1</v>
      </c>
      <c r="L73" s="42">
        <v>33</v>
      </c>
      <c r="M73" s="2"/>
      <c r="N73" s="18"/>
      <c r="O73" s="2"/>
    </row>
    <row r="74" spans="1:18" ht="16.899999999999999" customHeight="1" x14ac:dyDescent="0.25">
      <c r="A74" s="37" t="s">
        <v>76</v>
      </c>
      <c r="B74" s="32">
        <f t="shared" ref="B74:B109" si="5">F74+J74</f>
        <v>62</v>
      </c>
      <c r="C74" s="32">
        <f t="shared" ref="C74:C107" si="6">G74+K74</f>
        <v>15</v>
      </c>
      <c r="D74" s="32">
        <f t="shared" ref="D74:D107" si="7">H74+L74</f>
        <v>47</v>
      </c>
      <c r="E74" s="35"/>
      <c r="F74" s="33">
        <f t="shared" ref="F74:F109" si="8">SUM(G74:H74)</f>
        <v>25</v>
      </c>
      <c r="G74" s="42">
        <v>15</v>
      </c>
      <c r="H74" s="42">
        <v>10</v>
      </c>
      <c r="I74" s="36"/>
      <c r="J74" s="33">
        <f t="shared" ref="J74:J109" si="9">SUM(K74:L74)</f>
        <v>37</v>
      </c>
      <c r="K74" s="42">
        <v>0</v>
      </c>
      <c r="L74" s="42">
        <v>37</v>
      </c>
      <c r="M74" s="2"/>
      <c r="N74" s="18"/>
      <c r="O74" s="2"/>
      <c r="P74" s="2"/>
      <c r="Q74" s="2"/>
      <c r="R74" s="2"/>
    </row>
    <row r="75" spans="1:18" ht="16.899999999999999" customHeight="1" x14ac:dyDescent="0.25">
      <c r="A75" s="37" t="s">
        <v>77</v>
      </c>
      <c r="B75" s="32">
        <f t="shared" si="5"/>
        <v>337</v>
      </c>
      <c r="C75" s="32">
        <f t="shared" si="6"/>
        <v>15</v>
      </c>
      <c r="D75" s="32">
        <f t="shared" si="7"/>
        <v>322</v>
      </c>
      <c r="E75" s="35"/>
      <c r="F75" s="33">
        <f t="shared" si="8"/>
        <v>73</v>
      </c>
      <c r="G75" s="42">
        <v>14</v>
      </c>
      <c r="H75" s="42">
        <v>59</v>
      </c>
      <c r="I75" s="36"/>
      <c r="J75" s="33">
        <f t="shared" si="9"/>
        <v>264</v>
      </c>
      <c r="K75" s="42">
        <v>1</v>
      </c>
      <c r="L75" s="42">
        <v>263</v>
      </c>
      <c r="M75" s="2"/>
      <c r="N75" s="18"/>
      <c r="O75" s="2"/>
    </row>
    <row r="76" spans="1:18" ht="16.899999999999999" customHeight="1" x14ac:dyDescent="0.25">
      <c r="A76" s="37" t="s">
        <v>78</v>
      </c>
      <c r="B76" s="32">
        <f t="shared" si="5"/>
        <v>5</v>
      </c>
      <c r="C76" s="32">
        <f t="shared" si="6"/>
        <v>2</v>
      </c>
      <c r="D76" s="32">
        <f t="shared" si="7"/>
        <v>3</v>
      </c>
      <c r="E76" s="35"/>
      <c r="F76" s="33">
        <f t="shared" si="8"/>
        <v>5</v>
      </c>
      <c r="G76" s="42">
        <v>2</v>
      </c>
      <c r="H76" s="42">
        <v>3</v>
      </c>
      <c r="I76" s="36"/>
      <c r="J76" s="33">
        <f t="shared" si="9"/>
        <v>0</v>
      </c>
      <c r="K76" s="42">
        <v>0</v>
      </c>
      <c r="L76" s="42">
        <v>0</v>
      </c>
      <c r="M76" s="2"/>
      <c r="N76" s="18"/>
      <c r="O76" s="2"/>
      <c r="P76" s="2"/>
      <c r="Q76" s="2"/>
      <c r="R76" s="2"/>
    </row>
    <row r="77" spans="1:18" ht="16.899999999999999" customHeight="1" x14ac:dyDescent="0.25">
      <c r="A77" s="37" t="s">
        <v>79</v>
      </c>
      <c r="B77" s="32">
        <f t="shared" si="5"/>
        <v>25</v>
      </c>
      <c r="C77" s="32">
        <f t="shared" si="6"/>
        <v>17</v>
      </c>
      <c r="D77" s="32">
        <f t="shared" si="7"/>
        <v>8</v>
      </c>
      <c r="E77" s="35"/>
      <c r="F77" s="33">
        <f t="shared" si="8"/>
        <v>25</v>
      </c>
      <c r="G77" s="42">
        <v>17</v>
      </c>
      <c r="H77" s="42">
        <v>8</v>
      </c>
      <c r="I77" s="36"/>
      <c r="J77" s="33">
        <f t="shared" si="9"/>
        <v>0</v>
      </c>
      <c r="K77" s="42">
        <v>0</v>
      </c>
      <c r="L77" s="42">
        <v>0</v>
      </c>
      <c r="M77" s="2"/>
      <c r="N77" s="18"/>
      <c r="O77" s="2"/>
    </row>
    <row r="78" spans="1:18" ht="16.899999999999999" customHeight="1" x14ac:dyDescent="0.25">
      <c r="A78" s="37" t="s">
        <v>80</v>
      </c>
      <c r="B78" s="32">
        <f t="shared" si="5"/>
        <v>20</v>
      </c>
      <c r="C78" s="32">
        <f t="shared" si="6"/>
        <v>9</v>
      </c>
      <c r="D78" s="32">
        <f t="shared" si="7"/>
        <v>11</v>
      </c>
      <c r="E78" s="35"/>
      <c r="F78" s="33">
        <f t="shared" si="8"/>
        <v>19</v>
      </c>
      <c r="G78" s="42">
        <v>9</v>
      </c>
      <c r="H78" s="42">
        <v>10</v>
      </c>
      <c r="I78" s="36"/>
      <c r="J78" s="33">
        <f t="shared" si="9"/>
        <v>1</v>
      </c>
      <c r="K78" s="42">
        <v>0</v>
      </c>
      <c r="L78" s="42">
        <v>1</v>
      </c>
      <c r="M78" s="2"/>
      <c r="N78" s="18"/>
      <c r="O78" s="2"/>
    </row>
    <row r="79" spans="1:18" s="2" customFormat="1" x14ac:dyDescent="0.25">
      <c r="A79" s="37" t="s">
        <v>81</v>
      </c>
      <c r="B79" s="32">
        <f t="shared" si="5"/>
        <v>13</v>
      </c>
      <c r="C79" s="32">
        <f t="shared" si="6"/>
        <v>7</v>
      </c>
      <c r="D79" s="32">
        <f t="shared" si="7"/>
        <v>6</v>
      </c>
      <c r="E79" s="35"/>
      <c r="F79" s="33">
        <f t="shared" si="8"/>
        <v>13</v>
      </c>
      <c r="G79" s="42">
        <v>7</v>
      </c>
      <c r="H79" s="42">
        <v>6</v>
      </c>
      <c r="I79" s="36"/>
      <c r="J79" s="33">
        <f t="shared" si="9"/>
        <v>0</v>
      </c>
      <c r="K79" s="42">
        <v>0</v>
      </c>
      <c r="L79" s="42">
        <v>0</v>
      </c>
      <c r="N79" s="18"/>
    </row>
    <row r="80" spans="1:18" x14ac:dyDescent="0.25">
      <c r="A80" s="37" t="s">
        <v>82</v>
      </c>
      <c r="B80" s="32">
        <f t="shared" si="5"/>
        <v>5</v>
      </c>
      <c r="C80" s="32">
        <f t="shared" si="6"/>
        <v>3</v>
      </c>
      <c r="D80" s="32">
        <f t="shared" si="7"/>
        <v>2</v>
      </c>
      <c r="E80" s="35"/>
      <c r="F80" s="33">
        <f t="shared" si="8"/>
        <v>5</v>
      </c>
      <c r="G80" s="42">
        <v>3</v>
      </c>
      <c r="H80" s="42">
        <v>2</v>
      </c>
      <c r="I80" s="36"/>
      <c r="J80" s="33">
        <f t="shared" si="9"/>
        <v>0</v>
      </c>
      <c r="K80" s="42">
        <v>0</v>
      </c>
      <c r="L80" s="42">
        <v>0</v>
      </c>
      <c r="M80" s="2"/>
      <c r="N80" s="18"/>
      <c r="O80" s="2"/>
      <c r="P80" s="2"/>
      <c r="Q80" s="2"/>
      <c r="R80" s="2"/>
    </row>
    <row r="81" spans="1:23" x14ac:dyDescent="0.25">
      <c r="A81" s="37" t="s">
        <v>83</v>
      </c>
      <c r="B81" s="32">
        <f t="shared" si="5"/>
        <v>1</v>
      </c>
      <c r="C81" s="32">
        <f t="shared" si="6"/>
        <v>1</v>
      </c>
      <c r="D81" s="32">
        <f t="shared" si="7"/>
        <v>0</v>
      </c>
      <c r="E81" s="35"/>
      <c r="F81" s="33">
        <f t="shared" si="8"/>
        <v>1</v>
      </c>
      <c r="G81" s="42">
        <v>1</v>
      </c>
      <c r="H81" s="42">
        <v>0</v>
      </c>
      <c r="I81" s="36"/>
      <c r="J81" s="33">
        <f t="shared" si="9"/>
        <v>0</v>
      </c>
      <c r="K81" s="42">
        <v>0</v>
      </c>
      <c r="L81" s="42">
        <v>0</v>
      </c>
      <c r="M81" s="2"/>
      <c r="N81" s="18"/>
      <c r="O81" s="2"/>
    </row>
    <row r="82" spans="1:23" x14ac:dyDescent="0.25">
      <c r="A82" s="37" t="s">
        <v>84</v>
      </c>
      <c r="B82" s="32">
        <f t="shared" si="5"/>
        <v>1</v>
      </c>
      <c r="C82" s="32">
        <f t="shared" si="6"/>
        <v>0</v>
      </c>
      <c r="D82" s="32">
        <f t="shared" si="7"/>
        <v>1</v>
      </c>
      <c r="E82" s="35"/>
      <c r="F82" s="33">
        <f t="shared" si="8"/>
        <v>1</v>
      </c>
      <c r="G82" s="42">
        <v>0</v>
      </c>
      <c r="H82" s="42">
        <v>1</v>
      </c>
      <c r="I82" s="36"/>
      <c r="J82" s="33">
        <f t="shared" si="9"/>
        <v>0</v>
      </c>
      <c r="K82" s="42">
        <v>0</v>
      </c>
      <c r="L82" s="42">
        <v>0</v>
      </c>
      <c r="M82" s="2"/>
      <c r="N82" s="18"/>
      <c r="O82" s="2"/>
    </row>
    <row r="83" spans="1:23" x14ac:dyDescent="0.25">
      <c r="A83" s="37" t="s">
        <v>85</v>
      </c>
      <c r="B83" s="32">
        <f t="shared" si="5"/>
        <v>750</v>
      </c>
      <c r="C83" s="32">
        <f t="shared" si="6"/>
        <v>73</v>
      </c>
      <c r="D83" s="32">
        <f t="shared" si="7"/>
        <v>677</v>
      </c>
      <c r="E83" s="35"/>
      <c r="F83" s="33">
        <f t="shared" si="8"/>
        <v>201</v>
      </c>
      <c r="G83" s="42">
        <v>14</v>
      </c>
      <c r="H83" s="42">
        <v>187</v>
      </c>
      <c r="I83" s="36"/>
      <c r="J83" s="33">
        <f t="shared" si="9"/>
        <v>549</v>
      </c>
      <c r="K83" s="42">
        <v>59</v>
      </c>
      <c r="L83" s="42">
        <v>490</v>
      </c>
      <c r="M83" s="2"/>
      <c r="N83" s="18"/>
      <c r="O83" s="2"/>
    </row>
    <row r="84" spans="1:23" x14ac:dyDescent="0.25">
      <c r="A84" s="37" t="s">
        <v>86</v>
      </c>
      <c r="B84" s="32">
        <f t="shared" si="5"/>
        <v>232</v>
      </c>
      <c r="C84" s="32">
        <f t="shared" si="6"/>
        <v>9</v>
      </c>
      <c r="D84" s="32">
        <f t="shared" si="7"/>
        <v>223</v>
      </c>
      <c r="E84" s="35"/>
      <c r="F84" s="33">
        <f t="shared" si="8"/>
        <v>68</v>
      </c>
      <c r="G84" s="42">
        <v>7</v>
      </c>
      <c r="H84" s="42">
        <v>61</v>
      </c>
      <c r="I84" s="36"/>
      <c r="J84" s="33">
        <f t="shared" si="9"/>
        <v>164</v>
      </c>
      <c r="K84" s="42">
        <v>2</v>
      </c>
      <c r="L84" s="42">
        <v>162</v>
      </c>
      <c r="M84" s="2"/>
      <c r="N84" s="18"/>
      <c r="O84" s="2"/>
      <c r="S84" s="2"/>
      <c r="T84" s="2"/>
      <c r="U84" s="2"/>
      <c r="V84" s="2"/>
      <c r="W84" s="2"/>
    </row>
    <row r="85" spans="1:23" x14ac:dyDescent="0.25">
      <c r="A85" s="37" t="s">
        <v>87</v>
      </c>
      <c r="B85" s="32">
        <f t="shared" si="5"/>
        <v>61</v>
      </c>
      <c r="C85" s="32">
        <f t="shared" si="6"/>
        <v>12</v>
      </c>
      <c r="D85" s="32">
        <f t="shared" si="7"/>
        <v>49</v>
      </c>
      <c r="E85" s="35"/>
      <c r="F85" s="33">
        <f t="shared" si="8"/>
        <v>37</v>
      </c>
      <c r="G85" s="42">
        <v>12</v>
      </c>
      <c r="H85" s="42">
        <v>25</v>
      </c>
      <c r="I85" s="36"/>
      <c r="J85" s="33">
        <f t="shared" si="9"/>
        <v>24</v>
      </c>
      <c r="K85" s="42">
        <v>0</v>
      </c>
      <c r="L85" s="42">
        <v>24</v>
      </c>
      <c r="M85" s="2"/>
      <c r="N85" s="18"/>
      <c r="O85" s="2"/>
      <c r="S85" s="2"/>
      <c r="T85" s="2"/>
      <c r="U85" s="2"/>
      <c r="V85" s="2"/>
      <c r="W85" s="2"/>
    </row>
    <row r="86" spans="1:23" x14ac:dyDescent="0.25">
      <c r="A86" s="37" t="s">
        <v>88</v>
      </c>
      <c r="B86" s="32">
        <f t="shared" si="5"/>
        <v>20</v>
      </c>
      <c r="C86" s="32">
        <f t="shared" si="6"/>
        <v>4</v>
      </c>
      <c r="D86" s="32">
        <f t="shared" si="7"/>
        <v>16</v>
      </c>
      <c r="E86" s="35"/>
      <c r="F86" s="33">
        <f t="shared" si="8"/>
        <v>19</v>
      </c>
      <c r="G86" s="42">
        <v>4</v>
      </c>
      <c r="H86" s="42">
        <v>15</v>
      </c>
      <c r="I86" s="36"/>
      <c r="J86" s="33">
        <f t="shared" si="9"/>
        <v>1</v>
      </c>
      <c r="K86" s="42">
        <v>0</v>
      </c>
      <c r="L86" s="42">
        <v>1</v>
      </c>
      <c r="M86" s="2"/>
      <c r="N86" s="2"/>
      <c r="O86" s="2"/>
      <c r="S86" s="2"/>
      <c r="T86" s="2"/>
      <c r="U86" s="2"/>
      <c r="V86" s="2"/>
      <c r="W86" s="2"/>
    </row>
    <row r="87" spans="1:23" x14ac:dyDescent="0.25">
      <c r="A87" s="37" t="s">
        <v>89</v>
      </c>
      <c r="B87" s="32">
        <f t="shared" si="5"/>
        <v>77</v>
      </c>
      <c r="C87" s="32">
        <f t="shared" si="6"/>
        <v>28</v>
      </c>
      <c r="D87" s="32">
        <f t="shared" si="7"/>
        <v>49</v>
      </c>
      <c r="E87" s="35"/>
      <c r="F87" s="33">
        <f t="shared" si="8"/>
        <v>69</v>
      </c>
      <c r="G87" s="42">
        <v>26</v>
      </c>
      <c r="H87" s="42">
        <v>43</v>
      </c>
      <c r="I87" s="36"/>
      <c r="J87" s="33">
        <f t="shared" si="9"/>
        <v>8</v>
      </c>
      <c r="K87" s="42">
        <v>2</v>
      </c>
      <c r="L87" s="42">
        <v>6</v>
      </c>
      <c r="M87" s="2"/>
      <c r="N87" s="2"/>
      <c r="O87" s="2"/>
      <c r="S87" s="2"/>
      <c r="T87" s="2"/>
      <c r="U87" s="2"/>
      <c r="V87" s="2"/>
      <c r="W87" s="2"/>
    </row>
    <row r="88" spans="1:23" x14ac:dyDescent="0.25">
      <c r="A88" s="37" t="s">
        <v>90</v>
      </c>
      <c r="B88" s="32">
        <f t="shared" si="5"/>
        <v>2</v>
      </c>
      <c r="C88" s="32">
        <f t="shared" si="6"/>
        <v>0</v>
      </c>
      <c r="D88" s="32">
        <f t="shared" si="7"/>
        <v>2</v>
      </c>
      <c r="E88" s="35"/>
      <c r="F88" s="33">
        <f t="shared" si="8"/>
        <v>2</v>
      </c>
      <c r="G88" s="42">
        <v>0</v>
      </c>
      <c r="H88" s="42">
        <v>2</v>
      </c>
      <c r="I88" s="36"/>
      <c r="J88" s="33">
        <f t="shared" si="9"/>
        <v>0</v>
      </c>
      <c r="K88" s="42">
        <v>0</v>
      </c>
      <c r="L88" s="42">
        <v>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25">
      <c r="A89" s="37" t="s">
        <v>91</v>
      </c>
      <c r="B89" s="32">
        <f t="shared" si="5"/>
        <v>3</v>
      </c>
      <c r="C89" s="32">
        <f t="shared" si="6"/>
        <v>2</v>
      </c>
      <c r="D89" s="32">
        <f t="shared" si="7"/>
        <v>1</v>
      </c>
      <c r="E89" s="35"/>
      <c r="F89" s="33">
        <f t="shared" si="8"/>
        <v>1</v>
      </c>
      <c r="G89" s="42">
        <v>0</v>
      </c>
      <c r="H89" s="42">
        <v>1</v>
      </c>
      <c r="I89" s="36"/>
      <c r="J89" s="33">
        <f t="shared" si="9"/>
        <v>2</v>
      </c>
      <c r="K89" s="42">
        <v>2</v>
      </c>
      <c r="L89" s="42">
        <v>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25">
      <c r="A90" s="37" t="s">
        <v>92</v>
      </c>
      <c r="B90" s="32">
        <f t="shared" si="5"/>
        <v>1</v>
      </c>
      <c r="C90" s="32">
        <f t="shared" si="6"/>
        <v>0</v>
      </c>
      <c r="D90" s="32">
        <f t="shared" si="7"/>
        <v>1</v>
      </c>
      <c r="E90" s="35"/>
      <c r="F90" s="33">
        <f t="shared" si="8"/>
        <v>0</v>
      </c>
      <c r="G90" s="42">
        <v>0</v>
      </c>
      <c r="H90" s="42">
        <v>0</v>
      </c>
      <c r="I90" s="36"/>
      <c r="J90" s="33">
        <f t="shared" si="9"/>
        <v>1</v>
      </c>
      <c r="K90" s="42">
        <v>0</v>
      </c>
      <c r="L90" s="42">
        <v>1</v>
      </c>
      <c r="M90" s="2"/>
      <c r="N90" s="18"/>
      <c r="O90" s="2"/>
      <c r="S90" s="2"/>
      <c r="T90" s="2"/>
      <c r="U90" s="2"/>
      <c r="V90" s="2"/>
      <c r="W90" s="2"/>
    </row>
    <row r="91" spans="1:23" x14ac:dyDescent="0.25">
      <c r="A91" s="37" t="s">
        <v>93</v>
      </c>
      <c r="B91" s="32">
        <f t="shared" si="5"/>
        <v>467</v>
      </c>
      <c r="C91" s="32">
        <f t="shared" si="6"/>
        <v>252</v>
      </c>
      <c r="D91" s="32">
        <f t="shared" si="7"/>
        <v>215</v>
      </c>
      <c r="E91" s="35"/>
      <c r="F91" s="33">
        <f t="shared" si="8"/>
        <v>286</v>
      </c>
      <c r="G91" s="42">
        <v>109</v>
      </c>
      <c r="H91" s="42">
        <v>177</v>
      </c>
      <c r="I91" s="36"/>
      <c r="J91" s="33">
        <f t="shared" si="9"/>
        <v>181</v>
      </c>
      <c r="K91" s="42">
        <v>143</v>
      </c>
      <c r="L91" s="42">
        <v>38</v>
      </c>
      <c r="M91" s="2"/>
      <c r="N91" s="18"/>
      <c r="O91" s="2"/>
      <c r="S91" s="2"/>
      <c r="T91" s="2"/>
      <c r="U91" s="2"/>
      <c r="V91" s="2"/>
      <c r="W91" s="2"/>
    </row>
    <row r="92" spans="1:23" x14ac:dyDescent="0.25">
      <c r="A92" s="37" t="s">
        <v>94</v>
      </c>
      <c r="B92" s="32">
        <f t="shared" si="5"/>
        <v>58</v>
      </c>
      <c r="C92" s="32">
        <f t="shared" si="6"/>
        <v>33</v>
      </c>
      <c r="D92" s="32">
        <f t="shared" si="7"/>
        <v>25</v>
      </c>
      <c r="E92" s="35"/>
      <c r="F92" s="33">
        <f t="shared" si="8"/>
        <v>34</v>
      </c>
      <c r="G92" s="42">
        <v>16</v>
      </c>
      <c r="H92" s="42">
        <v>18</v>
      </c>
      <c r="I92" s="36"/>
      <c r="J92" s="33">
        <f t="shared" si="9"/>
        <v>24</v>
      </c>
      <c r="K92" s="42">
        <v>17</v>
      </c>
      <c r="L92" s="42">
        <v>7</v>
      </c>
      <c r="M92" s="2"/>
      <c r="N92" s="18"/>
      <c r="O92" s="2"/>
      <c r="S92" s="2"/>
      <c r="T92" s="2"/>
      <c r="U92" s="2"/>
      <c r="V92" s="2"/>
      <c r="W92" s="2"/>
    </row>
    <row r="93" spans="1:23" x14ac:dyDescent="0.25">
      <c r="A93" s="37" t="s">
        <v>95</v>
      </c>
      <c r="B93" s="32">
        <f t="shared" si="5"/>
        <v>54</v>
      </c>
      <c r="C93" s="32">
        <f t="shared" si="6"/>
        <v>34</v>
      </c>
      <c r="D93" s="32">
        <f t="shared" si="7"/>
        <v>20</v>
      </c>
      <c r="E93" s="35"/>
      <c r="F93" s="33">
        <f t="shared" si="8"/>
        <v>43</v>
      </c>
      <c r="G93" s="42">
        <v>26</v>
      </c>
      <c r="H93" s="42">
        <v>17</v>
      </c>
      <c r="I93" s="36"/>
      <c r="J93" s="33">
        <f t="shared" si="9"/>
        <v>11</v>
      </c>
      <c r="K93" s="42">
        <v>8</v>
      </c>
      <c r="L93" s="42">
        <v>3</v>
      </c>
      <c r="M93" s="2"/>
      <c r="N93" s="18"/>
      <c r="O93" s="2"/>
      <c r="S93" s="2"/>
      <c r="T93" s="2"/>
      <c r="U93" s="2"/>
      <c r="V93" s="2"/>
      <c r="W93" s="2"/>
    </row>
    <row r="94" spans="1:23" x14ac:dyDescent="0.25">
      <c r="A94" s="37" t="s">
        <v>96</v>
      </c>
      <c r="B94" s="32">
        <f t="shared" si="5"/>
        <v>8</v>
      </c>
      <c r="C94" s="32">
        <f t="shared" si="6"/>
        <v>5</v>
      </c>
      <c r="D94" s="32">
        <f t="shared" si="7"/>
        <v>3</v>
      </c>
      <c r="E94" s="35"/>
      <c r="F94" s="33">
        <f t="shared" si="8"/>
        <v>4</v>
      </c>
      <c r="G94" s="42">
        <v>3</v>
      </c>
      <c r="H94" s="42">
        <v>1</v>
      </c>
      <c r="I94" s="36"/>
      <c r="J94" s="33">
        <f t="shared" si="9"/>
        <v>4</v>
      </c>
      <c r="K94" s="42">
        <v>2</v>
      </c>
      <c r="L94" s="42">
        <v>2</v>
      </c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25">
      <c r="A95" s="39" t="s">
        <v>97</v>
      </c>
      <c r="B95" s="32">
        <f t="shared" si="5"/>
        <v>82</v>
      </c>
      <c r="C95" s="32">
        <f t="shared" si="6"/>
        <v>54</v>
      </c>
      <c r="D95" s="32">
        <f t="shared" si="7"/>
        <v>28</v>
      </c>
      <c r="E95" s="35"/>
      <c r="F95" s="33">
        <f t="shared" si="8"/>
        <v>64</v>
      </c>
      <c r="G95" s="42">
        <v>38</v>
      </c>
      <c r="H95" s="42">
        <v>26</v>
      </c>
      <c r="I95" s="36"/>
      <c r="J95" s="33">
        <f t="shared" si="9"/>
        <v>18</v>
      </c>
      <c r="K95" s="42">
        <v>16</v>
      </c>
      <c r="L95" s="42">
        <v>2</v>
      </c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25">
      <c r="A96" s="39" t="s">
        <v>98</v>
      </c>
      <c r="B96" s="32">
        <f t="shared" si="5"/>
        <v>4</v>
      </c>
      <c r="C96" s="32">
        <f t="shared" si="6"/>
        <v>3</v>
      </c>
      <c r="D96" s="32">
        <f t="shared" si="7"/>
        <v>1</v>
      </c>
      <c r="E96" s="35"/>
      <c r="F96" s="33">
        <f t="shared" si="8"/>
        <v>4</v>
      </c>
      <c r="G96" s="42">
        <v>3</v>
      </c>
      <c r="H96" s="42">
        <v>1</v>
      </c>
      <c r="I96" s="36"/>
      <c r="J96" s="33">
        <f t="shared" si="9"/>
        <v>0</v>
      </c>
      <c r="K96" s="42">
        <v>0</v>
      </c>
      <c r="L96" s="42">
        <v>0</v>
      </c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25">
      <c r="A97" s="39" t="s">
        <v>99</v>
      </c>
      <c r="B97" s="32">
        <f t="shared" si="5"/>
        <v>0</v>
      </c>
      <c r="C97" s="32">
        <f t="shared" si="6"/>
        <v>0</v>
      </c>
      <c r="D97" s="32">
        <f t="shared" si="7"/>
        <v>0</v>
      </c>
      <c r="E97" s="35"/>
      <c r="F97" s="33">
        <f t="shared" si="8"/>
        <v>0</v>
      </c>
      <c r="G97" s="42">
        <v>0</v>
      </c>
      <c r="H97" s="42">
        <v>0</v>
      </c>
      <c r="I97" s="36"/>
      <c r="J97" s="33">
        <f t="shared" si="9"/>
        <v>0</v>
      </c>
      <c r="K97" s="42">
        <v>0</v>
      </c>
      <c r="L97" s="42">
        <v>0</v>
      </c>
      <c r="M97" s="2"/>
      <c r="N97" s="18"/>
      <c r="O97" s="2"/>
      <c r="S97" s="2"/>
      <c r="T97" s="2"/>
      <c r="U97" s="2"/>
      <c r="V97" s="2"/>
      <c r="W97" s="2"/>
    </row>
    <row r="98" spans="1:23" x14ac:dyDescent="0.25">
      <c r="A98" s="39" t="s">
        <v>100</v>
      </c>
      <c r="B98" s="32">
        <f t="shared" si="5"/>
        <v>279</v>
      </c>
      <c r="C98" s="32">
        <f t="shared" si="6"/>
        <v>109</v>
      </c>
      <c r="D98" s="32">
        <f t="shared" si="7"/>
        <v>170</v>
      </c>
      <c r="E98" s="35"/>
      <c r="F98" s="33">
        <f t="shared" si="8"/>
        <v>104</v>
      </c>
      <c r="G98" s="42">
        <v>55</v>
      </c>
      <c r="H98" s="42">
        <v>49</v>
      </c>
      <c r="I98" s="36"/>
      <c r="J98" s="33">
        <f t="shared" si="9"/>
        <v>175</v>
      </c>
      <c r="K98" s="42">
        <v>54</v>
      </c>
      <c r="L98" s="42">
        <v>121</v>
      </c>
      <c r="M98" s="2"/>
      <c r="N98" s="18"/>
      <c r="O98" s="2"/>
      <c r="S98" s="2"/>
      <c r="T98" s="2"/>
      <c r="U98" s="2"/>
      <c r="V98" s="2"/>
      <c r="W98" s="2"/>
    </row>
    <row r="99" spans="1:23" x14ac:dyDescent="0.25">
      <c r="A99" s="39" t="s">
        <v>101</v>
      </c>
      <c r="B99" s="32">
        <f t="shared" si="5"/>
        <v>683</v>
      </c>
      <c r="C99" s="32">
        <f t="shared" si="6"/>
        <v>216</v>
      </c>
      <c r="D99" s="32">
        <f t="shared" si="7"/>
        <v>467</v>
      </c>
      <c r="E99" s="35"/>
      <c r="F99" s="33">
        <f t="shared" si="8"/>
        <v>198</v>
      </c>
      <c r="G99" s="42">
        <v>65</v>
      </c>
      <c r="H99" s="42">
        <v>133</v>
      </c>
      <c r="I99" s="36"/>
      <c r="J99" s="33">
        <f t="shared" si="9"/>
        <v>485</v>
      </c>
      <c r="K99" s="42">
        <v>151</v>
      </c>
      <c r="L99" s="42">
        <v>334</v>
      </c>
      <c r="M99" s="2"/>
      <c r="N99" s="18"/>
      <c r="O99" s="2"/>
      <c r="Q99" s="2"/>
      <c r="R99" s="2"/>
      <c r="S99" s="2"/>
      <c r="T99" s="2"/>
      <c r="U99" s="2"/>
      <c r="V99" s="2"/>
      <c r="W99" s="2"/>
    </row>
    <row r="100" spans="1:23" x14ac:dyDescent="0.25">
      <c r="A100" s="39" t="s">
        <v>102</v>
      </c>
      <c r="B100" s="32">
        <f t="shared" si="5"/>
        <v>3467</v>
      </c>
      <c r="C100" s="32">
        <f t="shared" si="6"/>
        <v>1227</v>
      </c>
      <c r="D100" s="32">
        <f t="shared" si="7"/>
        <v>2240</v>
      </c>
      <c r="E100" s="35"/>
      <c r="F100" s="33">
        <f t="shared" si="8"/>
        <v>1129</v>
      </c>
      <c r="G100" s="42">
        <v>394</v>
      </c>
      <c r="H100" s="42">
        <v>735</v>
      </c>
      <c r="I100" s="36"/>
      <c r="J100" s="33">
        <f t="shared" si="9"/>
        <v>2338</v>
      </c>
      <c r="K100" s="42">
        <v>833</v>
      </c>
      <c r="L100" s="43">
        <v>1505</v>
      </c>
      <c r="M100" s="2"/>
      <c r="N100" s="18"/>
      <c r="O100" s="2"/>
      <c r="S100" s="2"/>
      <c r="T100" s="2"/>
      <c r="U100" s="2"/>
      <c r="V100" s="2"/>
      <c r="W100" s="2"/>
    </row>
    <row r="101" spans="1:23" x14ac:dyDescent="0.25">
      <c r="A101" s="39" t="s">
        <v>103</v>
      </c>
      <c r="B101" s="32">
        <f t="shared" si="5"/>
        <v>1316</v>
      </c>
      <c r="C101" s="32">
        <f t="shared" si="6"/>
        <v>474</v>
      </c>
      <c r="D101" s="32">
        <f t="shared" si="7"/>
        <v>842</v>
      </c>
      <c r="E101" s="35"/>
      <c r="F101" s="33">
        <f t="shared" si="8"/>
        <v>628</v>
      </c>
      <c r="G101" s="42">
        <v>253</v>
      </c>
      <c r="H101" s="42">
        <v>375</v>
      </c>
      <c r="I101" s="36"/>
      <c r="J101" s="33">
        <f t="shared" si="9"/>
        <v>688</v>
      </c>
      <c r="K101" s="42">
        <v>221</v>
      </c>
      <c r="L101" s="42">
        <v>467</v>
      </c>
      <c r="M101" s="2"/>
      <c r="N101" s="18"/>
      <c r="O101" s="2"/>
      <c r="S101" s="2"/>
      <c r="T101" s="2"/>
      <c r="U101" s="2"/>
      <c r="V101" s="2"/>
      <c r="W101" s="2"/>
    </row>
    <row r="102" spans="1:23" x14ac:dyDescent="0.25">
      <c r="A102" s="39" t="s">
        <v>104</v>
      </c>
      <c r="B102" s="32">
        <f t="shared" si="5"/>
        <v>1450</v>
      </c>
      <c r="C102" s="32">
        <f t="shared" si="6"/>
        <v>648</v>
      </c>
      <c r="D102" s="32">
        <f t="shared" si="7"/>
        <v>802</v>
      </c>
      <c r="E102" s="35"/>
      <c r="F102" s="33">
        <f t="shared" si="8"/>
        <v>733</v>
      </c>
      <c r="G102" s="42">
        <v>352</v>
      </c>
      <c r="H102" s="42">
        <v>381</v>
      </c>
      <c r="I102" s="36"/>
      <c r="J102" s="33">
        <f t="shared" si="9"/>
        <v>717</v>
      </c>
      <c r="K102" s="42">
        <v>296</v>
      </c>
      <c r="L102" s="42">
        <v>421</v>
      </c>
      <c r="M102" s="2"/>
      <c r="N102" s="18"/>
      <c r="O102" s="2"/>
      <c r="S102" s="2"/>
      <c r="T102" s="2"/>
      <c r="U102" s="2"/>
      <c r="V102" s="2"/>
      <c r="W102" s="2"/>
    </row>
    <row r="103" spans="1:23" x14ac:dyDescent="0.25">
      <c r="A103" s="39" t="s">
        <v>105</v>
      </c>
      <c r="B103" s="32">
        <f t="shared" si="5"/>
        <v>993</v>
      </c>
      <c r="C103" s="32">
        <f t="shared" si="6"/>
        <v>406</v>
      </c>
      <c r="D103" s="32">
        <f t="shared" si="7"/>
        <v>587</v>
      </c>
      <c r="E103" s="35"/>
      <c r="F103" s="33">
        <f t="shared" si="8"/>
        <v>672</v>
      </c>
      <c r="G103" s="42">
        <v>219</v>
      </c>
      <c r="H103" s="42">
        <v>453</v>
      </c>
      <c r="I103" s="36"/>
      <c r="J103" s="33">
        <f t="shared" si="9"/>
        <v>321</v>
      </c>
      <c r="K103" s="42">
        <v>187</v>
      </c>
      <c r="L103" s="42">
        <v>134</v>
      </c>
      <c r="M103" s="2"/>
      <c r="N103" s="18"/>
      <c r="O103" s="2"/>
      <c r="S103" s="2"/>
      <c r="T103" s="2"/>
      <c r="U103" s="2"/>
      <c r="V103" s="2"/>
      <c r="W103" s="2"/>
    </row>
    <row r="104" spans="1:23" x14ac:dyDescent="0.25">
      <c r="A104" s="39" t="s">
        <v>106</v>
      </c>
      <c r="B104" s="32">
        <f t="shared" si="5"/>
        <v>808</v>
      </c>
      <c r="C104" s="32">
        <f t="shared" si="6"/>
        <v>471</v>
      </c>
      <c r="D104" s="32">
        <f t="shared" si="7"/>
        <v>337</v>
      </c>
      <c r="E104" s="35"/>
      <c r="F104" s="33">
        <f t="shared" si="8"/>
        <v>446</v>
      </c>
      <c r="G104" s="42">
        <v>207</v>
      </c>
      <c r="H104" s="42">
        <v>239</v>
      </c>
      <c r="I104" s="36"/>
      <c r="J104" s="33">
        <f t="shared" si="9"/>
        <v>362</v>
      </c>
      <c r="K104" s="42">
        <v>264</v>
      </c>
      <c r="L104" s="42">
        <v>98</v>
      </c>
      <c r="M104" s="2"/>
      <c r="N104" s="18"/>
      <c r="O104" s="2"/>
      <c r="S104" s="2"/>
      <c r="T104" s="2"/>
      <c r="U104" s="2"/>
      <c r="V104" s="2"/>
      <c r="W104" s="2"/>
    </row>
    <row r="105" spans="1:23" s="19" customFormat="1" ht="18.600000000000001" customHeight="1" x14ac:dyDescent="0.25">
      <c r="A105" s="39" t="s">
        <v>107</v>
      </c>
      <c r="B105" s="32">
        <f t="shared" si="5"/>
        <v>87</v>
      </c>
      <c r="C105" s="32">
        <f t="shared" si="6"/>
        <v>65</v>
      </c>
      <c r="D105" s="32">
        <f t="shared" si="7"/>
        <v>22</v>
      </c>
      <c r="E105" s="35"/>
      <c r="F105" s="33">
        <f t="shared" si="8"/>
        <v>45</v>
      </c>
      <c r="G105" s="42">
        <v>25</v>
      </c>
      <c r="H105" s="42">
        <v>20</v>
      </c>
      <c r="I105" s="36"/>
      <c r="J105" s="33">
        <f t="shared" si="9"/>
        <v>42</v>
      </c>
      <c r="K105" s="42">
        <v>40</v>
      </c>
      <c r="L105" s="42">
        <v>2</v>
      </c>
      <c r="M105" s="2"/>
      <c r="N105" s="18"/>
      <c r="O105" s="2"/>
      <c r="P105" s="3"/>
      <c r="Q105" s="3"/>
      <c r="R105" s="3"/>
      <c r="S105" s="2"/>
      <c r="T105" s="2"/>
      <c r="U105" s="2"/>
      <c r="V105" s="2"/>
      <c r="W105" s="2"/>
    </row>
    <row r="106" spans="1:23" ht="15" customHeight="1" x14ac:dyDescent="0.25">
      <c r="A106" s="39" t="s">
        <v>108</v>
      </c>
      <c r="B106" s="32">
        <f t="shared" si="5"/>
        <v>3980</v>
      </c>
      <c r="C106" s="32">
        <f t="shared" si="6"/>
        <v>1703</v>
      </c>
      <c r="D106" s="32">
        <f t="shared" si="7"/>
        <v>2277</v>
      </c>
      <c r="E106" s="35"/>
      <c r="F106" s="33">
        <f t="shared" si="8"/>
        <v>814</v>
      </c>
      <c r="G106" s="42">
        <v>212</v>
      </c>
      <c r="H106" s="42">
        <v>602</v>
      </c>
      <c r="I106" s="36"/>
      <c r="J106" s="33">
        <f t="shared" si="9"/>
        <v>3166</v>
      </c>
      <c r="K106" s="43">
        <v>1491</v>
      </c>
      <c r="L106" s="43">
        <v>1675</v>
      </c>
      <c r="M106" s="2"/>
      <c r="N106" s="18"/>
      <c r="O106" s="2"/>
      <c r="S106" s="2"/>
      <c r="T106" s="2"/>
      <c r="U106" s="2"/>
      <c r="V106" s="2"/>
      <c r="W106" s="2"/>
    </row>
    <row r="107" spans="1:23" x14ac:dyDescent="0.25">
      <c r="A107" s="39" t="s">
        <v>109</v>
      </c>
      <c r="B107" s="32">
        <f t="shared" si="5"/>
        <v>1904</v>
      </c>
      <c r="C107" s="32">
        <f t="shared" si="6"/>
        <v>1086</v>
      </c>
      <c r="D107" s="32">
        <f t="shared" si="7"/>
        <v>818</v>
      </c>
      <c r="E107" s="35"/>
      <c r="F107" s="33">
        <f t="shared" si="8"/>
        <v>652</v>
      </c>
      <c r="G107" s="42">
        <v>406</v>
      </c>
      <c r="H107" s="42">
        <v>246</v>
      </c>
      <c r="I107" s="36"/>
      <c r="J107" s="33">
        <f t="shared" si="9"/>
        <v>1252</v>
      </c>
      <c r="K107" s="42">
        <v>680</v>
      </c>
      <c r="L107" s="42">
        <v>572</v>
      </c>
      <c r="M107" s="2"/>
      <c r="N107" s="18"/>
      <c r="O107" s="2"/>
      <c r="S107" s="2"/>
      <c r="T107" s="2"/>
      <c r="U107" s="2"/>
      <c r="V107" s="2"/>
      <c r="W107" s="2"/>
    </row>
    <row r="108" spans="1:23" x14ac:dyDescent="0.25">
      <c r="A108" s="39" t="s">
        <v>110</v>
      </c>
      <c r="B108" s="32">
        <f t="shared" si="5"/>
        <v>357</v>
      </c>
      <c r="C108" s="32">
        <f t="shared" ref="C108:C109" si="10">G108+K108</f>
        <v>166</v>
      </c>
      <c r="D108" s="32">
        <f t="shared" ref="D108:D109" si="11">H108+L108</f>
        <v>191</v>
      </c>
      <c r="E108" s="35"/>
      <c r="F108" s="33">
        <f t="shared" si="8"/>
        <v>99</v>
      </c>
      <c r="G108" s="42">
        <v>66</v>
      </c>
      <c r="H108" s="42">
        <v>33</v>
      </c>
      <c r="I108" s="36"/>
      <c r="J108" s="33">
        <f t="shared" si="9"/>
        <v>258</v>
      </c>
      <c r="K108" s="42">
        <v>100</v>
      </c>
      <c r="L108" s="42">
        <v>158</v>
      </c>
      <c r="M108" s="2"/>
      <c r="N108" s="18"/>
      <c r="O108" s="2"/>
      <c r="Q108" s="2"/>
      <c r="R108" s="2"/>
      <c r="S108" s="2"/>
      <c r="T108" s="2"/>
      <c r="U108" s="2"/>
      <c r="V108" s="2"/>
      <c r="W108" s="2"/>
    </row>
    <row r="109" spans="1:23" s="7" customFormat="1" x14ac:dyDescent="0.25">
      <c r="A109" s="39" t="s">
        <v>111</v>
      </c>
      <c r="B109" s="32">
        <f t="shared" si="5"/>
        <v>25</v>
      </c>
      <c r="C109" s="32">
        <f t="shared" si="10"/>
        <v>22</v>
      </c>
      <c r="D109" s="32">
        <f t="shared" si="11"/>
        <v>3</v>
      </c>
      <c r="E109" s="35"/>
      <c r="F109" s="33">
        <f t="shared" si="8"/>
        <v>16</v>
      </c>
      <c r="G109" s="42">
        <v>15</v>
      </c>
      <c r="H109" s="42">
        <v>1</v>
      </c>
      <c r="I109" s="36"/>
      <c r="J109" s="33">
        <f t="shared" si="9"/>
        <v>9</v>
      </c>
      <c r="K109" s="42">
        <v>7</v>
      </c>
      <c r="L109" s="42">
        <v>2</v>
      </c>
      <c r="M109" s="2"/>
      <c r="N109" s="2"/>
      <c r="O109" s="2"/>
      <c r="P109" s="3"/>
      <c r="Q109" s="2"/>
      <c r="R109" s="2"/>
      <c r="S109" s="2"/>
      <c r="T109" s="2"/>
      <c r="U109" s="2"/>
      <c r="V109" s="2"/>
      <c r="W109" s="2"/>
    </row>
    <row r="110" spans="1:23" s="13" customFormat="1" x14ac:dyDescent="0.25">
      <c r="A110" s="39" t="s">
        <v>112</v>
      </c>
      <c r="B110" s="32">
        <f>F110+J110</f>
        <v>19</v>
      </c>
      <c r="C110" s="32">
        <f>G110+K110</f>
        <v>12</v>
      </c>
      <c r="D110" s="32">
        <f>H110+L110</f>
        <v>7</v>
      </c>
      <c r="E110" s="35"/>
      <c r="F110" s="33">
        <f>SUM(G110:H110)</f>
        <v>19</v>
      </c>
      <c r="G110" s="42">
        <v>12</v>
      </c>
      <c r="H110" s="42">
        <v>7</v>
      </c>
      <c r="I110" s="36"/>
      <c r="J110" s="33">
        <f>SUM(K110:L110)</f>
        <v>0</v>
      </c>
      <c r="K110" s="42">
        <v>0</v>
      </c>
      <c r="L110" s="42">
        <v>0</v>
      </c>
      <c r="M110" s="2"/>
      <c r="N110" s="2"/>
      <c r="O110" s="2"/>
      <c r="P110" s="3"/>
      <c r="Q110" s="2"/>
      <c r="R110" s="2"/>
      <c r="S110" s="2"/>
      <c r="T110" s="2"/>
      <c r="U110" s="2"/>
      <c r="V110" s="2"/>
      <c r="W110" s="2"/>
    </row>
    <row r="111" spans="1:23" s="13" customFormat="1" x14ac:dyDescent="0.25">
      <c r="A111" s="39" t="s">
        <v>118</v>
      </c>
      <c r="B111" s="32">
        <f t="shared" ref="B111:B114" si="12">F111+J111</f>
        <v>1</v>
      </c>
      <c r="C111" s="32">
        <f t="shared" ref="C111:C114" si="13">G111+K111</f>
        <v>1</v>
      </c>
      <c r="D111" s="32">
        <f t="shared" ref="D111:D114" si="14">H111+L111</f>
        <v>0</v>
      </c>
      <c r="E111" s="35"/>
      <c r="F111" s="33">
        <f t="shared" ref="F111:F114" si="15">SUM(G111:H111)</f>
        <v>1</v>
      </c>
      <c r="G111" s="42">
        <v>1</v>
      </c>
      <c r="H111" s="42">
        <v>0</v>
      </c>
      <c r="I111" s="36"/>
      <c r="J111" s="33">
        <f t="shared" ref="J111:J114" si="16">SUM(K111:L111)</f>
        <v>0</v>
      </c>
      <c r="K111" s="42">
        <v>0</v>
      </c>
      <c r="L111" s="42">
        <v>0</v>
      </c>
      <c r="M111" s="2"/>
      <c r="N111" s="2"/>
      <c r="O111" s="2"/>
      <c r="P111" s="3"/>
      <c r="Q111" s="2"/>
      <c r="R111" s="2"/>
      <c r="S111" s="2"/>
      <c r="T111" s="2"/>
      <c r="U111" s="2"/>
      <c r="V111" s="2"/>
      <c r="W111" s="2"/>
    </row>
    <row r="112" spans="1:23" s="13" customFormat="1" x14ac:dyDescent="0.25">
      <c r="A112" s="39" t="s">
        <v>119</v>
      </c>
      <c r="B112" s="32">
        <f t="shared" si="12"/>
        <v>4</v>
      </c>
      <c r="C112" s="32">
        <f t="shared" si="13"/>
        <v>4</v>
      </c>
      <c r="D112" s="32">
        <f t="shared" si="14"/>
        <v>0</v>
      </c>
      <c r="E112" s="35"/>
      <c r="F112" s="33">
        <f t="shared" si="15"/>
        <v>1</v>
      </c>
      <c r="G112" s="42">
        <v>1</v>
      </c>
      <c r="H112" s="42">
        <v>0</v>
      </c>
      <c r="I112" s="36"/>
      <c r="J112" s="33">
        <f t="shared" si="16"/>
        <v>3</v>
      </c>
      <c r="K112" s="42">
        <v>3</v>
      </c>
      <c r="L112" s="42">
        <v>0</v>
      </c>
      <c r="M112" s="2"/>
      <c r="N112" s="2"/>
      <c r="O112" s="2"/>
      <c r="P112" s="3"/>
      <c r="Q112" s="2"/>
      <c r="R112" s="2"/>
      <c r="S112" s="2"/>
      <c r="T112" s="2"/>
      <c r="U112" s="2"/>
      <c r="V112" s="2"/>
      <c r="W112" s="2"/>
    </row>
    <row r="113" spans="1:23" s="13" customFormat="1" x14ac:dyDescent="0.25">
      <c r="A113" s="39" t="s">
        <v>120</v>
      </c>
      <c r="B113" s="32">
        <f t="shared" si="12"/>
        <v>14</v>
      </c>
      <c r="C113" s="32">
        <f t="shared" si="13"/>
        <v>13</v>
      </c>
      <c r="D113" s="32">
        <f t="shared" si="14"/>
        <v>1</v>
      </c>
      <c r="E113" s="35"/>
      <c r="F113" s="33">
        <f t="shared" si="15"/>
        <v>0</v>
      </c>
      <c r="G113" s="42">
        <v>0</v>
      </c>
      <c r="H113" s="42">
        <v>0</v>
      </c>
      <c r="I113" s="36"/>
      <c r="J113" s="33">
        <f t="shared" si="16"/>
        <v>14</v>
      </c>
      <c r="K113" s="42">
        <v>13</v>
      </c>
      <c r="L113" s="42">
        <v>1</v>
      </c>
      <c r="M113" s="2"/>
      <c r="N113" s="2"/>
      <c r="O113" s="2"/>
      <c r="P113" s="3"/>
      <c r="Q113" s="2"/>
      <c r="R113" s="2"/>
      <c r="S113" s="2"/>
      <c r="T113" s="2"/>
      <c r="U113" s="2"/>
      <c r="V113" s="2"/>
      <c r="W113" s="2"/>
    </row>
    <row r="114" spans="1:23" s="13" customFormat="1" x14ac:dyDescent="0.25">
      <c r="A114" s="39" t="s">
        <v>121</v>
      </c>
      <c r="B114" s="32">
        <f t="shared" si="12"/>
        <v>80</v>
      </c>
      <c r="C114" s="32">
        <f t="shared" si="13"/>
        <v>58</v>
      </c>
      <c r="D114" s="32">
        <f t="shared" si="14"/>
        <v>22</v>
      </c>
      <c r="E114" s="35"/>
      <c r="F114" s="33">
        <f t="shared" si="15"/>
        <v>0</v>
      </c>
      <c r="G114" s="42">
        <v>0</v>
      </c>
      <c r="H114" s="42">
        <v>0</v>
      </c>
      <c r="I114" s="36"/>
      <c r="J114" s="33">
        <f t="shared" si="16"/>
        <v>80</v>
      </c>
      <c r="K114" s="42">
        <v>58</v>
      </c>
      <c r="L114" s="42">
        <v>22</v>
      </c>
      <c r="M114" s="2"/>
      <c r="N114" s="2"/>
      <c r="O114" s="2"/>
      <c r="P114" s="3"/>
      <c r="Q114" s="2"/>
      <c r="R114" s="2"/>
      <c r="S114" s="2"/>
      <c r="T114" s="2"/>
      <c r="U114" s="2"/>
      <c r="V114" s="2"/>
      <c r="W114" s="2"/>
    </row>
    <row r="115" spans="1:23" s="13" customFormat="1" ht="15.75" customHeight="1" x14ac:dyDescent="0.25">
      <c r="A115" s="44" t="s">
        <v>113</v>
      </c>
      <c r="B115" s="45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2"/>
      <c r="N115" s="2"/>
      <c r="O115" s="2"/>
      <c r="P115" s="3"/>
      <c r="Q115" s="3"/>
      <c r="R115" s="3"/>
      <c r="S115" s="2"/>
      <c r="T115" s="2"/>
      <c r="U115" s="2"/>
      <c r="V115" s="2"/>
      <c r="W115" s="2"/>
    </row>
    <row r="116" spans="1:23" s="17" customFormat="1" ht="7.5" customHeight="1" x14ac:dyDescent="0.25">
      <c r="A116" s="2"/>
      <c r="B116" s="2"/>
      <c r="C116" s="3"/>
      <c r="D116" s="2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Q116" s="3"/>
      <c r="R116" s="3"/>
      <c r="S116" s="2"/>
      <c r="T116" s="2"/>
      <c r="U116" s="2"/>
      <c r="V116" s="2"/>
      <c r="W116" s="2"/>
    </row>
    <row r="117" spans="1:23" ht="16.899999999999999" customHeight="1" x14ac:dyDescent="0.25">
      <c r="A117" s="2"/>
      <c r="B117" s="2"/>
      <c r="C117" s="2"/>
      <c r="D117" s="2"/>
      <c r="E117" s="22"/>
      <c r="F117" s="2"/>
      <c r="G117" s="2"/>
      <c r="H117" s="2"/>
      <c r="I117" s="2"/>
      <c r="J117" s="2"/>
      <c r="K117" s="2"/>
      <c r="L117" s="2"/>
      <c r="M117" s="2"/>
      <c r="N117" s="2"/>
      <c r="O117" s="2"/>
      <c r="S117" s="2"/>
      <c r="T117" s="2"/>
      <c r="U117" s="2"/>
      <c r="V117" s="2"/>
      <c r="W117" s="2"/>
    </row>
    <row r="118" spans="1:23" ht="16.899999999999999" customHeight="1" x14ac:dyDescent="0.25">
      <c r="A118" s="2"/>
      <c r="B118" s="2"/>
      <c r="C118" s="2"/>
      <c r="D118" s="2"/>
      <c r="E118" s="22"/>
      <c r="F118" s="2"/>
      <c r="G118" s="2"/>
      <c r="H118" s="2"/>
      <c r="I118" s="2"/>
      <c r="J118" s="2"/>
      <c r="K118" s="2"/>
      <c r="L118" s="2"/>
      <c r="M118" s="2"/>
      <c r="N118" s="2"/>
      <c r="O118" s="2"/>
      <c r="S118" s="2"/>
      <c r="T118" s="2"/>
      <c r="U118" s="2"/>
      <c r="V118" s="2"/>
      <c r="W118" s="2"/>
    </row>
    <row r="119" spans="1:23" ht="16.899999999999999" customHeight="1" x14ac:dyDescent="0.25">
      <c r="A119" s="2"/>
      <c r="B119" s="2"/>
      <c r="C119" s="2"/>
      <c r="D119" s="2"/>
      <c r="E119" s="22"/>
      <c r="F119" s="2"/>
      <c r="G119" s="2"/>
      <c r="H119" s="2"/>
      <c r="I119" s="2"/>
      <c r="J119" s="2"/>
      <c r="K119" s="2"/>
      <c r="L119" s="2"/>
      <c r="M119" s="2"/>
      <c r="N119" s="2"/>
      <c r="O119" s="2"/>
      <c r="S119" s="2"/>
      <c r="T119" s="2"/>
      <c r="U119" s="2"/>
      <c r="V119" s="2"/>
      <c r="W119" s="2"/>
    </row>
    <row r="120" spans="1:23" ht="16.899999999999999" customHeight="1" x14ac:dyDescent="0.25">
      <c r="A120" s="2"/>
      <c r="B120" s="2"/>
      <c r="C120" s="2"/>
      <c r="D120" s="2"/>
      <c r="E120" s="22"/>
      <c r="F120" s="2"/>
      <c r="G120" s="2"/>
      <c r="H120" s="2"/>
      <c r="I120" s="2"/>
      <c r="J120" s="2"/>
      <c r="K120" s="2"/>
      <c r="L120" s="2"/>
      <c r="M120" s="2"/>
      <c r="N120" s="2"/>
      <c r="O120" s="2"/>
      <c r="S120" s="2"/>
      <c r="T120" s="2"/>
      <c r="U120" s="2"/>
      <c r="V120" s="2"/>
      <c r="W120" s="2"/>
    </row>
    <row r="121" spans="1:23" ht="16.899999999999999" customHeight="1" x14ac:dyDescent="0.25">
      <c r="A121" s="2"/>
      <c r="B121" s="2"/>
      <c r="C121" s="2"/>
      <c r="D121" s="2"/>
      <c r="E121" s="22"/>
      <c r="F121" s="2"/>
      <c r="G121" s="2"/>
      <c r="H121" s="2"/>
      <c r="I121" s="2"/>
      <c r="J121" s="2"/>
      <c r="K121" s="2"/>
      <c r="L121" s="2"/>
      <c r="M121" s="2"/>
      <c r="N121" s="2"/>
      <c r="O121" s="2"/>
      <c r="S121" s="2"/>
      <c r="T121" s="2"/>
      <c r="U121" s="2"/>
      <c r="V121" s="2"/>
      <c r="W121" s="2"/>
    </row>
    <row r="122" spans="1:23" ht="16.899999999999999" customHeight="1" x14ac:dyDescent="0.25">
      <c r="A122" s="2"/>
      <c r="B122" s="2"/>
      <c r="C122" s="2"/>
      <c r="D122" s="2"/>
      <c r="E122" s="22"/>
      <c r="F122" s="2"/>
      <c r="G122" s="2"/>
      <c r="H122" s="2"/>
      <c r="I122" s="2"/>
      <c r="J122" s="2"/>
      <c r="K122" s="2"/>
      <c r="L122" s="2"/>
      <c r="M122" s="2"/>
      <c r="N122" s="2"/>
      <c r="O122" s="2"/>
      <c r="S122" s="2"/>
      <c r="T122" s="2"/>
      <c r="U122" s="2"/>
      <c r="V122" s="2"/>
      <c r="W122" s="2"/>
    </row>
    <row r="123" spans="1:23" ht="16.899999999999999" customHeight="1" x14ac:dyDescent="0.25">
      <c r="A123" s="2"/>
      <c r="B123" s="2"/>
      <c r="C123" s="2"/>
      <c r="D123" s="2"/>
      <c r="E123" s="22"/>
      <c r="F123" s="2"/>
      <c r="G123" s="2"/>
      <c r="H123" s="2"/>
      <c r="I123" s="2"/>
      <c r="J123" s="2"/>
      <c r="K123" s="2"/>
      <c r="L123" s="2"/>
      <c r="M123" s="2"/>
      <c r="N123" s="2"/>
      <c r="O123" s="2"/>
      <c r="S123" s="2"/>
      <c r="T123" s="2"/>
      <c r="U123" s="2"/>
      <c r="V123" s="2"/>
      <c r="W123" s="2"/>
    </row>
    <row r="124" spans="1:23" ht="16.899999999999999" customHeight="1" x14ac:dyDescent="0.25">
      <c r="A124" s="2"/>
      <c r="B124" s="2"/>
      <c r="C124" s="2"/>
      <c r="D124" s="2"/>
      <c r="E124" s="22"/>
      <c r="F124" s="2"/>
      <c r="G124" s="2"/>
      <c r="H124" s="2"/>
      <c r="I124" s="2"/>
      <c r="J124" s="2"/>
      <c r="K124" s="2"/>
      <c r="L124" s="2"/>
      <c r="M124" s="2"/>
      <c r="N124" s="2"/>
      <c r="O124" s="2"/>
      <c r="S124" s="2"/>
      <c r="T124" s="2"/>
      <c r="U124" s="2"/>
      <c r="V124" s="2"/>
      <c r="W124" s="2"/>
    </row>
    <row r="125" spans="1:23" ht="16.899999999999999" customHeight="1" x14ac:dyDescent="0.25">
      <c r="A125" s="2"/>
      <c r="B125" s="2"/>
      <c r="C125" s="2"/>
      <c r="D125" s="2"/>
      <c r="E125" s="22"/>
      <c r="F125" s="2"/>
      <c r="G125" s="2"/>
      <c r="H125" s="2"/>
      <c r="I125" s="2"/>
      <c r="J125" s="2"/>
      <c r="K125" s="2"/>
      <c r="L125" s="2"/>
      <c r="M125" s="2"/>
      <c r="N125" s="2"/>
      <c r="O125" s="2"/>
      <c r="S125" s="2"/>
      <c r="T125" s="2"/>
      <c r="U125" s="2"/>
      <c r="V125" s="2"/>
      <c r="W125" s="2"/>
    </row>
    <row r="126" spans="1:23" ht="16.899999999999999" customHeight="1" x14ac:dyDescent="0.25">
      <c r="A126" s="21"/>
      <c r="B126" s="26"/>
      <c r="C126" s="19"/>
      <c r="D126" s="19"/>
      <c r="E126" s="22"/>
      <c r="F126" s="22"/>
      <c r="G126" s="22"/>
      <c r="H126" s="22"/>
      <c r="I126" s="22"/>
      <c r="J126" s="22"/>
      <c r="K126" s="22"/>
      <c r="L126" s="22"/>
      <c r="M126" s="19"/>
      <c r="N126" s="19"/>
      <c r="O126" s="19"/>
      <c r="Q126" s="2"/>
      <c r="R126" s="2"/>
      <c r="S126" s="19"/>
      <c r="T126" s="19"/>
      <c r="U126" s="19"/>
      <c r="V126" s="19"/>
      <c r="W126" s="19"/>
    </row>
    <row r="127" spans="1:23" ht="16.899999999999999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U127" s="2"/>
      <c r="V127" s="2"/>
      <c r="W127" s="2"/>
    </row>
    <row r="128" spans="1:23" ht="16.899999999999999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U128" s="2"/>
      <c r="V128" s="2"/>
      <c r="W128" s="2"/>
    </row>
    <row r="129" spans="1:30" ht="16.899999999999999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U129" s="2"/>
      <c r="V129" s="2"/>
      <c r="W129" s="2"/>
    </row>
    <row r="130" spans="1:30" ht="16.899999999999999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U130" s="2"/>
      <c r="V130" s="2"/>
      <c r="W130" s="2"/>
    </row>
    <row r="131" spans="1:30" ht="16.899999999999999" customHeight="1" x14ac:dyDescent="0.25">
      <c r="A131" s="2"/>
      <c r="B131" s="24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"/>
      <c r="N131" s="2"/>
      <c r="O131" s="2"/>
      <c r="P131" s="2"/>
      <c r="Q131" s="2"/>
      <c r="R131" s="2"/>
      <c r="U131" s="2"/>
      <c r="V131" s="2"/>
      <c r="W131" s="2"/>
    </row>
    <row r="134" spans="1:30" x14ac:dyDescent="0.25">
      <c r="AB134" s="3" t="s">
        <v>10</v>
      </c>
      <c r="AC134" s="3" t="s">
        <v>11</v>
      </c>
      <c r="AD134" s="3" t="s">
        <v>12</v>
      </c>
    </row>
    <row r="135" spans="1:30" x14ac:dyDescent="0.25">
      <c r="AA135" s="37" t="s">
        <v>108</v>
      </c>
      <c r="AB135" s="3">
        <v>3980</v>
      </c>
      <c r="AC135" s="3">
        <v>1703</v>
      </c>
      <c r="AD135" s="3">
        <v>2277</v>
      </c>
    </row>
    <row r="136" spans="1:30" x14ac:dyDescent="0.25">
      <c r="R136" s="29"/>
      <c r="S136" s="29"/>
      <c r="T136" s="29"/>
      <c r="AA136" s="37" t="s">
        <v>102</v>
      </c>
      <c r="AB136" s="3">
        <v>3467</v>
      </c>
      <c r="AC136" s="3">
        <v>1227</v>
      </c>
      <c r="AD136" s="3">
        <v>2240</v>
      </c>
    </row>
    <row r="137" spans="1:30" x14ac:dyDescent="0.25">
      <c r="R137" s="29"/>
      <c r="S137" s="29"/>
      <c r="T137" s="29"/>
      <c r="AA137" s="37" t="s">
        <v>29</v>
      </c>
      <c r="AB137" s="3">
        <v>2265</v>
      </c>
      <c r="AC137" s="3">
        <v>647</v>
      </c>
      <c r="AD137" s="3">
        <v>1618</v>
      </c>
    </row>
    <row r="138" spans="1:30" x14ac:dyDescent="0.25">
      <c r="R138" s="29"/>
      <c r="S138" s="29"/>
      <c r="T138" s="29"/>
      <c r="AA138" s="37" t="s">
        <v>109</v>
      </c>
      <c r="AB138" s="3">
        <v>1904</v>
      </c>
      <c r="AC138" s="3">
        <v>1086</v>
      </c>
      <c r="AD138" s="3">
        <v>818</v>
      </c>
    </row>
    <row r="139" spans="1:30" x14ac:dyDescent="0.25">
      <c r="R139" s="29"/>
      <c r="S139" s="29"/>
      <c r="T139" s="29"/>
      <c r="AA139" s="37" t="s">
        <v>41</v>
      </c>
      <c r="AB139" s="3">
        <v>1578</v>
      </c>
      <c r="AC139" s="3">
        <v>330</v>
      </c>
      <c r="AD139" s="3">
        <v>1248</v>
      </c>
    </row>
    <row r="140" spans="1:30" x14ac:dyDescent="0.25">
      <c r="R140" s="29"/>
      <c r="S140" s="29"/>
      <c r="T140" s="29"/>
      <c r="AA140" s="37" t="s">
        <v>104</v>
      </c>
      <c r="AB140" s="3">
        <v>1450</v>
      </c>
      <c r="AC140" s="3">
        <v>648</v>
      </c>
      <c r="AD140" s="3">
        <v>802</v>
      </c>
    </row>
    <row r="141" spans="1:30" x14ac:dyDescent="0.25">
      <c r="R141" s="29"/>
      <c r="S141" s="29"/>
      <c r="T141" s="29"/>
      <c r="AB141" s="29">
        <f>SUM(AB135:AB140)</f>
        <v>14644</v>
      </c>
      <c r="AC141" s="29">
        <f t="shared" ref="AC141:AD141" si="17">SUM(AC135:AC140)</f>
        <v>5641</v>
      </c>
      <c r="AD141" s="29">
        <f t="shared" si="17"/>
        <v>9003</v>
      </c>
    </row>
    <row r="142" spans="1:30" ht="21" x14ac:dyDescent="0.55000000000000004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R142" s="29"/>
      <c r="S142" s="29"/>
      <c r="T142" s="29"/>
    </row>
    <row r="143" spans="1:30" x14ac:dyDescent="0.2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R143" s="29"/>
      <c r="S143" s="29"/>
      <c r="T143" s="29"/>
    </row>
    <row r="144" spans="1:30" x14ac:dyDescent="0.25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2"/>
    </row>
    <row r="145" spans="1:12" ht="18.75" x14ac:dyDescent="0.25">
      <c r="A145" s="56"/>
      <c r="B145" s="63"/>
      <c r="C145" s="63"/>
      <c r="D145" s="63"/>
      <c r="E145" s="63"/>
      <c r="F145" s="63"/>
      <c r="G145" s="64"/>
      <c r="H145" s="64"/>
      <c r="I145" s="64"/>
      <c r="J145" s="64"/>
      <c r="K145" s="64"/>
      <c r="L145" s="64"/>
    </row>
    <row r="146" spans="1:12" x14ac:dyDescent="0.25">
      <c r="A146" s="56"/>
      <c r="B146" s="65"/>
      <c r="C146" s="65"/>
      <c r="D146" s="65"/>
      <c r="E146" s="14"/>
      <c r="F146" s="65"/>
      <c r="G146" s="65"/>
      <c r="H146" s="65"/>
      <c r="I146" s="14"/>
      <c r="J146" s="65"/>
      <c r="K146" s="65"/>
      <c r="L146" s="65"/>
    </row>
    <row r="147" spans="1:12" ht="18.75" x14ac:dyDescent="0.25">
      <c r="A147" s="50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50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</row>
    <row r="149" spans="1:12" x14ac:dyDescent="0.25">
      <c r="A149" s="40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</row>
    <row r="150" spans="1:12" x14ac:dyDescent="0.25">
      <c r="A150" s="31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</row>
    <row r="151" spans="1:12" x14ac:dyDescent="0.25">
      <c r="A151" s="37"/>
      <c r="B151" s="32"/>
      <c r="C151" s="32"/>
      <c r="D151" s="32"/>
      <c r="E151" s="35"/>
      <c r="F151" s="32"/>
      <c r="G151" s="42"/>
      <c r="H151" s="42"/>
      <c r="I151" s="35"/>
      <c r="J151" s="32"/>
      <c r="K151" s="42"/>
      <c r="L151" s="42"/>
    </row>
    <row r="152" spans="1:12" x14ac:dyDescent="0.25">
      <c r="A152" s="37"/>
      <c r="B152" s="32"/>
      <c r="C152" s="32"/>
      <c r="D152" s="32"/>
      <c r="E152" s="35"/>
      <c r="F152" s="32"/>
      <c r="G152" s="42"/>
      <c r="H152" s="42"/>
      <c r="I152" s="35"/>
      <c r="J152" s="32"/>
      <c r="K152" s="42"/>
      <c r="L152" s="42"/>
    </row>
    <row r="153" spans="1:12" x14ac:dyDescent="0.25">
      <c r="A153" s="37"/>
      <c r="B153" s="32"/>
      <c r="C153" s="32"/>
      <c r="D153" s="32"/>
      <c r="E153" s="35"/>
      <c r="F153" s="32"/>
      <c r="G153" s="42"/>
      <c r="H153" s="42"/>
      <c r="I153" s="35"/>
      <c r="J153" s="32"/>
      <c r="K153" s="42"/>
      <c r="L153" s="42"/>
    </row>
    <row r="154" spans="1:12" x14ac:dyDescent="0.25">
      <c r="A154" s="37"/>
      <c r="B154" s="32"/>
      <c r="C154" s="32"/>
      <c r="D154" s="32"/>
      <c r="E154" s="35"/>
      <c r="F154" s="32"/>
      <c r="G154" s="42"/>
      <c r="H154" s="42"/>
      <c r="I154" s="35"/>
      <c r="J154" s="32"/>
      <c r="K154" s="42"/>
      <c r="L154" s="42"/>
    </row>
    <row r="155" spans="1:12" x14ac:dyDescent="0.25">
      <c r="A155" s="37"/>
      <c r="B155" s="32"/>
      <c r="C155" s="32"/>
      <c r="D155" s="32"/>
      <c r="E155" s="35"/>
      <c r="F155" s="32"/>
      <c r="G155" s="42"/>
      <c r="H155" s="42"/>
      <c r="I155" s="35"/>
      <c r="J155" s="32"/>
      <c r="K155" s="42"/>
      <c r="L155" s="42"/>
    </row>
    <row r="156" spans="1:12" x14ac:dyDescent="0.25">
      <c r="A156" s="37"/>
      <c r="B156" s="32"/>
      <c r="C156" s="32"/>
      <c r="D156" s="32"/>
      <c r="E156" s="35"/>
      <c r="F156" s="32"/>
      <c r="G156" s="42"/>
      <c r="H156" s="42"/>
      <c r="I156" s="35"/>
      <c r="J156" s="32"/>
      <c r="K156" s="42"/>
      <c r="L156" s="42"/>
    </row>
    <row r="157" spans="1:12" x14ac:dyDescent="0.25">
      <c r="A157" s="37"/>
      <c r="B157" s="32"/>
      <c r="C157" s="32"/>
      <c r="D157" s="32"/>
      <c r="E157" s="35"/>
      <c r="F157" s="32"/>
      <c r="G157" s="42"/>
      <c r="H157" s="42"/>
      <c r="I157" s="35"/>
      <c r="J157" s="32"/>
      <c r="K157" s="42"/>
      <c r="L157" s="42"/>
    </row>
    <row r="158" spans="1:12" x14ac:dyDescent="0.25">
      <c r="A158" s="37"/>
      <c r="B158" s="32"/>
      <c r="C158" s="32"/>
      <c r="D158" s="32"/>
      <c r="E158" s="35"/>
      <c r="F158" s="32"/>
      <c r="G158" s="42"/>
      <c r="H158" s="42"/>
      <c r="I158" s="35"/>
      <c r="J158" s="32"/>
      <c r="K158" s="42"/>
      <c r="L158" s="42"/>
    </row>
    <row r="159" spans="1:12" x14ac:dyDescent="0.25">
      <c r="A159" s="37"/>
      <c r="B159" s="32"/>
      <c r="C159" s="32"/>
      <c r="D159" s="32"/>
      <c r="E159" s="35"/>
      <c r="F159" s="32"/>
      <c r="G159" s="42"/>
      <c r="H159" s="42"/>
      <c r="I159" s="35"/>
      <c r="J159" s="32"/>
      <c r="K159" s="42"/>
      <c r="L159" s="42"/>
    </row>
    <row r="160" spans="1:12" x14ac:dyDescent="0.25">
      <c r="A160" s="37"/>
      <c r="B160" s="32"/>
      <c r="C160" s="32"/>
      <c r="D160" s="32"/>
      <c r="E160" s="35"/>
      <c r="F160" s="32"/>
      <c r="G160" s="42"/>
      <c r="H160" s="42"/>
      <c r="I160" s="35"/>
      <c r="J160" s="32"/>
      <c r="K160" s="42"/>
      <c r="L160" s="42"/>
    </row>
    <row r="161" spans="1:12" x14ac:dyDescent="0.25">
      <c r="A161" s="37"/>
      <c r="B161" s="32"/>
      <c r="C161" s="32"/>
      <c r="D161" s="32"/>
      <c r="E161" s="35"/>
      <c r="F161" s="32"/>
      <c r="G161" s="42"/>
      <c r="H161" s="42"/>
      <c r="I161" s="35"/>
      <c r="J161" s="32"/>
      <c r="K161" s="42"/>
      <c r="L161" s="42"/>
    </row>
    <row r="162" spans="1:12" x14ac:dyDescent="0.25">
      <c r="A162" s="37"/>
      <c r="B162" s="32"/>
      <c r="C162" s="32"/>
      <c r="D162" s="32"/>
      <c r="E162" s="35"/>
      <c r="F162" s="32"/>
      <c r="G162" s="42"/>
      <c r="H162" s="42"/>
      <c r="I162" s="35"/>
      <c r="J162" s="32"/>
      <c r="K162" s="42"/>
      <c r="L162" s="42"/>
    </row>
    <row r="163" spans="1:12" x14ac:dyDescent="0.25">
      <c r="A163" s="37"/>
      <c r="B163" s="32"/>
      <c r="C163" s="32"/>
      <c r="D163" s="32"/>
      <c r="E163" s="35"/>
      <c r="F163" s="32"/>
      <c r="G163" s="42"/>
      <c r="H163" s="42"/>
      <c r="I163" s="35"/>
      <c r="J163" s="32"/>
      <c r="K163" s="42"/>
      <c r="L163" s="42"/>
    </row>
    <row r="164" spans="1:12" x14ac:dyDescent="0.25">
      <c r="A164" s="37"/>
      <c r="B164" s="32"/>
      <c r="C164" s="32"/>
      <c r="D164" s="32"/>
      <c r="E164" s="35"/>
      <c r="F164" s="32"/>
      <c r="G164" s="42"/>
      <c r="H164" s="42"/>
      <c r="I164" s="35"/>
      <c r="J164" s="32"/>
      <c r="K164" s="42"/>
      <c r="L164" s="42"/>
    </row>
    <row r="165" spans="1:12" x14ac:dyDescent="0.25">
      <c r="A165" s="37"/>
      <c r="B165" s="32"/>
      <c r="C165" s="32"/>
      <c r="D165" s="32"/>
      <c r="E165" s="35"/>
      <c r="F165" s="32"/>
      <c r="G165" s="42"/>
      <c r="H165" s="42"/>
      <c r="I165" s="35"/>
      <c r="J165" s="32"/>
      <c r="K165" s="42"/>
      <c r="L165" s="42"/>
    </row>
    <row r="166" spans="1:12" x14ac:dyDescent="0.25">
      <c r="A166" s="37"/>
      <c r="B166" s="32"/>
      <c r="C166" s="32"/>
      <c r="D166" s="32"/>
      <c r="E166" s="35"/>
      <c r="F166" s="32"/>
      <c r="G166" s="42"/>
      <c r="H166" s="42"/>
      <c r="I166" s="35"/>
      <c r="J166" s="32"/>
      <c r="K166" s="42"/>
      <c r="L166" s="43"/>
    </row>
    <row r="167" spans="1:12" x14ac:dyDescent="0.25">
      <c r="A167" s="37"/>
      <c r="B167" s="32"/>
      <c r="C167" s="32"/>
      <c r="D167" s="32"/>
      <c r="E167" s="35"/>
      <c r="F167" s="32"/>
      <c r="G167" s="42"/>
      <c r="H167" s="42"/>
      <c r="I167" s="35"/>
      <c r="J167" s="32"/>
      <c r="K167" s="42"/>
      <c r="L167" s="42"/>
    </row>
    <row r="168" spans="1:12" x14ac:dyDescent="0.25">
      <c r="A168" s="37"/>
      <c r="B168" s="32"/>
      <c r="C168" s="32"/>
      <c r="D168" s="32"/>
      <c r="E168" s="35"/>
      <c r="F168" s="32"/>
      <c r="G168" s="42"/>
      <c r="H168" s="42"/>
      <c r="I168" s="35"/>
      <c r="J168" s="32"/>
      <c r="K168" s="42"/>
      <c r="L168" s="42"/>
    </row>
    <row r="169" spans="1:12" x14ac:dyDescent="0.25">
      <c r="A169" s="37"/>
      <c r="B169" s="32"/>
      <c r="C169" s="32"/>
      <c r="D169" s="32"/>
      <c r="E169" s="35"/>
      <c r="F169" s="32"/>
      <c r="G169" s="42"/>
      <c r="H169" s="42"/>
      <c r="I169" s="35"/>
      <c r="J169" s="32"/>
      <c r="K169" s="42"/>
      <c r="L169" s="42"/>
    </row>
    <row r="170" spans="1:12" x14ac:dyDescent="0.25">
      <c r="A170" s="37"/>
      <c r="B170" s="32"/>
      <c r="C170" s="32"/>
      <c r="D170" s="32"/>
      <c r="E170" s="35"/>
      <c r="F170" s="32"/>
      <c r="G170" s="42"/>
      <c r="H170" s="42"/>
      <c r="I170" s="35"/>
      <c r="J170" s="32"/>
      <c r="K170" s="42"/>
      <c r="L170" s="42"/>
    </row>
    <row r="171" spans="1:12" x14ac:dyDescent="0.25">
      <c r="A171" s="37"/>
      <c r="B171" s="32"/>
      <c r="C171" s="32"/>
      <c r="D171" s="32"/>
      <c r="E171" s="35"/>
      <c r="F171" s="32"/>
      <c r="G171" s="42"/>
      <c r="H171" s="42"/>
      <c r="I171" s="35"/>
      <c r="J171" s="32"/>
      <c r="K171" s="42"/>
      <c r="L171" s="42"/>
    </row>
    <row r="172" spans="1:12" x14ac:dyDescent="0.25">
      <c r="A172" s="37"/>
      <c r="B172" s="32"/>
      <c r="C172" s="32"/>
      <c r="D172" s="32"/>
      <c r="E172" s="35"/>
      <c r="F172" s="32"/>
      <c r="G172" s="42"/>
      <c r="H172" s="42"/>
      <c r="I172" s="35"/>
      <c r="J172" s="32"/>
      <c r="K172" s="42"/>
      <c r="L172" s="42"/>
    </row>
    <row r="173" spans="1:12" x14ac:dyDescent="0.25">
      <c r="A173" s="37"/>
      <c r="B173" s="32"/>
      <c r="C173" s="32"/>
      <c r="D173" s="32"/>
      <c r="E173" s="35"/>
      <c r="F173" s="32"/>
      <c r="G173" s="42"/>
      <c r="H173" s="42"/>
      <c r="I173" s="35"/>
      <c r="J173" s="32"/>
      <c r="K173" s="42"/>
      <c r="L173" s="42"/>
    </row>
    <row r="174" spans="1:12" x14ac:dyDescent="0.25">
      <c r="A174" s="37"/>
      <c r="B174" s="32"/>
      <c r="C174" s="32"/>
      <c r="D174" s="32"/>
      <c r="E174" s="35"/>
      <c r="F174" s="32"/>
      <c r="G174" s="42"/>
      <c r="H174" s="42"/>
      <c r="I174" s="35"/>
      <c r="J174" s="32"/>
      <c r="K174" s="42"/>
      <c r="L174" s="42"/>
    </row>
    <row r="175" spans="1:12" x14ac:dyDescent="0.25">
      <c r="A175" s="37"/>
      <c r="B175" s="32"/>
      <c r="C175" s="32"/>
      <c r="D175" s="32"/>
      <c r="E175" s="35"/>
      <c r="F175" s="32"/>
      <c r="G175" s="42"/>
      <c r="H175" s="42"/>
      <c r="I175" s="35"/>
      <c r="J175" s="32"/>
      <c r="K175" s="42"/>
      <c r="L175" s="42"/>
    </row>
    <row r="176" spans="1:12" x14ac:dyDescent="0.25">
      <c r="A176" s="37"/>
      <c r="B176" s="32"/>
      <c r="C176" s="32"/>
      <c r="D176" s="32"/>
      <c r="E176" s="35"/>
      <c r="F176" s="32"/>
      <c r="G176" s="42"/>
      <c r="H176" s="42"/>
      <c r="I176" s="35"/>
      <c r="J176" s="32"/>
      <c r="K176" s="42"/>
      <c r="L176" s="42"/>
    </row>
    <row r="177" spans="1:12" x14ac:dyDescent="0.25">
      <c r="A177" s="37"/>
      <c r="B177" s="32"/>
      <c r="C177" s="32"/>
      <c r="D177" s="32"/>
      <c r="E177" s="35"/>
      <c r="F177" s="32"/>
      <c r="G177" s="42"/>
      <c r="H177" s="42"/>
      <c r="I177" s="35"/>
      <c r="J177" s="32"/>
      <c r="K177" s="42"/>
      <c r="L177" s="42"/>
    </row>
    <row r="178" spans="1:12" x14ac:dyDescent="0.25">
      <c r="A178" s="37"/>
      <c r="B178" s="32"/>
      <c r="C178" s="32"/>
      <c r="D178" s="32"/>
      <c r="E178" s="35"/>
      <c r="F178" s="32"/>
      <c r="G178" s="42"/>
      <c r="H178" s="42"/>
      <c r="I178" s="35"/>
      <c r="J178" s="32"/>
      <c r="K178" s="42"/>
      <c r="L178" s="42"/>
    </row>
    <row r="179" spans="1:12" x14ac:dyDescent="0.25">
      <c r="A179" s="37"/>
      <c r="B179" s="32"/>
      <c r="C179" s="32"/>
      <c r="D179" s="32"/>
      <c r="E179" s="35"/>
      <c r="F179" s="32"/>
      <c r="G179" s="42"/>
      <c r="H179" s="42"/>
      <c r="I179" s="35"/>
      <c r="J179" s="32"/>
      <c r="K179" s="42"/>
      <c r="L179" s="42"/>
    </row>
    <row r="180" spans="1:12" x14ac:dyDescent="0.25">
      <c r="A180" s="37"/>
      <c r="B180" s="32"/>
      <c r="C180" s="32"/>
      <c r="D180" s="32"/>
      <c r="E180" s="35"/>
      <c r="F180" s="32"/>
      <c r="G180" s="42"/>
      <c r="H180" s="42"/>
      <c r="I180" s="35"/>
      <c r="J180" s="32"/>
      <c r="K180" s="42"/>
      <c r="L180" s="42"/>
    </row>
    <row r="181" spans="1:12" x14ac:dyDescent="0.25">
      <c r="A181" s="37"/>
      <c r="B181" s="32"/>
      <c r="C181" s="32"/>
      <c r="D181" s="32"/>
      <c r="E181" s="35"/>
      <c r="F181" s="32"/>
      <c r="G181" s="42"/>
      <c r="H181" s="42"/>
      <c r="I181" s="35"/>
      <c r="J181" s="32"/>
      <c r="K181" s="42"/>
      <c r="L181" s="42"/>
    </row>
    <row r="182" spans="1:12" x14ac:dyDescent="0.25">
      <c r="A182" s="37"/>
      <c r="B182" s="32"/>
      <c r="C182" s="32"/>
      <c r="D182" s="32"/>
      <c r="E182" s="35"/>
      <c r="F182" s="32"/>
      <c r="G182" s="42"/>
      <c r="H182" s="42"/>
      <c r="I182" s="35"/>
      <c r="J182" s="32"/>
      <c r="K182" s="42"/>
      <c r="L182" s="42"/>
    </row>
    <row r="183" spans="1:12" x14ac:dyDescent="0.25">
      <c r="A183" s="37"/>
      <c r="B183" s="32"/>
      <c r="C183" s="32"/>
      <c r="D183" s="32"/>
      <c r="E183" s="35"/>
      <c r="F183" s="32"/>
      <c r="G183" s="42"/>
      <c r="H183" s="42"/>
      <c r="I183" s="35"/>
      <c r="J183" s="32"/>
      <c r="K183" s="42"/>
      <c r="L183" s="42"/>
    </row>
    <row r="184" spans="1:12" x14ac:dyDescent="0.25">
      <c r="A184" s="37"/>
      <c r="B184" s="32"/>
      <c r="C184" s="32"/>
      <c r="D184" s="32"/>
      <c r="E184" s="35"/>
      <c r="F184" s="32"/>
      <c r="G184" s="42"/>
      <c r="H184" s="42"/>
      <c r="I184" s="35"/>
      <c r="J184" s="32"/>
      <c r="K184" s="42"/>
      <c r="L184" s="42"/>
    </row>
    <row r="185" spans="1:12" x14ac:dyDescent="0.25">
      <c r="A185" s="37"/>
      <c r="B185" s="32"/>
      <c r="C185" s="32"/>
      <c r="D185" s="32"/>
      <c r="E185" s="35"/>
      <c r="F185" s="32"/>
      <c r="G185" s="42"/>
      <c r="H185" s="42"/>
      <c r="I185" s="35"/>
      <c r="J185" s="32"/>
      <c r="K185" s="42"/>
      <c r="L185" s="42"/>
    </row>
    <row r="186" spans="1:12" x14ac:dyDescent="0.25">
      <c r="A186" s="37"/>
      <c r="B186" s="32"/>
      <c r="C186" s="32"/>
      <c r="D186" s="32"/>
      <c r="E186" s="35"/>
      <c r="F186" s="32"/>
      <c r="G186" s="42"/>
      <c r="H186" s="42"/>
      <c r="I186" s="35"/>
      <c r="J186" s="32"/>
      <c r="K186" s="42"/>
      <c r="L186" s="42"/>
    </row>
    <row r="187" spans="1:12" x14ac:dyDescent="0.25">
      <c r="A187" s="37"/>
      <c r="B187" s="32"/>
      <c r="C187" s="32"/>
      <c r="D187" s="32"/>
      <c r="E187" s="35"/>
      <c r="F187" s="32"/>
      <c r="G187" s="42"/>
      <c r="H187" s="42"/>
      <c r="I187" s="35"/>
      <c r="J187" s="32"/>
      <c r="K187" s="42"/>
      <c r="L187" s="42"/>
    </row>
    <row r="188" spans="1:12" x14ac:dyDescent="0.25">
      <c r="A188" s="37"/>
      <c r="B188" s="32"/>
      <c r="C188" s="32"/>
      <c r="D188" s="32"/>
      <c r="E188" s="35"/>
      <c r="F188" s="32"/>
      <c r="G188" s="42"/>
      <c r="H188" s="42"/>
      <c r="I188" s="35"/>
      <c r="J188" s="32"/>
      <c r="K188" s="42"/>
      <c r="L188" s="42"/>
    </row>
    <row r="189" spans="1:12" x14ac:dyDescent="0.25">
      <c r="A189" s="37"/>
      <c r="B189" s="32"/>
      <c r="C189" s="32"/>
      <c r="D189" s="32"/>
      <c r="E189" s="35"/>
      <c r="F189" s="32"/>
      <c r="G189" s="42"/>
      <c r="H189" s="42"/>
      <c r="I189" s="35"/>
      <c r="J189" s="32"/>
      <c r="K189" s="42"/>
      <c r="L189" s="42"/>
    </row>
    <row r="190" spans="1:12" x14ac:dyDescent="0.25">
      <c r="A190" s="37"/>
      <c r="B190" s="32"/>
      <c r="C190" s="32"/>
      <c r="D190" s="32"/>
      <c r="E190" s="35"/>
      <c r="F190" s="32"/>
      <c r="G190" s="42"/>
      <c r="H190" s="42"/>
      <c r="I190" s="35"/>
      <c r="J190" s="32"/>
      <c r="K190" s="42"/>
      <c r="L190" s="42"/>
    </row>
    <row r="191" spans="1:12" x14ac:dyDescent="0.25">
      <c r="A191" s="37"/>
      <c r="B191" s="32"/>
      <c r="C191" s="32"/>
      <c r="D191" s="32"/>
      <c r="E191" s="35"/>
      <c r="F191" s="32"/>
      <c r="G191" s="42"/>
      <c r="H191" s="42"/>
      <c r="I191" s="35"/>
      <c r="J191" s="32"/>
      <c r="K191" s="42"/>
      <c r="L191" s="42"/>
    </row>
    <row r="192" spans="1:12" x14ac:dyDescent="0.25">
      <c r="A192" s="38"/>
      <c r="B192" s="32"/>
      <c r="C192" s="32"/>
      <c r="D192" s="32"/>
      <c r="E192" s="35"/>
      <c r="F192" s="32"/>
      <c r="G192" s="42"/>
      <c r="H192" s="42"/>
      <c r="I192" s="35"/>
      <c r="J192" s="32"/>
      <c r="K192" s="42"/>
      <c r="L192" s="42"/>
    </row>
    <row r="193" spans="1:12" x14ac:dyDescent="0.25">
      <c r="A193" s="37"/>
      <c r="B193" s="32"/>
      <c r="C193" s="32"/>
      <c r="D193" s="32"/>
      <c r="E193" s="35"/>
      <c r="F193" s="32"/>
      <c r="G193" s="42"/>
      <c r="H193" s="42"/>
      <c r="I193" s="35"/>
      <c r="J193" s="32"/>
      <c r="K193" s="42"/>
      <c r="L193" s="42"/>
    </row>
    <row r="194" spans="1:12" x14ac:dyDescent="0.25">
      <c r="A194" s="37"/>
      <c r="B194" s="32"/>
      <c r="C194" s="32"/>
      <c r="D194" s="32"/>
      <c r="E194" s="35"/>
      <c r="F194" s="32"/>
      <c r="G194" s="42"/>
      <c r="H194" s="42"/>
      <c r="I194" s="35"/>
      <c r="J194" s="32"/>
      <c r="K194" s="42"/>
      <c r="L194" s="42"/>
    </row>
    <row r="195" spans="1:12" x14ac:dyDescent="0.25">
      <c r="A195" s="37"/>
      <c r="B195" s="32"/>
      <c r="C195" s="32"/>
      <c r="D195" s="32"/>
      <c r="E195" s="35"/>
      <c r="F195" s="32"/>
      <c r="G195" s="42"/>
      <c r="H195" s="42"/>
      <c r="I195" s="35"/>
      <c r="J195" s="32"/>
      <c r="K195" s="42"/>
      <c r="L195" s="42"/>
    </row>
    <row r="196" spans="1:12" x14ac:dyDescent="0.25">
      <c r="A196" s="37"/>
      <c r="B196" s="32"/>
      <c r="C196" s="32"/>
      <c r="D196" s="32"/>
      <c r="E196" s="35"/>
      <c r="F196" s="32"/>
      <c r="G196" s="42"/>
      <c r="H196" s="42"/>
      <c r="I196" s="35"/>
      <c r="J196" s="32"/>
      <c r="K196" s="42"/>
      <c r="L196" s="42"/>
    </row>
    <row r="197" spans="1:12" x14ac:dyDescent="0.25">
      <c r="A197" s="37"/>
      <c r="B197" s="32"/>
      <c r="C197" s="32"/>
      <c r="D197" s="32"/>
      <c r="E197" s="35"/>
      <c r="F197" s="32"/>
      <c r="G197" s="42"/>
      <c r="H197" s="42"/>
      <c r="I197" s="35"/>
      <c r="J197" s="32"/>
      <c r="K197" s="42"/>
      <c r="L197" s="42"/>
    </row>
    <row r="198" spans="1:12" x14ac:dyDescent="0.25">
      <c r="A198" s="37"/>
      <c r="B198" s="32"/>
      <c r="C198" s="32"/>
      <c r="D198" s="32"/>
      <c r="E198" s="35"/>
      <c r="F198" s="32"/>
      <c r="G198" s="42"/>
      <c r="H198" s="42"/>
      <c r="I198" s="35"/>
      <c r="J198" s="32"/>
      <c r="K198" s="42"/>
      <c r="L198" s="42"/>
    </row>
    <row r="199" spans="1:12" x14ac:dyDescent="0.25">
      <c r="A199" s="37"/>
      <c r="B199" s="32"/>
      <c r="C199" s="32"/>
      <c r="D199" s="32"/>
      <c r="E199" s="35"/>
      <c r="F199" s="32"/>
      <c r="G199" s="42"/>
      <c r="H199" s="42"/>
      <c r="I199" s="35"/>
      <c r="J199" s="32"/>
      <c r="K199" s="42"/>
      <c r="L199" s="42"/>
    </row>
    <row r="200" spans="1:12" x14ac:dyDescent="0.25">
      <c r="A200" s="37"/>
      <c r="B200" s="32"/>
      <c r="C200" s="32"/>
      <c r="D200" s="32"/>
      <c r="E200" s="35"/>
      <c r="F200" s="32"/>
      <c r="G200" s="42"/>
      <c r="H200" s="42"/>
      <c r="I200" s="35"/>
      <c r="J200" s="32"/>
      <c r="K200" s="42"/>
      <c r="L200" s="42"/>
    </row>
    <row r="201" spans="1:12" x14ac:dyDescent="0.25">
      <c r="A201" s="37"/>
      <c r="B201" s="32"/>
      <c r="C201" s="32"/>
      <c r="D201" s="32"/>
      <c r="E201" s="35"/>
      <c r="F201" s="32"/>
      <c r="G201" s="42"/>
      <c r="H201" s="42"/>
      <c r="I201" s="35"/>
      <c r="J201" s="32"/>
      <c r="K201" s="42"/>
      <c r="L201" s="42"/>
    </row>
    <row r="202" spans="1:12" x14ac:dyDescent="0.25">
      <c r="A202" s="37"/>
      <c r="B202" s="32"/>
      <c r="C202" s="32"/>
      <c r="D202" s="32"/>
      <c r="E202" s="35"/>
      <c r="F202" s="32"/>
      <c r="G202" s="42"/>
      <c r="H202" s="42"/>
      <c r="I202" s="35"/>
      <c r="J202" s="32"/>
      <c r="K202" s="42"/>
      <c r="L202" s="42"/>
    </row>
    <row r="203" spans="1:12" x14ac:dyDescent="0.25">
      <c r="A203" s="37"/>
      <c r="B203" s="32"/>
      <c r="C203" s="32"/>
      <c r="D203" s="32"/>
      <c r="E203" s="35"/>
      <c r="F203" s="32"/>
      <c r="G203" s="42"/>
      <c r="H203" s="42"/>
      <c r="I203" s="35"/>
      <c r="J203" s="32"/>
      <c r="K203" s="42"/>
      <c r="L203" s="42"/>
    </row>
    <row r="204" spans="1:12" x14ac:dyDescent="0.25">
      <c r="A204" s="37"/>
      <c r="B204" s="32"/>
      <c r="C204" s="32"/>
      <c r="D204" s="32"/>
      <c r="E204" s="35"/>
      <c r="F204" s="32"/>
      <c r="G204" s="42"/>
      <c r="H204" s="42"/>
      <c r="I204" s="35"/>
      <c r="J204" s="32"/>
      <c r="K204" s="42"/>
      <c r="L204" s="42"/>
    </row>
    <row r="205" spans="1:12" x14ac:dyDescent="0.25">
      <c r="A205" s="37"/>
      <c r="B205" s="32"/>
      <c r="C205" s="32"/>
      <c r="D205" s="32"/>
      <c r="E205" s="35"/>
      <c r="F205" s="32"/>
      <c r="G205" s="42"/>
      <c r="H205" s="42"/>
      <c r="I205" s="35"/>
      <c r="J205" s="32"/>
      <c r="K205" s="42"/>
      <c r="L205" s="42"/>
    </row>
    <row r="206" spans="1:12" x14ac:dyDescent="0.25">
      <c r="A206" s="37"/>
      <c r="B206" s="32"/>
      <c r="C206" s="32"/>
      <c r="D206" s="32"/>
      <c r="E206" s="35"/>
      <c r="F206" s="32"/>
      <c r="G206" s="42"/>
      <c r="H206" s="42"/>
      <c r="I206" s="35"/>
      <c r="J206" s="32"/>
      <c r="K206" s="42"/>
      <c r="L206" s="42"/>
    </row>
    <row r="207" spans="1:12" x14ac:dyDescent="0.25">
      <c r="A207" s="37"/>
      <c r="B207" s="32"/>
      <c r="C207" s="32"/>
      <c r="D207" s="32"/>
      <c r="E207" s="35"/>
      <c r="F207" s="32"/>
      <c r="G207" s="42"/>
      <c r="H207" s="42"/>
      <c r="I207" s="35"/>
      <c r="J207" s="32"/>
      <c r="K207" s="42"/>
      <c r="L207" s="42"/>
    </row>
    <row r="208" spans="1:12" x14ac:dyDescent="0.25">
      <c r="A208" s="37"/>
      <c r="B208" s="32"/>
      <c r="C208" s="32"/>
      <c r="D208" s="32"/>
      <c r="E208" s="35"/>
      <c r="F208" s="32"/>
      <c r="G208" s="42"/>
      <c r="H208" s="42"/>
      <c r="I208" s="35"/>
      <c r="J208" s="32"/>
      <c r="K208" s="42"/>
      <c r="L208" s="42"/>
    </row>
    <row r="209" spans="1:12" x14ac:dyDescent="0.25">
      <c r="A209" s="37"/>
      <c r="B209" s="32"/>
      <c r="C209" s="32"/>
      <c r="D209" s="32"/>
      <c r="E209" s="35"/>
      <c r="F209" s="32"/>
      <c r="G209" s="42"/>
      <c r="H209" s="42"/>
      <c r="I209" s="35"/>
      <c r="J209" s="32"/>
      <c r="K209" s="42"/>
      <c r="L209" s="42"/>
    </row>
    <row r="210" spans="1:12" x14ac:dyDescent="0.25">
      <c r="A210" s="37"/>
      <c r="B210" s="32"/>
      <c r="C210" s="32"/>
      <c r="D210" s="32"/>
      <c r="E210" s="35"/>
      <c r="F210" s="32"/>
      <c r="G210" s="42"/>
      <c r="H210" s="42"/>
      <c r="I210" s="35"/>
      <c r="J210" s="32"/>
      <c r="K210" s="42"/>
      <c r="L210" s="42"/>
    </row>
    <row r="211" spans="1:12" x14ac:dyDescent="0.25">
      <c r="A211" s="37"/>
      <c r="B211" s="32"/>
      <c r="C211" s="32"/>
      <c r="D211" s="32"/>
      <c r="E211" s="35"/>
      <c r="F211" s="32"/>
      <c r="G211" s="42"/>
      <c r="H211" s="42"/>
      <c r="I211" s="35"/>
      <c r="J211" s="32"/>
      <c r="K211" s="42"/>
      <c r="L211" s="42"/>
    </row>
    <row r="212" spans="1:12" x14ac:dyDescent="0.25">
      <c r="A212" s="37"/>
      <c r="B212" s="32"/>
      <c r="C212" s="32"/>
      <c r="D212" s="32"/>
      <c r="E212" s="35"/>
      <c r="F212" s="32"/>
      <c r="G212" s="42"/>
      <c r="H212" s="42"/>
      <c r="I212" s="35"/>
      <c r="J212" s="32"/>
      <c r="K212" s="42"/>
      <c r="L212" s="42"/>
    </row>
    <row r="213" spans="1:12" x14ac:dyDescent="0.25">
      <c r="A213" s="37"/>
      <c r="B213" s="32"/>
      <c r="C213" s="32"/>
      <c r="D213" s="32"/>
      <c r="E213" s="35"/>
      <c r="F213" s="32"/>
      <c r="G213" s="42"/>
      <c r="H213" s="42"/>
      <c r="I213" s="35"/>
      <c r="J213" s="32"/>
      <c r="K213" s="42"/>
      <c r="L213" s="42"/>
    </row>
    <row r="214" spans="1:12" x14ac:dyDescent="0.25">
      <c r="A214" s="37"/>
      <c r="B214" s="32"/>
      <c r="C214" s="32"/>
      <c r="D214" s="32"/>
      <c r="E214" s="35"/>
      <c r="F214" s="32"/>
      <c r="G214" s="42"/>
      <c r="H214" s="42"/>
      <c r="I214" s="35"/>
      <c r="J214" s="32"/>
      <c r="K214" s="42"/>
      <c r="L214" s="42"/>
    </row>
    <row r="215" spans="1:12" x14ac:dyDescent="0.25">
      <c r="A215" s="37"/>
      <c r="B215" s="32"/>
      <c r="C215" s="32"/>
      <c r="D215" s="32"/>
      <c r="E215" s="35"/>
      <c r="F215" s="32"/>
      <c r="G215" s="42"/>
      <c r="H215" s="42"/>
      <c r="I215" s="35"/>
      <c r="J215" s="32"/>
      <c r="K215" s="42"/>
      <c r="L215" s="42"/>
    </row>
    <row r="216" spans="1:12" x14ac:dyDescent="0.25">
      <c r="A216" s="37"/>
      <c r="B216" s="32"/>
      <c r="C216" s="32"/>
      <c r="D216" s="32"/>
      <c r="E216" s="35"/>
      <c r="F216" s="32"/>
      <c r="G216" s="42"/>
      <c r="H216" s="42"/>
      <c r="I216" s="35"/>
      <c r="J216" s="32"/>
      <c r="K216" s="42"/>
      <c r="L216" s="42"/>
    </row>
    <row r="217" spans="1:12" x14ac:dyDescent="0.25">
      <c r="A217" s="37"/>
      <c r="B217" s="32"/>
      <c r="C217" s="32"/>
      <c r="D217" s="32"/>
      <c r="E217" s="35"/>
      <c r="F217" s="32"/>
      <c r="G217" s="42"/>
      <c r="H217" s="42"/>
      <c r="I217" s="35"/>
      <c r="J217" s="32"/>
      <c r="K217" s="42"/>
      <c r="L217" s="42"/>
    </row>
    <row r="218" spans="1:12" x14ac:dyDescent="0.25">
      <c r="A218" s="37"/>
      <c r="B218" s="32"/>
      <c r="C218" s="32"/>
      <c r="D218" s="32"/>
      <c r="E218" s="35"/>
      <c r="F218" s="32"/>
      <c r="G218" s="42"/>
      <c r="H218" s="42"/>
      <c r="I218" s="35"/>
      <c r="J218" s="32"/>
      <c r="K218" s="42"/>
      <c r="L218" s="42"/>
    </row>
    <row r="219" spans="1:12" x14ac:dyDescent="0.25">
      <c r="A219" s="37"/>
      <c r="B219" s="32"/>
      <c r="C219" s="32"/>
      <c r="D219" s="32"/>
      <c r="E219" s="35"/>
      <c r="F219" s="32"/>
      <c r="G219" s="42"/>
      <c r="H219" s="42"/>
      <c r="I219" s="35"/>
      <c r="J219" s="32"/>
      <c r="K219" s="42"/>
      <c r="L219" s="42"/>
    </row>
    <row r="220" spans="1:12" x14ac:dyDescent="0.25">
      <c r="A220" s="37"/>
      <c r="B220" s="32"/>
      <c r="C220" s="32"/>
      <c r="D220" s="32"/>
      <c r="E220" s="35"/>
      <c r="F220" s="32"/>
      <c r="G220" s="42"/>
      <c r="H220" s="42"/>
      <c r="I220" s="35"/>
      <c r="J220" s="32"/>
      <c r="K220" s="42"/>
      <c r="L220" s="42"/>
    </row>
    <row r="221" spans="1:12" x14ac:dyDescent="0.25">
      <c r="A221" s="37"/>
      <c r="B221" s="32"/>
      <c r="C221" s="32"/>
      <c r="D221" s="32"/>
      <c r="E221" s="35"/>
      <c r="F221" s="32"/>
      <c r="G221" s="42"/>
      <c r="H221" s="42"/>
      <c r="I221" s="35"/>
      <c r="J221" s="32"/>
      <c r="K221" s="42"/>
      <c r="L221" s="42"/>
    </row>
    <row r="222" spans="1:12" x14ac:dyDescent="0.25">
      <c r="A222" s="37"/>
      <c r="B222" s="32"/>
      <c r="C222" s="32"/>
      <c r="D222" s="32"/>
      <c r="E222" s="35"/>
      <c r="F222" s="32"/>
      <c r="G222" s="42"/>
      <c r="H222" s="42"/>
      <c r="I222" s="35"/>
      <c r="J222" s="32"/>
      <c r="K222" s="42"/>
      <c r="L222" s="42"/>
    </row>
    <row r="223" spans="1:12" x14ac:dyDescent="0.25">
      <c r="A223" s="37"/>
      <c r="B223" s="32"/>
      <c r="C223" s="32"/>
      <c r="D223" s="32"/>
      <c r="E223" s="35"/>
      <c r="F223" s="32"/>
      <c r="G223" s="42"/>
      <c r="H223" s="42"/>
      <c r="I223" s="35"/>
      <c r="J223" s="32"/>
      <c r="K223" s="42"/>
      <c r="L223" s="42"/>
    </row>
    <row r="224" spans="1:12" x14ac:dyDescent="0.25">
      <c r="A224" s="37"/>
      <c r="B224" s="32"/>
      <c r="C224" s="32"/>
      <c r="D224" s="32"/>
      <c r="E224" s="35"/>
      <c r="F224" s="32"/>
      <c r="G224" s="42"/>
      <c r="H224" s="42"/>
      <c r="I224" s="35"/>
      <c r="J224" s="32"/>
      <c r="K224" s="42"/>
      <c r="L224" s="42"/>
    </row>
    <row r="225" spans="1:12" x14ac:dyDescent="0.25">
      <c r="A225" s="37"/>
      <c r="B225" s="32"/>
      <c r="C225" s="32"/>
      <c r="D225" s="32"/>
      <c r="E225" s="35"/>
      <c r="F225" s="32"/>
      <c r="G225" s="42"/>
      <c r="H225" s="42"/>
      <c r="I225" s="35"/>
      <c r="J225" s="32"/>
      <c r="K225" s="42"/>
      <c r="L225" s="42"/>
    </row>
    <row r="226" spans="1:12" x14ac:dyDescent="0.25">
      <c r="A226" s="37"/>
      <c r="B226" s="32"/>
      <c r="C226" s="32"/>
      <c r="D226" s="32"/>
      <c r="E226" s="35"/>
      <c r="F226" s="32"/>
      <c r="G226" s="42"/>
      <c r="H226" s="42"/>
      <c r="I226" s="35"/>
      <c r="J226" s="32"/>
      <c r="K226" s="42"/>
      <c r="L226" s="42"/>
    </row>
    <row r="227" spans="1:12" x14ac:dyDescent="0.25">
      <c r="A227" s="37"/>
      <c r="B227" s="32"/>
      <c r="C227" s="32"/>
      <c r="D227" s="32"/>
      <c r="E227" s="35"/>
      <c r="F227" s="32"/>
      <c r="G227" s="42"/>
      <c r="H227" s="42"/>
      <c r="I227" s="35"/>
      <c r="J227" s="32"/>
      <c r="K227" s="42"/>
      <c r="L227" s="42"/>
    </row>
    <row r="228" spans="1:12" x14ac:dyDescent="0.25">
      <c r="A228" s="37"/>
      <c r="B228" s="32"/>
      <c r="C228" s="32"/>
      <c r="D228" s="32"/>
      <c r="E228" s="35"/>
      <c r="F228" s="32"/>
      <c r="G228" s="42"/>
      <c r="H228" s="42"/>
      <c r="I228" s="35"/>
      <c r="J228" s="32"/>
      <c r="K228" s="42"/>
      <c r="L228" s="42"/>
    </row>
    <row r="229" spans="1:12" x14ac:dyDescent="0.25">
      <c r="A229" s="37"/>
      <c r="B229" s="32"/>
      <c r="C229" s="32"/>
      <c r="D229" s="32"/>
      <c r="E229" s="35"/>
      <c r="F229" s="32"/>
      <c r="G229" s="42"/>
      <c r="H229" s="42"/>
      <c r="I229" s="35"/>
      <c r="J229" s="32"/>
      <c r="K229" s="42"/>
      <c r="L229" s="42"/>
    </row>
    <row r="230" spans="1:12" x14ac:dyDescent="0.25">
      <c r="A230" s="37"/>
      <c r="B230" s="32"/>
      <c r="C230" s="32"/>
      <c r="D230" s="32"/>
      <c r="E230" s="35"/>
      <c r="F230" s="32"/>
      <c r="G230" s="42"/>
      <c r="H230" s="42"/>
      <c r="I230" s="35"/>
      <c r="J230" s="32"/>
      <c r="K230" s="42"/>
      <c r="L230" s="42"/>
    </row>
    <row r="231" spans="1:12" x14ac:dyDescent="0.25">
      <c r="A231" s="37"/>
      <c r="B231" s="32"/>
      <c r="C231" s="32"/>
      <c r="D231" s="32"/>
      <c r="E231" s="35"/>
      <c r="F231" s="32"/>
      <c r="G231" s="42"/>
      <c r="H231" s="42"/>
      <c r="I231" s="35"/>
      <c r="J231" s="32"/>
      <c r="K231" s="42"/>
      <c r="L231" s="42"/>
    </row>
    <row r="232" spans="1:12" x14ac:dyDescent="0.25">
      <c r="A232" s="37"/>
      <c r="B232" s="32"/>
      <c r="C232" s="32"/>
      <c r="D232" s="32"/>
      <c r="E232" s="35"/>
      <c r="F232" s="32"/>
      <c r="G232" s="42"/>
      <c r="H232" s="42"/>
      <c r="I232" s="35"/>
      <c r="J232" s="32"/>
      <c r="K232" s="42"/>
      <c r="L232" s="42"/>
    </row>
    <row r="233" spans="1:12" x14ac:dyDescent="0.25">
      <c r="A233" s="37"/>
      <c r="B233" s="32"/>
      <c r="C233" s="32"/>
      <c r="D233" s="32"/>
      <c r="E233" s="35"/>
      <c r="F233" s="32"/>
      <c r="G233" s="42"/>
      <c r="H233" s="42"/>
      <c r="I233" s="35"/>
      <c r="J233" s="32"/>
      <c r="K233" s="42"/>
      <c r="L233" s="42"/>
    </row>
    <row r="234" spans="1:12" x14ac:dyDescent="0.25">
      <c r="A234" s="37"/>
      <c r="B234" s="32"/>
      <c r="C234" s="32"/>
      <c r="D234" s="32"/>
      <c r="E234" s="35"/>
      <c r="F234" s="32"/>
      <c r="G234" s="42"/>
      <c r="H234" s="42"/>
      <c r="I234" s="35"/>
      <c r="J234" s="32"/>
      <c r="K234" s="42"/>
      <c r="L234" s="42"/>
    </row>
    <row r="235" spans="1:12" x14ac:dyDescent="0.25">
      <c r="A235" s="37"/>
      <c r="B235" s="32"/>
      <c r="C235" s="32"/>
      <c r="D235" s="32"/>
      <c r="E235" s="35"/>
      <c r="F235" s="32"/>
      <c r="G235" s="42"/>
      <c r="H235" s="42"/>
      <c r="I235" s="35"/>
      <c r="J235" s="32"/>
      <c r="K235" s="42"/>
      <c r="L235" s="42"/>
    </row>
    <row r="236" spans="1:12" x14ac:dyDescent="0.25">
      <c r="A236" s="37"/>
      <c r="B236" s="32"/>
      <c r="C236" s="32"/>
      <c r="D236" s="32"/>
      <c r="E236" s="35"/>
      <c r="F236" s="32"/>
      <c r="G236" s="42"/>
      <c r="H236" s="42"/>
      <c r="I236" s="35"/>
      <c r="J236" s="32"/>
      <c r="K236" s="42"/>
      <c r="L236" s="42"/>
    </row>
    <row r="237" spans="1:12" x14ac:dyDescent="0.25">
      <c r="A237" s="37"/>
      <c r="B237" s="32"/>
      <c r="C237" s="32"/>
      <c r="D237" s="32"/>
      <c r="E237" s="35"/>
      <c r="F237" s="32"/>
      <c r="G237" s="42"/>
      <c r="H237" s="42"/>
      <c r="I237" s="35"/>
      <c r="J237" s="32"/>
      <c r="K237" s="42"/>
      <c r="L237" s="42"/>
    </row>
    <row r="238" spans="1:12" x14ac:dyDescent="0.25">
      <c r="A238" s="37"/>
      <c r="B238" s="32"/>
      <c r="C238" s="32"/>
      <c r="D238" s="32"/>
      <c r="E238" s="35"/>
      <c r="F238" s="32"/>
      <c r="G238" s="42"/>
      <c r="H238" s="42"/>
      <c r="I238" s="35"/>
      <c r="J238" s="32"/>
      <c r="K238" s="42"/>
      <c r="L238" s="42"/>
    </row>
    <row r="239" spans="1:12" x14ac:dyDescent="0.25">
      <c r="A239" s="37"/>
      <c r="B239" s="32"/>
      <c r="C239" s="32"/>
      <c r="D239" s="32"/>
      <c r="E239" s="35"/>
      <c r="F239" s="32"/>
      <c r="G239" s="42"/>
      <c r="H239" s="42"/>
      <c r="I239" s="35"/>
      <c r="J239" s="32"/>
      <c r="K239" s="42"/>
      <c r="L239" s="42"/>
    </row>
    <row r="240" spans="1:12" x14ac:dyDescent="0.25">
      <c r="A240" s="37"/>
      <c r="B240" s="32"/>
      <c r="C240" s="32"/>
      <c r="D240" s="32"/>
      <c r="E240" s="35"/>
      <c r="F240" s="32"/>
      <c r="G240" s="42"/>
      <c r="H240" s="42"/>
      <c r="I240" s="35"/>
      <c r="J240" s="32"/>
      <c r="K240" s="42"/>
      <c r="L240" s="42"/>
    </row>
    <row r="241" spans="1:12" x14ac:dyDescent="0.25">
      <c r="A241" s="37"/>
      <c r="B241" s="32"/>
      <c r="C241" s="32"/>
      <c r="D241" s="32"/>
      <c r="E241" s="35"/>
      <c r="F241" s="32"/>
      <c r="G241" s="42"/>
      <c r="H241" s="42"/>
      <c r="I241" s="35"/>
      <c r="J241" s="32"/>
      <c r="K241" s="42"/>
      <c r="L241" s="43"/>
    </row>
    <row r="242" spans="1:12" x14ac:dyDescent="0.25">
      <c r="A242" s="37"/>
      <c r="B242" s="32"/>
      <c r="C242" s="32"/>
      <c r="D242" s="32"/>
      <c r="E242" s="35"/>
      <c r="F242" s="32"/>
      <c r="G242" s="42"/>
      <c r="H242" s="42"/>
      <c r="I242" s="35"/>
      <c r="J242" s="32"/>
      <c r="K242" s="42"/>
      <c r="L242" s="42"/>
    </row>
    <row r="243" spans="1:12" x14ac:dyDescent="0.25">
      <c r="A243" s="37"/>
      <c r="B243" s="32"/>
      <c r="C243" s="32"/>
      <c r="D243" s="32"/>
      <c r="E243" s="35"/>
      <c r="F243" s="32"/>
      <c r="G243" s="42"/>
      <c r="H243" s="42"/>
      <c r="I243" s="35"/>
      <c r="J243" s="32"/>
      <c r="K243" s="42"/>
      <c r="L243" s="42"/>
    </row>
    <row r="244" spans="1:12" x14ac:dyDescent="0.25">
      <c r="A244" s="37"/>
      <c r="B244" s="32"/>
      <c r="C244" s="32"/>
      <c r="D244" s="32"/>
      <c r="E244" s="35"/>
      <c r="F244" s="32"/>
      <c r="G244" s="42"/>
      <c r="H244" s="42"/>
      <c r="I244" s="35"/>
      <c r="J244" s="32"/>
      <c r="K244" s="42"/>
      <c r="L244" s="42"/>
    </row>
    <row r="245" spans="1:12" x14ac:dyDescent="0.25">
      <c r="A245" s="37"/>
      <c r="B245" s="32"/>
      <c r="C245" s="32"/>
      <c r="D245" s="32"/>
      <c r="E245" s="35"/>
      <c r="F245" s="32"/>
      <c r="G245" s="42"/>
      <c r="H245" s="42"/>
      <c r="I245" s="35"/>
      <c r="J245" s="32"/>
      <c r="K245" s="42"/>
      <c r="L245" s="42"/>
    </row>
    <row r="246" spans="1:12" x14ac:dyDescent="0.25">
      <c r="A246" s="37"/>
      <c r="B246" s="32"/>
      <c r="C246" s="32"/>
      <c r="D246" s="32"/>
      <c r="E246" s="35"/>
      <c r="F246" s="32"/>
      <c r="G246" s="42"/>
      <c r="H246" s="42"/>
      <c r="I246" s="35"/>
      <c r="J246" s="32"/>
      <c r="K246" s="42"/>
      <c r="L246" s="42"/>
    </row>
    <row r="247" spans="1:12" x14ac:dyDescent="0.25">
      <c r="A247" s="37"/>
      <c r="B247" s="32"/>
      <c r="C247" s="32"/>
      <c r="D247" s="32"/>
      <c r="E247" s="35"/>
      <c r="F247" s="32"/>
      <c r="G247" s="42"/>
      <c r="H247" s="42"/>
      <c r="I247" s="35"/>
      <c r="J247" s="32"/>
      <c r="K247" s="43"/>
      <c r="L247" s="43"/>
    </row>
    <row r="248" spans="1:12" x14ac:dyDescent="0.25">
      <c r="A248" s="37"/>
      <c r="B248" s="32"/>
      <c r="C248" s="32"/>
      <c r="D248" s="32"/>
      <c r="E248" s="35"/>
      <c r="F248" s="32"/>
      <c r="G248" s="42"/>
      <c r="H248" s="42"/>
      <c r="I248" s="35"/>
      <c r="J248" s="32"/>
      <c r="K248" s="42"/>
      <c r="L248" s="42"/>
    </row>
    <row r="249" spans="1:12" x14ac:dyDescent="0.25">
      <c r="A249" s="37"/>
      <c r="B249" s="32"/>
      <c r="C249" s="32"/>
      <c r="D249" s="32"/>
      <c r="E249" s="35"/>
      <c r="F249" s="32"/>
      <c r="G249" s="42"/>
      <c r="H249" s="42"/>
      <c r="I249" s="35"/>
      <c r="J249" s="32"/>
      <c r="K249" s="42"/>
      <c r="L249" s="42"/>
    </row>
    <row r="250" spans="1:12" x14ac:dyDescent="0.25">
      <c r="A250" s="37"/>
      <c r="B250" s="32"/>
      <c r="C250" s="32"/>
      <c r="D250" s="32"/>
      <c r="E250" s="35"/>
      <c r="F250" s="32"/>
      <c r="G250" s="42"/>
      <c r="H250" s="42"/>
      <c r="I250" s="35"/>
      <c r="J250" s="32"/>
      <c r="K250" s="42"/>
      <c r="L250" s="42"/>
    </row>
    <row r="251" spans="1:12" x14ac:dyDescent="0.25">
      <c r="A251" s="37"/>
      <c r="B251" s="32"/>
      <c r="C251" s="32"/>
      <c r="D251" s="32"/>
      <c r="E251" s="35"/>
      <c r="F251" s="32"/>
      <c r="G251" s="42"/>
      <c r="H251" s="42"/>
      <c r="I251" s="35"/>
      <c r="J251" s="32"/>
      <c r="K251" s="42"/>
      <c r="L251" s="42"/>
    </row>
    <row r="252" spans="1:12" x14ac:dyDescent="0.25">
      <c r="A252" s="48"/>
      <c r="B252" s="24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spans="1:12" x14ac:dyDescent="0.25">
      <c r="A253" s="37"/>
      <c r="B253" s="32"/>
      <c r="C253" s="32"/>
      <c r="D253" s="32"/>
      <c r="E253" s="35"/>
      <c r="F253" s="32"/>
      <c r="G253" s="49"/>
      <c r="H253" s="49"/>
      <c r="I253" s="35"/>
      <c r="J253" s="32"/>
      <c r="K253" s="49"/>
      <c r="L253" s="49"/>
    </row>
    <row r="254" spans="1:12" x14ac:dyDescent="0.25">
      <c r="A254" s="37"/>
      <c r="B254" s="32"/>
      <c r="C254" s="32"/>
      <c r="D254" s="32"/>
      <c r="E254" s="35"/>
      <c r="F254" s="32"/>
      <c r="G254" s="49"/>
      <c r="H254" s="49"/>
      <c r="I254" s="35"/>
      <c r="J254" s="32"/>
      <c r="K254" s="49"/>
      <c r="L254" s="49"/>
    </row>
    <row r="255" spans="1:12" x14ac:dyDescent="0.25">
      <c r="A255" s="37"/>
      <c r="B255" s="32"/>
      <c r="C255" s="32"/>
      <c r="D255" s="32"/>
      <c r="E255" s="35"/>
      <c r="F255" s="32"/>
      <c r="G255" s="49"/>
      <c r="H255" s="49"/>
      <c r="I255" s="35"/>
      <c r="J255" s="32"/>
      <c r="K255" s="49"/>
      <c r="L255" s="49"/>
    </row>
    <row r="256" spans="1:12" x14ac:dyDescent="0.25">
      <c r="A256" s="37"/>
      <c r="B256" s="32"/>
      <c r="C256" s="32"/>
      <c r="D256" s="32"/>
      <c r="E256" s="35"/>
      <c r="F256" s="32"/>
      <c r="G256" s="49"/>
      <c r="H256" s="49"/>
      <c r="I256" s="35"/>
      <c r="J256" s="32"/>
      <c r="K256" s="49"/>
      <c r="L256" s="49"/>
    </row>
    <row r="257" spans="1:12" x14ac:dyDescent="0.25">
      <c r="A257" s="37"/>
      <c r="B257" s="32"/>
      <c r="C257" s="32"/>
      <c r="D257" s="32"/>
      <c r="E257" s="35"/>
      <c r="F257" s="32"/>
      <c r="G257" s="49"/>
      <c r="H257" s="49"/>
      <c r="I257" s="35"/>
      <c r="J257" s="32"/>
      <c r="K257" s="49"/>
      <c r="L257" s="49"/>
    </row>
    <row r="258" spans="1:12" x14ac:dyDescent="0.25">
      <c r="A258" s="37"/>
      <c r="B258" s="32"/>
      <c r="C258" s="32"/>
      <c r="D258" s="32"/>
      <c r="E258" s="35"/>
      <c r="F258" s="32"/>
      <c r="G258" s="49"/>
      <c r="H258" s="49"/>
      <c r="I258" s="35"/>
      <c r="J258" s="32"/>
      <c r="K258" s="49"/>
      <c r="L258" s="49"/>
    </row>
    <row r="259" spans="1:12" x14ac:dyDescent="0.25">
      <c r="A259" s="37"/>
      <c r="B259" s="32"/>
      <c r="C259" s="32"/>
      <c r="D259" s="32"/>
      <c r="E259" s="35"/>
      <c r="F259" s="32"/>
      <c r="G259" s="49"/>
      <c r="H259" s="49"/>
      <c r="I259" s="35"/>
      <c r="J259" s="32"/>
      <c r="K259" s="49"/>
      <c r="L259" s="49"/>
    </row>
    <row r="260" spans="1:12" x14ac:dyDescent="0.25">
      <c r="A260" s="37"/>
      <c r="B260" s="32"/>
      <c r="C260" s="32"/>
      <c r="D260" s="32"/>
      <c r="E260" s="35"/>
      <c r="F260" s="32"/>
      <c r="G260" s="49"/>
      <c r="H260" s="49"/>
      <c r="I260" s="35"/>
      <c r="J260" s="32"/>
      <c r="K260" s="49"/>
      <c r="L260" s="49"/>
    </row>
    <row r="261" spans="1:12" x14ac:dyDescent="0.25">
      <c r="A261" s="48"/>
      <c r="B261" s="24"/>
      <c r="C261" s="25"/>
      <c r="D261" s="25"/>
      <c r="E261" s="25"/>
      <c r="F261" s="25"/>
      <c r="G261" s="25"/>
      <c r="H261" s="25"/>
      <c r="I261" s="25"/>
      <c r="J261" s="25"/>
      <c r="K261" s="25"/>
      <c r="L261" s="25"/>
    </row>
  </sheetData>
  <mergeCells count="20">
    <mergeCell ref="A147:A148"/>
    <mergeCell ref="A142:L142"/>
    <mergeCell ref="A143:L143"/>
    <mergeCell ref="A144:K144"/>
    <mergeCell ref="A145:A146"/>
    <mergeCell ref="B145:F145"/>
    <mergeCell ref="G145:L145"/>
    <mergeCell ref="B146:D146"/>
    <mergeCell ref="F146:H146"/>
    <mergeCell ref="J146:L146"/>
    <mergeCell ref="A6:A7"/>
    <mergeCell ref="A1:L1"/>
    <mergeCell ref="A2:L2"/>
    <mergeCell ref="A3:K3"/>
    <mergeCell ref="A4:A5"/>
    <mergeCell ref="B4:F4"/>
    <mergeCell ref="G4:L4"/>
    <mergeCell ref="B5:D5"/>
    <mergeCell ref="F5:H5"/>
    <mergeCell ref="J5:L5"/>
  </mergeCells>
  <pageMargins left="0.7" right="0.7" top="0.75" bottom="0.75" header="0.3" footer="0.3"/>
  <pageSetup paperSize="9" scale="65" orientation="portrait" horizontalDpi="4294967295" verticalDpi="4294967295" r:id="rId1"/>
  <rowBreaks count="2" manualBreakCount="2">
    <brk id="64" max="12" man="1"/>
    <brk id="133" max="12" man="1"/>
  </rowBreaks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</vt:lpstr>
      <vt:lpstr>'5.1'!Print_Area</vt:lpstr>
      <vt:lpstr>'5.1'!Print_Titles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2023-01-24T09:05:09Z</cp:lastPrinted>
  <dcterms:created xsi:type="dcterms:W3CDTF">2019-06-03T04:17:39Z</dcterms:created>
  <dcterms:modified xsi:type="dcterms:W3CDTF">2023-01-24T09:05:54Z</dcterms:modified>
</cp:coreProperties>
</file>