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FF08630F-6890-4E74-AA0B-020137E26EE4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7" sheetId="6" r:id="rId1"/>
  </sheets>
  <definedNames>
    <definedName name="_xlnm.Print_Area" localSheetId="0">'5.7'!$A$1:$M$79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6" l="1"/>
  <c r="D59" i="6"/>
  <c r="D54" i="6"/>
  <c r="D53" i="6"/>
  <c r="F49" i="6"/>
  <c r="D48" i="6"/>
  <c r="D47" i="6"/>
  <c r="C47" i="6"/>
  <c r="F47" i="6"/>
  <c r="J47" i="6"/>
  <c r="C48" i="6"/>
  <c r="F48" i="6"/>
  <c r="J48" i="6"/>
  <c r="C49" i="6"/>
  <c r="J49" i="6"/>
  <c r="C50" i="6"/>
  <c r="F50" i="6"/>
  <c r="J50" i="6"/>
  <c r="C51" i="6"/>
  <c r="F51" i="6"/>
  <c r="J51" i="6"/>
  <c r="C52" i="6"/>
  <c r="D52" i="6"/>
  <c r="F52" i="6"/>
  <c r="J52" i="6"/>
  <c r="C53" i="6"/>
  <c r="F53" i="6"/>
  <c r="J53" i="6"/>
  <c r="C54" i="6"/>
  <c r="F54" i="6"/>
  <c r="J54" i="6"/>
  <c r="C55" i="6"/>
  <c r="F55" i="6"/>
  <c r="J55" i="6"/>
  <c r="C56" i="6"/>
  <c r="F56" i="6"/>
  <c r="J56" i="6"/>
  <c r="C57" i="6"/>
  <c r="F57" i="6"/>
  <c r="J57" i="6"/>
  <c r="C58" i="6"/>
  <c r="D58" i="6"/>
  <c r="F58" i="6"/>
  <c r="J58" i="6"/>
  <c r="C59" i="6"/>
  <c r="F59" i="6"/>
  <c r="J59" i="6"/>
  <c r="C60" i="6"/>
  <c r="F60" i="6"/>
  <c r="J60" i="6"/>
  <c r="J46" i="6"/>
  <c r="F46" i="6"/>
  <c r="D46" i="6"/>
  <c r="C46" i="6"/>
  <c r="D49" i="6" l="1"/>
  <c r="D55" i="6"/>
  <c r="D51" i="6"/>
  <c r="D57" i="6"/>
  <c r="D50" i="6"/>
  <c r="D56" i="6"/>
  <c r="B46" i="6"/>
  <c r="B51" i="6"/>
  <c r="B48" i="6"/>
  <c r="B59" i="6"/>
  <c r="B56" i="6"/>
  <c r="B53" i="6"/>
  <c r="B50" i="6"/>
  <c r="B47" i="6"/>
  <c r="B52" i="6"/>
  <c r="B60" i="6"/>
  <c r="B57" i="6"/>
  <c r="B54" i="6"/>
  <c r="B58" i="6"/>
  <c r="B55" i="6"/>
  <c r="B49" i="6"/>
  <c r="C45" i="6" l="1"/>
  <c r="D45" i="6"/>
  <c r="F45" i="6"/>
  <c r="J45" i="6"/>
  <c r="B45" i="6" l="1"/>
  <c r="J42" i="6" l="1"/>
  <c r="J43" i="6"/>
  <c r="J44" i="6"/>
  <c r="F42" i="6"/>
  <c r="F43" i="6"/>
  <c r="F44" i="6"/>
  <c r="C42" i="6"/>
  <c r="D42" i="6"/>
  <c r="C43" i="6"/>
  <c r="D43" i="6"/>
  <c r="C44" i="6"/>
  <c r="D44" i="6"/>
  <c r="B43" i="6" l="1"/>
  <c r="B44" i="6"/>
  <c r="B42" i="6"/>
  <c r="L8" i="6" l="1"/>
  <c r="K8" i="6"/>
  <c r="H8" i="6"/>
  <c r="G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B41" i="6" l="1"/>
  <c r="B17" i="6"/>
  <c r="B9" i="6"/>
  <c r="B33" i="6"/>
  <c r="B25" i="6"/>
  <c r="B13" i="6"/>
  <c r="B39" i="6"/>
  <c r="B31" i="6"/>
  <c r="B23" i="6"/>
  <c r="B15" i="6"/>
  <c r="B29" i="6"/>
  <c r="B36" i="6"/>
  <c r="B28" i="6"/>
  <c r="B20" i="6"/>
  <c r="B38" i="6"/>
  <c r="B30" i="6"/>
  <c r="B22" i="6"/>
  <c r="B14" i="6"/>
  <c r="B40" i="6"/>
  <c r="B32" i="6"/>
  <c r="B37" i="6"/>
  <c r="B21" i="6"/>
  <c r="B12" i="6"/>
  <c r="B27" i="6"/>
  <c r="B11" i="6"/>
  <c r="B34" i="6"/>
  <c r="B26" i="6"/>
  <c r="B18" i="6"/>
  <c r="B35" i="6"/>
  <c r="B19" i="6"/>
  <c r="B10" i="6"/>
  <c r="B24" i="6"/>
  <c r="J8" i="6"/>
  <c r="D8" i="6"/>
  <c r="C8" i="6"/>
  <c r="F8" i="6"/>
  <c r="B16" i="6"/>
  <c r="B8" i="6" l="1"/>
</calcChain>
</file>

<file path=xl/sharedStrings.xml><?xml version="1.0" encoding="utf-8"?>
<sst xmlns="http://schemas.openxmlformats.org/spreadsheetml/2006/main" count="79" uniqueCount="67">
  <si>
    <t>Republic</t>
  </si>
  <si>
    <t>Male'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</si>
  <si>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</si>
  <si>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</si>
  <si>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</si>
  <si>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</si>
  <si>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</si>
  <si>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</si>
  <si>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</si>
  <si>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</si>
  <si>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</si>
  <si>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Atolls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</si>
  <si>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</si>
  <si>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</si>
  <si>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</si>
  <si>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</si>
  <si>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</si>
  <si>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</si>
  <si>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</si>
  <si>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</si>
  <si>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</si>
  <si>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</si>
  <si>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</si>
  <si>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</si>
  <si>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</si>
  <si>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</si>
  <si>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</si>
  <si>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</si>
  <si>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</si>
  <si>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</si>
  <si>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</si>
  <si>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</si>
  <si>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</si>
  <si>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</si>
  <si>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</si>
  <si>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</si>
  <si>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</si>
  <si>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</si>
  <si>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</si>
  <si>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</si>
  <si>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</si>
  <si>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</si>
  <si>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</si>
  <si>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</si>
  <si>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</si>
  <si>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VAAIZ</t>
  </si>
  <si>
    <t>GENERAL MEDICAL DOCTORS</t>
  </si>
  <si>
    <t>SPECIALIST MEDICAL PRACTITIONER</t>
  </si>
  <si>
    <t>PSYCHOLOGISTS</t>
  </si>
  <si>
    <t>FOREIGN SERVICE</t>
  </si>
  <si>
    <t xml:space="preserve"> </t>
  </si>
  <si>
    <t>Chief Excecutive, Utility Regulatory Authority</t>
  </si>
  <si>
    <t>COUNCIL OFFICERS</t>
  </si>
  <si>
    <t>EDUCATION DEVELOPMENT OFFICERS</t>
  </si>
  <si>
    <t>ELEMENTARY OCCUPATIONS (IMMIGRATION SECTOR) (TRANSPORT SERVICE ASSISTANTS)</t>
  </si>
  <si>
    <t>ELEMENTARY OCCUPATIONS (IMMIGRATION SECTOR)(SUPPORT SERVICE ASSISTANTS)</t>
  </si>
  <si>
    <t>FINANCE AND ACCOUNTING</t>
  </si>
  <si>
    <t>Foreign Service (Administration)</t>
  </si>
  <si>
    <t>Foreign Service (Core Function)</t>
  </si>
  <si>
    <t>Foreign Service (Corporate Function-Technical)</t>
  </si>
  <si>
    <t>FINANCE MINISTRY - TECHNICAL</t>
  </si>
  <si>
    <t>FINANCE MINISTRY- ADMINISTRATIVE</t>
  </si>
  <si>
    <t>LABOUR RELATIONS AUTHORITY (TECHNICAL)</t>
  </si>
  <si>
    <t>METEOROLOGICAL DIRECTORS (METEOROLOGY)</t>
  </si>
  <si>
    <t>MEDICAL ASSISTANT</t>
  </si>
  <si>
    <t>Table 5.7: CIVIL SERVANTS CLASSIFIED BY OCCUPATION AND  SEX, 2021</t>
  </si>
  <si>
    <t>ތާވަލު 5.7: އަދާކުރާ ވަޒީފާގެ ގޮތުން ސިވިލް ސަރވަންޓުން ބެހިފައިވާ ގޮތް އަދި ޖިންސް،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</si>
</sst>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-* #,##0\ _ރ_._-;_-* #,##0\ _ރ_.\-;_-* &quot;-&quot;??\ _ރ_.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43" fontId="4" fillId="0" borderId="0" applyFont="0" applyFill="0" applyBorder="0" applyAlignment="0" applyProtection="0"/>
    <xf numFmtId="0" fontId="12" fillId="0" borderId="0"/>
    <xf numFmtId="0" fontId="4" fillId="0" borderId="0"/>
  </cellStyleXfs>
  <cellXfs count="3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right" vertical="center" readingOrder="2"/>
    </xf>
    <xf numFmtId="165" fontId="5" fillId="2" borderId="2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3" fontId="7" fillId="2" borderId="2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165" fontId="5" fillId="2" borderId="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3" fontId="0" fillId="2" borderId="2" xfId="0" applyNumberFormat="1" applyFill="1" applyBorder="1"/>
    <xf numFmtId="0" fontId="9" fillId="3" borderId="0" xfId="0" applyFont="1" applyFill="1"/>
    <xf numFmtId="0" fontId="13" fillId="3" borderId="0" xfId="0" applyFont="1" applyFill="1"/>
    <xf numFmtId="3" fontId="9" fillId="3" borderId="0" xfId="0" applyNumberFormat="1" applyFont="1" applyFill="1"/>
    <xf numFmtId="3" fontId="15" fillId="3" borderId="0" xfId="0" applyNumberFormat="1" applyFont="1" applyFill="1" applyAlignment="1">
      <alignment horizontal="right" vertical="center"/>
    </xf>
    <xf numFmtId="0" fontId="14" fillId="3" borderId="3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16" fillId="2" borderId="0" xfId="0" applyFont="1" applyFill="1"/>
    <xf numFmtId="0" fontId="0" fillId="2" borderId="0" xfId="0" applyFill="1" applyAlignment="1">
      <alignment horizontal="left" vertical="center" wrapText="1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5" fillId="2" borderId="4" xfId="1" applyNumberFormat="1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3" xfId="5" xr:uid="{00000000-0005-0000-0000-000002000000}"/>
    <cellStyle name="Normal" xfId="0" builtinId="0"/>
    <cellStyle name="Normal 11" xfId="6" xr:uid="{00000000-0005-0000-0000-000004000000}"/>
    <cellStyle name="Normal 2" xfId="2" xr:uid="{00000000-0005-0000-0000-000005000000}"/>
    <cellStyle name="Normal 4" xfId="3" xr:uid="{00000000-0005-0000-0000-000006000000}"/>
    <cellStyle name="Normal 5" xfId="4" xr:uid="{00000000-0005-0000-0000-000007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21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5931686621364114"/>
          <c:y val="0.13480420652116473"/>
          <c:w val="0.49457663682450653"/>
          <c:h val="0.82157726928429264"/>
        </c:manualLayout>
      </c:layout>
      <c:pie3DChart>
        <c:varyColors val="1"/>
        <c:ser>
          <c:idx val="0"/>
          <c:order val="0"/>
          <c:spPr>
            <a:solidFill>
              <a:srgbClr val="C00000"/>
            </a:solidFill>
          </c:spPr>
          <c:explosion val="10"/>
          <c:dPt>
            <c:idx val="0"/>
            <c:bubble3D val="0"/>
            <c:spPr>
              <a:solidFill>
                <a:srgbClr val="FFABAB"/>
              </a:solidFill>
            </c:spPr>
            <c:extLst>
              <c:ext xmlns:c16="http://schemas.microsoft.com/office/drawing/2014/chart" uri="{C3380CC4-5D6E-409C-BE32-E72D297353CC}">
                <c16:uniqueId val="{00000001-4EA7-43F5-9DF4-7543FC78B8B0}"/>
              </c:ext>
            </c:extLst>
          </c:dPt>
          <c:dPt>
            <c:idx val="1"/>
            <c:bubble3D val="0"/>
            <c:explosion val="0"/>
            <c:extLst>
              <c:ext xmlns:c16="http://schemas.microsoft.com/office/drawing/2014/chart" uri="{C3380CC4-5D6E-409C-BE32-E72D297353CC}">
                <c16:uniqueId val="{00000003-4EA7-43F5-9DF4-7543FC78B8B0}"/>
              </c:ext>
            </c:extLst>
          </c:dPt>
          <c:dLbls>
            <c:dLbl>
              <c:idx val="0"/>
              <c:layout>
                <c:manualLayout>
                  <c:x val="-0.11201293884175532"/>
                  <c:y val="-5.85524100894611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301842345601299E-2"/>
                      <c:h val="0.169888301785833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EA7-43F5-9DF4-7543FC78B8B0}"/>
                </c:ext>
              </c:extLst>
            </c:dLbl>
            <c:dLbl>
              <c:idx val="1"/>
              <c:layout>
                <c:manualLayout>
                  <c:x val="0.12798472644291056"/>
                  <c:y val="-5.54005157823516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A7-43F5-9DF4-7543FC78B8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'5.7'!$C$7:$D$7</c:f>
              <c:strCache>
                <c:ptCount val="2"/>
                <c:pt idx="0">
                  <c:v> Male </c:v>
                </c:pt>
                <c:pt idx="1">
                  <c:v> Female </c:v>
                </c:pt>
              </c:strCache>
            </c:strRef>
          </c:cat>
          <c:val>
            <c:numRef>
              <c:f>'5.7'!$C$8:$D$8</c:f>
              <c:numCache>
                <c:formatCode>#,##0</c:formatCode>
                <c:ptCount val="2"/>
                <c:pt idx="0">
                  <c:v>9695</c:v>
                </c:pt>
                <c:pt idx="1">
                  <c:v>17139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7-43F5-9DF4-7543FC78B8B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rgbClr val="FFEFEF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1381124</xdr:colOff>
      <xdr:row>62</xdr:row>
      <xdr:rowOff>133350</xdr:rowOff>
    </xdr:from>
    <xdr:to>
      <xdr:col>8</xdr:col>
      <xdr:colOff>104774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5.9: Percentage of 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civil </a:t>
          </a:r>
          <a:r>
            <a:rPr lang="en-US" sz="1100" b="1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servants by sex, 2021</a:t>
          </a:r>
          <a:endParaRPr lang="en-US" sz="1100" b="1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C66"/>
  <sheetViews>
    <sheetView tabSelected="1" zoomScaleNormal="100" workbookViewId="0">
      <selection activeCell="AC60" sqref="AC60"/>
    </sheetView>
  </sheetViews>
  <sheetFormatPr defaultRowHeight="15" x14ac:dyDescent="0.25"/>
  <cols>
    <col min="1" max="1" width="50" style="1" customWidth="1"/>
    <col min="2" max="2" width="10.85546875" style="1" customWidth="1"/>
    <col min="3" max="3" width="9.28515625" style="1" customWidth="1"/>
    <col min="4" max="4" width="9.140625" style="1"/>
    <col min="5" max="5" width="2" style="1" customWidth="1"/>
    <col min="6" max="6" width="9.140625" style="1"/>
    <col min="7" max="7" width="9.140625" style="1" bestFit="1" customWidth="1"/>
    <col min="8" max="8" width="9.140625" style="1"/>
    <col min="9" max="9" width="1.7109375" style="1" customWidth="1"/>
    <col min="10" max="10" width="10" style="1" customWidth="1"/>
    <col min="11" max="11" width="9.140625" style="1" bestFit="1" customWidth="1"/>
    <col min="12" max="12" width="9.140625" style="1"/>
    <col min="13" max="13" width="2.42578125" style="1" customWidth="1"/>
    <col min="14" max="15" width="5.85546875" style="1" customWidth="1"/>
    <col min="16" max="29" width="3.7109375" style="1" customWidth="1"/>
    <col min="30" max="16384" width="9.140625" style="1"/>
  </cols>
  <sheetData>
    <row r="2" spans="1:13" ht="21" x14ac:dyDescent="0.55000000000000004">
      <c r="A2" s="29" t="s">
        <v>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x14ac:dyDescent="0.25">
      <c r="A3" s="30" t="s">
        <v>65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10"/>
    </row>
    <row r="4" spans="1:13" ht="5.25" customHeight="1" x14ac:dyDescent="0.25"/>
    <row r="5" spans="1:13" x14ac:dyDescent="0.25">
      <c r="A5" s="12"/>
      <c r="B5" s="31" t="s">
        <v>0</v>
      </c>
      <c r="C5" s="31"/>
      <c r="D5" s="31"/>
      <c r="E5" s="13"/>
      <c r="F5" s="31" t="s">
        <v>1</v>
      </c>
      <c r="G5" s="31"/>
      <c r="H5" s="31"/>
      <c r="I5" s="13"/>
      <c r="J5" s="31" t="s">
        <v>11</v>
      </c>
      <c r="K5" s="31"/>
      <c r="L5" s="31"/>
    </row>
    <row r="6" spans="1:13" ht="18.75" x14ac:dyDescent="0.25">
      <c r="A6" s="14"/>
      <c r="B6" s="3" t="s">
        <v>2</v>
      </c>
      <c r="C6" s="3" t="s">
        <v>3</v>
      </c>
      <c r="D6" s="3" t="s">
        <v>4</v>
      </c>
      <c r="E6" s="3"/>
      <c r="F6" s="3" t="s">
        <v>2</v>
      </c>
      <c r="G6" s="3" t="s">
        <v>3</v>
      </c>
      <c r="H6" s="3" t="s">
        <v>4</v>
      </c>
      <c r="I6" s="3"/>
      <c r="J6" s="3" t="s">
        <v>2</v>
      </c>
      <c r="K6" s="3" t="s">
        <v>3</v>
      </c>
      <c r="L6" s="3" t="s">
        <v>4</v>
      </c>
    </row>
    <row r="7" spans="1:13" x14ac:dyDescent="0.25">
      <c r="A7" s="15"/>
      <c r="B7" s="4" t="s">
        <v>5</v>
      </c>
      <c r="C7" s="4" t="s">
        <v>6</v>
      </c>
      <c r="D7" s="4" t="s">
        <v>7</v>
      </c>
      <c r="E7" s="4"/>
      <c r="F7" s="4" t="s">
        <v>5</v>
      </c>
      <c r="G7" s="4" t="s">
        <v>6</v>
      </c>
      <c r="H7" s="4" t="s">
        <v>7</v>
      </c>
      <c r="I7" s="4"/>
      <c r="J7" s="4" t="s">
        <v>5</v>
      </c>
      <c r="K7" s="4" t="s">
        <v>6</v>
      </c>
      <c r="L7" s="4" t="s">
        <v>7</v>
      </c>
    </row>
    <row r="8" spans="1:13" x14ac:dyDescent="0.25">
      <c r="A8" s="24" t="s">
        <v>8</v>
      </c>
      <c r="B8" s="5">
        <f>F8+J8</f>
        <v>26834</v>
      </c>
      <c r="C8" s="5">
        <f t="shared" ref="C8:D8" si="0">G8+K8</f>
        <v>9695</v>
      </c>
      <c r="D8" s="5">
        <f t="shared" si="0"/>
        <v>17139</v>
      </c>
      <c r="E8" s="5"/>
      <c r="F8" s="5">
        <f>SUM(G8:H8)</f>
        <v>9683</v>
      </c>
      <c r="G8" s="5">
        <f>SUM(G9:G60)</f>
        <v>3547</v>
      </c>
      <c r="H8" s="5">
        <f>SUM(H9:H60)</f>
        <v>6136</v>
      </c>
      <c r="I8" s="5"/>
      <c r="J8" s="5">
        <f>SUM(K8:L8)</f>
        <v>17151</v>
      </c>
      <c r="K8" s="5">
        <f>SUM(K9:K60)</f>
        <v>6148</v>
      </c>
      <c r="L8" s="5">
        <f>SUM(L9:L60)</f>
        <v>11003</v>
      </c>
    </row>
    <row r="9" spans="1:13" x14ac:dyDescent="0.25">
      <c r="A9" s="17" t="s">
        <v>12</v>
      </c>
      <c r="B9" s="5">
        <f t="shared" ref="B9:B41" si="1">F9+J9</f>
        <v>415</v>
      </c>
      <c r="C9" s="6">
        <f t="shared" ref="C9:C41" si="2">G9+K9</f>
        <v>140</v>
      </c>
      <c r="D9" s="6">
        <f t="shared" ref="D9:D41" si="3">H9+L9</f>
        <v>275</v>
      </c>
      <c r="E9" s="9"/>
      <c r="F9" s="5">
        <f t="shared" ref="F9:F44" si="4">SUM(G9:H9)</f>
        <v>198</v>
      </c>
      <c r="G9" s="25">
        <v>49</v>
      </c>
      <c r="H9" s="25">
        <v>149</v>
      </c>
      <c r="I9" s="9"/>
      <c r="J9" s="5">
        <f t="shared" ref="J9:J44" si="5">SUM(K9:L9)</f>
        <v>217</v>
      </c>
      <c r="K9" s="25">
        <v>91</v>
      </c>
      <c r="L9" s="25">
        <v>126</v>
      </c>
    </row>
    <row r="10" spans="1:13" x14ac:dyDescent="0.25">
      <c r="A10" s="17" t="s">
        <v>13</v>
      </c>
      <c r="B10" s="5">
        <f t="shared" si="1"/>
        <v>4207</v>
      </c>
      <c r="C10" s="6">
        <f t="shared" si="2"/>
        <v>1454</v>
      </c>
      <c r="D10" s="6">
        <f t="shared" si="3"/>
        <v>2753</v>
      </c>
      <c r="E10" s="9"/>
      <c r="F10" s="5">
        <f t="shared" si="4"/>
        <v>1789</v>
      </c>
      <c r="G10" s="25">
        <v>570</v>
      </c>
      <c r="H10" s="25">
        <v>1219</v>
      </c>
      <c r="I10" s="9"/>
      <c r="J10" s="5">
        <f t="shared" si="5"/>
        <v>2418</v>
      </c>
      <c r="K10" s="25">
        <v>884</v>
      </c>
      <c r="L10" s="25">
        <v>1534</v>
      </c>
    </row>
    <row r="11" spans="1:13" x14ac:dyDescent="0.25">
      <c r="A11" s="17" t="s">
        <v>14</v>
      </c>
      <c r="B11" s="5">
        <f t="shared" si="1"/>
        <v>35</v>
      </c>
      <c r="C11" s="6">
        <f t="shared" si="2"/>
        <v>13</v>
      </c>
      <c r="D11" s="6">
        <f t="shared" si="3"/>
        <v>22</v>
      </c>
      <c r="E11" s="9"/>
      <c r="F11" s="5">
        <f t="shared" si="4"/>
        <v>35</v>
      </c>
      <c r="G11" s="25">
        <v>13</v>
      </c>
      <c r="H11" s="25">
        <v>22</v>
      </c>
      <c r="I11" s="9"/>
      <c r="J11" s="5">
        <f t="shared" si="5"/>
        <v>0</v>
      </c>
      <c r="K11" s="25">
        <v>0</v>
      </c>
      <c r="L11" s="25">
        <v>0</v>
      </c>
    </row>
    <row r="12" spans="1:13" x14ac:dyDescent="0.25">
      <c r="A12" s="17" t="s">
        <v>15</v>
      </c>
      <c r="B12" s="5">
        <f t="shared" si="1"/>
        <v>0</v>
      </c>
      <c r="C12" s="6">
        <f t="shared" si="2"/>
        <v>0</v>
      </c>
      <c r="D12" s="6">
        <f t="shared" si="3"/>
        <v>0</v>
      </c>
      <c r="E12" s="9"/>
      <c r="F12" s="5">
        <f t="shared" si="4"/>
        <v>0</v>
      </c>
      <c r="G12" s="25">
        <v>0</v>
      </c>
      <c r="H12" s="25">
        <v>0</v>
      </c>
      <c r="I12" s="9"/>
      <c r="J12" s="5">
        <f t="shared" si="5"/>
        <v>0</v>
      </c>
      <c r="K12" s="25">
        <v>0</v>
      </c>
      <c r="L12" s="25">
        <v>0</v>
      </c>
    </row>
    <row r="13" spans="1:13" x14ac:dyDescent="0.25">
      <c r="A13" s="17" t="s">
        <v>16</v>
      </c>
      <c r="B13" s="5">
        <f t="shared" si="1"/>
        <v>596</v>
      </c>
      <c r="C13" s="6">
        <f t="shared" si="2"/>
        <v>427</v>
      </c>
      <c r="D13" s="6">
        <f t="shared" si="3"/>
        <v>169</v>
      </c>
      <c r="E13" s="9"/>
      <c r="F13" s="5">
        <f t="shared" si="4"/>
        <v>596</v>
      </c>
      <c r="G13" s="25">
        <v>427</v>
      </c>
      <c r="H13" s="25">
        <v>169</v>
      </c>
      <c r="I13" s="9"/>
      <c r="J13" s="5">
        <f t="shared" si="5"/>
        <v>0</v>
      </c>
      <c r="K13" s="25">
        <v>0</v>
      </c>
      <c r="L13" s="25">
        <v>0</v>
      </c>
    </row>
    <row r="14" spans="1:13" x14ac:dyDescent="0.25">
      <c r="A14" s="17" t="s">
        <v>17</v>
      </c>
      <c r="B14" s="5">
        <f t="shared" si="1"/>
        <v>17</v>
      </c>
      <c r="C14" s="6">
        <f t="shared" si="2"/>
        <v>4</v>
      </c>
      <c r="D14" s="6">
        <f t="shared" si="3"/>
        <v>13</v>
      </c>
      <c r="E14" s="9"/>
      <c r="F14" s="5">
        <f t="shared" si="4"/>
        <v>17</v>
      </c>
      <c r="G14" s="25">
        <v>4</v>
      </c>
      <c r="H14" s="25">
        <v>13</v>
      </c>
      <c r="I14" s="9"/>
      <c r="J14" s="5">
        <f t="shared" si="5"/>
        <v>0</v>
      </c>
      <c r="K14" s="25">
        <v>0</v>
      </c>
      <c r="L14" s="25">
        <v>0</v>
      </c>
    </row>
    <row r="15" spans="1:13" x14ac:dyDescent="0.25">
      <c r="A15" s="17" t="s">
        <v>18</v>
      </c>
      <c r="B15" s="5">
        <f t="shared" si="1"/>
        <v>3366</v>
      </c>
      <c r="C15" s="6">
        <f t="shared" si="2"/>
        <v>950</v>
      </c>
      <c r="D15" s="6">
        <f t="shared" si="3"/>
        <v>2416</v>
      </c>
      <c r="E15" s="9"/>
      <c r="F15" s="5">
        <f t="shared" si="4"/>
        <v>1038</v>
      </c>
      <c r="G15" s="25">
        <v>385</v>
      </c>
      <c r="H15" s="25">
        <v>653</v>
      </c>
      <c r="I15" s="9"/>
      <c r="J15" s="5">
        <f t="shared" si="5"/>
        <v>2328</v>
      </c>
      <c r="K15" s="25">
        <v>565</v>
      </c>
      <c r="L15" s="25">
        <v>1763</v>
      </c>
    </row>
    <row r="16" spans="1:13" x14ac:dyDescent="0.25">
      <c r="A16" s="17" t="s">
        <v>19</v>
      </c>
      <c r="B16" s="5">
        <f t="shared" si="1"/>
        <v>292</v>
      </c>
      <c r="C16" s="6">
        <f t="shared" si="2"/>
        <v>124</v>
      </c>
      <c r="D16" s="6">
        <f t="shared" si="3"/>
        <v>168</v>
      </c>
      <c r="E16" s="9"/>
      <c r="F16" s="5">
        <f t="shared" si="4"/>
        <v>83</v>
      </c>
      <c r="G16" s="25">
        <v>39</v>
      </c>
      <c r="H16" s="25">
        <v>44</v>
      </c>
      <c r="I16" s="9"/>
      <c r="J16" s="5">
        <f t="shared" si="5"/>
        <v>209</v>
      </c>
      <c r="K16" s="25">
        <v>85</v>
      </c>
      <c r="L16" s="25">
        <v>124</v>
      </c>
    </row>
    <row r="17" spans="1:12" x14ac:dyDescent="0.25">
      <c r="A17" s="17" t="s">
        <v>20</v>
      </c>
      <c r="B17" s="5">
        <f t="shared" si="1"/>
        <v>0</v>
      </c>
      <c r="C17" s="6">
        <f t="shared" si="2"/>
        <v>0</v>
      </c>
      <c r="D17" s="6">
        <f t="shared" si="3"/>
        <v>0</v>
      </c>
      <c r="E17" s="9"/>
      <c r="F17" s="5">
        <f t="shared" si="4"/>
        <v>0</v>
      </c>
      <c r="G17" s="25">
        <v>0</v>
      </c>
      <c r="H17" s="25">
        <v>0</v>
      </c>
      <c r="I17" s="9"/>
      <c r="J17" s="5">
        <f t="shared" si="5"/>
        <v>0</v>
      </c>
      <c r="K17" s="25">
        <v>0</v>
      </c>
      <c r="L17" s="25">
        <v>0</v>
      </c>
    </row>
    <row r="18" spans="1:12" x14ac:dyDescent="0.25">
      <c r="A18" s="17" t="s">
        <v>21</v>
      </c>
      <c r="B18" s="5">
        <f t="shared" si="1"/>
        <v>16</v>
      </c>
      <c r="C18" s="6">
        <f t="shared" si="2"/>
        <v>9</v>
      </c>
      <c r="D18" s="6">
        <f t="shared" si="3"/>
        <v>7</v>
      </c>
      <c r="E18" s="9"/>
      <c r="F18" s="5">
        <f t="shared" si="4"/>
        <v>9</v>
      </c>
      <c r="G18" s="25">
        <v>4</v>
      </c>
      <c r="H18" s="25">
        <v>5</v>
      </c>
      <c r="I18" s="9"/>
      <c r="J18" s="5">
        <f t="shared" si="5"/>
        <v>7</v>
      </c>
      <c r="K18" s="25">
        <v>5</v>
      </c>
      <c r="L18" s="25">
        <v>2</v>
      </c>
    </row>
    <row r="19" spans="1:12" x14ac:dyDescent="0.25">
      <c r="A19" s="17" t="s">
        <v>22</v>
      </c>
      <c r="B19" s="5">
        <f t="shared" si="1"/>
        <v>9</v>
      </c>
      <c r="C19" s="6">
        <f t="shared" si="2"/>
        <v>6</v>
      </c>
      <c r="D19" s="6">
        <f t="shared" si="3"/>
        <v>3</v>
      </c>
      <c r="E19" s="9"/>
      <c r="F19" s="5">
        <f t="shared" si="4"/>
        <v>4</v>
      </c>
      <c r="G19" s="25">
        <v>2</v>
      </c>
      <c r="H19" s="25">
        <v>2</v>
      </c>
      <c r="I19" s="9"/>
      <c r="J19" s="5">
        <f t="shared" si="5"/>
        <v>5</v>
      </c>
      <c r="K19" s="25">
        <v>4</v>
      </c>
      <c r="L19" s="25">
        <v>1</v>
      </c>
    </row>
    <row r="20" spans="1:12" x14ac:dyDescent="0.25">
      <c r="A20" s="17" t="s">
        <v>23</v>
      </c>
      <c r="B20" s="5">
        <f t="shared" si="1"/>
        <v>259</v>
      </c>
      <c r="C20" s="6">
        <f t="shared" si="2"/>
        <v>158</v>
      </c>
      <c r="D20" s="6">
        <f t="shared" si="3"/>
        <v>101</v>
      </c>
      <c r="E20" s="9"/>
      <c r="F20" s="5">
        <f t="shared" si="4"/>
        <v>87</v>
      </c>
      <c r="G20" s="25">
        <v>27</v>
      </c>
      <c r="H20" s="25">
        <v>60</v>
      </c>
      <c r="I20" s="9"/>
      <c r="J20" s="5">
        <f t="shared" si="5"/>
        <v>172</v>
      </c>
      <c r="K20" s="25">
        <v>131</v>
      </c>
      <c r="L20" s="25">
        <v>41</v>
      </c>
    </row>
    <row r="21" spans="1:12" x14ac:dyDescent="0.25">
      <c r="A21" s="17" t="s">
        <v>24</v>
      </c>
      <c r="B21" s="5">
        <f t="shared" si="1"/>
        <v>66</v>
      </c>
      <c r="C21" s="6">
        <f t="shared" si="2"/>
        <v>43</v>
      </c>
      <c r="D21" s="6">
        <f t="shared" si="3"/>
        <v>23</v>
      </c>
      <c r="E21" s="9"/>
      <c r="F21" s="5">
        <f t="shared" si="4"/>
        <v>61</v>
      </c>
      <c r="G21" s="25">
        <v>40</v>
      </c>
      <c r="H21" s="25">
        <v>21</v>
      </c>
      <c r="I21" s="9"/>
      <c r="J21" s="5">
        <f t="shared" si="5"/>
        <v>5</v>
      </c>
      <c r="K21" s="25">
        <v>3</v>
      </c>
      <c r="L21" s="25">
        <v>2</v>
      </c>
    </row>
    <row r="22" spans="1:12" x14ac:dyDescent="0.25">
      <c r="A22" s="17" t="s">
        <v>25</v>
      </c>
      <c r="B22" s="5">
        <f t="shared" si="1"/>
        <v>280</v>
      </c>
      <c r="C22" s="6">
        <f t="shared" si="2"/>
        <v>165</v>
      </c>
      <c r="D22" s="6">
        <f t="shared" si="3"/>
        <v>115</v>
      </c>
      <c r="E22" s="9"/>
      <c r="F22" s="5">
        <f t="shared" si="4"/>
        <v>280</v>
      </c>
      <c r="G22" s="25">
        <v>165</v>
      </c>
      <c r="H22" s="25">
        <v>115</v>
      </c>
      <c r="I22" s="9"/>
      <c r="J22" s="5">
        <f t="shared" si="5"/>
        <v>0</v>
      </c>
      <c r="K22" s="25">
        <v>0</v>
      </c>
      <c r="L22" s="25">
        <v>0</v>
      </c>
    </row>
    <row r="23" spans="1:12" x14ac:dyDescent="0.25">
      <c r="A23" s="17" t="s">
        <v>26</v>
      </c>
      <c r="B23" s="5">
        <f t="shared" si="1"/>
        <v>243</v>
      </c>
      <c r="C23" s="6">
        <f t="shared" si="2"/>
        <v>197</v>
      </c>
      <c r="D23" s="6">
        <f t="shared" si="3"/>
        <v>46</v>
      </c>
      <c r="E23" s="9"/>
      <c r="F23" s="5">
        <f t="shared" si="4"/>
        <v>127</v>
      </c>
      <c r="G23" s="25">
        <v>97</v>
      </c>
      <c r="H23" s="25">
        <v>30</v>
      </c>
      <c r="I23" s="9"/>
      <c r="J23" s="5">
        <f t="shared" si="5"/>
        <v>116</v>
      </c>
      <c r="K23" s="25">
        <v>100</v>
      </c>
      <c r="L23" s="25">
        <v>16</v>
      </c>
    </row>
    <row r="24" spans="1:12" x14ac:dyDescent="0.25">
      <c r="A24" s="17" t="s">
        <v>27</v>
      </c>
      <c r="B24" s="5">
        <f t="shared" si="1"/>
        <v>326</v>
      </c>
      <c r="C24" s="6">
        <f t="shared" si="2"/>
        <v>82</v>
      </c>
      <c r="D24" s="6">
        <f t="shared" si="3"/>
        <v>244</v>
      </c>
      <c r="E24" s="9"/>
      <c r="F24" s="5">
        <f t="shared" si="4"/>
        <v>127</v>
      </c>
      <c r="G24" s="25">
        <v>16</v>
      </c>
      <c r="H24" s="25">
        <v>111</v>
      </c>
      <c r="I24" s="9"/>
      <c r="J24" s="5">
        <f t="shared" si="5"/>
        <v>199</v>
      </c>
      <c r="K24" s="25">
        <v>66</v>
      </c>
      <c r="L24" s="25">
        <v>133</v>
      </c>
    </row>
    <row r="25" spans="1:12" x14ac:dyDescent="0.25">
      <c r="A25" s="17" t="s">
        <v>28</v>
      </c>
      <c r="B25" s="5">
        <f t="shared" si="1"/>
        <v>63</v>
      </c>
      <c r="C25" s="6">
        <f t="shared" si="2"/>
        <v>23</v>
      </c>
      <c r="D25" s="6">
        <f t="shared" si="3"/>
        <v>40</v>
      </c>
      <c r="E25" s="9"/>
      <c r="F25" s="5">
        <f t="shared" si="4"/>
        <v>57</v>
      </c>
      <c r="G25" s="25">
        <v>20</v>
      </c>
      <c r="H25" s="25">
        <v>37</v>
      </c>
      <c r="I25" s="9"/>
      <c r="J25" s="5">
        <f t="shared" si="5"/>
        <v>6</v>
      </c>
      <c r="K25" s="25">
        <v>3</v>
      </c>
      <c r="L25" s="25">
        <v>3</v>
      </c>
    </row>
    <row r="26" spans="1:12" x14ac:dyDescent="0.25">
      <c r="A26" s="17" t="s">
        <v>29</v>
      </c>
      <c r="B26" s="5">
        <f t="shared" si="1"/>
        <v>23</v>
      </c>
      <c r="C26" s="6">
        <f t="shared" si="2"/>
        <v>21</v>
      </c>
      <c r="D26" s="6">
        <f t="shared" si="3"/>
        <v>2</v>
      </c>
      <c r="E26" s="9"/>
      <c r="F26" s="5">
        <f t="shared" si="4"/>
        <v>23</v>
      </c>
      <c r="G26" s="25">
        <v>21</v>
      </c>
      <c r="H26" s="25">
        <v>2</v>
      </c>
      <c r="I26" s="9"/>
      <c r="J26" s="5">
        <f t="shared" si="5"/>
        <v>0</v>
      </c>
      <c r="K26" s="25">
        <v>0</v>
      </c>
      <c r="L26" s="25">
        <v>0</v>
      </c>
    </row>
    <row r="27" spans="1:12" x14ac:dyDescent="0.25">
      <c r="A27" s="18" t="s">
        <v>30</v>
      </c>
      <c r="B27" s="5">
        <f t="shared" si="1"/>
        <v>6</v>
      </c>
      <c r="C27" s="6">
        <f t="shared" si="2"/>
        <v>6</v>
      </c>
      <c r="D27" s="6">
        <f t="shared" si="3"/>
        <v>0</v>
      </c>
      <c r="E27" s="9"/>
      <c r="F27" s="5">
        <f t="shared" si="4"/>
        <v>6</v>
      </c>
      <c r="G27" s="25">
        <v>6</v>
      </c>
      <c r="H27" s="25">
        <v>0</v>
      </c>
      <c r="I27" s="9"/>
      <c r="J27" s="5">
        <f t="shared" si="5"/>
        <v>0</v>
      </c>
      <c r="K27" s="25">
        <v>0</v>
      </c>
      <c r="L27" s="25">
        <v>0</v>
      </c>
    </row>
    <row r="28" spans="1:12" x14ac:dyDescent="0.25">
      <c r="A28" s="17" t="s">
        <v>31</v>
      </c>
      <c r="B28" s="5">
        <f t="shared" si="1"/>
        <v>67</v>
      </c>
      <c r="C28" s="6">
        <f t="shared" si="2"/>
        <v>47</v>
      </c>
      <c r="D28" s="6">
        <f t="shared" si="3"/>
        <v>20</v>
      </c>
      <c r="E28" s="9"/>
      <c r="F28" s="5">
        <f t="shared" si="4"/>
        <v>67</v>
      </c>
      <c r="G28" s="25">
        <v>47</v>
      </c>
      <c r="H28" s="25">
        <v>20</v>
      </c>
      <c r="I28" s="9"/>
      <c r="J28" s="5">
        <f t="shared" si="5"/>
        <v>0</v>
      </c>
      <c r="K28" s="25">
        <v>0</v>
      </c>
      <c r="L28" s="25">
        <v>0</v>
      </c>
    </row>
    <row r="29" spans="1:12" x14ac:dyDescent="0.25">
      <c r="A29" s="17" t="s">
        <v>32</v>
      </c>
      <c r="B29" s="5">
        <f t="shared" si="1"/>
        <v>547</v>
      </c>
      <c r="C29" s="6">
        <f t="shared" si="2"/>
        <v>494</v>
      </c>
      <c r="D29" s="6">
        <f t="shared" si="3"/>
        <v>53</v>
      </c>
      <c r="E29" s="9"/>
      <c r="F29" s="5">
        <f t="shared" si="4"/>
        <v>546</v>
      </c>
      <c r="G29" s="25">
        <v>494</v>
      </c>
      <c r="H29" s="25">
        <v>52</v>
      </c>
      <c r="I29" s="9"/>
      <c r="J29" s="5">
        <f t="shared" si="5"/>
        <v>1</v>
      </c>
      <c r="K29" s="25">
        <v>0</v>
      </c>
      <c r="L29" s="25">
        <v>1</v>
      </c>
    </row>
    <row r="30" spans="1:12" x14ac:dyDescent="0.25">
      <c r="A30" s="17" t="s">
        <v>33</v>
      </c>
      <c r="B30" s="5">
        <f t="shared" si="1"/>
        <v>44</v>
      </c>
      <c r="C30" s="6">
        <f t="shared" si="2"/>
        <v>21</v>
      </c>
      <c r="D30" s="6">
        <f t="shared" si="3"/>
        <v>23</v>
      </c>
      <c r="E30" s="9"/>
      <c r="F30" s="5">
        <f t="shared" si="4"/>
        <v>34</v>
      </c>
      <c r="G30" s="25">
        <v>12</v>
      </c>
      <c r="H30" s="25">
        <v>22</v>
      </c>
      <c r="I30" s="9"/>
      <c r="J30" s="5">
        <f t="shared" si="5"/>
        <v>10</v>
      </c>
      <c r="K30" s="25">
        <v>9</v>
      </c>
      <c r="L30" s="25">
        <v>1</v>
      </c>
    </row>
    <row r="31" spans="1:12" x14ac:dyDescent="0.25">
      <c r="A31" s="17" t="s">
        <v>34</v>
      </c>
      <c r="B31" s="5">
        <f t="shared" si="1"/>
        <v>2021</v>
      </c>
      <c r="C31" s="6">
        <f t="shared" si="2"/>
        <v>74</v>
      </c>
      <c r="D31" s="6">
        <f t="shared" si="3"/>
        <v>1947</v>
      </c>
      <c r="E31" s="9"/>
      <c r="F31" s="5">
        <f t="shared" si="4"/>
        <v>626</v>
      </c>
      <c r="G31" s="25">
        <v>8</v>
      </c>
      <c r="H31" s="25">
        <v>618</v>
      </c>
      <c r="I31" s="9"/>
      <c r="J31" s="5">
        <f t="shared" si="5"/>
        <v>1395</v>
      </c>
      <c r="K31" s="25">
        <v>66</v>
      </c>
      <c r="L31" s="25">
        <v>1329</v>
      </c>
    </row>
    <row r="32" spans="1:12" x14ac:dyDescent="0.25">
      <c r="A32" s="17" t="s">
        <v>35</v>
      </c>
      <c r="B32" s="5">
        <f t="shared" si="1"/>
        <v>178</v>
      </c>
      <c r="C32" s="6">
        <f t="shared" si="2"/>
        <v>40</v>
      </c>
      <c r="D32" s="6">
        <f t="shared" si="3"/>
        <v>138</v>
      </c>
      <c r="E32" s="9"/>
      <c r="F32" s="5">
        <f t="shared" si="4"/>
        <v>94</v>
      </c>
      <c r="G32" s="25">
        <v>13</v>
      </c>
      <c r="H32" s="25">
        <v>81</v>
      </c>
      <c r="I32" s="9"/>
      <c r="J32" s="5">
        <f t="shared" si="5"/>
        <v>84</v>
      </c>
      <c r="K32" s="25">
        <v>27</v>
      </c>
      <c r="L32" s="25">
        <v>57</v>
      </c>
    </row>
    <row r="33" spans="1:15" x14ac:dyDescent="0.25">
      <c r="A33" s="17" t="s">
        <v>36</v>
      </c>
      <c r="B33" s="5">
        <f t="shared" si="1"/>
        <v>7</v>
      </c>
      <c r="C33" s="6">
        <f t="shared" si="2"/>
        <v>5</v>
      </c>
      <c r="D33" s="6">
        <f t="shared" si="3"/>
        <v>2</v>
      </c>
      <c r="E33" s="9"/>
      <c r="F33" s="5">
        <f t="shared" si="4"/>
        <v>7</v>
      </c>
      <c r="G33" s="25">
        <v>5</v>
      </c>
      <c r="H33" s="25">
        <v>2</v>
      </c>
      <c r="I33" s="9"/>
      <c r="J33" s="5">
        <f t="shared" si="5"/>
        <v>0</v>
      </c>
      <c r="K33" s="25">
        <v>0</v>
      </c>
      <c r="L33" s="25">
        <v>0</v>
      </c>
    </row>
    <row r="34" spans="1:15" x14ac:dyDescent="0.25">
      <c r="A34" s="17" t="s">
        <v>37</v>
      </c>
      <c r="B34" s="5">
        <f t="shared" si="1"/>
        <v>436</v>
      </c>
      <c r="C34" s="6">
        <f t="shared" si="2"/>
        <v>411</v>
      </c>
      <c r="D34" s="6">
        <f t="shared" si="3"/>
        <v>25</v>
      </c>
      <c r="E34" s="9"/>
      <c r="F34" s="5">
        <f t="shared" si="4"/>
        <v>205</v>
      </c>
      <c r="G34" s="25">
        <v>182</v>
      </c>
      <c r="H34" s="25">
        <v>23</v>
      </c>
      <c r="I34" s="9"/>
      <c r="J34" s="5">
        <f t="shared" si="5"/>
        <v>231</v>
      </c>
      <c r="K34" s="25">
        <v>229</v>
      </c>
      <c r="L34" s="25">
        <v>2</v>
      </c>
    </row>
    <row r="35" spans="1:15" x14ac:dyDescent="0.25">
      <c r="A35" s="17" t="s">
        <v>38</v>
      </c>
      <c r="B35" s="5">
        <f t="shared" si="1"/>
        <v>533</v>
      </c>
      <c r="C35" s="6">
        <f t="shared" si="2"/>
        <v>173</v>
      </c>
      <c r="D35" s="6">
        <f t="shared" si="3"/>
        <v>360</v>
      </c>
      <c r="E35" s="9"/>
      <c r="F35" s="5">
        <f t="shared" si="4"/>
        <v>90</v>
      </c>
      <c r="G35" s="25">
        <v>35</v>
      </c>
      <c r="H35" s="25">
        <v>55</v>
      </c>
      <c r="I35" s="9"/>
      <c r="J35" s="5">
        <f t="shared" si="5"/>
        <v>443</v>
      </c>
      <c r="K35" s="25">
        <v>138</v>
      </c>
      <c r="L35" s="25">
        <v>305</v>
      </c>
    </row>
    <row r="36" spans="1:15" s="2" customFormat="1" x14ac:dyDescent="0.25">
      <c r="A36" s="17" t="s">
        <v>39</v>
      </c>
      <c r="B36" s="5">
        <f t="shared" si="1"/>
        <v>1</v>
      </c>
      <c r="C36" s="6">
        <f t="shared" si="2"/>
        <v>1</v>
      </c>
      <c r="D36" s="6">
        <f t="shared" si="3"/>
        <v>0</v>
      </c>
      <c r="E36" s="9"/>
      <c r="F36" s="5">
        <f t="shared" si="4"/>
        <v>1</v>
      </c>
      <c r="G36" s="25">
        <v>1</v>
      </c>
      <c r="H36" s="25">
        <v>0</v>
      </c>
      <c r="I36" s="9"/>
      <c r="J36" s="5">
        <f t="shared" si="5"/>
        <v>0</v>
      </c>
      <c r="K36" s="25">
        <v>0</v>
      </c>
      <c r="L36" s="25">
        <v>0</v>
      </c>
      <c r="M36" s="1"/>
      <c r="O36" s="1"/>
    </row>
    <row r="37" spans="1:15" x14ac:dyDescent="0.25">
      <c r="A37" s="17" t="s">
        <v>40</v>
      </c>
      <c r="B37" s="5">
        <f t="shared" si="1"/>
        <v>460</v>
      </c>
      <c r="C37" s="6">
        <f t="shared" si="2"/>
        <v>73</v>
      </c>
      <c r="D37" s="6">
        <f t="shared" si="3"/>
        <v>387</v>
      </c>
      <c r="E37" s="9"/>
      <c r="F37" s="5">
        <f t="shared" si="4"/>
        <v>318</v>
      </c>
      <c r="G37" s="25">
        <v>41</v>
      </c>
      <c r="H37" s="25">
        <v>277</v>
      </c>
      <c r="I37" s="9"/>
      <c r="J37" s="5">
        <f t="shared" si="5"/>
        <v>142</v>
      </c>
      <c r="K37" s="25">
        <v>32</v>
      </c>
      <c r="L37" s="25">
        <v>110</v>
      </c>
    </row>
    <row r="38" spans="1:15" x14ac:dyDescent="0.25">
      <c r="A38" s="17" t="s">
        <v>41</v>
      </c>
      <c r="B38" s="5">
        <f t="shared" si="1"/>
        <v>7206</v>
      </c>
      <c r="C38" s="6">
        <f t="shared" si="2"/>
        <v>1622</v>
      </c>
      <c r="D38" s="6">
        <f t="shared" si="3"/>
        <v>5584</v>
      </c>
      <c r="E38" s="9"/>
      <c r="F38" s="5">
        <f t="shared" si="4"/>
        <v>1795</v>
      </c>
      <c r="G38" s="25">
        <v>287</v>
      </c>
      <c r="H38" s="25">
        <v>1508</v>
      </c>
      <c r="I38" s="9"/>
      <c r="J38" s="5">
        <f t="shared" si="5"/>
        <v>5411</v>
      </c>
      <c r="K38" s="25">
        <v>1335</v>
      </c>
      <c r="L38" s="25">
        <v>4076</v>
      </c>
    </row>
    <row r="39" spans="1:15" x14ac:dyDescent="0.25">
      <c r="A39" s="17" t="s">
        <v>42</v>
      </c>
      <c r="B39" s="5">
        <f t="shared" si="1"/>
        <v>595</v>
      </c>
      <c r="C39" s="6">
        <f t="shared" si="2"/>
        <v>594</v>
      </c>
      <c r="D39" s="6">
        <f t="shared" si="3"/>
        <v>1</v>
      </c>
      <c r="E39" s="9"/>
      <c r="F39" s="5">
        <f t="shared" si="4"/>
        <v>104</v>
      </c>
      <c r="G39" s="25">
        <v>103</v>
      </c>
      <c r="H39" s="25">
        <v>1</v>
      </c>
      <c r="I39" s="9"/>
      <c r="J39" s="5">
        <f t="shared" si="5"/>
        <v>491</v>
      </c>
      <c r="K39" s="25">
        <v>491</v>
      </c>
      <c r="L39" s="25">
        <v>0</v>
      </c>
    </row>
    <row r="40" spans="1:15" x14ac:dyDescent="0.25">
      <c r="A40" s="17" t="s">
        <v>45</v>
      </c>
      <c r="B40" s="5">
        <f t="shared" si="1"/>
        <v>3</v>
      </c>
      <c r="C40" s="6">
        <f t="shared" si="2"/>
        <v>3</v>
      </c>
      <c r="D40" s="6">
        <f t="shared" si="3"/>
        <v>0</v>
      </c>
      <c r="E40" s="9"/>
      <c r="F40" s="5">
        <f t="shared" si="4"/>
        <v>3</v>
      </c>
      <c r="G40" s="25">
        <v>3</v>
      </c>
      <c r="H40" s="25">
        <v>0</v>
      </c>
      <c r="I40" s="9"/>
      <c r="J40" s="5">
        <f t="shared" si="5"/>
        <v>0</v>
      </c>
      <c r="K40" s="25">
        <v>0</v>
      </c>
      <c r="L40" s="25">
        <v>0</v>
      </c>
    </row>
    <row r="41" spans="1:15" x14ac:dyDescent="0.25">
      <c r="A41" s="17" t="s">
        <v>43</v>
      </c>
      <c r="B41" s="5">
        <f t="shared" si="1"/>
        <v>645</v>
      </c>
      <c r="C41" s="6">
        <f t="shared" si="2"/>
        <v>187</v>
      </c>
      <c r="D41" s="6">
        <f t="shared" si="3"/>
        <v>458</v>
      </c>
      <c r="E41" s="9"/>
      <c r="F41" s="5">
        <f t="shared" si="4"/>
        <v>556</v>
      </c>
      <c r="G41" s="25">
        <v>168</v>
      </c>
      <c r="H41" s="25">
        <v>388</v>
      </c>
      <c r="I41" s="9"/>
      <c r="J41" s="5">
        <f t="shared" si="5"/>
        <v>89</v>
      </c>
      <c r="K41" s="25">
        <v>19</v>
      </c>
      <c r="L41" s="25">
        <v>70</v>
      </c>
    </row>
    <row r="42" spans="1:15" x14ac:dyDescent="0.25">
      <c r="A42" s="27" t="s">
        <v>44</v>
      </c>
      <c r="B42" s="5">
        <f t="shared" ref="B42:B44" si="6">F42+J42</f>
        <v>0</v>
      </c>
      <c r="C42" s="6">
        <f t="shared" ref="C42:C44" si="7">G42+K42</f>
        <v>0</v>
      </c>
      <c r="D42" s="6">
        <f t="shared" ref="D42:D44" si="8">H42+L42</f>
        <v>0</v>
      </c>
      <c r="E42" s="9"/>
      <c r="F42" s="5">
        <f t="shared" si="4"/>
        <v>0</v>
      </c>
      <c r="G42" s="25">
        <v>0</v>
      </c>
      <c r="H42" s="25">
        <v>0</v>
      </c>
      <c r="I42" s="9"/>
      <c r="J42" s="5">
        <f t="shared" si="5"/>
        <v>0</v>
      </c>
      <c r="K42" s="25">
        <v>0</v>
      </c>
      <c r="L42" s="25">
        <v>0</v>
      </c>
      <c r="M42" s="2"/>
    </row>
    <row r="43" spans="1:15" x14ac:dyDescent="0.25">
      <c r="A43" s="17" t="s">
        <v>46</v>
      </c>
      <c r="B43" s="5">
        <f t="shared" si="6"/>
        <v>283</v>
      </c>
      <c r="C43" s="6">
        <f t="shared" si="7"/>
        <v>150</v>
      </c>
      <c r="D43" s="6">
        <f t="shared" si="8"/>
        <v>133</v>
      </c>
      <c r="E43" s="9"/>
      <c r="F43" s="5">
        <f t="shared" si="4"/>
        <v>148</v>
      </c>
      <c r="G43" s="25">
        <v>42</v>
      </c>
      <c r="H43" s="25">
        <v>106</v>
      </c>
      <c r="I43" s="9"/>
      <c r="J43" s="5">
        <f t="shared" si="5"/>
        <v>135</v>
      </c>
      <c r="K43" s="25">
        <v>108</v>
      </c>
      <c r="L43" s="25">
        <v>27</v>
      </c>
      <c r="M43" s="10"/>
    </row>
    <row r="44" spans="1:15" x14ac:dyDescent="0.25">
      <c r="A44" s="17" t="s">
        <v>47</v>
      </c>
      <c r="B44" s="5">
        <f t="shared" si="6"/>
        <v>167</v>
      </c>
      <c r="C44" s="6">
        <f t="shared" si="7"/>
        <v>104</v>
      </c>
      <c r="D44" s="6">
        <f t="shared" si="8"/>
        <v>63</v>
      </c>
      <c r="E44" s="9"/>
      <c r="F44" s="5">
        <f t="shared" si="4"/>
        <v>102</v>
      </c>
      <c r="G44" s="25">
        <v>53</v>
      </c>
      <c r="H44" s="25">
        <v>49</v>
      </c>
      <c r="I44" s="9"/>
      <c r="J44" s="5">
        <f t="shared" si="5"/>
        <v>65</v>
      </c>
      <c r="K44" s="25">
        <v>51</v>
      </c>
      <c r="L44" s="25">
        <v>14</v>
      </c>
      <c r="M44" s="10"/>
    </row>
    <row r="45" spans="1:15" x14ac:dyDescent="0.25">
      <c r="A45" s="17" t="s">
        <v>48</v>
      </c>
      <c r="B45" s="5">
        <f t="shared" ref="B45" si="9">F45+J45</f>
        <v>8</v>
      </c>
      <c r="C45" s="6">
        <f t="shared" ref="C45" si="10">G45+K45</f>
        <v>2</v>
      </c>
      <c r="D45" s="6">
        <f t="shared" ref="D45" si="11">H45+L45</f>
        <v>6</v>
      </c>
      <c r="E45" s="9"/>
      <c r="F45" s="5">
        <f t="shared" ref="F45" si="12">SUM(G45:H45)</f>
        <v>8</v>
      </c>
      <c r="G45" s="25">
        <v>2</v>
      </c>
      <c r="H45" s="25">
        <v>6</v>
      </c>
      <c r="I45" s="9"/>
      <c r="J45" s="5">
        <f t="shared" ref="J45" si="13">SUM(K45:L45)</f>
        <v>0</v>
      </c>
      <c r="K45" s="25">
        <v>0</v>
      </c>
      <c r="L45" s="25">
        <v>0</v>
      </c>
      <c r="M45" s="10"/>
    </row>
    <row r="46" spans="1:15" x14ac:dyDescent="0.25">
      <c r="A46" s="27" t="s">
        <v>49</v>
      </c>
      <c r="B46" s="5">
        <f>F46+J46</f>
        <v>0</v>
      </c>
      <c r="C46" s="6">
        <f>G46+K46</f>
        <v>0</v>
      </c>
      <c r="D46" s="6">
        <f>H46+L46</f>
        <v>0</v>
      </c>
      <c r="E46" s="9"/>
      <c r="F46" s="5">
        <f>SUM(G46:H46)</f>
        <v>0</v>
      </c>
      <c r="G46" s="25">
        <v>0</v>
      </c>
      <c r="H46" s="25">
        <v>0</v>
      </c>
      <c r="I46" s="9"/>
      <c r="J46" s="5">
        <f>SUM(K46:L46)</f>
        <v>0</v>
      </c>
      <c r="K46" s="25">
        <v>0</v>
      </c>
      <c r="L46" s="25">
        <v>0</v>
      </c>
      <c r="M46" s="10"/>
    </row>
    <row r="47" spans="1:15" x14ac:dyDescent="0.25">
      <c r="A47" s="1" t="s">
        <v>51</v>
      </c>
      <c r="B47" s="5">
        <f t="shared" ref="B47:B60" si="14">F47+J47</f>
        <v>1</v>
      </c>
      <c r="C47" s="6">
        <f t="shared" ref="C47:C60" si="15">G47+K47</f>
        <v>1</v>
      </c>
      <c r="D47" s="6">
        <f t="shared" ref="D47:D60" si="16">H47+L47</f>
        <v>0</v>
      </c>
      <c r="E47" s="9"/>
      <c r="F47" s="5">
        <f t="shared" ref="F47:F60" si="17">SUM(G47:H47)</f>
        <v>1</v>
      </c>
      <c r="G47" s="25">
        <v>1</v>
      </c>
      <c r="H47" s="25">
        <v>0</v>
      </c>
      <c r="I47" s="9"/>
      <c r="J47" s="5">
        <f t="shared" ref="J47:J60" si="18">SUM(K47:L47)</f>
        <v>0</v>
      </c>
      <c r="K47" s="25">
        <v>0</v>
      </c>
      <c r="L47" s="25">
        <v>0</v>
      </c>
      <c r="M47" s="10"/>
    </row>
    <row r="48" spans="1:15" x14ac:dyDescent="0.25">
      <c r="A48" s="1" t="s">
        <v>52</v>
      </c>
      <c r="B48" s="5">
        <f t="shared" si="14"/>
        <v>3211</v>
      </c>
      <c r="C48" s="6">
        <f t="shared" si="15"/>
        <v>1796</v>
      </c>
      <c r="D48" s="6">
        <f t="shared" si="16"/>
        <v>1415</v>
      </c>
      <c r="E48" s="9"/>
      <c r="F48" s="5">
        <f t="shared" si="17"/>
        <v>242</v>
      </c>
      <c r="G48" s="25">
        <v>92</v>
      </c>
      <c r="H48" s="25">
        <v>150</v>
      </c>
      <c r="I48" s="9"/>
      <c r="J48" s="5">
        <f t="shared" si="18"/>
        <v>2969</v>
      </c>
      <c r="K48" s="25">
        <v>1704</v>
      </c>
      <c r="L48" s="25">
        <v>1265</v>
      </c>
      <c r="M48" s="10"/>
    </row>
    <row r="49" spans="1:13" x14ac:dyDescent="0.25">
      <c r="A49" s="1" t="s">
        <v>53</v>
      </c>
      <c r="B49" s="5">
        <f t="shared" si="14"/>
        <v>59</v>
      </c>
      <c r="C49" s="6">
        <f t="shared" si="15"/>
        <v>24</v>
      </c>
      <c r="D49" s="6">
        <f t="shared" si="16"/>
        <v>35</v>
      </c>
      <c r="E49" s="9"/>
      <c r="F49" s="5">
        <f t="shared" si="17"/>
        <v>59</v>
      </c>
      <c r="G49" s="25">
        <v>24</v>
      </c>
      <c r="H49" s="25">
        <v>35</v>
      </c>
      <c r="I49" s="9"/>
      <c r="J49" s="5">
        <f t="shared" si="18"/>
        <v>0</v>
      </c>
      <c r="K49" s="25">
        <v>0</v>
      </c>
      <c r="L49" s="25">
        <v>0</v>
      </c>
      <c r="M49" s="10"/>
    </row>
    <row r="50" spans="1:13" ht="30" x14ac:dyDescent="0.25">
      <c r="A50" s="28" t="s">
        <v>54</v>
      </c>
      <c r="B50" s="5">
        <f t="shared" si="14"/>
        <v>1</v>
      </c>
      <c r="C50" s="6">
        <f t="shared" si="15"/>
        <v>1</v>
      </c>
      <c r="D50" s="6">
        <f t="shared" si="16"/>
        <v>0</v>
      </c>
      <c r="E50" s="9"/>
      <c r="F50" s="5">
        <f t="shared" si="17"/>
        <v>1</v>
      </c>
      <c r="G50" s="25">
        <v>1</v>
      </c>
      <c r="H50" s="25">
        <v>0</v>
      </c>
      <c r="I50" s="9"/>
      <c r="J50" s="5">
        <f t="shared" si="18"/>
        <v>0</v>
      </c>
      <c r="K50" s="25">
        <v>0</v>
      </c>
      <c r="L50" s="25">
        <v>0</v>
      </c>
      <c r="M50" s="10"/>
    </row>
    <row r="51" spans="1:13" x14ac:dyDescent="0.25">
      <c r="A51" s="28" t="s">
        <v>55</v>
      </c>
      <c r="B51" s="5">
        <f t="shared" si="14"/>
        <v>2</v>
      </c>
      <c r="C51" s="6">
        <f t="shared" si="15"/>
        <v>1</v>
      </c>
      <c r="D51" s="6">
        <f t="shared" si="16"/>
        <v>1</v>
      </c>
      <c r="E51" s="9"/>
      <c r="F51" s="5">
        <f t="shared" si="17"/>
        <v>2</v>
      </c>
      <c r="G51" s="25">
        <v>1</v>
      </c>
      <c r="H51" s="25">
        <v>1</v>
      </c>
      <c r="I51" s="9"/>
      <c r="J51" s="5">
        <f t="shared" si="18"/>
        <v>0</v>
      </c>
      <c r="K51" s="25">
        <v>0</v>
      </c>
      <c r="L51" s="25">
        <v>0</v>
      </c>
      <c r="M51" s="10"/>
    </row>
    <row r="52" spans="1:13" x14ac:dyDescent="0.25">
      <c r="A52" s="1" t="s">
        <v>56</v>
      </c>
      <c r="B52" s="5">
        <f t="shared" si="14"/>
        <v>2</v>
      </c>
      <c r="C52" s="6">
        <f t="shared" si="15"/>
        <v>1</v>
      </c>
      <c r="D52" s="6">
        <f t="shared" si="16"/>
        <v>1</v>
      </c>
      <c r="E52" s="9"/>
      <c r="F52" s="5">
        <f t="shared" si="17"/>
        <v>2</v>
      </c>
      <c r="G52" s="25">
        <v>1</v>
      </c>
      <c r="H52" s="25">
        <v>1</v>
      </c>
      <c r="I52" s="9"/>
      <c r="J52" s="5">
        <f t="shared" si="18"/>
        <v>0</v>
      </c>
      <c r="K52" s="25">
        <v>0</v>
      </c>
      <c r="L52" s="25">
        <v>0</v>
      </c>
      <c r="M52" s="10"/>
    </row>
    <row r="53" spans="1:13" x14ac:dyDescent="0.25">
      <c r="A53" s="1" t="s">
        <v>57</v>
      </c>
      <c r="B53" s="5">
        <f t="shared" si="14"/>
        <v>7</v>
      </c>
      <c r="C53" s="6">
        <f t="shared" si="15"/>
        <v>3</v>
      </c>
      <c r="D53" s="6">
        <f t="shared" si="16"/>
        <v>4</v>
      </c>
      <c r="E53" s="9"/>
      <c r="F53" s="5">
        <f t="shared" si="17"/>
        <v>7</v>
      </c>
      <c r="G53" s="25">
        <v>3</v>
      </c>
      <c r="H53" s="25">
        <v>4</v>
      </c>
      <c r="I53" s="9"/>
      <c r="J53" s="5">
        <f t="shared" si="18"/>
        <v>0</v>
      </c>
      <c r="K53" s="25">
        <v>0</v>
      </c>
      <c r="L53" s="25">
        <v>0</v>
      </c>
      <c r="M53" s="10"/>
    </row>
    <row r="54" spans="1:13" x14ac:dyDescent="0.25">
      <c r="A54" s="1" t="s">
        <v>58</v>
      </c>
      <c r="B54" s="5">
        <f t="shared" si="14"/>
        <v>15</v>
      </c>
      <c r="C54" s="6">
        <f t="shared" si="15"/>
        <v>4</v>
      </c>
      <c r="D54" s="6">
        <f t="shared" si="16"/>
        <v>11</v>
      </c>
      <c r="E54" s="9"/>
      <c r="F54" s="5">
        <f t="shared" si="17"/>
        <v>15</v>
      </c>
      <c r="G54" s="25">
        <v>4</v>
      </c>
      <c r="H54" s="25">
        <v>11</v>
      </c>
      <c r="I54" s="9"/>
      <c r="J54" s="5">
        <f t="shared" si="18"/>
        <v>0</v>
      </c>
      <c r="K54" s="25">
        <v>0</v>
      </c>
      <c r="L54" s="25">
        <v>0</v>
      </c>
      <c r="M54" s="10"/>
    </row>
    <row r="55" spans="1:13" x14ac:dyDescent="0.25">
      <c r="A55" s="1" t="s">
        <v>59</v>
      </c>
      <c r="B55" s="5">
        <f t="shared" si="14"/>
        <v>1</v>
      </c>
      <c r="C55" s="6">
        <f t="shared" si="15"/>
        <v>0</v>
      </c>
      <c r="D55" s="6">
        <f t="shared" si="16"/>
        <v>1</v>
      </c>
      <c r="E55" s="9"/>
      <c r="F55" s="5">
        <f t="shared" si="17"/>
        <v>1</v>
      </c>
      <c r="G55" s="25">
        <v>0</v>
      </c>
      <c r="H55" s="25">
        <v>1</v>
      </c>
      <c r="I55" s="9"/>
      <c r="J55" s="5">
        <f t="shared" si="18"/>
        <v>0</v>
      </c>
      <c r="K55" s="25">
        <v>0</v>
      </c>
      <c r="L55" s="25">
        <v>0</v>
      </c>
      <c r="M55" s="10"/>
    </row>
    <row r="56" spans="1:13" x14ac:dyDescent="0.25">
      <c r="A56" s="1" t="s">
        <v>60</v>
      </c>
      <c r="B56" s="5">
        <f t="shared" si="14"/>
        <v>74</v>
      </c>
      <c r="C56" s="6">
        <f t="shared" si="15"/>
        <v>22</v>
      </c>
      <c r="D56" s="6">
        <f t="shared" si="16"/>
        <v>52</v>
      </c>
      <c r="E56" s="9"/>
      <c r="F56" s="5">
        <f t="shared" si="17"/>
        <v>74</v>
      </c>
      <c r="G56" s="25">
        <v>22</v>
      </c>
      <c r="H56" s="25">
        <v>52</v>
      </c>
      <c r="I56" s="9"/>
      <c r="J56" s="5">
        <f t="shared" si="18"/>
        <v>0</v>
      </c>
      <c r="K56" s="25">
        <v>0</v>
      </c>
      <c r="L56" s="25">
        <v>0</v>
      </c>
      <c r="M56" s="10"/>
    </row>
    <row r="57" spans="1:13" x14ac:dyDescent="0.25">
      <c r="A57" s="1" t="s">
        <v>61</v>
      </c>
      <c r="B57" s="5">
        <f t="shared" si="14"/>
        <v>19</v>
      </c>
      <c r="C57" s="6">
        <f t="shared" si="15"/>
        <v>11</v>
      </c>
      <c r="D57" s="6">
        <f t="shared" si="16"/>
        <v>8</v>
      </c>
      <c r="E57" s="9"/>
      <c r="F57" s="5">
        <f t="shared" si="17"/>
        <v>16</v>
      </c>
      <c r="G57" s="25">
        <v>9</v>
      </c>
      <c r="H57" s="25">
        <v>7</v>
      </c>
      <c r="I57" s="9"/>
      <c r="J57" s="5">
        <f t="shared" si="18"/>
        <v>3</v>
      </c>
      <c r="K57" s="25">
        <v>2</v>
      </c>
      <c r="L57" s="25">
        <v>1</v>
      </c>
      <c r="M57" s="10"/>
    </row>
    <row r="58" spans="1:13" x14ac:dyDescent="0.25">
      <c r="A58" s="1" t="s">
        <v>62</v>
      </c>
      <c r="B58" s="5">
        <f t="shared" si="14"/>
        <v>5</v>
      </c>
      <c r="C58" s="6">
        <f t="shared" si="15"/>
        <v>2</v>
      </c>
      <c r="D58" s="6">
        <f t="shared" si="16"/>
        <v>3</v>
      </c>
      <c r="E58" s="9"/>
      <c r="F58" s="5">
        <f t="shared" si="17"/>
        <v>5</v>
      </c>
      <c r="G58" s="25">
        <v>2</v>
      </c>
      <c r="H58" s="25">
        <v>3</v>
      </c>
      <c r="I58" s="9"/>
      <c r="J58" s="5">
        <f t="shared" si="18"/>
        <v>0</v>
      </c>
      <c r="K58" s="25">
        <v>0</v>
      </c>
      <c r="L58" s="25">
        <v>0</v>
      </c>
      <c r="M58" s="10"/>
    </row>
    <row r="59" spans="1:13" x14ac:dyDescent="0.25">
      <c r="A59" s="1" t="s">
        <v>63</v>
      </c>
      <c r="B59" s="5">
        <f t="shared" si="14"/>
        <v>4</v>
      </c>
      <c r="C59" s="6">
        <f t="shared" si="15"/>
        <v>4</v>
      </c>
      <c r="D59" s="6">
        <f t="shared" si="16"/>
        <v>0</v>
      </c>
      <c r="E59" s="9"/>
      <c r="F59" s="5">
        <f t="shared" si="17"/>
        <v>4</v>
      </c>
      <c r="G59" s="25">
        <v>4</v>
      </c>
      <c r="H59" s="25">
        <v>0</v>
      </c>
      <c r="I59" s="9"/>
      <c r="J59" s="5">
        <f t="shared" si="18"/>
        <v>0</v>
      </c>
      <c r="K59" s="25">
        <v>0</v>
      </c>
      <c r="L59" s="25">
        <v>0</v>
      </c>
      <c r="M59" s="10"/>
    </row>
    <row r="60" spans="1:13" x14ac:dyDescent="0.25">
      <c r="A60" s="11" t="s">
        <v>64</v>
      </c>
      <c r="B60" s="8">
        <f t="shared" si="14"/>
        <v>13</v>
      </c>
      <c r="C60" s="7">
        <f t="shared" si="15"/>
        <v>2</v>
      </c>
      <c r="D60" s="7">
        <f t="shared" si="16"/>
        <v>11</v>
      </c>
      <c r="E60" s="16"/>
      <c r="F60" s="8">
        <f t="shared" si="17"/>
        <v>13</v>
      </c>
      <c r="G60" s="26">
        <v>2</v>
      </c>
      <c r="H60" s="26">
        <v>11</v>
      </c>
      <c r="I60" s="16"/>
      <c r="J60" s="8">
        <f t="shared" si="18"/>
        <v>0</v>
      </c>
      <c r="K60" s="26">
        <v>0</v>
      </c>
      <c r="L60" s="26">
        <v>0</v>
      </c>
      <c r="M60" s="10"/>
    </row>
    <row r="61" spans="1:13" ht="17.25" x14ac:dyDescent="0.25">
      <c r="A61" s="21" t="s">
        <v>9</v>
      </c>
      <c r="B61" s="22"/>
      <c r="C61" s="17"/>
      <c r="D61" s="19"/>
      <c r="E61" s="23"/>
      <c r="F61" s="22"/>
      <c r="G61" s="23"/>
      <c r="H61" s="23"/>
      <c r="I61" s="23"/>
      <c r="J61" s="22"/>
      <c r="K61" s="23"/>
      <c r="L61" s="20" t="s">
        <v>10</v>
      </c>
      <c r="M61" s="10"/>
    </row>
    <row r="66" spans="29:29" x14ac:dyDescent="0.25">
      <c r="AC66" s="1" t="s">
        <v>50</v>
      </c>
    </row>
  </sheetData>
  <mergeCells count="5">
    <mergeCell ref="A2:L2"/>
    <mergeCell ref="A3:L3"/>
    <mergeCell ref="B5:D5"/>
    <mergeCell ref="F5:H5"/>
    <mergeCell ref="J5:L5"/>
  </mergeCells>
  <pageMargins left="0.7" right="0.7" top="0.75" bottom="0.75" header="0.3" footer="0.3"/>
  <pageSetup paperSize="9" scale="5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2023-01-24T09:28:18Z</cp:lastPrinted>
  <dcterms:created xsi:type="dcterms:W3CDTF">2019-06-03T04:17:39Z</dcterms:created>
  <dcterms:modified xsi:type="dcterms:W3CDTF">2023-01-24T09:32:48Z</dcterms:modified>
</cp:coreProperties>
</file>