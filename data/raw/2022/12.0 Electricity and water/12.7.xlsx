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0ED26997-E68C-49AB-B2FC-F7EED974F8C7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7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'12.7'!$A$1:$Q$22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7" l="1"/>
  <c r="O11" i="7" s="1"/>
  <c r="O14" i="7"/>
  <c r="O15" i="7"/>
  <c r="O16" i="7"/>
  <c r="O10" i="7" l="1"/>
  <c r="O12" i="7"/>
  <c r="O9" i="7" s="1"/>
  <c r="N16" i="7" l="1"/>
  <c r="N15" i="7"/>
  <c r="N14" i="7"/>
  <c r="N5" i="7"/>
  <c r="O13" i="7" s="1"/>
  <c r="N10" i="7" l="1"/>
  <c r="N12" i="7"/>
  <c r="N11" i="7"/>
  <c r="N9" i="7" l="1"/>
  <c r="M16" i="7" l="1"/>
  <c r="M15" i="7"/>
  <c r="M14" i="7"/>
  <c r="M5" i="7"/>
  <c r="M11" i="7" l="1"/>
  <c r="N13" i="7"/>
  <c r="M12" i="7"/>
  <c r="M10" i="7"/>
  <c r="M9" i="7" l="1"/>
  <c r="L16" i="7" l="1"/>
  <c r="K16" i="7"/>
  <c r="J16" i="7"/>
  <c r="I16" i="7"/>
  <c r="H16" i="7"/>
  <c r="G16" i="7"/>
  <c r="F16" i="7"/>
  <c r="C16" i="7"/>
  <c r="B16" i="7"/>
  <c r="L15" i="7"/>
  <c r="K15" i="7"/>
  <c r="J15" i="7"/>
  <c r="I15" i="7"/>
  <c r="H15" i="7"/>
  <c r="G15" i="7"/>
  <c r="F15" i="7"/>
  <c r="C15" i="7"/>
  <c r="B15" i="7"/>
  <c r="L14" i="7"/>
  <c r="K14" i="7"/>
  <c r="J14" i="7"/>
  <c r="I14" i="7"/>
  <c r="H14" i="7"/>
  <c r="G14" i="7"/>
  <c r="F14" i="7"/>
  <c r="C14" i="7"/>
  <c r="B14" i="7"/>
  <c r="D8" i="7"/>
  <c r="D16" i="7" s="1"/>
  <c r="D7" i="7"/>
  <c r="E15" i="7" s="1"/>
  <c r="D6" i="7"/>
  <c r="L5" i="7"/>
  <c r="K5" i="7"/>
  <c r="K11" i="7" s="1"/>
  <c r="J5" i="7"/>
  <c r="J12" i="7" s="1"/>
  <c r="I5" i="7"/>
  <c r="H5" i="7"/>
  <c r="H12" i="7" s="1"/>
  <c r="G5" i="7"/>
  <c r="G11" i="7" s="1"/>
  <c r="F5" i="7"/>
  <c r="F10" i="7" s="1"/>
  <c r="E5" i="7"/>
  <c r="C5" i="7"/>
  <c r="C11" i="7" s="1"/>
  <c r="B5" i="7"/>
  <c r="B13" i="7" s="1"/>
  <c r="D5" i="7" l="1"/>
  <c r="J11" i="7"/>
  <c r="I13" i="7"/>
  <c r="B12" i="7"/>
  <c r="L13" i="7"/>
  <c r="D13" i="7"/>
  <c r="F12" i="7"/>
  <c r="H10" i="7"/>
  <c r="L10" i="7"/>
  <c r="C13" i="7"/>
  <c r="J13" i="7"/>
  <c r="B11" i="7"/>
  <c r="K13" i="7"/>
  <c r="I11" i="7"/>
  <c r="E13" i="7"/>
  <c r="G12" i="7"/>
  <c r="L12" i="7"/>
  <c r="M13" i="7"/>
  <c r="G10" i="7"/>
  <c r="D11" i="7"/>
  <c r="L11" i="7"/>
  <c r="I12" i="7"/>
  <c r="F13" i="7"/>
  <c r="E16" i="7"/>
  <c r="G13" i="7"/>
  <c r="I10" i="7"/>
  <c r="F11" i="7"/>
  <c r="F9" i="7" s="1"/>
  <c r="C12" i="7"/>
  <c r="K12" i="7"/>
  <c r="H13" i="7"/>
  <c r="E14" i="7"/>
  <c r="D14" i="7"/>
  <c r="B10" i="7"/>
  <c r="J10" i="7"/>
  <c r="D12" i="7"/>
  <c r="D10" i="7"/>
  <c r="E11" i="7"/>
  <c r="C10" i="7"/>
  <c r="K10" i="7"/>
  <c r="H11" i="7"/>
  <c r="E12" i="7"/>
  <c r="D15" i="7"/>
  <c r="E10" i="7"/>
  <c r="G9" i="7" l="1"/>
  <c r="J9" i="7"/>
  <c r="B9" i="7"/>
  <c r="H9" i="7"/>
  <c r="K9" i="7"/>
  <c r="C9" i="7"/>
  <c r="L9" i="7"/>
  <c r="D9" i="7"/>
  <c r="I9" i="7"/>
  <c r="E9" i="7"/>
</calcChain>
</file>

<file path=xl/sharedStrings.xml><?xml version="1.0" encoding="utf-8"?>
<sst xmlns="http://schemas.openxmlformats.org/spreadsheetml/2006/main" count="31" uniqueCount="19">
  <si>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</si>
  <si>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</si>
  <si>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</si>
  <si>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</si>
  <si>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</si>
  <si>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</si>
  <si>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</si>
  <si>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</si>
  <si>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</si>
  <si>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</si>
  <si>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</si>
  <si>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</si>
  <si>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</si>
  <si>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</si>
  <si>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</si>
  <si>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</si>
  <si>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</si>
  <si>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>Table 12.7 : BILLED WATER CONSUMPTION IN VILIMALE', 2010 - 2021</t>
  </si>
  <si>
    <t>2021- 2010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</si>
</sst>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sz val="9"/>
      <color theme="1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18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2" fillId="2" borderId="0" xfId="3" applyFill="1"/>
    <xf numFmtId="0" fontId="6" fillId="2" borderId="0" xfId="3" applyFont="1" applyFill="1"/>
    <xf numFmtId="0" fontId="6" fillId="2" borderId="0" xfId="3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8" fillId="2" borderId="0" xfId="5" applyFont="1" applyFill="1"/>
    <xf numFmtId="0" fontId="3" fillId="2" borderId="0" xfId="0" applyFont="1" applyFill="1" applyAlignment="1">
      <alignment horizontal="left" vertical="center"/>
    </xf>
    <xf numFmtId="0" fontId="12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4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 wrapText="1"/>
    </xf>
    <xf numFmtId="0" fontId="3" fillId="2" borderId="2" xfId="3" applyFont="1" applyFill="1" applyBorder="1" applyAlignment="1">
      <alignment vertical="center"/>
    </xf>
    <xf numFmtId="0" fontId="3" fillId="2" borderId="1" xfId="3" applyFont="1" applyFill="1" applyBorder="1" applyAlignment="1">
      <alignment horizontal="right"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0" xfId="3" applyFont="1" applyFill="1" applyAlignment="1">
      <alignment vertical="center"/>
    </xf>
    <xf numFmtId="3" fontId="3" fillId="2" borderId="0" xfId="3" applyNumberFormat="1" applyFont="1" applyFill="1" applyAlignment="1">
      <alignment horizontal="right" vertical="center" readingOrder="2"/>
    </xf>
    <xf numFmtId="3" fontId="3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3" fontId="6" fillId="2" borderId="0" xfId="3" applyNumberFormat="1" applyFont="1" applyFill="1" applyAlignment="1">
      <alignment horizontal="right" vertical="center" readingOrder="2"/>
    </xf>
    <xf numFmtId="0" fontId="6" fillId="2" borderId="3" xfId="3" applyFont="1" applyFill="1" applyBorder="1" applyAlignment="1">
      <alignment vertical="center"/>
    </xf>
    <xf numFmtId="3" fontId="6" fillId="2" borderId="3" xfId="3" applyNumberFormat="1" applyFont="1" applyFill="1" applyBorder="1" applyAlignment="1">
      <alignment horizontal="right" vertical="center" readingOrder="2"/>
    </xf>
    <xf numFmtId="0" fontId="7" fillId="2" borderId="3" xfId="0" applyFont="1" applyFill="1" applyBorder="1" applyAlignment="1">
      <alignment horizontal="right" vertical="center"/>
    </xf>
    <xf numFmtId="3" fontId="6" fillId="2" borderId="0" xfId="3" applyNumberFormat="1" applyFont="1" applyFill="1"/>
    <xf numFmtId="3" fontId="3" fillId="2" borderId="0" xfId="3" applyNumberFormat="1" applyFont="1" applyFill="1" applyAlignment="1">
      <alignment horizontal="right" vertical="center" readingOrder="1"/>
    </xf>
    <xf numFmtId="3" fontId="6" fillId="2" borderId="0" xfId="3" applyNumberFormat="1" applyFont="1" applyFill="1" applyAlignment="1">
      <alignment horizontal="right" vertical="center" readingOrder="1"/>
    </xf>
    <xf numFmtId="0" fontId="6" fillId="2" borderId="1" xfId="3" applyFont="1" applyFill="1" applyBorder="1" applyAlignment="1">
      <alignment vertical="center"/>
    </xf>
    <xf numFmtId="3" fontId="6" fillId="2" borderId="1" xfId="3" applyNumberFormat="1" applyFont="1" applyFill="1" applyBorder="1" applyAlignment="1">
      <alignment horizontal="right" vertical="center" readingOrder="2"/>
    </xf>
    <xf numFmtId="0" fontId="7" fillId="2" borderId="1" xfId="0" applyFont="1" applyFill="1" applyBorder="1" applyAlignment="1">
      <alignment horizontal="right" vertical="center"/>
    </xf>
    <xf numFmtId="0" fontId="17" fillId="2" borderId="0" xfId="5" applyFont="1" applyFill="1" applyAlignment="1">
      <alignment horizontal="right"/>
    </xf>
    <xf numFmtId="3" fontId="6" fillId="2" borderId="0" xfId="0" applyNumberFormat="1" applyFont="1" applyFill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65" fontId="11" fillId="2" borderId="0" xfId="1" applyNumberFormat="1" applyFont="1" applyFill="1" applyAlignment="1">
      <alignment vertical="center"/>
    </xf>
    <xf numFmtId="165" fontId="11" fillId="2" borderId="4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18"/>
  <sheetViews>
    <sheetView tabSelected="1" zoomScaleNormal="100" workbookViewId="0">
      <selection activeCell="F14" sqref="F14"/>
    </sheetView>
  </sheetViews>
  <sheetFormatPr defaultColWidth="9.1796875" defaultRowHeight="13" x14ac:dyDescent="0.3"/>
  <cols>
    <col min="1" max="1" width="24.54296875" style="5" customWidth="1"/>
    <col min="2" max="3" width="0" style="5" hidden="1" customWidth="1"/>
    <col min="4" max="15" width="9.1796875" style="5"/>
    <col min="16" max="16" width="32" style="5" customWidth="1"/>
    <col min="17" max="17" width="2.26953125" style="5" customWidth="1"/>
    <col min="18" max="16384" width="9.1796875" style="5"/>
  </cols>
  <sheetData>
    <row r="1" spans="1:26" ht="19" x14ac:dyDescent="0.3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11"/>
      <c r="R1" s="11"/>
      <c r="S1" s="11"/>
      <c r="T1" s="11"/>
      <c r="U1" s="11"/>
    </row>
    <row r="2" spans="1:26" ht="14.5" x14ac:dyDescent="0.3">
      <c r="A2" s="38" t="s">
        <v>17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26" s="4" customFormat="1" ht="16.5" customHeight="1" x14ac:dyDescent="0.35">
      <c r="B3" s="12"/>
      <c r="C3" s="12"/>
      <c r="D3" s="39" t="s">
        <v>4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13"/>
      <c r="Q3" s="1"/>
      <c r="R3" s="2"/>
      <c r="S3" s="2"/>
      <c r="T3" s="2"/>
      <c r="U3" s="2"/>
      <c r="V3" s="2"/>
      <c r="W3" s="2"/>
      <c r="X3" s="2"/>
      <c r="Y3" s="2"/>
      <c r="Z3" s="3"/>
    </row>
    <row r="4" spans="1:26" ht="15.5" x14ac:dyDescent="0.3">
      <c r="A4" s="14" t="s">
        <v>5</v>
      </c>
      <c r="B4" s="15">
        <v>2008</v>
      </c>
      <c r="C4" s="16">
        <v>2009</v>
      </c>
      <c r="D4" s="16">
        <v>2010</v>
      </c>
      <c r="E4" s="16">
        <v>2011</v>
      </c>
      <c r="F4" s="16">
        <v>2012</v>
      </c>
      <c r="G4" s="16">
        <v>2013</v>
      </c>
      <c r="H4" s="16">
        <v>2014</v>
      </c>
      <c r="I4" s="16">
        <v>2015</v>
      </c>
      <c r="J4" s="16">
        <v>2016</v>
      </c>
      <c r="K4" s="16">
        <v>2017</v>
      </c>
      <c r="L4" s="16">
        <v>2018</v>
      </c>
      <c r="M4" s="16">
        <v>2019</v>
      </c>
      <c r="N4" s="16">
        <v>2020</v>
      </c>
      <c r="O4" s="16">
        <v>2021</v>
      </c>
      <c r="P4" s="17" t="s">
        <v>3</v>
      </c>
    </row>
    <row r="5" spans="1:26" ht="15.5" x14ac:dyDescent="0.3">
      <c r="A5" s="18" t="s">
        <v>6</v>
      </c>
      <c r="B5" s="19">
        <f t="shared" ref="B5:L5" si="0">SUM(B6:B8)</f>
        <v>106.88800000000001</v>
      </c>
      <c r="C5" s="19">
        <f t="shared" si="0"/>
        <v>124.364</v>
      </c>
      <c r="D5" s="19">
        <f t="shared" si="0"/>
        <v>128.46899999999999</v>
      </c>
      <c r="E5" s="19">
        <f t="shared" si="0"/>
        <v>141.505</v>
      </c>
      <c r="F5" s="19">
        <f t="shared" si="0"/>
        <v>172.8</v>
      </c>
      <c r="G5" s="20">
        <f t="shared" si="0"/>
        <v>191.95517000000004</v>
      </c>
      <c r="H5" s="20">
        <f t="shared" si="0"/>
        <v>191.79549</v>
      </c>
      <c r="I5" s="20">
        <f t="shared" si="0"/>
        <v>207.66131999999999</v>
      </c>
      <c r="J5" s="20">
        <f t="shared" si="0"/>
        <v>232.48755999999997</v>
      </c>
      <c r="K5" s="20">
        <f t="shared" si="0"/>
        <v>249.613</v>
      </c>
      <c r="L5" s="20">
        <f t="shared" si="0"/>
        <v>259.83600000000001</v>
      </c>
      <c r="M5" s="20">
        <f>SUM(M6:M8)</f>
        <v>272.19952000000001</v>
      </c>
      <c r="N5" s="20">
        <f>SUM(N6:N8)</f>
        <v>278.79802000000018</v>
      </c>
      <c r="O5" s="20">
        <f>SUM(O6:O8)</f>
        <v>273.11684000000025</v>
      </c>
      <c r="P5" s="21" t="s">
        <v>7</v>
      </c>
    </row>
    <row r="6" spans="1:26" ht="15.5" x14ac:dyDescent="0.3">
      <c r="A6" s="6" t="s">
        <v>8</v>
      </c>
      <c r="B6" s="22">
        <v>80.188000000000002</v>
      </c>
      <c r="C6" s="22">
        <v>96.51</v>
      </c>
      <c r="D6" s="22">
        <f>103588/1000</f>
        <v>103.58799999999999</v>
      </c>
      <c r="E6" s="22">
        <v>120.59399999999999</v>
      </c>
      <c r="F6" s="22">
        <v>147</v>
      </c>
      <c r="G6" s="22">
        <v>158.71820000000002</v>
      </c>
      <c r="H6" s="22">
        <v>162.911</v>
      </c>
      <c r="I6" s="22">
        <v>175.81640999999999</v>
      </c>
      <c r="J6" s="22">
        <v>191.31120999999999</v>
      </c>
      <c r="K6" s="22">
        <v>202.28</v>
      </c>
      <c r="L6" s="22">
        <v>207.833</v>
      </c>
      <c r="M6" s="35">
        <v>214.04016999999999</v>
      </c>
      <c r="N6" s="35">
        <v>227.43130000000014</v>
      </c>
      <c r="O6" s="35">
        <v>223.64520000000024</v>
      </c>
      <c r="P6" s="7" t="s">
        <v>9</v>
      </c>
    </row>
    <row r="7" spans="1:26" ht="15.5" x14ac:dyDescent="0.3">
      <c r="A7" s="6" t="s">
        <v>10</v>
      </c>
      <c r="B7" s="22">
        <v>20.242000000000001</v>
      </c>
      <c r="C7" s="22">
        <v>20.561</v>
      </c>
      <c r="D7" s="22">
        <f>18390/1000</f>
        <v>18.39</v>
      </c>
      <c r="E7" s="22">
        <v>14.449</v>
      </c>
      <c r="F7" s="22">
        <v>19</v>
      </c>
      <c r="G7" s="22">
        <v>23.310820000000003</v>
      </c>
      <c r="H7" s="22">
        <v>16.90738</v>
      </c>
      <c r="I7" s="22">
        <v>18.244800000000001</v>
      </c>
      <c r="J7" s="22">
        <v>23.895499999999998</v>
      </c>
      <c r="K7" s="22">
        <v>27.135999999999999</v>
      </c>
      <c r="L7" s="22">
        <v>27.835000000000001</v>
      </c>
      <c r="M7" s="35">
        <v>35.595270000000006</v>
      </c>
      <c r="N7" s="35">
        <v>31.042159999999996</v>
      </c>
      <c r="O7" s="35">
        <v>28.887759999999993</v>
      </c>
      <c r="P7" s="7" t="s">
        <v>11</v>
      </c>
    </row>
    <row r="8" spans="1:26" ht="15.5" x14ac:dyDescent="0.3">
      <c r="A8" s="23" t="s">
        <v>12</v>
      </c>
      <c r="B8" s="24">
        <v>6.4580000000000002</v>
      </c>
      <c r="C8" s="24">
        <v>7.2930000000000001</v>
      </c>
      <c r="D8" s="24">
        <f>6491/1000</f>
        <v>6.4909999999999997</v>
      </c>
      <c r="E8" s="24">
        <v>6.4619999999999997</v>
      </c>
      <c r="F8" s="24">
        <v>6.8</v>
      </c>
      <c r="G8" s="24">
        <v>9.9261499999999998</v>
      </c>
      <c r="H8" s="24">
        <v>11.97711</v>
      </c>
      <c r="I8" s="24">
        <v>13.600110000000003</v>
      </c>
      <c r="J8" s="24">
        <v>17.280850000000001</v>
      </c>
      <c r="K8" s="24">
        <v>20.196999999999999</v>
      </c>
      <c r="L8" s="24">
        <v>24.167999999999999</v>
      </c>
      <c r="M8" s="36">
        <v>22.564079999999997</v>
      </c>
      <c r="N8" s="36">
        <v>20.324559999999998</v>
      </c>
      <c r="O8" s="36">
        <v>20.583879999999997</v>
      </c>
      <c r="P8" s="25" t="s">
        <v>13</v>
      </c>
    </row>
    <row r="9" spans="1:26" ht="15.5" x14ac:dyDescent="0.3">
      <c r="A9" s="9" t="s">
        <v>14</v>
      </c>
      <c r="B9" s="20">
        <f t="shared" ref="B9:I9" si="1">SUM(B10:B12)</f>
        <v>100</v>
      </c>
      <c r="C9" s="20">
        <f t="shared" si="1"/>
        <v>100</v>
      </c>
      <c r="D9" s="20">
        <f t="shared" si="1"/>
        <v>99.999999999999986</v>
      </c>
      <c r="E9" s="20">
        <f t="shared" si="1"/>
        <v>100</v>
      </c>
      <c r="F9" s="20">
        <f t="shared" si="1"/>
        <v>100</v>
      </c>
      <c r="G9" s="20">
        <f t="shared" si="1"/>
        <v>100</v>
      </c>
      <c r="H9" s="20">
        <f t="shared" si="1"/>
        <v>100</v>
      </c>
      <c r="I9" s="20">
        <f t="shared" si="1"/>
        <v>100</v>
      </c>
      <c r="J9" s="20">
        <f t="shared" ref="J9:O9" si="2">SUM(J10:J12)</f>
        <v>100.00000000000001</v>
      </c>
      <c r="K9" s="20">
        <f t="shared" si="2"/>
        <v>100</v>
      </c>
      <c r="L9" s="20">
        <f t="shared" si="2"/>
        <v>100</v>
      </c>
      <c r="M9" s="20">
        <f t="shared" si="2"/>
        <v>100</v>
      </c>
      <c r="N9" s="20">
        <f t="shared" si="2"/>
        <v>99.999999999999972</v>
      </c>
      <c r="O9" s="20">
        <f t="shared" si="2"/>
        <v>99.999999999999986</v>
      </c>
      <c r="P9" s="21" t="s">
        <v>0</v>
      </c>
    </row>
    <row r="10" spans="1:26" ht="15.5" x14ac:dyDescent="0.3">
      <c r="A10" s="6" t="s">
        <v>8</v>
      </c>
      <c r="B10" s="22">
        <f t="shared" ref="B10:L10" si="3">B6/B5*100</f>
        <v>75.020582291744631</v>
      </c>
      <c r="C10" s="22">
        <f t="shared" si="3"/>
        <v>77.602843266540162</v>
      </c>
      <c r="D10" s="22">
        <f t="shared" si="3"/>
        <v>80.632681814289825</v>
      </c>
      <c r="E10" s="22">
        <f t="shared" si="3"/>
        <v>85.22243030281615</v>
      </c>
      <c r="F10" s="22">
        <f t="shared" si="3"/>
        <v>85.069444444444443</v>
      </c>
      <c r="G10" s="22">
        <f t="shared" si="3"/>
        <v>82.685035261097681</v>
      </c>
      <c r="H10" s="22">
        <f t="shared" si="3"/>
        <v>84.939953489000189</v>
      </c>
      <c r="I10" s="22">
        <f t="shared" si="3"/>
        <v>84.664977570209032</v>
      </c>
      <c r="J10" s="22">
        <f t="shared" si="3"/>
        <v>82.288794290756897</v>
      </c>
      <c r="K10" s="22">
        <f t="shared" si="3"/>
        <v>81.037445966355918</v>
      </c>
      <c r="L10" s="22">
        <f t="shared" si="3"/>
        <v>79.986222078541843</v>
      </c>
      <c r="M10" s="22">
        <f>M6/M5*100</f>
        <v>78.63355894235228</v>
      </c>
      <c r="N10" s="22">
        <f>N6/N5*100</f>
        <v>81.575651075283815</v>
      </c>
      <c r="O10" s="22">
        <f>O6/O5*100</f>
        <v>81.886272556463396</v>
      </c>
      <c r="P10" s="7" t="s">
        <v>9</v>
      </c>
      <c r="T10" s="26"/>
    </row>
    <row r="11" spans="1:26" ht="15.5" x14ac:dyDescent="0.3">
      <c r="A11" s="6" t="s">
        <v>10</v>
      </c>
      <c r="B11" s="22">
        <f t="shared" ref="B11:L11" si="4">B7/B5*100</f>
        <v>18.937579522490832</v>
      </c>
      <c r="C11" s="22">
        <f t="shared" si="4"/>
        <v>16.532919494387443</v>
      </c>
      <c r="D11" s="22">
        <f t="shared" si="4"/>
        <v>14.31473740746795</v>
      </c>
      <c r="E11" s="22">
        <f t="shared" si="4"/>
        <v>10.210946609660436</v>
      </c>
      <c r="F11" s="22">
        <f t="shared" si="4"/>
        <v>10.995370370370368</v>
      </c>
      <c r="G11" s="22">
        <f t="shared" si="4"/>
        <v>12.143887554578498</v>
      </c>
      <c r="H11" s="22">
        <f t="shared" si="4"/>
        <v>8.8153167730899185</v>
      </c>
      <c r="I11" s="22">
        <f t="shared" si="4"/>
        <v>8.7858441812851815</v>
      </c>
      <c r="J11" s="22">
        <f t="shared" si="4"/>
        <v>10.278184346723757</v>
      </c>
      <c r="K11" s="22">
        <f t="shared" si="4"/>
        <v>10.871228661968727</v>
      </c>
      <c r="L11" s="22">
        <f t="shared" si="4"/>
        <v>10.712526362782677</v>
      </c>
      <c r="M11" s="22">
        <f>M7/M5*100</f>
        <v>13.076904029808725</v>
      </c>
      <c r="N11" s="22">
        <f>N7/N5*100</f>
        <v>11.134282804447455</v>
      </c>
      <c r="O11" s="22">
        <f>O7/O5*100</f>
        <v>10.577070238510363</v>
      </c>
      <c r="P11" s="7" t="s">
        <v>11</v>
      </c>
    </row>
    <row r="12" spans="1:26" ht="15.5" x14ac:dyDescent="0.3">
      <c r="A12" s="23" t="s">
        <v>12</v>
      </c>
      <c r="B12" s="24">
        <f t="shared" ref="B12:L12" si="5">B8/B5*100</f>
        <v>6.0418381857645382</v>
      </c>
      <c r="C12" s="24">
        <f t="shared" si="5"/>
        <v>5.8642372390724002</v>
      </c>
      <c r="D12" s="24">
        <f t="shared" si="5"/>
        <v>5.0525807782422216</v>
      </c>
      <c r="E12" s="24">
        <f t="shared" si="5"/>
        <v>4.5666230875234088</v>
      </c>
      <c r="F12" s="24">
        <f t="shared" si="5"/>
        <v>3.9351851851851847</v>
      </c>
      <c r="G12" s="24">
        <f t="shared" si="5"/>
        <v>5.1710771843238179</v>
      </c>
      <c r="H12" s="24">
        <f t="shared" si="5"/>
        <v>6.2447297379098954</v>
      </c>
      <c r="I12" s="24">
        <f t="shared" si="5"/>
        <v>6.5491782485057897</v>
      </c>
      <c r="J12" s="24">
        <f t="shared" si="5"/>
        <v>7.433021362519356</v>
      </c>
      <c r="K12" s="24">
        <f t="shared" si="5"/>
        <v>8.091325371675353</v>
      </c>
      <c r="L12" s="24">
        <f t="shared" si="5"/>
        <v>9.3012515586754709</v>
      </c>
      <c r="M12" s="24">
        <f>M8/M5*100</f>
        <v>8.2895370278389908</v>
      </c>
      <c r="N12" s="24">
        <f>N8/N5*100</f>
        <v>7.2900661202687109</v>
      </c>
      <c r="O12" s="24">
        <f>O8/O5*100</f>
        <v>7.5366572050262368</v>
      </c>
      <c r="P12" s="25" t="s">
        <v>13</v>
      </c>
    </row>
    <row r="13" spans="1:26" ht="15.5" x14ac:dyDescent="0.3">
      <c r="A13" s="18" t="s">
        <v>1</v>
      </c>
      <c r="B13" s="19" t="e">
        <f>(B5-#REF!)/#REF!*100</f>
        <v>#REF!</v>
      </c>
      <c r="C13" s="19">
        <f t="shared" ref="C13:O16" si="6">(C5-B5)/B5*100</f>
        <v>16.349824114961454</v>
      </c>
      <c r="D13" s="19">
        <f t="shared" si="6"/>
        <v>3.3007944421215059</v>
      </c>
      <c r="E13" s="19">
        <f t="shared" si="6"/>
        <v>10.147195043162165</v>
      </c>
      <c r="F13" s="27">
        <f t="shared" si="6"/>
        <v>22.115826295890617</v>
      </c>
      <c r="G13" s="27">
        <f t="shared" si="6"/>
        <v>11.085167824074089</v>
      </c>
      <c r="H13" s="27">
        <f t="shared" si="6"/>
        <v>-8.3186089752121342E-2</v>
      </c>
      <c r="I13" s="27">
        <f t="shared" si="6"/>
        <v>8.2722643791050494</v>
      </c>
      <c r="J13" s="27">
        <f t="shared" ref="J13:O13" si="7">(J5-I5)/I5*100</f>
        <v>11.955158524466658</v>
      </c>
      <c r="K13" s="27">
        <f t="shared" si="7"/>
        <v>7.3661747751148612</v>
      </c>
      <c r="L13" s="27">
        <f t="shared" si="7"/>
        <v>4.0955398957586393</v>
      </c>
      <c r="M13" s="27">
        <f t="shared" si="7"/>
        <v>4.7582013269908687</v>
      </c>
      <c r="N13" s="27">
        <f t="shared" si="7"/>
        <v>2.4241409389701247</v>
      </c>
      <c r="O13" s="27">
        <f t="shared" si="7"/>
        <v>-2.0377404401939163</v>
      </c>
      <c r="P13" s="21" t="s">
        <v>2</v>
      </c>
    </row>
    <row r="14" spans="1:26" ht="15.5" x14ac:dyDescent="0.3">
      <c r="A14" s="6" t="s">
        <v>8</v>
      </c>
      <c r="B14" s="22" t="e">
        <f>(B6-#REF!)/#REF!*100</f>
        <v>#REF!</v>
      </c>
      <c r="C14" s="22">
        <f>(C6-B6)/B6*100</f>
        <v>20.354666533645936</v>
      </c>
      <c r="D14" s="22">
        <f t="shared" si="6"/>
        <v>7.3339550305667691</v>
      </c>
      <c r="E14" s="22">
        <f t="shared" si="6"/>
        <v>16.416959493377611</v>
      </c>
      <c r="F14" s="28">
        <f t="shared" si="6"/>
        <v>21.896611771729944</v>
      </c>
      <c r="G14" s="28">
        <f t="shared" si="6"/>
        <v>7.9715646258503563</v>
      </c>
      <c r="H14" s="28">
        <f t="shared" si="6"/>
        <v>2.6416630228921298</v>
      </c>
      <c r="I14" s="28">
        <f t="shared" si="6"/>
        <v>7.9217548231856592</v>
      </c>
      <c r="J14" s="28">
        <f t="shared" si="6"/>
        <v>8.813056756192438</v>
      </c>
      <c r="K14" s="28">
        <f t="shared" si="6"/>
        <v>5.7334800192837694</v>
      </c>
      <c r="L14" s="28">
        <f t="shared" si="6"/>
        <v>2.7452046667984957</v>
      </c>
      <c r="M14" s="28">
        <f t="shared" si="6"/>
        <v>2.986614252789495</v>
      </c>
      <c r="N14" s="28">
        <f t="shared" si="6"/>
        <v>6.2563629995248764</v>
      </c>
      <c r="O14" s="28">
        <f t="shared" si="6"/>
        <v>-1.6647224898243509</v>
      </c>
      <c r="P14" s="7" t="s">
        <v>9</v>
      </c>
    </row>
    <row r="15" spans="1:26" ht="15.5" x14ac:dyDescent="0.3">
      <c r="A15" s="6" t="s">
        <v>10</v>
      </c>
      <c r="B15" s="22" t="e">
        <f>(B7-#REF!)/#REF!*100</f>
        <v>#REF!</v>
      </c>
      <c r="C15" s="22">
        <f>(C7-B7)/B7*100</f>
        <v>1.5759312320916861</v>
      </c>
      <c r="D15" s="33">
        <f t="shared" si="6"/>
        <v>-10.558824959875489</v>
      </c>
      <c r="E15" s="33">
        <f t="shared" si="6"/>
        <v>-21.43012506797173</v>
      </c>
      <c r="F15" s="33">
        <f t="shared" si="6"/>
        <v>31.496989411031905</v>
      </c>
      <c r="G15" s="33">
        <f t="shared" si="6"/>
        <v>22.688526315789488</v>
      </c>
      <c r="H15" s="33">
        <f t="shared" si="6"/>
        <v>-27.469818736535235</v>
      </c>
      <c r="I15" s="33">
        <f t="shared" si="6"/>
        <v>7.9102735018672421</v>
      </c>
      <c r="J15" s="33">
        <f t="shared" si="6"/>
        <v>30.971564500570004</v>
      </c>
      <c r="K15" s="33">
        <f t="shared" si="6"/>
        <v>13.561130756837066</v>
      </c>
      <c r="L15" s="33">
        <f t="shared" si="6"/>
        <v>2.5759139150943455</v>
      </c>
      <c r="M15" s="33">
        <f t="shared" si="6"/>
        <v>27.879540147296588</v>
      </c>
      <c r="N15" s="33">
        <f t="shared" si="6"/>
        <v>-12.791334354255524</v>
      </c>
      <c r="O15" s="33">
        <f t="shared" si="6"/>
        <v>-6.9402386947300148</v>
      </c>
      <c r="P15" s="7" t="s">
        <v>11</v>
      </c>
    </row>
    <row r="16" spans="1:26" ht="15.5" x14ac:dyDescent="0.3">
      <c r="A16" s="29" t="s">
        <v>12</v>
      </c>
      <c r="B16" s="30" t="e">
        <f>(B8-#REF!)/#REF!*100</f>
        <v>#REF!</v>
      </c>
      <c r="C16" s="34">
        <f>(C8-B8)/B8*100</f>
        <v>12.929699597398574</v>
      </c>
      <c r="D16" s="34">
        <f t="shared" si="6"/>
        <v>-10.996846290963944</v>
      </c>
      <c r="E16" s="34">
        <f t="shared" si="6"/>
        <v>-0.44677245416730726</v>
      </c>
      <c r="F16" s="34">
        <f t="shared" si="6"/>
        <v>5.2305787681832268</v>
      </c>
      <c r="G16" s="34">
        <f t="shared" si="6"/>
        <v>45.972794117647062</v>
      </c>
      <c r="H16" s="34">
        <f t="shared" si="6"/>
        <v>20.662190275182223</v>
      </c>
      <c r="I16" s="34">
        <f t="shared" si="6"/>
        <v>13.550848243023591</v>
      </c>
      <c r="J16" s="34">
        <f t="shared" si="6"/>
        <v>27.064045805511849</v>
      </c>
      <c r="K16" s="34">
        <f t="shared" si="6"/>
        <v>16.875037975562535</v>
      </c>
      <c r="L16" s="34">
        <f t="shared" si="6"/>
        <v>19.661335841956728</v>
      </c>
      <c r="M16" s="34">
        <f t="shared" si="6"/>
        <v>-6.6365441906653526</v>
      </c>
      <c r="N16" s="34">
        <f t="shared" si="6"/>
        <v>-9.9251553797008292</v>
      </c>
      <c r="O16" s="34">
        <f t="shared" si="6"/>
        <v>1.2758947795179769</v>
      </c>
      <c r="P16" s="31" t="s">
        <v>13</v>
      </c>
    </row>
    <row r="17" spans="1:16" ht="15" x14ac:dyDescent="0.5">
      <c r="A17" s="8" t="s">
        <v>16</v>
      </c>
      <c r="P17" s="10" t="s">
        <v>15</v>
      </c>
    </row>
    <row r="18" spans="1:16" ht="15.5" x14ac:dyDescent="0.55000000000000004">
      <c r="F18" s="32"/>
      <c r="G18" s="32"/>
      <c r="H18" s="32"/>
      <c r="I18" s="32"/>
      <c r="J18" s="32"/>
      <c r="K18" s="32"/>
      <c r="L18" s="32"/>
      <c r="M18" s="32"/>
      <c r="N18" s="32"/>
      <c r="O18" s="32"/>
    </row>
  </sheetData>
  <mergeCells count="3">
    <mergeCell ref="A1:P1"/>
    <mergeCell ref="A2:P2"/>
    <mergeCell ref="D3:O3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2023-10-24T01:42:57Z</cp:lastPrinted>
  <dcterms:created xsi:type="dcterms:W3CDTF">2019-05-21T05:57:01Z</dcterms:created>
  <dcterms:modified xsi:type="dcterms:W3CDTF">2023-10-24T01:43:04Z</dcterms:modified>
</cp:coreProperties>
</file>