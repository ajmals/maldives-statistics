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268A371A-12DE-4D3B-BD66-F9386615E6C2}" xr6:coauthVersionLast="47" xr6:coauthVersionMax="47" xr10:uidLastSave="{00000000-0000-0000-0000-000000000000}"/>
  <bookViews>
    <workbookView xWindow="-110" yWindow="-110" windowWidth="19420" windowHeight="10300" tabRatio="763" xr2:uid="{00000000-000D-0000-FFFF-FFFF00000000}"/>
  </bookViews>
  <sheets>
    <sheet name="12.1" sheetId="15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'12.1'!$A$1:$P$38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5" l="1"/>
  <c r="N8" i="15"/>
  <c r="N7" i="15"/>
  <c r="N6" i="15"/>
  <c r="N5" i="15" l="1"/>
  <c r="N10" i="15" s="1"/>
  <c r="N12" i="15" l="1"/>
  <c r="N14" i="15"/>
  <c r="N13" i="15"/>
  <c r="N11" i="15"/>
  <c r="M9" i="15" l="1"/>
  <c r="N19" i="15" s="1"/>
  <c r="M8" i="15"/>
  <c r="N18" i="15" s="1"/>
  <c r="M7" i="15"/>
  <c r="N17" i="15" s="1"/>
  <c r="M6" i="15"/>
  <c r="N16" i="15" s="1"/>
  <c r="M19" i="15" l="1"/>
  <c r="M18" i="15"/>
  <c r="M17" i="15"/>
  <c r="M16" i="15"/>
  <c r="M5" i="15"/>
  <c r="N15" i="15" s="1"/>
  <c r="M11" i="15" l="1"/>
  <c r="M13" i="15"/>
  <c r="M14" i="15"/>
  <c r="M10" i="15"/>
  <c r="M12" i="15"/>
  <c r="H16" i="15" l="1"/>
  <c r="K9" i="15"/>
  <c r="J9" i="15"/>
  <c r="I9" i="15"/>
  <c r="H9" i="15"/>
  <c r="H19" i="15" s="1"/>
  <c r="F9" i="15"/>
  <c r="E9" i="15"/>
  <c r="D9" i="15"/>
  <c r="D19" i="15" s="1"/>
  <c r="K8" i="15"/>
  <c r="J8" i="15"/>
  <c r="I8" i="15"/>
  <c r="H8" i="15"/>
  <c r="I18" i="15" s="1"/>
  <c r="F8" i="15"/>
  <c r="G18" i="15" s="1"/>
  <c r="E8" i="15"/>
  <c r="D8" i="15"/>
  <c r="D18" i="15" s="1"/>
  <c r="K7" i="15"/>
  <c r="J7" i="15"/>
  <c r="I7" i="15"/>
  <c r="H7" i="15"/>
  <c r="H17" i="15" s="1"/>
  <c r="F7" i="15"/>
  <c r="G17" i="15" s="1"/>
  <c r="E7" i="15"/>
  <c r="D7" i="15"/>
  <c r="K6" i="15"/>
  <c r="L16" i="15" s="1"/>
  <c r="J6" i="15"/>
  <c r="I6" i="15"/>
  <c r="I16" i="15" s="1"/>
  <c r="F6" i="15"/>
  <c r="E6" i="15"/>
  <c r="D6" i="15"/>
  <c r="D16" i="15" s="1"/>
  <c r="L5" i="15"/>
  <c r="H5" i="15"/>
  <c r="G5" i="15"/>
  <c r="I19" i="15" l="1"/>
  <c r="E16" i="15"/>
  <c r="K5" i="15"/>
  <c r="K13" i="15" s="1"/>
  <c r="L12" i="15"/>
  <c r="M15" i="15"/>
  <c r="J19" i="15"/>
  <c r="H13" i="15"/>
  <c r="E19" i="15"/>
  <c r="H18" i="15"/>
  <c r="K17" i="15"/>
  <c r="L17" i="15"/>
  <c r="H12" i="15"/>
  <c r="L13" i="15"/>
  <c r="F5" i="15"/>
  <c r="F13" i="15" s="1"/>
  <c r="G16" i="15"/>
  <c r="F16" i="15"/>
  <c r="D5" i="15"/>
  <c r="D11" i="15" s="1"/>
  <c r="D17" i="15"/>
  <c r="I17" i="15"/>
  <c r="E18" i="15"/>
  <c r="J18" i="15"/>
  <c r="K18" i="15"/>
  <c r="G19" i="15"/>
  <c r="F19" i="15"/>
  <c r="L19" i="15"/>
  <c r="K19" i="15"/>
  <c r="E5" i="15"/>
  <c r="E13" i="15" s="1"/>
  <c r="J17" i="15"/>
  <c r="F18" i="15"/>
  <c r="G13" i="15"/>
  <c r="G12" i="15"/>
  <c r="G11" i="15"/>
  <c r="G14" i="15"/>
  <c r="G10" i="15"/>
  <c r="J5" i="15"/>
  <c r="J13" i="15" s="1"/>
  <c r="H15" i="15"/>
  <c r="H10" i="15"/>
  <c r="L10" i="15"/>
  <c r="H14" i="15"/>
  <c r="L14" i="15"/>
  <c r="J16" i="15"/>
  <c r="E17" i="15"/>
  <c r="L18" i="15"/>
  <c r="I5" i="15"/>
  <c r="I12" i="15" s="1"/>
  <c r="H11" i="15"/>
  <c r="L11" i="15"/>
  <c r="L15" i="15"/>
  <c r="K16" i="15"/>
  <c r="F17" i="15"/>
  <c r="K10" i="15" l="1"/>
  <c r="K11" i="15"/>
  <c r="K14" i="15"/>
  <c r="K12" i="15"/>
  <c r="E11" i="15"/>
  <c r="D12" i="15"/>
  <c r="I11" i="15"/>
  <c r="F10" i="15"/>
  <c r="F12" i="15"/>
  <c r="F15" i="15"/>
  <c r="I15" i="15"/>
  <c r="I10" i="15"/>
  <c r="I13" i="15"/>
  <c r="J10" i="15"/>
  <c r="J15" i="15"/>
  <c r="J11" i="15"/>
  <c r="G15" i="15"/>
  <c r="F11" i="15"/>
  <c r="J14" i="15"/>
  <c r="F14" i="15"/>
  <c r="I14" i="15"/>
  <c r="J12" i="15"/>
  <c r="E15" i="15"/>
  <c r="E14" i="15"/>
  <c r="E10" i="15"/>
  <c r="E12" i="15"/>
  <c r="D15" i="15"/>
  <c r="D14" i="15"/>
  <c r="D10" i="15"/>
  <c r="D13" i="15"/>
  <c r="K15" i="15"/>
</calcChain>
</file>

<file path=xl/sharedStrings.xml><?xml version="1.0" encoding="utf-8"?>
<sst xmlns="http://schemas.openxmlformats.org/spreadsheetml/2006/main" count="37" uniqueCount="22">
  <si>
    <t xml:space="preserve"> % cnutogWviawfiheb</t>
  </si>
  <si>
    <t>% change over previous year</t>
  </si>
  <si>
    <t xml:space="preserve"> % urwvcnim ivurutia eruvcSwrwhwa Iruk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</si>
  <si>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</si>
  <si>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</si>
  <si>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</si>
  <si>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</si>
  <si>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</si>
  <si>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</si>
  <si>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</si>
  <si>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</si>
  <si>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</si>
  <si>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</si>
  <si>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r>
      <t>Public Places and  Schools</t>
    </r>
    <r>
      <rPr>
        <vertAlign val="superscript"/>
        <sz val="10"/>
        <rFont val="Calibri"/>
        <family val="2"/>
        <scheme val="minor"/>
      </rPr>
      <t>1_/</t>
    </r>
  </si>
  <si>
    <t xml:space="preserve"> cawtclUkcs iaWnwtcnwt wncnuh cSwmunEb umcaWA</t>
  </si>
  <si>
    <t>%  share</t>
  </si>
  <si>
    <t>Public Places and  Schools</t>
  </si>
  <si>
    <t>Source: State Electric Company Limited</t>
  </si>
  <si>
    <t>cDeTimil Inepcmok ckircTckeliacTETcs :ctWrwf ivcaedutWmUluAwm</t>
  </si>
  <si>
    <t>Note: 1_/ -  The increase of  electricity utilization in Public Places and schools in 2017 and 2018   is due to including of  TERTIARY HOSPITAL</t>
  </si>
  <si>
    <t>2021 - 2010 ,ctogEveruk cnunEb cTcnwrwk iawgElWm : 12.1 ulwvWt</t>
  </si>
  <si>
    <t>Table 12.1 :   ELECTRICITY UTILIZATION IN MALE',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</si>
</sst>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_Faseyha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9" fillId="0" borderId="0"/>
    <xf numFmtId="164" fontId="2" fillId="0" borderId="0" applyFont="0" applyFill="0" applyBorder="0" applyAlignment="0" applyProtection="0"/>
  </cellStyleXfs>
  <cellXfs count="96">
    <xf numFmtId="0" fontId="0" fillId="0" borderId="0" xfId="0"/>
    <xf numFmtId="0" fontId="8" fillId="2" borderId="0" xfId="0" applyFont="1" applyFill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3" fontId="3" fillId="2" borderId="7" xfId="0" applyNumberFormat="1" applyFont="1" applyFill="1" applyBorder="1" applyAlignment="1">
      <alignment horizontal="right" vertical="center"/>
    </xf>
    <xf numFmtId="165" fontId="3" fillId="2" borderId="7" xfId="1" applyNumberFormat="1" applyFont="1" applyFill="1" applyBorder="1" applyAlignment="1" applyProtection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left" vertical="center"/>
    </xf>
    <xf numFmtId="3" fontId="7" fillId="2" borderId="11" xfId="0" applyNumberFormat="1" applyFont="1" applyFill="1" applyBorder="1" applyAlignment="1">
      <alignment horizontal="right" vertical="center"/>
    </xf>
    <xf numFmtId="165" fontId="7" fillId="2" borderId="11" xfId="1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165" fontId="7" fillId="2" borderId="4" xfId="1" applyNumberFormat="1" applyFont="1" applyFill="1" applyBorder="1" applyAlignment="1">
      <alignment vertical="center"/>
    </xf>
    <xf numFmtId="0" fontId="7" fillId="2" borderId="1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right" vertical="center"/>
    </xf>
    <xf numFmtId="3" fontId="3" fillId="2" borderId="15" xfId="0" applyNumberFormat="1" applyFont="1" applyFill="1" applyBorder="1" applyAlignment="1">
      <alignment horizontal="right" vertical="center"/>
    </xf>
    <xf numFmtId="1" fontId="3" fillId="2" borderId="15" xfId="1" applyNumberFormat="1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3" fontId="7" fillId="2" borderId="11" xfId="1" applyNumberFormat="1" applyFont="1" applyFill="1" applyBorder="1" applyAlignment="1">
      <alignment horizontal="right" vertical="center"/>
    </xf>
    <xf numFmtId="1" fontId="7" fillId="2" borderId="11" xfId="1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 applyProtection="1">
      <alignment vertical="center"/>
      <protection locked="0"/>
    </xf>
    <xf numFmtId="1" fontId="7" fillId="2" borderId="4" xfId="0" applyNumberFormat="1" applyFont="1" applyFill="1" applyBorder="1" applyAlignment="1">
      <alignment vertical="center"/>
    </xf>
    <xf numFmtId="3" fontId="7" fillId="2" borderId="16" xfId="0" applyNumberFormat="1" applyFont="1" applyFill="1" applyBorder="1" applyAlignment="1" applyProtection="1">
      <alignment vertical="center"/>
      <protection locked="0"/>
    </xf>
    <xf numFmtId="1" fontId="7" fillId="2" borderId="16" xfId="0" applyNumberFormat="1" applyFont="1" applyFill="1" applyBorder="1" applyAlignment="1">
      <alignment vertical="center"/>
    </xf>
    <xf numFmtId="0" fontId="8" fillId="2" borderId="16" xfId="0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1" fontId="3" fillId="2" borderId="7" xfId="1" applyNumberFormat="1" applyFont="1" applyFill="1" applyBorder="1" applyAlignment="1">
      <alignment horizontal="right" vertical="center"/>
    </xf>
    <xf numFmtId="3" fontId="7" fillId="2" borderId="4" xfId="1" applyNumberFormat="1" applyFont="1" applyFill="1" applyBorder="1" applyAlignment="1">
      <alignment vertical="center"/>
    </xf>
    <xf numFmtId="0" fontId="7" fillId="2" borderId="17" xfId="0" applyFont="1" applyFill="1" applyBorder="1" applyAlignment="1">
      <alignment horizontal="left" vertical="center"/>
    </xf>
    <xf numFmtId="3" fontId="7" fillId="2" borderId="18" xfId="1" applyNumberFormat="1" applyFont="1" applyFill="1" applyBorder="1" applyAlignment="1">
      <alignment vertical="center"/>
    </xf>
    <xf numFmtId="1" fontId="7" fillId="2" borderId="18" xfId="1" applyNumberFormat="1" applyFont="1" applyFill="1" applyBorder="1" applyAlignment="1">
      <alignment vertical="center"/>
    </xf>
    <xf numFmtId="0" fontId="8" fillId="2" borderId="18" xfId="0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left" vertical="center"/>
    </xf>
    <xf numFmtId="3" fontId="10" fillId="2" borderId="7" xfId="1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11" fillId="2" borderId="0" xfId="0" applyFont="1" applyFill="1" applyAlignment="1">
      <alignment horizontal="right"/>
    </xf>
    <xf numFmtId="0" fontId="6" fillId="2" borderId="13" xfId="0" applyFont="1" applyFill="1" applyBorder="1" applyAlignment="1">
      <alignment horizontal="left" vertical="center"/>
    </xf>
    <xf numFmtId="3" fontId="6" fillId="2" borderId="11" xfId="1" applyNumberFormat="1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0" fillId="2" borderId="11" xfId="0" applyFill="1" applyBorder="1"/>
    <xf numFmtId="0" fontId="0" fillId="2" borderId="13" xfId="0" applyFill="1" applyBorder="1"/>
    <xf numFmtId="3" fontId="7" fillId="2" borderId="10" xfId="1" applyNumberFormat="1" applyFont="1" applyFill="1" applyBorder="1" applyAlignment="1">
      <alignment vertical="center"/>
    </xf>
    <xf numFmtId="1" fontId="7" fillId="2" borderId="10" xfId="1" applyNumberFormat="1" applyFont="1" applyFill="1" applyBorder="1" applyAlignment="1">
      <alignment vertical="center"/>
    </xf>
    <xf numFmtId="0" fontId="18" fillId="2" borderId="6" xfId="0" applyFont="1" applyFill="1" applyBorder="1" applyAlignment="1">
      <alignment horizontal="left" vertical="center"/>
    </xf>
    <xf numFmtId="1" fontId="7" fillId="2" borderId="0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6" fillId="2" borderId="4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5" fillId="2" borderId="20" xfId="0" applyFont="1" applyFill="1" applyBorder="1" applyAlignment="1">
      <alignment horizontal="right" vertical="center"/>
    </xf>
    <xf numFmtId="0" fontId="5" fillId="2" borderId="21" xfId="0" applyFont="1" applyFill="1" applyBorder="1" applyAlignment="1">
      <alignment horizontal="right" vertical="center"/>
    </xf>
    <xf numFmtId="0" fontId="8" fillId="2" borderId="19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vertical="center"/>
    </xf>
    <xf numFmtId="0" fontId="0" fillId="2" borderId="19" xfId="0" applyFill="1" applyBorder="1"/>
    <xf numFmtId="0" fontId="0" fillId="2" borderId="22" xfId="0" applyFill="1" applyBorder="1"/>
    <xf numFmtId="0" fontId="2" fillId="2" borderId="2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/>
    </xf>
    <xf numFmtId="1" fontId="6" fillId="2" borderId="0" xfId="0" applyNumberFormat="1" applyFont="1" applyFill="1"/>
    <xf numFmtId="0" fontId="6" fillId="2" borderId="0" xfId="0" applyFont="1" applyFill="1"/>
    <xf numFmtId="3" fontId="0" fillId="2" borderId="0" xfId="0" applyNumberFormat="1" applyFill="1"/>
    <xf numFmtId="1" fontId="0" fillId="2" borderId="0" xfId="0" applyNumberFormat="1" applyFill="1"/>
    <xf numFmtId="165" fontId="6" fillId="2" borderId="0" xfId="2" applyFont="1" applyFill="1" applyBorder="1" applyAlignment="1" applyProtection="1">
      <alignment horizontal="right" vertical="center"/>
      <protection locked="0"/>
    </xf>
    <xf numFmtId="165" fontId="3" fillId="2" borderId="0" xfId="1" applyNumberFormat="1" applyFont="1" applyFill="1" applyBorder="1" applyAlignment="1" applyProtection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5" fontId="14" fillId="2" borderId="0" xfId="1" applyNumberFormat="1" applyFont="1" applyFill="1" applyBorder="1" applyAlignment="1" applyProtection="1">
      <alignment horizontal="right" vertical="center"/>
    </xf>
    <xf numFmtId="166" fontId="6" fillId="2" borderId="0" xfId="0" applyNumberFormat="1" applyFont="1" applyFill="1"/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</cellXfs>
  <cellStyles count="9">
    <cellStyle name="Comma" xfId="1" builtinId="3"/>
    <cellStyle name="Comma 2" xfId="2" xr:uid="{00000000-0005-0000-0000-000001000000}"/>
    <cellStyle name="Comma 2 2" xfId="8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</cellStyles>
  <dxfs count="0"/>
  <tableStyles count="0" defaultTableStyle="TableStyleMedium2" defaultPivotStyle="PivotStyleLight16"/>
  <colors>
    <mruColors>
      <color rgb="FFFDDFE4"/>
      <color rgb="FFC7F2F1"/>
      <color rgb="FFEAFAFA"/>
      <color rgb="FF33CCCC"/>
      <color rgb="FF249390"/>
      <color rgb="FFFF9933"/>
      <color rgb="FFFF9900"/>
      <color rgb="FF196563"/>
      <color rgb="FFF5EADF"/>
      <color rgb="FFDAB4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12.1:  Electricity utilization in Male', 2010 - 2021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368988914847743"/>
          <c:y val="5.9947524628400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0924525367902"/>
          <c:y val="0.19432888597258677"/>
          <c:w val="0.84735454746792194"/>
          <c:h val="0.698271726450860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'12.1'!$C$4:$N$4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'12.1'!$C$5:$N$5</c:f>
              <c:numCache>
                <c:formatCode>_(* #,##0_);_(* \(#,##0\);_(* "-"??_);_(@_)</c:formatCode>
                <c:ptCount val="12"/>
                <c:pt idx="0" formatCode="#,##0">
                  <c:v>195722.55800000002</c:v>
                </c:pt>
                <c:pt idx="1">
                  <c:v>211889.32699999999</c:v>
                </c:pt>
                <c:pt idx="2" formatCode="#,##0">
                  <c:v>219663.37332000001</c:v>
                </c:pt>
                <c:pt idx="3" formatCode="#,##0">
                  <c:v>232023.39200000002</c:v>
                </c:pt>
                <c:pt idx="4" formatCode="#,##0">
                  <c:v>239067</c:v>
                </c:pt>
                <c:pt idx="5" formatCode="#,##0">
                  <c:v>260445.08562</c:v>
                </c:pt>
                <c:pt idx="6" formatCode="#,##0">
                  <c:v>271814.04891000001</c:v>
                </c:pt>
                <c:pt idx="7" formatCode="#,##0">
                  <c:v>304527.45199199999</c:v>
                </c:pt>
                <c:pt idx="8" formatCode="#,##0">
                  <c:v>318850.96300000005</c:v>
                </c:pt>
                <c:pt idx="9" formatCode="#,##0">
                  <c:v>356353.60600000003</c:v>
                </c:pt>
                <c:pt idx="10" formatCode="#,##0">
                  <c:v>349092.49200000003</c:v>
                </c:pt>
                <c:pt idx="11" formatCode="#,##0">
                  <c:v>355496.29966999998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1-44FE-BCF6-B969F127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1"/>
        <c:overlap val="-27"/>
        <c:axId val="462056392"/>
        <c:axId val="462054040"/>
      </c:barChart>
      <c:catAx>
        <c:axId val="46205639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040"/>
        <c:crosses val="autoZero"/>
        <c:auto val="1"/>
        <c:lblAlgn val="ctr"/>
        <c:lblOffset val="100"/>
        <c:noMultiLvlLbl val="0"/>
      </c:catAx>
      <c:valAx>
        <c:axId val="462054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6392"/>
        <c:crosses val="autoZero"/>
        <c:crossBetween val="between"/>
      </c:valAx>
      <c:spPr>
        <a:solidFill>
          <a:srgbClr val="FDDFE4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12.2:  Percentage of Electricity utilization in  Male' by type,  2021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8038699895628424"/>
          <c:y val="4.20071584606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175603049618798E-2"/>
          <c:y val="0.29610819480898221"/>
          <c:w val="0.82511364650847219"/>
          <c:h val="0.6674595363079615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2CE-4A48-82B4-13F9D016B9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CE-4A48-82B4-13F9D016B9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CE-4A48-82B4-13F9D016B9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2CE-4A48-82B4-13F9D016B9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'12.1'!$A$11:$A$14</c:f>
              <c:strCache>
                <c:ptCount val="4"/>
                <c:pt idx="0">
                  <c:v>Residential </c:v>
                </c:pt>
                <c:pt idx="1">
                  <c:v>Manufacturing and  Commercial</c:v>
                </c:pt>
                <c:pt idx="2">
                  <c:v>Government Buildings</c:v>
                </c:pt>
                <c:pt idx="3">
                  <c:v>Public Places and  Schools</c:v>
                </c:pt>
              </c:strCache>
            </c:strRef>
          </c:cat>
          <c:val>
            <c:numRef>
              <c:f>'12.1'!$N$6:$N$9</c:f>
              <c:numCache>
                <c:formatCode>#,##0</c:formatCode>
                <c:ptCount val="4"/>
                <c:pt idx="0">
                  <c:v>201693.45166999998</c:v>
                </c:pt>
                <c:pt idx="1">
                  <c:v>105735.93799999999</c:v>
                </c:pt>
                <c:pt idx="2">
                  <c:v>31329.341</c:v>
                </c:pt>
                <c:pt idx="3">
                  <c:v>16737.569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E-4A48-82B4-13F9D016B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rgbClr val="FDDFE4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DDFE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21</xdr:row>
      <xdr:rowOff>161925</xdr:rowOff>
    </xdr:from>
    <xdr:to>
      <xdr:col>8</xdr:col>
      <xdr:colOff>174949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141266</xdr:colOff>
      <xdr:row>27</xdr:row>
      <xdr:rowOff>117295</xdr:rowOff>
    </xdr:from>
    <xdr:ext cx="233205" cy="74159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-112926" y="5800737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8</xdr:col>
      <xdr:colOff>738673</xdr:colOff>
      <xdr:row>21</xdr:row>
      <xdr:rowOff>180975</xdr:rowOff>
    </xdr:from>
    <xdr:to>
      <xdr:col>14</xdr:col>
      <xdr:colOff>2038349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N1079"/>
  <sheetViews>
    <sheetView tabSelected="1" topLeftCell="C1" zoomScale="78" zoomScaleNormal="78" workbookViewId="0">
      <selection activeCell="P28" sqref="P28"/>
    </sheetView>
  </sheetViews>
  <sheetFormatPr defaultColWidth="11.1796875" defaultRowHeight="12.5" x14ac:dyDescent="0.35"/>
  <cols>
    <col min="1" max="1" width="26.54296875" style="50" customWidth="1"/>
    <col min="2" max="2" width="11.1796875" style="21" hidden="1" customWidth="1"/>
    <col min="3" max="14" width="11.1796875" style="21" customWidth="1"/>
    <col min="15" max="15" width="34.54296875" style="21" customWidth="1"/>
    <col min="16" max="16" width="8.54296875" style="72" customWidth="1"/>
    <col min="17" max="19" width="22.54296875" style="67" customWidth="1"/>
    <col min="20" max="20" width="25" style="67" customWidth="1"/>
    <col min="21" max="21" width="9.26953125" style="67" customWidth="1"/>
    <col min="22" max="32" width="8.54296875" style="67" customWidth="1"/>
    <col min="33" max="33" width="10" style="67" customWidth="1"/>
    <col min="34" max="36" width="11.1796875" style="67"/>
    <col min="37" max="37" width="12.453125" style="67" bestFit="1" customWidth="1"/>
    <col min="38" max="221" width="11.1796875" style="67"/>
    <col min="222" max="222" width="11.1796875" style="50"/>
    <col min="223" max="16384" width="11.1796875" style="21"/>
  </cols>
  <sheetData>
    <row r="1" spans="1:222" s="2" customFormat="1" ht="18.5" x14ac:dyDescent="0.65">
      <c r="A1" s="93" t="s">
        <v>20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  <c r="P1" s="59"/>
      <c r="Q1" s="80"/>
      <c r="R1" s="80"/>
      <c r="S1" s="80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7"/>
      <c r="HC1" s="67"/>
      <c r="HD1" s="67"/>
      <c r="HE1" s="67"/>
      <c r="HF1" s="67"/>
      <c r="HG1" s="67"/>
      <c r="HH1" s="67"/>
      <c r="HI1" s="67"/>
      <c r="HJ1" s="67"/>
      <c r="HK1" s="67"/>
      <c r="HL1" s="67"/>
      <c r="HM1" s="67"/>
      <c r="HN1" s="76"/>
    </row>
    <row r="2" spans="1:222" s="4" customFormat="1" ht="15.5" x14ac:dyDescent="0.35">
      <c r="A2" s="95" t="s">
        <v>21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3"/>
      <c r="Q2" s="3"/>
      <c r="R2" s="3"/>
      <c r="S2" s="3"/>
    </row>
    <row r="3" spans="1:222" s="7" customFormat="1" ht="13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77"/>
    </row>
    <row r="4" spans="1:222" s="11" customFormat="1" ht="15.5" x14ac:dyDescent="0.35">
      <c r="A4" s="8" t="s">
        <v>3</v>
      </c>
      <c r="B4" s="9">
        <v>2009</v>
      </c>
      <c r="C4" s="9">
        <v>2010</v>
      </c>
      <c r="D4" s="9">
        <v>2011</v>
      </c>
      <c r="E4" s="9">
        <v>2012</v>
      </c>
      <c r="F4" s="9">
        <v>2013</v>
      </c>
      <c r="G4" s="9">
        <v>2014</v>
      </c>
      <c r="H4" s="9">
        <v>2015</v>
      </c>
      <c r="I4" s="9">
        <v>2016</v>
      </c>
      <c r="J4" s="9">
        <v>2017</v>
      </c>
      <c r="K4" s="9">
        <v>2018</v>
      </c>
      <c r="L4" s="9">
        <v>2019</v>
      </c>
      <c r="M4" s="9">
        <v>2020</v>
      </c>
      <c r="N4" s="9">
        <v>2021</v>
      </c>
      <c r="O4" s="10" t="s">
        <v>4</v>
      </c>
      <c r="P4" s="68"/>
      <c r="Q4" s="81"/>
      <c r="R4" s="81"/>
      <c r="S4" s="81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51"/>
    </row>
    <row r="5" spans="1:222" s="16" customFormat="1" ht="15.5" x14ac:dyDescent="0.35">
      <c r="A5" s="12" t="s">
        <v>5</v>
      </c>
      <c r="B5" s="13">
        <v>187110.266</v>
      </c>
      <c r="C5" s="13">
        <v>195722.55800000002</v>
      </c>
      <c r="D5" s="14">
        <f t="shared" ref="D5:L5" si="0">SUM(D6:D9)</f>
        <v>211889.32699999999</v>
      </c>
      <c r="E5" s="13">
        <f t="shared" si="0"/>
        <v>219663.37332000001</v>
      </c>
      <c r="F5" s="13">
        <f t="shared" si="0"/>
        <v>232023.39200000002</v>
      </c>
      <c r="G5" s="13">
        <f t="shared" si="0"/>
        <v>239067</v>
      </c>
      <c r="H5" s="13">
        <f t="shared" si="0"/>
        <v>260445.08562</v>
      </c>
      <c r="I5" s="13">
        <f t="shared" si="0"/>
        <v>271814.04891000001</v>
      </c>
      <c r="J5" s="13">
        <f t="shared" si="0"/>
        <v>304527.45199199999</v>
      </c>
      <c r="K5" s="13">
        <f t="shared" si="0"/>
        <v>318850.96300000005</v>
      </c>
      <c r="L5" s="13">
        <f t="shared" si="0"/>
        <v>356353.60600000003</v>
      </c>
      <c r="M5" s="13">
        <f>SUM(M6:M9)</f>
        <v>349092.49200000003</v>
      </c>
      <c r="N5" s="13">
        <f>SUM(N6:N9)</f>
        <v>355496.29966999998</v>
      </c>
      <c r="O5" s="15" t="s">
        <v>6</v>
      </c>
      <c r="P5" s="69"/>
      <c r="Q5" s="81"/>
      <c r="R5" s="81"/>
      <c r="S5" s="81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78"/>
    </row>
    <row r="6" spans="1:222" ht="15.5" x14ac:dyDescent="0.35">
      <c r="A6" s="17" t="s">
        <v>7</v>
      </c>
      <c r="B6" s="18">
        <v>88944.971999999994</v>
      </c>
      <c r="C6" s="18">
        <v>95038.9</v>
      </c>
      <c r="D6" s="19">
        <f>103656318/1000</f>
        <v>103656.318</v>
      </c>
      <c r="E6" s="18">
        <f>111363653/1000</f>
        <v>111363.65300000001</v>
      </c>
      <c r="F6" s="18">
        <f>119971440/1000</f>
        <v>119971.44</v>
      </c>
      <c r="G6" s="18">
        <v>123902</v>
      </c>
      <c r="H6" s="18">
        <v>137096</v>
      </c>
      <c r="I6" s="18">
        <f>137727445.83/1000</f>
        <v>137727.44583000001</v>
      </c>
      <c r="J6" s="18">
        <f>158915802.98/1000</f>
        <v>158915.80297999998</v>
      </c>
      <c r="K6" s="18">
        <f>166585834/1000</f>
        <v>166585.834</v>
      </c>
      <c r="L6" s="18">
        <v>189659.94099999999</v>
      </c>
      <c r="M6" s="18">
        <f>202004521/1000</f>
        <v>202004.52100000001</v>
      </c>
      <c r="N6" s="18">
        <f>201693451.67/1000</f>
        <v>201693.45166999998</v>
      </c>
      <c r="O6" s="20" t="s">
        <v>8</v>
      </c>
      <c r="P6" s="69"/>
      <c r="Q6" s="1"/>
      <c r="R6" s="1"/>
      <c r="S6" s="1"/>
      <c r="T6" s="4"/>
    </row>
    <row r="7" spans="1:222" ht="15.5" x14ac:dyDescent="0.35">
      <c r="A7" s="17" t="s">
        <v>9</v>
      </c>
      <c r="B7" s="22">
        <v>65606.008000000002</v>
      </c>
      <c r="C7" s="22">
        <v>71403.343999999997</v>
      </c>
      <c r="D7" s="23">
        <f>77813511/1000</f>
        <v>77813.510999999999</v>
      </c>
      <c r="E7" s="22">
        <f>79364129.32/1000</f>
        <v>79364.129319999993</v>
      </c>
      <c r="F7" s="22">
        <f>82565573/1000</f>
        <v>82565.573000000004</v>
      </c>
      <c r="G7" s="22">
        <v>85616</v>
      </c>
      <c r="H7" s="22">
        <f>91503609/1000</f>
        <v>91503.608999999997</v>
      </c>
      <c r="I7" s="22">
        <f>100920014.08/1000</f>
        <v>100920.01407999999</v>
      </c>
      <c r="J7" s="22">
        <f>104096665.01/1000</f>
        <v>104096.66501000001</v>
      </c>
      <c r="K7" s="22">
        <f>109946317/1000</f>
        <v>109946.317</v>
      </c>
      <c r="L7" s="22">
        <v>118499.515</v>
      </c>
      <c r="M7" s="22">
        <f>100990373/1000</f>
        <v>100990.37300000001</v>
      </c>
      <c r="N7" s="22">
        <f>105735938/1000</f>
        <v>105735.93799999999</v>
      </c>
      <c r="O7" s="20" t="s">
        <v>10</v>
      </c>
      <c r="P7" s="69"/>
      <c r="Q7" s="1"/>
      <c r="R7" s="1"/>
      <c r="S7" s="1"/>
      <c r="T7" s="4"/>
    </row>
    <row r="8" spans="1:222" ht="15.5" x14ac:dyDescent="0.35">
      <c r="A8" s="17" t="s">
        <v>11</v>
      </c>
      <c r="B8" s="18">
        <v>29244.899000000001</v>
      </c>
      <c r="C8" s="18">
        <v>25529.73</v>
      </c>
      <c r="D8" s="19">
        <f>26612399/1000</f>
        <v>26612.399000000001</v>
      </c>
      <c r="E8" s="18">
        <f>25667565/1000</f>
        <v>25667.564999999999</v>
      </c>
      <c r="F8" s="18">
        <f>26271621/1000</f>
        <v>26271.620999999999</v>
      </c>
      <c r="G8" s="18">
        <v>26534</v>
      </c>
      <c r="H8" s="18">
        <f>28589806.62/1000</f>
        <v>28589.806619999999</v>
      </c>
      <c r="I8" s="18">
        <f>30685177/1000</f>
        <v>30685.177</v>
      </c>
      <c r="J8" s="18">
        <f>31176746.002/1000</f>
        <v>31176.746002</v>
      </c>
      <c r="K8" s="18">
        <f>29469195/1000</f>
        <v>29469.195</v>
      </c>
      <c r="L8" s="18">
        <v>32819.432999999997</v>
      </c>
      <c r="M8" s="18">
        <f>29747172/1000</f>
        <v>29747.171999999999</v>
      </c>
      <c r="N8" s="18">
        <f>31329341/1000</f>
        <v>31329.341</v>
      </c>
      <c r="O8" s="20" t="s">
        <v>12</v>
      </c>
      <c r="P8" s="69"/>
      <c r="Q8" s="1"/>
      <c r="R8" s="1"/>
      <c r="S8" s="1"/>
      <c r="T8" s="4"/>
    </row>
    <row r="9" spans="1:222" ht="15.5" x14ac:dyDescent="0.35">
      <c r="A9" s="24" t="s">
        <v>13</v>
      </c>
      <c r="B9" s="22">
        <v>3314.3870000000002</v>
      </c>
      <c r="C9" s="22">
        <v>3750.5839999999998</v>
      </c>
      <c r="D9" s="23">
        <f>3807099/1000</f>
        <v>3807.0990000000002</v>
      </c>
      <c r="E9" s="22">
        <f>3268026/1000</f>
        <v>3268.0259999999998</v>
      </c>
      <c r="F9" s="22">
        <f>3214758/1000</f>
        <v>3214.7579999999998</v>
      </c>
      <c r="G9" s="22">
        <v>3015</v>
      </c>
      <c r="H9" s="22">
        <f>3255670/1000</f>
        <v>3255.67</v>
      </c>
      <c r="I9" s="22">
        <f>2481412/1000</f>
        <v>2481.4119999999998</v>
      </c>
      <c r="J9" s="22">
        <f>10338238/1000</f>
        <v>10338.237999999999</v>
      </c>
      <c r="K9" s="22">
        <f>12849617/1000</f>
        <v>12849.617</v>
      </c>
      <c r="L9" s="22">
        <v>15374.717000000001</v>
      </c>
      <c r="M9" s="22">
        <f>16350426/1000</f>
        <v>16350.425999999999</v>
      </c>
      <c r="N9" s="22">
        <f>16737569/1000</f>
        <v>16737.569</v>
      </c>
      <c r="O9" s="25" t="s">
        <v>14</v>
      </c>
      <c r="P9" s="69"/>
      <c r="Q9" s="1"/>
      <c r="R9" s="1"/>
      <c r="S9" s="1"/>
      <c r="T9" s="4"/>
    </row>
    <row r="10" spans="1:222" s="16" customFormat="1" ht="15.5" x14ac:dyDescent="0.35">
      <c r="A10" s="12" t="s">
        <v>15</v>
      </c>
      <c r="B10" s="26">
        <v>100</v>
      </c>
      <c r="C10" s="26">
        <v>100</v>
      </c>
      <c r="D10" s="27">
        <f t="shared" ref="D10:L10" si="1">D5/D5*100</f>
        <v>100</v>
      </c>
      <c r="E10" s="27">
        <f t="shared" si="1"/>
        <v>100</v>
      </c>
      <c r="F10" s="27">
        <f t="shared" si="1"/>
        <v>100</v>
      </c>
      <c r="G10" s="27">
        <f t="shared" si="1"/>
        <v>100</v>
      </c>
      <c r="H10" s="27">
        <f t="shared" si="1"/>
        <v>100</v>
      </c>
      <c r="I10" s="27">
        <f t="shared" si="1"/>
        <v>100</v>
      </c>
      <c r="J10" s="27">
        <f t="shared" si="1"/>
        <v>100</v>
      </c>
      <c r="K10" s="27">
        <f t="shared" si="1"/>
        <v>100</v>
      </c>
      <c r="L10" s="27">
        <f t="shared" si="1"/>
        <v>100</v>
      </c>
      <c r="M10" s="27">
        <f>M5/M5*100</f>
        <v>100</v>
      </c>
      <c r="N10" s="27">
        <f>N5/N5*100</f>
        <v>100</v>
      </c>
      <c r="O10" s="28" t="s">
        <v>0</v>
      </c>
      <c r="P10" s="69"/>
      <c r="Q10" s="81"/>
      <c r="R10" s="81"/>
      <c r="S10" s="8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78"/>
    </row>
    <row r="11" spans="1:222" ht="15.5" x14ac:dyDescent="0.35">
      <c r="A11" s="17" t="s">
        <v>7</v>
      </c>
      <c r="B11" s="29">
        <v>47.536126104379498</v>
      </c>
      <c r="C11" s="29">
        <v>48.557969490670558</v>
      </c>
      <c r="D11" s="30">
        <f>D6/D5*100</f>
        <v>48.920027954027148</v>
      </c>
      <c r="E11" s="30">
        <f>E6/E5*100</f>
        <v>50.697415466605023</v>
      </c>
      <c r="F11" s="30">
        <f>F6/F5*100</f>
        <v>51.706614133112915</v>
      </c>
      <c r="G11" s="30">
        <f>G6/G5*100</f>
        <v>51.827312008767414</v>
      </c>
      <c r="H11" s="30">
        <f t="shared" ref="H11:M11" si="2">H6/H5*100</f>
        <v>52.639119557060354</v>
      </c>
      <c r="I11" s="30">
        <f t="shared" si="2"/>
        <v>50.669730421330343</v>
      </c>
      <c r="J11" s="30">
        <f t="shared" si="2"/>
        <v>52.184393210033079</v>
      </c>
      <c r="K11" s="30">
        <f t="shared" si="2"/>
        <v>52.245673788352335</v>
      </c>
      <c r="L11" s="30">
        <f t="shared" si="2"/>
        <v>53.222399831699754</v>
      </c>
      <c r="M11" s="30">
        <f t="shared" si="2"/>
        <v>57.865616027055658</v>
      </c>
      <c r="N11" s="30">
        <f>N6/N5*100</f>
        <v>56.735738700298121</v>
      </c>
      <c r="O11" s="20" t="s">
        <v>8</v>
      </c>
      <c r="P11" s="69"/>
      <c r="Q11" s="1"/>
      <c r="R11" s="1"/>
      <c r="S11" s="1"/>
      <c r="T11" s="4"/>
    </row>
    <row r="12" spans="1:222" ht="15.5" x14ac:dyDescent="0.35">
      <c r="A12" s="17" t="s">
        <v>9</v>
      </c>
      <c r="B12" s="31">
        <v>35.062751714542486</v>
      </c>
      <c r="C12" s="31">
        <v>36.481918451116904</v>
      </c>
      <c r="D12" s="32">
        <f t="shared" ref="D12:J12" si="3">D7/D5*100</f>
        <v>36.723657629060291</v>
      </c>
      <c r="E12" s="32">
        <f t="shared" si="3"/>
        <v>36.129887345572328</v>
      </c>
      <c r="F12" s="32">
        <f t="shared" si="3"/>
        <v>35.585021099941507</v>
      </c>
      <c r="G12" s="32">
        <f t="shared" si="3"/>
        <v>35.812554639494365</v>
      </c>
      <c r="H12" s="32">
        <f t="shared" si="3"/>
        <v>35.133551774329689</v>
      </c>
      <c r="I12" s="32">
        <f t="shared" si="3"/>
        <v>37.128328901577667</v>
      </c>
      <c r="J12" s="32">
        <f t="shared" si="3"/>
        <v>34.18301513675511</v>
      </c>
      <c r="K12" s="32">
        <f>K7/K5*100</f>
        <v>34.482040124809025</v>
      </c>
      <c r="L12" s="32">
        <f>L7/L5*100</f>
        <v>33.253350886534875</v>
      </c>
      <c r="M12" s="32">
        <f>M7/M5*100</f>
        <v>28.929402755531047</v>
      </c>
      <c r="N12" s="32">
        <f>N7/N5*100</f>
        <v>29.743189478526926</v>
      </c>
      <c r="O12" s="20" t="s">
        <v>10</v>
      </c>
      <c r="P12" s="69"/>
      <c r="Q12" s="1"/>
      <c r="R12" s="1"/>
      <c r="S12" s="1"/>
      <c r="T12" s="4"/>
    </row>
    <row r="13" spans="1:222" ht="15.5" x14ac:dyDescent="0.35">
      <c r="A13" s="17" t="s">
        <v>11</v>
      </c>
      <c r="B13" s="18">
        <v>15.629767209031709</v>
      </c>
      <c r="C13" s="18">
        <v>13.043836265414024</v>
      </c>
      <c r="D13" s="30">
        <f t="shared" ref="D13:I13" si="4">D8/D5*100</f>
        <v>12.559575027580319</v>
      </c>
      <c r="E13" s="30">
        <f t="shared" si="4"/>
        <v>11.684954397294147</v>
      </c>
      <c r="F13" s="30">
        <f t="shared" si="4"/>
        <v>11.322832915053667</v>
      </c>
      <c r="G13" s="30">
        <f t="shared" si="4"/>
        <v>11.098980620495508</v>
      </c>
      <c r="H13" s="30">
        <f t="shared" si="4"/>
        <v>10.977287804045453</v>
      </c>
      <c r="I13" s="30">
        <f t="shared" si="4"/>
        <v>11.289032749797318</v>
      </c>
      <c r="J13" s="30">
        <f t="shared" ref="J13:N13" si="5">J8/J5*100</f>
        <v>10.237745660716007</v>
      </c>
      <c r="K13" s="30">
        <f t="shared" si="5"/>
        <v>9.242310176118238</v>
      </c>
      <c r="L13" s="30">
        <f t="shared" si="5"/>
        <v>9.2097939932169499</v>
      </c>
      <c r="M13" s="30">
        <f t="shared" si="5"/>
        <v>8.5212866737907369</v>
      </c>
      <c r="N13" s="30">
        <f t="shared" si="5"/>
        <v>8.812845880275658</v>
      </c>
      <c r="O13" s="20" t="s">
        <v>12</v>
      </c>
      <c r="P13" s="69"/>
      <c r="Q13" s="1"/>
      <c r="R13" s="1"/>
      <c r="S13" s="1"/>
      <c r="T13" s="4"/>
    </row>
    <row r="14" spans="1:222" ht="15.5" x14ac:dyDescent="0.35">
      <c r="A14" s="24" t="s">
        <v>16</v>
      </c>
      <c r="B14" s="33">
        <v>1.7713549720462696</v>
      </c>
      <c r="C14" s="33">
        <v>1.9162757927984977</v>
      </c>
      <c r="D14" s="34">
        <f t="shared" ref="D14:J14" si="6">D9/D5*100</f>
        <v>1.7967393893322434</v>
      </c>
      <c r="E14" s="34">
        <f t="shared" si="6"/>
        <v>1.4877427905284977</v>
      </c>
      <c r="F14" s="34">
        <f t="shared" si="6"/>
        <v>1.3855318518918986</v>
      </c>
      <c r="G14" s="34">
        <f t="shared" si="6"/>
        <v>1.261152731242706</v>
      </c>
      <c r="H14" s="34">
        <f t="shared" si="6"/>
        <v>1.2500408645644998</v>
      </c>
      <c r="I14" s="34">
        <f t="shared" si="6"/>
        <v>0.9129079272946693</v>
      </c>
      <c r="J14" s="34">
        <f t="shared" si="6"/>
        <v>3.3948459924958057</v>
      </c>
      <c r="K14" s="34">
        <f>K9/K5*100</f>
        <v>4.0299759107203945</v>
      </c>
      <c r="L14" s="34">
        <f>L9/L5*100</f>
        <v>4.3144552885484195</v>
      </c>
      <c r="M14" s="34">
        <f>M9/M5*100</f>
        <v>4.6836945436225532</v>
      </c>
      <c r="N14" s="34">
        <f>N9/N5*100</f>
        <v>4.7082259408992853</v>
      </c>
      <c r="O14" s="35" t="s">
        <v>14</v>
      </c>
      <c r="P14" s="69"/>
      <c r="Q14" s="1"/>
      <c r="R14" s="1"/>
      <c r="S14" s="1"/>
      <c r="T14" s="4"/>
    </row>
    <row r="15" spans="1:222" s="16" customFormat="1" ht="15.5" x14ac:dyDescent="0.35">
      <c r="A15" s="12" t="s">
        <v>1</v>
      </c>
      <c r="B15" s="36">
        <v>7.9248571813147315</v>
      </c>
      <c r="C15" s="36">
        <v>4.6027896726949482</v>
      </c>
      <c r="D15" s="37">
        <f t="shared" ref="D15:N19" si="7">(D5-C5)/C5*100</f>
        <v>8.2600437911709541</v>
      </c>
      <c r="E15" s="37">
        <f t="shared" si="7"/>
        <v>3.6689183122470457</v>
      </c>
      <c r="F15" s="37">
        <f t="shared" si="7"/>
        <v>5.6267999954613499</v>
      </c>
      <c r="G15" s="37">
        <f t="shared" si="7"/>
        <v>3.0357318455201181</v>
      </c>
      <c r="H15" s="37">
        <f t="shared" si="7"/>
        <v>8.9422988618253463</v>
      </c>
      <c r="I15" s="37">
        <f t="shared" si="7"/>
        <v>4.3652055338021603</v>
      </c>
      <c r="J15" s="37">
        <f t="shared" si="7"/>
        <v>12.035214225748746</v>
      </c>
      <c r="K15" s="37">
        <f t="shared" si="7"/>
        <v>4.7035204590935669</v>
      </c>
      <c r="L15" s="37">
        <f t="shared" si="7"/>
        <v>11.76180954485622</v>
      </c>
      <c r="M15" s="37">
        <f t="shared" si="7"/>
        <v>-2.0376148515808765</v>
      </c>
      <c r="N15" s="37">
        <f t="shared" si="7"/>
        <v>1.834415754206467</v>
      </c>
      <c r="O15" s="15" t="s">
        <v>2</v>
      </c>
      <c r="P15" s="69"/>
      <c r="Q15" s="81"/>
      <c r="R15" s="81"/>
      <c r="S15" s="81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78"/>
    </row>
    <row r="16" spans="1:222" ht="15.5" x14ac:dyDescent="0.35">
      <c r="A16" s="17" t="s">
        <v>7</v>
      </c>
      <c r="B16" s="29">
        <v>12.642419505982822</v>
      </c>
      <c r="C16" s="29">
        <v>6.8513462458563712</v>
      </c>
      <c r="D16" s="30">
        <f t="shared" si="7"/>
        <v>9.0672535140873958</v>
      </c>
      <c r="E16" s="30">
        <f t="shared" si="7"/>
        <v>7.4354705518287902</v>
      </c>
      <c r="F16" s="30">
        <f t="shared" si="7"/>
        <v>7.729440233071375</v>
      </c>
      <c r="G16" s="30">
        <f t="shared" si="7"/>
        <v>3.2762464133130331</v>
      </c>
      <c r="H16" s="30">
        <f>(H6-G6)/G6*100</f>
        <v>10.648738519152232</v>
      </c>
      <c r="I16" s="30">
        <f>(I6-H6)/H6*100</f>
        <v>0.46058661813620488</v>
      </c>
      <c r="J16" s="30">
        <f t="shared" si="7"/>
        <v>15.38426638373387</v>
      </c>
      <c r="K16" s="30">
        <f t="shared" si="7"/>
        <v>4.8264746967709184</v>
      </c>
      <c r="L16" s="30">
        <f t="shared" si="7"/>
        <v>13.851181967849671</v>
      </c>
      <c r="M16" s="30">
        <f t="shared" si="7"/>
        <v>6.5087967100021489</v>
      </c>
      <c r="N16" s="30">
        <f t="shared" si="7"/>
        <v>-0.15399127131418389</v>
      </c>
      <c r="O16" s="20" t="s">
        <v>8</v>
      </c>
      <c r="P16" s="69"/>
      <c r="Q16" s="1"/>
      <c r="R16" s="1"/>
      <c r="S16" s="1"/>
      <c r="T16" s="4"/>
    </row>
    <row r="17" spans="1:222" ht="18.75" customHeight="1" x14ac:dyDescent="0.35">
      <c r="A17" s="17" t="s">
        <v>9</v>
      </c>
      <c r="B17" s="38">
        <v>6.9122912404791865</v>
      </c>
      <c r="C17" s="38">
        <v>8.8365931364090855</v>
      </c>
      <c r="D17" s="32">
        <f t="shared" si="7"/>
        <v>8.9774044756223201</v>
      </c>
      <c r="E17" s="32">
        <f t="shared" si="7"/>
        <v>1.9927366084278013</v>
      </c>
      <c r="F17" s="32">
        <f t="shared" si="7"/>
        <v>4.0338673244831247</v>
      </c>
      <c r="G17" s="32">
        <f t="shared" si="7"/>
        <v>3.6945507542229445</v>
      </c>
      <c r="H17" s="32">
        <f t="shared" si="7"/>
        <v>6.8767625210241032</v>
      </c>
      <c r="I17" s="32">
        <f>(I7-H7)/H7*100</f>
        <v>10.290747198834525</v>
      </c>
      <c r="J17" s="32">
        <f t="shared" si="7"/>
        <v>3.1476917229538479</v>
      </c>
      <c r="K17" s="32">
        <f t="shared" si="7"/>
        <v>5.6194422649736557</v>
      </c>
      <c r="L17" s="32">
        <f t="shared" si="7"/>
        <v>7.7794311200074153</v>
      </c>
      <c r="M17" s="32">
        <f t="shared" si="7"/>
        <v>-14.775707731799571</v>
      </c>
      <c r="N17" s="32">
        <f t="shared" si="7"/>
        <v>4.6990271042963538</v>
      </c>
      <c r="O17" s="20" t="s">
        <v>10</v>
      </c>
      <c r="P17" s="69"/>
      <c r="Q17" s="1"/>
      <c r="R17" s="1"/>
      <c r="S17" s="1"/>
      <c r="T17" s="4"/>
    </row>
    <row r="18" spans="1:222" ht="18.75" customHeight="1" x14ac:dyDescent="0.35">
      <c r="A18" s="17" t="s">
        <v>11</v>
      </c>
      <c r="B18" s="29">
        <v>-2.0756976724640546</v>
      </c>
      <c r="C18" s="29">
        <v>-12.703647907965083</v>
      </c>
      <c r="D18" s="30">
        <f t="shared" si="7"/>
        <v>4.2408164912045754</v>
      </c>
      <c r="E18" s="30">
        <f t="shared" si="7"/>
        <v>-3.5503526006806165</v>
      </c>
      <c r="F18" s="30">
        <f t="shared" si="7"/>
        <v>2.3533825666751036</v>
      </c>
      <c r="G18" s="30">
        <f t="shared" si="7"/>
        <v>0.99871644768322754</v>
      </c>
      <c r="H18" s="30">
        <f t="shared" si="7"/>
        <v>7.7478202306474691</v>
      </c>
      <c r="I18" s="30">
        <f>(I8-H8)/H8*100</f>
        <v>7.3290820321050516</v>
      </c>
      <c r="J18" s="30">
        <f t="shared" si="7"/>
        <v>1.6019754489276703</v>
      </c>
      <c r="K18" s="30">
        <f t="shared" si="7"/>
        <v>-5.4770019997932433</v>
      </c>
      <c r="L18" s="30">
        <f t="shared" si="7"/>
        <v>11.368610510059735</v>
      </c>
      <c r="M18" s="30">
        <f t="shared" si="7"/>
        <v>-9.3611032219843615</v>
      </c>
      <c r="N18" s="30">
        <f t="shared" si="7"/>
        <v>5.3187207173845019</v>
      </c>
      <c r="O18" s="20" t="s">
        <v>12</v>
      </c>
      <c r="P18" s="70"/>
      <c r="Q18" s="1"/>
      <c r="R18" s="1"/>
      <c r="S18" s="1"/>
      <c r="T18" s="4"/>
    </row>
    <row r="19" spans="1:222" ht="18.75" customHeight="1" x14ac:dyDescent="0.35">
      <c r="A19" s="39" t="s">
        <v>16</v>
      </c>
      <c r="B19" s="40">
        <v>4.2421343176365767</v>
      </c>
      <c r="C19" s="40">
        <v>13.160714183346714</v>
      </c>
      <c r="D19" s="41">
        <f t="shared" si="7"/>
        <v>1.5068320026961224</v>
      </c>
      <c r="E19" s="41">
        <f t="shared" si="7"/>
        <v>-14.159679062719416</v>
      </c>
      <c r="F19" s="41">
        <f t="shared" si="7"/>
        <v>-1.6299747921222179</v>
      </c>
      <c r="G19" s="41">
        <f t="shared" si="7"/>
        <v>-6.2137803218780334</v>
      </c>
      <c r="H19" s="41">
        <f t="shared" si="7"/>
        <v>7.9824212271973494</v>
      </c>
      <c r="I19" s="41">
        <f>(I9-H9)/H9*100</f>
        <v>-23.781832925327208</v>
      </c>
      <c r="J19" s="41">
        <f t="shared" si="7"/>
        <v>316.627226756379</v>
      </c>
      <c r="K19" s="41">
        <f t="shared" si="7"/>
        <v>24.292137596367979</v>
      </c>
      <c r="L19" s="41">
        <f t="shared" si="7"/>
        <v>19.651169369483934</v>
      </c>
      <c r="M19" s="41">
        <f t="shared" si="7"/>
        <v>6.3461916079495886</v>
      </c>
      <c r="N19" s="41">
        <f t="shared" si="7"/>
        <v>2.3677854020439595</v>
      </c>
      <c r="O19" s="42" t="s">
        <v>14</v>
      </c>
      <c r="P19" s="71"/>
      <c r="Q19" s="1"/>
      <c r="R19" s="1"/>
      <c r="S19" s="1"/>
      <c r="T19" s="4"/>
    </row>
    <row r="20" spans="1:222" ht="18.75" customHeight="1" x14ac:dyDescent="0.35">
      <c r="A20" s="56" t="s">
        <v>19</v>
      </c>
      <c r="B20" s="54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7"/>
      <c r="O20" s="1"/>
      <c r="P20" s="1"/>
      <c r="Q20" s="1"/>
      <c r="R20" s="1"/>
      <c r="S20" s="1"/>
      <c r="T20" s="4"/>
    </row>
    <row r="21" spans="1:222" ht="15.75" customHeight="1" x14ac:dyDescent="0.5">
      <c r="A21" s="43" t="s">
        <v>17</v>
      </c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58"/>
      <c r="O21" s="46" t="s">
        <v>18</v>
      </c>
      <c r="P21" s="46"/>
      <c r="Q21" s="46"/>
      <c r="R21" s="46"/>
      <c r="S21" s="46"/>
    </row>
    <row r="22" spans="1:222" ht="14.5" x14ac:dyDescent="0.35">
      <c r="A22" s="47"/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1:222" x14ac:dyDescent="0.35">
      <c r="T23" s="82"/>
    </row>
    <row r="24" spans="1:222" s="11" customFormat="1" ht="14.5" x14ac:dyDescent="0.35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73"/>
      <c r="Q24" s="66"/>
      <c r="R24" s="66"/>
      <c r="S24" s="66"/>
      <c r="T24" s="66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51"/>
    </row>
    <row r="25" spans="1:222" s="11" customFormat="1" ht="14.5" x14ac:dyDescent="0.35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73"/>
      <c r="Q25" s="66"/>
      <c r="R25" s="66"/>
      <c r="S25" s="66"/>
      <c r="T25" s="66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51"/>
    </row>
    <row r="26" spans="1:222" s="11" customFormat="1" ht="14.5" x14ac:dyDescent="0.3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73"/>
      <c r="Q26" s="66"/>
      <c r="R26" s="66"/>
      <c r="S26" s="66"/>
      <c r="T26" s="85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51"/>
    </row>
    <row r="27" spans="1:222" s="11" customFormat="1" ht="14.5" x14ac:dyDescent="0.3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73"/>
      <c r="Q27" s="66"/>
      <c r="R27" s="66"/>
      <c r="S27" s="66"/>
      <c r="T27" s="66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/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/>
      <c r="HJ27" s="65"/>
      <c r="HK27" s="65"/>
      <c r="HL27" s="65"/>
      <c r="HM27" s="65"/>
      <c r="HN27" s="51"/>
    </row>
    <row r="28" spans="1:222" s="11" customFormat="1" ht="14.5" x14ac:dyDescent="0.35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73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51"/>
    </row>
    <row r="29" spans="1:222" s="11" customFormat="1" ht="14.5" x14ac:dyDescent="0.35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73"/>
      <c r="Q29" s="66"/>
      <c r="R29" s="66"/>
      <c r="S29" s="66"/>
      <c r="T29" s="66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51"/>
    </row>
    <row r="30" spans="1:222" s="11" customFormat="1" ht="14.5" x14ac:dyDescent="0.3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73"/>
      <c r="Q30" s="66"/>
      <c r="R30" s="66"/>
      <c r="S30" s="66"/>
      <c r="T30" s="65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65"/>
      <c r="AH30" s="84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51"/>
    </row>
    <row r="31" spans="1:222" s="11" customFormat="1" ht="14.5" x14ac:dyDescent="0.35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73"/>
      <c r="Q31" s="66"/>
      <c r="R31" s="66"/>
      <c r="S31" s="66"/>
      <c r="T31" s="65"/>
      <c r="U31" s="65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9"/>
      <c r="AN31" s="84"/>
      <c r="AO31" s="84"/>
      <c r="AP31" s="84"/>
      <c r="AQ31" s="84"/>
      <c r="AR31" s="84"/>
      <c r="AS31" s="84"/>
      <c r="AT31" s="84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51"/>
    </row>
    <row r="32" spans="1:222" s="11" customFormat="1" ht="14.5" x14ac:dyDescent="0.35">
      <c r="A32" s="5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73"/>
      <c r="Q32" s="66"/>
      <c r="R32" s="66"/>
      <c r="S32" s="66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90"/>
      <c r="AE32" s="90"/>
      <c r="AF32" s="90"/>
      <c r="AG32" s="90"/>
      <c r="AH32" s="90"/>
      <c r="AI32" s="91"/>
      <c r="AJ32" s="91"/>
      <c r="AK32" s="91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51"/>
    </row>
    <row r="33" spans="1:222" s="11" customFormat="1" ht="14.5" x14ac:dyDescent="0.35">
      <c r="A33" s="5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73"/>
      <c r="Q33" s="66"/>
      <c r="R33" s="66"/>
      <c r="S33" s="66"/>
      <c r="T33" s="66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51"/>
    </row>
    <row r="34" spans="1:222" s="11" customFormat="1" ht="14.5" x14ac:dyDescent="0.35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73"/>
      <c r="Q34" s="66"/>
      <c r="R34" s="66"/>
      <c r="S34" s="66"/>
      <c r="T34" s="66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92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51"/>
    </row>
    <row r="35" spans="1:222" s="11" customFormat="1" ht="14.5" x14ac:dyDescent="0.3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73"/>
      <c r="Q35" s="66"/>
      <c r="R35" s="66"/>
      <c r="S35" s="66"/>
      <c r="T35" s="66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51"/>
    </row>
    <row r="36" spans="1:222" s="11" customFormat="1" ht="14.5" x14ac:dyDescent="0.35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73"/>
      <c r="Q36" s="66"/>
      <c r="R36" s="66"/>
      <c r="S36" s="66"/>
      <c r="T36" s="66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51"/>
    </row>
    <row r="37" spans="1:222" s="11" customFormat="1" ht="14.5" x14ac:dyDescent="0.35">
      <c r="A37" s="53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73"/>
      <c r="Q37" s="66"/>
      <c r="R37" s="66"/>
      <c r="S37" s="66"/>
      <c r="T37" s="66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51"/>
    </row>
    <row r="38" spans="1:222" s="62" customFormat="1" ht="14.5" x14ac:dyDescent="0.3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74"/>
      <c r="Q38" s="66"/>
      <c r="R38" s="66"/>
      <c r="S38" s="66"/>
      <c r="T38" s="66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79"/>
    </row>
    <row r="39" spans="1:222" s="65" customFormat="1" ht="14.5" x14ac:dyDescent="0.35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</row>
    <row r="40" spans="1:222" s="65" customFormat="1" ht="14.5" x14ac:dyDescent="0.35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r="41" spans="1:222" s="65" customFormat="1" ht="11.5" x14ac:dyDescent="0.35"/>
    <row r="42" spans="1:222" s="65" customFormat="1" ht="11.5" x14ac:dyDescent="0.35"/>
    <row r="43" spans="1:222" s="65" customFormat="1" ht="11.5" x14ac:dyDescent="0.35"/>
    <row r="44" spans="1:222" s="65" customFormat="1" ht="11.5" x14ac:dyDescent="0.35"/>
    <row r="45" spans="1:222" s="65" customFormat="1" ht="14.5" x14ac:dyDescent="0.35">
      <c r="A45" s="66"/>
    </row>
    <row r="46" spans="1:222" s="65" customFormat="1" ht="11.5" x14ac:dyDescent="0.35"/>
    <row r="47" spans="1:222" s="65" customFormat="1" ht="11.5" x14ac:dyDescent="0.35"/>
    <row r="48" spans="1:222" s="65" customFormat="1" ht="11.5" x14ac:dyDescent="0.35"/>
    <row r="49" s="65" customFormat="1" ht="11.5" x14ac:dyDescent="0.35"/>
    <row r="50" s="65" customFormat="1" ht="11.5" x14ac:dyDescent="0.35"/>
    <row r="51" s="65" customFormat="1" ht="11.5" x14ac:dyDescent="0.35"/>
    <row r="52" s="65" customFormat="1" ht="11.5" x14ac:dyDescent="0.35"/>
    <row r="53" s="65" customFormat="1" ht="11.5" x14ac:dyDescent="0.35"/>
    <row r="54" s="65" customFormat="1" ht="11.5" x14ac:dyDescent="0.35"/>
    <row r="55" s="65" customFormat="1" ht="11.5" x14ac:dyDescent="0.35"/>
    <row r="56" s="65" customFormat="1" ht="11.5" x14ac:dyDescent="0.35"/>
    <row r="57" s="65" customFormat="1" ht="11.5" x14ac:dyDescent="0.35"/>
    <row r="58" s="65" customFormat="1" ht="11.5" x14ac:dyDescent="0.35"/>
    <row r="59" s="65" customFormat="1" ht="11.5" x14ac:dyDescent="0.35"/>
    <row r="60" s="65" customFormat="1" ht="11.5" x14ac:dyDescent="0.35"/>
    <row r="61" s="65" customFormat="1" ht="11.5" x14ac:dyDescent="0.35"/>
    <row r="62" s="67" customFormat="1" x14ac:dyDescent="0.35"/>
    <row r="63" s="67" customFormat="1" x14ac:dyDescent="0.35"/>
    <row r="64" s="67" customFormat="1" x14ac:dyDescent="0.35"/>
    <row r="65" s="67" customFormat="1" x14ac:dyDescent="0.35"/>
    <row r="66" s="67" customFormat="1" x14ac:dyDescent="0.35"/>
    <row r="67" s="67" customFormat="1" x14ac:dyDescent="0.35"/>
    <row r="68" s="67" customFormat="1" x14ac:dyDescent="0.35"/>
    <row r="69" s="67" customFormat="1" x14ac:dyDescent="0.35"/>
    <row r="70" s="67" customFormat="1" x14ac:dyDescent="0.35"/>
    <row r="71" s="67" customFormat="1" x14ac:dyDescent="0.35"/>
    <row r="72" s="67" customFormat="1" x14ac:dyDescent="0.35"/>
    <row r="73" s="67" customFormat="1" x14ac:dyDescent="0.35"/>
    <row r="74" s="67" customFormat="1" x14ac:dyDescent="0.35"/>
    <row r="75" s="67" customFormat="1" x14ac:dyDescent="0.35"/>
    <row r="76" s="67" customFormat="1" x14ac:dyDescent="0.35"/>
    <row r="77" s="67" customFormat="1" x14ac:dyDescent="0.35"/>
    <row r="78" s="67" customFormat="1" x14ac:dyDescent="0.35"/>
    <row r="79" s="67" customFormat="1" x14ac:dyDescent="0.35"/>
    <row r="80" s="67" customFormat="1" x14ac:dyDescent="0.35"/>
    <row r="81" s="67" customFormat="1" x14ac:dyDescent="0.35"/>
    <row r="82" s="67" customFormat="1" x14ac:dyDescent="0.35"/>
    <row r="83" s="67" customFormat="1" x14ac:dyDescent="0.35"/>
    <row r="84" s="67" customFormat="1" x14ac:dyDescent="0.35"/>
    <row r="85" s="67" customFormat="1" x14ac:dyDescent="0.35"/>
    <row r="86" s="67" customFormat="1" x14ac:dyDescent="0.35"/>
    <row r="87" s="67" customFormat="1" x14ac:dyDescent="0.35"/>
    <row r="88" s="67" customFormat="1" x14ac:dyDescent="0.35"/>
    <row r="89" s="67" customFormat="1" x14ac:dyDescent="0.35"/>
    <row r="90" s="67" customFormat="1" x14ac:dyDescent="0.35"/>
    <row r="91" s="67" customFormat="1" x14ac:dyDescent="0.35"/>
    <row r="92" s="67" customFormat="1" x14ac:dyDescent="0.35"/>
    <row r="93" s="67" customFormat="1" x14ac:dyDescent="0.35"/>
    <row r="94" s="67" customFormat="1" x14ac:dyDescent="0.35"/>
    <row r="95" s="67" customFormat="1" x14ac:dyDescent="0.35"/>
    <row r="96" s="67" customFormat="1" x14ac:dyDescent="0.35"/>
    <row r="97" s="67" customFormat="1" x14ac:dyDescent="0.35"/>
    <row r="98" s="67" customFormat="1" x14ac:dyDescent="0.35"/>
    <row r="99" s="67" customFormat="1" x14ac:dyDescent="0.35"/>
    <row r="100" s="67" customFormat="1" x14ac:dyDescent="0.35"/>
    <row r="101" s="67" customFormat="1" x14ac:dyDescent="0.35"/>
    <row r="102" s="67" customFormat="1" x14ac:dyDescent="0.35"/>
    <row r="103" s="67" customFormat="1" x14ac:dyDescent="0.35"/>
    <row r="104" s="67" customFormat="1" x14ac:dyDescent="0.35"/>
    <row r="105" s="67" customFormat="1" x14ac:dyDescent="0.35"/>
    <row r="106" s="67" customFormat="1" x14ac:dyDescent="0.35"/>
    <row r="107" s="67" customFormat="1" x14ac:dyDescent="0.35"/>
    <row r="108" s="67" customFormat="1" x14ac:dyDescent="0.35"/>
    <row r="109" s="67" customFormat="1" x14ac:dyDescent="0.35"/>
    <row r="110" s="67" customFormat="1" x14ac:dyDescent="0.35"/>
    <row r="111" s="67" customFormat="1" x14ac:dyDescent="0.35"/>
    <row r="112" s="67" customFormat="1" x14ac:dyDescent="0.35"/>
    <row r="113" s="67" customFormat="1" x14ac:dyDescent="0.35"/>
    <row r="114" s="67" customFormat="1" x14ac:dyDescent="0.35"/>
    <row r="115" s="67" customFormat="1" x14ac:dyDescent="0.35"/>
    <row r="116" s="67" customFormat="1" x14ac:dyDescent="0.35"/>
    <row r="117" s="67" customFormat="1" x14ac:dyDescent="0.35"/>
    <row r="118" s="67" customFormat="1" x14ac:dyDescent="0.35"/>
    <row r="119" s="67" customFormat="1" x14ac:dyDescent="0.35"/>
    <row r="120" s="67" customFormat="1" x14ac:dyDescent="0.35"/>
    <row r="121" s="67" customFormat="1" x14ac:dyDescent="0.35"/>
    <row r="122" s="67" customFormat="1" x14ac:dyDescent="0.35"/>
    <row r="123" s="67" customFormat="1" x14ac:dyDescent="0.35"/>
    <row r="124" s="67" customFormat="1" x14ac:dyDescent="0.35"/>
    <row r="125" s="67" customFormat="1" x14ac:dyDescent="0.35"/>
    <row r="126" s="67" customFormat="1" x14ac:dyDescent="0.35"/>
    <row r="127" s="67" customFormat="1" x14ac:dyDescent="0.35"/>
    <row r="128" s="67" customFormat="1" x14ac:dyDescent="0.35"/>
    <row r="129" s="67" customFormat="1" x14ac:dyDescent="0.35"/>
    <row r="130" s="67" customFormat="1" x14ac:dyDescent="0.35"/>
    <row r="131" s="67" customFormat="1" x14ac:dyDescent="0.35"/>
    <row r="132" s="67" customFormat="1" x14ac:dyDescent="0.35"/>
    <row r="133" s="67" customFormat="1" x14ac:dyDescent="0.35"/>
    <row r="134" s="67" customFormat="1" x14ac:dyDescent="0.35"/>
    <row r="135" s="67" customFormat="1" x14ac:dyDescent="0.35"/>
    <row r="136" s="67" customFormat="1" x14ac:dyDescent="0.35"/>
    <row r="137" s="67" customFormat="1" x14ac:dyDescent="0.35"/>
    <row r="138" s="67" customFormat="1" x14ac:dyDescent="0.35"/>
    <row r="139" s="67" customFormat="1" x14ac:dyDescent="0.35"/>
    <row r="140" s="67" customFormat="1" x14ac:dyDescent="0.35"/>
    <row r="141" s="67" customFormat="1" x14ac:dyDescent="0.35"/>
    <row r="142" s="67" customFormat="1" x14ac:dyDescent="0.35"/>
    <row r="143" s="67" customFormat="1" x14ac:dyDescent="0.35"/>
    <row r="144" s="67" customFormat="1" x14ac:dyDescent="0.35"/>
    <row r="145" s="67" customFormat="1" x14ac:dyDescent="0.35"/>
    <row r="146" s="67" customFormat="1" x14ac:dyDescent="0.35"/>
    <row r="147" s="67" customFormat="1" x14ac:dyDescent="0.35"/>
    <row r="148" s="67" customFormat="1" x14ac:dyDescent="0.35"/>
    <row r="149" s="67" customFormat="1" x14ac:dyDescent="0.35"/>
    <row r="150" s="67" customFormat="1" x14ac:dyDescent="0.35"/>
    <row r="151" s="67" customFormat="1" x14ac:dyDescent="0.35"/>
    <row r="152" s="67" customFormat="1" x14ac:dyDescent="0.35"/>
    <row r="153" s="67" customFormat="1" x14ac:dyDescent="0.35"/>
    <row r="154" s="67" customFormat="1" x14ac:dyDescent="0.35"/>
    <row r="155" s="67" customFormat="1" x14ac:dyDescent="0.35"/>
    <row r="156" s="67" customFormat="1" x14ac:dyDescent="0.35"/>
    <row r="157" s="67" customFormat="1" x14ac:dyDescent="0.35"/>
    <row r="158" s="67" customFormat="1" x14ac:dyDescent="0.35"/>
    <row r="159" s="67" customFormat="1" x14ac:dyDescent="0.35"/>
    <row r="160" s="67" customFormat="1" x14ac:dyDescent="0.35"/>
    <row r="161" s="67" customFormat="1" x14ac:dyDescent="0.35"/>
    <row r="162" s="67" customFormat="1" x14ac:dyDescent="0.35"/>
    <row r="163" s="67" customFormat="1" x14ac:dyDescent="0.35"/>
    <row r="164" s="67" customFormat="1" x14ac:dyDescent="0.35"/>
    <row r="165" s="67" customFormat="1" x14ac:dyDescent="0.35"/>
    <row r="166" s="67" customFormat="1" x14ac:dyDescent="0.35"/>
    <row r="167" s="67" customFormat="1" x14ac:dyDescent="0.35"/>
    <row r="168" s="67" customFormat="1" x14ac:dyDescent="0.35"/>
    <row r="169" s="67" customFormat="1" x14ac:dyDescent="0.35"/>
    <row r="170" s="67" customFormat="1" x14ac:dyDescent="0.35"/>
    <row r="171" s="67" customFormat="1" x14ac:dyDescent="0.35"/>
    <row r="172" s="67" customFormat="1" x14ac:dyDescent="0.35"/>
    <row r="173" s="67" customFormat="1" x14ac:dyDescent="0.35"/>
    <row r="174" s="67" customFormat="1" x14ac:dyDescent="0.35"/>
    <row r="175" s="67" customFormat="1" x14ac:dyDescent="0.35"/>
    <row r="176" s="67" customFormat="1" x14ac:dyDescent="0.35"/>
    <row r="177" s="67" customFormat="1" x14ac:dyDescent="0.35"/>
    <row r="178" s="67" customFormat="1" x14ac:dyDescent="0.35"/>
    <row r="179" s="67" customFormat="1" x14ac:dyDescent="0.35"/>
    <row r="180" s="67" customFormat="1" x14ac:dyDescent="0.35"/>
    <row r="181" s="67" customFormat="1" x14ac:dyDescent="0.35"/>
    <row r="182" s="67" customFormat="1" x14ac:dyDescent="0.35"/>
    <row r="183" s="67" customFormat="1" x14ac:dyDescent="0.35"/>
    <row r="184" s="67" customFormat="1" x14ac:dyDescent="0.35"/>
    <row r="185" s="67" customFormat="1" x14ac:dyDescent="0.35"/>
    <row r="186" s="67" customFormat="1" x14ac:dyDescent="0.35"/>
    <row r="187" s="67" customFormat="1" x14ac:dyDescent="0.35"/>
    <row r="188" s="67" customFormat="1" x14ac:dyDescent="0.35"/>
    <row r="189" s="67" customFormat="1" x14ac:dyDescent="0.35"/>
    <row r="190" s="67" customFormat="1" x14ac:dyDescent="0.35"/>
    <row r="191" s="67" customFormat="1" x14ac:dyDescent="0.35"/>
    <row r="192" s="67" customFormat="1" x14ac:dyDescent="0.35"/>
    <row r="193" s="67" customFormat="1" x14ac:dyDescent="0.35"/>
    <row r="194" s="67" customFormat="1" x14ac:dyDescent="0.35"/>
    <row r="195" s="67" customFormat="1" x14ac:dyDescent="0.35"/>
    <row r="196" s="67" customFormat="1" x14ac:dyDescent="0.35"/>
    <row r="197" s="67" customFormat="1" x14ac:dyDescent="0.35"/>
    <row r="198" s="67" customFormat="1" x14ac:dyDescent="0.35"/>
    <row r="199" s="67" customFormat="1" x14ac:dyDescent="0.35"/>
    <row r="200" s="67" customFormat="1" x14ac:dyDescent="0.35"/>
    <row r="201" s="67" customFormat="1" x14ac:dyDescent="0.35"/>
    <row r="202" s="67" customFormat="1" x14ac:dyDescent="0.35"/>
    <row r="203" s="67" customFormat="1" x14ac:dyDescent="0.35"/>
    <row r="204" s="67" customFormat="1" x14ac:dyDescent="0.35"/>
    <row r="205" s="67" customFormat="1" x14ac:dyDescent="0.35"/>
    <row r="206" s="67" customFormat="1" x14ac:dyDescent="0.35"/>
    <row r="207" s="67" customFormat="1" x14ac:dyDescent="0.35"/>
    <row r="208" s="67" customFormat="1" x14ac:dyDescent="0.35"/>
    <row r="209" s="67" customFormat="1" x14ac:dyDescent="0.35"/>
    <row r="210" s="67" customFormat="1" x14ac:dyDescent="0.35"/>
    <row r="211" s="67" customFormat="1" x14ac:dyDescent="0.35"/>
    <row r="212" s="67" customFormat="1" x14ac:dyDescent="0.35"/>
    <row r="213" s="67" customFormat="1" x14ac:dyDescent="0.35"/>
    <row r="214" s="67" customFormat="1" x14ac:dyDescent="0.35"/>
    <row r="215" s="67" customFormat="1" x14ac:dyDescent="0.35"/>
    <row r="216" s="67" customFormat="1" x14ac:dyDescent="0.35"/>
    <row r="217" s="67" customFormat="1" x14ac:dyDescent="0.35"/>
    <row r="218" s="67" customFormat="1" x14ac:dyDescent="0.35"/>
    <row r="219" s="67" customFormat="1" x14ac:dyDescent="0.35"/>
    <row r="220" s="67" customFormat="1" x14ac:dyDescent="0.35"/>
    <row r="221" s="67" customFormat="1" x14ac:dyDescent="0.35"/>
    <row r="222" s="67" customFormat="1" x14ac:dyDescent="0.35"/>
    <row r="223" s="67" customFormat="1" x14ac:dyDescent="0.35"/>
    <row r="224" s="67" customFormat="1" x14ac:dyDescent="0.35"/>
    <row r="225" s="67" customFormat="1" x14ac:dyDescent="0.35"/>
    <row r="226" s="67" customFormat="1" x14ac:dyDescent="0.35"/>
    <row r="227" s="67" customFormat="1" x14ac:dyDescent="0.35"/>
    <row r="228" s="67" customFormat="1" x14ac:dyDescent="0.35"/>
    <row r="229" s="67" customFormat="1" x14ac:dyDescent="0.35"/>
    <row r="230" s="67" customFormat="1" x14ac:dyDescent="0.35"/>
    <row r="231" s="67" customFormat="1" x14ac:dyDescent="0.35"/>
    <row r="232" s="67" customFormat="1" x14ac:dyDescent="0.35"/>
    <row r="233" s="67" customFormat="1" x14ac:dyDescent="0.35"/>
    <row r="234" s="67" customFormat="1" x14ac:dyDescent="0.35"/>
    <row r="235" s="67" customFormat="1" x14ac:dyDescent="0.35"/>
    <row r="236" s="67" customFormat="1" x14ac:dyDescent="0.35"/>
    <row r="237" s="67" customFormat="1" x14ac:dyDescent="0.35"/>
    <row r="238" s="67" customFormat="1" x14ac:dyDescent="0.35"/>
    <row r="239" s="67" customFormat="1" x14ac:dyDescent="0.35"/>
    <row r="240" s="67" customFormat="1" x14ac:dyDescent="0.35"/>
    <row r="241" s="67" customFormat="1" x14ac:dyDescent="0.35"/>
    <row r="242" s="67" customFormat="1" x14ac:dyDescent="0.35"/>
    <row r="243" s="67" customFormat="1" x14ac:dyDescent="0.35"/>
    <row r="244" s="67" customFormat="1" x14ac:dyDescent="0.35"/>
    <row r="245" s="67" customFormat="1" x14ac:dyDescent="0.35"/>
    <row r="246" s="67" customFormat="1" x14ac:dyDescent="0.35"/>
    <row r="247" s="67" customFormat="1" x14ac:dyDescent="0.35"/>
    <row r="248" s="67" customFormat="1" x14ac:dyDescent="0.35"/>
    <row r="249" s="67" customFormat="1" x14ac:dyDescent="0.35"/>
    <row r="250" s="67" customFormat="1" x14ac:dyDescent="0.35"/>
    <row r="251" s="67" customFormat="1" x14ac:dyDescent="0.35"/>
    <row r="252" s="67" customFormat="1" x14ac:dyDescent="0.35"/>
    <row r="253" s="67" customFormat="1" x14ac:dyDescent="0.35"/>
    <row r="254" s="67" customFormat="1" x14ac:dyDescent="0.35"/>
    <row r="255" s="67" customFormat="1" x14ac:dyDescent="0.35"/>
    <row r="256" s="67" customFormat="1" x14ac:dyDescent="0.35"/>
    <row r="257" s="67" customFormat="1" x14ac:dyDescent="0.35"/>
    <row r="258" s="67" customFormat="1" x14ac:dyDescent="0.35"/>
    <row r="259" s="67" customFormat="1" x14ac:dyDescent="0.35"/>
    <row r="260" s="67" customFormat="1" x14ac:dyDescent="0.35"/>
    <row r="261" s="67" customFormat="1" x14ac:dyDescent="0.35"/>
    <row r="262" s="67" customFormat="1" x14ac:dyDescent="0.35"/>
    <row r="263" s="67" customFormat="1" x14ac:dyDescent="0.35"/>
    <row r="264" s="67" customFormat="1" x14ac:dyDescent="0.35"/>
    <row r="265" s="67" customFormat="1" x14ac:dyDescent="0.35"/>
    <row r="266" s="67" customFormat="1" x14ac:dyDescent="0.35"/>
    <row r="267" s="67" customFormat="1" x14ac:dyDescent="0.35"/>
    <row r="268" s="67" customFormat="1" x14ac:dyDescent="0.35"/>
    <row r="269" s="67" customFormat="1" x14ac:dyDescent="0.35"/>
    <row r="270" s="67" customFormat="1" x14ac:dyDescent="0.35"/>
    <row r="271" s="67" customFormat="1" x14ac:dyDescent="0.35"/>
    <row r="272" s="67" customFormat="1" x14ac:dyDescent="0.35"/>
    <row r="273" s="67" customFormat="1" x14ac:dyDescent="0.35"/>
    <row r="274" s="67" customFormat="1" x14ac:dyDescent="0.35"/>
    <row r="275" s="67" customFormat="1" x14ac:dyDescent="0.35"/>
    <row r="276" s="67" customFormat="1" x14ac:dyDescent="0.35"/>
    <row r="277" s="67" customFormat="1" x14ac:dyDescent="0.35"/>
    <row r="278" s="67" customFormat="1" x14ac:dyDescent="0.35"/>
    <row r="279" s="67" customFormat="1" x14ac:dyDescent="0.35"/>
    <row r="280" s="67" customFormat="1" x14ac:dyDescent="0.35"/>
    <row r="281" s="67" customFormat="1" x14ac:dyDescent="0.35"/>
    <row r="282" s="67" customFormat="1" x14ac:dyDescent="0.35"/>
    <row r="283" s="67" customFormat="1" x14ac:dyDescent="0.35"/>
    <row r="284" s="67" customFormat="1" x14ac:dyDescent="0.35"/>
    <row r="285" s="67" customFormat="1" x14ac:dyDescent="0.35"/>
    <row r="286" s="67" customFormat="1" x14ac:dyDescent="0.35"/>
    <row r="287" s="67" customFormat="1" x14ac:dyDescent="0.35"/>
    <row r="288" s="67" customFormat="1" x14ac:dyDescent="0.35"/>
    <row r="289" s="67" customFormat="1" x14ac:dyDescent="0.35"/>
    <row r="290" s="67" customFormat="1" x14ac:dyDescent="0.35"/>
    <row r="291" s="67" customFormat="1" x14ac:dyDescent="0.35"/>
    <row r="292" s="67" customFormat="1" x14ac:dyDescent="0.35"/>
    <row r="293" s="67" customFormat="1" x14ac:dyDescent="0.35"/>
    <row r="294" s="67" customFormat="1" x14ac:dyDescent="0.35"/>
    <row r="295" s="67" customFormat="1" x14ac:dyDescent="0.35"/>
    <row r="296" s="67" customFormat="1" x14ac:dyDescent="0.35"/>
    <row r="297" s="67" customFormat="1" x14ac:dyDescent="0.35"/>
    <row r="298" s="67" customFormat="1" x14ac:dyDescent="0.35"/>
    <row r="299" s="67" customFormat="1" x14ac:dyDescent="0.35"/>
    <row r="300" s="67" customFormat="1" x14ac:dyDescent="0.35"/>
    <row r="301" s="67" customFormat="1" x14ac:dyDescent="0.35"/>
    <row r="302" s="67" customFormat="1" x14ac:dyDescent="0.35"/>
    <row r="303" s="67" customFormat="1" x14ac:dyDescent="0.35"/>
    <row r="304" s="67" customFormat="1" x14ac:dyDescent="0.35"/>
    <row r="305" s="67" customFormat="1" x14ac:dyDescent="0.35"/>
    <row r="306" s="67" customFormat="1" x14ac:dyDescent="0.35"/>
    <row r="307" s="67" customFormat="1" x14ac:dyDescent="0.35"/>
    <row r="308" s="67" customFormat="1" x14ac:dyDescent="0.35"/>
    <row r="309" s="67" customFormat="1" x14ac:dyDescent="0.35"/>
    <row r="310" s="67" customFormat="1" x14ac:dyDescent="0.35"/>
    <row r="311" s="67" customFormat="1" x14ac:dyDescent="0.35"/>
    <row r="312" s="67" customFormat="1" x14ac:dyDescent="0.35"/>
    <row r="313" s="67" customFormat="1" x14ac:dyDescent="0.35"/>
    <row r="314" s="67" customFormat="1" x14ac:dyDescent="0.35"/>
    <row r="315" s="67" customFormat="1" x14ac:dyDescent="0.35"/>
    <row r="316" s="67" customFormat="1" x14ac:dyDescent="0.35"/>
    <row r="317" s="67" customFormat="1" x14ac:dyDescent="0.35"/>
    <row r="318" s="67" customFormat="1" x14ac:dyDescent="0.35"/>
    <row r="319" s="67" customFormat="1" x14ac:dyDescent="0.35"/>
    <row r="320" s="67" customFormat="1" x14ac:dyDescent="0.35"/>
    <row r="321" s="67" customFormat="1" x14ac:dyDescent="0.35"/>
    <row r="322" s="67" customFormat="1" x14ac:dyDescent="0.35"/>
    <row r="323" s="67" customFormat="1" x14ac:dyDescent="0.35"/>
    <row r="324" s="67" customFormat="1" x14ac:dyDescent="0.35"/>
    <row r="325" s="67" customFormat="1" x14ac:dyDescent="0.35"/>
    <row r="326" s="67" customFormat="1" x14ac:dyDescent="0.35"/>
    <row r="327" s="67" customFormat="1" x14ac:dyDescent="0.35"/>
    <row r="328" s="67" customFormat="1" x14ac:dyDescent="0.35"/>
    <row r="329" s="67" customFormat="1" x14ac:dyDescent="0.35"/>
    <row r="330" s="67" customFormat="1" x14ac:dyDescent="0.35"/>
    <row r="331" s="67" customFormat="1" x14ac:dyDescent="0.35"/>
    <row r="332" s="67" customFormat="1" x14ac:dyDescent="0.35"/>
    <row r="333" s="67" customFormat="1" x14ac:dyDescent="0.35"/>
    <row r="334" s="67" customFormat="1" x14ac:dyDescent="0.35"/>
    <row r="335" s="67" customFormat="1" x14ac:dyDescent="0.35"/>
    <row r="336" s="67" customFormat="1" x14ac:dyDescent="0.35"/>
    <row r="337" s="67" customFormat="1" x14ac:dyDescent="0.35"/>
    <row r="338" s="67" customFormat="1" x14ac:dyDescent="0.35"/>
    <row r="339" s="67" customFormat="1" x14ac:dyDescent="0.35"/>
    <row r="340" s="67" customFormat="1" x14ac:dyDescent="0.35"/>
    <row r="341" s="67" customFormat="1" x14ac:dyDescent="0.35"/>
    <row r="342" s="67" customFormat="1" x14ac:dyDescent="0.35"/>
    <row r="343" s="67" customFormat="1" x14ac:dyDescent="0.35"/>
    <row r="344" s="67" customFormat="1" x14ac:dyDescent="0.35"/>
    <row r="345" s="67" customFormat="1" x14ac:dyDescent="0.35"/>
    <row r="346" s="67" customFormat="1" x14ac:dyDescent="0.35"/>
    <row r="347" s="67" customFormat="1" x14ac:dyDescent="0.35"/>
    <row r="348" s="67" customFormat="1" x14ac:dyDescent="0.35"/>
    <row r="349" s="67" customFormat="1" x14ac:dyDescent="0.35"/>
    <row r="350" s="67" customFormat="1" x14ac:dyDescent="0.35"/>
    <row r="351" s="67" customFormat="1" x14ac:dyDescent="0.35"/>
    <row r="352" s="67" customFormat="1" x14ac:dyDescent="0.35"/>
    <row r="353" s="67" customFormat="1" x14ac:dyDescent="0.35"/>
    <row r="354" s="67" customFormat="1" x14ac:dyDescent="0.35"/>
    <row r="355" s="67" customFormat="1" x14ac:dyDescent="0.35"/>
    <row r="356" s="67" customFormat="1" x14ac:dyDescent="0.35"/>
    <row r="357" s="67" customFormat="1" x14ac:dyDescent="0.35"/>
    <row r="358" s="67" customFormat="1" x14ac:dyDescent="0.35"/>
    <row r="359" s="67" customFormat="1" x14ac:dyDescent="0.35"/>
    <row r="360" s="67" customFormat="1" x14ac:dyDescent="0.35"/>
    <row r="361" s="67" customFormat="1" x14ac:dyDescent="0.35"/>
    <row r="362" s="67" customFormat="1" x14ac:dyDescent="0.35"/>
    <row r="363" s="67" customFormat="1" x14ac:dyDescent="0.35"/>
    <row r="364" s="67" customFormat="1" x14ac:dyDescent="0.35"/>
    <row r="365" s="67" customFormat="1" x14ac:dyDescent="0.35"/>
    <row r="366" s="67" customFormat="1" x14ac:dyDescent="0.35"/>
    <row r="367" s="67" customFormat="1" x14ac:dyDescent="0.35"/>
    <row r="368" s="67" customFormat="1" x14ac:dyDescent="0.35"/>
    <row r="369" s="67" customFormat="1" x14ac:dyDescent="0.35"/>
    <row r="370" s="67" customFormat="1" x14ac:dyDescent="0.35"/>
    <row r="371" s="67" customFormat="1" x14ac:dyDescent="0.35"/>
    <row r="372" s="67" customFormat="1" x14ac:dyDescent="0.35"/>
    <row r="373" s="67" customFormat="1" x14ac:dyDescent="0.35"/>
    <row r="374" s="67" customFormat="1" x14ac:dyDescent="0.35"/>
    <row r="375" s="67" customFormat="1" x14ac:dyDescent="0.35"/>
    <row r="376" s="67" customFormat="1" x14ac:dyDescent="0.35"/>
    <row r="377" s="67" customFormat="1" x14ac:dyDescent="0.35"/>
    <row r="378" s="67" customFormat="1" x14ac:dyDescent="0.35"/>
    <row r="379" s="67" customFormat="1" x14ac:dyDescent="0.35"/>
    <row r="380" s="67" customFormat="1" x14ac:dyDescent="0.35"/>
    <row r="381" s="67" customFormat="1" x14ac:dyDescent="0.35"/>
    <row r="382" s="67" customFormat="1" x14ac:dyDescent="0.35"/>
    <row r="383" s="67" customFormat="1" x14ac:dyDescent="0.35"/>
    <row r="384" s="67" customFormat="1" x14ac:dyDescent="0.35"/>
    <row r="385" s="67" customFormat="1" x14ac:dyDescent="0.35"/>
    <row r="386" s="67" customFormat="1" x14ac:dyDescent="0.35"/>
    <row r="387" s="67" customFormat="1" x14ac:dyDescent="0.35"/>
    <row r="388" s="67" customFormat="1" x14ac:dyDescent="0.35"/>
    <row r="389" s="67" customFormat="1" x14ac:dyDescent="0.35"/>
    <row r="390" s="67" customFormat="1" x14ac:dyDescent="0.35"/>
    <row r="391" s="67" customFormat="1" x14ac:dyDescent="0.35"/>
    <row r="392" s="67" customFormat="1" x14ac:dyDescent="0.35"/>
    <row r="393" s="67" customFormat="1" x14ac:dyDescent="0.35"/>
    <row r="394" s="67" customFormat="1" x14ac:dyDescent="0.35"/>
    <row r="395" s="67" customFormat="1" x14ac:dyDescent="0.35"/>
    <row r="396" s="67" customFormat="1" x14ac:dyDescent="0.35"/>
    <row r="397" s="67" customFormat="1" x14ac:dyDescent="0.35"/>
    <row r="398" s="67" customFormat="1" x14ac:dyDescent="0.35"/>
    <row r="399" s="67" customFormat="1" x14ac:dyDescent="0.35"/>
    <row r="400" s="67" customFormat="1" x14ac:dyDescent="0.35"/>
    <row r="401" s="67" customFormat="1" x14ac:dyDescent="0.35"/>
    <row r="402" s="67" customFormat="1" x14ac:dyDescent="0.35"/>
    <row r="403" s="67" customFormat="1" x14ac:dyDescent="0.35"/>
    <row r="404" s="67" customFormat="1" x14ac:dyDescent="0.35"/>
    <row r="405" s="67" customFormat="1" x14ac:dyDescent="0.35"/>
    <row r="406" s="67" customFormat="1" x14ac:dyDescent="0.35"/>
    <row r="407" s="67" customFormat="1" x14ac:dyDescent="0.35"/>
    <row r="408" s="67" customFormat="1" x14ac:dyDescent="0.35"/>
    <row r="409" s="67" customFormat="1" x14ac:dyDescent="0.35"/>
    <row r="410" s="67" customFormat="1" x14ac:dyDescent="0.35"/>
    <row r="411" s="67" customFormat="1" x14ac:dyDescent="0.35"/>
    <row r="412" s="67" customFormat="1" x14ac:dyDescent="0.35"/>
    <row r="413" s="67" customFormat="1" x14ac:dyDescent="0.35"/>
    <row r="414" s="67" customFormat="1" x14ac:dyDescent="0.35"/>
    <row r="415" s="67" customFormat="1" x14ac:dyDescent="0.35"/>
    <row r="416" s="67" customFormat="1" x14ac:dyDescent="0.35"/>
    <row r="417" s="67" customFormat="1" x14ac:dyDescent="0.35"/>
    <row r="418" s="67" customFormat="1" x14ac:dyDescent="0.35"/>
    <row r="419" s="67" customFormat="1" x14ac:dyDescent="0.35"/>
    <row r="420" s="67" customFormat="1" x14ac:dyDescent="0.35"/>
    <row r="421" s="67" customFormat="1" x14ac:dyDescent="0.35"/>
    <row r="422" s="67" customFormat="1" x14ac:dyDescent="0.35"/>
    <row r="423" s="67" customFormat="1" x14ac:dyDescent="0.35"/>
    <row r="424" s="67" customFormat="1" x14ac:dyDescent="0.35"/>
    <row r="425" s="67" customFormat="1" x14ac:dyDescent="0.35"/>
    <row r="426" s="67" customFormat="1" x14ac:dyDescent="0.35"/>
    <row r="427" s="67" customFormat="1" x14ac:dyDescent="0.35"/>
    <row r="428" s="67" customFormat="1" x14ac:dyDescent="0.35"/>
    <row r="429" s="67" customFormat="1" x14ac:dyDescent="0.35"/>
    <row r="430" s="67" customFormat="1" x14ac:dyDescent="0.35"/>
    <row r="431" s="67" customFormat="1" x14ac:dyDescent="0.35"/>
    <row r="432" s="67" customFormat="1" x14ac:dyDescent="0.35"/>
    <row r="433" s="67" customFormat="1" x14ac:dyDescent="0.35"/>
    <row r="434" s="67" customFormat="1" x14ac:dyDescent="0.35"/>
    <row r="435" s="67" customFormat="1" x14ac:dyDescent="0.35"/>
    <row r="436" s="67" customFormat="1" x14ac:dyDescent="0.35"/>
    <row r="437" s="67" customFormat="1" x14ac:dyDescent="0.35"/>
    <row r="438" s="67" customFormat="1" x14ac:dyDescent="0.35"/>
    <row r="439" s="67" customFormat="1" x14ac:dyDescent="0.35"/>
    <row r="440" s="67" customFormat="1" x14ac:dyDescent="0.35"/>
    <row r="441" s="67" customFormat="1" x14ac:dyDescent="0.35"/>
    <row r="442" s="67" customFormat="1" x14ac:dyDescent="0.35"/>
    <row r="443" s="67" customFormat="1" x14ac:dyDescent="0.35"/>
    <row r="444" s="67" customFormat="1" x14ac:dyDescent="0.35"/>
    <row r="445" s="67" customFormat="1" x14ac:dyDescent="0.35"/>
    <row r="446" s="67" customFormat="1" x14ac:dyDescent="0.35"/>
    <row r="447" s="67" customFormat="1" x14ac:dyDescent="0.35"/>
    <row r="448" s="67" customFormat="1" x14ac:dyDescent="0.35"/>
    <row r="449" s="67" customFormat="1" x14ac:dyDescent="0.35"/>
    <row r="450" s="67" customFormat="1" x14ac:dyDescent="0.35"/>
    <row r="451" s="67" customFormat="1" x14ac:dyDescent="0.35"/>
    <row r="452" s="67" customFormat="1" x14ac:dyDescent="0.35"/>
    <row r="453" s="67" customFormat="1" x14ac:dyDescent="0.35"/>
    <row r="454" s="67" customFormat="1" x14ac:dyDescent="0.35"/>
    <row r="455" s="67" customFormat="1" x14ac:dyDescent="0.35"/>
    <row r="456" s="67" customFormat="1" x14ac:dyDescent="0.35"/>
    <row r="457" s="67" customFormat="1" x14ac:dyDescent="0.35"/>
    <row r="458" s="67" customFormat="1" x14ac:dyDescent="0.35"/>
    <row r="459" s="67" customFormat="1" x14ac:dyDescent="0.35"/>
    <row r="460" s="67" customFormat="1" x14ac:dyDescent="0.35"/>
    <row r="461" s="67" customFormat="1" x14ac:dyDescent="0.35"/>
    <row r="462" s="67" customFormat="1" x14ac:dyDescent="0.35"/>
    <row r="463" s="67" customFormat="1" x14ac:dyDescent="0.35"/>
    <row r="464" s="67" customFormat="1" x14ac:dyDescent="0.35"/>
    <row r="465" s="67" customFormat="1" x14ac:dyDescent="0.35"/>
    <row r="466" s="67" customFormat="1" x14ac:dyDescent="0.35"/>
    <row r="467" s="67" customFormat="1" x14ac:dyDescent="0.35"/>
    <row r="468" s="67" customFormat="1" x14ac:dyDescent="0.35"/>
    <row r="469" s="67" customFormat="1" x14ac:dyDescent="0.35"/>
    <row r="470" s="67" customFormat="1" x14ac:dyDescent="0.35"/>
    <row r="471" s="67" customFormat="1" x14ac:dyDescent="0.35"/>
    <row r="472" s="67" customFormat="1" x14ac:dyDescent="0.35"/>
    <row r="473" s="67" customFormat="1" x14ac:dyDescent="0.35"/>
    <row r="474" s="67" customFormat="1" x14ac:dyDescent="0.35"/>
    <row r="475" s="67" customFormat="1" x14ac:dyDescent="0.35"/>
    <row r="476" s="67" customFormat="1" x14ac:dyDescent="0.35"/>
    <row r="477" s="67" customFormat="1" x14ac:dyDescent="0.35"/>
    <row r="478" s="67" customFormat="1" x14ac:dyDescent="0.35"/>
    <row r="479" s="67" customFormat="1" x14ac:dyDescent="0.35"/>
    <row r="480" s="67" customFormat="1" x14ac:dyDescent="0.35"/>
    <row r="481" s="67" customFormat="1" x14ac:dyDescent="0.35"/>
    <row r="482" s="67" customFormat="1" x14ac:dyDescent="0.35"/>
    <row r="483" s="67" customFormat="1" x14ac:dyDescent="0.35"/>
    <row r="484" s="67" customFormat="1" x14ac:dyDescent="0.35"/>
    <row r="485" s="67" customFormat="1" x14ac:dyDescent="0.35"/>
    <row r="486" s="67" customFormat="1" x14ac:dyDescent="0.35"/>
    <row r="487" s="67" customFormat="1" x14ac:dyDescent="0.35"/>
    <row r="488" s="67" customFormat="1" x14ac:dyDescent="0.35"/>
    <row r="489" s="67" customFormat="1" x14ac:dyDescent="0.35"/>
    <row r="490" s="67" customFormat="1" x14ac:dyDescent="0.35"/>
    <row r="491" s="67" customFormat="1" x14ac:dyDescent="0.35"/>
    <row r="492" s="67" customFormat="1" x14ac:dyDescent="0.35"/>
    <row r="493" s="67" customFormat="1" x14ac:dyDescent="0.35"/>
    <row r="494" s="67" customFormat="1" x14ac:dyDescent="0.35"/>
    <row r="495" s="67" customFormat="1" x14ac:dyDescent="0.35"/>
    <row r="496" s="67" customFormat="1" x14ac:dyDescent="0.35"/>
    <row r="497" s="67" customFormat="1" x14ac:dyDescent="0.35"/>
    <row r="498" s="67" customFormat="1" x14ac:dyDescent="0.35"/>
    <row r="499" s="67" customFormat="1" x14ac:dyDescent="0.35"/>
    <row r="500" s="67" customFormat="1" x14ac:dyDescent="0.35"/>
    <row r="501" s="67" customFormat="1" x14ac:dyDescent="0.35"/>
    <row r="502" s="67" customFormat="1" x14ac:dyDescent="0.35"/>
    <row r="503" s="67" customFormat="1" x14ac:dyDescent="0.35"/>
    <row r="504" s="67" customFormat="1" x14ac:dyDescent="0.35"/>
    <row r="505" s="67" customFormat="1" x14ac:dyDescent="0.35"/>
    <row r="506" s="67" customFormat="1" x14ac:dyDescent="0.35"/>
    <row r="507" s="67" customFormat="1" x14ac:dyDescent="0.35"/>
    <row r="508" s="67" customFormat="1" x14ac:dyDescent="0.35"/>
    <row r="509" s="67" customFormat="1" x14ac:dyDescent="0.35"/>
    <row r="510" s="67" customFormat="1" x14ac:dyDescent="0.35"/>
    <row r="511" s="67" customFormat="1" x14ac:dyDescent="0.35"/>
    <row r="512" s="67" customFormat="1" x14ac:dyDescent="0.35"/>
    <row r="513" s="67" customFormat="1" x14ac:dyDescent="0.35"/>
    <row r="514" s="67" customFormat="1" x14ac:dyDescent="0.35"/>
    <row r="515" s="67" customFormat="1" x14ac:dyDescent="0.35"/>
    <row r="516" s="67" customFormat="1" x14ac:dyDescent="0.35"/>
    <row r="517" s="67" customFormat="1" x14ac:dyDescent="0.35"/>
    <row r="518" s="67" customFormat="1" x14ac:dyDescent="0.35"/>
    <row r="519" s="67" customFormat="1" x14ac:dyDescent="0.35"/>
    <row r="520" s="67" customFormat="1" x14ac:dyDescent="0.35"/>
    <row r="521" s="67" customFormat="1" x14ac:dyDescent="0.35"/>
    <row r="522" s="67" customFormat="1" x14ac:dyDescent="0.35"/>
    <row r="523" s="67" customFormat="1" x14ac:dyDescent="0.35"/>
    <row r="524" s="67" customFormat="1" x14ac:dyDescent="0.35"/>
    <row r="525" s="67" customFormat="1" x14ac:dyDescent="0.35"/>
    <row r="526" s="67" customFormat="1" x14ac:dyDescent="0.35"/>
    <row r="527" s="67" customFormat="1" x14ac:dyDescent="0.35"/>
    <row r="528" s="67" customFormat="1" x14ac:dyDescent="0.35"/>
    <row r="529" s="67" customFormat="1" x14ac:dyDescent="0.35"/>
    <row r="530" s="67" customFormat="1" x14ac:dyDescent="0.35"/>
    <row r="531" s="67" customFormat="1" x14ac:dyDescent="0.35"/>
    <row r="532" s="67" customFormat="1" x14ac:dyDescent="0.35"/>
    <row r="533" s="67" customFormat="1" x14ac:dyDescent="0.35"/>
    <row r="534" s="67" customFormat="1" x14ac:dyDescent="0.35"/>
    <row r="535" s="67" customFormat="1" x14ac:dyDescent="0.35"/>
    <row r="536" s="67" customFormat="1" x14ac:dyDescent="0.35"/>
    <row r="537" s="67" customFormat="1" x14ac:dyDescent="0.35"/>
    <row r="538" s="67" customFormat="1" x14ac:dyDescent="0.35"/>
    <row r="539" s="67" customFormat="1" x14ac:dyDescent="0.35"/>
    <row r="540" s="67" customFormat="1" x14ac:dyDescent="0.35"/>
    <row r="541" s="67" customFormat="1" x14ac:dyDescent="0.35"/>
    <row r="542" s="67" customFormat="1" x14ac:dyDescent="0.35"/>
    <row r="543" s="67" customFormat="1" x14ac:dyDescent="0.35"/>
    <row r="544" s="67" customFormat="1" x14ac:dyDescent="0.35"/>
    <row r="545" s="67" customFormat="1" x14ac:dyDescent="0.35"/>
    <row r="546" s="67" customFormat="1" x14ac:dyDescent="0.35"/>
    <row r="547" s="67" customFormat="1" x14ac:dyDescent="0.35"/>
    <row r="548" s="67" customFormat="1" x14ac:dyDescent="0.35"/>
    <row r="549" s="67" customFormat="1" x14ac:dyDescent="0.35"/>
    <row r="550" s="67" customFormat="1" x14ac:dyDescent="0.35"/>
    <row r="551" s="67" customFormat="1" x14ac:dyDescent="0.35"/>
    <row r="552" s="67" customFormat="1" x14ac:dyDescent="0.35"/>
    <row r="553" s="67" customFormat="1" x14ac:dyDescent="0.35"/>
    <row r="554" s="67" customFormat="1" x14ac:dyDescent="0.35"/>
    <row r="555" s="67" customFormat="1" x14ac:dyDescent="0.35"/>
    <row r="556" s="67" customFormat="1" x14ac:dyDescent="0.35"/>
    <row r="557" s="67" customFormat="1" x14ac:dyDescent="0.35"/>
    <row r="558" s="67" customFormat="1" x14ac:dyDescent="0.35"/>
    <row r="559" s="67" customFormat="1" x14ac:dyDescent="0.35"/>
    <row r="560" s="67" customFormat="1" x14ac:dyDescent="0.35"/>
    <row r="561" s="67" customFormat="1" x14ac:dyDescent="0.35"/>
    <row r="562" s="67" customFormat="1" x14ac:dyDescent="0.35"/>
    <row r="563" s="67" customFormat="1" x14ac:dyDescent="0.35"/>
    <row r="564" s="67" customFormat="1" x14ac:dyDescent="0.35"/>
    <row r="565" s="67" customFormat="1" x14ac:dyDescent="0.35"/>
    <row r="566" s="67" customFormat="1" x14ac:dyDescent="0.35"/>
    <row r="567" s="67" customFormat="1" x14ac:dyDescent="0.35"/>
    <row r="568" s="67" customFormat="1" x14ac:dyDescent="0.35"/>
    <row r="569" s="67" customFormat="1" x14ac:dyDescent="0.35"/>
    <row r="570" s="67" customFormat="1" x14ac:dyDescent="0.35"/>
    <row r="571" s="67" customFormat="1" x14ac:dyDescent="0.35"/>
    <row r="572" s="67" customFormat="1" x14ac:dyDescent="0.35"/>
    <row r="573" s="67" customFormat="1" x14ac:dyDescent="0.35"/>
    <row r="574" s="67" customFormat="1" x14ac:dyDescent="0.35"/>
    <row r="575" s="67" customFormat="1" x14ac:dyDescent="0.35"/>
    <row r="576" s="67" customFormat="1" x14ac:dyDescent="0.35"/>
    <row r="577" s="67" customFormat="1" x14ac:dyDescent="0.35"/>
    <row r="578" s="67" customFormat="1" x14ac:dyDescent="0.35"/>
    <row r="579" s="67" customFormat="1" x14ac:dyDescent="0.35"/>
    <row r="580" s="67" customFormat="1" x14ac:dyDescent="0.35"/>
    <row r="581" s="67" customFormat="1" x14ac:dyDescent="0.35"/>
    <row r="582" s="67" customFormat="1" x14ac:dyDescent="0.35"/>
    <row r="583" s="67" customFormat="1" x14ac:dyDescent="0.35"/>
    <row r="584" s="67" customFormat="1" x14ac:dyDescent="0.35"/>
    <row r="585" s="67" customFormat="1" x14ac:dyDescent="0.35"/>
    <row r="586" s="67" customFormat="1" x14ac:dyDescent="0.35"/>
    <row r="587" s="67" customFormat="1" x14ac:dyDescent="0.35"/>
    <row r="588" s="67" customFormat="1" x14ac:dyDescent="0.35"/>
    <row r="589" s="67" customFormat="1" x14ac:dyDescent="0.35"/>
    <row r="590" s="67" customFormat="1" x14ac:dyDescent="0.35"/>
    <row r="591" s="67" customFormat="1" x14ac:dyDescent="0.35"/>
    <row r="592" s="67" customFormat="1" x14ac:dyDescent="0.35"/>
    <row r="593" s="67" customFormat="1" x14ac:dyDescent="0.35"/>
    <row r="594" s="67" customFormat="1" x14ac:dyDescent="0.35"/>
    <row r="595" s="67" customFormat="1" x14ac:dyDescent="0.35"/>
    <row r="596" s="67" customFormat="1" x14ac:dyDescent="0.35"/>
    <row r="597" s="67" customFormat="1" x14ac:dyDescent="0.35"/>
    <row r="598" s="67" customFormat="1" x14ac:dyDescent="0.35"/>
    <row r="599" s="67" customFormat="1" x14ac:dyDescent="0.35"/>
    <row r="600" s="67" customFormat="1" x14ac:dyDescent="0.35"/>
    <row r="601" s="67" customFormat="1" x14ac:dyDescent="0.35"/>
    <row r="602" s="67" customFormat="1" x14ac:dyDescent="0.35"/>
    <row r="603" s="67" customFormat="1" x14ac:dyDescent="0.35"/>
    <row r="604" s="67" customFormat="1" x14ac:dyDescent="0.35"/>
    <row r="605" s="67" customFormat="1" x14ac:dyDescent="0.35"/>
    <row r="606" s="67" customFormat="1" x14ac:dyDescent="0.35"/>
    <row r="607" s="67" customFormat="1" x14ac:dyDescent="0.35"/>
    <row r="608" s="67" customFormat="1" x14ac:dyDescent="0.35"/>
    <row r="609" s="67" customFormat="1" x14ac:dyDescent="0.35"/>
    <row r="610" s="67" customFormat="1" x14ac:dyDescent="0.35"/>
    <row r="611" s="67" customFormat="1" x14ac:dyDescent="0.35"/>
    <row r="612" s="67" customFormat="1" x14ac:dyDescent="0.35"/>
    <row r="613" s="67" customFormat="1" x14ac:dyDescent="0.35"/>
    <row r="614" s="67" customFormat="1" x14ac:dyDescent="0.35"/>
    <row r="615" s="67" customFormat="1" x14ac:dyDescent="0.35"/>
    <row r="616" s="67" customFormat="1" x14ac:dyDescent="0.35"/>
    <row r="617" s="67" customFormat="1" x14ac:dyDescent="0.35"/>
    <row r="618" s="67" customFormat="1" x14ac:dyDescent="0.35"/>
    <row r="619" s="67" customFormat="1" x14ac:dyDescent="0.35"/>
    <row r="620" s="67" customFormat="1" x14ac:dyDescent="0.35"/>
    <row r="621" s="67" customFormat="1" x14ac:dyDescent="0.35"/>
    <row r="622" s="67" customFormat="1" x14ac:dyDescent="0.35"/>
    <row r="623" s="67" customFormat="1" x14ac:dyDescent="0.35"/>
    <row r="624" s="67" customFormat="1" x14ac:dyDescent="0.35"/>
    <row r="625" s="67" customFormat="1" x14ac:dyDescent="0.35"/>
    <row r="626" s="67" customFormat="1" x14ac:dyDescent="0.35"/>
    <row r="627" s="67" customFormat="1" x14ac:dyDescent="0.35"/>
    <row r="628" s="67" customFormat="1" x14ac:dyDescent="0.35"/>
    <row r="629" s="67" customFormat="1" x14ac:dyDescent="0.35"/>
    <row r="630" s="67" customFormat="1" x14ac:dyDescent="0.35"/>
    <row r="631" s="67" customFormat="1" x14ac:dyDescent="0.35"/>
    <row r="632" s="67" customFormat="1" x14ac:dyDescent="0.35"/>
    <row r="633" s="67" customFormat="1" x14ac:dyDescent="0.35"/>
    <row r="634" s="67" customFormat="1" x14ac:dyDescent="0.35"/>
    <row r="635" s="67" customFormat="1" x14ac:dyDescent="0.35"/>
    <row r="636" s="67" customFormat="1" x14ac:dyDescent="0.35"/>
    <row r="637" s="67" customFormat="1" x14ac:dyDescent="0.35"/>
    <row r="638" s="67" customFormat="1" x14ac:dyDescent="0.35"/>
    <row r="639" s="67" customFormat="1" x14ac:dyDescent="0.35"/>
    <row r="640" s="67" customFormat="1" x14ac:dyDescent="0.35"/>
    <row r="641" s="67" customFormat="1" x14ac:dyDescent="0.35"/>
    <row r="642" s="67" customFormat="1" x14ac:dyDescent="0.35"/>
    <row r="643" s="67" customFormat="1" x14ac:dyDescent="0.35"/>
    <row r="644" s="67" customFormat="1" x14ac:dyDescent="0.35"/>
    <row r="645" s="67" customFormat="1" x14ac:dyDescent="0.35"/>
    <row r="646" s="67" customFormat="1" x14ac:dyDescent="0.35"/>
    <row r="647" s="67" customFormat="1" x14ac:dyDescent="0.35"/>
    <row r="648" s="67" customFormat="1" x14ac:dyDescent="0.35"/>
    <row r="649" s="67" customFormat="1" x14ac:dyDescent="0.35"/>
    <row r="650" s="67" customFormat="1" x14ac:dyDescent="0.35"/>
    <row r="651" s="67" customFormat="1" x14ac:dyDescent="0.35"/>
    <row r="652" s="67" customFormat="1" x14ac:dyDescent="0.35"/>
    <row r="653" s="67" customFormat="1" x14ac:dyDescent="0.35"/>
    <row r="654" s="67" customFormat="1" x14ac:dyDescent="0.35"/>
    <row r="655" s="67" customFormat="1" x14ac:dyDescent="0.35"/>
    <row r="656" s="67" customFormat="1" x14ac:dyDescent="0.35"/>
    <row r="657" s="67" customFormat="1" x14ac:dyDescent="0.35"/>
    <row r="658" s="67" customFormat="1" x14ac:dyDescent="0.35"/>
    <row r="659" s="67" customFormat="1" x14ac:dyDescent="0.35"/>
    <row r="660" s="67" customFormat="1" x14ac:dyDescent="0.35"/>
    <row r="661" s="67" customFormat="1" x14ac:dyDescent="0.35"/>
    <row r="662" s="67" customFormat="1" x14ac:dyDescent="0.35"/>
    <row r="663" s="67" customFormat="1" x14ac:dyDescent="0.35"/>
    <row r="664" s="67" customFormat="1" x14ac:dyDescent="0.35"/>
    <row r="665" s="67" customFormat="1" x14ac:dyDescent="0.35"/>
    <row r="666" s="67" customFormat="1" x14ac:dyDescent="0.35"/>
    <row r="667" s="67" customFormat="1" x14ac:dyDescent="0.35"/>
    <row r="668" s="67" customFormat="1" x14ac:dyDescent="0.35"/>
    <row r="669" s="67" customFormat="1" x14ac:dyDescent="0.35"/>
    <row r="670" s="67" customFormat="1" x14ac:dyDescent="0.35"/>
    <row r="671" s="67" customFormat="1" x14ac:dyDescent="0.35"/>
    <row r="672" s="67" customFormat="1" x14ac:dyDescent="0.35"/>
    <row r="673" s="67" customFormat="1" x14ac:dyDescent="0.35"/>
    <row r="674" s="67" customFormat="1" x14ac:dyDescent="0.35"/>
    <row r="675" s="67" customFormat="1" x14ac:dyDescent="0.35"/>
    <row r="676" s="67" customFormat="1" x14ac:dyDescent="0.35"/>
    <row r="677" s="67" customFormat="1" x14ac:dyDescent="0.35"/>
    <row r="678" s="67" customFormat="1" x14ac:dyDescent="0.35"/>
    <row r="679" s="67" customFormat="1" x14ac:dyDescent="0.35"/>
    <row r="680" s="67" customFormat="1" x14ac:dyDescent="0.35"/>
    <row r="681" s="67" customFormat="1" x14ac:dyDescent="0.35"/>
    <row r="682" s="67" customFormat="1" x14ac:dyDescent="0.35"/>
    <row r="683" s="67" customFormat="1" x14ac:dyDescent="0.35"/>
    <row r="684" s="67" customFormat="1" x14ac:dyDescent="0.35"/>
    <row r="685" s="67" customFormat="1" x14ac:dyDescent="0.35"/>
    <row r="686" s="67" customFormat="1" x14ac:dyDescent="0.35"/>
    <row r="687" s="67" customFormat="1" x14ac:dyDescent="0.35"/>
    <row r="688" s="67" customFormat="1" x14ac:dyDescent="0.35"/>
    <row r="689" s="67" customFormat="1" x14ac:dyDescent="0.35"/>
    <row r="690" s="67" customFormat="1" x14ac:dyDescent="0.35"/>
    <row r="691" s="67" customFormat="1" x14ac:dyDescent="0.35"/>
    <row r="692" s="67" customFormat="1" x14ac:dyDescent="0.35"/>
    <row r="693" s="67" customFormat="1" x14ac:dyDescent="0.35"/>
    <row r="694" s="67" customFormat="1" x14ac:dyDescent="0.35"/>
    <row r="695" s="67" customFormat="1" x14ac:dyDescent="0.35"/>
    <row r="696" s="67" customFormat="1" x14ac:dyDescent="0.35"/>
    <row r="697" s="67" customFormat="1" x14ac:dyDescent="0.35"/>
    <row r="698" s="67" customFormat="1" x14ac:dyDescent="0.35"/>
    <row r="699" s="67" customFormat="1" x14ac:dyDescent="0.35"/>
    <row r="700" s="67" customFormat="1" x14ac:dyDescent="0.35"/>
    <row r="701" s="67" customFormat="1" x14ac:dyDescent="0.35"/>
    <row r="702" s="67" customFormat="1" x14ac:dyDescent="0.35"/>
    <row r="703" s="67" customFormat="1" x14ac:dyDescent="0.35"/>
    <row r="704" s="67" customFormat="1" x14ac:dyDescent="0.35"/>
    <row r="705" s="67" customFormat="1" x14ac:dyDescent="0.35"/>
    <row r="706" s="67" customFormat="1" x14ac:dyDescent="0.35"/>
    <row r="707" s="67" customFormat="1" x14ac:dyDescent="0.35"/>
    <row r="708" s="67" customFormat="1" x14ac:dyDescent="0.35"/>
    <row r="709" s="67" customFormat="1" x14ac:dyDescent="0.35"/>
    <row r="710" s="67" customFormat="1" x14ac:dyDescent="0.35"/>
    <row r="711" s="67" customFormat="1" x14ac:dyDescent="0.35"/>
    <row r="712" s="67" customFormat="1" x14ac:dyDescent="0.35"/>
    <row r="713" s="67" customFormat="1" x14ac:dyDescent="0.35"/>
    <row r="714" s="67" customFormat="1" x14ac:dyDescent="0.35"/>
    <row r="715" s="67" customFormat="1" x14ac:dyDescent="0.35"/>
    <row r="716" s="67" customFormat="1" x14ac:dyDescent="0.35"/>
    <row r="717" s="67" customFormat="1" x14ac:dyDescent="0.35"/>
    <row r="718" s="67" customFormat="1" x14ac:dyDescent="0.35"/>
    <row r="719" s="67" customFormat="1" x14ac:dyDescent="0.35"/>
    <row r="720" s="67" customFormat="1" x14ac:dyDescent="0.35"/>
    <row r="721" s="67" customFormat="1" x14ac:dyDescent="0.35"/>
    <row r="722" s="67" customFormat="1" x14ac:dyDescent="0.35"/>
    <row r="723" s="67" customFormat="1" x14ac:dyDescent="0.35"/>
    <row r="724" s="67" customFormat="1" x14ac:dyDescent="0.35"/>
    <row r="725" s="67" customFormat="1" x14ac:dyDescent="0.35"/>
    <row r="726" s="67" customFormat="1" x14ac:dyDescent="0.35"/>
    <row r="727" s="67" customFormat="1" x14ac:dyDescent="0.35"/>
    <row r="728" s="67" customFormat="1" x14ac:dyDescent="0.35"/>
    <row r="729" s="67" customFormat="1" x14ac:dyDescent="0.35"/>
    <row r="730" s="67" customFormat="1" x14ac:dyDescent="0.35"/>
    <row r="731" s="67" customFormat="1" x14ac:dyDescent="0.35"/>
    <row r="732" s="67" customFormat="1" x14ac:dyDescent="0.35"/>
    <row r="733" s="67" customFormat="1" x14ac:dyDescent="0.35"/>
    <row r="734" s="67" customFormat="1" x14ac:dyDescent="0.35"/>
    <row r="735" s="67" customFormat="1" x14ac:dyDescent="0.35"/>
    <row r="736" s="67" customFormat="1" x14ac:dyDescent="0.35"/>
    <row r="737" s="67" customFormat="1" x14ac:dyDescent="0.35"/>
    <row r="738" s="67" customFormat="1" x14ac:dyDescent="0.35"/>
    <row r="739" s="67" customFormat="1" x14ac:dyDescent="0.35"/>
    <row r="740" s="67" customFormat="1" x14ac:dyDescent="0.35"/>
    <row r="741" s="67" customFormat="1" x14ac:dyDescent="0.35"/>
    <row r="742" s="67" customFormat="1" x14ac:dyDescent="0.35"/>
    <row r="743" s="67" customFormat="1" x14ac:dyDescent="0.35"/>
    <row r="744" s="67" customFormat="1" x14ac:dyDescent="0.35"/>
    <row r="745" s="67" customFormat="1" x14ac:dyDescent="0.35"/>
    <row r="746" s="67" customFormat="1" x14ac:dyDescent="0.35"/>
    <row r="747" s="67" customFormat="1" x14ac:dyDescent="0.35"/>
    <row r="748" s="67" customFormat="1" x14ac:dyDescent="0.35"/>
    <row r="749" s="67" customFormat="1" x14ac:dyDescent="0.35"/>
    <row r="750" s="67" customFormat="1" x14ac:dyDescent="0.35"/>
    <row r="751" s="67" customFormat="1" x14ac:dyDescent="0.35"/>
    <row r="752" s="67" customFormat="1" x14ac:dyDescent="0.35"/>
    <row r="753" s="67" customFormat="1" x14ac:dyDescent="0.35"/>
    <row r="754" s="67" customFormat="1" x14ac:dyDescent="0.35"/>
    <row r="755" s="67" customFormat="1" x14ac:dyDescent="0.35"/>
    <row r="756" s="67" customFormat="1" x14ac:dyDescent="0.35"/>
    <row r="757" s="67" customFormat="1" x14ac:dyDescent="0.35"/>
    <row r="758" s="67" customFormat="1" x14ac:dyDescent="0.35"/>
    <row r="759" s="67" customFormat="1" x14ac:dyDescent="0.35"/>
    <row r="760" s="67" customFormat="1" x14ac:dyDescent="0.35"/>
    <row r="761" s="67" customFormat="1" x14ac:dyDescent="0.35"/>
    <row r="762" s="67" customFormat="1" x14ac:dyDescent="0.35"/>
    <row r="763" s="67" customFormat="1" x14ac:dyDescent="0.35"/>
    <row r="764" s="67" customFormat="1" x14ac:dyDescent="0.35"/>
    <row r="765" s="67" customFormat="1" x14ac:dyDescent="0.35"/>
    <row r="766" s="67" customFormat="1" x14ac:dyDescent="0.35"/>
    <row r="767" s="67" customFormat="1" x14ac:dyDescent="0.35"/>
    <row r="768" s="67" customFormat="1" x14ac:dyDescent="0.35"/>
    <row r="769" s="67" customFormat="1" x14ac:dyDescent="0.35"/>
    <row r="770" s="67" customFormat="1" x14ac:dyDescent="0.35"/>
    <row r="771" s="67" customFormat="1" x14ac:dyDescent="0.35"/>
    <row r="772" s="67" customFormat="1" x14ac:dyDescent="0.35"/>
    <row r="773" s="67" customFormat="1" x14ac:dyDescent="0.35"/>
    <row r="774" s="67" customFormat="1" x14ac:dyDescent="0.35"/>
    <row r="775" s="67" customFormat="1" x14ac:dyDescent="0.35"/>
    <row r="776" s="67" customFormat="1" x14ac:dyDescent="0.35"/>
    <row r="777" s="67" customFormat="1" x14ac:dyDescent="0.35"/>
    <row r="778" s="67" customFormat="1" x14ac:dyDescent="0.35"/>
    <row r="779" s="67" customFormat="1" x14ac:dyDescent="0.35"/>
    <row r="780" s="67" customFormat="1" x14ac:dyDescent="0.35"/>
    <row r="781" s="67" customFormat="1" x14ac:dyDescent="0.35"/>
    <row r="782" s="67" customFormat="1" x14ac:dyDescent="0.35"/>
    <row r="783" s="67" customFormat="1" x14ac:dyDescent="0.35"/>
    <row r="784" s="67" customFormat="1" x14ac:dyDescent="0.35"/>
    <row r="785" s="67" customFormat="1" x14ac:dyDescent="0.35"/>
    <row r="786" s="67" customFormat="1" x14ac:dyDescent="0.35"/>
    <row r="787" s="67" customFormat="1" x14ac:dyDescent="0.35"/>
    <row r="788" s="67" customFormat="1" x14ac:dyDescent="0.35"/>
    <row r="789" s="67" customFormat="1" x14ac:dyDescent="0.35"/>
    <row r="790" s="67" customFormat="1" x14ac:dyDescent="0.35"/>
    <row r="791" s="67" customFormat="1" x14ac:dyDescent="0.35"/>
    <row r="792" s="67" customFormat="1" x14ac:dyDescent="0.35"/>
    <row r="793" s="67" customFormat="1" x14ac:dyDescent="0.35"/>
    <row r="794" s="67" customFormat="1" x14ac:dyDescent="0.35"/>
    <row r="795" s="67" customFormat="1" x14ac:dyDescent="0.35"/>
    <row r="796" s="67" customFormat="1" x14ac:dyDescent="0.35"/>
    <row r="797" s="67" customFormat="1" x14ac:dyDescent="0.35"/>
    <row r="798" s="67" customFormat="1" x14ac:dyDescent="0.35"/>
    <row r="799" s="67" customFormat="1" x14ac:dyDescent="0.35"/>
    <row r="800" s="67" customFormat="1" x14ac:dyDescent="0.35"/>
    <row r="801" s="67" customFormat="1" x14ac:dyDescent="0.35"/>
    <row r="802" s="67" customFormat="1" x14ac:dyDescent="0.35"/>
    <row r="803" s="67" customFormat="1" x14ac:dyDescent="0.35"/>
    <row r="804" s="67" customFormat="1" x14ac:dyDescent="0.35"/>
    <row r="805" s="67" customFormat="1" x14ac:dyDescent="0.35"/>
    <row r="806" s="67" customFormat="1" x14ac:dyDescent="0.35"/>
    <row r="807" s="67" customFormat="1" x14ac:dyDescent="0.35"/>
    <row r="808" s="67" customFormat="1" x14ac:dyDescent="0.35"/>
    <row r="809" s="67" customFormat="1" x14ac:dyDescent="0.35"/>
    <row r="810" s="67" customFormat="1" x14ac:dyDescent="0.35"/>
    <row r="811" s="67" customFormat="1" x14ac:dyDescent="0.35"/>
    <row r="812" s="67" customFormat="1" x14ac:dyDescent="0.35"/>
    <row r="813" s="67" customFormat="1" x14ac:dyDescent="0.35"/>
    <row r="814" s="67" customFormat="1" x14ac:dyDescent="0.35"/>
    <row r="815" s="67" customFormat="1" x14ac:dyDescent="0.35"/>
    <row r="816" s="67" customFormat="1" x14ac:dyDescent="0.35"/>
    <row r="817" s="67" customFormat="1" x14ac:dyDescent="0.35"/>
    <row r="818" s="67" customFormat="1" x14ac:dyDescent="0.35"/>
    <row r="819" s="67" customFormat="1" x14ac:dyDescent="0.35"/>
    <row r="820" s="67" customFormat="1" x14ac:dyDescent="0.35"/>
    <row r="821" s="67" customFormat="1" x14ac:dyDescent="0.35"/>
    <row r="822" s="67" customFormat="1" x14ac:dyDescent="0.35"/>
    <row r="823" s="67" customFormat="1" x14ac:dyDescent="0.35"/>
    <row r="824" s="67" customFormat="1" x14ac:dyDescent="0.35"/>
    <row r="825" s="67" customFormat="1" x14ac:dyDescent="0.35"/>
    <row r="826" s="67" customFormat="1" x14ac:dyDescent="0.35"/>
    <row r="827" s="67" customFormat="1" x14ac:dyDescent="0.35"/>
    <row r="828" s="67" customFormat="1" x14ac:dyDescent="0.35"/>
    <row r="829" s="67" customFormat="1" x14ac:dyDescent="0.35"/>
    <row r="830" s="67" customFormat="1" x14ac:dyDescent="0.35"/>
    <row r="831" s="67" customFormat="1" x14ac:dyDescent="0.35"/>
    <row r="832" s="67" customFormat="1" x14ac:dyDescent="0.35"/>
    <row r="833" s="67" customFormat="1" x14ac:dyDescent="0.35"/>
    <row r="834" s="67" customFormat="1" x14ac:dyDescent="0.35"/>
    <row r="835" s="67" customFormat="1" x14ac:dyDescent="0.35"/>
    <row r="836" s="67" customFormat="1" x14ac:dyDescent="0.35"/>
    <row r="837" s="67" customFormat="1" x14ac:dyDescent="0.35"/>
    <row r="838" s="67" customFormat="1" x14ac:dyDescent="0.35"/>
    <row r="839" s="67" customFormat="1" x14ac:dyDescent="0.35"/>
    <row r="840" s="67" customFormat="1" x14ac:dyDescent="0.35"/>
    <row r="841" s="67" customFormat="1" x14ac:dyDescent="0.35"/>
    <row r="842" s="67" customFormat="1" x14ac:dyDescent="0.35"/>
    <row r="843" s="67" customFormat="1" x14ac:dyDescent="0.35"/>
    <row r="844" s="67" customFormat="1" x14ac:dyDescent="0.35"/>
    <row r="845" s="67" customFormat="1" x14ac:dyDescent="0.35"/>
    <row r="846" s="67" customFormat="1" x14ac:dyDescent="0.35"/>
    <row r="847" s="67" customFormat="1" x14ac:dyDescent="0.35"/>
    <row r="848" s="67" customFormat="1" x14ac:dyDescent="0.35"/>
    <row r="849" s="67" customFormat="1" x14ac:dyDescent="0.35"/>
    <row r="850" s="67" customFormat="1" x14ac:dyDescent="0.35"/>
    <row r="851" s="67" customFormat="1" x14ac:dyDescent="0.35"/>
    <row r="852" s="67" customFormat="1" x14ac:dyDescent="0.35"/>
    <row r="853" s="67" customFormat="1" x14ac:dyDescent="0.35"/>
    <row r="854" s="67" customFormat="1" x14ac:dyDescent="0.35"/>
    <row r="855" s="67" customFormat="1" x14ac:dyDescent="0.35"/>
    <row r="856" s="67" customFormat="1" x14ac:dyDescent="0.35"/>
    <row r="857" s="67" customFormat="1" x14ac:dyDescent="0.35"/>
    <row r="858" s="67" customFormat="1" x14ac:dyDescent="0.35"/>
    <row r="859" s="67" customFormat="1" x14ac:dyDescent="0.35"/>
    <row r="860" s="67" customFormat="1" x14ac:dyDescent="0.35"/>
    <row r="861" s="67" customFormat="1" x14ac:dyDescent="0.35"/>
    <row r="862" s="67" customFormat="1" x14ac:dyDescent="0.35"/>
    <row r="863" s="67" customFormat="1" x14ac:dyDescent="0.35"/>
    <row r="864" s="67" customFormat="1" x14ac:dyDescent="0.35"/>
    <row r="865" s="67" customFormat="1" x14ac:dyDescent="0.35"/>
    <row r="866" s="67" customFormat="1" x14ac:dyDescent="0.35"/>
    <row r="867" s="67" customFormat="1" x14ac:dyDescent="0.35"/>
    <row r="868" s="67" customFormat="1" x14ac:dyDescent="0.35"/>
    <row r="869" s="67" customFormat="1" x14ac:dyDescent="0.35"/>
    <row r="870" s="67" customFormat="1" x14ac:dyDescent="0.35"/>
    <row r="871" s="67" customFormat="1" x14ac:dyDescent="0.35"/>
    <row r="872" s="67" customFormat="1" x14ac:dyDescent="0.35"/>
    <row r="873" s="67" customFormat="1" x14ac:dyDescent="0.35"/>
    <row r="874" s="67" customFormat="1" x14ac:dyDescent="0.35"/>
    <row r="875" s="67" customFormat="1" x14ac:dyDescent="0.35"/>
    <row r="876" s="67" customFormat="1" x14ac:dyDescent="0.35"/>
    <row r="877" s="67" customFormat="1" x14ac:dyDescent="0.35"/>
    <row r="878" s="67" customFormat="1" x14ac:dyDescent="0.35"/>
    <row r="879" s="67" customFormat="1" x14ac:dyDescent="0.35"/>
    <row r="880" s="67" customFormat="1" x14ac:dyDescent="0.35"/>
    <row r="881" s="67" customFormat="1" x14ac:dyDescent="0.35"/>
    <row r="882" s="67" customFormat="1" x14ac:dyDescent="0.35"/>
    <row r="883" s="67" customFormat="1" x14ac:dyDescent="0.35"/>
    <row r="884" s="67" customFormat="1" x14ac:dyDescent="0.35"/>
    <row r="885" s="67" customFormat="1" x14ac:dyDescent="0.35"/>
    <row r="886" s="67" customFormat="1" x14ac:dyDescent="0.35"/>
    <row r="887" s="67" customFormat="1" x14ac:dyDescent="0.35"/>
    <row r="888" s="67" customFormat="1" x14ac:dyDescent="0.35"/>
    <row r="889" s="67" customFormat="1" x14ac:dyDescent="0.35"/>
    <row r="890" s="67" customFormat="1" x14ac:dyDescent="0.35"/>
    <row r="891" s="67" customFormat="1" x14ac:dyDescent="0.35"/>
    <row r="892" s="67" customFormat="1" x14ac:dyDescent="0.35"/>
    <row r="893" s="67" customFormat="1" x14ac:dyDescent="0.35"/>
    <row r="894" s="67" customFormat="1" x14ac:dyDescent="0.35"/>
    <row r="895" s="67" customFormat="1" x14ac:dyDescent="0.35"/>
    <row r="896" s="67" customFormat="1" x14ac:dyDescent="0.35"/>
    <row r="897" s="67" customFormat="1" x14ac:dyDescent="0.35"/>
    <row r="898" s="67" customFormat="1" x14ac:dyDescent="0.35"/>
    <row r="899" s="67" customFormat="1" x14ac:dyDescent="0.35"/>
    <row r="900" s="67" customFormat="1" x14ac:dyDescent="0.35"/>
    <row r="901" s="67" customFormat="1" x14ac:dyDescent="0.35"/>
    <row r="902" s="67" customFormat="1" x14ac:dyDescent="0.35"/>
    <row r="903" s="67" customFormat="1" x14ac:dyDescent="0.35"/>
    <row r="904" s="67" customFormat="1" x14ac:dyDescent="0.35"/>
    <row r="905" s="67" customFormat="1" x14ac:dyDescent="0.35"/>
    <row r="906" s="67" customFormat="1" x14ac:dyDescent="0.35"/>
    <row r="907" s="67" customFormat="1" x14ac:dyDescent="0.35"/>
    <row r="908" s="67" customFormat="1" x14ac:dyDescent="0.35"/>
    <row r="909" s="67" customFormat="1" x14ac:dyDescent="0.35"/>
    <row r="910" s="67" customFormat="1" x14ac:dyDescent="0.35"/>
    <row r="911" s="67" customFormat="1" x14ac:dyDescent="0.35"/>
    <row r="912" s="67" customFormat="1" x14ac:dyDescent="0.35"/>
    <row r="913" s="67" customFormat="1" x14ac:dyDescent="0.35"/>
    <row r="914" s="67" customFormat="1" x14ac:dyDescent="0.35"/>
    <row r="915" s="67" customFormat="1" x14ac:dyDescent="0.35"/>
    <row r="916" s="67" customFormat="1" x14ac:dyDescent="0.35"/>
    <row r="917" s="67" customFormat="1" x14ac:dyDescent="0.35"/>
    <row r="918" s="67" customFormat="1" x14ac:dyDescent="0.35"/>
    <row r="919" s="67" customFormat="1" x14ac:dyDescent="0.35"/>
    <row r="920" s="67" customFormat="1" x14ac:dyDescent="0.35"/>
    <row r="921" s="67" customFormat="1" x14ac:dyDescent="0.35"/>
    <row r="922" s="67" customFormat="1" x14ac:dyDescent="0.35"/>
    <row r="923" s="67" customFormat="1" x14ac:dyDescent="0.35"/>
    <row r="924" s="67" customFormat="1" x14ac:dyDescent="0.35"/>
    <row r="925" s="67" customFormat="1" x14ac:dyDescent="0.35"/>
    <row r="926" s="67" customFormat="1" x14ac:dyDescent="0.35"/>
    <row r="927" s="67" customFormat="1" x14ac:dyDescent="0.35"/>
    <row r="928" s="67" customFormat="1" x14ac:dyDescent="0.35"/>
    <row r="929" s="67" customFormat="1" x14ac:dyDescent="0.35"/>
    <row r="930" s="67" customFormat="1" x14ac:dyDescent="0.35"/>
    <row r="931" s="67" customFormat="1" x14ac:dyDescent="0.35"/>
    <row r="932" s="67" customFormat="1" x14ac:dyDescent="0.35"/>
    <row r="933" s="67" customFormat="1" x14ac:dyDescent="0.35"/>
    <row r="934" s="67" customFormat="1" x14ac:dyDescent="0.35"/>
    <row r="935" s="67" customFormat="1" x14ac:dyDescent="0.35"/>
    <row r="936" s="67" customFormat="1" x14ac:dyDescent="0.35"/>
    <row r="937" s="67" customFormat="1" x14ac:dyDescent="0.35"/>
    <row r="938" s="67" customFormat="1" x14ac:dyDescent="0.35"/>
    <row r="939" s="67" customFormat="1" x14ac:dyDescent="0.35"/>
    <row r="940" s="67" customFormat="1" x14ac:dyDescent="0.35"/>
    <row r="941" s="67" customFormat="1" x14ac:dyDescent="0.35"/>
    <row r="942" s="67" customFormat="1" x14ac:dyDescent="0.35"/>
    <row r="943" s="67" customFormat="1" x14ac:dyDescent="0.35"/>
    <row r="944" s="67" customFormat="1" x14ac:dyDescent="0.35"/>
    <row r="945" s="67" customFormat="1" x14ac:dyDescent="0.35"/>
    <row r="946" s="67" customFormat="1" x14ac:dyDescent="0.35"/>
    <row r="947" s="67" customFormat="1" x14ac:dyDescent="0.35"/>
    <row r="948" s="67" customFormat="1" x14ac:dyDescent="0.35"/>
    <row r="949" s="67" customFormat="1" x14ac:dyDescent="0.35"/>
    <row r="950" s="67" customFormat="1" x14ac:dyDescent="0.35"/>
    <row r="951" s="67" customFormat="1" x14ac:dyDescent="0.35"/>
    <row r="952" s="67" customFormat="1" x14ac:dyDescent="0.35"/>
    <row r="953" s="67" customFormat="1" x14ac:dyDescent="0.35"/>
    <row r="954" s="67" customFormat="1" x14ac:dyDescent="0.35"/>
    <row r="955" s="67" customFormat="1" x14ac:dyDescent="0.35"/>
    <row r="956" s="67" customFormat="1" x14ac:dyDescent="0.35"/>
    <row r="957" s="67" customFormat="1" x14ac:dyDescent="0.35"/>
    <row r="958" s="67" customFormat="1" x14ac:dyDescent="0.35"/>
    <row r="959" s="67" customFormat="1" x14ac:dyDescent="0.35"/>
    <row r="960" s="67" customFormat="1" x14ac:dyDescent="0.35"/>
    <row r="961" s="67" customFormat="1" x14ac:dyDescent="0.35"/>
    <row r="962" s="67" customFormat="1" x14ac:dyDescent="0.35"/>
    <row r="963" s="67" customFormat="1" x14ac:dyDescent="0.35"/>
    <row r="964" s="67" customFormat="1" x14ac:dyDescent="0.35"/>
    <row r="965" s="67" customFormat="1" x14ac:dyDescent="0.35"/>
    <row r="966" s="67" customFormat="1" x14ac:dyDescent="0.35"/>
    <row r="967" s="67" customFormat="1" x14ac:dyDescent="0.35"/>
    <row r="968" s="67" customFormat="1" x14ac:dyDescent="0.35"/>
    <row r="969" s="67" customFormat="1" x14ac:dyDescent="0.35"/>
    <row r="970" s="67" customFormat="1" x14ac:dyDescent="0.35"/>
    <row r="971" s="67" customFormat="1" x14ac:dyDescent="0.35"/>
    <row r="972" s="67" customFormat="1" x14ac:dyDescent="0.35"/>
    <row r="973" s="67" customFormat="1" x14ac:dyDescent="0.35"/>
    <row r="974" s="67" customFormat="1" x14ac:dyDescent="0.35"/>
    <row r="975" s="67" customFormat="1" x14ac:dyDescent="0.35"/>
    <row r="976" s="67" customFormat="1" x14ac:dyDescent="0.35"/>
    <row r="977" s="67" customFormat="1" x14ac:dyDescent="0.35"/>
    <row r="978" s="67" customFormat="1" x14ac:dyDescent="0.35"/>
    <row r="979" s="67" customFormat="1" x14ac:dyDescent="0.35"/>
    <row r="980" s="67" customFormat="1" x14ac:dyDescent="0.35"/>
    <row r="981" s="67" customFormat="1" x14ac:dyDescent="0.35"/>
    <row r="982" s="67" customFormat="1" x14ac:dyDescent="0.35"/>
    <row r="983" s="67" customFormat="1" x14ac:dyDescent="0.35"/>
    <row r="984" s="67" customFormat="1" x14ac:dyDescent="0.35"/>
    <row r="985" s="67" customFormat="1" x14ac:dyDescent="0.35"/>
    <row r="986" s="67" customFormat="1" x14ac:dyDescent="0.35"/>
    <row r="987" s="67" customFormat="1" x14ac:dyDescent="0.35"/>
    <row r="988" s="67" customFormat="1" x14ac:dyDescent="0.35"/>
    <row r="989" s="67" customFormat="1" x14ac:dyDescent="0.35"/>
    <row r="990" s="67" customFormat="1" x14ac:dyDescent="0.35"/>
    <row r="991" s="67" customFormat="1" x14ac:dyDescent="0.35"/>
    <row r="992" s="67" customFormat="1" x14ac:dyDescent="0.35"/>
    <row r="993" s="67" customFormat="1" x14ac:dyDescent="0.35"/>
    <row r="994" s="67" customFormat="1" x14ac:dyDescent="0.35"/>
    <row r="995" s="67" customFormat="1" x14ac:dyDescent="0.35"/>
    <row r="996" s="67" customFormat="1" x14ac:dyDescent="0.35"/>
    <row r="997" s="67" customFormat="1" x14ac:dyDescent="0.35"/>
    <row r="998" s="67" customFormat="1" x14ac:dyDescent="0.35"/>
    <row r="999" s="67" customFormat="1" x14ac:dyDescent="0.35"/>
    <row r="1000" s="67" customFormat="1" x14ac:dyDescent="0.35"/>
    <row r="1001" s="67" customFormat="1" x14ac:dyDescent="0.35"/>
    <row r="1002" s="67" customFormat="1" x14ac:dyDescent="0.35"/>
    <row r="1003" s="67" customFormat="1" x14ac:dyDescent="0.35"/>
    <row r="1004" s="67" customFormat="1" x14ac:dyDescent="0.35"/>
    <row r="1005" s="67" customFormat="1" x14ac:dyDescent="0.35"/>
    <row r="1006" s="67" customFormat="1" x14ac:dyDescent="0.35"/>
    <row r="1007" s="67" customFormat="1" x14ac:dyDescent="0.35"/>
    <row r="1008" s="67" customFormat="1" x14ac:dyDescent="0.35"/>
    <row r="1009" s="67" customFormat="1" x14ac:dyDescent="0.35"/>
    <row r="1010" s="67" customFormat="1" x14ac:dyDescent="0.35"/>
    <row r="1011" s="67" customFormat="1" x14ac:dyDescent="0.35"/>
    <row r="1012" s="67" customFormat="1" x14ac:dyDescent="0.35"/>
    <row r="1013" s="67" customFormat="1" x14ac:dyDescent="0.35"/>
    <row r="1014" s="67" customFormat="1" x14ac:dyDescent="0.35"/>
    <row r="1015" s="67" customFormat="1" x14ac:dyDescent="0.35"/>
    <row r="1016" s="67" customFormat="1" x14ac:dyDescent="0.35"/>
    <row r="1017" s="67" customFormat="1" x14ac:dyDescent="0.35"/>
    <row r="1018" s="67" customFormat="1" x14ac:dyDescent="0.35"/>
    <row r="1019" s="67" customFormat="1" x14ac:dyDescent="0.35"/>
    <row r="1020" s="67" customFormat="1" x14ac:dyDescent="0.35"/>
    <row r="1021" s="67" customFormat="1" x14ac:dyDescent="0.35"/>
    <row r="1022" s="67" customFormat="1" x14ac:dyDescent="0.35"/>
    <row r="1023" s="67" customFormat="1" x14ac:dyDescent="0.35"/>
    <row r="1024" s="67" customFormat="1" x14ac:dyDescent="0.35"/>
    <row r="1025" s="67" customFormat="1" x14ac:dyDescent="0.35"/>
    <row r="1026" s="67" customFormat="1" x14ac:dyDescent="0.35"/>
    <row r="1027" s="67" customFormat="1" x14ac:dyDescent="0.35"/>
    <row r="1028" s="67" customFormat="1" x14ac:dyDescent="0.35"/>
    <row r="1029" s="67" customFormat="1" x14ac:dyDescent="0.35"/>
    <row r="1030" s="67" customFormat="1" x14ac:dyDescent="0.35"/>
    <row r="1031" s="67" customFormat="1" x14ac:dyDescent="0.35"/>
    <row r="1032" s="67" customFormat="1" x14ac:dyDescent="0.35"/>
    <row r="1033" s="67" customFormat="1" x14ac:dyDescent="0.35"/>
    <row r="1034" s="67" customFormat="1" x14ac:dyDescent="0.35"/>
    <row r="1035" s="67" customFormat="1" x14ac:dyDescent="0.35"/>
    <row r="1036" s="67" customFormat="1" x14ac:dyDescent="0.35"/>
    <row r="1037" s="67" customFormat="1" x14ac:dyDescent="0.35"/>
    <row r="1038" s="67" customFormat="1" x14ac:dyDescent="0.35"/>
    <row r="1039" s="67" customFormat="1" x14ac:dyDescent="0.35"/>
    <row r="1040" s="67" customFormat="1" x14ac:dyDescent="0.35"/>
    <row r="1041" s="67" customFormat="1" x14ac:dyDescent="0.35"/>
    <row r="1042" s="67" customFormat="1" x14ac:dyDescent="0.35"/>
    <row r="1043" s="67" customFormat="1" x14ac:dyDescent="0.35"/>
    <row r="1044" s="67" customFormat="1" x14ac:dyDescent="0.35"/>
    <row r="1045" s="67" customFormat="1" x14ac:dyDescent="0.35"/>
    <row r="1046" s="67" customFormat="1" x14ac:dyDescent="0.35"/>
    <row r="1047" s="67" customFormat="1" x14ac:dyDescent="0.35"/>
    <row r="1048" s="67" customFormat="1" x14ac:dyDescent="0.35"/>
    <row r="1049" s="67" customFormat="1" x14ac:dyDescent="0.35"/>
    <row r="1050" s="67" customFormat="1" x14ac:dyDescent="0.35"/>
    <row r="1051" s="67" customFormat="1" x14ac:dyDescent="0.35"/>
    <row r="1052" s="67" customFormat="1" x14ac:dyDescent="0.35"/>
    <row r="1053" s="67" customFormat="1" x14ac:dyDescent="0.35"/>
    <row r="1054" s="67" customFormat="1" x14ac:dyDescent="0.35"/>
    <row r="1055" s="67" customFormat="1" x14ac:dyDescent="0.35"/>
    <row r="1056" s="67" customFormat="1" x14ac:dyDescent="0.35"/>
    <row r="1057" s="67" customFormat="1" x14ac:dyDescent="0.35"/>
    <row r="1058" s="67" customFormat="1" x14ac:dyDescent="0.35"/>
    <row r="1059" s="67" customFormat="1" x14ac:dyDescent="0.35"/>
    <row r="1060" s="67" customFormat="1" x14ac:dyDescent="0.35"/>
    <row r="1061" s="67" customFormat="1" x14ac:dyDescent="0.35"/>
    <row r="1062" s="67" customFormat="1" x14ac:dyDescent="0.35"/>
    <row r="1063" s="67" customFormat="1" x14ac:dyDescent="0.35"/>
    <row r="1064" s="67" customFormat="1" x14ac:dyDescent="0.35"/>
    <row r="1065" s="67" customFormat="1" x14ac:dyDescent="0.35"/>
    <row r="1066" s="67" customFormat="1" x14ac:dyDescent="0.35"/>
    <row r="1067" s="67" customFormat="1" x14ac:dyDescent="0.35"/>
    <row r="1068" s="67" customFormat="1" x14ac:dyDescent="0.35"/>
    <row r="1069" s="67" customFormat="1" x14ac:dyDescent="0.35"/>
    <row r="1070" s="67" customFormat="1" x14ac:dyDescent="0.35"/>
    <row r="1071" s="67" customFormat="1" x14ac:dyDescent="0.35"/>
    <row r="1072" s="67" customFormat="1" x14ac:dyDescent="0.35"/>
    <row r="1073" spans="1:222" s="67" customFormat="1" x14ac:dyDescent="0.35"/>
    <row r="1074" spans="1:222" s="67" customFormat="1" x14ac:dyDescent="0.35"/>
    <row r="1075" spans="1:222" s="67" customFormat="1" x14ac:dyDescent="0.35"/>
    <row r="1076" spans="1:222" s="67" customFormat="1" x14ac:dyDescent="0.35"/>
    <row r="1077" spans="1:222" s="67" customFormat="1" x14ac:dyDescent="0.35"/>
    <row r="1078" spans="1:222" s="67" customFormat="1" x14ac:dyDescent="0.35"/>
    <row r="1079" spans="1:222" s="64" customFormat="1" x14ac:dyDescent="0.35">
      <c r="A1079" s="63"/>
      <c r="P1079" s="75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  <c r="AR1079" s="67"/>
      <c r="AS1079" s="67"/>
      <c r="AT1079" s="67"/>
      <c r="AU1079" s="67"/>
      <c r="AV1079" s="67"/>
      <c r="AW1079" s="67"/>
      <c r="AX1079" s="67"/>
      <c r="AY1079" s="67"/>
      <c r="AZ1079" s="67"/>
      <c r="BA1079" s="67"/>
      <c r="BB1079" s="67"/>
      <c r="BC1079" s="67"/>
      <c r="BD1079" s="67"/>
      <c r="BE1079" s="67"/>
      <c r="BF1079" s="67"/>
      <c r="BG1079" s="67"/>
      <c r="BH1079" s="67"/>
      <c r="BI1079" s="67"/>
      <c r="BJ1079" s="67"/>
      <c r="BK1079" s="67"/>
      <c r="BL1079" s="67"/>
      <c r="BM1079" s="67"/>
      <c r="BN1079" s="67"/>
      <c r="BO1079" s="67"/>
      <c r="BP1079" s="67"/>
      <c r="BQ1079" s="67"/>
      <c r="BR1079" s="67"/>
      <c r="BS1079" s="67"/>
      <c r="BT1079" s="67"/>
      <c r="BU1079" s="67"/>
      <c r="BV1079" s="67"/>
      <c r="BW1079" s="67"/>
      <c r="BX1079" s="67"/>
      <c r="BY1079" s="67"/>
      <c r="BZ1079" s="67"/>
      <c r="CA1079" s="67"/>
      <c r="CB1079" s="67"/>
      <c r="CC1079" s="67"/>
      <c r="CD1079" s="67"/>
      <c r="CE1079" s="67"/>
      <c r="CF1079" s="67"/>
      <c r="CG1079" s="67"/>
      <c r="CH1079" s="67"/>
      <c r="CI1079" s="67"/>
      <c r="CJ1079" s="67"/>
      <c r="CK1079" s="67"/>
      <c r="CL1079" s="67"/>
      <c r="CM1079" s="67"/>
      <c r="CN1079" s="67"/>
      <c r="CO1079" s="67"/>
      <c r="CP1079" s="67"/>
      <c r="CQ1079" s="67"/>
      <c r="CR1079" s="67"/>
      <c r="CS1079" s="67"/>
      <c r="CT1079" s="67"/>
      <c r="CU1079" s="67"/>
      <c r="CV1079" s="67"/>
      <c r="CW1079" s="67"/>
      <c r="CX1079" s="67"/>
      <c r="CY1079" s="67"/>
      <c r="CZ1079" s="67"/>
      <c r="DA1079" s="67"/>
      <c r="DB1079" s="67"/>
      <c r="DC1079" s="67"/>
      <c r="DD1079" s="67"/>
      <c r="DE1079" s="67"/>
      <c r="DF1079" s="67"/>
      <c r="DG1079" s="67"/>
      <c r="DH1079" s="67"/>
      <c r="DI1079" s="67"/>
      <c r="DJ1079" s="67"/>
      <c r="DK1079" s="67"/>
      <c r="DL1079" s="67"/>
      <c r="DM1079" s="67"/>
      <c r="DN1079" s="67"/>
      <c r="DO1079" s="67"/>
      <c r="DP1079" s="67"/>
      <c r="DQ1079" s="67"/>
      <c r="DR1079" s="67"/>
      <c r="DS1079" s="67"/>
      <c r="DT1079" s="67"/>
      <c r="DU1079" s="67"/>
      <c r="DV1079" s="67"/>
      <c r="DW1079" s="67"/>
      <c r="DX1079" s="67"/>
      <c r="DY1079" s="67"/>
      <c r="DZ1079" s="67"/>
      <c r="EA1079" s="67"/>
      <c r="EB1079" s="67"/>
      <c r="EC1079" s="67"/>
      <c r="ED1079" s="67"/>
      <c r="EE1079" s="67"/>
      <c r="EF1079" s="67"/>
      <c r="EG1079" s="67"/>
      <c r="EH1079" s="67"/>
      <c r="EI1079" s="67"/>
      <c r="EJ1079" s="67"/>
      <c r="EK1079" s="67"/>
      <c r="EL1079" s="67"/>
      <c r="EM1079" s="67"/>
      <c r="EN1079" s="67"/>
      <c r="EO1079" s="67"/>
      <c r="EP1079" s="67"/>
      <c r="EQ1079" s="67"/>
      <c r="ER1079" s="67"/>
      <c r="ES1079" s="67"/>
      <c r="ET1079" s="67"/>
      <c r="EU1079" s="67"/>
      <c r="EV1079" s="67"/>
      <c r="EW1079" s="67"/>
      <c r="EX1079" s="67"/>
      <c r="EY1079" s="67"/>
      <c r="EZ1079" s="67"/>
      <c r="FA1079" s="67"/>
      <c r="FB1079" s="67"/>
      <c r="FC1079" s="67"/>
      <c r="FD1079" s="67"/>
      <c r="FE1079" s="67"/>
      <c r="FF1079" s="67"/>
      <c r="FG1079" s="67"/>
      <c r="FH1079" s="67"/>
      <c r="FI1079" s="67"/>
      <c r="FJ1079" s="67"/>
      <c r="FK1079" s="67"/>
      <c r="FL1079" s="67"/>
      <c r="FM1079" s="67"/>
      <c r="FN1079" s="67"/>
      <c r="FO1079" s="67"/>
      <c r="FP1079" s="67"/>
      <c r="FQ1079" s="67"/>
      <c r="FR1079" s="67"/>
      <c r="FS1079" s="67"/>
      <c r="FT1079" s="67"/>
      <c r="FU1079" s="67"/>
      <c r="FV1079" s="67"/>
      <c r="FW1079" s="67"/>
      <c r="FX1079" s="67"/>
      <c r="FY1079" s="67"/>
      <c r="FZ1079" s="67"/>
      <c r="GA1079" s="67"/>
      <c r="GB1079" s="67"/>
      <c r="GC1079" s="67"/>
      <c r="GD1079" s="67"/>
      <c r="GE1079" s="67"/>
      <c r="GF1079" s="67"/>
      <c r="GG1079" s="67"/>
      <c r="GH1079" s="67"/>
      <c r="GI1079" s="67"/>
      <c r="GJ1079" s="67"/>
      <c r="GK1079" s="67"/>
      <c r="GL1079" s="67"/>
      <c r="GM1079" s="67"/>
      <c r="GN1079" s="67"/>
      <c r="GO1079" s="67"/>
      <c r="GP1079" s="67"/>
      <c r="GQ1079" s="67"/>
      <c r="GR1079" s="67"/>
      <c r="GS1079" s="67"/>
      <c r="GT1079" s="67"/>
      <c r="GU1079" s="67"/>
      <c r="GV1079" s="67"/>
      <c r="GW1079" s="67"/>
      <c r="GX1079" s="67"/>
      <c r="GY1079" s="67"/>
      <c r="GZ1079" s="67"/>
      <c r="HA1079" s="67"/>
      <c r="HB1079" s="67"/>
      <c r="HC1079" s="67"/>
      <c r="HD1079" s="67"/>
      <c r="HE1079" s="67"/>
      <c r="HF1079" s="67"/>
      <c r="HG1079" s="67"/>
      <c r="HH1079" s="67"/>
      <c r="HI1079" s="67"/>
      <c r="HJ1079" s="67"/>
      <c r="HK1079" s="67"/>
      <c r="HL1079" s="67"/>
      <c r="HM1079" s="67"/>
      <c r="HN1079" s="63"/>
    </row>
  </sheetData>
  <mergeCells count="2">
    <mergeCell ref="A1:O1"/>
    <mergeCell ref="A2:O2"/>
  </mergeCells>
  <pageMargins left="0.7" right="0.7" top="0.75" bottom="0.75" header="0.3" footer="0.3"/>
  <pageSetup paperSize="9" scale="61" orientation="landscape" horizontalDpi="4294967295" verticalDpi="4294967295" r:id="rId1"/>
  <colBreaks count="1" manualBreakCount="1">
    <brk id="16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2023-10-23T22:31:28Z</cp:lastPrinted>
  <dcterms:created xsi:type="dcterms:W3CDTF">2019-05-21T05:57:01Z</dcterms:created>
  <dcterms:modified xsi:type="dcterms:W3CDTF">2023-10-23T22:31:37Z</dcterms:modified>
</cp:coreProperties>
</file>