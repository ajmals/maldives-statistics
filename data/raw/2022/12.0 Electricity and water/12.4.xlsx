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User\Desktop\Electricity and Water\"/>
    </mc:Choice>
  </mc:AlternateContent>
  <xr:revisionPtr revIDLastSave="0" documentId="13_ncr:1_{F40DD3F0-B4B9-4E34-9E21-E2C2BA32317F}" xr6:coauthVersionLast="47" xr6:coauthVersionMax="47" xr10:uidLastSave="{00000000-0000-0000-0000-000000000000}"/>
  <bookViews>
    <workbookView xWindow="-110" yWindow="-110" windowWidth="19420" windowHeight="10300" tabRatio="593" xr2:uid="{00000000-000D-0000-FFFF-FFFF00000000}"/>
  </bookViews>
  <sheets>
    <sheet name="12.4" sheetId="34" r:id="rId1"/>
  </sheets>
  <externalReferences>
    <externalReference r:id="rId2"/>
    <externalReference r:id="rId3"/>
    <externalReference r:id="rId4"/>
    <externalReference r:id="rId5"/>
  </externalReferences>
  <definedNames>
    <definedName name="Male">'[1]Entry2015 (for male region)'!$A$8:$AAA$67</definedName>
    <definedName name="_xlnm.Print_Area" localSheetId="0">'12.4'!$A$1:$Q$198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9" i="34" l="1"/>
  <c r="D23" i="34"/>
  <c r="D24" i="34"/>
  <c r="D25" i="34"/>
  <c r="D26" i="34"/>
  <c r="D28" i="34"/>
  <c r="D29" i="34"/>
  <c r="D30" i="34"/>
  <c r="D31" i="34"/>
  <c r="D32" i="34"/>
  <c r="D33" i="34"/>
  <c r="D34" i="34"/>
  <c r="D35" i="34"/>
  <c r="D36" i="34"/>
  <c r="D37" i="34"/>
  <c r="D38" i="34"/>
  <c r="D40" i="34"/>
  <c r="D41" i="34"/>
  <c r="D42" i="34"/>
  <c r="D43" i="34"/>
  <c r="D44" i="34"/>
  <c r="D45" i="34"/>
  <c r="D46" i="34"/>
  <c r="D47" i="34"/>
  <c r="D48" i="34"/>
  <c r="D49" i="34"/>
  <c r="D50" i="34"/>
  <c r="D52" i="34"/>
  <c r="D53" i="34"/>
  <c r="D54" i="34"/>
  <c r="D55" i="34"/>
  <c r="D56" i="34"/>
  <c r="D57" i="34"/>
  <c r="D58" i="34"/>
  <c r="D59" i="34"/>
  <c r="D60" i="34"/>
  <c r="D61" i="34"/>
  <c r="D62" i="34"/>
  <c r="D64" i="34"/>
  <c r="D65" i="34"/>
  <c r="D66" i="34"/>
  <c r="D67" i="34"/>
  <c r="D68" i="34"/>
  <c r="D69" i="34"/>
  <c r="D70" i="34"/>
  <c r="D71" i="34"/>
  <c r="D72" i="34"/>
  <c r="D73" i="34"/>
  <c r="D74" i="34"/>
  <c r="D76" i="34"/>
  <c r="D77" i="34"/>
  <c r="D78" i="34"/>
  <c r="D79" i="34"/>
  <c r="D81" i="34"/>
  <c r="D82" i="34"/>
  <c r="D83" i="34"/>
  <c r="D84" i="34"/>
  <c r="D85" i="34"/>
  <c r="D86" i="34"/>
  <c r="D87" i="34"/>
  <c r="D89" i="34"/>
  <c r="D90" i="34"/>
  <c r="D91" i="34"/>
  <c r="D92" i="34"/>
  <c r="D93" i="34"/>
  <c r="D94" i="34"/>
  <c r="D95" i="34"/>
  <c r="D96" i="34"/>
  <c r="D97" i="34"/>
  <c r="D98" i="34"/>
  <c r="D99" i="34"/>
  <c r="D101" i="34"/>
  <c r="D102" i="34"/>
  <c r="D103" i="34"/>
  <c r="D104" i="34"/>
  <c r="D105" i="34"/>
  <c r="D106" i="34"/>
  <c r="D107" i="34"/>
  <c r="D108" i="34"/>
  <c r="D110" i="34"/>
  <c r="D111" i="34"/>
  <c r="D113" i="34"/>
  <c r="D114" i="34"/>
  <c r="D115" i="34"/>
  <c r="D117" i="34"/>
  <c r="D118" i="34"/>
  <c r="D119" i="34"/>
  <c r="D120" i="34"/>
  <c r="D121" i="34"/>
  <c r="D122" i="34"/>
  <c r="D123" i="34"/>
  <c r="D124" i="34"/>
  <c r="D127" i="34"/>
  <c r="D128" i="34"/>
  <c r="D129" i="34"/>
  <c r="D130" i="34"/>
  <c r="D131" i="34"/>
  <c r="D132" i="34"/>
  <c r="D133" i="34"/>
  <c r="D134" i="34"/>
  <c r="D135" i="34"/>
  <c r="D136" i="34"/>
  <c r="D137" i="34"/>
  <c r="D139" i="34"/>
  <c r="D140" i="34"/>
  <c r="D141" i="34"/>
  <c r="D142" i="34"/>
  <c r="D143" i="34"/>
  <c r="D144" i="34"/>
  <c r="D145" i="34"/>
  <c r="D146" i="34"/>
  <c r="D147" i="34"/>
  <c r="D148" i="34"/>
  <c r="D149" i="34"/>
  <c r="D151" i="34"/>
  <c r="D152" i="34"/>
  <c r="D153" i="34"/>
  <c r="D154" i="34"/>
  <c r="D155" i="34"/>
  <c r="D156" i="34"/>
  <c r="D157" i="34"/>
  <c r="D158" i="34"/>
  <c r="D159" i="34"/>
  <c r="D160" i="34"/>
  <c r="D161" i="34"/>
  <c r="D163" i="34"/>
  <c r="D164" i="34"/>
  <c r="D165" i="34"/>
  <c r="D166" i="34"/>
  <c r="D167" i="34"/>
  <c r="D168" i="34"/>
  <c r="D169" i="34"/>
  <c r="D170" i="34"/>
  <c r="D171" i="34"/>
  <c r="D172" i="34"/>
  <c r="D173" i="34"/>
  <c r="D175" i="34"/>
  <c r="D176" i="34"/>
  <c r="D177" i="34"/>
  <c r="D178" i="34"/>
  <c r="D179" i="34"/>
  <c r="D180" i="34"/>
  <c r="D181" i="34"/>
  <c r="D182" i="34"/>
  <c r="D183" i="34"/>
  <c r="D184" i="34"/>
  <c r="D185" i="34"/>
  <c r="D187" i="34"/>
  <c r="D188" i="34"/>
  <c r="D189" i="34"/>
  <c r="D190" i="34"/>
  <c r="D191" i="34"/>
  <c r="D192" i="34"/>
  <c r="D193" i="34"/>
  <c r="D194" i="34"/>
  <c r="D195" i="34"/>
  <c r="D9" i="34"/>
  <c r="D12" i="34"/>
  <c r="D13" i="34"/>
  <c r="D14" i="34"/>
  <c r="D16" i="34"/>
  <c r="D17" i="34"/>
  <c r="D18" i="34"/>
  <c r="D19" i="34"/>
  <c r="D20" i="34"/>
  <c r="D21" i="34"/>
  <c r="D22" i="34"/>
  <c r="D8" i="34"/>
  <c r="D196" i="34"/>
  <c r="D186" i="34"/>
  <c r="D174" i="34"/>
  <c r="D162" i="34"/>
  <c r="D150" i="34"/>
  <c r="D138" i="34"/>
  <c r="D125" i="34"/>
  <c r="D112" i="34"/>
  <c r="D100" i="34"/>
  <c r="D88" i="34"/>
  <c r="D75" i="34"/>
  <c r="D63" i="34"/>
  <c r="D51" i="34"/>
  <c r="D39" i="34"/>
  <c r="D27" i="34"/>
  <c r="D15" i="34"/>
  <c r="D10" i="34"/>
  <c r="D11" i="34" l="1"/>
</calcChain>
</file>

<file path=xl/sharedStrings.xml><?xml version="1.0" encoding="utf-8"?>
<sst xmlns="http://schemas.openxmlformats.org/spreadsheetml/2006/main" count="596" uniqueCount="246">
  <si>
    <t>wlcmuj</t>
  </si>
  <si>
    <t>cCrWm</t>
  </si>
  <si>
    <t>Em</t>
  </si>
  <si>
    <t>cnUj</t>
  </si>
  <si>
    <t>iawluj</t>
  </si>
  <si>
    <t>Locality</t>
  </si>
  <si>
    <t>waunej</t>
  </si>
  <si>
    <t>urcbef</t>
  </si>
  <si>
    <t>IrcPEa</t>
  </si>
  <si>
    <t>cswgOa</t>
  </si>
  <si>
    <t>cTcpes</t>
  </si>
  <si>
    <t>OTckoa</t>
  </si>
  <si>
    <t>cmevon</t>
  </si>
  <si>
    <t>cmesiD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</si>
  <si>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</si>
  <si>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</si>
  <si>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</si>
  <si>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</si>
  <si>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</si>
  <si>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</si>
  <si>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</si>
  <si>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</si>
  <si>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</si>
  <si>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</si>
  <si>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</si>
  <si>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</si>
  <si>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</si>
  <si>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K.Male'</t>
  </si>
  <si>
    <t>K.Vilimale'</t>
  </si>
  <si>
    <t>K.Hulhumale</t>
  </si>
  <si>
    <t xml:space="preserve">Atoll </t>
  </si>
  <si>
    <t>K.Kaashidhoo</t>
  </si>
  <si>
    <t>K.Gaafaru</t>
  </si>
  <si>
    <t>K.Dhiffushi</t>
  </si>
  <si>
    <t>K.Thulusdhoo</t>
  </si>
  <si>
    <t>K.Himmafushi</t>
  </si>
  <si>
    <t>K.Thilafushi</t>
  </si>
  <si>
    <t>K.Gulhifalhu</t>
  </si>
  <si>
    <t>K.Gulhi</t>
  </si>
  <si>
    <t>K.Maafushi</t>
  </si>
  <si>
    <t>K.Guraidhoo</t>
  </si>
  <si>
    <t>AA.Ukulhas</t>
  </si>
  <si>
    <t>AA.Mathiveri</t>
  </si>
  <si>
    <t>AA.Bodufolhudhoo</t>
  </si>
  <si>
    <t>AA.Feridhoo</t>
  </si>
  <si>
    <t>AA.Maalhos</t>
  </si>
  <si>
    <t>AA.Himandhoo</t>
  </si>
  <si>
    <t>AA.Rasdhoo</t>
  </si>
  <si>
    <t>AA.Thoddoo</t>
  </si>
  <si>
    <t>ADh.Omadhoo</t>
  </si>
  <si>
    <t>ADh.Kunburudhoo</t>
  </si>
  <si>
    <t>ADh.Dhigurah</t>
  </si>
  <si>
    <t>ADh.Fenfushi</t>
  </si>
  <si>
    <t>ADh.Mahibadhoo</t>
  </si>
  <si>
    <t>ADh.Hangnameedhoo</t>
  </si>
  <si>
    <t>ADh.Dhihdhoo</t>
  </si>
  <si>
    <t>ADh.Mandhoo</t>
  </si>
  <si>
    <t>ADh.Dhangethi</t>
  </si>
  <si>
    <t>V.Felidhoo</t>
  </si>
  <si>
    <t>V.Fulidhoo</t>
  </si>
  <si>
    <t>V.Thinadhoo</t>
  </si>
  <si>
    <t>V.Keyodhoo</t>
  </si>
  <si>
    <t>V.Rakeedhoo</t>
  </si>
  <si>
    <t>(In '000 litres)</t>
  </si>
  <si>
    <t>HA</t>
  </si>
  <si>
    <t>Ha.Baarah</t>
  </si>
  <si>
    <t>Ha.Dhidhdhoo</t>
  </si>
  <si>
    <t>Ha.Filladhoo</t>
  </si>
  <si>
    <t>Ha.Hoarafushi</t>
  </si>
  <si>
    <t>Ha.Ihavandhoo</t>
  </si>
  <si>
    <t>Ha.Kela</t>
  </si>
  <si>
    <t>Ha.Maarandhoo</t>
  </si>
  <si>
    <t>Ha.Molhadhoo</t>
  </si>
  <si>
    <t>Ha.Muraidhoo</t>
  </si>
  <si>
    <t>Ha.Thakandhoo</t>
  </si>
  <si>
    <t>Ha.Thuraakunu</t>
  </si>
  <si>
    <t>Ha.Uligam</t>
  </si>
  <si>
    <t>Ha.Utheem</t>
  </si>
  <si>
    <t>Ha.Vashafaru</t>
  </si>
  <si>
    <t>HDH</t>
  </si>
  <si>
    <t>Hdh.Finey</t>
  </si>
  <si>
    <t>Hdh.Hanimaadhoo</t>
  </si>
  <si>
    <t>Hdh.Hirimaradhoo</t>
  </si>
  <si>
    <t>Hdh.Kulhudhufushi</t>
  </si>
  <si>
    <t>Hdh.Kumundhoo</t>
  </si>
  <si>
    <t>Hdh.Kurin'bi</t>
  </si>
  <si>
    <t>Hdh.Makunudhoo</t>
  </si>
  <si>
    <t>Hdh.Naavaidhoo</t>
  </si>
  <si>
    <t>Hdh.Nellaidhoo</t>
  </si>
  <si>
    <t>Hdh.Neykurendhoo</t>
  </si>
  <si>
    <t>Hdh.Nolhivaram</t>
  </si>
  <si>
    <t>Hdh.Nolhivaramfaru</t>
  </si>
  <si>
    <t>Hdh.Vaikaradhoo</t>
  </si>
  <si>
    <t>SH</t>
  </si>
  <si>
    <t>Sh.Bilehfahi</t>
  </si>
  <si>
    <t>Sh.Feevah</t>
  </si>
  <si>
    <t>Sh.Feydhoo</t>
  </si>
  <si>
    <t>Sh.Foakaidhoo</t>
  </si>
  <si>
    <t>Sh.Goidhoo</t>
  </si>
  <si>
    <t>Sh.Kan'ditheem</t>
  </si>
  <si>
    <t>Sh.Komandoo</t>
  </si>
  <si>
    <t>Sh.Lhaimagu</t>
  </si>
  <si>
    <t>Sh.Maaun'goodhoo</t>
  </si>
  <si>
    <t>Sh.Maroshi</t>
  </si>
  <si>
    <t>Sh.Milandhoo</t>
  </si>
  <si>
    <t>Sh.Narudhoo</t>
  </si>
  <si>
    <t>Sh.Noomara</t>
  </si>
  <si>
    <t>N</t>
  </si>
  <si>
    <t>N. Fohdhoo</t>
  </si>
  <si>
    <t>N. Henbadhoo</t>
  </si>
  <si>
    <t>N. Holhudhoo</t>
  </si>
  <si>
    <t>N. Kendhikulhudhoo</t>
  </si>
  <si>
    <t>N. Kudafari</t>
  </si>
  <si>
    <t>N. Landhoo</t>
  </si>
  <si>
    <t>N. Lhohi</t>
  </si>
  <si>
    <t>N. Maafaru</t>
  </si>
  <si>
    <t>N. Maalhendhoo</t>
  </si>
  <si>
    <t>N. Magoodhoo</t>
  </si>
  <si>
    <t>N. Manadhoo</t>
  </si>
  <si>
    <t>N. Miladhoo</t>
  </si>
  <si>
    <t>N. Velidhoo</t>
  </si>
  <si>
    <t>R</t>
  </si>
  <si>
    <t>R. Alifushi</t>
  </si>
  <si>
    <t>R. Angolhitheemu</t>
  </si>
  <si>
    <t>R. Fainu</t>
  </si>
  <si>
    <t>R. Hulhudhuffaaru</t>
  </si>
  <si>
    <t>R. Inguraidhoo</t>
  </si>
  <si>
    <t>R. Innamaadhoo</t>
  </si>
  <si>
    <t>R. Kinolhas</t>
  </si>
  <si>
    <t>R. Maakurathu</t>
  </si>
  <si>
    <t>R. Maduvvari</t>
  </si>
  <si>
    <t>R. Meedhoo</t>
  </si>
  <si>
    <t>R. Rasgetheemu</t>
  </si>
  <si>
    <t>R. Rasmaadhoo</t>
  </si>
  <si>
    <t>R. Vaadhoo</t>
  </si>
  <si>
    <t>B</t>
  </si>
  <si>
    <t>B. Dharavandhoo</t>
  </si>
  <si>
    <t>B. Dhonfanu</t>
  </si>
  <si>
    <t>B. Eydhafushi</t>
  </si>
  <si>
    <t>B. Fehendhoo</t>
  </si>
  <si>
    <t>B. Fulhadhoo</t>
  </si>
  <si>
    <t>B. Goidhoo</t>
  </si>
  <si>
    <t>B. Hithaadhoo</t>
  </si>
  <si>
    <t>B. Kamadhoo</t>
  </si>
  <si>
    <t>B. Kendhoo</t>
  </si>
  <si>
    <t>B. Kihaadhoo</t>
  </si>
  <si>
    <t>B. Kudarikilu</t>
  </si>
  <si>
    <t>B. Maalhos</t>
  </si>
  <si>
    <t>B. Thulhaadhoo</t>
  </si>
  <si>
    <t>LH</t>
  </si>
  <si>
    <t>Lh. Hinnavaru</t>
  </si>
  <si>
    <t>Lh. Kurendhoo</t>
  </si>
  <si>
    <t>Lh. Naifaru</t>
  </si>
  <si>
    <t>Lh. Olhuvelifushi</t>
  </si>
  <si>
    <t>M</t>
  </si>
  <si>
    <t>M.Veyvah</t>
  </si>
  <si>
    <t>M.Naalafushi</t>
  </si>
  <si>
    <t>M.Mulak</t>
  </si>
  <si>
    <t>M.Muli</t>
  </si>
  <si>
    <t>M.Maduvvaree</t>
  </si>
  <si>
    <t>M.Raiymandhoo</t>
  </si>
  <si>
    <t>M.Kolhufushi</t>
  </si>
  <si>
    <t>F</t>
  </si>
  <si>
    <t>F. Bilehdhoo</t>
  </si>
  <si>
    <t>F. Feeali</t>
  </si>
  <si>
    <t>F.Dharaboodhoo</t>
  </si>
  <si>
    <t>F.Magoodhoo</t>
  </si>
  <si>
    <t>F.Nilandhoo</t>
  </si>
  <si>
    <t>DH</t>
  </si>
  <si>
    <t xml:space="preserve">Dh.Bandhidhoo </t>
  </si>
  <si>
    <t xml:space="preserve">Dh.Hulhudheli </t>
  </si>
  <si>
    <t>Dh.Kudahuvadhoo</t>
  </si>
  <si>
    <t>Dh.Meedhoo</t>
  </si>
  <si>
    <t>Dh.Maaenboodhoo</t>
  </si>
  <si>
    <t>Dh.Ribudhoo</t>
  </si>
  <si>
    <t>TH</t>
  </si>
  <si>
    <t xml:space="preserve">Th.Buruni </t>
  </si>
  <si>
    <t xml:space="preserve">Th.Dhiyamigili </t>
  </si>
  <si>
    <t xml:space="preserve">Th.Gaadhifushi </t>
  </si>
  <si>
    <t>TH.Guraidhoo</t>
  </si>
  <si>
    <t>TH.Hirilandhoo</t>
  </si>
  <si>
    <t xml:space="preserve">Th.Kandoodhoo </t>
  </si>
  <si>
    <t xml:space="preserve">Th.Kinbidhoo </t>
  </si>
  <si>
    <t xml:space="preserve">Th.Madifushi </t>
  </si>
  <si>
    <t>Th.Omadhoo</t>
  </si>
  <si>
    <t xml:space="preserve">Th.Thimarafushi </t>
  </si>
  <si>
    <t xml:space="preserve">Th.Vandhoo </t>
  </si>
  <si>
    <t>Th.Veymandoo</t>
  </si>
  <si>
    <t xml:space="preserve">Th.Vilufushi </t>
  </si>
  <si>
    <t>L</t>
  </si>
  <si>
    <t>L.Dhabidhoo</t>
  </si>
  <si>
    <t>L.Fonadhoo</t>
  </si>
  <si>
    <t xml:space="preserve">L.Gan Mathimaradhoo </t>
  </si>
  <si>
    <t xml:space="preserve">L.Hithadhoo </t>
  </si>
  <si>
    <t>L.Isdhoo</t>
  </si>
  <si>
    <t>L.Kalaidhoo</t>
  </si>
  <si>
    <t xml:space="preserve">L.Kunahandhoo </t>
  </si>
  <si>
    <t>L.Maabaidhoo</t>
  </si>
  <si>
    <t>L.Maamendhoo</t>
  </si>
  <si>
    <t xml:space="preserve">L.Maavah </t>
  </si>
  <si>
    <t>L.Mundoo</t>
  </si>
  <si>
    <t>GA</t>
  </si>
  <si>
    <t>Ga.Dhaandhoo</t>
  </si>
  <si>
    <t>Ga.Dhevvadhoo</t>
  </si>
  <si>
    <t>Ga.Gemanafushi</t>
  </si>
  <si>
    <t>Ga.Kanduhulhudhoo</t>
  </si>
  <si>
    <t>Ga.Kolamaafushi</t>
  </si>
  <si>
    <t>Ga.Kondey</t>
  </si>
  <si>
    <t>Ga.Maamendhoo</t>
  </si>
  <si>
    <t>Ga.Vilingili</t>
  </si>
  <si>
    <t>Ga.Nilandhoo</t>
  </si>
  <si>
    <t>GDH</t>
  </si>
  <si>
    <t>Gdh.Faresmathoda</t>
  </si>
  <si>
    <t>Gdh.Fiyoreee</t>
  </si>
  <si>
    <t>Gdh.Gaddhoo</t>
  </si>
  <si>
    <t>Gdh.Hoadehdhoo</t>
  </si>
  <si>
    <t>Gdh.Madaveli</t>
  </si>
  <si>
    <t>Gdh.Nadella</t>
  </si>
  <si>
    <t>Gdh.Rathafandhoo</t>
  </si>
  <si>
    <t>Gdh.Thinadhoo</t>
  </si>
  <si>
    <t>Gdh.Vaadhoo</t>
  </si>
  <si>
    <t>GN</t>
  </si>
  <si>
    <t>Gn.Fuvahmulah</t>
  </si>
  <si>
    <t>S</t>
  </si>
  <si>
    <t>S.Hithadhoo</t>
  </si>
  <si>
    <t>S.Hulhumeedhoo</t>
  </si>
  <si>
    <t>S.Maradhoo-Feydhoo</t>
  </si>
  <si>
    <t>FENAKA</t>
  </si>
  <si>
    <t>STELCO</t>
  </si>
  <si>
    <t>K</t>
  </si>
  <si>
    <t>Adh</t>
  </si>
  <si>
    <t>V</t>
  </si>
  <si>
    <t>AA</t>
  </si>
  <si>
    <t>Sh.Funadhoo</t>
  </si>
  <si>
    <t>R. Ungoofaaru</t>
  </si>
  <si>
    <t>K.Huraa</t>
  </si>
  <si>
    <t>Maamigili</t>
  </si>
  <si>
    <t>M.Dhiggaru</t>
  </si>
  <si>
    <t>VILLA</t>
  </si>
  <si>
    <t>MWSC</t>
  </si>
  <si>
    <t>R.Dhuvaafaru</t>
  </si>
  <si>
    <t>NA</t>
  </si>
  <si>
    <t>R.Dhuvaafaru, AA.Thoddo, ADh.Mahibadhoo, ADh.Maamigili Data not available yet</t>
  </si>
  <si>
    <t>Source: State Electric Company Limited, Fenaka Corporation Limited</t>
  </si>
  <si>
    <t>ތާވަލު 12.4: މާލެއާއި އަތޮޅުތަކުގައި ސަރުކާރުގެ ފަރާތުން ސަރުކާރުގެ ފަރާތުން އެކިމަސްމަހު ކަރަންޓް އުފެއްދުމަށްޓަކާ އަޑީތެޔޮ ބޭނުންކުރެވިފައިވާ މިންވަރު، 2021</t>
  </si>
  <si>
    <t>Table  12.4 :   MONTHLY CONSUMPTION OF LUBRICATION OIL FOR ELECTRICITY GENERATION IN SELECTED LOCALITIES BY PUBLIC SECTOR,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</si>
</sst>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#,##0.0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Garamond"/>
      <family val="1"/>
    </font>
    <font>
      <b/>
      <sz val="11"/>
      <color theme="1"/>
      <name val="Calibri"/>
      <family val="2"/>
      <scheme val="minor"/>
    </font>
    <font>
      <sz val="10.5"/>
      <name val="A_Faseyha"/>
    </font>
    <font>
      <b/>
      <sz val="12"/>
      <color theme="1"/>
      <name val="Faruma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</borders>
  <cellStyleXfs count="8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5" fillId="0" borderId="0"/>
    <xf numFmtId="164" fontId="1" fillId="0" borderId="0" applyFont="0" applyFill="0" applyBorder="0" applyAlignment="0" applyProtection="0"/>
  </cellStyleXfs>
  <cellXfs count="52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right"/>
    </xf>
    <xf numFmtId="0" fontId="4" fillId="2" borderId="6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left" vertical="center"/>
    </xf>
    <xf numFmtId="3" fontId="2" fillId="2" borderId="8" xfId="0" applyNumberFormat="1" applyFont="1" applyFill="1" applyBorder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3" fontId="2" fillId="2" borderId="10" xfId="0" applyNumberFormat="1" applyFont="1" applyFill="1" applyBorder="1" applyAlignment="1">
      <alignment horizontal="right" vertical="center"/>
    </xf>
    <xf numFmtId="0" fontId="0" fillId="2" borderId="0" xfId="0" applyFill="1" applyAlignment="1">
      <alignment horizontal="left" vertical="center"/>
    </xf>
    <xf numFmtId="0" fontId="11" fillId="2" borderId="3" xfId="2" applyFont="1" applyFill="1" applyBorder="1" applyAlignment="1">
      <alignment vertical="center"/>
    </xf>
    <xf numFmtId="0" fontId="12" fillId="2" borderId="3" xfId="2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0" fontId="4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166" fontId="3" fillId="2" borderId="10" xfId="0" applyNumberFormat="1" applyFont="1" applyFill="1" applyBorder="1" applyAlignment="1">
      <alignment horizontal="right" vertical="center"/>
    </xf>
    <xf numFmtId="166" fontId="3" fillId="2" borderId="9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3" fillId="2" borderId="1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13" fillId="2" borderId="7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 vertical="center"/>
    </xf>
    <xf numFmtId="0" fontId="6" fillId="3" borderId="4" xfId="0" applyFont="1" applyFill="1" applyBorder="1" applyAlignment="1">
      <alignment horizontal="left" vertical="center"/>
    </xf>
    <xf numFmtId="3" fontId="2" fillId="3" borderId="10" xfId="0" applyNumberFormat="1" applyFont="1" applyFill="1" applyBorder="1" applyAlignment="1">
      <alignment horizontal="right" vertical="center"/>
    </xf>
    <xf numFmtId="0" fontId="0" fillId="3" borderId="0" xfId="0" applyFill="1"/>
    <xf numFmtId="3" fontId="2" fillId="2" borderId="9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3" fontId="2" fillId="2" borderId="14" xfId="0" applyNumberFormat="1" applyFont="1" applyFill="1" applyBorder="1" applyAlignment="1">
      <alignment horizontal="right" vertical="center"/>
    </xf>
    <xf numFmtId="0" fontId="4" fillId="2" borderId="7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8" fillId="2" borderId="10" xfId="2" applyFont="1" applyFill="1" applyBorder="1" applyAlignment="1">
      <alignment horizontal="center" vertical="center"/>
    </xf>
    <xf numFmtId="0" fontId="8" fillId="2" borderId="11" xfId="2" applyFont="1" applyFill="1" applyBorder="1" applyAlignment="1">
      <alignment horizontal="center" vertical="center"/>
    </xf>
    <xf numFmtId="0" fontId="8" fillId="2" borderId="4" xfId="2" applyFont="1" applyFill="1" applyBorder="1" applyAlignment="1">
      <alignment horizontal="center" vertical="center"/>
    </xf>
    <xf numFmtId="0" fontId="10" fillId="2" borderId="10" xfId="2" applyFont="1" applyFill="1" applyBorder="1" applyAlignment="1">
      <alignment horizontal="center" vertical="center"/>
    </xf>
    <xf numFmtId="0" fontId="10" fillId="2" borderId="11" xfId="2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3" fillId="2" borderId="9" xfId="2" applyFont="1" applyFill="1" applyBorder="1" applyAlignment="1">
      <alignment horizontal="center" vertical="center"/>
    </xf>
    <xf numFmtId="0" fontId="13" fillId="2" borderId="12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</cellXfs>
  <cellStyles count="8">
    <cellStyle name="Comma 2" xfId="1" xr:uid="{00000000-0005-0000-0000-000001000000}"/>
    <cellStyle name="Comma 2 2" xfId="7" xr:uid="{9903DEDC-20E1-4B27-9529-B36F9B2CD978}"/>
    <cellStyle name="Comma 4" xfId="3" xr:uid="{00000000-0005-0000-0000-000002000000}"/>
    <cellStyle name="Normal" xfId="0" builtinId="0"/>
    <cellStyle name="Normal 2" xfId="2" xr:uid="{00000000-0005-0000-0000-000005000000}"/>
    <cellStyle name="Normal 2 2" xfId="4" xr:uid="{00000000-0005-0000-0000-000006000000}"/>
    <cellStyle name="Normal 4" xfId="6" xr:uid="{20929243-CB8C-4CF2-AC69-17703CC8D5A5}"/>
    <cellStyle name="Normal 5" xfId="5" xr:uid="{66F2880D-D6E5-4B3B-87A1-A67063300ED0}"/>
  </cellStyles>
  <dxfs count="0"/>
  <tableStyles count="0" defaultTableStyle="TableStyleMedium2" defaultPivotStyle="PivotStyleLight16"/>
  <colors>
    <mruColors>
      <color rgb="FFE08CAA"/>
      <color rgb="FFFDD1D2"/>
      <color rgb="FFFDDFE4"/>
      <color rgb="FFC7F2F1"/>
      <color rgb="FFEAFAFA"/>
      <color rgb="FF33CCCC"/>
      <color rgb="FF249390"/>
      <color rgb="FFFF9933"/>
      <color rgb="FFFF9900"/>
      <color rgb="FF1965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5"/>
    </sheetNames>
    <sheetDataSet>
      <sheetData sheetId="0"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FA217-42F0-477A-9A27-238B9F43DEDC}">
  <sheetPr>
    <tabColor rgb="FF92D050"/>
  </sheetPr>
  <dimension ref="A1:GZ198"/>
  <sheetViews>
    <sheetView tabSelected="1" zoomScaleNormal="100" workbookViewId="0">
      <selection activeCell="E136" sqref="E136"/>
    </sheetView>
  </sheetViews>
  <sheetFormatPr defaultColWidth="9.1796875" defaultRowHeight="14.5" x14ac:dyDescent="0.35"/>
  <cols>
    <col min="1" max="1" width="8.453125" style="2" customWidth="1"/>
    <col min="2" max="2" width="19.54296875" style="33" customWidth="1"/>
    <col min="3" max="3" width="10" style="15" customWidth="1"/>
    <col min="4" max="4" width="8.7265625" style="34" customWidth="1"/>
    <col min="5" max="16" width="8.7265625" style="15" customWidth="1"/>
    <col min="17" max="16384" width="9.1796875" style="1"/>
  </cols>
  <sheetData>
    <row r="1" spans="1:208" x14ac:dyDescent="0.35">
      <c r="A1" s="11"/>
      <c r="B1" s="1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208" s="12" customFormat="1" ht="21.5" x14ac:dyDescent="0.35">
      <c r="A2" s="46" t="s">
        <v>244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/>
    </row>
    <row r="3" spans="1:208" s="13" customFormat="1" ht="15.5" x14ac:dyDescent="0.35">
      <c r="A3" s="43" t="s">
        <v>245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5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</row>
    <row r="4" spans="1:208" s="13" customFormat="1" ht="15.5" x14ac:dyDescent="0.35">
      <c r="A4" s="49" t="s">
        <v>63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1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</row>
    <row r="5" spans="1:208" ht="17" x14ac:dyDescent="0.6">
      <c r="A5" s="41" t="s">
        <v>5</v>
      </c>
      <c r="B5" s="28"/>
      <c r="C5" s="16"/>
      <c r="D5" s="5" t="s">
        <v>0</v>
      </c>
      <c r="E5" s="5" t="s">
        <v>6</v>
      </c>
      <c r="F5" s="5" t="s">
        <v>7</v>
      </c>
      <c r="G5" s="5" t="s">
        <v>1</v>
      </c>
      <c r="H5" s="5" t="s">
        <v>8</v>
      </c>
      <c r="I5" s="5" t="s">
        <v>2</v>
      </c>
      <c r="J5" s="5" t="s">
        <v>3</v>
      </c>
      <c r="K5" s="5" t="s">
        <v>4</v>
      </c>
      <c r="L5" s="5" t="s">
        <v>9</v>
      </c>
      <c r="M5" s="5" t="s">
        <v>10</v>
      </c>
      <c r="N5" s="5" t="s">
        <v>11</v>
      </c>
      <c r="O5" s="5" t="s">
        <v>12</v>
      </c>
      <c r="P5" s="5" t="s">
        <v>13</v>
      </c>
    </row>
    <row r="6" spans="1:208" ht="15" customHeight="1" x14ac:dyDescent="0.35">
      <c r="A6" s="42"/>
      <c r="B6" s="29"/>
      <c r="C6" s="17"/>
      <c r="D6" s="6" t="s">
        <v>14</v>
      </c>
      <c r="E6" s="6" t="s">
        <v>15</v>
      </c>
      <c r="F6" s="6" t="s">
        <v>16</v>
      </c>
      <c r="G6" s="6" t="s">
        <v>17</v>
      </c>
      <c r="H6" s="6" t="s">
        <v>18</v>
      </c>
      <c r="I6" s="6" t="s">
        <v>19</v>
      </c>
      <c r="J6" s="6" t="s">
        <v>20</v>
      </c>
      <c r="K6" s="6" t="s">
        <v>21</v>
      </c>
      <c r="L6" s="6" t="s">
        <v>22</v>
      </c>
      <c r="M6" s="6" t="s">
        <v>23</v>
      </c>
      <c r="N6" s="6" t="s">
        <v>24</v>
      </c>
      <c r="O6" s="6" t="s">
        <v>25</v>
      </c>
      <c r="P6" s="6" t="s">
        <v>26</v>
      </c>
    </row>
    <row r="7" spans="1:208" x14ac:dyDescent="0.35">
      <c r="A7" s="7"/>
      <c r="B7" s="30"/>
      <c r="C7" s="18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208" ht="14.25" customHeight="1" x14ac:dyDescent="0.35">
      <c r="A8" s="3"/>
      <c r="B8" s="24" t="s">
        <v>27</v>
      </c>
      <c r="C8" s="19" t="s">
        <v>228</v>
      </c>
      <c r="D8" s="10">
        <f>SUM(E8:P8)</f>
        <v>212.33699999999996</v>
      </c>
      <c r="E8" s="20">
        <v>31.452000000000002</v>
      </c>
      <c r="F8" s="20">
        <v>25.506</v>
      </c>
      <c r="G8" s="20">
        <v>2.4119999999999999</v>
      </c>
      <c r="H8" s="20">
        <v>30.346</v>
      </c>
      <c r="I8" s="20">
        <v>24.405999999999999</v>
      </c>
      <c r="J8" s="20">
        <v>25.872</v>
      </c>
      <c r="K8" s="20">
        <v>22.702999999999999</v>
      </c>
      <c r="L8" s="20">
        <v>10.242000000000001</v>
      </c>
      <c r="M8" s="20">
        <v>9.3010000000000002</v>
      </c>
      <c r="N8" s="20">
        <v>11.182</v>
      </c>
      <c r="O8" s="20">
        <v>9.8230000000000004</v>
      </c>
      <c r="P8" s="20">
        <v>9.0920000000000005</v>
      </c>
    </row>
    <row r="9" spans="1:208" ht="14.25" customHeight="1" x14ac:dyDescent="0.35">
      <c r="A9" s="3"/>
      <c r="B9" s="24" t="s">
        <v>28</v>
      </c>
      <c r="C9" s="19" t="s">
        <v>228</v>
      </c>
      <c r="D9" s="10">
        <f>SUM(E9:P9)</f>
        <v>15.64</v>
      </c>
      <c r="E9" s="20">
        <v>0.89500000000000002</v>
      </c>
      <c r="F9" s="20">
        <v>1.03</v>
      </c>
      <c r="G9" s="20">
        <v>1.37</v>
      </c>
      <c r="H9" s="20">
        <v>1.248</v>
      </c>
      <c r="I9" s="20">
        <v>1.55</v>
      </c>
      <c r="J9" s="20">
        <v>1.2250000000000001</v>
      </c>
      <c r="K9" s="20">
        <v>1.165</v>
      </c>
      <c r="L9" s="20">
        <v>1.8420000000000001</v>
      </c>
      <c r="M9" s="20">
        <v>1.2150000000000001</v>
      </c>
      <c r="N9" s="20">
        <v>1.74</v>
      </c>
      <c r="O9" s="20">
        <v>1.415</v>
      </c>
      <c r="P9" s="20">
        <v>0.94499999999999995</v>
      </c>
    </row>
    <row r="10" spans="1:208" ht="14.25" customHeight="1" x14ac:dyDescent="0.35">
      <c r="A10" s="3"/>
      <c r="B10" s="24" t="s">
        <v>29</v>
      </c>
      <c r="C10" s="19" t="s">
        <v>228</v>
      </c>
      <c r="D10" s="10">
        <f>SUM(E10:P10)</f>
        <v>85.899000000000001</v>
      </c>
      <c r="E10" s="20">
        <v>4.5979999999999999</v>
      </c>
      <c r="F10" s="20">
        <v>3.9710000000000001</v>
      </c>
      <c r="G10" s="20">
        <v>4.5979999999999999</v>
      </c>
      <c r="H10" s="20">
        <v>4.18</v>
      </c>
      <c r="I10" s="20">
        <v>4.18</v>
      </c>
      <c r="J10" s="20">
        <v>4.3890000000000002</v>
      </c>
      <c r="K10" s="20">
        <v>5.4340000000000002</v>
      </c>
      <c r="L10" s="20">
        <v>13.167</v>
      </c>
      <c r="M10" s="20">
        <v>11.494999999999999</v>
      </c>
      <c r="N10" s="20">
        <v>10.868</v>
      </c>
      <c r="O10" s="20">
        <v>9.1959999999999997</v>
      </c>
      <c r="P10" s="20">
        <v>9.8230000000000004</v>
      </c>
    </row>
    <row r="11" spans="1:208" ht="14.25" hidden="1" customHeight="1" x14ac:dyDescent="0.35">
      <c r="A11" s="7"/>
      <c r="B11" s="30" t="s">
        <v>30</v>
      </c>
      <c r="C11" s="19" t="s">
        <v>228</v>
      </c>
      <c r="D11" s="10">
        <f t="shared" ref="D11" si="0">SUM(D12:D196)</f>
        <v>117779.47340736359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</row>
    <row r="12" spans="1:208" x14ac:dyDescent="0.35">
      <c r="A12" s="3" t="s">
        <v>64</v>
      </c>
      <c r="B12" s="24" t="s">
        <v>65</v>
      </c>
      <c r="C12" s="19" t="s">
        <v>227</v>
      </c>
      <c r="D12" s="10">
        <f t="shared" ref="D12:D75" si="1">SUM(E12:P12)</f>
        <v>449.48970588235295</v>
      </c>
      <c r="E12" s="20">
        <v>35.26</v>
      </c>
      <c r="F12" s="20">
        <v>33.551000000000002</v>
      </c>
      <c r="G12" s="20">
        <v>39.869999999999997</v>
      </c>
      <c r="H12" s="20">
        <v>43.063000000000002</v>
      </c>
      <c r="I12" s="20">
        <v>39.063000000000002</v>
      </c>
      <c r="J12" s="20">
        <v>38.164000000000001</v>
      </c>
      <c r="K12" s="20">
        <v>39.308</v>
      </c>
      <c r="L12" s="20">
        <v>36.520000000000003</v>
      </c>
      <c r="M12" s="20">
        <v>36.095999999999997</v>
      </c>
      <c r="N12" s="20">
        <v>36.026000000000003</v>
      </c>
      <c r="O12" s="20">
        <v>36.439</v>
      </c>
      <c r="P12" s="20">
        <v>36.129705882352944</v>
      </c>
    </row>
    <row r="13" spans="1:208" x14ac:dyDescent="0.35">
      <c r="A13" s="3" t="s">
        <v>64</v>
      </c>
      <c r="B13" s="24" t="s">
        <v>66</v>
      </c>
      <c r="C13" s="19" t="s">
        <v>227</v>
      </c>
      <c r="D13" s="10">
        <f t="shared" si="1"/>
        <v>1898.1039999999998</v>
      </c>
      <c r="E13" s="20">
        <v>156.459</v>
      </c>
      <c r="F13" s="20">
        <v>149.36799999999999</v>
      </c>
      <c r="G13" s="20">
        <v>187.12799999999999</v>
      </c>
      <c r="H13" s="20">
        <v>195.95400000000001</v>
      </c>
      <c r="I13" s="20">
        <v>165.01499999999999</v>
      </c>
      <c r="J13" s="20">
        <v>156.13900000000001</v>
      </c>
      <c r="K13" s="20">
        <v>139.91399999999999</v>
      </c>
      <c r="L13" s="20">
        <v>143.97800000000001</v>
      </c>
      <c r="M13" s="20">
        <v>148.86799999999999</v>
      </c>
      <c r="N13" s="20">
        <v>145.08600000000001</v>
      </c>
      <c r="O13" s="20">
        <v>156.922</v>
      </c>
      <c r="P13" s="20">
        <v>153.273</v>
      </c>
    </row>
    <row r="14" spans="1:208" x14ac:dyDescent="0.35">
      <c r="A14" s="3" t="s">
        <v>64</v>
      </c>
      <c r="B14" s="24" t="s">
        <v>67</v>
      </c>
      <c r="C14" s="19" t="s">
        <v>227</v>
      </c>
      <c r="D14" s="10">
        <f t="shared" si="1"/>
        <v>247.83112121212119</v>
      </c>
      <c r="E14" s="20">
        <v>20.029</v>
      </c>
      <c r="F14" s="20">
        <v>17.077999999999999</v>
      </c>
      <c r="G14" s="20">
        <v>19.361999999999998</v>
      </c>
      <c r="H14" s="20">
        <v>23.553000000000001</v>
      </c>
      <c r="I14" s="20">
        <v>23.31</v>
      </c>
      <c r="J14" s="20">
        <v>16.771999999999998</v>
      </c>
      <c r="K14" s="20">
        <v>23.398</v>
      </c>
      <c r="L14" s="20">
        <v>20.652999999999999</v>
      </c>
      <c r="M14" s="20">
        <v>20.823</v>
      </c>
      <c r="N14" s="20">
        <v>20.565000000000001</v>
      </c>
      <c r="O14" s="20">
        <v>21.286000000000001</v>
      </c>
      <c r="P14" s="20">
        <v>21.002121212121214</v>
      </c>
    </row>
    <row r="15" spans="1:208" x14ac:dyDescent="0.35">
      <c r="A15" s="3" t="s">
        <v>64</v>
      </c>
      <c r="B15" s="24" t="s">
        <v>68</v>
      </c>
      <c r="C15" s="19" t="s">
        <v>227</v>
      </c>
      <c r="D15" s="10">
        <f t="shared" si="1"/>
        <v>1076.597</v>
      </c>
      <c r="E15" s="20">
        <v>79.721000000000004</v>
      </c>
      <c r="F15" s="20">
        <v>74.902000000000001</v>
      </c>
      <c r="G15" s="20">
        <v>98.123000000000005</v>
      </c>
      <c r="H15" s="20">
        <v>109.248</v>
      </c>
      <c r="I15" s="20">
        <v>99.941000000000003</v>
      </c>
      <c r="J15" s="20">
        <v>88.302999999999997</v>
      </c>
      <c r="K15" s="20">
        <v>82.656999999999996</v>
      </c>
      <c r="L15" s="20">
        <v>84.203999999999994</v>
      </c>
      <c r="M15" s="20">
        <v>82.551000000000002</v>
      </c>
      <c r="N15" s="20">
        <v>90.274000000000001</v>
      </c>
      <c r="O15" s="20">
        <v>93.590999999999994</v>
      </c>
      <c r="P15" s="20">
        <v>93.081999999999994</v>
      </c>
    </row>
    <row r="16" spans="1:208" x14ac:dyDescent="0.35">
      <c r="A16" s="3" t="s">
        <v>64</v>
      </c>
      <c r="B16" s="24" t="s">
        <v>69</v>
      </c>
      <c r="C16" s="19" t="s">
        <v>227</v>
      </c>
      <c r="D16" s="10">
        <f t="shared" si="1"/>
        <v>1529.9260000000004</v>
      </c>
      <c r="E16" s="20">
        <v>112.358</v>
      </c>
      <c r="F16" s="20">
        <v>104.752</v>
      </c>
      <c r="G16" s="20">
        <v>134.35499999999999</v>
      </c>
      <c r="H16" s="20">
        <v>149.83600000000001</v>
      </c>
      <c r="I16" s="20">
        <v>126.416</v>
      </c>
      <c r="J16" s="20">
        <v>118.125</v>
      </c>
      <c r="K16" s="20">
        <v>108.768</v>
      </c>
      <c r="L16" s="20">
        <v>111.283</v>
      </c>
      <c r="M16" s="20">
        <v>122.63500000000001</v>
      </c>
      <c r="N16" s="20">
        <v>141.50800000000001</v>
      </c>
      <c r="O16" s="20">
        <v>145.43899999999999</v>
      </c>
      <c r="P16" s="20">
        <v>154.45099999999999</v>
      </c>
    </row>
    <row r="17" spans="1:16" x14ac:dyDescent="0.35">
      <c r="A17" s="3" t="s">
        <v>64</v>
      </c>
      <c r="B17" s="24" t="s">
        <v>70</v>
      </c>
      <c r="C17" s="19" t="s">
        <v>227</v>
      </c>
      <c r="D17" s="10">
        <f t="shared" si="1"/>
        <v>648.57320930232561</v>
      </c>
      <c r="E17" s="20">
        <v>46.738</v>
      </c>
      <c r="F17" s="20">
        <v>45.957999999999998</v>
      </c>
      <c r="G17" s="20">
        <v>61.529000000000003</v>
      </c>
      <c r="H17" s="20">
        <v>63.531999999999996</v>
      </c>
      <c r="I17" s="20">
        <v>62.615000000000002</v>
      </c>
      <c r="J17" s="20">
        <v>57.863</v>
      </c>
      <c r="K17" s="20">
        <v>57.74</v>
      </c>
      <c r="L17" s="20">
        <v>47.235999999999997</v>
      </c>
      <c r="M17" s="20">
        <v>48.646000000000001</v>
      </c>
      <c r="N17" s="20">
        <v>53.863999999999997</v>
      </c>
      <c r="O17" s="20">
        <v>51.83720930232559</v>
      </c>
      <c r="P17" s="20">
        <v>51.015000000000001</v>
      </c>
    </row>
    <row r="18" spans="1:16" x14ac:dyDescent="0.35">
      <c r="A18" s="3" t="s">
        <v>64</v>
      </c>
      <c r="B18" s="24" t="s">
        <v>71</v>
      </c>
      <c r="C18" s="19" t="s">
        <v>227</v>
      </c>
      <c r="D18" s="10">
        <f t="shared" si="1"/>
        <v>300.83499999999998</v>
      </c>
      <c r="E18" s="20">
        <v>21.745000000000001</v>
      </c>
      <c r="F18" s="20">
        <v>20.355</v>
      </c>
      <c r="G18" s="20">
        <v>26.78</v>
      </c>
      <c r="H18" s="20">
        <v>31.065000000000001</v>
      </c>
      <c r="I18" s="20">
        <v>27.21</v>
      </c>
      <c r="J18" s="20">
        <v>24.63</v>
      </c>
      <c r="K18" s="20">
        <v>25</v>
      </c>
      <c r="L18" s="20">
        <v>24.815000000000001</v>
      </c>
      <c r="M18" s="20">
        <v>23.605</v>
      </c>
      <c r="N18" s="20">
        <v>25.06</v>
      </c>
      <c r="O18" s="20">
        <v>24.934999999999999</v>
      </c>
      <c r="P18" s="20">
        <v>25.635000000000002</v>
      </c>
    </row>
    <row r="19" spans="1:16" x14ac:dyDescent="0.35">
      <c r="A19" s="3" t="s">
        <v>64</v>
      </c>
      <c r="B19" s="24" t="s">
        <v>72</v>
      </c>
      <c r="C19" s="19" t="s">
        <v>227</v>
      </c>
      <c r="D19" s="10">
        <f t="shared" si="1"/>
        <v>202.8422908522283</v>
      </c>
      <c r="E19" s="20">
        <v>15.025</v>
      </c>
      <c r="F19" s="20">
        <v>13.35</v>
      </c>
      <c r="G19" s="20">
        <v>15.9</v>
      </c>
      <c r="H19" s="20">
        <v>18.2</v>
      </c>
      <c r="I19" s="20">
        <v>17.765000000000001</v>
      </c>
      <c r="J19" s="20">
        <v>15.967290852228306</v>
      </c>
      <c r="K19" s="20">
        <v>18.12</v>
      </c>
      <c r="L19" s="20">
        <v>16.059000000000001</v>
      </c>
      <c r="M19" s="20">
        <v>15.153</v>
      </c>
      <c r="N19" s="20">
        <v>15.648</v>
      </c>
      <c r="O19" s="20">
        <v>20.09</v>
      </c>
      <c r="P19" s="20">
        <v>21.565000000000001</v>
      </c>
    </row>
    <row r="20" spans="1:16" x14ac:dyDescent="0.35">
      <c r="A20" s="3" t="s">
        <v>64</v>
      </c>
      <c r="B20" s="24" t="s">
        <v>73</v>
      </c>
      <c r="C20" s="19" t="s">
        <v>227</v>
      </c>
      <c r="D20" s="10">
        <f t="shared" si="1"/>
        <v>232.49619112627988</v>
      </c>
      <c r="E20" s="20">
        <v>18.669</v>
      </c>
      <c r="F20" s="20">
        <v>14.98</v>
      </c>
      <c r="G20" s="20">
        <v>19.972000000000001</v>
      </c>
      <c r="H20" s="20">
        <v>24.166</v>
      </c>
      <c r="I20" s="20">
        <v>21.131</v>
      </c>
      <c r="J20" s="20">
        <v>19.808</v>
      </c>
      <c r="K20" s="20">
        <v>19.358000000000001</v>
      </c>
      <c r="L20" s="20">
        <v>17.887</v>
      </c>
      <c r="M20" s="20">
        <v>18.632000000000001</v>
      </c>
      <c r="N20" s="20">
        <v>18.472000000000001</v>
      </c>
      <c r="O20" s="20">
        <v>19.913</v>
      </c>
      <c r="P20" s="20">
        <v>19.508191126279865</v>
      </c>
    </row>
    <row r="21" spans="1:16" x14ac:dyDescent="0.35">
      <c r="A21" s="3" t="s">
        <v>64</v>
      </c>
      <c r="B21" s="24" t="s">
        <v>74</v>
      </c>
      <c r="C21" s="19" t="s">
        <v>227</v>
      </c>
      <c r="D21" s="10">
        <f t="shared" si="1"/>
        <v>132.672</v>
      </c>
      <c r="E21" s="20">
        <v>11.494</v>
      </c>
      <c r="F21" s="20">
        <v>10.010999999999999</v>
      </c>
      <c r="G21" s="20">
        <v>11.912000000000001</v>
      </c>
      <c r="H21" s="20">
        <v>12.065</v>
      </c>
      <c r="I21" s="20">
        <v>11.141999999999999</v>
      </c>
      <c r="J21" s="20">
        <v>10.651</v>
      </c>
      <c r="K21" s="20">
        <v>13.609</v>
      </c>
      <c r="L21" s="20">
        <v>9.8759999999999994</v>
      </c>
      <c r="M21" s="20">
        <v>10.093</v>
      </c>
      <c r="N21" s="20">
        <v>10.026</v>
      </c>
      <c r="O21" s="20">
        <v>10.904999999999999</v>
      </c>
      <c r="P21" s="20">
        <v>10.888</v>
      </c>
    </row>
    <row r="22" spans="1:16" x14ac:dyDescent="0.35">
      <c r="A22" s="3" t="s">
        <v>64</v>
      </c>
      <c r="B22" s="24" t="s">
        <v>75</v>
      </c>
      <c r="C22" s="19" t="s">
        <v>227</v>
      </c>
      <c r="D22" s="10">
        <f t="shared" si="1"/>
        <v>230.85600000000002</v>
      </c>
      <c r="E22" s="20">
        <v>17.492999999999999</v>
      </c>
      <c r="F22" s="20">
        <v>17.097000000000001</v>
      </c>
      <c r="G22" s="20">
        <v>21.08</v>
      </c>
      <c r="H22" s="20">
        <v>23.125</v>
      </c>
      <c r="I22" s="20">
        <v>21.414000000000001</v>
      </c>
      <c r="J22" s="20">
        <v>20.616</v>
      </c>
      <c r="K22" s="20">
        <v>17.303000000000001</v>
      </c>
      <c r="L22" s="20">
        <v>17.204999999999998</v>
      </c>
      <c r="M22" s="20">
        <v>18.177</v>
      </c>
      <c r="N22" s="20">
        <v>19.155999999999999</v>
      </c>
      <c r="O22" s="20">
        <v>19.827000000000002</v>
      </c>
      <c r="P22" s="20">
        <v>18.363</v>
      </c>
    </row>
    <row r="23" spans="1:16" x14ac:dyDescent="0.35">
      <c r="A23" s="3" t="s">
        <v>64</v>
      </c>
      <c r="B23" s="24" t="s">
        <v>76</v>
      </c>
      <c r="C23" s="19" t="s">
        <v>227</v>
      </c>
      <c r="D23" s="10">
        <f t="shared" si="1"/>
        <v>225.416</v>
      </c>
      <c r="E23" s="20">
        <v>18.332000000000001</v>
      </c>
      <c r="F23" s="20">
        <v>16.885000000000002</v>
      </c>
      <c r="G23" s="20">
        <v>20.446999999999999</v>
      </c>
      <c r="H23" s="20">
        <v>21.581</v>
      </c>
      <c r="I23" s="20">
        <v>20.172999999999998</v>
      </c>
      <c r="J23" s="20">
        <v>18.141999999999999</v>
      </c>
      <c r="K23" s="20">
        <v>16.797999999999998</v>
      </c>
      <c r="L23" s="20">
        <v>18.166</v>
      </c>
      <c r="M23" s="20">
        <v>19</v>
      </c>
      <c r="N23" s="20">
        <v>17.721</v>
      </c>
      <c r="O23" s="20">
        <v>18.829999999999998</v>
      </c>
      <c r="P23" s="20">
        <v>19.341000000000001</v>
      </c>
    </row>
    <row r="24" spans="1:16" x14ac:dyDescent="0.35">
      <c r="A24" s="3" t="s">
        <v>64</v>
      </c>
      <c r="B24" s="24" t="s">
        <v>77</v>
      </c>
      <c r="C24" s="19" t="s">
        <v>227</v>
      </c>
      <c r="D24" s="10">
        <f t="shared" si="1"/>
        <v>332.28500000000003</v>
      </c>
      <c r="E24" s="20">
        <v>26.266999999999999</v>
      </c>
      <c r="F24" s="20">
        <v>24.995000000000001</v>
      </c>
      <c r="G24" s="20">
        <v>29.497</v>
      </c>
      <c r="H24" s="20">
        <v>32.838000000000001</v>
      </c>
      <c r="I24" s="20">
        <v>29.414999999999999</v>
      </c>
      <c r="J24" s="20">
        <v>27.742000000000001</v>
      </c>
      <c r="K24" s="20">
        <v>27.393000000000001</v>
      </c>
      <c r="L24" s="20">
        <v>25.657</v>
      </c>
      <c r="M24" s="20">
        <v>27.966000000000001</v>
      </c>
      <c r="N24" s="20">
        <v>25.431999999999999</v>
      </c>
      <c r="O24" s="20">
        <v>27.733000000000001</v>
      </c>
      <c r="P24" s="20">
        <v>27.35</v>
      </c>
    </row>
    <row r="25" spans="1:16" x14ac:dyDescent="0.35">
      <c r="A25" s="3" t="s">
        <v>64</v>
      </c>
      <c r="B25" s="24" t="s">
        <v>78</v>
      </c>
      <c r="C25" s="19" t="s">
        <v>227</v>
      </c>
      <c r="D25" s="10">
        <f t="shared" si="1"/>
        <v>264.815</v>
      </c>
      <c r="E25" s="20">
        <v>21.895</v>
      </c>
      <c r="F25" s="20">
        <v>20.274999999999999</v>
      </c>
      <c r="G25" s="20">
        <v>24.834</v>
      </c>
      <c r="H25" s="20">
        <v>26.734999999999999</v>
      </c>
      <c r="I25" s="20">
        <v>21.620999999999999</v>
      </c>
      <c r="J25" s="20">
        <v>19.803999999999998</v>
      </c>
      <c r="K25" s="20">
        <v>21.024999999999999</v>
      </c>
      <c r="L25" s="20">
        <v>19.524999999999999</v>
      </c>
      <c r="M25" s="20">
        <v>20.553000000000001</v>
      </c>
      <c r="N25" s="20">
        <v>20.504999999999999</v>
      </c>
      <c r="O25" s="20">
        <v>24.488</v>
      </c>
      <c r="P25" s="20">
        <v>23.555</v>
      </c>
    </row>
    <row r="26" spans="1:16" x14ac:dyDescent="0.35">
      <c r="A26" s="3" t="s">
        <v>79</v>
      </c>
      <c r="B26" s="24" t="s">
        <v>80</v>
      </c>
      <c r="C26" s="19" t="s">
        <v>227</v>
      </c>
      <c r="D26" s="10">
        <f t="shared" si="1"/>
        <v>285.57100000000003</v>
      </c>
      <c r="E26" s="20">
        <v>27.045000000000002</v>
      </c>
      <c r="F26" s="20">
        <v>20.931999999999999</v>
      </c>
      <c r="G26" s="20">
        <v>28.108000000000001</v>
      </c>
      <c r="H26" s="20">
        <v>32.409999999999997</v>
      </c>
      <c r="I26" s="20">
        <v>26.17</v>
      </c>
      <c r="J26" s="20">
        <v>21.326000000000001</v>
      </c>
      <c r="K26" s="20">
        <v>21.614999999999998</v>
      </c>
      <c r="L26" s="20">
        <v>20.454999999999998</v>
      </c>
      <c r="M26" s="20">
        <v>21.164999999999999</v>
      </c>
      <c r="N26" s="20">
        <v>20.864999999999998</v>
      </c>
      <c r="O26" s="20">
        <v>22.434999999999999</v>
      </c>
      <c r="P26" s="20">
        <v>23.045000000000002</v>
      </c>
    </row>
    <row r="27" spans="1:16" x14ac:dyDescent="0.35">
      <c r="A27" s="3" t="s">
        <v>79</v>
      </c>
      <c r="B27" s="24" t="s">
        <v>81</v>
      </c>
      <c r="C27" s="19" t="s">
        <v>227</v>
      </c>
      <c r="D27" s="10">
        <f t="shared" si="1"/>
        <v>1618.7150000000001</v>
      </c>
      <c r="E27" s="20">
        <v>135.959</v>
      </c>
      <c r="F27" s="20">
        <v>127.27500000000001</v>
      </c>
      <c r="G27" s="20">
        <v>153.07</v>
      </c>
      <c r="H27" s="20">
        <v>153.77000000000001</v>
      </c>
      <c r="I27" s="20">
        <v>140.535</v>
      </c>
      <c r="J27" s="20">
        <v>131.971</v>
      </c>
      <c r="K27" s="20">
        <v>129.905</v>
      </c>
      <c r="L27" s="20">
        <v>126.35</v>
      </c>
      <c r="M27" s="20">
        <v>124.26</v>
      </c>
      <c r="N27" s="20">
        <v>127.52500000000001</v>
      </c>
      <c r="O27" s="20">
        <v>134.66999999999999</v>
      </c>
      <c r="P27" s="20">
        <v>133.42500000000001</v>
      </c>
    </row>
    <row r="28" spans="1:16" x14ac:dyDescent="0.35">
      <c r="A28" s="3" t="s">
        <v>79</v>
      </c>
      <c r="B28" s="24" t="s">
        <v>82</v>
      </c>
      <c r="C28" s="19" t="s">
        <v>227</v>
      </c>
      <c r="D28" s="10">
        <f t="shared" si="1"/>
        <v>145.31100000000001</v>
      </c>
      <c r="E28" s="20">
        <v>12.955</v>
      </c>
      <c r="F28" s="20">
        <v>12.099</v>
      </c>
      <c r="G28" s="20">
        <v>14.131</v>
      </c>
      <c r="H28" s="20">
        <v>13.768000000000001</v>
      </c>
      <c r="I28" s="20">
        <v>13.736000000000001</v>
      </c>
      <c r="J28" s="20">
        <v>11.55</v>
      </c>
      <c r="K28" s="20">
        <v>13.938000000000001</v>
      </c>
      <c r="L28" s="20">
        <v>12.536</v>
      </c>
      <c r="M28" s="20">
        <v>1.2649999999999999</v>
      </c>
      <c r="N28" s="20">
        <v>12.621</v>
      </c>
      <c r="O28" s="20">
        <v>13.331</v>
      </c>
      <c r="P28" s="20">
        <v>13.381</v>
      </c>
    </row>
    <row r="29" spans="1:16" x14ac:dyDescent="0.35">
      <c r="A29" s="3" t="s">
        <v>79</v>
      </c>
      <c r="B29" s="24" t="s">
        <v>83</v>
      </c>
      <c r="C29" s="19" t="s">
        <v>227</v>
      </c>
      <c r="D29" s="10">
        <f t="shared" si="1"/>
        <v>5521.7560000000003</v>
      </c>
      <c r="E29" s="20">
        <v>440.31</v>
      </c>
      <c r="F29" s="20">
        <v>422.69499999999999</v>
      </c>
      <c r="G29" s="20">
        <v>512.45000000000005</v>
      </c>
      <c r="H29" s="20">
        <v>526.75</v>
      </c>
      <c r="I29" s="20">
        <v>472.55500000000001</v>
      </c>
      <c r="J29" s="20">
        <v>475.5</v>
      </c>
      <c r="K29" s="20">
        <v>417.755</v>
      </c>
      <c r="L29" s="20">
        <v>436.24599999999998</v>
      </c>
      <c r="M29" s="20">
        <v>437.95499999999998</v>
      </c>
      <c r="N29" s="20">
        <v>440.11500000000001</v>
      </c>
      <c r="O29" s="20">
        <v>473.13499999999999</v>
      </c>
      <c r="P29" s="20">
        <v>466.29</v>
      </c>
    </row>
    <row r="30" spans="1:16" x14ac:dyDescent="0.35">
      <c r="A30" s="3" t="s">
        <v>79</v>
      </c>
      <c r="B30" s="24" t="s">
        <v>84</v>
      </c>
      <c r="C30" s="19" t="s">
        <v>227</v>
      </c>
      <c r="D30" s="10">
        <f t="shared" si="1"/>
        <v>465.18100000000004</v>
      </c>
      <c r="E30" s="20">
        <v>36.9</v>
      </c>
      <c r="F30" s="20">
        <v>34.844999999999999</v>
      </c>
      <c r="G30" s="20">
        <v>41.81</v>
      </c>
      <c r="H30" s="20">
        <v>51.164999999999999</v>
      </c>
      <c r="I30" s="20">
        <v>39.869999999999997</v>
      </c>
      <c r="J30" s="20">
        <v>39</v>
      </c>
      <c r="K30" s="20">
        <v>37.204999999999998</v>
      </c>
      <c r="L30" s="20">
        <v>35.65</v>
      </c>
      <c r="M30" s="20">
        <v>36.42</v>
      </c>
      <c r="N30" s="20">
        <v>36.265999999999998</v>
      </c>
      <c r="O30" s="20">
        <v>38.92</v>
      </c>
      <c r="P30" s="20">
        <v>37.130000000000003</v>
      </c>
    </row>
    <row r="31" spans="1:16" x14ac:dyDescent="0.35">
      <c r="A31" s="3" t="s">
        <v>79</v>
      </c>
      <c r="B31" s="24" t="s">
        <v>85</v>
      </c>
      <c r="C31" s="19" t="s">
        <v>227</v>
      </c>
      <c r="D31" s="10">
        <f t="shared" si="1"/>
        <v>271.57799999999997</v>
      </c>
      <c r="E31" s="20">
        <v>22.742000000000001</v>
      </c>
      <c r="F31" s="20">
        <v>21.221</v>
      </c>
      <c r="G31" s="20">
        <v>25.285</v>
      </c>
      <c r="H31" s="20">
        <v>28.373999999999999</v>
      </c>
      <c r="I31" s="20">
        <v>26.940999999999999</v>
      </c>
      <c r="J31" s="20">
        <v>18.187000000000001</v>
      </c>
      <c r="K31" s="20">
        <v>18.242000000000001</v>
      </c>
      <c r="L31" s="20">
        <v>20.125</v>
      </c>
      <c r="M31" s="20">
        <v>20.832999999999998</v>
      </c>
      <c r="N31" s="20">
        <v>20.55</v>
      </c>
      <c r="O31" s="20">
        <v>25.146999999999998</v>
      </c>
      <c r="P31" s="20">
        <v>23.931000000000001</v>
      </c>
    </row>
    <row r="32" spans="1:16" x14ac:dyDescent="0.35">
      <c r="A32" s="3" t="s">
        <v>79</v>
      </c>
      <c r="B32" s="24" t="s">
        <v>86</v>
      </c>
      <c r="C32" s="19" t="s">
        <v>227</v>
      </c>
      <c r="D32" s="10">
        <f t="shared" si="1"/>
        <v>746.57926845637587</v>
      </c>
      <c r="E32" s="20">
        <v>62.003999999999998</v>
      </c>
      <c r="F32" s="20">
        <v>60.27</v>
      </c>
      <c r="G32" s="20">
        <v>74.771000000000001</v>
      </c>
      <c r="H32" s="20">
        <v>75.572000000000003</v>
      </c>
      <c r="I32" s="20">
        <v>65.171999999999997</v>
      </c>
      <c r="J32" s="20">
        <v>63.040999999999997</v>
      </c>
      <c r="K32" s="20">
        <v>59.631</v>
      </c>
      <c r="L32" s="20">
        <v>55.018999999999998</v>
      </c>
      <c r="M32" s="20">
        <v>57.209000000000003</v>
      </c>
      <c r="N32" s="20">
        <v>56.893624161073831</v>
      </c>
      <c r="O32" s="20">
        <v>59.163758389261744</v>
      </c>
      <c r="P32" s="20">
        <v>57.832885906040268</v>
      </c>
    </row>
    <row r="33" spans="1:16" x14ac:dyDescent="0.35">
      <c r="A33" s="3" t="s">
        <v>79</v>
      </c>
      <c r="B33" s="24" t="s">
        <v>87</v>
      </c>
      <c r="C33" s="19" t="s">
        <v>227</v>
      </c>
      <c r="D33" s="10">
        <f t="shared" si="1"/>
        <v>316.37999999999994</v>
      </c>
      <c r="E33" s="20">
        <v>30.692</v>
      </c>
      <c r="F33" s="20">
        <v>28.681999999999999</v>
      </c>
      <c r="G33" s="20">
        <v>29.818000000000001</v>
      </c>
      <c r="H33" s="20">
        <v>28.278500000000001</v>
      </c>
      <c r="I33" s="20">
        <v>25.519500000000001</v>
      </c>
      <c r="J33" s="20">
        <v>26.701000000000001</v>
      </c>
      <c r="K33" s="20">
        <v>28.128</v>
      </c>
      <c r="L33" s="20">
        <v>25.335000000000001</v>
      </c>
      <c r="M33" s="20">
        <v>24.86</v>
      </c>
      <c r="N33" s="20">
        <v>24.25</v>
      </c>
      <c r="O33" s="20">
        <v>25.292000000000002</v>
      </c>
      <c r="P33" s="20">
        <v>18.824000000000002</v>
      </c>
    </row>
    <row r="34" spans="1:16" x14ac:dyDescent="0.35">
      <c r="A34" s="3" t="s">
        <v>79</v>
      </c>
      <c r="B34" s="24" t="s">
        <v>88</v>
      </c>
      <c r="C34" s="19" t="s">
        <v>227</v>
      </c>
      <c r="D34" s="10">
        <f t="shared" si="1"/>
        <v>522.67818241042335</v>
      </c>
      <c r="E34" s="20">
        <v>40.222000000000001</v>
      </c>
      <c r="F34" s="20">
        <v>42.793999999999997</v>
      </c>
      <c r="G34" s="20">
        <v>52.296999999999997</v>
      </c>
      <c r="H34" s="20">
        <v>56.031999999999996</v>
      </c>
      <c r="I34" s="20">
        <v>47.451999999999998</v>
      </c>
      <c r="J34" s="20">
        <v>40.131999999999998</v>
      </c>
      <c r="K34" s="20">
        <v>40.109000000000002</v>
      </c>
      <c r="L34" s="20">
        <v>41.515000000000001</v>
      </c>
      <c r="M34" s="20">
        <v>39.043999999999997</v>
      </c>
      <c r="N34" s="20">
        <v>38.683</v>
      </c>
      <c r="O34" s="20">
        <v>41.892182410423452</v>
      </c>
      <c r="P34" s="20">
        <v>42.506</v>
      </c>
    </row>
    <row r="35" spans="1:16" x14ac:dyDescent="0.35">
      <c r="A35" s="3" t="s">
        <v>79</v>
      </c>
      <c r="B35" s="24" t="s">
        <v>89</v>
      </c>
      <c r="C35" s="19" t="s">
        <v>227</v>
      </c>
      <c r="D35" s="10">
        <f t="shared" si="1"/>
        <v>376.32400000000001</v>
      </c>
      <c r="E35" s="20">
        <v>30.907</v>
      </c>
      <c r="F35" s="20">
        <v>28.568000000000001</v>
      </c>
      <c r="G35" s="20">
        <v>33.061</v>
      </c>
      <c r="H35" s="20">
        <v>37.002000000000002</v>
      </c>
      <c r="I35" s="20">
        <v>34.368000000000002</v>
      </c>
      <c r="J35" s="20">
        <v>34.389000000000003</v>
      </c>
      <c r="K35" s="20">
        <v>28.792999999999999</v>
      </c>
      <c r="L35" s="20">
        <v>30.707000000000001</v>
      </c>
      <c r="M35" s="20">
        <v>29.509</v>
      </c>
      <c r="N35" s="20">
        <v>29.704999999999998</v>
      </c>
      <c r="O35" s="20">
        <v>29.765000000000001</v>
      </c>
      <c r="P35" s="20">
        <v>29.55</v>
      </c>
    </row>
    <row r="36" spans="1:16" x14ac:dyDescent="0.35">
      <c r="A36" s="3" t="s">
        <v>79</v>
      </c>
      <c r="B36" s="24" t="s">
        <v>90</v>
      </c>
      <c r="C36" s="19" t="s">
        <v>227</v>
      </c>
      <c r="D36" s="10">
        <f t="shared" si="1"/>
        <v>792.56799999999998</v>
      </c>
      <c r="E36" s="20">
        <v>66.596000000000004</v>
      </c>
      <c r="F36" s="20">
        <v>64.28</v>
      </c>
      <c r="G36" s="20">
        <v>69.849000000000004</v>
      </c>
      <c r="H36" s="20">
        <v>74.135999999999996</v>
      </c>
      <c r="I36" s="20">
        <v>68.92</v>
      </c>
      <c r="J36" s="20">
        <v>64.513000000000005</v>
      </c>
      <c r="K36" s="20">
        <v>64.531000000000006</v>
      </c>
      <c r="L36" s="20">
        <v>63.075000000000003</v>
      </c>
      <c r="M36" s="20">
        <v>64.965999999999994</v>
      </c>
      <c r="N36" s="20">
        <v>65.352000000000004</v>
      </c>
      <c r="O36" s="20">
        <v>62.371000000000002</v>
      </c>
      <c r="P36" s="20">
        <v>63.978999999999999</v>
      </c>
    </row>
    <row r="37" spans="1:16" x14ac:dyDescent="0.35">
      <c r="A37" s="3" t="s">
        <v>79</v>
      </c>
      <c r="B37" s="24" t="s">
        <v>91</v>
      </c>
      <c r="C37" s="19" t="s">
        <v>227</v>
      </c>
      <c r="D37" s="10">
        <f t="shared" si="1"/>
        <v>659.70400000000006</v>
      </c>
      <c r="E37" s="20">
        <v>57.817</v>
      </c>
      <c r="F37" s="20">
        <v>55.194000000000003</v>
      </c>
      <c r="G37" s="20">
        <v>63.03</v>
      </c>
      <c r="H37" s="20">
        <v>70.724999999999994</v>
      </c>
      <c r="I37" s="20">
        <v>59.35</v>
      </c>
      <c r="J37" s="20">
        <v>52.305</v>
      </c>
      <c r="K37" s="20">
        <v>50.39</v>
      </c>
      <c r="L37" s="20">
        <v>50.655000000000001</v>
      </c>
      <c r="M37" s="20">
        <v>48.795000000000002</v>
      </c>
      <c r="N37" s="20">
        <v>48.16</v>
      </c>
      <c r="O37" s="20">
        <v>50.277999999999999</v>
      </c>
      <c r="P37" s="20">
        <v>53.005000000000003</v>
      </c>
    </row>
    <row r="38" spans="1:16" x14ac:dyDescent="0.35">
      <c r="A38" s="3" t="s">
        <v>79</v>
      </c>
      <c r="B38" s="24" t="s">
        <v>92</v>
      </c>
      <c r="C38" s="19" t="s">
        <v>227</v>
      </c>
      <c r="D38" s="10">
        <f t="shared" si="1"/>
        <v>384.17199999999991</v>
      </c>
      <c r="E38" s="20">
        <v>34.619999999999997</v>
      </c>
      <c r="F38" s="20">
        <v>31.4</v>
      </c>
      <c r="G38" s="20">
        <v>34.15</v>
      </c>
      <c r="H38" s="20">
        <v>42</v>
      </c>
      <c r="I38" s="20">
        <v>37.79</v>
      </c>
      <c r="J38" s="20">
        <v>32.93</v>
      </c>
      <c r="K38" s="20">
        <v>30.57</v>
      </c>
      <c r="L38" s="20">
        <v>29.3</v>
      </c>
      <c r="M38" s="20">
        <v>27.568000000000001</v>
      </c>
      <c r="N38" s="20">
        <v>27.207999999999998</v>
      </c>
      <c r="O38" s="20">
        <v>28.219000000000001</v>
      </c>
      <c r="P38" s="20">
        <v>28.417000000000002</v>
      </c>
    </row>
    <row r="39" spans="1:16" x14ac:dyDescent="0.35">
      <c r="A39" s="3" t="s">
        <v>93</v>
      </c>
      <c r="B39" s="24" t="s">
        <v>94</v>
      </c>
      <c r="C39" s="19" t="s">
        <v>227</v>
      </c>
      <c r="D39" s="10">
        <f t="shared" si="1"/>
        <v>267.60000000000002</v>
      </c>
      <c r="E39" s="20">
        <v>23.1</v>
      </c>
      <c r="F39" s="20">
        <v>21.05</v>
      </c>
      <c r="G39" s="20">
        <v>24.85</v>
      </c>
      <c r="H39" s="20">
        <v>26.85</v>
      </c>
      <c r="I39" s="20">
        <v>23.15</v>
      </c>
      <c r="J39" s="20">
        <v>23.05</v>
      </c>
      <c r="K39" s="20">
        <v>20.2</v>
      </c>
      <c r="L39" s="20">
        <v>20.65</v>
      </c>
      <c r="M39" s="20">
        <v>20.8</v>
      </c>
      <c r="N39" s="20">
        <v>20.6</v>
      </c>
      <c r="O39" s="20">
        <v>21.55</v>
      </c>
      <c r="P39" s="20">
        <v>21.75</v>
      </c>
    </row>
    <row r="40" spans="1:16" x14ac:dyDescent="0.35">
      <c r="A40" s="3" t="s">
        <v>93</v>
      </c>
      <c r="B40" s="24" t="s">
        <v>95</v>
      </c>
      <c r="C40" s="19" t="s">
        <v>227</v>
      </c>
      <c r="D40" s="10">
        <f t="shared" si="1"/>
        <v>362.68899999999996</v>
      </c>
      <c r="E40" s="20">
        <v>27.754999999999999</v>
      </c>
      <c r="F40" s="20">
        <v>26.733000000000001</v>
      </c>
      <c r="G40" s="20">
        <v>29.952000000000002</v>
      </c>
      <c r="H40" s="20">
        <v>32.683</v>
      </c>
      <c r="I40" s="20">
        <v>29.715</v>
      </c>
      <c r="J40" s="20">
        <v>28.870999999999999</v>
      </c>
      <c r="K40" s="20">
        <v>30.898</v>
      </c>
      <c r="L40" s="20">
        <v>34.174999999999997</v>
      </c>
      <c r="M40" s="20">
        <v>31.672000000000001</v>
      </c>
      <c r="N40" s="20">
        <v>30.245999999999999</v>
      </c>
      <c r="O40" s="20">
        <v>29.937999999999999</v>
      </c>
      <c r="P40" s="20">
        <v>30.050999999999998</v>
      </c>
    </row>
    <row r="41" spans="1:16" x14ac:dyDescent="0.35">
      <c r="A41" s="3" t="s">
        <v>93</v>
      </c>
      <c r="B41" s="24" t="s">
        <v>96</v>
      </c>
      <c r="C41" s="19" t="s">
        <v>227</v>
      </c>
      <c r="D41" s="10">
        <f t="shared" si="1"/>
        <v>415.68814268292687</v>
      </c>
      <c r="E41" s="20">
        <v>30.513999999999999</v>
      </c>
      <c r="F41" s="20">
        <v>29.725999999999999</v>
      </c>
      <c r="G41" s="20">
        <v>33.432000000000002</v>
      </c>
      <c r="H41" s="20">
        <v>42.75</v>
      </c>
      <c r="I41" s="20">
        <v>37.653353658536595</v>
      </c>
      <c r="J41" s="20">
        <v>33.304472560975611</v>
      </c>
      <c r="K41" s="20">
        <v>35.203658536585365</v>
      </c>
      <c r="L41" s="20">
        <v>34.043902439024393</v>
      </c>
      <c r="M41" s="20">
        <v>34.817987804878044</v>
      </c>
      <c r="N41" s="20">
        <v>33.118048780487811</v>
      </c>
      <c r="O41" s="20">
        <v>37.396304268292688</v>
      </c>
      <c r="P41" s="20">
        <v>33.728414634146347</v>
      </c>
    </row>
    <row r="42" spans="1:16" x14ac:dyDescent="0.35">
      <c r="A42" s="3" t="s">
        <v>93</v>
      </c>
      <c r="B42" s="24" t="s">
        <v>97</v>
      </c>
      <c r="C42" s="19" t="s">
        <v>227</v>
      </c>
      <c r="D42" s="10">
        <f t="shared" si="1"/>
        <v>727.27299999999991</v>
      </c>
      <c r="E42" s="20">
        <v>57.792000000000002</v>
      </c>
      <c r="F42" s="20">
        <v>54.564</v>
      </c>
      <c r="G42" s="20">
        <v>64.557000000000002</v>
      </c>
      <c r="H42" s="20">
        <v>81.266999999999996</v>
      </c>
      <c r="I42" s="20">
        <v>79.003</v>
      </c>
      <c r="J42" s="20">
        <v>68.150000000000006</v>
      </c>
      <c r="K42" s="20">
        <v>56.872</v>
      </c>
      <c r="L42" s="20">
        <v>54.244999999999997</v>
      </c>
      <c r="M42" s="20">
        <v>52.822000000000003</v>
      </c>
      <c r="N42" s="20">
        <v>53.737000000000002</v>
      </c>
      <c r="O42" s="20">
        <v>54.292000000000002</v>
      </c>
      <c r="P42" s="20">
        <v>49.972000000000001</v>
      </c>
    </row>
    <row r="43" spans="1:16" x14ac:dyDescent="0.35">
      <c r="A43" s="3" t="s">
        <v>93</v>
      </c>
      <c r="B43" s="24" t="s">
        <v>233</v>
      </c>
      <c r="C43" s="19" t="s">
        <v>227</v>
      </c>
      <c r="D43" s="10">
        <f t="shared" si="1"/>
        <v>436.09679117647062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20.716000000000001</v>
      </c>
      <c r="M43" s="20">
        <v>103.437</v>
      </c>
      <c r="N43" s="20">
        <v>99.055999999999997</v>
      </c>
      <c r="O43" s="20">
        <v>113.76432058823529</v>
      </c>
      <c r="P43" s="20">
        <v>99.123470588235293</v>
      </c>
    </row>
    <row r="44" spans="1:16" x14ac:dyDescent="0.35">
      <c r="A44" s="3" t="s">
        <v>93</v>
      </c>
      <c r="B44" s="24" t="s">
        <v>98</v>
      </c>
      <c r="C44" s="19" t="s">
        <v>227</v>
      </c>
      <c r="D44" s="10">
        <f t="shared" si="1"/>
        <v>361.99799999999993</v>
      </c>
      <c r="E44" s="20">
        <v>29.736000000000001</v>
      </c>
      <c r="F44" s="20">
        <v>28.945</v>
      </c>
      <c r="G44" s="20">
        <v>30.869</v>
      </c>
      <c r="H44" s="20">
        <v>36.954999999999998</v>
      </c>
      <c r="I44" s="20">
        <v>31.725000000000001</v>
      </c>
      <c r="J44" s="20">
        <v>31.341999999999999</v>
      </c>
      <c r="K44" s="20">
        <v>28.029</v>
      </c>
      <c r="L44" s="20">
        <v>29.879000000000001</v>
      </c>
      <c r="M44" s="20">
        <v>30.917999999999999</v>
      </c>
      <c r="N44" s="20">
        <v>30.068000000000001</v>
      </c>
      <c r="O44" s="20">
        <v>29.25</v>
      </c>
      <c r="P44" s="20">
        <v>24.282</v>
      </c>
    </row>
    <row r="45" spans="1:16" x14ac:dyDescent="0.35">
      <c r="A45" s="3" t="s">
        <v>93</v>
      </c>
      <c r="B45" s="24" t="s">
        <v>99</v>
      </c>
      <c r="C45" s="19" t="s">
        <v>227</v>
      </c>
      <c r="D45" s="10">
        <f t="shared" si="1"/>
        <v>582.875</v>
      </c>
      <c r="E45" s="20">
        <v>44.588999999999999</v>
      </c>
      <c r="F45" s="20">
        <v>41.825000000000003</v>
      </c>
      <c r="G45" s="20">
        <v>50.896999999999998</v>
      </c>
      <c r="H45" s="20">
        <v>57.34</v>
      </c>
      <c r="I45" s="20">
        <v>53.334000000000003</v>
      </c>
      <c r="J45" s="20">
        <v>49.844999999999999</v>
      </c>
      <c r="K45" s="20">
        <v>48.091999999999999</v>
      </c>
      <c r="L45" s="20">
        <v>45.527000000000001</v>
      </c>
      <c r="M45" s="20">
        <v>44.529000000000003</v>
      </c>
      <c r="N45" s="20">
        <v>48.348999999999997</v>
      </c>
      <c r="O45" s="20">
        <v>49.908000000000001</v>
      </c>
      <c r="P45" s="20">
        <v>48.64</v>
      </c>
    </row>
    <row r="46" spans="1:16" x14ac:dyDescent="0.35">
      <c r="A46" s="3" t="s">
        <v>93</v>
      </c>
      <c r="B46" s="24" t="s">
        <v>100</v>
      </c>
      <c r="C46" s="19" t="s">
        <v>227</v>
      </c>
      <c r="D46" s="10">
        <f t="shared" si="1"/>
        <v>674.51499999999987</v>
      </c>
      <c r="E46" s="20">
        <v>59.515000000000001</v>
      </c>
      <c r="F46" s="20">
        <v>54.18</v>
      </c>
      <c r="G46" s="20">
        <v>61.45</v>
      </c>
      <c r="H46" s="20">
        <v>72.84</v>
      </c>
      <c r="I46" s="20">
        <v>60.45</v>
      </c>
      <c r="J46" s="20">
        <v>57.825000000000003</v>
      </c>
      <c r="K46" s="20">
        <v>50.005000000000003</v>
      </c>
      <c r="L46" s="20">
        <v>50</v>
      </c>
      <c r="M46" s="20">
        <v>52.01</v>
      </c>
      <c r="N46" s="20">
        <v>50.65</v>
      </c>
      <c r="O46" s="20">
        <v>54.16</v>
      </c>
      <c r="P46" s="20">
        <v>51.43</v>
      </c>
    </row>
    <row r="47" spans="1:16" x14ac:dyDescent="0.35">
      <c r="A47" s="3" t="s">
        <v>93</v>
      </c>
      <c r="B47" s="24" t="s">
        <v>101</v>
      </c>
      <c r="C47" s="19" t="s">
        <v>227</v>
      </c>
      <c r="D47" s="10">
        <f t="shared" si="1"/>
        <v>333.47300000000001</v>
      </c>
      <c r="E47" s="20">
        <v>25.117999999999999</v>
      </c>
      <c r="F47" s="20">
        <v>24.137</v>
      </c>
      <c r="G47" s="20">
        <v>28.199000000000002</v>
      </c>
      <c r="H47" s="20">
        <v>36.182000000000002</v>
      </c>
      <c r="I47" s="20">
        <v>29.106000000000002</v>
      </c>
      <c r="J47" s="20">
        <v>27.501999999999999</v>
      </c>
      <c r="K47" s="20">
        <v>24.04</v>
      </c>
      <c r="L47" s="20">
        <v>26.077999999999999</v>
      </c>
      <c r="M47" s="20">
        <v>28.594999999999999</v>
      </c>
      <c r="N47" s="20">
        <v>28.035</v>
      </c>
      <c r="O47" s="20">
        <v>28.925999999999998</v>
      </c>
      <c r="P47" s="20">
        <v>27.555</v>
      </c>
    </row>
    <row r="48" spans="1:16" x14ac:dyDescent="0.35">
      <c r="A48" s="3" t="s">
        <v>93</v>
      </c>
      <c r="B48" s="24" t="s">
        <v>102</v>
      </c>
      <c r="C48" s="19" t="s">
        <v>227</v>
      </c>
      <c r="D48" s="10">
        <f t="shared" si="1"/>
        <v>443.09100000000001</v>
      </c>
      <c r="E48" s="20">
        <v>35.299999999999997</v>
      </c>
      <c r="F48" s="20">
        <v>33.130000000000003</v>
      </c>
      <c r="G48" s="20">
        <v>39.524999999999999</v>
      </c>
      <c r="H48" s="20">
        <v>43.923000000000002</v>
      </c>
      <c r="I48" s="20">
        <v>42.314</v>
      </c>
      <c r="J48" s="20">
        <v>38.398000000000003</v>
      </c>
      <c r="K48" s="20">
        <v>32.85</v>
      </c>
      <c r="L48" s="20">
        <v>34.96</v>
      </c>
      <c r="M48" s="20">
        <v>34.994999999999997</v>
      </c>
      <c r="N48" s="20">
        <v>35.365000000000002</v>
      </c>
      <c r="O48" s="20">
        <v>36.719000000000001</v>
      </c>
      <c r="P48" s="20">
        <v>35.612000000000002</v>
      </c>
    </row>
    <row r="49" spans="1:16" x14ac:dyDescent="0.35">
      <c r="A49" s="3" t="s">
        <v>93</v>
      </c>
      <c r="B49" s="24" t="s">
        <v>103</v>
      </c>
      <c r="C49" s="19" t="s">
        <v>227</v>
      </c>
      <c r="D49" s="10">
        <f t="shared" si="1"/>
        <v>262.28199999999998</v>
      </c>
      <c r="E49" s="20">
        <v>23.47</v>
      </c>
      <c r="F49" s="20">
        <v>21.957999999999998</v>
      </c>
      <c r="G49" s="20">
        <v>25.378</v>
      </c>
      <c r="H49" s="20">
        <v>27.109000000000002</v>
      </c>
      <c r="I49" s="20">
        <v>22.562000000000001</v>
      </c>
      <c r="J49" s="20">
        <v>21.780999999999999</v>
      </c>
      <c r="K49" s="20">
        <v>21.228000000000002</v>
      </c>
      <c r="L49" s="20">
        <v>19.664000000000001</v>
      </c>
      <c r="M49" s="20">
        <v>19.451000000000001</v>
      </c>
      <c r="N49" s="20">
        <v>19.024000000000001</v>
      </c>
      <c r="O49" s="20">
        <v>20.451000000000001</v>
      </c>
      <c r="P49" s="20">
        <v>20.206</v>
      </c>
    </row>
    <row r="50" spans="1:16" x14ac:dyDescent="0.35">
      <c r="A50" s="3" t="s">
        <v>93</v>
      </c>
      <c r="B50" s="24" t="s">
        <v>104</v>
      </c>
      <c r="C50" s="19" t="s">
        <v>227</v>
      </c>
      <c r="D50" s="10">
        <f t="shared" si="1"/>
        <v>1034.3869999999999</v>
      </c>
      <c r="E50" s="20">
        <v>78.67</v>
      </c>
      <c r="F50" s="20">
        <v>76.879000000000005</v>
      </c>
      <c r="G50" s="20">
        <v>94.102999999999994</v>
      </c>
      <c r="H50" s="20">
        <v>110.03100000000001</v>
      </c>
      <c r="I50" s="20">
        <v>94.143000000000001</v>
      </c>
      <c r="J50" s="20">
        <v>83.95</v>
      </c>
      <c r="K50" s="20">
        <v>79.387</v>
      </c>
      <c r="L50" s="20">
        <v>81.043000000000006</v>
      </c>
      <c r="M50" s="20">
        <v>83.436000000000007</v>
      </c>
      <c r="N50" s="20">
        <v>81.685000000000002</v>
      </c>
      <c r="O50" s="20">
        <v>88.853999999999999</v>
      </c>
      <c r="P50" s="20">
        <v>82.206000000000003</v>
      </c>
    </row>
    <row r="51" spans="1:16" x14ac:dyDescent="0.35">
      <c r="A51" s="3" t="s">
        <v>93</v>
      </c>
      <c r="B51" s="24" t="s">
        <v>105</v>
      </c>
      <c r="C51" s="19" t="s">
        <v>227</v>
      </c>
      <c r="D51" s="10">
        <f t="shared" si="1"/>
        <v>209.0729602649007</v>
      </c>
      <c r="E51" s="20">
        <v>16.416</v>
      </c>
      <c r="F51" s="20">
        <v>15.638999999999999</v>
      </c>
      <c r="G51" s="20">
        <v>19.029</v>
      </c>
      <c r="H51" s="20">
        <v>19.896000000000001</v>
      </c>
      <c r="I51" s="20">
        <v>17.907</v>
      </c>
      <c r="J51" s="20">
        <v>17.748999999999999</v>
      </c>
      <c r="K51" s="20">
        <v>16.734000000000002</v>
      </c>
      <c r="L51" s="20">
        <v>16.783000000000001</v>
      </c>
      <c r="M51" s="20">
        <v>16.684000000000001</v>
      </c>
      <c r="N51" s="20">
        <v>17.055960264900662</v>
      </c>
      <c r="O51" s="20">
        <v>17.579000000000001</v>
      </c>
      <c r="P51" s="20">
        <v>17.600999999999999</v>
      </c>
    </row>
    <row r="52" spans="1:16" x14ac:dyDescent="0.35">
      <c r="A52" s="3" t="s">
        <v>93</v>
      </c>
      <c r="B52" s="24" t="s">
        <v>106</v>
      </c>
      <c r="C52" s="19" t="s">
        <v>227</v>
      </c>
      <c r="D52" s="10">
        <f t="shared" si="1"/>
        <v>157.79499999999996</v>
      </c>
      <c r="E52" s="20">
        <v>9.8759999999999994</v>
      </c>
      <c r="F52" s="20">
        <v>9.4930000000000003</v>
      </c>
      <c r="G52" s="20">
        <v>12.371</v>
      </c>
      <c r="H52" s="20">
        <v>16.260000000000002</v>
      </c>
      <c r="I52" s="20">
        <v>17.207000000000001</v>
      </c>
      <c r="J52" s="20">
        <v>12.391999999999999</v>
      </c>
      <c r="K52" s="20">
        <v>13.788</v>
      </c>
      <c r="L52" s="20">
        <v>13.663</v>
      </c>
      <c r="M52" s="20">
        <v>13.663</v>
      </c>
      <c r="N52" s="20">
        <v>13.545</v>
      </c>
      <c r="O52" s="20">
        <v>13.265000000000001</v>
      </c>
      <c r="P52" s="20">
        <v>12.272</v>
      </c>
    </row>
    <row r="53" spans="1:16" x14ac:dyDescent="0.35">
      <c r="A53" s="3" t="s">
        <v>107</v>
      </c>
      <c r="B53" s="24" t="s">
        <v>108</v>
      </c>
      <c r="C53" s="19" t="s">
        <v>227</v>
      </c>
      <c r="D53" s="10">
        <f t="shared" si="1"/>
        <v>198.75000000000003</v>
      </c>
      <c r="E53" s="20">
        <v>15.154999999999999</v>
      </c>
      <c r="F53" s="20">
        <v>14.965999999999999</v>
      </c>
      <c r="G53" s="20">
        <v>18.302</v>
      </c>
      <c r="H53" s="20">
        <v>19.27</v>
      </c>
      <c r="I53" s="20">
        <v>16.948</v>
      </c>
      <c r="J53" s="20">
        <v>16.702999999999999</v>
      </c>
      <c r="K53" s="20">
        <v>16.431999999999999</v>
      </c>
      <c r="L53" s="20">
        <v>15.778</v>
      </c>
      <c r="M53" s="20">
        <v>15.098000000000001</v>
      </c>
      <c r="N53" s="20">
        <v>16.065999999999999</v>
      </c>
      <c r="O53" s="20">
        <v>16.895</v>
      </c>
      <c r="P53" s="20">
        <v>17.137</v>
      </c>
    </row>
    <row r="54" spans="1:16" x14ac:dyDescent="0.35">
      <c r="A54" s="3" t="s">
        <v>107</v>
      </c>
      <c r="B54" s="24" t="s">
        <v>109</v>
      </c>
      <c r="C54" s="19" t="s">
        <v>227</v>
      </c>
      <c r="D54" s="10">
        <f t="shared" si="1"/>
        <v>309.80200000000002</v>
      </c>
      <c r="E54" s="20">
        <v>26.527999999999999</v>
      </c>
      <c r="F54" s="20">
        <v>24.905999999999999</v>
      </c>
      <c r="G54" s="20">
        <v>29.007000000000001</v>
      </c>
      <c r="H54" s="20">
        <v>30.707000000000001</v>
      </c>
      <c r="I54" s="20">
        <v>27.753</v>
      </c>
      <c r="J54" s="20">
        <v>26.155000000000001</v>
      </c>
      <c r="K54" s="20">
        <v>24.895</v>
      </c>
      <c r="L54" s="20">
        <v>25.288</v>
      </c>
      <c r="M54" s="20">
        <v>25.518000000000001</v>
      </c>
      <c r="N54" s="20">
        <v>23.292999999999999</v>
      </c>
      <c r="O54" s="20">
        <v>23.661000000000001</v>
      </c>
      <c r="P54" s="20">
        <v>22.091000000000001</v>
      </c>
    </row>
    <row r="55" spans="1:16" x14ac:dyDescent="0.35">
      <c r="A55" s="3" t="s">
        <v>107</v>
      </c>
      <c r="B55" s="24" t="s">
        <v>110</v>
      </c>
      <c r="C55" s="19" t="s">
        <v>227</v>
      </c>
      <c r="D55" s="10">
        <f t="shared" si="1"/>
        <v>929.258574563107</v>
      </c>
      <c r="E55" s="20">
        <v>82.379000000000005</v>
      </c>
      <c r="F55" s="20">
        <v>74.271000000000001</v>
      </c>
      <c r="G55" s="20">
        <v>90.787000000000006</v>
      </c>
      <c r="H55" s="20">
        <v>96.35</v>
      </c>
      <c r="I55" s="20">
        <v>82.334999999999994</v>
      </c>
      <c r="J55" s="20">
        <v>82.111999999999995</v>
      </c>
      <c r="K55" s="20">
        <v>66.935000000000002</v>
      </c>
      <c r="L55" s="20">
        <v>70.040000000000006</v>
      </c>
      <c r="M55" s="20">
        <v>71.33</v>
      </c>
      <c r="N55" s="20">
        <v>72.209999999999994</v>
      </c>
      <c r="O55" s="20">
        <v>72.95</v>
      </c>
      <c r="P55" s="20">
        <v>67.559574563106793</v>
      </c>
    </row>
    <row r="56" spans="1:16" x14ac:dyDescent="0.35">
      <c r="A56" s="3" t="s">
        <v>107</v>
      </c>
      <c r="B56" s="24" t="s">
        <v>111</v>
      </c>
      <c r="C56" s="19" t="s">
        <v>227</v>
      </c>
      <c r="D56" s="10">
        <f t="shared" si="1"/>
        <v>754.38999999999987</v>
      </c>
      <c r="E56" s="20">
        <v>58.720999999999997</v>
      </c>
      <c r="F56" s="20">
        <v>58.378</v>
      </c>
      <c r="G56" s="20">
        <v>69.649000000000001</v>
      </c>
      <c r="H56" s="20">
        <v>78.551000000000002</v>
      </c>
      <c r="I56" s="20">
        <v>65.796000000000006</v>
      </c>
      <c r="J56" s="20">
        <v>63.683</v>
      </c>
      <c r="K56" s="20">
        <v>59.186</v>
      </c>
      <c r="L56" s="20">
        <v>60.530999999999999</v>
      </c>
      <c r="M56" s="20">
        <v>60.640999999999998</v>
      </c>
      <c r="N56" s="20">
        <v>59.469000000000001</v>
      </c>
      <c r="O56" s="20">
        <v>61.265000000000001</v>
      </c>
      <c r="P56" s="20">
        <v>58.52</v>
      </c>
    </row>
    <row r="57" spans="1:16" x14ac:dyDescent="0.35">
      <c r="A57" s="3" t="s">
        <v>107</v>
      </c>
      <c r="B57" s="24" t="s">
        <v>112</v>
      </c>
      <c r="C57" s="19" t="s">
        <v>227</v>
      </c>
      <c r="D57" s="10">
        <f t="shared" si="1"/>
        <v>363.12159316770186</v>
      </c>
      <c r="E57" s="20">
        <v>28.774000000000001</v>
      </c>
      <c r="F57" s="20">
        <v>28.297999999999998</v>
      </c>
      <c r="G57" s="20">
        <v>33.408000000000001</v>
      </c>
      <c r="H57" s="20">
        <v>40.19</v>
      </c>
      <c r="I57" s="20">
        <v>30.213000000000001</v>
      </c>
      <c r="J57" s="20">
        <v>28.596</v>
      </c>
      <c r="K57" s="20">
        <v>28.364000000000001</v>
      </c>
      <c r="L57" s="20">
        <v>28.681999999999999</v>
      </c>
      <c r="M57" s="20">
        <v>30.946000000000002</v>
      </c>
      <c r="N57" s="20">
        <v>28.002645962732913</v>
      </c>
      <c r="O57" s="20">
        <v>30.763736024844718</v>
      </c>
      <c r="P57" s="20">
        <v>26.884211180124218</v>
      </c>
    </row>
    <row r="58" spans="1:16" x14ac:dyDescent="0.35">
      <c r="A58" s="3" t="s">
        <v>107</v>
      </c>
      <c r="B58" s="24" t="s">
        <v>113</v>
      </c>
      <c r="C58" s="19" t="s">
        <v>227</v>
      </c>
      <c r="D58" s="10">
        <f t="shared" si="1"/>
        <v>403.21900000000005</v>
      </c>
      <c r="E58" s="20">
        <v>34.165999999999997</v>
      </c>
      <c r="F58" s="20">
        <v>32.780999999999999</v>
      </c>
      <c r="G58" s="20">
        <v>36.957999999999998</v>
      </c>
      <c r="H58" s="20">
        <v>40.19</v>
      </c>
      <c r="I58" s="20">
        <v>35.935000000000002</v>
      </c>
      <c r="J58" s="20">
        <v>34.35</v>
      </c>
      <c r="K58" s="20">
        <v>30.827999999999999</v>
      </c>
      <c r="L58" s="20">
        <v>31.385000000000002</v>
      </c>
      <c r="M58" s="20">
        <v>31.152999999999999</v>
      </c>
      <c r="N58" s="20">
        <v>31.466000000000001</v>
      </c>
      <c r="O58" s="20">
        <v>32.436</v>
      </c>
      <c r="P58" s="20">
        <v>31.571000000000002</v>
      </c>
    </row>
    <row r="59" spans="1:16" x14ac:dyDescent="0.35">
      <c r="A59" s="3" t="s">
        <v>107</v>
      </c>
      <c r="B59" s="24" t="s">
        <v>114</v>
      </c>
      <c r="C59" s="19" t="s">
        <v>227</v>
      </c>
      <c r="D59" s="10">
        <f t="shared" si="1"/>
        <v>333.73900000000003</v>
      </c>
      <c r="E59" s="20">
        <v>27.518000000000001</v>
      </c>
      <c r="F59" s="20">
        <v>25.183</v>
      </c>
      <c r="G59" s="20">
        <v>30.884</v>
      </c>
      <c r="H59" s="20">
        <v>33.752000000000002</v>
      </c>
      <c r="I59" s="20">
        <v>31.859000000000002</v>
      </c>
      <c r="J59" s="20">
        <v>28.521999999999998</v>
      </c>
      <c r="K59" s="20">
        <v>28.846</v>
      </c>
      <c r="L59" s="20">
        <v>28.074999999999999</v>
      </c>
      <c r="M59" s="20">
        <v>27.565000000000001</v>
      </c>
      <c r="N59" s="20">
        <v>26.256</v>
      </c>
      <c r="O59" s="20">
        <v>24.024999999999999</v>
      </c>
      <c r="P59" s="20">
        <v>21.254000000000001</v>
      </c>
    </row>
    <row r="60" spans="1:16" x14ac:dyDescent="0.35">
      <c r="A60" s="3" t="s">
        <v>107</v>
      </c>
      <c r="B60" s="24" t="s">
        <v>115</v>
      </c>
      <c r="C60" s="19" t="s">
        <v>227</v>
      </c>
      <c r="D60" s="10">
        <f t="shared" si="1"/>
        <v>453.11000000000007</v>
      </c>
      <c r="E60" s="20">
        <v>37.46</v>
      </c>
      <c r="F60" s="20">
        <v>35.81</v>
      </c>
      <c r="G60" s="20">
        <v>43.49</v>
      </c>
      <c r="H60" s="20">
        <v>47.604999999999997</v>
      </c>
      <c r="I60" s="20">
        <v>40.36</v>
      </c>
      <c r="J60" s="20">
        <v>38.405000000000001</v>
      </c>
      <c r="K60" s="20">
        <v>33.935000000000002</v>
      </c>
      <c r="L60" s="20">
        <v>34.874000000000002</v>
      </c>
      <c r="M60" s="20">
        <v>35.094999999999999</v>
      </c>
      <c r="N60" s="20">
        <v>35.625999999999998</v>
      </c>
      <c r="O60" s="20">
        <v>35.695</v>
      </c>
      <c r="P60" s="20">
        <v>34.755000000000003</v>
      </c>
    </row>
    <row r="61" spans="1:16" x14ac:dyDescent="0.35">
      <c r="A61" s="3" t="s">
        <v>107</v>
      </c>
      <c r="B61" s="24" t="s">
        <v>116</v>
      </c>
      <c r="C61" s="19" t="s">
        <v>227</v>
      </c>
      <c r="D61" s="10">
        <f t="shared" si="1"/>
        <v>359.52499999999998</v>
      </c>
      <c r="E61" s="20">
        <v>31.49</v>
      </c>
      <c r="F61" s="20">
        <v>30.715</v>
      </c>
      <c r="G61" s="20">
        <v>32.825000000000003</v>
      </c>
      <c r="H61" s="20">
        <v>34.204999999999998</v>
      </c>
      <c r="I61" s="20">
        <v>29.024999999999999</v>
      </c>
      <c r="J61" s="20">
        <v>29.57</v>
      </c>
      <c r="K61" s="20">
        <v>29.42</v>
      </c>
      <c r="L61" s="20">
        <v>29.385000000000002</v>
      </c>
      <c r="M61" s="20">
        <v>27.78</v>
      </c>
      <c r="N61" s="20">
        <v>28.795000000000002</v>
      </c>
      <c r="O61" s="20">
        <v>28.875</v>
      </c>
      <c r="P61" s="20">
        <v>27.44</v>
      </c>
    </row>
    <row r="62" spans="1:16" x14ac:dyDescent="0.35">
      <c r="A62" s="3" t="s">
        <v>107</v>
      </c>
      <c r="B62" s="24" t="s">
        <v>117</v>
      </c>
      <c r="C62" s="19" t="s">
        <v>227</v>
      </c>
      <c r="D62" s="10">
        <f t="shared" si="1"/>
        <v>163.91</v>
      </c>
      <c r="E62" s="20">
        <v>12.24</v>
      </c>
      <c r="F62" s="20">
        <v>10.55</v>
      </c>
      <c r="G62" s="20">
        <v>12.045</v>
      </c>
      <c r="H62" s="20">
        <v>15.505000000000001</v>
      </c>
      <c r="I62" s="20">
        <v>20.059999999999999</v>
      </c>
      <c r="J62" s="20">
        <v>16.64</v>
      </c>
      <c r="K62" s="20">
        <v>13.125</v>
      </c>
      <c r="L62" s="20">
        <v>11.67</v>
      </c>
      <c r="M62" s="20">
        <v>11.96</v>
      </c>
      <c r="N62" s="20">
        <v>13.09</v>
      </c>
      <c r="O62" s="20">
        <v>14.61</v>
      </c>
      <c r="P62" s="20">
        <v>12.414999999999999</v>
      </c>
    </row>
    <row r="63" spans="1:16" x14ac:dyDescent="0.35">
      <c r="A63" s="3" t="s">
        <v>107</v>
      </c>
      <c r="B63" s="24" t="s">
        <v>118</v>
      </c>
      <c r="C63" s="19" t="s">
        <v>227</v>
      </c>
      <c r="D63" s="10">
        <f t="shared" si="1"/>
        <v>1045.9482692307693</v>
      </c>
      <c r="E63" s="20">
        <v>79.34</v>
      </c>
      <c r="F63" s="20">
        <v>81.7</v>
      </c>
      <c r="G63" s="20">
        <v>99.9</v>
      </c>
      <c r="H63" s="20">
        <v>109.76</v>
      </c>
      <c r="I63" s="20">
        <v>89.957335164835172</v>
      </c>
      <c r="J63" s="20">
        <v>90.36</v>
      </c>
      <c r="K63" s="20">
        <v>80.13</v>
      </c>
      <c r="L63" s="20">
        <v>83.9</v>
      </c>
      <c r="M63" s="20">
        <v>77.890934065934061</v>
      </c>
      <c r="N63" s="20">
        <v>82.02</v>
      </c>
      <c r="O63" s="20">
        <v>87.27</v>
      </c>
      <c r="P63" s="20">
        <v>83.72</v>
      </c>
    </row>
    <row r="64" spans="1:16" x14ac:dyDescent="0.35">
      <c r="A64" s="3" t="s">
        <v>107</v>
      </c>
      <c r="B64" s="24" t="s">
        <v>119</v>
      </c>
      <c r="C64" s="19" t="s">
        <v>227</v>
      </c>
      <c r="D64" s="10">
        <f t="shared" si="1"/>
        <v>417.19499999999999</v>
      </c>
      <c r="E64" s="20">
        <v>33.020000000000003</v>
      </c>
      <c r="F64" s="20">
        <v>32.295000000000002</v>
      </c>
      <c r="G64" s="20">
        <v>38.125</v>
      </c>
      <c r="H64" s="20">
        <v>41.24</v>
      </c>
      <c r="I64" s="20">
        <v>35.770000000000003</v>
      </c>
      <c r="J64" s="20">
        <v>35.984999999999999</v>
      </c>
      <c r="K64" s="20">
        <v>33.82</v>
      </c>
      <c r="L64" s="20">
        <v>33.104999999999997</v>
      </c>
      <c r="M64" s="20">
        <v>33.765000000000001</v>
      </c>
      <c r="N64" s="20">
        <v>33.07</v>
      </c>
      <c r="O64" s="20">
        <v>34.130000000000003</v>
      </c>
      <c r="P64" s="20">
        <v>32.869999999999997</v>
      </c>
    </row>
    <row r="65" spans="1:16" x14ac:dyDescent="0.35">
      <c r="A65" s="3" t="s">
        <v>107</v>
      </c>
      <c r="B65" s="24" t="s">
        <v>120</v>
      </c>
      <c r="C65" s="19" t="s">
        <v>227</v>
      </c>
      <c r="D65" s="10">
        <f t="shared" si="1"/>
        <v>1083.1151049382715</v>
      </c>
      <c r="E65" s="20">
        <v>89.195999999999998</v>
      </c>
      <c r="F65" s="20">
        <v>85.777000000000001</v>
      </c>
      <c r="G65" s="20">
        <v>95.754999999999995</v>
      </c>
      <c r="H65" s="20">
        <v>104.974</v>
      </c>
      <c r="I65" s="20">
        <v>90.242000000000004</v>
      </c>
      <c r="J65" s="20">
        <v>90.686000000000007</v>
      </c>
      <c r="K65" s="20">
        <v>87.980999999999995</v>
      </c>
      <c r="L65" s="20">
        <v>87.548000000000002</v>
      </c>
      <c r="M65" s="20">
        <v>88.655000000000001</v>
      </c>
      <c r="N65" s="20">
        <v>84.335104938271598</v>
      </c>
      <c r="O65" s="20">
        <v>91.581999999999994</v>
      </c>
      <c r="P65" s="20">
        <v>86.384</v>
      </c>
    </row>
    <row r="66" spans="1:16" x14ac:dyDescent="0.35">
      <c r="A66" s="3" t="s">
        <v>121</v>
      </c>
      <c r="B66" s="24" t="s">
        <v>122</v>
      </c>
      <c r="C66" s="19" t="s">
        <v>227</v>
      </c>
      <c r="D66" s="10">
        <f t="shared" si="1"/>
        <v>1086.3206845425868</v>
      </c>
      <c r="E66" s="20">
        <v>90.406999999999996</v>
      </c>
      <c r="F66" s="20">
        <v>96.206999999999994</v>
      </c>
      <c r="G66" s="20">
        <v>109.04600000000001</v>
      </c>
      <c r="H66" s="20">
        <v>123.387</v>
      </c>
      <c r="I66" s="20">
        <v>99.043000000000006</v>
      </c>
      <c r="J66" s="20">
        <v>106.602</v>
      </c>
      <c r="K66" s="20">
        <v>88.665999999999997</v>
      </c>
      <c r="L66" s="20">
        <v>75.039000000000001</v>
      </c>
      <c r="M66" s="20">
        <v>75.182000000000002</v>
      </c>
      <c r="N66" s="20">
        <v>69.778000000000006</v>
      </c>
      <c r="O66" s="20">
        <v>79.413059936908525</v>
      </c>
      <c r="P66" s="20">
        <v>73.550624605678237</v>
      </c>
    </row>
    <row r="67" spans="1:16" x14ac:dyDescent="0.35">
      <c r="A67" s="3" t="s">
        <v>121</v>
      </c>
      <c r="B67" s="24" t="s">
        <v>123</v>
      </c>
      <c r="C67" s="19" t="s">
        <v>227</v>
      </c>
      <c r="D67" s="10">
        <f t="shared" si="1"/>
        <v>219.06500000000005</v>
      </c>
      <c r="E67" s="20">
        <v>18.202999999999999</v>
      </c>
      <c r="F67" s="20">
        <v>16.763999999999999</v>
      </c>
      <c r="G67" s="20">
        <v>19.466999999999999</v>
      </c>
      <c r="H67" s="20">
        <v>23.114000000000001</v>
      </c>
      <c r="I67" s="20">
        <v>19.399000000000001</v>
      </c>
      <c r="J67" s="20">
        <v>19.106999999999999</v>
      </c>
      <c r="K67" s="20">
        <v>17.902000000000001</v>
      </c>
      <c r="L67" s="20">
        <v>17.530999999999999</v>
      </c>
      <c r="M67" s="20">
        <v>17.768999999999998</v>
      </c>
      <c r="N67" s="20">
        <v>16.547999999999998</v>
      </c>
      <c r="O67" s="20">
        <v>16.02</v>
      </c>
      <c r="P67" s="20">
        <v>17.241</v>
      </c>
    </row>
    <row r="68" spans="1:16" x14ac:dyDescent="0.35">
      <c r="A68" s="3" t="s">
        <v>121</v>
      </c>
      <c r="B68" s="24" t="s">
        <v>124</v>
      </c>
      <c r="C68" s="19" t="s">
        <v>227</v>
      </c>
      <c r="D68" s="10">
        <f t="shared" si="1"/>
        <v>233.97</v>
      </c>
      <c r="E68" s="20">
        <v>18.855</v>
      </c>
      <c r="F68" s="20">
        <v>18.2</v>
      </c>
      <c r="G68" s="20">
        <v>20.555</v>
      </c>
      <c r="H68" s="20">
        <v>22.664999999999999</v>
      </c>
      <c r="I68" s="20">
        <v>21.024999999999999</v>
      </c>
      <c r="J68" s="20">
        <v>21.074999999999999</v>
      </c>
      <c r="K68" s="20">
        <v>19.501000000000001</v>
      </c>
      <c r="L68" s="20">
        <v>18.648</v>
      </c>
      <c r="M68" s="20">
        <v>18.695</v>
      </c>
      <c r="N68" s="20">
        <v>18.62</v>
      </c>
      <c r="O68" s="20">
        <v>18.515999999999998</v>
      </c>
      <c r="P68" s="20">
        <v>17.614999999999998</v>
      </c>
    </row>
    <row r="69" spans="1:16" x14ac:dyDescent="0.35">
      <c r="A69" s="3" t="s">
        <v>121</v>
      </c>
      <c r="B69" s="24" t="s">
        <v>125</v>
      </c>
      <c r="C69" s="19" t="s">
        <v>227</v>
      </c>
      <c r="D69" s="10">
        <f t="shared" si="1"/>
        <v>550.20614782608698</v>
      </c>
      <c r="E69" s="20">
        <v>44.512</v>
      </c>
      <c r="F69" s="20">
        <v>42.960999999999999</v>
      </c>
      <c r="G69" s="20">
        <v>51.689</v>
      </c>
      <c r="H69" s="20">
        <v>54.981000000000002</v>
      </c>
      <c r="I69" s="20">
        <v>48.49</v>
      </c>
      <c r="J69" s="20">
        <v>49.436999999999998</v>
      </c>
      <c r="K69" s="20">
        <v>43.939</v>
      </c>
      <c r="L69" s="20">
        <v>43.423000000000002</v>
      </c>
      <c r="M69" s="20">
        <v>42.64</v>
      </c>
      <c r="N69" s="20">
        <v>43.381999999999998</v>
      </c>
      <c r="O69" s="20">
        <v>43.881</v>
      </c>
      <c r="P69" s="20">
        <v>40.871147826086954</v>
      </c>
    </row>
    <row r="70" spans="1:16" x14ac:dyDescent="0.35">
      <c r="A70" s="3" t="s">
        <v>121</v>
      </c>
      <c r="B70" s="24" t="s">
        <v>126</v>
      </c>
      <c r="C70" s="19" t="s">
        <v>227</v>
      </c>
      <c r="D70" s="10">
        <f t="shared" si="1"/>
        <v>617.93579661016952</v>
      </c>
      <c r="E70" s="20">
        <v>51.54</v>
      </c>
      <c r="F70" s="20">
        <v>48.841999999999999</v>
      </c>
      <c r="G70" s="20">
        <v>54.670999999999999</v>
      </c>
      <c r="H70" s="20">
        <v>67.028000000000006</v>
      </c>
      <c r="I70" s="20">
        <v>56.676000000000002</v>
      </c>
      <c r="J70" s="20">
        <v>52.615000000000002</v>
      </c>
      <c r="K70" s="20">
        <v>45.628</v>
      </c>
      <c r="L70" s="20">
        <v>47.668999999999997</v>
      </c>
      <c r="M70" s="20">
        <v>49.255000000000003</v>
      </c>
      <c r="N70" s="20">
        <v>45.701999999999998</v>
      </c>
      <c r="O70" s="20">
        <v>52.230237288135591</v>
      </c>
      <c r="P70" s="20">
        <v>46.079559322033894</v>
      </c>
    </row>
    <row r="71" spans="1:16" x14ac:dyDescent="0.35">
      <c r="A71" s="3" t="s">
        <v>121</v>
      </c>
      <c r="B71" s="24" t="s">
        <v>127</v>
      </c>
      <c r="C71" s="19" t="s">
        <v>227</v>
      </c>
      <c r="D71" s="10">
        <f t="shared" si="1"/>
        <v>422.36100000000005</v>
      </c>
      <c r="E71" s="20">
        <v>37.616999999999997</v>
      </c>
      <c r="F71" s="20">
        <v>35.564</v>
      </c>
      <c r="G71" s="20">
        <v>37.462000000000003</v>
      </c>
      <c r="H71" s="20">
        <v>43.316000000000003</v>
      </c>
      <c r="I71" s="20">
        <v>35.558</v>
      </c>
      <c r="J71" s="20">
        <v>34.24</v>
      </c>
      <c r="K71" s="20">
        <v>32.116999999999997</v>
      </c>
      <c r="L71" s="20">
        <v>32.521999999999998</v>
      </c>
      <c r="M71" s="20">
        <v>33.078000000000003</v>
      </c>
      <c r="N71" s="20">
        <v>33.103000000000002</v>
      </c>
      <c r="O71" s="20">
        <v>34.557000000000002</v>
      </c>
      <c r="P71" s="20">
        <v>33.226999999999997</v>
      </c>
    </row>
    <row r="72" spans="1:16" x14ac:dyDescent="0.35">
      <c r="A72" s="3" t="s">
        <v>121</v>
      </c>
      <c r="B72" s="24" t="s">
        <v>128</v>
      </c>
      <c r="C72" s="19" t="s">
        <v>227</v>
      </c>
      <c r="D72" s="10">
        <f t="shared" si="1"/>
        <v>270.79000000000008</v>
      </c>
      <c r="E72" s="20">
        <v>20.888999999999999</v>
      </c>
      <c r="F72" s="20">
        <v>20.684999999999999</v>
      </c>
      <c r="G72" s="20">
        <v>24.808</v>
      </c>
      <c r="H72" s="20">
        <v>27.013000000000002</v>
      </c>
      <c r="I72" s="20">
        <v>22.234000000000002</v>
      </c>
      <c r="J72" s="20">
        <v>25.222999999999999</v>
      </c>
      <c r="K72" s="20">
        <v>23.370999999999999</v>
      </c>
      <c r="L72" s="20">
        <v>23.366</v>
      </c>
      <c r="M72" s="20">
        <v>21.643000000000001</v>
      </c>
      <c r="N72" s="20">
        <v>19.645</v>
      </c>
      <c r="O72" s="20">
        <v>21.02</v>
      </c>
      <c r="P72" s="20">
        <v>20.893000000000001</v>
      </c>
    </row>
    <row r="73" spans="1:16" x14ac:dyDescent="0.35">
      <c r="A73" s="3" t="s">
        <v>121</v>
      </c>
      <c r="B73" s="24" t="s">
        <v>129</v>
      </c>
      <c r="C73" s="19" t="s">
        <v>227</v>
      </c>
      <c r="D73" s="10">
        <f t="shared" si="1"/>
        <v>417.10300000000001</v>
      </c>
      <c r="E73" s="20">
        <v>33.020000000000003</v>
      </c>
      <c r="F73" s="20">
        <v>30.725000000000001</v>
      </c>
      <c r="G73" s="20">
        <v>36.549999999999997</v>
      </c>
      <c r="H73" s="20">
        <v>38.96</v>
      </c>
      <c r="I73" s="20">
        <v>36.31</v>
      </c>
      <c r="J73" s="20">
        <v>36.399000000000001</v>
      </c>
      <c r="K73" s="20">
        <v>35.51</v>
      </c>
      <c r="L73" s="20">
        <v>34.933999999999997</v>
      </c>
      <c r="M73" s="20">
        <v>34.585000000000001</v>
      </c>
      <c r="N73" s="20">
        <v>34.369999999999997</v>
      </c>
      <c r="O73" s="20">
        <v>33.380000000000003</v>
      </c>
      <c r="P73" s="20">
        <v>32.36</v>
      </c>
    </row>
    <row r="74" spans="1:16" x14ac:dyDescent="0.35">
      <c r="A74" s="3" t="s">
        <v>121</v>
      </c>
      <c r="B74" s="24" t="s">
        <v>130</v>
      </c>
      <c r="C74" s="19" t="s">
        <v>227</v>
      </c>
      <c r="D74" s="10">
        <f t="shared" si="1"/>
        <v>894.86699999999996</v>
      </c>
      <c r="E74" s="20">
        <v>71.337000000000003</v>
      </c>
      <c r="F74" s="20">
        <v>71.879000000000005</v>
      </c>
      <c r="G74" s="20">
        <v>83.906000000000006</v>
      </c>
      <c r="H74" s="20">
        <v>95.379000000000005</v>
      </c>
      <c r="I74" s="20">
        <v>81.86</v>
      </c>
      <c r="J74" s="20">
        <v>78.265000000000001</v>
      </c>
      <c r="K74" s="20">
        <v>70.441000000000003</v>
      </c>
      <c r="L74" s="20">
        <v>70.388999999999996</v>
      </c>
      <c r="M74" s="20">
        <v>68.400000000000006</v>
      </c>
      <c r="N74" s="20">
        <v>67.486999999999995</v>
      </c>
      <c r="O74" s="20">
        <v>69.242000000000004</v>
      </c>
      <c r="P74" s="20">
        <v>66.281999999999996</v>
      </c>
    </row>
    <row r="75" spans="1:16" x14ac:dyDescent="0.35">
      <c r="A75" s="3" t="s">
        <v>121</v>
      </c>
      <c r="B75" s="24" t="s">
        <v>131</v>
      </c>
      <c r="C75" s="19" t="s">
        <v>227</v>
      </c>
      <c r="D75" s="10">
        <f t="shared" si="1"/>
        <v>1021.5565867507887</v>
      </c>
      <c r="E75" s="20">
        <v>79.426000000000002</v>
      </c>
      <c r="F75" s="20">
        <v>75.706999999999994</v>
      </c>
      <c r="G75" s="20">
        <v>96.751000000000005</v>
      </c>
      <c r="H75" s="20">
        <v>108.19799999999999</v>
      </c>
      <c r="I75" s="20">
        <v>88.402000000000001</v>
      </c>
      <c r="J75" s="20">
        <v>97.328000000000003</v>
      </c>
      <c r="K75" s="20">
        <v>76.58</v>
      </c>
      <c r="L75" s="20">
        <v>87.314999999999998</v>
      </c>
      <c r="M75" s="20">
        <v>80.542586750788644</v>
      </c>
      <c r="N75" s="20">
        <v>74.649000000000001</v>
      </c>
      <c r="O75" s="20">
        <v>77.033000000000001</v>
      </c>
      <c r="P75" s="20">
        <v>79.625</v>
      </c>
    </row>
    <row r="76" spans="1:16" x14ac:dyDescent="0.35">
      <c r="A76" s="3" t="s">
        <v>121</v>
      </c>
      <c r="B76" s="24" t="s">
        <v>132</v>
      </c>
      <c r="C76" s="19" t="s">
        <v>227</v>
      </c>
      <c r="D76" s="10">
        <f t="shared" ref="D76:D139" si="2">SUM(E76:P76)</f>
        <v>292.61549201277955</v>
      </c>
      <c r="E76" s="20">
        <v>24.81</v>
      </c>
      <c r="F76" s="20">
        <v>22.965</v>
      </c>
      <c r="G76" s="20">
        <v>26.43</v>
      </c>
      <c r="H76" s="20">
        <v>29.5</v>
      </c>
      <c r="I76" s="20">
        <v>26.875</v>
      </c>
      <c r="J76" s="20">
        <v>24.785182108626199</v>
      </c>
      <c r="K76" s="20">
        <v>23.36619808306709</v>
      </c>
      <c r="L76" s="20">
        <v>24.047412140575076</v>
      </c>
      <c r="M76" s="20">
        <v>22.26821086261981</v>
      </c>
      <c r="N76" s="20">
        <v>21.717731629392969</v>
      </c>
      <c r="O76" s="20">
        <v>24.182626198083067</v>
      </c>
      <c r="P76" s="20">
        <v>21.668130990415335</v>
      </c>
    </row>
    <row r="77" spans="1:16" x14ac:dyDescent="0.35">
      <c r="A77" s="3" t="s">
        <v>121</v>
      </c>
      <c r="B77" s="24" t="s">
        <v>133</v>
      </c>
      <c r="C77" s="19" t="s">
        <v>227</v>
      </c>
      <c r="D77" s="10">
        <f t="shared" si="2"/>
        <v>329.44000000000005</v>
      </c>
      <c r="E77" s="20">
        <v>22.146999999999998</v>
      </c>
      <c r="F77" s="20">
        <v>22.675000000000001</v>
      </c>
      <c r="G77" s="20">
        <v>25.573</v>
      </c>
      <c r="H77" s="20">
        <v>32.090000000000003</v>
      </c>
      <c r="I77" s="20">
        <v>30.004999999999999</v>
      </c>
      <c r="J77" s="20">
        <v>31.215</v>
      </c>
      <c r="K77" s="20">
        <v>31.145</v>
      </c>
      <c r="L77" s="20">
        <v>30.35</v>
      </c>
      <c r="M77" s="20">
        <v>29.93</v>
      </c>
      <c r="N77" s="20">
        <v>25.63</v>
      </c>
      <c r="O77" s="20">
        <v>24.48</v>
      </c>
      <c r="P77" s="20">
        <v>24.2</v>
      </c>
    </row>
    <row r="78" spans="1:16" x14ac:dyDescent="0.35">
      <c r="A78" s="3" t="s">
        <v>121</v>
      </c>
      <c r="B78" s="24" t="s">
        <v>234</v>
      </c>
      <c r="C78" s="19" t="s">
        <v>227</v>
      </c>
      <c r="D78" s="10">
        <f t="shared" si="2"/>
        <v>373.1851804123711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78.247685567010294</v>
      </c>
      <c r="N78" s="20">
        <v>97.691999999999993</v>
      </c>
      <c r="O78" s="20">
        <v>98.974000000000004</v>
      </c>
      <c r="P78" s="20">
        <v>98.27149484536082</v>
      </c>
    </row>
    <row r="79" spans="1:16" x14ac:dyDescent="0.35">
      <c r="A79" s="3" t="s">
        <v>121</v>
      </c>
      <c r="B79" s="24" t="s">
        <v>134</v>
      </c>
      <c r="C79" s="19" t="s">
        <v>227</v>
      </c>
      <c r="D79" s="10">
        <f t="shared" si="2"/>
        <v>214.34699999999998</v>
      </c>
      <c r="E79" s="20">
        <v>17.721</v>
      </c>
      <c r="F79" s="20">
        <v>17.113</v>
      </c>
      <c r="G79" s="20">
        <v>19.785</v>
      </c>
      <c r="H79" s="20">
        <v>20.827000000000002</v>
      </c>
      <c r="I79" s="20">
        <v>18.684000000000001</v>
      </c>
      <c r="J79" s="20">
        <v>19.556999999999999</v>
      </c>
      <c r="K79" s="20">
        <v>17.542000000000002</v>
      </c>
      <c r="L79" s="20">
        <v>17.611000000000001</v>
      </c>
      <c r="M79" s="20">
        <v>16.940999999999999</v>
      </c>
      <c r="N79" s="20">
        <v>15.94</v>
      </c>
      <c r="O79" s="20">
        <v>16.606999999999999</v>
      </c>
      <c r="P79" s="20">
        <v>16.018999999999998</v>
      </c>
    </row>
    <row r="80" spans="1:16" s="37" customFormat="1" hidden="1" x14ac:dyDescent="0.35">
      <c r="A80" s="27" t="s">
        <v>121</v>
      </c>
      <c r="B80" s="35" t="s">
        <v>240</v>
      </c>
      <c r="C80" s="26" t="s">
        <v>239</v>
      </c>
      <c r="D80" s="36"/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</row>
    <row r="81" spans="1:16" x14ac:dyDescent="0.35">
      <c r="A81" s="3" t="s">
        <v>135</v>
      </c>
      <c r="B81" s="24" t="s">
        <v>136</v>
      </c>
      <c r="C81" s="19" t="s">
        <v>227</v>
      </c>
      <c r="D81" s="10">
        <f t="shared" si="2"/>
        <v>779.11500000000001</v>
      </c>
      <c r="E81" s="20">
        <v>63.84</v>
      </c>
      <c r="F81" s="20">
        <v>59.92</v>
      </c>
      <c r="G81" s="20">
        <v>71.98</v>
      </c>
      <c r="H81" s="20">
        <v>70.63</v>
      </c>
      <c r="I81" s="20">
        <v>66.91</v>
      </c>
      <c r="J81" s="20">
        <v>66.91</v>
      </c>
      <c r="K81" s="20">
        <v>71.62</v>
      </c>
      <c r="L81" s="20">
        <v>65.064999999999998</v>
      </c>
      <c r="M81" s="20">
        <v>62.43</v>
      </c>
      <c r="N81" s="20">
        <v>63.51</v>
      </c>
      <c r="O81" s="20">
        <v>59.98</v>
      </c>
      <c r="P81" s="20">
        <v>56.32</v>
      </c>
    </row>
    <row r="82" spans="1:16" x14ac:dyDescent="0.35">
      <c r="A82" s="3" t="s">
        <v>135</v>
      </c>
      <c r="B82" s="24" t="s">
        <v>137</v>
      </c>
      <c r="C82" s="19" t="s">
        <v>227</v>
      </c>
      <c r="D82" s="10">
        <f t="shared" si="2"/>
        <v>228.18185185185183</v>
      </c>
      <c r="E82" s="20">
        <v>19.814</v>
      </c>
      <c r="F82" s="20">
        <v>17.486999999999998</v>
      </c>
      <c r="G82" s="20">
        <v>22.498999999999999</v>
      </c>
      <c r="H82" s="20">
        <v>25.841000000000001</v>
      </c>
      <c r="I82" s="20">
        <v>21.687999999999999</v>
      </c>
      <c r="J82" s="20">
        <v>22.363</v>
      </c>
      <c r="K82" s="20">
        <v>15.435</v>
      </c>
      <c r="L82" s="20">
        <v>15.366</v>
      </c>
      <c r="M82" s="20">
        <v>17.677</v>
      </c>
      <c r="N82" s="20">
        <v>15.726000000000001</v>
      </c>
      <c r="O82" s="20">
        <v>17.908555555555552</v>
      </c>
      <c r="P82" s="20">
        <v>16.377296296296294</v>
      </c>
    </row>
    <row r="83" spans="1:16" x14ac:dyDescent="0.35">
      <c r="A83" s="3" t="s">
        <v>135</v>
      </c>
      <c r="B83" s="24" t="s">
        <v>138</v>
      </c>
      <c r="C83" s="19" t="s">
        <v>227</v>
      </c>
      <c r="D83" s="10">
        <f t="shared" si="2"/>
        <v>1774.9392041420117</v>
      </c>
      <c r="E83" s="20">
        <v>142.375</v>
      </c>
      <c r="F83" s="20">
        <v>139.75</v>
      </c>
      <c r="G83" s="20">
        <v>168.02</v>
      </c>
      <c r="H83" s="20">
        <v>151.36000000000001</v>
      </c>
      <c r="I83" s="20">
        <v>151.36000000000001</v>
      </c>
      <c r="J83" s="20">
        <v>158.55000000000001</v>
      </c>
      <c r="K83" s="20">
        <v>143.48500000000001</v>
      </c>
      <c r="L83" s="20">
        <v>144.01499999999999</v>
      </c>
      <c r="M83" s="20">
        <v>145.42500000000001</v>
      </c>
      <c r="N83" s="20">
        <v>142.17706804733726</v>
      </c>
      <c r="O83" s="20">
        <v>155.11189053254438</v>
      </c>
      <c r="P83" s="20">
        <v>133.31024556213018</v>
      </c>
    </row>
    <row r="84" spans="1:16" x14ac:dyDescent="0.35">
      <c r="A84" s="3" t="s">
        <v>135</v>
      </c>
      <c r="B84" s="24" t="s">
        <v>139</v>
      </c>
      <c r="C84" s="19" t="s">
        <v>227</v>
      </c>
      <c r="D84" s="10">
        <f t="shared" si="2"/>
        <v>159.16</v>
      </c>
      <c r="E84" s="20">
        <v>12.68</v>
      </c>
      <c r="F84" s="20">
        <v>11.455</v>
      </c>
      <c r="G84" s="20">
        <v>13.976000000000001</v>
      </c>
      <c r="H84" s="20">
        <v>14.621</v>
      </c>
      <c r="I84" s="20">
        <v>13.509</v>
      </c>
      <c r="J84" s="20">
        <v>13.388</v>
      </c>
      <c r="K84" s="20">
        <v>15.135</v>
      </c>
      <c r="L84" s="20">
        <v>12.446999999999999</v>
      </c>
      <c r="M84" s="20">
        <v>12.121</v>
      </c>
      <c r="N84" s="20">
        <v>12.35</v>
      </c>
      <c r="O84" s="20">
        <v>13.14</v>
      </c>
      <c r="P84" s="20">
        <v>14.337999999999999</v>
      </c>
    </row>
    <row r="85" spans="1:16" x14ac:dyDescent="0.35">
      <c r="A85" s="3" t="s">
        <v>135</v>
      </c>
      <c r="B85" s="24" t="s">
        <v>140</v>
      </c>
      <c r="C85" s="19" t="s">
        <v>227</v>
      </c>
      <c r="D85" s="10">
        <f t="shared" si="2"/>
        <v>252.077</v>
      </c>
      <c r="E85" s="20">
        <v>21.997</v>
      </c>
      <c r="F85" s="20">
        <v>20.344999999999999</v>
      </c>
      <c r="G85" s="20">
        <v>23.529</v>
      </c>
      <c r="H85" s="20">
        <v>23.72</v>
      </c>
      <c r="I85" s="20">
        <v>19.137</v>
      </c>
      <c r="J85" s="20">
        <v>20.053999999999998</v>
      </c>
      <c r="K85" s="20">
        <v>20.376000000000001</v>
      </c>
      <c r="L85" s="20">
        <v>20.376000000000001</v>
      </c>
      <c r="M85" s="20">
        <v>18.526</v>
      </c>
      <c r="N85" s="20">
        <v>19.844000000000001</v>
      </c>
      <c r="O85" s="20">
        <v>21.074000000000002</v>
      </c>
      <c r="P85" s="20">
        <v>23.099</v>
      </c>
    </row>
    <row r="86" spans="1:16" x14ac:dyDescent="0.35">
      <c r="A86" s="3" t="s">
        <v>135</v>
      </c>
      <c r="B86" s="24" t="s">
        <v>141</v>
      </c>
      <c r="C86" s="19" t="s">
        <v>227</v>
      </c>
      <c r="D86" s="10">
        <f t="shared" si="2"/>
        <v>396.50194588593666</v>
      </c>
      <c r="E86" s="20">
        <v>35.128</v>
      </c>
      <c r="F86" s="20">
        <v>32.76</v>
      </c>
      <c r="G86" s="20">
        <v>32.223190115617143</v>
      </c>
      <c r="H86" s="20">
        <v>38.667828138740575</v>
      </c>
      <c r="I86" s="20">
        <v>36.924999999999997</v>
      </c>
      <c r="J86" s="20">
        <v>29.922927631578947</v>
      </c>
      <c r="K86" s="20">
        <v>33.725000000000001</v>
      </c>
      <c r="L86" s="20">
        <v>32.465000000000003</v>
      </c>
      <c r="M86" s="20">
        <v>30.64</v>
      </c>
      <c r="N86" s="20">
        <v>31.24</v>
      </c>
      <c r="O86" s="20">
        <v>31.045000000000002</v>
      </c>
      <c r="P86" s="20">
        <v>31.76</v>
      </c>
    </row>
    <row r="87" spans="1:16" x14ac:dyDescent="0.35">
      <c r="A87" s="3" t="s">
        <v>135</v>
      </c>
      <c r="B87" s="24" t="s">
        <v>142</v>
      </c>
      <c r="C87" s="19" t="s">
        <v>227</v>
      </c>
      <c r="D87" s="10">
        <f t="shared" si="2"/>
        <v>432.00299999999999</v>
      </c>
      <c r="E87" s="20">
        <v>32.807000000000002</v>
      </c>
      <c r="F87" s="20">
        <v>30.459</v>
      </c>
      <c r="G87" s="20">
        <v>35.97</v>
      </c>
      <c r="H87" s="20">
        <v>37.271000000000001</v>
      </c>
      <c r="I87" s="20">
        <v>34.438000000000002</v>
      </c>
      <c r="J87" s="20">
        <v>38.360999999999997</v>
      </c>
      <c r="K87" s="20">
        <v>36.811</v>
      </c>
      <c r="L87" s="20">
        <v>36.558</v>
      </c>
      <c r="M87" s="20">
        <v>35.567</v>
      </c>
      <c r="N87" s="20">
        <v>36.156999999999996</v>
      </c>
      <c r="O87" s="20">
        <v>37.085000000000001</v>
      </c>
      <c r="P87" s="20">
        <v>40.518999999999998</v>
      </c>
    </row>
    <row r="88" spans="1:16" x14ac:dyDescent="0.35">
      <c r="A88" s="3" t="s">
        <v>135</v>
      </c>
      <c r="B88" s="24" t="s">
        <v>143</v>
      </c>
      <c r="C88" s="19" t="s">
        <v>227</v>
      </c>
      <c r="D88" s="10">
        <f t="shared" si="2"/>
        <v>433.00099999999998</v>
      </c>
      <c r="E88" s="20">
        <v>38.155999999999999</v>
      </c>
      <c r="F88" s="20">
        <v>37.47</v>
      </c>
      <c r="G88" s="20">
        <v>40.1</v>
      </c>
      <c r="H88" s="20">
        <v>38.770000000000003</v>
      </c>
      <c r="I88" s="20">
        <v>35.75</v>
      </c>
      <c r="J88" s="20">
        <v>34.92</v>
      </c>
      <c r="K88" s="20">
        <v>35.265000000000001</v>
      </c>
      <c r="L88" s="20">
        <v>33.14</v>
      </c>
      <c r="M88" s="20">
        <v>34.229999999999997</v>
      </c>
      <c r="N88" s="20">
        <v>32.518000000000001</v>
      </c>
      <c r="O88" s="20">
        <v>35.902000000000001</v>
      </c>
      <c r="P88" s="20">
        <v>36.78</v>
      </c>
    </row>
    <row r="89" spans="1:16" x14ac:dyDescent="0.35">
      <c r="A89" s="3" t="s">
        <v>135</v>
      </c>
      <c r="B89" s="24" t="s">
        <v>144</v>
      </c>
      <c r="C89" s="19" t="s">
        <v>227</v>
      </c>
      <c r="D89" s="10">
        <f t="shared" si="2"/>
        <v>601.64399999999989</v>
      </c>
      <c r="E89" s="20">
        <v>45.319000000000003</v>
      </c>
      <c r="F89" s="20">
        <v>42.728999999999999</v>
      </c>
      <c r="G89" s="20">
        <v>52.253</v>
      </c>
      <c r="H89" s="20">
        <v>59.643000000000001</v>
      </c>
      <c r="I89" s="20">
        <v>50.951000000000001</v>
      </c>
      <c r="J89" s="20">
        <v>53.27</v>
      </c>
      <c r="K89" s="20">
        <v>51.494999999999997</v>
      </c>
      <c r="L89" s="20">
        <v>49.942</v>
      </c>
      <c r="M89" s="20">
        <v>49.904000000000003</v>
      </c>
      <c r="N89" s="20">
        <v>48.83</v>
      </c>
      <c r="O89" s="20">
        <v>49.792999999999999</v>
      </c>
      <c r="P89" s="20">
        <v>47.515000000000001</v>
      </c>
    </row>
    <row r="90" spans="1:16" x14ac:dyDescent="0.35">
      <c r="A90" s="3" t="s">
        <v>135</v>
      </c>
      <c r="B90" s="24" t="s">
        <v>145</v>
      </c>
      <c r="C90" s="19" t="s">
        <v>227</v>
      </c>
      <c r="D90" s="10">
        <f t="shared" si="2"/>
        <v>305.07799999999997</v>
      </c>
      <c r="E90" s="20">
        <v>25.27</v>
      </c>
      <c r="F90" s="20">
        <v>23.895</v>
      </c>
      <c r="G90" s="20">
        <v>30.44</v>
      </c>
      <c r="H90" s="20">
        <v>31.14</v>
      </c>
      <c r="I90" s="20">
        <v>27.05</v>
      </c>
      <c r="J90" s="20">
        <v>26.32</v>
      </c>
      <c r="K90" s="20">
        <v>25.385000000000002</v>
      </c>
      <c r="L90" s="20">
        <v>26.09</v>
      </c>
      <c r="M90" s="20">
        <v>23.57</v>
      </c>
      <c r="N90" s="20">
        <v>22.077999999999999</v>
      </c>
      <c r="O90" s="20">
        <v>21.81</v>
      </c>
      <c r="P90" s="20">
        <v>22.03</v>
      </c>
    </row>
    <row r="91" spans="1:16" x14ac:dyDescent="0.35">
      <c r="A91" s="3" t="s">
        <v>135</v>
      </c>
      <c r="B91" s="24" t="s">
        <v>146</v>
      </c>
      <c r="C91" s="19" t="s">
        <v>227</v>
      </c>
      <c r="D91" s="10">
        <f t="shared" si="2"/>
        <v>326.520375</v>
      </c>
      <c r="E91" s="20">
        <v>22.433</v>
      </c>
      <c r="F91" s="20">
        <v>22</v>
      </c>
      <c r="G91" s="20">
        <v>32.957000000000001</v>
      </c>
      <c r="H91" s="20">
        <v>37.667000000000002</v>
      </c>
      <c r="I91" s="20">
        <v>30.85</v>
      </c>
      <c r="J91" s="20">
        <v>27.817083333333336</v>
      </c>
      <c r="K91" s="20">
        <v>26.687916666666666</v>
      </c>
      <c r="L91" s="20">
        <v>26.745999999999999</v>
      </c>
      <c r="M91" s="20">
        <v>26.984000000000002</v>
      </c>
      <c r="N91" s="20">
        <v>25.428999999999998</v>
      </c>
      <c r="O91" s="20">
        <v>23.27</v>
      </c>
      <c r="P91" s="20">
        <v>23.679375</v>
      </c>
    </row>
    <row r="92" spans="1:16" x14ac:dyDescent="0.35">
      <c r="A92" s="3" t="s">
        <v>135</v>
      </c>
      <c r="B92" s="24" t="s">
        <v>147</v>
      </c>
      <c r="C92" s="19" t="s">
        <v>227</v>
      </c>
      <c r="D92" s="10">
        <f t="shared" si="2"/>
        <v>554.76900000000012</v>
      </c>
      <c r="E92" s="20">
        <v>47.32</v>
      </c>
      <c r="F92" s="20">
        <v>41.43</v>
      </c>
      <c r="G92" s="20">
        <v>46.505000000000003</v>
      </c>
      <c r="H92" s="20">
        <v>51.305</v>
      </c>
      <c r="I92" s="20">
        <v>47.725000000000001</v>
      </c>
      <c r="J92" s="20">
        <v>43.454999999999998</v>
      </c>
      <c r="K92" s="20">
        <v>48.167000000000002</v>
      </c>
      <c r="L92" s="20">
        <v>46.634999999999998</v>
      </c>
      <c r="M92" s="20">
        <v>43.59</v>
      </c>
      <c r="N92" s="20">
        <v>40.42</v>
      </c>
      <c r="O92" s="20">
        <v>48.744999999999997</v>
      </c>
      <c r="P92" s="20">
        <v>49.472000000000001</v>
      </c>
    </row>
    <row r="93" spans="1:16" x14ac:dyDescent="0.35">
      <c r="A93" s="3" t="s">
        <v>135</v>
      </c>
      <c r="B93" s="24" t="s">
        <v>148</v>
      </c>
      <c r="C93" s="19" t="s">
        <v>227</v>
      </c>
      <c r="D93" s="10">
        <f t="shared" si="2"/>
        <v>932.25357142857138</v>
      </c>
      <c r="E93" s="20">
        <v>73.254999999999995</v>
      </c>
      <c r="F93" s="20">
        <v>70.644999999999996</v>
      </c>
      <c r="G93" s="20">
        <v>82.924999999999997</v>
      </c>
      <c r="H93" s="20">
        <v>100.449</v>
      </c>
      <c r="I93" s="20">
        <v>81.805000000000007</v>
      </c>
      <c r="J93" s="20">
        <v>81.765000000000001</v>
      </c>
      <c r="K93" s="20">
        <v>77.88</v>
      </c>
      <c r="L93" s="20">
        <v>76.22</v>
      </c>
      <c r="M93" s="20">
        <v>73.144571428571439</v>
      </c>
      <c r="N93" s="20">
        <v>67.895141176470588</v>
      </c>
      <c r="O93" s="20">
        <v>78.672564705882351</v>
      </c>
      <c r="P93" s="20">
        <v>67.597294117647067</v>
      </c>
    </row>
    <row r="94" spans="1:16" x14ac:dyDescent="0.35">
      <c r="A94" s="3" t="s">
        <v>149</v>
      </c>
      <c r="B94" s="24" t="s">
        <v>150</v>
      </c>
      <c r="C94" s="19" t="s">
        <v>227</v>
      </c>
      <c r="D94" s="10">
        <f t="shared" si="2"/>
        <v>1400.623</v>
      </c>
      <c r="E94" s="20">
        <v>107.521</v>
      </c>
      <c r="F94" s="20">
        <v>111.94</v>
      </c>
      <c r="G94" s="20">
        <v>130.88300000000001</v>
      </c>
      <c r="H94" s="20">
        <v>143.56299999999999</v>
      </c>
      <c r="I94" s="20">
        <v>125.92400000000001</v>
      </c>
      <c r="J94" s="20">
        <v>126.387</v>
      </c>
      <c r="K94" s="20">
        <v>113.19199999999999</v>
      </c>
      <c r="L94" s="20">
        <v>112.711</v>
      </c>
      <c r="M94" s="20">
        <v>109.407</v>
      </c>
      <c r="N94" s="20">
        <v>101.583</v>
      </c>
      <c r="O94" s="20">
        <v>113.93300000000001</v>
      </c>
      <c r="P94" s="20">
        <v>103.57899999999999</v>
      </c>
    </row>
    <row r="95" spans="1:16" x14ac:dyDescent="0.35">
      <c r="A95" s="3" t="s">
        <v>149</v>
      </c>
      <c r="B95" s="24" t="s">
        <v>151</v>
      </c>
      <c r="C95" s="19" t="s">
        <v>227</v>
      </c>
      <c r="D95" s="10">
        <f t="shared" si="2"/>
        <v>707.07200000000012</v>
      </c>
      <c r="E95" s="20">
        <v>54.526000000000003</v>
      </c>
      <c r="F95" s="20">
        <v>51.631</v>
      </c>
      <c r="G95" s="20">
        <v>60.383000000000003</v>
      </c>
      <c r="H95" s="20">
        <v>62.607999999999997</v>
      </c>
      <c r="I95" s="20">
        <v>57.584000000000003</v>
      </c>
      <c r="J95" s="20">
        <v>54.24</v>
      </c>
      <c r="K95" s="20">
        <v>55.896000000000001</v>
      </c>
      <c r="L95" s="20">
        <v>56.164999999999999</v>
      </c>
      <c r="M95" s="20">
        <v>58.143999999999998</v>
      </c>
      <c r="N95" s="20">
        <v>61.89</v>
      </c>
      <c r="O95" s="20">
        <v>69.58</v>
      </c>
      <c r="P95" s="20">
        <v>64.424999999999997</v>
      </c>
    </row>
    <row r="96" spans="1:16" x14ac:dyDescent="0.35">
      <c r="A96" s="3" t="s">
        <v>149</v>
      </c>
      <c r="B96" s="24" t="s">
        <v>152</v>
      </c>
      <c r="C96" s="19" t="s">
        <v>227</v>
      </c>
      <c r="D96" s="10">
        <f t="shared" si="2"/>
        <v>2496.4894839228295</v>
      </c>
      <c r="E96" s="20">
        <v>203.05699999999999</v>
      </c>
      <c r="F96" s="20">
        <v>199.197</v>
      </c>
      <c r="G96" s="20">
        <v>234.09100000000001</v>
      </c>
      <c r="H96" s="20">
        <v>252.351</v>
      </c>
      <c r="I96" s="20">
        <v>216.404</v>
      </c>
      <c r="J96" s="20">
        <v>213.54499999999999</v>
      </c>
      <c r="K96" s="20">
        <v>192.80699999999999</v>
      </c>
      <c r="L96" s="20">
        <v>199.976</v>
      </c>
      <c r="M96" s="20">
        <v>195.12899999999999</v>
      </c>
      <c r="N96" s="20">
        <v>195.70599999999999</v>
      </c>
      <c r="O96" s="20">
        <v>205.47193408360133</v>
      </c>
      <c r="P96" s="20">
        <v>188.7545498392283</v>
      </c>
    </row>
    <row r="97" spans="1:16" x14ac:dyDescent="0.35">
      <c r="A97" s="3" t="s">
        <v>149</v>
      </c>
      <c r="B97" s="24" t="s">
        <v>153</v>
      </c>
      <c r="C97" s="19" t="s">
        <v>227</v>
      </c>
      <c r="D97" s="10">
        <f t="shared" si="2"/>
        <v>563.6350571128736</v>
      </c>
      <c r="E97" s="20">
        <v>33.47</v>
      </c>
      <c r="F97" s="20">
        <v>37.825000000000003</v>
      </c>
      <c r="G97" s="20">
        <v>49.755000000000003</v>
      </c>
      <c r="H97" s="20">
        <v>51.024999999999999</v>
      </c>
      <c r="I97" s="20">
        <v>50.674999999999997</v>
      </c>
      <c r="J97" s="20">
        <v>37.795000000000002</v>
      </c>
      <c r="K97" s="20">
        <v>44.005000000000003</v>
      </c>
      <c r="L97" s="20">
        <v>49.01</v>
      </c>
      <c r="M97" s="20">
        <v>41.793172690763051</v>
      </c>
      <c r="N97" s="20">
        <v>66.325000000000003</v>
      </c>
      <c r="O97" s="20">
        <v>51.18</v>
      </c>
      <c r="P97" s="20">
        <v>50.776884422110555</v>
      </c>
    </row>
    <row r="98" spans="1:16" x14ac:dyDescent="0.35">
      <c r="A98" s="3" t="s">
        <v>229</v>
      </c>
      <c r="B98" s="24" t="s">
        <v>235</v>
      </c>
      <c r="C98" s="19" t="s">
        <v>227</v>
      </c>
      <c r="D98" s="10">
        <f t="shared" si="2"/>
        <v>563.6350571128736</v>
      </c>
      <c r="E98" s="20">
        <v>33.47</v>
      </c>
      <c r="F98" s="20">
        <v>37.825000000000003</v>
      </c>
      <c r="G98" s="20">
        <v>49.755000000000003</v>
      </c>
      <c r="H98" s="20">
        <v>51.024999999999999</v>
      </c>
      <c r="I98" s="20">
        <v>50.674999999999997</v>
      </c>
      <c r="J98" s="20">
        <v>37.795000000000002</v>
      </c>
      <c r="K98" s="20">
        <v>44.005000000000003</v>
      </c>
      <c r="L98" s="20">
        <v>49.01</v>
      </c>
      <c r="M98" s="20">
        <v>41.793172690763051</v>
      </c>
      <c r="N98" s="20">
        <v>66.325000000000003</v>
      </c>
      <c r="O98" s="20">
        <v>51.18</v>
      </c>
      <c r="P98" s="20">
        <v>50.776884422110555</v>
      </c>
    </row>
    <row r="99" spans="1:16" x14ac:dyDescent="0.35">
      <c r="A99" s="3" t="s">
        <v>229</v>
      </c>
      <c r="B99" s="24" t="s">
        <v>31</v>
      </c>
      <c r="C99" s="19" t="s">
        <v>228</v>
      </c>
      <c r="D99" s="10">
        <f t="shared" si="2"/>
        <v>4.0169999999999995</v>
      </c>
      <c r="E99" s="20">
        <v>0.32200000000000001</v>
      </c>
      <c r="F99" s="20">
        <v>0.24299999999999999</v>
      </c>
      <c r="G99" s="20">
        <v>0.33400000000000002</v>
      </c>
      <c r="H99" s="20">
        <v>0.33800000000000002</v>
      </c>
      <c r="I99" s="20">
        <v>0.33900000000000002</v>
      </c>
      <c r="J99" s="20">
        <v>0.28899999999999998</v>
      </c>
      <c r="K99" s="20">
        <v>0.34699999999999998</v>
      </c>
      <c r="L99" s="20">
        <v>0.33200000000000002</v>
      </c>
      <c r="M99" s="20">
        <v>0.41199999999999998</v>
      </c>
      <c r="N99" s="20">
        <v>0.30099999999999999</v>
      </c>
      <c r="O99" s="20">
        <v>0.38300000000000001</v>
      </c>
      <c r="P99" s="20">
        <v>0.377</v>
      </c>
    </row>
    <row r="100" spans="1:16" x14ac:dyDescent="0.35">
      <c r="A100" s="3" t="s">
        <v>229</v>
      </c>
      <c r="B100" s="24" t="s">
        <v>32</v>
      </c>
      <c r="C100" s="19" t="s">
        <v>228</v>
      </c>
      <c r="D100" s="10">
        <f t="shared" si="2"/>
        <v>1.867</v>
      </c>
      <c r="E100" s="20">
        <v>0.13400000000000001</v>
      </c>
      <c r="F100" s="20">
        <v>0.16600000000000001</v>
      </c>
      <c r="G100" s="20">
        <v>0.108</v>
      </c>
      <c r="H100" s="20">
        <v>0.191</v>
      </c>
      <c r="I100" s="20">
        <v>0.218</v>
      </c>
      <c r="J100" s="20">
        <v>0.22</v>
      </c>
      <c r="K100" s="20">
        <v>0.12</v>
      </c>
      <c r="L100" s="20">
        <v>0.128</v>
      </c>
      <c r="M100" s="20">
        <v>9.9000000000000005E-2</v>
      </c>
      <c r="N100" s="20">
        <v>0.17599999999999999</v>
      </c>
      <c r="O100" s="20">
        <v>0.129</v>
      </c>
      <c r="P100" s="20">
        <v>0.17799999999999999</v>
      </c>
    </row>
    <row r="101" spans="1:16" x14ac:dyDescent="0.35">
      <c r="A101" s="3" t="s">
        <v>229</v>
      </c>
      <c r="B101" s="24" t="s">
        <v>33</v>
      </c>
      <c r="C101" s="19" t="s">
        <v>228</v>
      </c>
      <c r="D101" s="10">
        <f t="shared" si="2"/>
        <v>2.6930000000000005</v>
      </c>
      <c r="E101" s="20">
        <v>0.14099999999999999</v>
      </c>
      <c r="F101" s="20">
        <v>0.192</v>
      </c>
      <c r="G101" s="20">
        <v>0.247</v>
      </c>
      <c r="H101" s="20">
        <v>0.29899999999999999</v>
      </c>
      <c r="I101" s="20">
        <v>0.314</v>
      </c>
      <c r="J101" s="20">
        <v>0.20100000000000001</v>
      </c>
      <c r="K101" s="20">
        <v>0.25</v>
      </c>
      <c r="L101" s="20">
        <v>0.219</v>
      </c>
      <c r="M101" s="20">
        <v>0.27900000000000003</v>
      </c>
      <c r="N101" s="20">
        <v>0.221</v>
      </c>
      <c r="O101" s="20">
        <v>0.128</v>
      </c>
      <c r="P101" s="20">
        <v>0.20200000000000001</v>
      </c>
    </row>
    <row r="102" spans="1:16" x14ac:dyDescent="0.35">
      <c r="A102" s="3" t="s">
        <v>229</v>
      </c>
      <c r="B102" s="24" t="s">
        <v>34</v>
      </c>
      <c r="C102" s="19" t="s">
        <v>228</v>
      </c>
      <c r="D102" s="10">
        <f t="shared" si="2"/>
        <v>1.7359999999999998</v>
      </c>
      <c r="E102" s="20">
        <v>0.155</v>
      </c>
      <c r="F102" s="20">
        <v>2.8000000000000001E-2</v>
      </c>
      <c r="G102" s="20">
        <v>0.24199999999999999</v>
      </c>
      <c r="H102" s="20">
        <v>4.4999999999999998E-2</v>
      </c>
      <c r="I102" s="20">
        <v>0.217</v>
      </c>
      <c r="J102" s="20">
        <v>0.217</v>
      </c>
      <c r="K102" s="20">
        <v>7.3999999999999996E-2</v>
      </c>
      <c r="L102" s="20">
        <v>0.13900000000000001</v>
      </c>
      <c r="M102" s="20">
        <v>2.1999999999999999E-2</v>
      </c>
      <c r="N102" s="20">
        <v>0.33300000000000002</v>
      </c>
      <c r="O102" s="20">
        <v>1.7000000000000001E-2</v>
      </c>
      <c r="P102" s="20">
        <v>0.247</v>
      </c>
    </row>
    <row r="103" spans="1:16" x14ac:dyDescent="0.35">
      <c r="A103" s="3" t="s">
        <v>229</v>
      </c>
      <c r="B103" s="24" t="s">
        <v>35</v>
      </c>
      <c r="C103" s="19" t="s">
        <v>228</v>
      </c>
      <c r="D103" s="10">
        <f t="shared" si="2"/>
        <v>3.5250000000000004</v>
      </c>
      <c r="E103" s="20">
        <v>0.215</v>
      </c>
      <c r="F103" s="20">
        <v>0.27200000000000002</v>
      </c>
      <c r="G103" s="20">
        <v>0.311</v>
      </c>
      <c r="H103" s="20">
        <v>0.32200000000000001</v>
      </c>
      <c r="I103" s="20">
        <v>0.35899999999999999</v>
      </c>
      <c r="J103" s="20">
        <v>0.26900000000000002</v>
      </c>
      <c r="K103" s="20">
        <v>0.27500000000000002</v>
      </c>
      <c r="L103" s="20">
        <v>0.27700000000000002</v>
      </c>
      <c r="M103" s="20">
        <v>0.47699999999999998</v>
      </c>
      <c r="N103" s="20">
        <v>0.13</v>
      </c>
      <c r="O103" s="20">
        <v>0.309</v>
      </c>
      <c r="P103" s="20">
        <v>0.309</v>
      </c>
    </row>
    <row r="104" spans="1:16" x14ac:dyDescent="0.35">
      <c r="A104" s="3" t="s">
        <v>229</v>
      </c>
      <c r="B104" s="24" t="s">
        <v>36</v>
      </c>
      <c r="C104" s="19" t="s">
        <v>228</v>
      </c>
      <c r="D104" s="10">
        <f t="shared" si="2"/>
        <v>8.6230000000000011</v>
      </c>
      <c r="E104" s="20">
        <v>0.56100000000000005</v>
      </c>
      <c r="F104" s="20">
        <v>0.52700000000000002</v>
      </c>
      <c r="G104" s="20">
        <v>0.93600000000000005</v>
      </c>
      <c r="H104" s="20">
        <v>0.74</v>
      </c>
      <c r="I104" s="20">
        <v>0.59799999999999998</v>
      </c>
      <c r="J104" s="20">
        <v>0.68100000000000005</v>
      </c>
      <c r="K104" s="20">
        <v>0.81899999999999995</v>
      </c>
      <c r="L104" s="20">
        <v>0.9</v>
      </c>
      <c r="M104" s="20">
        <v>0.73699999999999999</v>
      </c>
      <c r="N104" s="20">
        <v>0.56000000000000005</v>
      </c>
      <c r="O104" s="20">
        <v>0.53700000000000003</v>
      </c>
      <c r="P104" s="20">
        <v>1.0269999999999999</v>
      </c>
    </row>
    <row r="105" spans="1:16" x14ac:dyDescent="0.35">
      <c r="A105" s="3" t="s">
        <v>229</v>
      </c>
      <c r="B105" s="24" t="s">
        <v>37</v>
      </c>
      <c r="C105" s="19" t="s">
        <v>228</v>
      </c>
      <c r="D105" s="10">
        <f t="shared" si="2"/>
        <v>0.94899999999999995</v>
      </c>
      <c r="E105" s="20">
        <v>2.3E-2</v>
      </c>
      <c r="F105" s="20">
        <v>5.0999999999999997E-2</v>
      </c>
      <c r="G105" s="20">
        <v>0.04</v>
      </c>
      <c r="H105" s="20">
        <v>0.1055</v>
      </c>
      <c r="I105" s="20">
        <v>9.5000000000000001E-2</v>
      </c>
      <c r="J105" s="20">
        <v>0.252</v>
      </c>
      <c r="K105" s="20">
        <v>7.4999999999999997E-3</v>
      </c>
      <c r="L105" s="20">
        <v>5.0500000000000003E-2</v>
      </c>
      <c r="M105" s="20">
        <v>0.10199999999999999</v>
      </c>
      <c r="N105" s="20">
        <v>9.7000000000000003E-2</v>
      </c>
      <c r="O105" s="20">
        <v>7.3499999999999996E-2</v>
      </c>
      <c r="P105" s="20">
        <v>5.1999999999999998E-2</v>
      </c>
    </row>
    <row r="106" spans="1:16" x14ac:dyDescent="0.35">
      <c r="A106" s="3" t="s">
        <v>229</v>
      </c>
      <c r="B106" s="24" t="s">
        <v>38</v>
      </c>
      <c r="C106" s="19" t="s">
        <v>228</v>
      </c>
      <c r="D106" s="10">
        <f t="shared" si="2"/>
        <v>1.7029999999999996</v>
      </c>
      <c r="E106" s="20">
        <v>0.115</v>
      </c>
      <c r="F106" s="20">
        <v>0.22900000000000001</v>
      </c>
      <c r="G106" s="20">
        <v>0.156</v>
      </c>
      <c r="H106" s="20">
        <v>7.8E-2</v>
      </c>
      <c r="I106" s="20">
        <v>0.187</v>
      </c>
      <c r="J106" s="20">
        <v>0.113</v>
      </c>
      <c r="K106" s="20">
        <v>0.157</v>
      </c>
      <c r="L106" s="20">
        <v>0.15</v>
      </c>
      <c r="M106" s="20">
        <v>0.128</v>
      </c>
      <c r="N106" s="20">
        <v>0.14799999999999999</v>
      </c>
      <c r="O106" s="20">
        <v>8.6999999999999994E-2</v>
      </c>
      <c r="P106" s="20">
        <v>0.155</v>
      </c>
    </row>
    <row r="107" spans="1:16" x14ac:dyDescent="0.35">
      <c r="A107" s="3" t="s">
        <v>229</v>
      </c>
      <c r="B107" s="24" t="s">
        <v>39</v>
      </c>
      <c r="C107" s="19" t="s">
        <v>228</v>
      </c>
      <c r="D107" s="10">
        <f t="shared" si="2"/>
        <v>14.620999999999999</v>
      </c>
      <c r="E107" s="20">
        <v>1.369</v>
      </c>
      <c r="F107" s="20">
        <v>1.0660000000000001</v>
      </c>
      <c r="G107" s="20">
        <v>1.6120000000000001</v>
      </c>
      <c r="H107" s="20">
        <v>1.3149999999999999</v>
      </c>
      <c r="I107" s="20">
        <v>1.131</v>
      </c>
      <c r="J107" s="20">
        <v>1.222</v>
      </c>
      <c r="K107" s="20">
        <v>1.304</v>
      </c>
      <c r="L107" s="20">
        <v>1.921</v>
      </c>
      <c r="M107" s="20">
        <v>1.03</v>
      </c>
      <c r="N107" s="20">
        <v>1.016</v>
      </c>
      <c r="O107" s="20">
        <v>0.999</v>
      </c>
      <c r="P107" s="20">
        <v>0.63600000000000001</v>
      </c>
    </row>
    <row r="108" spans="1:16" x14ac:dyDescent="0.35">
      <c r="A108" s="3" t="s">
        <v>229</v>
      </c>
      <c r="B108" s="24" t="s">
        <v>40</v>
      </c>
      <c r="C108" s="19" t="s">
        <v>228</v>
      </c>
      <c r="D108" s="10">
        <f t="shared" si="2"/>
        <v>4.4949999999999992</v>
      </c>
      <c r="E108" s="20">
        <v>0.34200000000000003</v>
      </c>
      <c r="F108" s="20">
        <v>0.26800000000000002</v>
      </c>
      <c r="G108" s="20">
        <v>0.374</v>
      </c>
      <c r="H108" s="20">
        <v>0.439</v>
      </c>
      <c r="I108" s="20">
        <v>0.36299999999999999</v>
      </c>
      <c r="J108" s="20">
        <v>0.49</v>
      </c>
      <c r="K108" s="20">
        <v>0.36</v>
      </c>
      <c r="L108" s="20">
        <v>0.45700000000000002</v>
      </c>
      <c r="M108" s="20">
        <v>0.37</v>
      </c>
      <c r="N108" s="20">
        <v>0.312</v>
      </c>
      <c r="O108" s="20">
        <v>0.36199999999999999</v>
      </c>
      <c r="P108" s="20">
        <v>0.35799999999999998</v>
      </c>
    </row>
    <row r="109" spans="1:16" x14ac:dyDescent="0.35">
      <c r="A109" s="3" t="s">
        <v>232</v>
      </c>
      <c r="B109" s="24" t="s">
        <v>41</v>
      </c>
      <c r="C109" s="19" t="s">
        <v>228</v>
      </c>
      <c r="D109" s="10">
        <f>SUM(E109:P109)</f>
        <v>3.2144999999999997</v>
      </c>
      <c r="E109" s="20">
        <v>8.1049999999999997E-2</v>
      </c>
      <c r="F109" s="20">
        <v>0.26045000000000001</v>
      </c>
      <c r="G109" s="20">
        <v>0.22</v>
      </c>
      <c r="H109" s="20">
        <v>0.45700000000000002</v>
      </c>
      <c r="I109" s="20">
        <v>0.29199999999999998</v>
      </c>
      <c r="J109" s="20">
        <v>0.158</v>
      </c>
      <c r="K109" s="20">
        <v>0.24</v>
      </c>
      <c r="L109" s="20">
        <v>0.32600000000000001</v>
      </c>
      <c r="M109" s="20">
        <v>0.44600000000000001</v>
      </c>
      <c r="N109" s="20">
        <v>0.28799999999999998</v>
      </c>
      <c r="O109" s="20">
        <v>0.158</v>
      </c>
      <c r="P109" s="20">
        <v>0.28799999999999998</v>
      </c>
    </row>
    <row r="110" spans="1:16" x14ac:dyDescent="0.35">
      <c r="A110" s="3" t="s">
        <v>232</v>
      </c>
      <c r="B110" s="24" t="s">
        <v>42</v>
      </c>
      <c r="C110" s="19" t="s">
        <v>228</v>
      </c>
      <c r="D110" s="10">
        <f t="shared" si="2"/>
        <v>2.1564099999999997</v>
      </c>
      <c r="E110" s="20">
        <v>0.15487000000000001</v>
      </c>
      <c r="F110" s="20">
        <v>0.18058000000000002</v>
      </c>
      <c r="G110" s="20">
        <v>0.19531999999999999</v>
      </c>
      <c r="H110" s="20">
        <v>0.18056999999999998</v>
      </c>
      <c r="I110" s="20">
        <v>0.18947</v>
      </c>
      <c r="J110" s="20">
        <v>0.23041</v>
      </c>
      <c r="K110" s="20">
        <v>0.14763999999999999</v>
      </c>
      <c r="L110" s="20">
        <v>0.17168</v>
      </c>
      <c r="M110" s="20">
        <v>0.14795</v>
      </c>
      <c r="N110" s="20">
        <v>0.21589</v>
      </c>
      <c r="O110" s="20">
        <v>0.1976</v>
      </c>
      <c r="P110" s="20">
        <v>0.14443</v>
      </c>
    </row>
    <row r="111" spans="1:16" x14ac:dyDescent="0.35">
      <c r="A111" s="3" t="s">
        <v>232</v>
      </c>
      <c r="B111" s="24" t="s">
        <v>43</v>
      </c>
      <c r="C111" s="19" t="s">
        <v>228</v>
      </c>
      <c r="D111" s="10">
        <f t="shared" si="2"/>
        <v>1.0234999999999999</v>
      </c>
      <c r="E111" s="20">
        <v>7.9000000000000001E-2</v>
      </c>
      <c r="F111" s="20">
        <v>4.8000000000000001E-2</v>
      </c>
      <c r="G111" s="20">
        <v>5.3999999999999999E-2</v>
      </c>
      <c r="H111" s="20">
        <v>0.14399999999999999</v>
      </c>
      <c r="I111" s="20">
        <v>7.3499999999999996E-2</v>
      </c>
      <c r="J111" s="20">
        <v>8.4000000000000005E-2</v>
      </c>
      <c r="K111" s="20">
        <v>4.7E-2</v>
      </c>
      <c r="L111" s="20">
        <v>0.14799999999999999</v>
      </c>
      <c r="M111" s="20">
        <v>7.4999999999999997E-2</v>
      </c>
      <c r="N111" s="20">
        <v>0.09</v>
      </c>
      <c r="O111" s="20">
        <v>7.4999999999999997E-2</v>
      </c>
      <c r="P111" s="20">
        <v>0.106</v>
      </c>
    </row>
    <row r="112" spans="1:16" x14ac:dyDescent="0.35">
      <c r="A112" s="3" t="s">
        <v>232</v>
      </c>
      <c r="B112" s="24" t="s">
        <v>44</v>
      </c>
      <c r="C112" s="19" t="s">
        <v>228</v>
      </c>
      <c r="D112" s="10">
        <f t="shared" si="2"/>
        <v>1.1679999999999999</v>
      </c>
      <c r="E112" s="20">
        <v>0.10199999999999999</v>
      </c>
      <c r="F112" s="20">
        <v>9.7000000000000003E-2</v>
      </c>
      <c r="G112" s="20">
        <v>6.9000000000000006E-2</v>
      </c>
      <c r="H112" s="20">
        <v>8.3000000000000004E-2</v>
      </c>
      <c r="I112" s="20">
        <v>0.11700000000000001</v>
      </c>
      <c r="J112" s="20">
        <v>7.9000000000000001E-2</v>
      </c>
      <c r="K112" s="20">
        <v>0.154</v>
      </c>
      <c r="L112" s="20">
        <v>6.6000000000000003E-2</v>
      </c>
      <c r="M112" s="20">
        <v>9.2999999999999999E-2</v>
      </c>
      <c r="N112" s="20">
        <v>0.10100000000000001</v>
      </c>
      <c r="O112" s="20">
        <v>0.124</v>
      </c>
      <c r="P112" s="20">
        <v>8.3000000000000004E-2</v>
      </c>
    </row>
    <row r="113" spans="1:16" x14ac:dyDescent="0.35">
      <c r="A113" s="3" t="s">
        <v>232</v>
      </c>
      <c r="B113" s="24" t="s">
        <v>45</v>
      </c>
      <c r="C113" s="19" t="s">
        <v>228</v>
      </c>
      <c r="D113" s="10">
        <f t="shared" si="2"/>
        <v>1.0965</v>
      </c>
      <c r="E113" s="20">
        <v>8.5099999999999995E-2</v>
      </c>
      <c r="F113" s="20">
        <v>7.0999999999999994E-2</v>
      </c>
      <c r="G113" s="20">
        <v>6.9900000000000004E-2</v>
      </c>
      <c r="H113" s="20">
        <v>0.128</v>
      </c>
      <c r="I113" s="20">
        <v>8.9499999999999996E-2</v>
      </c>
      <c r="J113" s="20">
        <v>0.104</v>
      </c>
      <c r="K113" s="20">
        <v>0.09</v>
      </c>
      <c r="L113" s="20">
        <v>8.3000000000000004E-2</v>
      </c>
      <c r="M113" s="20">
        <v>0.108</v>
      </c>
      <c r="N113" s="20">
        <v>9.2499999999999999E-2</v>
      </c>
      <c r="O113" s="20">
        <v>8.7499999999999994E-2</v>
      </c>
      <c r="P113" s="20">
        <v>8.7999999999999995E-2</v>
      </c>
    </row>
    <row r="114" spans="1:16" x14ac:dyDescent="0.35">
      <c r="A114" s="3" t="s">
        <v>232</v>
      </c>
      <c r="B114" s="24" t="s">
        <v>46</v>
      </c>
      <c r="C114" s="19" t="s">
        <v>228</v>
      </c>
      <c r="D114" s="10">
        <f t="shared" si="2"/>
        <v>2.3180000000000001</v>
      </c>
      <c r="E114" s="20">
        <v>0.1045</v>
      </c>
      <c r="F114" s="20">
        <v>0.24399999999999999</v>
      </c>
      <c r="G114" s="20">
        <v>0.114</v>
      </c>
      <c r="H114" s="20">
        <v>0.23749999999999999</v>
      </c>
      <c r="I114" s="20">
        <v>0.13100000000000001</v>
      </c>
      <c r="J114" s="20">
        <v>0.17599999999999999</v>
      </c>
      <c r="K114" s="20">
        <v>0.251</v>
      </c>
      <c r="L114" s="20">
        <v>0.22500000000000001</v>
      </c>
      <c r="M114" s="20">
        <v>0.318</v>
      </c>
      <c r="N114" s="20">
        <v>0.23400000000000001</v>
      </c>
      <c r="O114" s="20">
        <v>0.191</v>
      </c>
      <c r="P114" s="20">
        <v>9.1999999999999998E-2</v>
      </c>
    </row>
    <row r="115" spans="1:16" x14ac:dyDescent="0.35">
      <c r="A115" s="3" t="s">
        <v>232</v>
      </c>
      <c r="B115" s="24" t="s">
        <v>47</v>
      </c>
      <c r="C115" s="19" t="s">
        <v>228</v>
      </c>
      <c r="D115" s="10">
        <f t="shared" si="2"/>
        <v>2.919</v>
      </c>
      <c r="E115" s="20">
        <v>0.22</v>
      </c>
      <c r="F115" s="20">
        <v>0.13</v>
      </c>
      <c r="G115" s="20">
        <v>0.18099999999999999</v>
      </c>
      <c r="H115" s="20">
        <v>0.34599999999999997</v>
      </c>
      <c r="I115" s="20">
        <v>0.183</v>
      </c>
      <c r="J115" s="20">
        <v>0.224</v>
      </c>
      <c r="K115" s="20">
        <v>0.316</v>
      </c>
      <c r="L115" s="20">
        <v>0.23200000000000001</v>
      </c>
      <c r="M115" s="20">
        <v>0.36199999999999999</v>
      </c>
      <c r="N115" s="20">
        <v>0.153</v>
      </c>
      <c r="O115" s="20">
        <v>0.252</v>
      </c>
      <c r="P115" s="20">
        <v>0.32</v>
      </c>
    </row>
    <row r="116" spans="1:16" s="37" customFormat="1" hidden="1" x14ac:dyDescent="0.35">
      <c r="A116" s="27" t="s">
        <v>232</v>
      </c>
      <c r="B116" s="35" t="s">
        <v>48</v>
      </c>
      <c r="C116" s="26" t="s">
        <v>228</v>
      </c>
      <c r="D116" s="36" t="s">
        <v>241</v>
      </c>
      <c r="E116" s="20">
        <v>0.22500000000000001</v>
      </c>
      <c r="F116" s="20">
        <v>0.23</v>
      </c>
      <c r="G116" s="20">
        <v>0.26</v>
      </c>
      <c r="H116" s="20">
        <v>0.3</v>
      </c>
      <c r="I116" s="20">
        <v>0.26</v>
      </c>
      <c r="J116" s="20">
        <v>0.27500000000000002</v>
      </c>
      <c r="K116" s="20">
        <v>0.22500000000000001</v>
      </c>
      <c r="L116" s="20">
        <v>0.23499999999999999</v>
      </c>
      <c r="M116" s="20">
        <v>0.23499999999999999</v>
      </c>
      <c r="N116" s="20">
        <v>0.315</v>
      </c>
      <c r="O116" s="20">
        <v>0.20499999999999999</v>
      </c>
      <c r="P116" s="20">
        <v>0.30099999999999999</v>
      </c>
    </row>
    <row r="117" spans="1:16" x14ac:dyDescent="0.35">
      <c r="A117" s="3" t="s">
        <v>230</v>
      </c>
      <c r="B117" s="24" t="s">
        <v>49</v>
      </c>
      <c r="C117" s="19" t="s">
        <v>228</v>
      </c>
      <c r="D117" s="10">
        <f t="shared" si="2"/>
        <v>1.575</v>
      </c>
      <c r="E117" s="20">
        <v>0.155</v>
      </c>
      <c r="F117" s="20">
        <v>0.1</v>
      </c>
      <c r="G117" s="20">
        <v>0.128</v>
      </c>
      <c r="H117" s="20">
        <v>0.09</v>
      </c>
      <c r="I117" s="20">
        <v>0.155</v>
      </c>
      <c r="J117" s="20">
        <v>0.14499999999999999</v>
      </c>
      <c r="K117" s="20">
        <v>0.115</v>
      </c>
      <c r="L117" s="20">
        <v>0.152</v>
      </c>
      <c r="M117" s="20">
        <v>0.16500000000000001</v>
      </c>
      <c r="N117" s="20">
        <v>7.4999999999999997E-2</v>
      </c>
      <c r="O117" s="20">
        <v>0.125</v>
      </c>
      <c r="P117" s="20">
        <v>0.17</v>
      </c>
    </row>
    <row r="118" spans="1:16" x14ac:dyDescent="0.35">
      <c r="A118" s="3" t="s">
        <v>230</v>
      </c>
      <c r="B118" s="24" t="s">
        <v>50</v>
      </c>
      <c r="C118" s="19" t="s">
        <v>228</v>
      </c>
      <c r="D118" s="10">
        <f t="shared" si="2"/>
        <v>1.57</v>
      </c>
      <c r="E118" s="20">
        <v>0.126</v>
      </c>
      <c r="F118" s="20">
        <v>0.124</v>
      </c>
      <c r="G118" s="20">
        <v>0.129</v>
      </c>
      <c r="H118" s="20">
        <v>0.159</v>
      </c>
      <c r="I118" s="20">
        <v>0.19500000000000001</v>
      </c>
      <c r="J118" s="20">
        <v>8.8999999999999996E-2</v>
      </c>
      <c r="K118" s="20">
        <v>6.5000000000000002E-2</v>
      </c>
      <c r="L118" s="20">
        <v>7.6999999999999999E-2</v>
      </c>
      <c r="M118" s="20">
        <v>0.152</v>
      </c>
      <c r="N118" s="20">
        <v>0.19500000000000001</v>
      </c>
      <c r="O118" s="20">
        <v>0.104</v>
      </c>
      <c r="P118" s="20">
        <v>0.155</v>
      </c>
    </row>
    <row r="119" spans="1:16" x14ac:dyDescent="0.35">
      <c r="A119" s="3" t="s">
        <v>230</v>
      </c>
      <c r="B119" s="24" t="s">
        <v>51</v>
      </c>
      <c r="C119" s="19" t="s">
        <v>228</v>
      </c>
      <c r="D119" s="10">
        <f t="shared" si="2"/>
        <v>0.93200000000000005</v>
      </c>
      <c r="E119" s="20">
        <v>0.1065</v>
      </c>
      <c r="F119" s="20">
        <v>6.5000000000000002E-2</v>
      </c>
      <c r="G119" s="20">
        <v>6.9500000000000006E-2</v>
      </c>
      <c r="H119" s="20">
        <v>0.10349999999999999</v>
      </c>
      <c r="I119" s="20">
        <v>6.5000000000000002E-2</v>
      </c>
      <c r="J119" s="20">
        <v>7.0999999999999994E-2</v>
      </c>
      <c r="K119" s="20">
        <v>5.8999999999999997E-2</v>
      </c>
      <c r="L119" s="20">
        <v>5.5E-2</v>
      </c>
      <c r="M119" s="20">
        <v>0.14099999999999999</v>
      </c>
      <c r="N119" s="20">
        <v>7.5999999999999998E-2</v>
      </c>
      <c r="O119" s="20">
        <v>6.4500000000000002E-2</v>
      </c>
      <c r="P119" s="20">
        <v>5.6000000000000001E-2</v>
      </c>
    </row>
    <row r="120" spans="1:16" x14ac:dyDescent="0.35">
      <c r="A120" s="3" t="s">
        <v>230</v>
      </c>
      <c r="B120" s="24" t="s">
        <v>52</v>
      </c>
      <c r="C120" s="19" t="s">
        <v>228</v>
      </c>
      <c r="D120" s="10">
        <f t="shared" si="2"/>
        <v>1.9055</v>
      </c>
      <c r="E120" s="20">
        <v>6.0999999999999999E-2</v>
      </c>
      <c r="F120" s="20">
        <v>0.182</v>
      </c>
      <c r="G120" s="20">
        <v>0.188</v>
      </c>
      <c r="H120" s="20">
        <v>0.11375</v>
      </c>
      <c r="I120" s="20">
        <v>0.23599999999999999</v>
      </c>
      <c r="J120" s="20">
        <v>0.18325</v>
      </c>
      <c r="K120" s="20">
        <v>0.13900000000000001</v>
      </c>
      <c r="L120" s="20">
        <v>0.186</v>
      </c>
      <c r="M120" s="20">
        <v>8.3250000000000005E-2</v>
      </c>
      <c r="N120" s="20">
        <v>0.20824999999999999</v>
      </c>
      <c r="O120" s="20">
        <v>0.159</v>
      </c>
      <c r="P120" s="20">
        <v>0.16600000000000001</v>
      </c>
    </row>
    <row r="121" spans="1:16" s="37" customFormat="1" hidden="1" x14ac:dyDescent="0.35">
      <c r="A121" s="27" t="s">
        <v>230</v>
      </c>
      <c r="B121" s="35" t="s">
        <v>53</v>
      </c>
      <c r="C121" s="26" t="s">
        <v>228</v>
      </c>
      <c r="D121" s="36">
        <f t="shared" si="2"/>
        <v>6.6150000000000002</v>
      </c>
      <c r="E121" s="20">
        <v>0.48299999999999998</v>
      </c>
      <c r="F121" s="20">
        <v>0.71199999999999997</v>
      </c>
      <c r="G121" s="20">
        <v>0.42399999999999999</v>
      </c>
      <c r="H121" s="20">
        <v>0.56399999999999995</v>
      </c>
      <c r="I121" s="20">
        <v>0.63600000000000001</v>
      </c>
      <c r="J121" s="20">
        <v>0.626</v>
      </c>
      <c r="K121" s="20">
        <v>0.46300000000000002</v>
      </c>
      <c r="L121" s="20">
        <v>0.65400000000000003</v>
      </c>
      <c r="M121" s="20">
        <v>0.46500000000000002</v>
      </c>
      <c r="N121" s="20">
        <v>0.40699999999999997</v>
      </c>
      <c r="O121" s="20">
        <v>0.59399999999999997</v>
      </c>
      <c r="P121" s="20">
        <v>0.58699999999999997</v>
      </c>
    </row>
    <row r="122" spans="1:16" x14ac:dyDescent="0.35">
      <c r="A122" s="3" t="s">
        <v>230</v>
      </c>
      <c r="B122" s="24" t="s">
        <v>54</v>
      </c>
      <c r="C122" s="19" t="s">
        <v>228</v>
      </c>
      <c r="D122" s="10">
        <f t="shared" si="2"/>
        <v>1.3320000000000001</v>
      </c>
      <c r="E122" s="20">
        <v>0.14899999999999999</v>
      </c>
      <c r="F122" s="20">
        <v>8.7499999999999994E-2</v>
      </c>
      <c r="G122" s="20">
        <v>7.2999999999999995E-2</v>
      </c>
      <c r="H122" s="20">
        <v>0.14000000000000001</v>
      </c>
      <c r="I122" s="20">
        <v>9.4500000000000001E-2</v>
      </c>
      <c r="J122" s="20">
        <v>0.1125</v>
      </c>
      <c r="K122" s="20">
        <v>8.6999999999999994E-2</v>
      </c>
      <c r="L122" s="20">
        <v>0.09</v>
      </c>
      <c r="M122" s="20">
        <v>0.10050000000000001</v>
      </c>
      <c r="N122" s="20">
        <v>0.14099999999999999</v>
      </c>
      <c r="O122" s="20">
        <v>0.13450000000000001</v>
      </c>
      <c r="P122" s="20">
        <v>0.1225</v>
      </c>
    </row>
    <row r="123" spans="1:16" x14ac:dyDescent="0.35">
      <c r="A123" s="3" t="s">
        <v>230</v>
      </c>
      <c r="B123" s="24" t="s">
        <v>55</v>
      </c>
      <c r="C123" s="19" t="s">
        <v>228</v>
      </c>
      <c r="D123" s="10">
        <f t="shared" si="2"/>
        <v>0.503</v>
      </c>
      <c r="E123" s="20">
        <v>0.04</v>
      </c>
      <c r="F123" s="20">
        <v>3.5000000000000003E-2</v>
      </c>
      <c r="G123" s="20">
        <v>4.4999999999999998E-2</v>
      </c>
      <c r="H123" s="20">
        <v>4.1000000000000002E-2</v>
      </c>
      <c r="I123" s="20">
        <v>5.6000000000000001E-2</v>
      </c>
      <c r="J123" s="20">
        <v>4.2000000000000003E-2</v>
      </c>
      <c r="K123" s="20">
        <v>2.1999999999999999E-2</v>
      </c>
      <c r="L123" s="20">
        <v>5.0999999999999997E-2</v>
      </c>
      <c r="M123" s="20">
        <v>2.1000000000000001E-2</v>
      </c>
      <c r="N123" s="20">
        <v>4.2999999999999997E-2</v>
      </c>
      <c r="O123" s="20">
        <v>6.0999999999999999E-2</v>
      </c>
      <c r="P123" s="20">
        <v>4.5999999999999999E-2</v>
      </c>
    </row>
    <row r="124" spans="1:16" x14ac:dyDescent="0.35">
      <c r="A124" s="3" t="s">
        <v>230</v>
      </c>
      <c r="B124" s="24" t="s">
        <v>56</v>
      </c>
      <c r="C124" s="19" t="s">
        <v>228</v>
      </c>
      <c r="D124" s="10">
        <f t="shared" si="2"/>
        <v>0.98100000000000009</v>
      </c>
      <c r="E124" s="20">
        <v>0.17299999999999999</v>
      </c>
      <c r="F124" s="20">
        <v>0.03</v>
      </c>
      <c r="G124" s="20">
        <v>0.17499999999999999</v>
      </c>
      <c r="H124" s="20">
        <v>0.10299999999999999</v>
      </c>
      <c r="I124" s="20">
        <v>0.03</v>
      </c>
      <c r="J124" s="20">
        <v>0.105</v>
      </c>
      <c r="K124" s="20">
        <v>0.04</v>
      </c>
      <c r="L124" s="20">
        <v>0.08</v>
      </c>
      <c r="M124" s="20">
        <v>0.04</v>
      </c>
      <c r="N124" s="20">
        <v>9.5000000000000001E-2</v>
      </c>
      <c r="O124" s="20">
        <v>4.4999999999999998E-2</v>
      </c>
      <c r="P124" s="20">
        <v>6.5000000000000002E-2</v>
      </c>
    </row>
    <row r="125" spans="1:16" x14ac:dyDescent="0.35">
      <c r="A125" s="3" t="s">
        <v>230</v>
      </c>
      <c r="B125" s="24" t="s">
        <v>57</v>
      </c>
      <c r="C125" s="19" t="s">
        <v>228</v>
      </c>
      <c r="D125" s="10">
        <f t="shared" si="2"/>
        <v>1.7399999999999998</v>
      </c>
      <c r="E125" s="20">
        <v>8.5999999999999993E-2</v>
      </c>
      <c r="F125" s="20">
        <v>0.17100000000000001</v>
      </c>
      <c r="G125" s="20">
        <v>8.8999999999999996E-2</v>
      </c>
      <c r="H125" s="20">
        <v>0.13400000000000001</v>
      </c>
      <c r="I125" s="20">
        <v>0.19400000000000001</v>
      </c>
      <c r="J125" s="20">
        <v>0.125</v>
      </c>
      <c r="K125" s="20">
        <v>0.127</v>
      </c>
      <c r="L125" s="20">
        <v>0.23400000000000001</v>
      </c>
      <c r="M125" s="20">
        <v>0.17199999999999999</v>
      </c>
      <c r="N125" s="20">
        <v>0.13</v>
      </c>
      <c r="O125" s="20">
        <v>0.124</v>
      </c>
      <c r="P125" s="20">
        <v>0.154</v>
      </c>
    </row>
    <row r="126" spans="1:16" s="37" customFormat="1" hidden="1" x14ac:dyDescent="0.35">
      <c r="A126" s="27" t="s">
        <v>230</v>
      </c>
      <c r="B126" s="35" t="s">
        <v>236</v>
      </c>
      <c r="C126" s="26" t="s">
        <v>238</v>
      </c>
      <c r="D126" s="36"/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</row>
    <row r="127" spans="1:16" x14ac:dyDescent="0.35">
      <c r="A127" s="3" t="s">
        <v>231</v>
      </c>
      <c r="B127" s="24" t="s">
        <v>58</v>
      </c>
      <c r="C127" s="19" t="s">
        <v>228</v>
      </c>
      <c r="D127" s="10">
        <f t="shared" si="2"/>
        <v>1.3775000000000002</v>
      </c>
      <c r="E127" s="20">
        <v>0.08</v>
      </c>
      <c r="F127" s="20">
        <v>0.12</v>
      </c>
      <c r="G127" s="20">
        <v>0.121</v>
      </c>
      <c r="H127" s="20">
        <v>0.14649999999999999</v>
      </c>
      <c r="I127" s="20">
        <v>0.1215</v>
      </c>
      <c r="J127" s="20">
        <v>0.13950000000000001</v>
      </c>
      <c r="K127" s="20">
        <v>0.123</v>
      </c>
      <c r="L127" s="20">
        <v>0.11650000000000001</v>
      </c>
      <c r="M127" s="20">
        <v>8.0500000000000002E-2</v>
      </c>
      <c r="N127" s="20">
        <v>0.123</v>
      </c>
      <c r="O127" s="20">
        <v>0.12</v>
      </c>
      <c r="P127" s="20">
        <v>8.5999999999999993E-2</v>
      </c>
    </row>
    <row r="128" spans="1:16" x14ac:dyDescent="0.35">
      <c r="A128" s="3" t="s">
        <v>231</v>
      </c>
      <c r="B128" s="24" t="s">
        <v>59</v>
      </c>
      <c r="C128" s="19" t="s">
        <v>228</v>
      </c>
      <c r="D128" s="10">
        <f t="shared" si="2"/>
        <v>1.2270000000000001</v>
      </c>
      <c r="E128" s="20">
        <v>8.8499999999999995E-2</v>
      </c>
      <c r="F128" s="20">
        <v>7.2999999999999995E-2</v>
      </c>
      <c r="G128" s="20">
        <v>0.155</v>
      </c>
      <c r="H128" s="20">
        <v>9.0999999999999998E-2</v>
      </c>
      <c r="I128" s="20">
        <v>0.123</v>
      </c>
      <c r="J128" s="20">
        <v>0.10150000000000001</v>
      </c>
      <c r="K128" s="20">
        <v>9.1999999999999998E-2</v>
      </c>
      <c r="L128" s="20">
        <v>9.7500000000000003E-2</v>
      </c>
      <c r="M128" s="20">
        <v>0.126</v>
      </c>
      <c r="N128" s="20">
        <v>8.9499999999999996E-2</v>
      </c>
      <c r="O128" s="20">
        <v>0.124</v>
      </c>
      <c r="P128" s="20">
        <v>6.6000000000000003E-2</v>
      </c>
    </row>
    <row r="129" spans="1:16" x14ac:dyDescent="0.35">
      <c r="A129" s="3" t="s">
        <v>231</v>
      </c>
      <c r="B129" s="24" t="s">
        <v>60</v>
      </c>
      <c r="C129" s="19" t="s">
        <v>228</v>
      </c>
      <c r="D129" s="10">
        <f t="shared" si="2"/>
        <v>1.0720000000000001</v>
      </c>
      <c r="E129" s="20">
        <v>9.8000000000000004E-2</v>
      </c>
      <c r="F129" s="20">
        <v>7.0000000000000007E-2</v>
      </c>
      <c r="G129" s="20">
        <v>0.14000000000000001</v>
      </c>
      <c r="H129" s="20">
        <v>5.6000000000000001E-2</v>
      </c>
      <c r="I129" s="20">
        <v>0.13</v>
      </c>
      <c r="J129" s="20">
        <v>8.7999999999999995E-2</v>
      </c>
      <c r="K129" s="20">
        <v>8.1000000000000003E-2</v>
      </c>
      <c r="L129" s="20">
        <v>5.6000000000000001E-2</v>
      </c>
      <c r="M129" s="20">
        <v>0.13200000000000001</v>
      </c>
      <c r="N129" s="20">
        <v>6.4000000000000001E-2</v>
      </c>
      <c r="O129" s="20">
        <v>9.4E-2</v>
      </c>
      <c r="P129" s="20">
        <v>6.3E-2</v>
      </c>
    </row>
    <row r="130" spans="1:16" x14ac:dyDescent="0.35">
      <c r="A130" s="3" t="s">
        <v>231</v>
      </c>
      <c r="B130" s="24" t="s">
        <v>61</v>
      </c>
      <c r="C130" s="19" t="s">
        <v>228</v>
      </c>
      <c r="D130" s="10">
        <f t="shared" si="2"/>
        <v>2.0469999999999997</v>
      </c>
      <c r="E130" s="20">
        <v>0.16500000000000001</v>
      </c>
      <c r="F130" s="20">
        <v>0.193</v>
      </c>
      <c r="G130" s="20">
        <v>0.193</v>
      </c>
      <c r="H130" s="20">
        <v>0.15</v>
      </c>
      <c r="I130" s="20">
        <v>0.16900000000000001</v>
      </c>
      <c r="J130" s="20">
        <v>0.16500000000000001</v>
      </c>
      <c r="K130" s="20">
        <v>0.16400000000000001</v>
      </c>
      <c r="L130" s="20">
        <v>0.152</v>
      </c>
      <c r="M130" s="20">
        <v>0.122</v>
      </c>
      <c r="N130" s="20">
        <v>0.2</v>
      </c>
      <c r="O130" s="20">
        <v>0.127</v>
      </c>
      <c r="P130" s="20">
        <v>0.247</v>
      </c>
    </row>
    <row r="131" spans="1:16" x14ac:dyDescent="0.35">
      <c r="A131" s="3" t="s">
        <v>231</v>
      </c>
      <c r="B131" s="24" t="s">
        <v>62</v>
      </c>
      <c r="C131" s="19" t="s">
        <v>228</v>
      </c>
      <c r="D131" s="10">
        <f t="shared" si="2"/>
        <v>0.33900000000000008</v>
      </c>
      <c r="E131" s="20">
        <v>2.3E-2</v>
      </c>
      <c r="F131" s="20">
        <v>2.4E-2</v>
      </c>
      <c r="G131" s="20">
        <v>2.4E-2</v>
      </c>
      <c r="H131" s="20">
        <v>2.1999999999999999E-2</v>
      </c>
      <c r="I131" s="20">
        <v>4.2000000000000003E-2</v>
      </c>
      <c r="J131" s="20">
        <v>4.2000000000000003E-2</v>
      </c>
      <c r="K131" s="20">
        <v>2.3E-2</v>
      </c>
      <c r="L131" s="20">
        <v>2.4E-2</v>
      </c>
      <c r="M131" s="20">
        <v>2.4E-2</v>
      </c>
      <c r="N131" s="20">
        <v>3.4000000000000002E-2</v>
      </c>
      <c r="O131" s="20">
        <v>3.1E-2</v>
      </c>
      <c r="P131" s="20">
        <v>2.5999999999999999E-2</v>
      </c>
    </row>
    <row r="132" spans="1:16" x14ac:dyDescent="0.35">
      <c r="A132" s="3" t="s">
        <v>154</v>
      </c>
      <c r="B132" s="24" t="s">
        <v>155</v>
      </c>
      <c r="C132" s="19" t="s">
        <v>227</v>
      </c>
      <c r="D132" s="10">
        <f t="shared" si="2"/>
        <v>186.96200000000002</v>
      </c>
      <c r="E132" s="20">
        <v>14.382</v>
      </c>
      <c r="F132" s="20">
        <v>13.791</v>
      </c>
      <c r="G132" s="20">
        <v>15.89</v>
      </c>
      <c r="H132" s="20">
        <v>18.306000000000001</v>
      </c>
      <c r="I132" s="20">
        <v>16.995999999999999</v>
      </c>
      <c r="J132" s="20">
        <v>16.759</v>
      </c>
      <c r="K132" s="20">
        <v>15.877000000000001</v>
      </c>
      <c r="L132" s="20">
        <v>15.643000000000001</v>
      </c>
      <c r="M132" s="20">
        <v>14.868</v>
      </c>
      <c r="N132" s="20">
        <v>15.127000000000001</v>
      </c>
      <c r="O132" s="20">
        <v>14.506</v>
      </c>
      <c r="P132" s="20">
        <v>14.817</v>
      </c>
    </row>
    <row r="133" spans="1:16" x14ac:dyDescent="0.35">
      <c r="A133" s="3" t="s">
        <v>154</v>
      </c>
      <c r="B133" s="24" t="s">
        <v>156</v>
      </c>
      <c r="C133" s="19" t="s">
        <v>227</v>
      </c>
      <c r="D133" s="10">
        <f t="shared" si="2"/>
        <v>195.60600000000002</v>
      </c>
      <c r="E133" s="20">
        <v>14.943</v>
      </c>
      <c r="F133" s="20">
        <v>14.968999999999999</v>
      </c>
      <c r="G133" s="20">
        <v>18.271000000000001</v>
      </c>
      <c r="H133" s="20">
        <v>19.007999999999999</v>
      </c>
      <c r="I133" s="20">
        <v>16.766999999999999</v>
      </c>
      <c r="J133" s="20">
        <v>17.026</v>
      </c>
      <c r="K133" s="20">
        <v>15.622999999999999</v>
      </c>
      <c r="L133" s="20">
        <v>15.605</v>
      </c>
      <c r="M133" s="20">
        <v>15.521000000000001</v>
      </c>
      <c r="N133" s="20">
        <v>16.329000000000001</v>
      </c>
      <c r="O133" s="20">
        <v>16.125</v>
      </c>
      <c r="P133" s="20">
        <v>15.419</v>
      </c>
    </row>
    <row r="134" spans="1:16" x14ac:dyDescent="0.35">
      <c r="A134" s="3" t="s">
        <v>154</v>
      </c>
      <c r="B134" s="24" t="s">
        <v>157</v>
      </c>
      <c r="C134" s="19" t="s">
        <v>227</v>
      </c>
      <c r="D134" s="10">
        <f t="shared" si="2"/>
        <v>922.42400000000009</v>
      </c>
      <c r="E134" s="20">
        <v>71.494</v>
      </c>
      <c r="F134" s="20">
        <v>75.599000000000004</v>
      </c>
      <c r="G134" s="20">
        <v>84.081999999999994</v>
      </c>
      <c r="H134" s="20">
        <v>93.802000000000007</v>
      </c>
      <c r="I134" s="20">
        <v>87.295000000000002</v>
      </c>
      <c r="J134" s="20">
        <v>80.882000000000005</v>
      </c>
      <c r="K134" s="20">
        <v>72.48</v>
      </c>
      <c r="L134" s="20">
        <v>74.593999999999994</v>
      </c>
      <c r="M134" s="20">
        <v>73.263999999999996</v>
      </c>
      <c r="N134" s="20">
        <v>71.158000000000001</v>
      </c>
      <c r="O134" s="20">
        <v>68.62</v>
      </c>
      <c r="P134" s="20">
        <v>69.153999999999996</v>
      </c>
    </row>
    <row r="135" spans="1:16" x14ac:dyDescent="0.35">
      <c r="A135" s="3" t="s">
        <v>154</v>
      </c>
      <c r="B135" s="24" t="s">
        <v>237</v>
      </c>
      <c r="C135" s="19" t="s">
        <v>227</v>
      </c>
      <c r="D135" s="10">
        <f t="shared" si="2"/>
        <v>508.75364705882356</v>
      </c>
      <c r="E135" s="20">
        <v>38.576000000000001</v>
      </c>
      <c r="F135" s="20">
        <v>38.241</v>
      </c>
      <c r="G135" s="20">
        <v>44.412999999999997</v>
      </c>
      <c r="H135" s="20">
        <v>50.738</v>
      </c>
      <c r="I135" s="20">
        <v>45.375999999999998</v>
      </c>
      <c r="J135" s="20">
        <v>43.506999999999998</v>
      </c>
      <c r="K135" s="20">
        <v>38.783999999999999</v>
      </c>
      <c r="L135" s="20">
        <v>43.942647058823532</v>
      </c>
      <c r="M135" s="20">
        <v>43.374000000000002</v>
      </c>
      <c r="N135" s="20">
        <v>41.174999999999997</v>
      </c>
      <c r="O135" s="20">
        <v>39.478000000000002</v>
      </c>
      <c r="P135" s="20">
        <v>41.149000000000001</v>
      </c>
    </row>
    <row r="136" spans="1:16" x14ac:dyDescent="0.35">
      <c r="A136" s="3" t="s">
        <v>154</v>
      </c>
      <c r="B136" s="24" t="s">
        <v>158</v>
      </c>
      <c r="C136" s="19" t="s">
        <v>227</v>
      </c>
      <c r="D136" s="10">
        <f t="shared" si="2"/>
        <v>694.45500000000004</v>
      </c>
      <c r="E136" s="20">
        <v>52.250999999999998</v>
      </c>
      <c r="F136" s="20">
        <v>53.122999999999998</v>
      </c>
      <c r="G136" s="20">
        <v>61.957000000000001</v>
      </c>
      <c r="H136" s="20">
        <v>69.399000000000001</v>
      </c>
      <c r="I136" s="20">
        <v>62.676000000000002</v>
      </c>
      <c r="J136" s="20">
        <v>63.936999999999998</v>
      </c>
      <c r="K136" s="20">
        <v>52.527000000000001</v>
      </c>
      <c r="L136" s="20">
        <v>56.88</v>
      </c>
      <c r="M136" s="20">
        <v>57.216000000000001</v>
      </c>
      <c r="N136" s="20">
        <v>55.36</v>
      </c>
      <c r="O136" s="20">
        <v>54.387999999999998</v>
      </c>
      <c r="P136" s="20">
        <v>54.741</v>
      </c>
    </row>
    <row r="137" spans="1:16" x14ac:dyDescent="0.35">
      <c r="A137" s="3" t="s">
        <v>154</v>
      </c>
      <c r="B137" s="24" t="s">
        <v>159</v>
      </c>
      <c r="C137" s="19" t="s">
        <v>227</v>
      </c>
      <c r="D137" s="10">
        <f t="shared" si="2"/>
        <v>170.7605615123687</v>
      </c>
      <c r="E137" s="20">
        <v>13.603999999999999</v>
      </c>
      <c r="F137" s="20">
        <v>14.512</v>
      </c>
      <c r="G137" s="20">
        <v>16.331</v>
      </c>
      <c r="H137" s="20">
        <v>16.065999999999999</v>
      </c>
      <c r="I137" s="20">
        <v>13.723000000000001</v>
      </c>
      <c r="J137" s="20">
        <v>15.708544303797501</v>
      </c>
      <c r="K137" s="20">
        <v>13.677848101265823</v>
      </c>
      <c r="L137" s="20">
        <v>15.153481012658228</v>
      </c>
      <c r="M137" s="20">
        <v>12.233544303797467</v>
      </c>
      <c r="N137" s="20">
        <v>12.851000000000001</v>
      </c>
      <c r="O137" s="20">
        <v>14.700254901960783</v>
      </c>
      <c r="P137" s="20">
        <v>12.199888888888887</v>
      </c>
    </row>
    <row r="138" spans="1:16" x14ac:dyDescent="0.35">
      <c r="A138" s="3" t="s">
        <v>154</v>
      </c>
      <c r="B138" s="24" t="s">
        <v>160</v>
      </c>
      <c r="C138" s="19" t="s">
        <v>227</v>
      </c>
      <c r="D138" s="10">
        <f t="shared" si="2"/>
        <v>133.71299999999999</v>
      </c>
      <c r="E138" s="20">
        <v>11.102</v>
      </c>
      <c r="F138" s="20">
        <v>9.5350000000000001</v>
      </c>
      <c r="G138" s="20">
        <v>10.489000000000001</v>
      </c>
      <c r="H138" s="20">
        <v>11.776999999999999</v>
      </c>
      <c r="I138" s="20">
        <v>11.21</v>
      </c>
      <c r="J138" s="20">
        <v>11.079000000000001</v>
      </c>
      <c r="K138" s="20">
        <v>9.7590000000000003</v>
      </c>
      <c r="L138" s="20">
        <v>11.24</v>
      </c>
      <c r="M138" s="20">
        <v>11</v>
      </c>
      <c r="N138" s="20">
        <v>12.73</v>
      </c>
      <c r="O138" s="20">
        <v>11.875</v>
      </c>
      <c r="P138" s="20">
        <v>11.917</v>
      </c>
    </row>
    <row r="139" spans="1:16" x14ac:dyDescent="0.35">
      <c r="A139" s="3" t="s">
        <v>154</v>
      </c>
      <c r="B139" s="24" t="s">
        <v>161</v>
      </c>
      <c r="C139" s="19" t="s">
        <v>227</v>
      </c>
      <c r="D139" s="10">
        <f t="shared" si="2"/>
        <v>439.0621445664741</v>
      </c>
      <c r="E139" s="20">
        <v>37.935859999999998</v>
      </c>
      <c r="F139" s="20">
        <v>36.619489999999999</v>
      </c>
      <c r="G139" s="20">
        <v>40.919269999999997</v>
      </c>
      <c r="H139" s="20">
        <v>44.577449999999999</v>
      </c>
      <c r="I139" s="20">
        <v>38.833440000000003</v>
      </c>
      <c r="J139" s="20">
        <v>37.801439999999999</v>
      </c>
      <c r="K139" s="20">
        <v>33.595179999999999</v>
      </c>
      <c r="L139" s="20">
        <v>33.322780000000002</v>
      </c>
      <c r="M139" s="20">
        <v>32.13458</v>
      </c>
      <c r="N139" s="20">
        <v>32.337890000000002</v>
      </c>
      <c r="O139" s="20">
        <v>34.626774566473998</v>
      </c>
      <c r="P139" s="20">
        <v>36.357990000000001</v>
      </c>
    </row>
    <row r="140" spans="1:16" x14ac:dyDescent="0.35">
      <c r="A140" s="3" t="s">
        <v>162</v>
      </c>
      <c r="B140" s="24" t="s">
        <v>163</v>
      </c>
      <c r="C140" s="19" t="s">
        <v>227</v>
      </c>
      <c r="D140" s="10">
        <f t="shared" ref="D140:D196" si="3">SUM(E140:P140)</f>
        <v>547.74800000000005</v>
      </c>
      <c r="E140" s="20">
        <v>45.649000000000001</v>
      </c>
      <c r="F140" s="20">
        <v>46.97</v>
      </c>
      <c r="G140" s="20">
        <v>52.77</v>
      </c>
      <c r="H140" s="20">
        <v>62.344999999999999</v>
      </c>
      <c r="I140" s="20">
        <v>50.384999999999998</v>
      </c>
      <c r="J140" s="20">
        <v>44.84</v>
      </c>
      <c r="K140" s="20">
        <v>39.799999999999997</v>
      </c>
      <c r="L140" s="20">
        <v>40.046999999999997</v>
      </c>
      <c r="M140" s="20">
        <v>41.585000000000001</v>
      </c>
      <c r="N140" s="20">
        <v>43.462000000000003</v>
      </c>
      <c r="O140" s="20">
        <v>40.045000000000002</v>
      </c>
      <c r="P140" s="20">
        <v>39.85</v>
      </c>
    </row>
    <row r="141" spans="1:16" x14ac:dyDescent="0.35">
      <c r="A141" s="3" t="s">
        <v>162</v>
      </c>
      <c r="B141" s="24" t="s">
        <v>164</v>
      </c>
      <c r="C141" s="19" t="s">
        <v>227</v>
      </c>
      <c r="D141" s="10">
        <f t="shared" si="3"/>
        <v>540.91351936135675</v>
      </c>
      <c r="E141" s="20">
        <v>46.75</v>
      </c>
      <c r="F141" s="20">
        <v>42.078000000000003</v>
      </c>
      <c r="G141" s="20">
        <v>48.784999999999997</v>
      </c>
      <c r="H141" s="20">
        <v>58.542000000000002</v>
      </c>
      <c r="I141" s="20">
        <v>47.430999999999997</v>
      </c>
      <c r="J141" s="20">
        <v>49.062536023054754</v>
      </c>
      <c r="K141" s="20">
        <v>43.228999999999999</v>
      </c>
      <c r="L141" s="20">
        <v>42.295000000000002</v>
      </c>
      <c r="M141" s="20">
        <v>43.090201729106624</v>
      </c>
      <c r="N141" s="20">
        <v>41.338999999999999</v>
      </c>
      <c r="O141" s="20">
        <v>38.765000000000001</v>
      </c>
      <c r="P141" s="20">
        <v>39.546781609195399</v>
      </c>
    </row>
    <row r="142" spans="1:16" x14ac:dyDescent="0.35">
      <c r="A142" s="3" t="s">
        <v>162</v>
      </c>
      <c r="B142" s="24" t="s">
        <v>165</v>
      </c>
      <c r="C142" s="19" t="s">
        <v>227</v>
      </c>
      <c r="D142" s="10">
        <f t="shared" si="3"/>
        <v>239.46600000000001</v>
      </c>
      <c r="E142" s="20">
        <v>19.152999999999999</v>
      </c>
      <c r="F142" s="20">
        <v>18.542999999999999</v>
      </c>
      <c r="G142" s="20">
        <v>22.367000000000001</v>
      </c>
      <c r="H142" s="20">
        <v>23.55</v>
      </c>
      <c r="I142" s="20">
        <v>21.971</v>
      </c>
      <c r="J142" s="20">
        <v>21.062999999999999</v>
      </c>
      <c r="K142" s="20">
        <v>18.95</v>
      </c>
      <c r="L142" s="20">
        <v>19.867000000000001</v>
      </c>
      <c r="M142" s="20">
        <v>20.013999999999999</v>
      </c>
      <c r="N142" s="20">
        <v>19.184000000000001</v>
      </c>
      <c r="O142" s="20">
        <v>17.699000000000002</v>
      </c>
      <c r="P142" s="20">
        <v>17.105</v>
      </c>
    </row>
    <row r="143" spans="1:16" x14ac:dyDescent="0.35">
      <c r="A143" s="3" t="s">
        <v>162</v>
      </c>
      <c r="B143" s="24" t="s">
        <v>166</v>
      </c>
      <c r="C143" s="19" t="s">
        <v>227</v>
      </c>
      <c r="D143" s="10">
        <f t="shared" si="3"/>
        <v>476.72028436064807</v>
      </c>
      <c r="E143" s="20">
        <v>34.234999999999999</v>
      </c>
      <c r="F143" s="20">
        <v>37.45081467560864</v>
      </c>
      <c r="G143" s="20">
        <v>41.395000000000003</v>
      </c>
      <c r="H143" s="20">
        <v>50.087949999999999</v>
      </c>
      <c r="I143" s="20">
        <v>41.865000000000002</v>
      </c>
      <c r="J143" s="20">
        <v>48.854999999999997</v>
      </c>
      <c r="K143" s="20">
        <v>44.128</v>
      </c>
      <c r="L143" s="20">
        <v>36.132283464566925</v>
      </c>
      <c r="M143" s="20">
        <v>37.06023622047244</v>
      </c>
      <c r="N143" s="20">
        <v>37.475000000000001</v>
      </c>
      <c r="O143" s="20">
        <v>34.32</v>
      </c>
      <c r="P143" s="20">
        <v>33.716000000000001</v>
      </c>
    </row>
    <row r="144" spans="1:16" x14ac:dyDescent="0.35">
      <c r="A144" s="3" t="s">
        <v>162</v>
      </c>
      <c r="B144" s="24" t="s">
        <v>167</v>
      </c>
      <c r="C144" s="19" t="s">
        <v>227</v>
      </c>
      <c r="D144" s="10">
        <f t="shared" si="3"/>
        <v>1289.5749999999998</v>
      </c>
      <c r="E144" s="20">
        <v>106.074</v>
      </c>
      <c r="F144" s="20">
        <v>103.38800000000001</v>
      </c>
      <c r="G144" s="20">
        <v>119.676</v>
      </c>
      <c r="H144" s="20">
        <v>127.852</v>
      </c>
      <c r="I144" s="20">
        <v>110.962</v>
      </c>
      <c r="J144" s="20">
        <v>108.152</v>
      </c>
      <c r="K144" s="20">
        <v>96.698999999999998</v>
      </c>
      <c r="L144" s="20">
        <v>96.698999999999998</v>
      </c>
      <c r="M144" s="20">
        <v>100.746</v>
      </c>
      <c r="N144" s="20">
        <v>99.090999999999994</v>
      </c>
      <c r="O144" s="20">
        <v>106.56</v>
      </c>
      <c r="P144" s="20">
        <v>113.676</v>
      </c>
    </row>
    <row r="145" spans="1:16" x14ac:dyDescent="0.35">
      <c r="A145" s="3" t="s">
        <v>168</v>
      </c>
      <c r="B145" s="24" t="s">
        <v>169</v>
      </c>
      <c r="C145" s="19" t="s">
        <v>227</v>
      </c>
      <c r="D145" s="10">
        <f t="shared" si="3"/>
        <v>324.02299999999997</v>
      </c>
      <c r="E145" s="20">
        <v>25.614999999999998</v>
      </c>
      <c r="F145" s="20">
        <v>23.61</v>
      </c>
      <c r="G145" s="20">
        <v>28.085000000000001</v>
      </c>
      <c r="H145" s="20">
        <v>34.274999999999999</v>
      </c>
      <c r="I145" s="20">
        <v>29.898</v>
      </c>
      <c r="J145" s="20">
        <v>27.164999999999999</v>
      </c>
      <c r="K145" s="20">
        <v>25.335000000000001</v>
      </c>
      <c r="L145" s="20">
        <v>25.335000000000001</v>
      </c>
      <c r="M145" s="20">
        <v>25.024999999999999</v>
      </c>
      <c r="N145" s="20">
        <v>26.844999999999999</v>
      </c>
      <c r="O145" s="20">
        <v>26.07</v>
      </c>
      <c r="P145" s="20">
        <v>26.765000000000001</v>
      </c>
    </row>
    <row r="146" spans="1:16" x14ac:dyDescent="0.35">
      <c r="A146" s="3" t="s">
        <v>168</v>
      </c>
      <c r="B146" s="24" t="s">
        <v>170</v>
      </c>
      <c r="C146" s="19" t="s">
        <v>227</v>
      </c>
      <c r="D146" s="10">
        <f t="shared" si="3"/>
        <v>421.79200000000003</v>
      </c>
      <c r="E146" s="20">
        <v>32.96</v>
      </c>
      <c r="F146" s="20">
        <v>32.459000000000003</v>
      </c>
      <c r="G146" s="20">
        <v>37.439</v>
      </c>
      <c r="H146" s="20">
        <v>43.808999999999997</v>
      </c>
      <c r="I146" s="20">
        <v>38.728999999999999</v>
      </c>
      <c r="J146" s="20">
        <v>37.067</v>
      </c>
      <c r="K146" s="20">
        <v>34.523000000000003</v>
      </c>
      <c r="L146" s="20">
        <v>34.523000000000003</v>
      </c>
      <c r="M146" s="20">
        <v>33.363</v>
      </c>
      <c r="N146" s="20">
        <v>32.83</v>
      </c>
      <c r="O146" s="20">
        <v>30.673999999999999</v>
      </c>
      <c r="P146" s="20">
        <v>33.415999999999997</v>
      </c>
    </row>
    <row r="147" spans="1:16" x14ac:dyDescent="0.35">
      <c r="A147" s="3" t="s">
        <v>168</v>
      </c>
      <c r="B147" s="24" t="s">
        <v>171</v>
      </c>
      <c r="C147" s="19" t="s">
        <v>227</v>
      </c>
      <c r="D147" s="10">
        <f t="shared" si="3"/>
        <v>2002.269</v>
      </c>
      <c r="E147" s="20">
        <v>155.499</v>
      </c>
      <c r="F147" s="20">
        <v>158.73500000000001</v>
      </c>
      <c r="G147" s="20">
        <v>187.99100000000001</v>
      </c>
      <c r="H147" s="20">
        <v>208.05199999999999</v>
      </c>
      <c r="I147" s="20">
        <v>179.84100000000001</v>
      </c>
      <c r="J147" s="20">
        <v>178.059</v>
      </c>
      <c r="K147" s="20">
        <v>159.727</v>
      </c>
      <c r="L147" s="20">
        <v>157.26</v>
      </c>
      <c r="M147" s="20">
        <v>156.953</v>
      </c>
      <c r="N147" s="20">
        <v>157.17699999999999</v>
      </c>
      <c r="O147" s="20">
        <v>148.22300000000001</v>
      </c>
      <c r="P147" s="20">
        <v>154.75200000000001</v>
      </c>
    </row>
    <row r="148" spans="1:16" x14ac:dyDescent="0.35">
      <c r="A148" s="3" t="s">
        <v>168</v>
      </c>
      <c r="B148" s="24" t="s">
        <v>172</v>
      </c>
      <c r="C148" s="19" t="s">
        <v>227</v>
      </c>
      <c r="D148" s="10">
        <f t="shared" si="3"/>
        <v>711.95543999999995</v>
      </c>
      <c r="E148" s="20">
        <v>55.061</v>
      </c>
      <c r="F148" s="20">
        <v>52.48</v>
      </c>
      <c r="G148" s="20">
        <v>62.628</v>
      </c>
      <c r="H148" s="20">
        <v>77.032440000000008</v>
      </c>
      <c r="I148" s="20">
        <v>60.96</v>
      </c>
      <c r="J148" s="20">
        <v>62.835999999999999</v>
      </c>
      <c r="K148" s="20">
        <v>57.420999999999999</v>
      </c>
      <c r="L148" s="20">
        <v>57.420999999999999</v>
      </c>
      <c r="M148" s="20">
        <v>56.704000000000001</v>
      </c>
      <c r="N148" s="20">
        <v>55.094999999999999</v>
      </c>
      <c r="O148" s="20">
        <v>55.902999999999999</v>
      </c>
      <c r="P148" s="20">
        <v>58.414000000000001</v>
      </c>
    </row>
    <row r="149" spans="1:16" x14ac:dyDescent="0.35">
      <c r="A149" s="3" t="s">
        <v>168</v>
      </c>
      <c r="B149" s="24" t="s">
        <v>173</v>
      </c>
      <c r="C149" s="19" t="s">
        <v>227</v>
      </c>
      <c r="D149" s="10">
        <f t="shared" si="3"/>
        <v>381.40940484429069</v>
      </c>
      <c r="E149" s="20">
        <v>29.012</v>
      </c>
      <c r="F149" s="20">
        <v>28.332000000000001</v>
      </c>
      <c r="G149" s="20">
        <v>32.856000000000002</v>
      </c>
      <c r="H149" s="20">
        <v>36.417000000000002</v>
      </c>
      <c r="I149" s="20">
        <v>32.344999999999999</v>
      </c>
      <c r="J149" s="20">
        <v>33.045000000000002</v>
      </c>
      <c r="K149" s="20">
        <v>35.369999999999997</v>
      </c>
      <c r="L149" s="20">
        <v>35.369999999999997</v>
      </c>
      <c r="M149" s="20">
        <v>29.702000000000002</v>
      </c>
      <c r="N149" s="20">
        <v>29.484999999999999</v>
      </c>
      <c r="O149" s="20">
        <v>29.63140484429066</v>
      </c>
      <c r="P149" s="20">
        <v>29.844000000000001</v>
      </c>
    </row>
    <row r="150" spans="1:16" x14ac:dyDescent="0.35">
      <c r="A150" s="3" t="s">
        <v>168</v>
      </c>
      <c r="B150" s="24" t="s">
        <v>174</v>
      </c>
      <c r="C150" s="19" t="s">
        <v>227</v>
      </c>
      <c r="D150" s="10">
        <f t="shared" si="3"/>
        <v>182.60835294117649</v>
      </c>
      <c r="E150" s="20">
        <v>13.914999999999999</v>
      </c>
      <c r="F150" s="20">
        <v>13.895</v>
      </c>
      <c r="G150" s="20">
        <v>15.475</v>
      </c>
      <c r="H150" s="20">
        <v>16.215</v>
      </c>
      <c r="I150" s="20">
        <v>17.045000000000002</v>
      </c>
      <c r="J150" s="20">
        <v>16.23</v>
      </c>
      <c r="K150" s="20">
        <v>16.23</v>
      </c>
      <c r="L150" s="20">
        <v>15.47</v>
      </c>
      <c r="M150" s="20">
        <v>15.285</v>
      </c>
      <c r="N150" s="20">
        <v>14.465</v>
      </c>
      <c r="O150" s="20">
        <v>14.115</v>
      </c>
      <c r="P150" s="20">
        <v>14.268352941176472</v>
      </c>
    </row>
    <row r="151" spans="1:16" x14ac:dyDescent="0.35">
      <c r="A151" s="3" t="s">
        <v>175</v>
      </c>
      <c r="B151" s="24" t="s">
        <v>176</v>
      </c>
      <c r="C151" s="19" t="s">
        <v>227</v>
      </c>
      <c r="D151" s="10">
        <f t="shared" si="3"/>
        <v>280.00800000000004</v>
      </c>
      <c r="E151" s="20">
        <v>22.917000000000002</v>
      </c>
      <c r="F151" s="20">
        <v>21.606999999999999</v>
      </c>
      <c r="G151" s="20">
        <v>25.677</v>
      </c>
      <c r="H151" s="20">
        <v>28.893000000000001</v>
      </c>
      <c r="I151" s="20">
        <v>26.045000000000002</v>
      </c>
      <c r="J151" s="20">
        <v>25.488</v>
      </c>
      <c r="K151" s="20">
        <v>22.556000000000001</v>
      </c>
      <c r="L151" s="20">
        <v>21.995999999999999</v>
      </c>
      <c r="M151" s="20">
        <v>20.742999999999999</v>
      </c>
      <c r="N151" s="20">
        <v>21.17</v>
      </c>
      <c r="O151" s="20">
        <v>21.474</v>
      </c>
      <c r="P151" s="20">
        <v>21.442</v>
      </c>
    </row>
    <row r="152" spans="1:16" x14ac:dyDescent="0.35">
      <c r="A152" s="3" t="s">
        <v>175</v>
      </c>
      <c r="B152" s="24" t="s">
        <v>177</v>
      </c>
      <c r="C152" s="19" t="s">
        <v>227</v>
      </c>
      <c r="D152" s="10">
        <f t="shared" si="3"/>
        <v>329.649</v>
      </c>
      <c r="E152" s="20">
        <v>25.285</v>
      </c>
      <c r="F152" s="20">
        <v>26.152999999999999</v>
      </c>
      <c r="G152" s="20">
        <v>30.123000000000001</v>
      </c>
      <c r="H152" s="20">
        <v>32.713000000000001</v>
      </c>
      <c r="I152" s="20">
        <v>29.577999999999999</v>
      </c>
      <c r="J152" s="20">
        <v>30.06</v>
      </c>
      <c r="K152" s="20">
        <v>24.108000000000001</v>
      </c>
      <c r="L152" s="20">
        <v>26.91</v>
      </c>
      <c r="M152" s="20">
        <v>26.437999999999999</v>
      </c>
      <c r="N152" s="20">
        <v>25.91</v>
      </c>
      <c r="O152" s="20">
        <v>25.68</v>
      </c>
      <c r="P152" s="20">
        <v>26.690999999999999</v>
      </c>
    </row>
    <row r="153" spans="1:16" x14ac:dyDescent="0.35">
      <c r="A153" s="3" t="s">
        <v>175</v>
      </c>
      <c r="B153" s="24" t="s">
        <v>178</v>
      </c>
      <c r="C153" s="19" t="s">
        <v>227</v>
      </c>
      <c r="D153" s="10">
        <f t="shared" si="3"/>
        <v>218.95699999999999</v>
      </c>
      <c r="E153" s="20">
        <v>19.47</v>
      </c>
      <c r="F153" s="20">
        <v>16.872</v>
      </c>
      <c r="G153" s="20">
        <v>19.347000000000001</v>
      </c>
      <c r="H153" s="20">
        <v>21.132000000000001</v>
      </c>
      <c r="I153" s="20">
        <v>19.593</v>
      </c>
      <c r="J153" s="20">
        <v>19.276</v>
      </c>
      <c r="K153" s="20">
        <v>18.483000000000001</v>
      </c>
      <c r="L153" s="20">
        <v>17.763000000000002</v>
      </c>
      <c r="M153" s="20">
        <v>16.899000000000001</v>
      </c>
      <c r="N153" s="20">
        <v>16.66</v>
      </c>
      <c r="O153" s="20">
        <v>16.358000000000001</v>
      </c>
      <c r="P153" s="20">
        <v>17.103999999999999</v>
      </c>
    </row>
    <row r="154" spans="1:16" x14ac:dyDescent="0.35">
      <c r="A154" s="3" t="s">
        <v>175</v>
      </c>
      <c r="B154" s="24" t="s">
        <v>179</v>
      </c>
      <c r="C154" s="19" t="s">
        <v>227</v>
      </c>
      <c r="D154" s="10">
        <f t="shared" si="3"/>
        <v>932.09499999999991</v>
      </c>
      <c r="E154" s="20">
        <v>69.260000000000005</v>
      </c>
      <c r="F154" s="20">
        <v>80.650000000000006</v>
      </c>
      <c r="G154" s="20">
        <v>89.6</v>
      </c>
      <c r="H154" s="20">
        <v>96.15</v>
      </c>
      <c r="I154" s="20">
        <v>80.084999999999994</v>
      </c>
      <c r="J154" s="20">
        <v>81.849999999999994</v>
      </c>
      <c r="K154" s="20">
        <v>74.900000000000006</v>
      </c>
      <c r="L154" s="20">
        <v>72.94</v>
      </c>
      <c r="M154" s="20">
        <v>72.78</v>
      </c>
      <c r="N154" s="20">
        <v>70.7</v>
      </c>
      <c r="O154" s="20">
        <v>71.88</v>
      </c>
      <c r="P154" s="20">
        <v>71.3</v>
      </c>
    </row>
    <row r="155" spans="1:16" x14ac:dyDescent="0.35">
      <c r="A155" s="3" t="s">
        <v>175</v>
      </c>
      <c r="B155" s="24" t="s">
        <v>180</v>
      </c>
      <c r="C155" s="19" t="s">
        <v>227</v>
      </c>
      <c r="D155" s="10">
        <f t="shared" si="3"/>
        <v>753.8395867158672</v>
      </c>
      <c r="E155" s="20">
        <v>63.068594095940959</v>
      </c>
      <c r="F155" s="20">
        <v>68.664387453874525</v>
      </c>
      <c r="G155" s="20">
        <v>63.101999999999997</v>
      </c>
      <c r="H155" s="20">
        <v>68.69</v>
      </c>
      <c r="I155" s="20">
        <v>64.650999999999996</v>
      </c>
      <c r="J155" s="20">
        <v>64.254999999999995</v>
      </c>
      <c r="K155" s="20">
        <v>60.555999999999997</v>
      </c>
      <c r="L155" s="20">
        <v>62.783000000000001</v>
      </c>
      <c r="M155" s="20">
        <v>60.406118081180814</v>
      </c>
      <c r="N155" s="20">
        <v>57.100693726937273</v>
      </c>
      <c r="O155" s="20">
        <v>60.388505535055351</v>
      </c>
      <c r="P155" s="20">
        <v>60.174287822878235</v>
      </c>
    </row>
    <row r="156" spans="1:16" x14ac:dyDescent="0.35">
      <c r="A156" s="3" t="s">
        <v>175</v>
      </c>
      <c r="B156" s="24" t="s">
        <v>181</v>
      </c>
      <c r="C156" s="19" t="s">
        <v>227</v>
      </c>
      <c r="D156" s="10">
        <f t="shared" si="3"/>
        <v>277.49427027027025</v>
      </c>
      <c r="E156" s="20">
        <v>20.774999999999999</v>
      </c>
      <c r="F156" s="20">
        <v>22.02</v>
      </c>
      <c r="G156" s="20">
        <v>25.215</v>
      </c>
      <c r="H156" s="20">
        <v>26.77</v>
      </c>
      <c r="I156" s="20">
        <v>24.585000000000001</v>
      </c>
      <c r="J156" s="20">
        <v>25.33</v>
      </c>
      <c r="K156" s="20">
        <v>23.695</v>
      </c>
      <c r="L156" s="20">
        <v>22.684999999999999</v>
      </c>
      <c r="M156" s="20">
        <v>21.89</v>
      </c>
      <c r="N156" s="20">
        <v>22.06</v>
      </c>
      <c r="O156" s="20">
        <v>21.454999999999998</v>
      </c>
      <c r="P156" s="20">
        <v>21.01427027027027</v>
      </c>
    </row>
    <row r="157" spans="1:16" x14ac:dyDescent="0.35">
      <c r="A157" s="3" t="s">
        <v>175</v>
      </c>
      <c r="B157" s="24" t="s">
        <v>182</v>
      </c>
      <c r="C157" s="19" t="s">
        <v>227</v>
      </c>
      <c r="D157" s="10">
        <f t="shared" si="3"/>
        <v>331.20820467836262</v>
      </c>
      <c r="E157" s="20">
        <v>25.19</v>
      </c>
      <c r="F157" s="20">
        <v>25.513999999999999</v>
      </c>
      <c r="G157" s="20">
        <v>29.416</v>
      </c>
      <c r="H157" s="20">
        <v>31.731999999999999</v>
      </c>
      <c r="I157" s="20">
        <v>29.26</v>
      </c>
      <c r="J157" s="20">
        <v>29.03</v>
      </c>
      <c r="K157" s="20">
        <v>29.204000000000001</v>
      </c>
      <c r="L157" s="20">
        <v>27.440999999999999</v>
      </c>
      <c r="M157" s="20">
        <v>25.553000000000001</v>
      </c>
      <c r="N157" s="20">
        <v>25.553000000000001</v>
      </c>
      <c r="O157" s="20">
        <v>27.171929824561406</v>
      </c>
      <c r="P157" s="20">
        <v>26.14327485380117</v>
      </c>
    </row>
    <row r="158" spans="1:16" x14ac:dyDescent="0.35">
      <c r="A158" s="3" t="s">
        <v>175</v>
      </c>
      <c r="B158" s="24" t="s">
        <v>183</v>
      </c>
      <c r="C158" s="19" t="s">
        <v>227</v>
      </c>
      <c r="D158" s="10">
        <f t="shared" si="3"/>
        <v>460.697</v>
      </c>
      <c r="E158" s="20">
        <v>35.354999999999997</v>
      </c>
      <c r="F158" s="20">
        <v>35.18</v>
      </c>
      <c r="G158" s="20">
        <v>41.3</v>
      </c>
      <c r="H158" s="20">
        <v>45.786000000000001</v>
      </c>
      <c r="I158" s="20">
        <v>39.939</v>
      </c>
      <c r="J158" s="20">
        <v>40.957000000000001</v>
      </c>
      <c r="K158" s="20">
        <v>38.475000000000001</v>
      </c>
      <c r="L158" s="20">
        <v>39.424999999999997</v>
      </c>
      <c r="M158" s="20">
        <v>38.125</v>
      </c>
      <c r="N158" s="20">
        <v>36.034999999999997</v>
      </c>
      <c r="O158" s="20">
        <v>34.215000000000003</v>
      </c>
      <c r="P158" s="20">
        <v>35.905000000000001</v>
      </c>
    </row>
    <row r="159" spans="1:16" x14ac:dyDescent="0.35">
      <c r="A159" s="3" t="s">
        <v>175</v>
      </c>
      <c r="B159" s="24" t="s">
        <v>184</v>
      </c>
      <c r="C159" s="19" t="s">
        <v>227</v>
      </c>
      <c r="D159" s="10">
        <f t="shared" si="3"/>
        <v>251.6</v>
      </c>
      <c r="E159" s="20">
        <v>22.225000000000001</v>
      </c>
      <c r="F159" s="20">
        <v>21.04</v>
      </c>
      <c r="G159" s="20">
        <v>22.77</v>
      </c>
      <c r="H159" s="20">
        <v>22.77</v>
      </c>
      <c r="I159" s="20">
        <v>22.045000000000002</v>
      </c>
      <c r="J159" s="20">
        <v>21.405000000000001</v>
      </c>
      <c r="K159" s="20">
        <v>21.22</v>
      </c>
      <c r="L159" s="20">
        <v>20.285</v>
      </c>
      <c r="M159" s="20">
        <v>19.850000000000001</v>
      </c>
      <c r="N159" s="20">
        <v>19.489999999999998</v>
      </c>
      <c r="O159" s="20">
        <v>18.96</v>
      </c>
      <c r="P159" s="20">
        <v>19.54</v>
      </c>
    </row>
    <row r="160" spans="1:16" x14ac:dyDescent="0.35">
      <c r="A160" s="3" t="s">
        <v>175</v>
      </c>
      <c r="B160" s="24" t="s">
        <v>185</v>
      </c>
      <c r="C160" s="19" t="s">
        <v>227</v>
      </c>
      <c r="D160" s="10">
        <f t="shared" si="3"/>
        <v>862.65300000000013</v>
      </c>
      <c r="E160" s="20">
        <v>68.253</v>
      </c>
      <c r="F160" s="20">
        <v>68.441000000000003</v>
      </c>
      <c r="G160" s="20">
        <v>77.816999999999993</v>
      </c>
      <c r="H160" s="20">
        <v>86.167000000000002</v>
      </c>
      <c r="I160" s="20">
        <v>78.195999999999998</v>
      </c>
      <c r="J160" s="20">
        <v>79.483000000000004</v>
      </c>
      <c r="K160" s="20">
        <v>68.828000000000003</v>
      </c>
      <c r="L160" s="20">
        <v>72.492999999999995</v>
      </c>
      <c r="M160" s="20">
        <v>70.225999999999999</v>
      </c>
      <c r="N160" s="20">
        <v>65.257999999999996</v>
      </c>
      <c r="O160" s="20">
        <v>61.841999999999999</v>
      </c>
      <c r="P160" s="20">
        <v>65.649000000000001</v>
      </c>
    </row>
    <row r="161" spans="1:16" x14ac:dyDescent="0.35">
      <c r="A161" s="3" t="s">
        <v>175</v>
      </c>
      <c r="B161" s="24" t="s">
        <v>186</v>
      </c>
      <c r="C161" s="19" t="s">
        <v>227</v>
      </c>
      <c r="D161" s="10">
        <f t="shared" si="3"/>
        <v>236.89802226277376</v>
      </c>
      <c r="E161" s="20">
        <v>18.440000000000001</v>
      </c>
      <c r="F161" s="20">
        <v>20.358759124087587</v>
      </c>
      <c r="G161" s="20">
        <v>20.43</v>
      </c>
      <c r="H161" s="20">
        <v>25.357664233576642</v>
      </c>
      <c r="I161" s="20">
        <v>20.73</v>
      </c>
      <c r="J161" s="20">
        <v>19.46</v>
      </c>
      <c r="K161" s="20">
        <v>18.84</v>
      </c>
      <c r="L161" s="20">
        <v>18.787781021897811</v>
      </c>
      <c r="M161" s="20">
        <v>18.623445620437955</v>
      </c>
      <c r="N161" s="20">
        <v>18.704999999999998</v>
      </c>
      <c r="O161" s="20">
        <v>18.484999999999999</v>
      </c>
      <c r="P161" s="20">
        <v>18.680372262773723</v>
      </c>
    </row>
    <row r="162" spans="1:16" x14ac:dyDescent="0.35">
      <c r="A162" s="3" t="s">
        <v>175</v>
      </c>
      <c r="B162" s="24" t="s">
        <v>187</v>
      </c>
      <c r="C162" s="19" t="s">
        <v>227</v>
      </c>
      <c r="D162" s="10">
        <f t="shared" si="3"/>
        <v>892.64800000000002</v>
      </c>
      <c r="E162" s="20">
        <v>70.795000000000002</v>
      </c>
      <c r="F162" s="20">
        <v>71.215000000000003</v>
      </c>
      <c r="G162" s="20">
        <v>82.32</v>
      </c>
      <c r="H162" s="20">
        <v>87.864999999999995</v>
      </c>
      <c r="I162" s="20">
        <v>78.64</v>
      </c>
      <c r="J162" s="20">
        <v>79.977999999999994</v>
      </c>
      <c r="K162" s="20">
        <v>67.965000000000003</v>
      </c>
      <c r="L162" s="20">
        <v>71.760000000000005</v>
      </c>
      <c r="M162" s="20">
        <v>69</v>
      </c>
      <c r="N162" s="20">
        <v>71.760000000000005</v>
      </c>
      <c r="O162" s="20">
        <v>68.59</v>
      </c>
      <c r="P162" s="20">
        <v>72.760000000000005</v>
      </c>
    </row>
    <row r="163" spans="1:16" x14ac:dyDescent="0.35">
      <c r="A163" s="3" t="s">
        <v>175</v>
      </c>
      <c r="B163" s="24" t="s">
        <v>188</v>
      </c>
      <c r="C163" s="19" t="s">
        <v>227</v>
      </c>
      <c r="D163" s="10">
        <f t="shared" si="3"/>
        <v>627.91500000000008</v>
      </c>
      <c r="E163" s="20">
        <v>47.494999999999997</v>
      </c>
      <c r="F163" s="20">
        <v>48.825000000000003</v>
      </c>
      <c r="G163" s="20">
        <v>58.965000000000003</v>
      </c>
      <c r="H163" s="20">
        <v>60.664999999999999</v>
      </c>
      <c r="I163" s="20">
        <v>56.21</v>
      </c>
      <c r="J163" s="20">
        <v>55.47</v>
      </c>
      <c r="K163" s="20">
        <v>48.465000000000003</v>
      </c>
      <c r="L163" s="20">
        <v>50.844999999999999</v>
      </c>
      <c r="M163" s="20">
        <v>50.09</v>
      </c>
      <c r="N163" s="20">
        <v>50.634999999999998</v>
      </c>
      <c r="O163" s="20">
        <v>50.08</v>
      </c>
      <c r="P163" s="20">
        <v>50.17</v>
      </c>
    </row>
    <row r="164" spans="1:16" x14ac:dyDescent="0.35">
      <c r="A164" s="3" t="s">
        <v>189</v>
      </c>
      <c r="B164" s="24" t="s">
        <v>190</v>
      </c>
      <c r="C164" s="19" t="s">
        <v>227</v>
      </c>
      <c r="D164" s="10">
        <f t="shared" si="3"/>
        <v>392.26399999999995</v>
      </c>
      <c r="E164" s="20">
        <v>29.98</v>
      </c>
      <c r="F164" s="20">
        <v>29.03</v>
      </c>
      <c r="G164" s="20">
        <v>33.085000000000001</v>
      </c>
      <c r="H164" s="20">
        <v>37.604999999999997</v>
      </c>
      <c r="I164" s="20">
        <v>34.729999999999997</v>
      </c>
      <c r="J164" s="20">
        <v>34.664999999999999</v>
      </c>
      <c r="K164" s="20">
        <v>33.634999999999998</v>
      </c>
      <c r="L164" s="20">
        <v>32.57</v>
      </c>
      <c r="M164" s="20">
        <v>32.549999999999997</v>
      </c>
      <c r="N164" s="20">
        <v>31.49</v>
      </c>
      <c r="O164" s="20">
        <v>30.395</v>
      </c>
      <c r="P164" s="20">
        <v>32.529000000000003</v>
      </c>
    </row>
    <row r="165" spans="1:16" x14ac:dyDescent="0.35">
      <c r="A165" s="3" t="s">
        <v>189</v>
      </c>
      <c r="B165" s="24" t="s">
        <v>191</v>
      </c>
      <c r="C165" s="19" t="s">
        <v>227</v>
      </c>
      <c r="D165" s="10">
        <f t="shared" si="3"/>
        <v>2037.184</v>
      </c>
      <c r="E165" s="20">
        <v>158.892</v>
      </c>
      <c r="F165" s="20">
        <v>159.24600000000001</v>
      </c>
      <c r="G165" s="20">
        <v>185.04300000000001</v>
      </c>
      <c r="H165" s="20">
        <v>209.60900000000001</v>
      </c>
      <c r="I165" s="20">
        <v>186.07</v>
      </c>
      <c r="J165" s="20">
        <v>182.654</v>
      </c>
      <c r="K165" s="20">
        <v>154.23599999999999</v>
      </c>
      <c r="L165" s="20">
        <v>164.43</v>
      </c>
      <c r="M165" s="20">
        <v>162.06800000000001</v>
      </c>
      <c r="N165" s="20">
        <v>161.71899999999999</v>
      </c>
      <c r="O165" s="20">
        <v>156.87700000000001</v>
      </c>
      <c r="P165" s="20">
        <v>156.34</v>
      </c>
    </row>
    <row r="166" spans="1:16" x14ac:dyDescent="0.35">
      <c r="A166" s="3" t="s">
        <v>189</v>
      </c>
      <c r="B166" s="24" t="s">
        <v>192</v>
      </c>
      <c r="C166" s="19" t="s">
        <v>227</v>
      </c>
      <c r="D166" s="10">
        <f t="shared" si="3"/>
        <v>3081.0934522471907</v>
      </c>
      <c r="E166" s="20">
        <v>252.97</v>
      </c>
      <c r="F166" s="20">
        <v>243.035</v>
      </c>
      <c r="G166" s="20">
        <v>273.60000000000002</v>
      </c>
      <c r="H166" s="20">
        <v>304.80145224719098</v>
      </c>
      <c r="I166" s="20">
        <v>280.24400000000003</v>
      </c>
      <c r="J166" s="20">
        <v>271.262</v>
      </c>
      <c r="K166" s="20">
        <v>233.93899999999999</v>
      </c>
      <c r="L166" s="20">
        <v>243.56</v>
      </c>
      <c r="M166" s="20">
        <v>251.22</v>
      </c>
      <c r="N166" s="20">
        <v>247.9</v>
      </c>
      <c r="O166" s="20">
        <v>246.97</v>
      </c>
      <c r="P166" s="20">
        <v>231.59200000000001</v>
      </c>
    </row>
    <row r="167" spans="1:16" x14ac:dyDescent="0.35">
      <c r="A167" s="3" t="s">
        <v>189</v>
      </c>
      <c r="B167" s="24" t="s">
        <v>193</v>
      </c>
      <c r="C167" s="19" t="s">
        <v>227</v>
      </c>
      <c r="D167" s="10">
        <f t="shared" si="3"/>
        <v>530.00599999999997</v>
      </c>
      <c r="E167" s="20">
        <v>41.441000000000003</v>
      </c>
      <c r="F167" s="20">
        <v>39.914000000000001</v>
      </c>
      <c r="G167" s="20">
        <v>45.069000000000003</v>
      </c>
      <c r="H167" s="20">
        <v>51.372999999999998</v>
      </c>
      <c r="I167" s="20">
        <v>46.984999999999999</v>
      </c>
      <c r="J167" s="20">
        <v>46.895000000000003</v>
      </c>
      <c r="K167" s="20">
        <v>42.149000000000001</v>
      </c>
      <c r="L167" s="20">
        <v>41.758000000000003</v>
      </c>
      <c r="M167" s="20">
        <v>41.966999999999999</v>
      </c>
      <c r="N167" s="20">
        <v>43.33</v>
      </c>
      <c r="O167" s="20">
        <v>44.069000000000003</v>
      </c>
      <c r="P167" s="20">
        <v>45.055999999999997</v>
      </c>
    </row>
    <row r="168" spans="1:16" x14ac:dyDescent="0.35">
      <c r="A168" s="3" t="s">
        <v>189</v>
      </c>
      <c r="B168" s="24" t="s">
        <v>194</v>
      </c>
      <c r="C168" s="19" t="s">
        <v>227</v>
      </c>
      <c r="D168" s="10">
        <f t="shared" si="3"/>
        <v>498.28600000000006</v>
      </c>
      <c r="E168" s="20">
        <v>40</v>
      </c>
      <c r="F168" s="20">
        <v>39.200000000000003</v>
      </c>
      <c r="G168" s="20">
        <v>43.9</v>
      </c>
      <c r="H168" s="20">
        <v>48.564999999999998</v>
      </c>
      <c r="I168" s="20">
        <v>42.89</v>
      </c>
      <c r="J168" s="20">
        <v>43.55</v>
      </c>
      <c r="K168" s="20">
        <v>39.695</v>
      </c>
      <c r="L168" s="20">
        <v>40.034999999999997</v>
      </c>
      <c r="M168" s="20">
        <v>39.17</v>
      </c>
      <c r="N168" s="20">
        <v>39.845999999999997</v>
      </c>
      <c r="O168" s="20">
        <v>39.799999999999997</v>
      </c>
      <c r="P168" s="20">
        <v>41.634999999999998</v>
      </c>
    </row>
    <row r="169" spans="1:16" x14ac:dyDescent="0.35">
      <c r="A169" s="3" t="s">
        <v>189</v>
      </c>
      <c r="B169" s="24" t="s">
        <v>195</v>
      </c>
      <c r="C169" s="19" t="s">
        <v>227</v>
      </c>
      <c r="D169" s="10">
        <f t="shared" si="3"/>
        <v>341.15000000000003</v>
      </c>
      <c r="E169" s="20">
        <v>24.36</v>
      </c>
      <c r="F169" s="20">
        <v>24.585000000000001</v>
      </c>
      <c r="G169" s="20">
        <v>29.385000000000002</v>
      </c>
      <c r="H169" s="20">
        <v>34.374000000000002</v>
      </c>
      <c r="I169" s="20">
        <v>30.13</v>
      </c>
      <c r="J169" s="20">
        <v>31.542000000000002</v>
      </c>
      <c r="K169" s="20">
        <v>25.895</v>
      </c>
      <c r="L169" s="20">
        <v>27.37</v>
      </c>
      <c r="M169" s="20">
        <v>27.212</v>
      </c>
      <c r="N169" s="20">
        <v>27.66</v>
      </c>
      <c r="O169" s="20">
        <v>28.34</v>
      </c>
      <c r="P169" s="20">
        <v>30.297000000000001</v>
      </c>
    </row>
    <row r="170" spans="1:16" x14ac:dyDescent="0.35">
      <c r="A170" s="3" t="s">
        <v>189</v>
      </c>
      <c r="B170" s="24" t="s">
        <v>196</v>
      </c>
      <c r="C170" s="19" t="s">
        <v>227</v>
      </c>
      <c r="D170" s="10">
        <f t="shared" si="3"/>
        <v>340.67900000000003</v>
      </c>
      <c r="E170" s="20">
        <v>27.841000000000001</v>
      </c>
      <c r="F170" s="20">
        <v>26.9</v>
      </c>
      <c r="G170" s="20">
        <v>29.594999999999999</v>
      </c>
      <c r="H170" s="20">
        <v>36.951999999999998</v>
      </c>
      <c r="I170" s="20">
        <v>31.51</v>
      </c>
      <c r="J170" s="20">
        <v>28.925000000000001</v>
      </c>
      <c r="K170" s="20">
        <v>27.172999999999998</v>
      </c>
      <c r="L170" s="20">
        <v>26.077000000000002</v>
      </c>
      <c r="M170" s="20">
        <v>25.466000000000001</v>
      </c>
      <c r="N170" s="20">
        <v>26.67</v>
      </c>
      <c r="O170" s="20">
        <v>26.565000000000001</v>
      </c>
      <c r="P170" s="20">
        <v>27.004999999999999</v>
      </c>
    </row>
    <row r="171" spans="1:16" x14ac:dyDescent="0.35">
      <c r="A171" s="3" t="s">
        <v>189</v>
      </c>
      <c r="B171" s="24" t="s">
        <v>197</v>
      </c>
      <c r="C171" s="19" t="s">
        <v>227</v>
      </c>
      <c r="D171" s="10">
        <f t="shared" si="3"/>
        <v>407.91500000000002</v>
      </c>
      <c r="E171" s="20">
        <v>34.749000000000002</v>
      </c>
      <c r="F171" s="20">
        <v>35.271999999999998</v>
      </c>
      <c r="G171" s="20">
        <v>40.871000000000002</v>
      </c>
      <c r="H171" s="20">
        <v>39.619</v>
      </c>
      <c r="I171" s="20">
        <v>33.832999999999998</v>
      </c>
      <c r="J171" s="20">
        <v>34.054000000000002</v>
      </c>
      <c r="K171" s="20">
        <v>32.262</v>
      </c>
      <c r="L171" s="20">
        <v>30.137</v>
      </c>
      <c r="M171" s="20">
        <v>28.867000000000001</v>
      </c>
      <c r="N171" s="20">
        <v>27.678000000000001</v>
      </c>
      <c r="O171" s="20">
        <v>34.012999999999998</v>
      </c>
      <c r="P171" s="20">
        <v>36.56</v>
      </c>
    </row>
    <row r="172" spans="1:16" x14ac:dyDescent="0.35">
      <c r="A172" s="3" t="s">
        <v>189</v>
      </c>
      <c r="B172" s="24" t="s">
        <v>198</v>
      </c>
      <c r="C172" s="19" t="s">
        <v>227</v>
      </c>
      <c r="D172" s="10">
        <f t="shared" si="3"/>
        <v>536.20299999999997</v>
      </c>
      <c r="E172" s="20">
        <v>44.64</v>
      </c>
      <c r="F172" s="20">
        <v>46.155999999999999</v>
      </c>
      <c r="G172" s="20">
        <v>53.895000000000003</v>
      </c>
      <c r="H172" s="20">
        <v>58.25</v>
      </c>
      <c r="I172" s="20">
        <v>64.462000000000003</v>
      </c>
      <c r="J172" s="20">
        <v>29.135000000000002</v>
      </c>
      <c r="K172" s="20">
        <v>37.825000000000003</v>
      </c>
      <c r="L172" s="20">
        <v>40.72</v>
      </c>
      <c r="M172" s="20">
        <v>40.380000000000003</v>
      </c>
      <c r="N172" s="20">
        <v>40.045000000000002</v>
      </c>
      <c r="O172" s="20">
        <v>39.875</v>
      </c>
      <c r="P172" s="20">
        <v>40.82</v>
      </c>
    </row>
    <row r="173" spans="1:16" x14ac:dyDescent="0.35">
      <c r="A173" s="3" t="s">
        <v>189</v>
      </c>
      <c r="B173" s="24" t="s">
        <v>199</v>
      </c>
      <c r="C173" s="19" t="s">
        <v>227</v>
      </c>
      <c r="D173" s="10">
        <f t="shared" si="3"/>
        <v>784.73999999999978</v>
      </c>
      <c r="E173" s="20">
        <v>60.125</v>
      </c>
      <c r="F173" s="20">
        <v>58.445</v>
      </c>
      <c r="G173" s="20">
        <v>69.59</v>
      </c>
      <c r="H173" s="20">
        <v>77.504999999999995</v>
      </c>
      <c r="I173" s="20">
        <v>68.355000000000004</v>
      </c>
      <c r="J173" s="20">
        <v>73.754999999999995</v>
      </c>
      <c r="K173" s="20">
        <v>64.91</v>
      </c>
      <c r="L173" s="20">
        <v>64.275000000000006</v>
      </c>
      <c r="M173" s="20">
        <v>60.795000000000002</v>
      </c>
      <c r="N173" s="20">
        <v>63.935000000000002</v>
      </c>
      <c r="O173" s="20">
        <v>61.895000000000003</v>
      </c>
      <c r="P173" s="20">
        <v>61.155000000000001</v>
      </c>
    </row>
    <row r="174" spans="1:16" x14ac:dyDescent="0.35">
      <c r="A174" s="3" t="s">
        <v>189</v>
      </c>
      <c r="B174" s="24" t="s">
        <v>200</v>
      </c>
      <c r="C174" s="19" t="s">
        <v>227</v>
      </c>
      <c r="D174" s="10">
        <f t="shared" si="3"/>
        <v>143.70000000000002</v>
      </c>
      <c r="E174" s="20">
        <v>11.465</v>
      </c>
      <c r="F174" s="20">
        <v>11.65</v>
      </c>
      <c r="G174" s="20">
        <v>13.335000000000001</v>
      </c>
      <c r="H174" s="20">
        <v>15.085000000000001</v>
      </c>
      <c r="I174" s="20">
        <v>12.125</v>
      </c>
      <c r="J174" s="20">
        <v>12.525</v>
      </c>
      <c r="K174" s="20">
        <v>11.125</v>
      </c>
      <c r="L174" s="20">
        <v>11.585000000000001</v>
      </c>
      <c r="M174" s="20">
        <v>11.41</v>
      </c>
      <c r="N174" s="20">
        <v>10.8</v>
      </c>
      <c r="O174" s="20">
        <v>10.97</v>
      </c>
      <c r="P174" s="20">
        <v>11.625</v>
      </c>
    </row>
    <row r="175" spans="1:16" x14ac:dyDescent="0.35">
      <c r="A175" s="3" t="s">
        <v>201</v>
      </c>
      <c r="B175" s="24" t="s">
        <v>202</v>
      </c>
      <c r="C175" s="19" t="s">
        <v>227</v>
      </c>
      <c r="D175" s="10">
        <f t="shared" si="3"/>
        <v>587.67499999999995</v>
      </c>
      <c r="E175" s="20">
        <v>48.215000000000003</v>
      </c>
      <c r="F175" s="20">
        <v>50.09</v>
      </c>
      <c r="G175" s="20">
        <v>56.094999999999999</v>
      </c>
      <c r="H175" s="20">
        <v>60.865000000000002</v>
      </c>
      <c r="I175" s="20">
        <v>54.16</v>
      </c>
      <c r="J175" s="20">
        <v>50.2</v>
      </c>
      <c r="K175" s="20">
        <v>46.43</v>
      </c>
      <c r="L175" s="20">
        <v>45.715000000000003</v>
      </c>
      <c r="M175" s="20">
        <v>43.22</v>
      </c>
      <c r="N175" s="20">
        <v>42.075000000000003</v>
      </c>
      <c r="O175" s="20">
        <v>42.68</v>
      </c>
      <c r="P175" s="20">
        <v>47.93</v>
      </c>
    </row>
    <row r="176" spans="1:16" x14ac:dyDescent="0.35">
      <c r="A176" s="3" t="s">
        <v>201</v>
      </c>
      <c r="B176" s="24" t="s">
        <v>203</v>
      </c>
      <c r="C176" s="19" t="s">
        <v>227</v>
      </c>
      <c r="D176" s="10">
        <f t="shared" si="3"/>
        <v>345.10600034700315</v>
      </c>
      <c r="E176" s="20">
        <v>33.295000000000002</v>
      </c>
      <c r="F176" s="20">
        <v>29.45</v>
      </c>
      <c r="G176" s="20">
        <v>32.795000000000002</v>
      </c>
      <c r="H176" s="20">
        <v>34.11</v>
      </c>
      <c r="I176" s="20">
        <v>29.164999999999999</v>
      </c>
      <c r="J176" s="20">
        <v>25.83</v>
      </c>
      <c r="K176" s="20">
        <v>28.745000000000001</v>
      </c>
      <c r="L176" s="20">
        <v>27.725000000000001</v>
      </c>
      <c r="M176" s="20">
        <v>26.88</v>
      </c>
      <c r="N176" s="20">
        <v>25.465</v>
      </c>
      <c r="O176" s="20">
        <v>25.234999999999999</v>
      </c>
      <c r="P176" s="20">
        <v>26.411000347003164</v>
      </c>
    </row>
    <row r="177" spans="1:16" x14ac:dyDescent="0.35">
      <c r="A177" s="3" t="s">
        <v>201</v>
      </c>
      <c r="B177" s="24" t="s">
        <v>204</v>
      </c>
      <c r="C177" s="19" t="s">
        <v>227</v>
      </c>
      <c r="D177" s="10">
        <f t="shared" si="3"/>
        <v>893.26700000000005</v>
      </c>
      <c r="E177" s="20">
        <v>72.373999999999995</v>
      </c>
      <c r="F177" s="20">
        <v>69.173000000000002</v>
      </c>
      <c r="G177" s="20">
        <v>79.296999999999997</v>
      </c>
      <c r="H177" s="20">
        <v>87.590999999999994</v>
      </c>
      <c r="I177" s="20">
        <v>84.204999999999998</v>
      </c>
      <c r="J177" s="20">
        <v>77.914000000000001</v>
      </c>
      <c r="K177" s="20">
        <v>72.191999999999993</v>
      </c>
      <c r="L177" s="20">
        <v>67.748999999999995</v>
      </c>
      <c r="M177" s="20">
        <v>69.281999999999996</v>
      </c>
      <c r="N177" s="20">
        <v>68.451999999999998</v>
      </c>
      <c r="O177" s="20">
        <v>69.751000000000005</v>
      </c>
      <c r="P177" s="20">
        <v>75.287000000000006</v>
      </c>
    </row>
    <row r="178" spans="1:16" x14ac:dyDescent="0.35">
      <c r="A178" s="3" t="s">
        <v>201</v>
      </c>
      <c r="B178" s="24" t="s">
        <v>205</v>
      </c>
      <c r="C178" s="19" t="s">
        <v>227</v>
      </c>
      <c r="D178" s="10">
        <f t="shared" si="3"/>
        <v>403.28632558139537</v>
      </c>
      <c r="E178" s="20">
        <v>32.064999999999998</v>
      </c>
      <c r="F178" s="20">
        <v>32.83</v>
      </c>
      <c r="G178" s="20">
        <v>38.835000000000001</v>
      </c>
      <c r="H178" s="20">
        <v>41.786000000000001</v>
      </c>
      <c r="I178" s="20">
        <v>37.195</v>
      </c>
      <c r="J178" s="20">
        <v>33.615000000000002</v>
      </c>
      <c r="K178" s="20">
        <v>31.585000000000001</v>
      </c>
      <c r="L178" s="20">
        <v>30.53</v>
      </c>
      <c r="M178" s="20">
        <v>32.033000000000001</v>
      </c>
      <c r="N178" s="20">
        <v>30.06</v>
      </c>
      <c r="O178" s="20">
        <v>31.704999999999998</v>
      </c>
      <c r="P178" s="20">
        <v>31.047325581395352</v>
      </c>
    </row>
    <row r="179" spans="1:16" x14ac:dyDescent="0.35">
      <c r="A179" s="3" t="s">
        <v>201</v>
      </c>
      <c r="B179" s="24" t="s">
        <v>206</v>
      </c>
      <c r="C179" s="19" t="s">
        <v>227</v>
      </c>
      <c r="D179" s="10">
        <f t="shared" si="3"/>
        <v>638.4190000000001</v>
      </c>
      <c r="E179" s="20">
        <v>45.46</v>
      </c>
      <c r="F179" s="20">
        <v>46.145000000000003</v>
      </c>
      <c r="G179" s="20">
        <v>56.225000000000001</v>
      </c>
      <c r="H179" s="20">
        <v>65.67</v>
      </c>
      <c r="I179" s="20">
        <v>60.424999999999997</v>
      </c>
      <c r="J179" s="20">
        <v>58.34</v>
      </c>
      <c r="K179" s="20">
        <v>50.901000000000003</v>
      </c>
      <c r="L179" s="20">
        <v>51.055</v>
      </c>
      <c r="M179" s="20">
        <v>45.185000000000002</v>
      </c>
      <c r="N179" s="20">
        <v>43.817999999999998</v>
      </c>
      <c r="O179" s="20">
        <v>48.35</v>
      </c>
      <c r="P179" s="20">
        <v>66.844999999999999</v>
      </c>
    </row>
    <row r="180" spans="1:16" x14ac:dyDescent="0.35">
      <c r="A180" s="3" t="s">
        <v>201</v>
      </c>
      <c r="B180" s="24" t="s">
        <v>207</v>
      </c>
      <c r="C180" s="19" t="s">
        <v>227</v>
      </c>
      <c r="D180" s="10">
        <f t="shared" si="3"/>
        <v>198.72150955414014</v>
      </c>
      <c r="E180" s="20">
        <v>15.47</v>
      </c>
      <c r="F180" s="20">
        <v>14.364000000000001</v>
      </c>
      <c r="G180" s="20">
        <v>16.454999999999998</v>
      </c>
      <c r="H180" s="20">
        <v>18.14</v>
      </c>
      <c r="I180" s="20">
        <v>17.184999999999999</v>
      </c>
      <c r="J180" s="20">
        <v>16.344999999999999</v>
      </c>
      <c r="K180" s="20">
        <v>16.695</v>
      </c>
      <c r="L180" s="20">
        <v>16.545000000000002</v>
      </c>
      <c r="M180" s="20">
        <v>17.016133757961782</v>
      </c>
      <c r="N180" s="20">
        <v>16.655999999999999</v>
      </c>
      <c r="O180" s="20">
        <v>16.442503184713377</v>
      </c>
      <c r="P180" s="20">
        <v>17.407872611464967</v>
      </c>
    </row>
    <row r="181" spans="1:16" x14ac:dyDescent="0.35">
      <c r="A181" s="3" t="s">
        <v>201</v>
      </c>
      <c r="B181" s="24" t="s">
        <v>208</v>
      </c>
      <c r="C181" s="19" t="s">
        <v>227</v>
      </c>
      <c r="D181" s="10">
        <f t="shared" si="3"/>
        <v>719.476</v>
      </c>
      <c r="E181" s="20">
        <v>54.53</v>
      </c>
      <c r="F181" s="20">
        <v>57.557000000000002</v>
      </c>
      <c r="G181" s="20">
        <v>69.667000000000002</v>
      </c>
      <c r="H181" s="20">
        <v>67.548000000000002</v>
      </c>
      <c r="I181" s="20">
        <v>64.462000000000003</v>
      </c>
      <c r="J181" s="20">
        <v>63.537999999999997</v>
      </c>
      <c r="K181" s="20">
        <v>58.957000000000001</v>
      </c>
      <c r="L181" s="20">
        <v>56.195</v>
      </c>
      <c r="M181" s="20">
        <v>55.9</v>
      </c>
      <c r="N181" s="20">
        <v>54.197000000000003</v>
      </c>
      <c r="O181" s="20">
        <v>58.515000000000001</v>
      </c>
      <c r="P181" s="20">
        <v>58.41</v>
      </c>
    </row>
    <row r="182" spans="1:16" x14ac:dyDescent="0.35">
      <c r="A182" s="3" t="s">
        <v>201</v>
      </c>
      <c r="B182" s="24" t="s">
        <v>209</v>
      </c>
      <c r="C182" s="19" t="s">
        <v>227</v>
      </c>
      <c r="D182" s="10">
        <f t="shared" si="3"/>
        <v>1971.0309999999999</v>
      </c>
      <c r="E182" s="20">
        <v>157.667</v>
      </c>
      <c r="F182" s="20">
        <v>158.63999999999999</v>
      </c>
      <c r="G182" s="20">
        <v>183.67500000000001</v>
      </c>
      <c r="H182" s="20">
        <v>198.511</v>
      </c>
      <c r="I182" s="20">
        <v>185.12299999999999</v>
      </c>
      <c r="J182" s="20">
        <v>169.92</v>
      </c>
      <c r="K182" s="20">
        <v>147.965</v>
      </c>
      <c r="L182" s="20">
        <v>149.69999999999999</v>
      </c>
      <c r="M182" s="20">
        <v>150.88200000000001</v>
      </c>
      <c r="N182" s="20">
        <v>151.488</v>
      </c>
      <c r="O182" s="20">
        <v>154.83000000000001</v>
      </c>
      <c r="P182" s="20">
        <v>162.63</v>
      </c>
    </row>
    <row r="183" spans="1:16" x14ac:dyDescent="0.35">
      <c r="A183" s="3" t="s">
        <v>201</v>
      </c>
      <c r="B183" s="24" t="s">
        <v>210</v>
      </c>
      <c r="C183" s="19" t="s">
        <v>227</v>
      </c>
      <c r="D183" s="10">
        <f t="shared" si="3"/>
        <v>336.76770118343194</v>
      </c>
      <c r="E183" s="20">
        <v>28.140999999999998</v>
      </c>
      <c r="F183" s="20">
        <v>27.928999999999998</v>
      </c>
      <c r="G183" s="20">
        <v>30.57</v>
      </c>
      <c r="H183" s="20">
        <v>33.091999999999999</v>
      </c>
      <c r="I183" s="20">
        <v>30.738</v>
      </c>
      <c r="J183" s="20">
        <v>27.981999999999999</v>
      </c>
      <c r="K183" s="20">
        <v>26.241</v>
      </c>
      <c r="L183" s="20">
        <v>25.645</v>
      </c>
      <c r="M183" s="20">
        <v>26.51</v>
      </c>
      <c r="N183" s="20">
        <v>25.844999999999999</v>
      </c>
      <c r="O183" s="20">
        <v>26.327000000000002</v>
      </c>
      <c r="P183" s="20">
        <v>27.747701183431957</v>
      </c>
    </row>
    <row r="184" spans="1:16" x14ac:dyDescent="0.35">
      <c r="A184" s="3" t="s">
        <v>211</v>
      </c>
      <c r="B184" s="24" t="s">
        <v>212</v>
      </c>
      <c r="C184" s="19" t="s">
        <v>227</v>
      </c>
      <c r="D184" s="10">
        <f t="shared" si="3"/>
        <v>648.88200000000006</v>
      </c>
      <c r="E184" s="20">
        <v>51.087000000000003</v>
      </c>
      <c r="F184" s="20">
        <v>47.564999999999998</v>
      </c>
      <c r="G184" s="20">
        <v>54.094999999999999</v>
      </c>
      <c r="H184" s="20">
        <v>59.835000000000001</v>
      </c>
      <c r="I184" s="20">
        <v>56.725000000000001</v>
      </c>
      <c r="J184" s="20">
        <v>52.49</v>
      </c>
      <c r="K184" s="20">
        <v>53.76</v>
      </c>
      <c r="L184" s="20">
        <v>55.704999999999998</v>
      </c>
      <c r="M184" s="20">
        <v>55.034999999999997</v>
      </c>
      <c r="N184" s="20">
        <v>55.87</v>
      </c>
      <c r="O184" s="20">
        <v>49.575000000000003</v>
      </c>
      <c r="P184" s="20">
        <v>57.14</v>
      </c>
    </row>
    <row r="185" spans="1:16" x14ac:dyDescent="0.35">
      <c r="A185" s="3" t="s">
        <v>211</v>
      </c>
      <c r="B185" s="24" t="s">
        <v>213</v>
      </c>
      <c r="C185" s="19" t="s">
        <v>227</v>
      </c>
      <c r="D185" s="10">
        <f t="shared" si="3"/>
        <v>394.846</v>
      </c>
      <c r="E185" s="20">
        <v>32.027999999999999</v>
      </c>
      <c r="F185" s="20">
        <v>29.248000000000001</v>
      </c>
      <c r="G185" s="20">
        <v>34.027000000000001</v>
      </c>
      <c r="H185" s="20">
        <v>39.451999999999998</v>
      </c>
      <c r="I185" s="20">
        <v>35.337000000000003</v>
      </c>
      <c r="J185" s="20">
        <v>32.28</v>
      </c>
      <c r="K185" s="20">
        <v>31.826000000000001</v>
      </c>
      <c r="L185" s="20">
        <v>32.023000000000003</v>
      </c>
      <c r="M185" s="20">
        <v>32.31</v>
      </c>
      <c r="N185" s="20">
        <v>31.445</v>
      </c>
      <c r="O185" s="20">
        <v>31.495999999999999</v>
      </c>
      <c r="P185" s="20">
        <v>33.374000000000002</v>
      </c>
    </row>
    <row r="186" spans="1:16" x14ac:dyDescent="0.35">
      <c r="A186" s="3" t="s">
        <v>211</v>
      </c>
      <c r="B186" s="24" t="s">
        <v>214</v>
      </c>
      <c r="C186" s="19" t="s">
        <v>227</v>
      </c>
      <c r="D186" s="10">
        <f t="shared" si="3"/>
        <v>995.63</v>
      </c>
      <c r="E186" s="20">
        <v>78.108999999999995</v>
      </c>
      <c r="F186" s="20">
        <v>77.263999999999996</v>
      </c>
      <c r="G186" s="20">
        <v>92.236000000000004</v>
      </c>
      <c r="H186" s="20">
        <v>101.699</v>
      </c>
      <c r="I186" s="20">
        <v>93.221999999999994</v>
      </c>
      <c r="J186" s="20">
        <v>85.405000000000001</v>
      </c>
      <c r="K186" s="20">
        <v>78.733000000000004</v>
      </c>
      <c r="L186" s="20">
        <v>77.382000000000005</v>
      </c>
      <c r="M186" s="20">
        <v>78.007999999999996</v>
      </c>
      <c r="N186" s="20">
        <v>77.278999999999996</v>
      </c>
      <c r="O186" s="20">
        <v>74.75</v>
      </c>
      <c r="P186" s="20">
        <v>81.543000000000006</v>
      </c>
    </row>
    <row r="187" spans="1:16" x14ac:dyDescent="0.35">
      <c r="A187" s="3" t="s">
        <v>211</v>
      </c>
      <c r="B187" s="24" t="s">
        <v>215</v>
      </c>
      <c r="C187" s="19" t="s">
        <v>227</v>
      </c>
      <c r="D187" s="10">
        <f t="shared" si="3"/>
        <v>555.90300000000002</v>
      </c>
      <c r="E187" s="20">
        <v>41.801000000000002</v>
      </c>
      <c r="F187" s="20">
        <v>41.112000000000002</v>
      </c>
      <c r="G187" s="20">
        <v>46.762999999999998</v>
      </c>
      <c r="H187" s="20">
        <v>50.473999999999997</v>
      </c>
      <c r="I187" s="20">
        <v>50.475000000000001</v>
      </c>
      <c r="J187" s="20">
        <v>46.750999999999998</v>
      </c>
      <c r="K187" s="20">
        <v>46.442</v>
      </c>
      <c r="L187" s="20">
        <v>45.115000000000002</v>
      </c>
      <c r="M187" s="20">
        <v>45.585000000000001</v>
      </c>
      <c r="N187" s="20">
        <v>46.534999999999997</v>
      </c>
      <c r="O187" s="20">
        <v>47.104999999999997</v>
      </c>
      <c r="P187" s="20">
        <v>47.744999999999997</v>
      </c>
    </row>
    <row r="188" spans="1:16" x14ac:dyDescent="0.35">
      <c r="A188" s="3" t="s">
        <v>211</v>
      </c>
      <c r="B188" s="24" t="s">
        <v>216</v>
      </c>
      <c r="C188" s="19" t="s">
        <v>227</v>
      </c>
      <c r="D188" s="10">
        <f t="shared" si="3"/>
        <v>713.16500000000008</v>
      </c>
      <c r="E188" s="20">
        <v>55.695</v>
      </c>
      <c r="F188" s="20">
        <v>55.44</v>
      </c>
      <c r="G188" s="20">
        <v>66.42</v>
      </c>
      <c r="H188" s="20">
        <v>71.44</v>
      </c>
      <c r="I188" s="20">
        <v>64.635000000000005</v>
      </c>
      <c r="J188" s="20">
        <v>61.1</v>
      </c>
      <c r="K188" s="20">
        <v>53.854999999999997</v>
      </c>
      <c r="L188" s="20">
        <v>54.365000000000002</v>
      </c>
      <c r="M188" s="20">
        <v>55.524999999999999</v>
      </c>
      <c r="N188" s="20">
        <v>54.835000000000001</v>
      </c>
      <c r="O188" s="20">
        <v>56.185000000000002</v>
      </c>
      <c r="P188" s="20">
        <v>63.67</v>
      </c>
    </row>
    <row r="189" spans="1:16" x14ac:dyDescent="0.35">
      <c r="A189" s="3" t="s">
        <v>211</v>
      </c>
      <c r="B189" s="24" t="s">
        <v>217</v>
      </c>
      <c r="C189" s="19" t="s">
        <v>227</v>
      </c>
      <c r="D189" s="10">
        <f t="shared" si="3"/>
        <v>337.6</v>
      </c>
      <c r="E189" s="20">
        <v>26.771000000000001</v>
      </c>
      <c r="F189" s="20">
        <v>26.05</v>
      </c>
      <c r="G189" s="20">
        <v>29.553999999999998</v>
      </c>
      <c r="H189" s="20">
        <v>30.52</v>
      </c>
      <c r="I189" s="20">
        <v>30.035</v>
      </c>
      <c r="J189" s="20">
        <v>29.86</v>
      </c>
      <c r="K189" s="20">
        <v>28.1</v>
      </c>
      <c r="L189" s="20">
        <v>28.245000000000001</v>
      </c>
      <c r="M189" s="20">
        <v>26.823</v>
      </c>
      <c r="N189" s="20">
        <v>26.891999999999999</v>
      </c>
      <c r="O189" s="20">
        <v>26.963999999999999</v>
      </c>
      <c r="P189" s="20">
        <v>27.786000000000001</v>
      </c>
    </row>
    <row r="190" spans="1:16" x14ac:dyDescent="0.35">
      <c r="A190" s="3" t="s">
        <v>211</v>
      </c>
      <c r="B190" s="24" t="s">
        <v>218</v>
      </c>
      <c r="C190" s="19" t="s">
        <v>227</v>
      </c>
      <c r="D190" s="10">
        <f t="shared" si="3"/>
        <v>296.13700000000006</v>
      </c>
      <c r="E190" s="20">
        <v>25.31</v>
      </c>
      <c r="F190" s="20">
        <v>23.715</v>
      </c>
      <c r="G190" s="20">
        <v>26.876999999999999</v>
      </c>
      <c r="H190" s="20">
        <v>27.221</v>
      </c>
      <c r="I190" s="20">
        <v>27.175000000000001</v>
      </c>
      <c r="J190" s="20">
        <v>27.175000000000001</v>
      </c>
      <c r="K190" s="20">
        <v>24.29</v>
      </c>
      <c r="L190" s="20">
        <v>22.64</v>
      </c>
      <c r="M190" s="20">
        <v>22.536999999999999</v>
      </c>
      <c r="N190" s="20">
        <v>22.78</v>
      </c>
      <c r="O190" s="20">
        <v>22.637</v>
      </c>
      <c r="P190" s="20">
        <v>23.78</v>
      </c>
    </row>
    <row r="191" spans="1:16" x14ac:dyDescent="0.35">
      <c r="A191" s="3" t="s">
        <v>211</v>
      </c>
      <c r="B191" s="24" t="s">
        <v>219</v>
      </c>
      <c r="C191" s="19" t="s">
        <v>227</v>
      </c>
      <c r="D191" s="10">
        <f t="shared" si="3"/>
        <v>4305.6909999999998</v>
      </c>
      <c r="E191" s="20">
        <v>337.59100000000001</v>
      </c>
      <c r="F191" s="20">
        <v>326.50599999999997</v>
      </c>
      <c r="G191" s="20">
        <v>381.053</v>
      </c>
      <c r="H191" s="20">
        <v>416.928</v>
      </c>
      <c r="I191" s="20">
        <v>398.50900000000001</v>
      </c>
      <c r="J191" s="20">
        <v>374.42099999999999</v>
      </c>
      <c r="K191" s="20">
        <v>324.07499999999999</v>
      </c>
      <c r="L191" s="20">
        <v>330.87900000000002</v>
      </c>
      <c r="M191" s="20">
        <v>349.57</v>
      </c>
      <c r="N191" s="20">
        <v>357.06599999999997</v>
      </c>
      <c r="O191" s="20">
        <v>347.81700000000001</v>
      </c>
      <c r="P191" s="20">
        <v>361.27600000000001</v>
      </c>
    </row>
    <row r="192" spans="1:16" x14ac:dyDescent="0.35">
      <c r="A192" s="3" t="s">
        <v>211</v>
      </c>
      <c r="B192" s="24" t="s">
        <v>220</v>
      </c>
      <c r="C192" s="19" t="s">
        <v>227</v>
      </c>
      <c r="D192" s="10">
        <f t="shared" si="3"/>
        <v>477.221</v>
      </c>
      <c r="E192" s="20">
        <v>33.698999999999998</v>
      </c>
      <c r="F192" s="20">
        <v>33.704000000000001</v>
      </c>
      <c r="G192" s="20">
        <v>38.718000000000004</v>
      </c>
      <c r="H192" s="20">
        <v>44.034999999999997</v>
      </c>
      <c r="I192" s="20">
        <v>44.518999999999998</v>
      </c>
      <c r="J192" s="20">
        <v>41.363</v>
      </c>
      <c r="K192" s="20">
        <v>41.868000000000002</v>
      </c>
      <c r="L192" s="20">
        <v>39.048999999999999</v>
      </c>
      <c r="M192" s="20">
        <v>37.808</v>
      </c>
      <c r="N192" s="20">
        <v>39.866999999999997</v>
      </c>
      <c r="O192" s="20">
        <v>38.661000000000001</v>
      </c>
      <c r="P192" s="20">
        <v>43.93</v>
      </c>
    </row>
    <row r="193" spans="1:16" x14ac:dyDescent="0.35">
      <c r="A193" s="3" t="s">
        <v>221</v>
      </c>
      <c r="B193" s="24" t="s">
        <v>222</v>
      </c>
      <c r="C193" s="19" t="s">
        <v>227</v>
      </c>
      <c r="D193" s="10">
        <f t="shared" si="3"/>
        <v>6492.6152300000003</v>
      </c>
      <c r="E193" s="20">
        <v>485.1062</v>
      </c>
      <c r="F193" s="20">
        <v>510.16058000000004</v>
      </c>
      <c r="G193" s="20">
        <v>596.49353000000008</v>
      </c>
      <c r="H193" s="20">
        <v>617.24341000000004</v>
      </c>
      <c r="I193" s="20">
        <v>596.07667000000004</v>
      </c>
      <c r="J193" s="20">
        <v>545.24443999999994</v>
      </c>
      <c r="K193" s="20">
        <v>492.62440000000004</v>
      </c>
      <c r="L193" s="20">
        <v>521.21238000000005</v>
      </c>
      <c r="M193" s="20">
        <v>525.61103000000003</v>
      </c>
      <c r="N193" s="20">
        <v>523.90503000000001</v>
      </c>
      <c r="O193" s="20">
        <v>531.8152</v>
      </c>
      <c r="P193" s="20">
        <v>547.12235999999996</v>
      </c>
    </row>
    <row r="194" spans="1:16" x14ac:dyDescent="0.35">
      <c r="A194" s="3" t="s">
        <v>223</v>
      </c>
      <c r="B194" s="24" t="s">
        <v>224</v>
      </c>
      <c r="C194" s="19" t="s">
        <v>227</v>
      </c>
      <c r="D194" s="10">
        <f t="shared" si="3"/>
        <v>15703.319000000001</v>
      </c>
      <c r="E194" s="20">
        <v>1213.529</v>
      </c>
      <c r="F194" s="20">
        <v>1229.4749999999999</v>
      </c>
      <c r="G194" s="20">
        <v>1470.67</v>
      </c>
      <c r="H194" s="20">
        <v>1460.095</v>
      </c>
      <c r="I194" s="20">
        <v>1439.5219999999999</v>
      </c>
      <c r="J194" s="20">
        <v>1352.335</v>
      </c>
      <c r="K194" s="20">
        <v>1210.9749999999999</v>
      </c>
      <c r="L194" s="20">
        <v>1276.8409999999999</v>
      </c>
      <c r="M194" s="20">
        <v>1295.0429999999999</v>
      </c>
      <c r="N194" s="20">
        <v>1238.046</v>
      </c>
      <c r="O194" s="20">
        <v>1229.4390000000001</v>
      </c>
      <c r="P194" s="20">
        <v>1287.3489999999999</v>
      </c>
    </row>
    <row r="195" spans="1:16" x14ac:dyDescent="0.35">
      <c r="A195" s="4" t="s">
        <v>223</v>
      </c>
      <c r="B195" s="25" t="s">
        <v>225</v>
      </c>
      <c r="C195" s="23" t="s">
        <v>227</v>
      </c>
      <c r="D195" s="38">
        <f t="shared" si="3"/>
        <v>1950.6379999999999</v>
      </c>
      <c r="E195" s="21">
        <v>153.72999999999999</v>
      </c>
      <c r="F195" s="21">
        <v>150.29300000000001</v>
      </c>
      <c r="G195" s="21">
        <v>178.40600000000001</v>
      </c>
      <c r="H195" s="21">
        <v>182.72300000000001</v>
      </c>
      <c r="I195" s="21">
        <v>176.69300000000001</v>
      </c>
      <c r="J195" s="21">
        <v>163.084</v>
      </c>
      <c r="K195" s="21">
        <v>162.20599999999999</v>
      </c>
      <c r="L195" s="21">
        <v>156.548</v>
      </c>
      <c r="M195" s="21">
        <v>156.72499999999999</v>
      </c>
      <c r="N195" s="21">
        <v>152.74199999999999</v>
      </c>
      <c r="O195" s="21">
        <v>155.62100000000001</v>
      </c>
      <c r="P195" s="21">
        <v>161.86699999999999</v>
      </c>
    </row>
    <row r="196" spans="1:16" hidden="1" x14ac:dyDescent="0.35">
      <c r="A196" s="39" t="s">
        <v>223</v>
      </c>
      <c r="B196" s="31" t="s">
        <v>226</v>
      </c>
      <c r="C196" s="32" t="s">
        <v>227</v>
      </c>
      <c r="D196" s="40">
        <f t="shared" si="3"/>
        <v>0</v>
      </c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</row>
    <row r="197" spans="1:16" x14ac:dyDescent="0.35">
      <c r="A197" s="14" t="s">
        <v>242</v>
      </c>
    </row>
    <row r="198" spans="1:16" x14ac:dyDescent="0.35">
      <c r="A198" s="14" t="s">
        <v>243</v>
      </c>
    </row>
  </sheetData>
  <mergeCells count="4">
    <mergeCell ref="A5:A6"/>
    <mergeCell ref="A2:O2"/>
    <mergeCell ref="A3:O3"/>
    <mergeCell ref="A4:O4"/>
  </mergeCells>
  <pageMargins left="0.7" right="0.7" top="0.75" bottom="0.75" header="0.3" footer="0.3"/>
  <pageSetup scale="56" orientation="portrait" r:id="rId1"/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12.4</vt:lpstr>
      <vt:lpstr>'12.4'!Print_Area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2023-10-23T23:08:17Z</cp:lastPrinted>
  <dcterms:created xsi:type="dcterms:W3CDTF">2019-05-21T05:57:01Z</dcterms:created>
  <dcterms:modified xsi:type="dcterms:W3CDTF">2023-10-23T23:08:27Z</dcterms:modified>
</cp:coreProperties>
</file>