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88896778-6B9E-4F0F-86A4-8FC1E18BB1B8}" xr6:coauthVersionLast="47" xr6:coauthVersionMax="47" xr10:uidLastSave="{00000000-0000-0000-0000-000000000000}"/>
  <bookViews>
    <workbookView xWindow="-110" yWindow="-110" windowWidth="19420" windowHeight="10300" tabRatio="801" xr2:uid="{00000000-000D-0000-FFFF-FFFF00000000}"/>
  </bookViews>
  <sheets>
    <sheet name="12.6" sheetId="6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'12.6'!$A$1:$Q$56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6" l="1"/>
  <c r="O18" i="6"/>
  <c r="O19" i="6"/>
  <c r="O6" i="6"/>
  <c r="O12" i="6" s="1"/>
  <c r="O13" i="6" l="1"/>
  <c r="O15" i="6"/>
  <c r="O14" i="6"/>
  <c r="O11" i="6" l="1"/>
  <c r="O20" i="6" s="1"/>
  <c r="N19" i="6" l="1"/>
  <c r="N18" i="6"/>
  <c r="N17" i="6"/>
  <c r="N6" i="6"/>
  <c r="O16" i="6" s="1"/>
  <c r="N12" i="6" l="1"/>
  <c r="N13" i="6"/>
  <c r="N14" i="6"/>
  <c r="N15" i="6"/>
  <c r="N11" i="6" l="1"/>
  <c r="N20" i="6" s="1"/>
  <c r="M19" i="6" l="1"/>
  <c r="M18" i="6"/>
  <c r="M17" i="6"/>
  <c r="M6" i="6"/>
  <c r="N16" i="6" s="1"/>
  <c r="M12" i="6" l="1"/>
  <c r="M13" i="6"/>
  <c r="M14" i="6"/>
  <c r="M15" i="6"/>
  <c r="M11" i="6" l="1"/>
  <c r="M20" i="6" s="1"/>
  <c r="D20" i="6" l="1"/>
  <c r="L19" i="6"/>
  <c r="K19" i="6"/>
  <c r="J19" i="6"/>
  <c r="I19" i="6"/>
  <c r="D19" i="6"/>
  <c r="L18" i="6"/>
  <c r="K18" i="6"/>
  <c r="J18" i="6"/>
  <c r="I18" i="6"/>
  <c r="F18" i="6"/>
  <c r="E18" i="6"/>
  <c r="D18" i="6"/>
  <c r="L17" i="6"/>
  <c r="K17" i="6"/>
  <c r="J17" i="6"/>
  <c r="I17" i="6"/>
  <c r="F17" i="6"/>
  <c r="E17" i="6"/>
  <c r="D17" i="6"/>
  <c r="G10" i="6"/>
  <c r="G20" i="6" s="1"/>
  <c r="E10" i="6"/>
  <c r="B10" i="6"/>
  <c r="C20" i="6" s="1"/>
  <c r="G9" i="6"/>
  <c r="G19" i="6" s="1"/>
  <c r="E9" i="6"/>
  <c r="F19" i="6" s="1"/>
  <c r="B9" i="6"/>
  <c r="B19" i="6" s="1"/>
  <c r="G8" i="6"/>
  <c r="B8" i="6"/>
  <c r="B18" i="6" s="1"/>
  <c r="G7" i="6"/>
  <c r="H17" i="6" s="1"/>
  <c r="B7" i="6"/>
  <c r="L6" i="6"/>
  <c r="K6" i="6"/>
  <c r="K15" i="6" s="1"/>
  <c r="J6" i="6"/>
  <c r="J15" i="6" s="1"/>
  <c r="I6" i="6"/>
  <c r="I13" i="6" s="1"/>
  <c r="H6" i="6"/>
  <c r="F6" i="6"/>
  <c r="F14" i="6" s="1"/>
  <c r="D6" i="6"/>
  <c r="D12" i="6" s="1"/>
  <c r="C6" i="6"/>
  <c r="C15" i="6" s="1"/>
  <c r="B6" i="6" l="1"/>
  <c r="B16" i="6" s="1"/>
  <c r="E6" i="6"/>
  <c r="E15" i="6" s="1"/>
  <c r="D14" i="6"/>
  <c r="J14" i="6"/>
  <c r="L12" i="6"/>
  <c r="M16" i="6"/>
  <c r="L16" i="6"/>
  <c r="L13" i="6"/>
  <c r="K14" i="6"/>
  <c r="D15" i="6"/>
  <c r="B20" i="6"/>
  <c r="C13" i="6"/>
  <c r="D16" i="6"/>
  <c r="C18" i="6"/>
  <c r="C19" i="6"/>
  <c r="J13" i="6"/>
  <c r="H20" i="6"/>
  <c r="K13" i="6"/>
  <c r="H19" i="6"/>
  <c r="C14" i="6"/>
  <c r="L14" i="6"/>
  <c r="L15" i="6"/>
  <c r="E13" i="6"/>
  <c r="E16" i="6"/>
  <c r="I16" i="6"/>
  <c r="E20" i="6"/>
  <c r="F12" i="6"/>
  <c r="H14" i="6"/>
  <c r="J16" i="6"/>
  <c r="G17" i="6"/>
  <c r="F20" i="6"/>
  <c r="G6" i="6"/>
  <c r="G12" i="6" s="1"/>
  <c r="D13" i="6"/>
  <c r="I14" i="6"/>
  <c r="F15" i="6"/>
  <c r="K16" i="6"/>
  <c r="H12" i="6"/>
  <c r="H15" i="6"/>
  <c r="B17" i="6"/>
  <c r="G18" i="6"/>
  <c r="F13" i="6"/>
  <c r="J12" i="6"/>
  <c r="I15" i="6"/>
  <c r="F16" i="6"/>
  <c r="C17" i="6"/>
  <c r="H18" i="6"/>
  <c r="E19" i="6"/>
  <c r="C12" i="6"/>
  <c r="K12" i="6"/>
  <c r="H13" i="6"/>
  <c r="I12" i="6"/>
  <c r="E12" i="6" l="1"/>
  <c r="E11" i="6" s="1"/>
  <c r="E14" i="6"/>
  <c r="B13" i="6"/>
  <c r="B14" i="6"/>
  <c r="B12" i="6"/>
  <c r="D11" i="6"/>
  <c r="C11" i="6"/>
  <c r="B15" i="6"/>
  <c r="B11" i="6" s="1"/>
  <c r="C16" i="6"/>
  <c r="I11" i="6"/>
  <c r="I20" i="6" s="1"/>
  <c r="J11" i="6"/>
  <c r="J20" i="6" s="1"/>
  <c r="G13" i="6"/>
  <c r="F11" i="6"/>
  <c r="K11" i="6"/>
  <c r="K20" i="6" s="1"/>
  <c r="L11" i="6"/>
  <c r="L20" i="6" s="1"/>
  <c r="H11" i="6"/>
  <c r="G16" i="6"/>
  <c r="G15" i="6"/>
  <c r="G14" i="6"/>
  <c r="H16" i="6"/>
  <c r="G11" i="6" l="1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<sst xmlns="http://schemas.openxmlformats.org/spreadsheetml/2006/main" count="38" uniqueCount="23">
  <si>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</si>
  <si>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</si>
  <si>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</si>
  <si>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</si>
  <si>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</si>
  <si>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</si>
  <si>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</si>
  <si>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</si>
  <si>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</si>
  <si>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</si>
  <si>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</si>
  <si>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</si>
  <si>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</si>
  <si>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</si>
  <si>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</si>
  <si>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</si>
  <si>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</si>
  <si>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</si>
  <si>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Commercial</t>
  </si>
  <si>
    <t>Source: Male' Water &amp; Sewerage Company  Limited</t>
  </si>
  <si>
    <t>cDeTimil Inepcmok cjErevcs cDcnea rwTOv ElWm :ctWrwf ivcaedutWmUluawm</t>
  </si>
  <si>
    <t>2021 - 2010  ,urwvcnim unuverukcnunEb iawgElWm cnef Everukclib  : 12.6  ulwvWt</t>
  </si>
  <si>
    <t>Table 12.6 : BILLED WATER CONSUMPTION IN MALE',   2010 - 2021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</si>
</sst>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7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_Faseyha"/>
    </font>
    <font>
      <b/>
      <sz val="12"/>
      <color theme="1"/>
      <name val="Calibri"/>
      <family val="2"/>
      <scheme val="minor"/>
    </font>
    <font>
      <b/>
      <sz val="9"/>
      <name val="A_Funa"/>
    </font>
    <font>
      <b/>
      <sz val="9"/>
      <color theme="1"/>
      <name val="A_Faseyha"/>
    </font>
    <font>
      <sz val="10"/>
      <name val="Garamond"/>
      <family val="1"/>
    </font>
    <font>
      <sz val="9"/>
      <color theme="1"/>
      <name val="Garamond"/>
      <family val="1"/>
    </font>
    <font>
      <sz val="10"/>
      <color theme="1"/>
      <name val="A_Faseyha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24" fillId="0" borderId="0"/>
    <xf numFmtId="164" fontId="2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4" fillId="2" borderId="0" xfId="3" applyFont="1" applyFill="1" applyAlignment="1">
      <alignment vertical="center" wrapText="1"/>
    </xf>
    <xf numFmtId="0" fontId="4" fillId="2" borderId="0" xfId="3" applyFont="1" applyFill="1" applyAlignment="1">
      <alignment horizontal="center" vertical="center" wrapText="1"/>
    </xf>
    <xf numFmtId="0" fontId="2" fillId="2" borderId="0" xfId="3" applyFill="1"/>
    <xf numFmtId="0" fontId="5" fillId="2" borderId="2" xfId="0" applyFont="1" applyFill="1" applyBorder="1" applyAlignment="1">
      <alignment horizontal="left" vertical="center"/>
    </xf>
    <xf numFmtId="0" fontId="7" fillId="2" borderId="0" xfId="0" applyFont="1" applyFill="1"/>
    <xf numFmtId="0" fontId="0" fillId="2" borderId="0" xfId="0" applyFill="1" applyAlignment="1">
      <alignment vertical="center"/>
    </xf>
    <xf numFmtId="0" fontId="21" fillId="2" borderId="0" xfId="0" applyFont="1" applyFill="1" applyAlignment="1">
      <alignment vertical="center"/>
    </xf>
    <xf numFmtId="3" fontId="0" fillId="2" borderId="0" xfId="1" applyNumberFormat="1" applyFont="1" applyFill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right" vertical="center"/>
    </xf>
    <xf numFmtId="0" fontId="9" fillId="2" borderId="0" xfId="0" applyFont="1" applyFill="1"/>
    <xf numFmtId="0" fontId="13" fillId="2" borderId="0" xfId="5" applyFont="1" applyFill="1" applyAlignment="1">
      <alignment horizontal="right"/>
    </xf>
    <xf numFmtId="0" fontId="7" fillId="2" borderId="0" xfId="0" applyFont="1" applyFill="1" applyAlignment="1">
      <alignment vertical="center"/>
    </xf>
    <xf numFmtId="0" fontId="10" fillId="2" borderId="0" xfId="0" applyFont="1" applyFill="1"/>
    <xf numFmtId="0" fontId="8" fillId="2" borderId="0" xfId="5" applyFont="1" applyFill="1"/>
    <xf numFmtId="0" fontId="11" fillId="2" borderId="0" xfId="5" applyFont="1" applyFill="1" applyAlignment="1">
      <alignment horizontal="right"/>
    </xf>
    <xf numFmtId="0" fontId="19" fillId="2" borderId="0" xfId="5" applyFont="1" applyFill="1"/>
    <xf numFmtId="0" fontId="19" fillId="2" borderId="0" xfId="5" applyFont="1" applyFill="1" applyAlignment="1">
      <alignment vertical="center"/>
    </xf>
    <xf numFmtId="0" fontId="12" fillId="2" borderId="0" xfId="0" applyFont="1" applyFill="1"/>
    <xf numFmtId="1" fontId="0" fillId="2" borderId="0" xfId="0" applyNumberFormat="1" applyFill="1"/>
    <xf numFmtId="0" fontId="12" fillId="2" borderId="0" xfId="0" applyFont="1" applyFill="1" applyAlignment="1">
      <alignment vertical="center"/>
    </xf>
    <xf numFmtId="165" fontId="21" fillId="2" borderId="0" xfId="1" applyNumberFormat="1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22" fillId="2" borderId="0" xfId="0" applyFont="1" applyFill="1"/>
    <xf numFmtId="165" fontId="0" fillId="2" borderId="0" xfId="1" applyNumberFormat="1" applyFont="1" applyFill="1" applyAlignment="1">
      <alignment vertical="center"/>
    </xf>
    <xf numFmtId="0" fontId="23" fillId="2" borderId="0" xfId="0" applyFont="1" applyFill="1"/>
    <xf numFmtId="167" fontId="23" fillId="2" borderId="0" xfId="0" applyNumberFormat="1" applyFont="1" applyFill="1"/>
    <xf numFmtId="0" fontId="0" fillId="2" borderId="3" xfId="0" applyFill="1" applyBorder="1" applyAlignment="1">
      <alignment vertical="center"/>
    </xf>
    <xf numFmtId="165" fontId="0" fillId="2" borderId="3" xfId="1" applyNumberFormat="1" applyFont="1" applyFill="1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165" fontId="21" fillId="2" borderId="0" xfId="1" applyNumberFormat="1" applyFont="1" applyFill="1" applyBorder="1" applyAlignment="1">
      <alignment horizontal="right" vertical="center"/>
    </xf>
    <xf numFmtId="165" fontId="0" fillId="2" borderId="0" xfId="1" applyNumberFormat="1" applyFont="1" applyFill="1" applyAlignment="1">
      <alignment horizontal="right" vertical="center"/>
    </xf>
    <xf numFmtId="165" fontId="0" fillId="2" borderId="3" xfId="1" applyNumberFormat="1" applyFont="1" applyFill="1" applyBorder="1" applyAlignment="1">
      <alignment horizontal="right" vertical="center"/>
    </xf>
    <xf numFmtId="37" fontId="0" fillId="2" borderId="3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0" fontId="0" fillId="2" borderId="1" xfId="0" applyFill="1" applyBorder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20" fillId="2" borderId="3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165" fontId="21" fillId="2" borderId="0" xfId="1" applyNumberFormat="1" applyFont="1" applyFill="1" applyAlignment="1">
      <alignment horizontal="right" vertical="center"/>
    </xf>
    <xf numFmtId="165" fontId="0" fillId="2" borderId="4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right" vertical="center" wrapText="1"/>
    </xf>
    <xf numFmtId="0" fontId="16" fillId="2" borderId="1" xfId="3" applyFont="1" applyFill="1" applyBorder="1" applyAlignment="1">
      <alignment horizontal="left" vertical="center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B8-48DD-A513-EF5629055382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B8-48DD-A513-EF56290553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2B8-48DD-A513-EF5629055382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B8-48DD-A513-EF5629055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2060312"/>
        <c:axId val="462061096"/>
      </c:barChart>
      <c:catAx>
        <c:axId val="462060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2061096"/>
        <c:crosses val="autoZero"/>
        <c:auto val="1"/>
        <c:lblAlgn val="ctr"/>
        <c:lblOffset val="100"/>
        <c:noMultiLvlLbl val="0"/>
      </c:catAx>
      <c:valAx>
        <c:axId val="462061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060312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347-4623-AAE4-536561098CB0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347-4623-AAE4-536561098C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347-4623-AAE4-536561098CB0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47-4623-AAE4-536561098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3355488"/>
        <c:axId val="463359800"/>
      </c:barChart>
      <c:catAx>
        <c:axId val="46335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3359800"/>
        <c:crosses val="autoZero"/>
        <c:auto val="1"/>
        <c:lblAlgn val="ctr"/>
        <c:lblOffset val="100"/>
        <c:noMultiLvlLbl val="0"/>
      </c:catAx>
      <c:valAx>
        <c:axId val="463359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355488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368"/>
          <c:y val="0.17376292539326452"/>
          <c:w val="0.3786486507917628"/>
          <c:h val="0.78849002212974617"/>
        </c:manualLayout>
      </c:layout>
      <c:pieChart>
        <c:varyColors val="1"/>
        <c:ser>
          <c:idx val="0"/>
          <c:order val="0"/>
          <c:spPr>
            <a:solidFill>
              <a:srgbClr val="FDD1D2"/>
            </a:solidFill>
          </c:spPr>
          <c:explosion val="2"/>
          <c:dPt>
            <c:idx val="1"/>
            <c:bubble3D val="0"/>
            <c:spPr>
              <a:solidFill>
                <a:srgbClr val="E08CAA"/>
              </a:solidFill>
            </c:spPr>
            <c:extLst>
              <c:ext xmlns:c16="http://schemas.microsoft.com/office/drawing/2014/chart" uri="{C3380CC4-5D6E-409C-BE32-E72D297353CC}">
                <c16:uniqueId val="{00000000-FE25-4758-96F5-5927E52D377F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FE25-4758-96F5-5927E52D377F}"/>
              </c:ext>
            </c:extLst>
          </c:dPt>
          <c:dLbls>
            <c:dLbl>
              <c:idx val="0"/>
              <c:layout>
                <c:manualLayout>
                  <c:x val="-0.11330195701473454"/>
                  <c:y val="-0.230639790137418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07-46FF-A4C0-EA9392DCE2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'12.6'!$A$12:$A$14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'12.6'!$O$12:$O$14</c:f>
              <c:numCache>
                <c:formatCode>_(* #,##0_);_(* \(#,##0\);_(* "-"??_);_(@_)</c:formatCode>
                <c:ptCount val="3"/>
                <c:pt idx="0">
                  <c:v>79.203085990401007</c:v>
                </c:pt>
                <c:pt idx="1">
                  <c:v>9.6831426034125681</c:v>
                </c:pt>
                <c:pt idx="2">
                  <c:v>11.113771406186432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44-407F-9F69-8AB38D7E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12.5: Percentage share of </a:t>
            </a:r>
            <a:r>
              <a:rPr lang="en-US" sz="1050" b="1" i="0" baseline="0">
                <a:effectLst/>
              </a:rPr>
              <a:t>water</a:t>
            </a:r>
            <a:r>
              <a:rPr lang="en-US" sz="1200" b="1" i="0" baseline="0">
                <a:effectLst/>
              </a:rPr>
              <a:t> consumption in Male', 2010 - 2021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1605390131310367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1275302915902E-2"/>
          <c:y val="0.12003236245954693"/>
          <c:w val="0.93109740049617085"/>
          <c:h val="0.731673530662663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'12.6'!$A$12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'12.6'!$D$5:$O$5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'12.6'!$D$12:$O$12</c:f>
              <c:numCache>
                <c:formatCode>_(* #,##0_);_(* \(#,##0\);_(* "-"??_);_(@_)</c:formatCode>
                <c:ptCount val="12"/>
                <c:pt idx="0">
                  <c:v>80.356260074400723</c:v>
                </c:pt>
                <c:pt idx="1">
                  <c:v>79.909854988124479</c:v>
                </c:pt>
                <c:pt idx="2">
                  <c:v>81.575217913353299</c:v>
                </c:pt>
                <c:pt idx="3">
                  <c:v>81.434627477763883</c:v>
                </c:pt>
                <c:pt idx="4">
                  <c:v>81.622250460351694</c:v>
                </c:pt>
                <c:pt idx="5">
                  <c:v>80.455612260492032</c:v>
                </c:pt>
                <c:pt idx="6">
                  <c:v>79.666147431903866</c:v>
                </c:pt>
                <c:pt idx="7">
                  <c:v>78.03924400927842</c:v>
                </c:pt>
                <c:pt idx="8">
                  <c:v>77.366574155349696</c:v>
                </c:pt>
                <c:pt idx="9">
                  <c:v>77.465989037351534</c:v>
                </c:pt>
                <c:pt idx="10">
                  <c:v>79.607192626018104</c:v>
                </c:pt>
                <c:pt idx="11">
                  <c:v>79.203085990401007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5-463E-9211-AE1E4FC386A1}"/>
            </c:ext>
          </c:extLst>
        </c:ser>
        <c:ser>
          <c:idx val="1"/>
          <c:order val="1"/>
          <c:tx>
            <c:strRef>
              <c:f>'12.6'!$A$13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E08CAA"/>
            </a:solidFill>
            <a:ln>
              <a:noFill/>
            </a:ln>
            <a:effectLst/>
          </c:spPr>
          <c:invertIfNegative val="0"/>
          <c:cat>
            <c:numRef>
              <c:f>'12.6'!$D$5:$O$5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'12.6'!$D$13:$O$13</c:f>
              <c:numCache>
                <c:formatCode>_(* #,##0_);_(* \(#,##0\);_(* "-"??_);_(@_)</c:formatCode>
                <c:ptCount val="12"/>
                <c:pt idx="0">
                  <c:v>9.6012597792971395</c:v>
                </c:pt>
                <c:pt idx="1">
                  <c:v>8.2734249061250207</c:v>
                </c:pt>
                <c:pt idx="2">
                  <c:v>8.6585503819099223</c:v>
                </c:pt>
                <c:pt idx="3">
                  <c:v>8.6110823719206468</c:v>
                </c:pt>
                <c:pt idx="4">
                  <c:v>7.9657282579766413</c:v>
                </c:pt>
                <c:pt idx="5">
                  <c:v>8.974758486056313</c:v>
                </c:pt>
                <c:pt idx="6">
                  <c:v>9.2327248667262634</c:v>
                </c:pt>
                <c:pt idx="7">
                  <c:v>9.7815984466118078</c:v>
                </c:pt>
                <c:pt idx="8">
                  <c:v>10.023382223811055</c:v>
                </c:pt>
                <c:pt idx="9">
                  <c:v>9.3947708160982177</c:v>
                </c:pt>
                <c:pt idx="10">
                  <c:v>9.0850920200925049</c:v>
                </c:pt>
                <c:pt idx="11">
                  <c:v>9.6831426034125681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5-463E-9211-AE1E4FC386A1}"/>
            </c:ext>
          </c:extLst>
        </c:ser>
        <c:ser>
          <c:idx val="2"/>
          <c:order val="2"/>
          <c:tx>
            <c:strRef>
              <c:f>'12.6'!$A$14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FDD1D2"/>
            </a:solidFill>
            <a:ln>
              <a:noFill/>
            </a:ln>
            <a:effectLst/>
          </c:spPr>
          <c:invertIfNegative val="0"/>
          <c:cat>
            <c:numRef>
              <c:f>'12.6'!$D$5:$O$5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'12.6'!$D$14:$O$14</c:f>
              <c:numCache>
                <c:formatCode>_(* #,##0_);_(* \(#,##0\);_(* "-"??_);_(@_)</c:formatCode>
                <c:ptCount val="12"/>
                <c:pt idx="0">
                  <c:v>9.5945295948963185</c:v>
                </c:pt>
                <c:pt idx="1">
                  <c:v>11.695455640524797</c:v>
                </c:pt>
                <c:pt idx="2">
                  <c:v>9.735177337275406</c:v>
                </c:pt>
                <c:pt idx="3">
                  <c:v>9.9011593689189166</c:v>
                </c:pt>
                <c:pt idx="4">
                  <c:v>10.346710397478317</c:v>
                </c:pt>
                <c:pt idx="5">
                  <c:v>10.569629253451659</c:v>
                </c:pt>
                <c:pt idx="6">
                  <c:v>11.101127701369871</c:v>
                </c:pt>
                <c:pt idx="7">
                  <c:v>12.179157544109779</c:v>
                </c:pt>
                <c:pt idx="8">
                  <c:v>12.610043620839242</c:v>
                </c:pt>
                <c:pt idx="9">
                  <c:v>13.139240146550243</c:v>
                </c:pt>
                <c:pt idx="10">
                  <c:v>11.307715353889387</c:v>
                </c:pt>
                <c:pt idx="11">
                  <c:v>11.113771406186432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5-463E-9211-AE1E4FC386A1}"/>
            </c:ext>
          </c:extLst>
        </c:ser>
        <c:ser>
          <c:idx val="3"/>
          <c:order val="3"/>
          <c:tx>
            <c:strRef>
              <c:f>'12.6'!$A$15</c:f>
              <c:strCache>
                <c:ptCount val="1"/>
                <c:pt idx="0">
                  <c:v>Tap Bays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'12.6'!$D$5:$O$5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'12.6'!$D$15:$N$15</c:f>
              <c:numCache>
                <c:formatCode>_(* #,##0_);_(* \(#,##0\);_(* "-"??_);_(@_)</c:formatCode>
                <c:ptCount val="11"/>
                <c:pt idx="0">
                  <c:v>0.44795055140582801</c:v>
                </c:pt>
                <c:pt idx="1">
                  <c:v>0.12126446522570183</c:v>
                </c:pt>
                <c:pt idx="2">
                  <c:v>3.1054367461371937E-2</c:v>
                </c:pt>
                <c:pt idx="3">
                  <c:v>5.3130781396563576E-2</c:v>
                </c:pt>
                <c:pt idx="4">
                  <c:v>6.5310884193338331E-2</c:v>
                </c:pt>
                <c:pt idx="5" formatCode="#,##0_);\(#,##0\)">
                  <c:v>0</c:v>
                </c:pt>
                <c:pt idx="6" formatCode="#,##0_);\(#,##0\)">
                  <c:v>0</c:v>
                </c:pt>
                <c:pt idx="7" formatCode="#,##0_);\(#,##0\)">
                  <c:v>0</c:v>
                </c:pt>
                <c:pt idx="8" formatCode="#,##0_);\(#,##0\)">
                  <c:v>0</c:v>
                </c:pt>
                <c:pt idx="9" formatCode="#,##0_);\(#,##0\)">
                  <c:v>0</c:v>
                </c:pt>
                <c:pt idx="10" formatCode="#,##0_);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4-495F-A9B4-8B9DD330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360584"/>
        <c:axId val="463361368"/>
      </c:barChart>
      <c:catAx>
        <c:axId val="4633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368"/>
        <c:crosses val="autoZero"/>
        <c:auto val="1"/>
        <c:lblAlgn val="ctr"/>
        <c:lblOffset val="100"/>
        <c:noMultiLvlLbl val="0"/>
      </c:catAx>
      <c:valAx>
        <c:axId val="463361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C7F2F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0584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9711173087698328"/>
          <c:y val="0.926842779605066"/>
          <c:w val="0.40070664025627645"/>
          <c:h val="7.075521220224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15</xdr:col>
      <xdr:colOff>600076</xdr:colOff>
      <xdr:row>38</xdr:row>
      <xdr:rowOff>66675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15</xdr:col>
      <xdr:colOff>600076</xdr:colOff>
      <xdr:row>38</xdr:row>
      <xdr:rowOff>66675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15</xdr:col>
      <xdr:colOff>600076</xdr:colOff>
      <xdr:row>38</xdr:row>
      <xdr:rowOff>66675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911804</xdr:colOff>
      <xdr:row>23</xdr:row>
      <xdr:rowOff>36978</xdr:rowOff>
    </xdr:from>
    <xdr:to>
      <xdr:col>15</xdr:col>
      <xdr:colOff>209550</xdr:colOff>
      <xdr:row>24</xdr:row>
      <xdr:rowOff>108177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911804" y="4361328"/>
          <a:ext cx="5412796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tx1">
                  <a:lumMod val="65000"/>
                  <a:lumOff val="3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12.5: Percentage share of water consumption in Male', 2021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419099</xdr:colOff>
      <xdr:row>39</xdr:row>
      <xdr:rowOff>28575</xdr:rowOff>
    </xdr:from>
    <xdr:to>
      <xdr:col>15</xdr:col>
      <xdr:colOff>609600</xdr:colOff>
      <xdr:row>55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12.5.xlsx" TargetMode="External"/><Relationship Id="rId1" Type="http://schemas.openxmlformats.org/officeDocument/2006/relationships/externalLinkPath" Target="1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AF35"/>
  <sheetViews>
    <sheetView tabSelected="1" topLeftCell="D1" zoomScale="106" zoomScaleNormal="106" workbookViewId="0">
      <selection activeCell="L6" sqref="L6"/>
    </sheetView>
  </sheetViews>
  <sheetFormatPr defaultColWidth="9.1796875" defaultRowHeight="14.5" x14ac:dyDescent="0.35"/>
  <cols>
    <col min="1" max="1" width="27.1796875" style="1" customWidth="1"/>
    <col min="2" max="3" width="8.26953125" style="1" hidden="1" customWidth="1"/>
    <col min="4" max="4" width="7.453125" style="7" customWidth="1"/>
    <col min="5" max="15" width="8.54296875" style="7" customWidth="1"/>
    <col min="16" max="16" width="37.453125" style="1" customWidth="1"/>
    <col min="17" max="17" width="2.453125" style="1" customWidth="1"/>
    <col min="18" max="16384" width="9.1796875" style="1"/>
  </cols>
  <sheetData>
    <row r="2" spans="1:26" ht="18.5" x14ac:dyDescent="0.35">
      <c r="A2" s="48" t="s">
        <v>21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26" ht="15.5" x14ac:dyDescent="0.35">
      <c r="A3" s="49" t="s">
        <v>22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26" s="4" customFormat="1" ht="16.5" customHeight="1" x14ac:dyDescent="0.25">
      <c r="A4" s="50" t="s">
        <v>4</v>
      </c>
      <c r="B4" s="50"/>
      <c r="C4" s="50"/>
      <c r="D4" s="50"/>
      <c r="E4" s="50"/>
      <c r="F4" s="50"/>
      <c r="G4" s="50"/>
      <c r="H4" s="50"/>
      <c r="I4" s="50"/>
      <c r="J4" s="51" t="s">
        <v>5</v>
      </c>
      <c r="K4" s="51"/>
      <c r="L4" s="51"/>
      <c r="M4" s="51"/>
      <c r="N4" s="51"/>
      <c r="O4" s="51"/>
      <c r="P4" s="51"/>
      <c r="Q4" s="2"/>
      <c r="R4" s="2"/>
      <c r="S4" s="2"/>
      <c r="T4" s="2"/>
      <c r="U4" s="3"/>
    </row>
    <row r="5" spans="1:26" s="14" customFormat="1" ht="18" customHeight="1" x14ac:dyDescent="0.35">
      <c r="A5" s="5" t="s">
        <v>6</v>
      </c>
      <c r="B5" s="12">
        <v>2008</v>
      </c>
      <c r="C5" s="12">
        <v>2009</v>
      </c>
      <c r="D5" s="12">
        <v>2010</v>
      </c>
      <c r="E5" s="12">
        <v>2011</v>
      </c>
      <c r="F5" s="12">
        <v>2012</v>
      </c>
      <c r="G5" s="12">
        <v>2013</v>
      </c>
      <c r="H5" s="12">
        <v>2014</v>
      </c>
      <c r="I5" s="12">
        <v>2015</v>
      </c>
      <c r="J5" s="12">
        <v>2016</v>
      </c>
      <c r="K5" s="12">
        <v>2017</v>
      </c>
      <c r="L5" s="12">
        <v>2018</v>
      </c>
      <c r="M5" s="12">
        <v>2019</v>
      </c>
      <c r="N5" s="12">
        <v>2020</v>
      </c>
      <c r="O5" s="12">
        <v>2021</v>
      </c>
      <c r="P5" s="13" t="s">
        <v>3</v>
      </c>
      <c r="S5" s="15"/>
      <c r="T5" s="15"/>
      <c r="U5" s="15"/>
      <c r="V5" s="15"/>
      <c r="W5" s="15"/>
      <c r="X5" s="15"/>
      <c r="Y5" s="15"/>
      <c r="Z5" s="15"/>
    </row>
    <row r="6" spans="1:26" s="27" customFormat="1" ht="17" x14ac:dyDescent="0.3">
      <c r="A6" s="8" t="s">
        <v>7</v>
      </c>
      <c r="B6" s="25">
        <f t="shared" ref="B6:I6" si="0">SUM(B7:B10)</f>
        <v>2753.7502068822714</v>
      </c>
      <c r="C6" s="25">
        <f t="shared" si="0"/>
        <v>3122.326</v>
      </c>
      <c r="D6" s="45">
        <f t="shared" si="0"/>
        <v>3466.9183800000001</v>
      </c>
      <c r="E6" s="45">
        <f t="shared" si="0"/>
        <v>3852.5548200000003</v>
      </c>
      <c r="F6" s="45">
        <f t="shared" si="0"/>
        <v>4240.0155199999999</v>
      </c>
      <c r="G6" s="45">
        <f t="shared" si="0"/>
        <v>4509.2316299999993</v>
      </c>
      <c r="H6" s="45">
        <f t="shared" si="0"/>
        <v>4914.9541300000001</v>
      </c>
      <c r="I6" s="45">
        <f t="shared" si="0"/>
        <v>5700.0994599999995</v>
      </c>
      <c r="J6" s="45">
        <f t="shared" ref="J6:O6" si="1">SUM(J7:J10)</f>
        <v>5805.4536200000002</v>
      </c>
      <c r="K6" s="45">
        <f t="shared" si="1"/>
        <v>6298.49</v>
      </c>
      <c r="L6" s="45">
        <f t="shared" si="1"/>
        <v>6492.5390000000007</v>
      </c>
      <c r="M6" s="45">
        <f t="shared" si="1"/>
        <v>6812.9047799999971</v>
      </c>
      <c r="N6" s="45">
        <f t="shared" si="1"/>
        <v>6768.7456400000083</v>
      </c>
      <c r="O6" s="45">
        <f t="shared" si="1"/>
        <v>6761.781240000013</v>
      </c>
      <c r="P6" s="26" t="s">
        <v>8</v>
      </c>
    </row>
    <row r="7" spans="1:26" s="29" customFormat="1" ht="15.5" x14ac:dyDescent="0.3">
      <c r="A7" s="7" t="s">
        <v>9</v>
      </c>
      <c r="B7" s="28">
        <f>2149319.989999/1000</f>
        <v>2149.319989999</v>
      </c>
      <c r="C7" s="28">
        <v>2463.373</v>
      </c>
      <c r="D7" s="35">
        <v>2785.8859500000003</v>
      </c>
      <c r="E7" s="35">
        <v>3078.5709700000002</v>
      </c>
      <c r="F7" s="35">
        <v>3458.8018999999999</v>
      </c>
      <c r="G7" s="35">
        <f>3672075.98/1000</f>
        <v>3672.0759800000001</v>
      </c>
      <c r="H7" s="35">
        <v>4011.6961699999997</v>
      </c>
      <c r="I7" s="35">
        <v>4586.0499199999995</v>
      </c>
      <c r="J7" s="35">
        <v>4624.9812400000001</v>
      </c>
      <c r="K7" s="35">
        <v>4915.2939800000004</v>
      </c>
      <c r="L7" s="35">
        <v>5023.0550000000003</v>
      </c>
      <c r="M7" s="35">
        <v>5277.6840699999966</v>
      </c>
      <c r="N7" s="35">
        <v>5388.4083800000089</v>
      </c>
      <c r="O7" s="35">
        <v>5355.539410000013</v>
      </c>
      <c r="P7" s="42" t="s">
        <v>10</v>
      </c>
      <c r="S7" s="30"/>
      <c r="T7" s="30"/>
      <c r="U7" s="30"/>
      <c r="V7" s="30"/>
      <c r="W7" s="30"/>
      <c r="X7" s="30"/>
      <c r="Y7" s="30"/>
      <c r="Z7" s="30"/>
    </row>
    <row r="8" spans="1:26" s="29" customFormat="1" ht="15.5" x14ac:dyDescent="0.3">
      <c r="A8" s="7" t="s">
        <v>11</v>
      </c>
      <c r="B8" s="28">
        <f>311353.83/1000</f>
        <v>311.35383000000002</v>
      </c>
      <c r="C8" s="28">
        <v>325.00799999999998</v>
      </c>
      <c r="D8" s="35">
        <v>332.86784</v>
      </c>
      <c r="E8" s="35">
        <v>318.73822999999999</v>
      </c>
      <c r="F8" s="35">
        <v>367.12387999999999</v>
      </c>
      <c r="G8" s="35">
        <f>388293.65/1000</f>
        <v>388.29365000000001</v>
      </c>
      <c r="H8" s="35">
        <v>391.51188999999999</v>
      </c>
      <c r="I8" s="35">
        <v>511.57015999999999</v>
      </c>
      <c r="J8" s="35">
        <v>536.00156000000004</v>
      </c>
      <c r="K8" s="35">
        <v>616.09299999999996</v>
      </c>
      <c r="L8" s="35">
        <v>650.77200000000005</v>
      </c>
      <c r="M8" s="35">
        <v>640.05679000000021</v>
      </c>
      <c r="N8" s="35">
        <v>614.94677000000001</v>
      </c>
      <c r="O8" s="35">
        <v>654.7529199999999</v>
      </c>
      <c r="P8" s="42" t="s">
        <v>12</v>
      </c>
      <c r="S8" s="30"/>
    </row>
    <row r="9" spans="1:26" s="29" customFormat="1" ht="15.5" x14ac:dyDescent="0.3">
      <c r="A9" s="7" t="s">
        <v>13</v>
      </c>
      <c r="B9" s="28">
        <f>257761.626883271/1000</f>
        <v>257.76162688327099</v>
      </c>
      <c r="C9" s="28">
        <v>294.50900000000001</v>
      </c>
      <c r="D9" s="35">
        <v>332.63451000000003</v>
      </c>
      <c r="E9" s="35">
        <f>383.40205+67.17179</f>
        <v>450.57383999999996</v>
      </c>
      <c r="F9" s="35">
        <v>412.77303000000001</v>
      </c>
      <c r="G9" s="35">
        <f>446466.21/1000</f>
        <v>446.46621000000005</v>
      </c>
      <c r="H9" s="35">
        <v>508.53606999999994</v>
      </c>
      <c r="I9" s="35">
        <v>602.47937999999999</v>
      </c>
      <c r="J9" s="35">
        <v>644.47082</v>
      </c>
      <c r="K9" s="35">
        <v>767.10302000000001</v>
      </c>
      <c r="L9" s="35">
        <v>818.71199999999999</v>
      </c>
      <c r="M9" s="35">
        <v>895.16392000000019</v>
      </c>
      <c r="N9" s="35">
        <v>765.39048999999943</v>
      </c>
      <c r="O9" s="35">
        <v>751.48890999999981</v>
      </c>
      <c r="P9" s="42" t="s">
        <v>14</v>
      </c>
      <c r="S9" s="30"/>
    </row>
    <row r="10" spans="1:26" s="29" customFormat="1" ht="15.5" x14ac:dyDescent="0.3">
      <c r="A10" s="31" t="s">
        <v>15</v>
      </c>
      <c r="B10" s="32">
        <f>35314.76/1000</f>
        <v>35.31476</v>
      </c>
      <c r="C10" s="32">
        <v>39.436</v>
      </c>
      <c r="D10" s="36">
        <v>15.53008</v>
      </c>
      <c r="E10" s="36">
        <f>4.67178</f>
        <v>4.67178</v>
      </c>
      <c r="F10" s="36">
        <v>1.31671</v>
      </c>
      <c r="G10" s="36">
        <f>2395.79/1000</f>
        <v>2.3957899999999999</v>
      </c>
      <c r="H10" s="46">
        <v>3.21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3" t="s">
        <v>16</v>
      </c>
      <c r="S10" s="30"/>
    </row>
    <row r="11" spans="1:26" s="27" customFormat="1" ht="17" x14ac:dyDescent="0.3">
      <c r="A11" s="33" t="s">
        <v>17</v>
      </c>
      <c r="B11" s="34">
        <f>SUM(B12:B15)</f>
        <v>99.999999999999986</v>
      </c>
      <c r="C11" s="34">
        <f>SUM(C12:C15)</f>
        <v>100</v>
      </c>
      <c r="D11" s="34">
        <f t="shared" ref="D11:I11" si="2">SUM(D12:D15)</f>
        <v>100</v>
      </c>
      <c r="E11" s="34">
        <f t="shared" si="2"/>
        <v>100</v>
      </c>
      <c r="F11" s="34">
        <f t="shared" si="2"/>
        <v>99.999999999999986</v>
      </c>
      <c r="G11" s="34">
        <f t="shared" si="2"/>
        <v>100</v>
      </c>
      <c r="H11" s="34">
        <f t="shared" si="2"/>
        <v>99.999999999999986</v>
      </c>
      <c r="I11" s="34">
        <f t="shared" si="2"/>
        <v>100</v>
      </c>
      <c r="J11" s="34">
        <f t="shared" ref="J11:O11" si="3">SUM(J12:J15)</f>
        <v>100</v>
      </c>
      <c r="K11" s="34">
        <f t="shared" si="3"/>
        <v>100.00000000000001</v>
      </c>
      <c r="L11" s="34">
        <f t="shared" si="3"/>
        <v>100</v>
      </c>
      <c r="M11" s="34">
        <f t="shared" si="3"/>
        <v>100</v>
      </c>
      <c r="N11" s="34">
        <f t="shared" si="3"/>
        <v>100</v>
      </c>
      <c r="O11" s="34">
        <f t="shared" si="3"/>
        <v>100</v>
      </c>
      <c r="P11" s="26" t="s">
        <v>0</v>
      </c>
      <c r="S11" s="30"/>
    </row>
    <row r="12" spans="1:26" s="29" customFormat="1" ht="15.5" x14ac:dyDescent="0.3">
      <c r="A12" s="7" t="s">
        <v>9</v>
      </c>
      <c r="B12" s="35">
        <f t="shared" ref="B12:L12" si="4">B7/B6*100</f>
        <v>78.050651966447148</v>
      </c>
      <c r="C12" s="35">
        <f t="shared" si="4"/>
        <v>78.895445254595458</v>
      </c>
      <c r="D12" s="35">
        <f t="shared" si="4"/>
        <v>80.356260074400723</v>
      </c>
      <c r="E12" s="35">
        <f t="shared" si="4"/>
        <v>79.909854988124479</v>
      </c>
      <c r="F12" s="35">
        <f t="shared" si="4"/>
        <v>81.575217913353299</v>
      </c>
      <c r="G12" s="35">
        <f t="shared" si="4"/>
        <v>81.434627477763883</v>
      </c>
      <c r="H12" s="35">
        <f t="shared" si="4"/>
        <v>81.622250460351694</v>
      </c>
      <c r="I12" s="35">
        <f t="shared" si="4"/>
        <v>80.455612260492032</v>
      </c>
      <c r="J12" s="35">
        <f t="shared" si="4"/>
        <v>79.666147431903866</v>
      </c>
      <c r="K12" s="35">
        <f t="shared" si="4"/>
        <v>78.03924400927842</v>
      </c>
      <c r="L12" s="35">
        <f t="shared" si="4"/>
        <v>77.366574155349696</v>
      </c>
      <c r="M12" s="35">
        <f>M7/M6*100</f>
        <v>77.465989037351534</v>
      </c>
      <c r="N12" s="35">
        <f>N7/N6*100</f>
        <v>79.607192626018104</v>
      </c>
      <c r="O12" s="35">
        <f>O7/O6*100</f>
        <v>79.203085990401007</v>
      </c>
      <c r="P12" s="42" t="s">
        <v>10</v>
      </c>
      <c r="S12" s="30"/>
    </row>
    <row r="13" spans="1:26" s="29" customFormat="1" ht="15.5" x14ac:dyDescent="0.3">
      <c r="A13" s="7" t="s">
        <v>11</v>
      </c>
      <c r="B13" s="35">
        <f t="shared" ref="B13:K13" si="5">B8/B6*100</f>
        <v>11.306538596778072</v>
      </c>
      <c r="C13" s="35">
        <f t="shared" si="5"/>
        <v>10.409162912520985</v>
      </c>
      <c r="D13" s="35">
        <f t="shared" si="5"/>
        <v>9.6012597792971395</v>
      </c>
      <c r="E13" s="35">
        <f t="shared" si="5"/>
        <v>8.2734249061250207</v>
      </c>
      <c r="F13" s="35">
        <f t="shared" si="5"/>
        <v>8.6585503819099223</v>
      </c>
      <c r="G13" s="35">
        <f t="shared" si="5"/>
        <v>8.6110823719206468</v>
      </c>
      <c r="H13" s="35">
        <f t="shared" si="5"/>
        <v>7.9657282579766413</v>
      </c>
      <c r="I13" s="35">
        <f t="shared" si="5"/>
        <v>8.974758486056313</v>
      </c>
      <c r="J13" s="35">
        <f t="shared" si="5"/>
        <v>9.2327248667262634</v>
      </c>
      <c r="K13" s="35">
        <f t="shared" si="5"/>
        <v>9.7815984466118078</v>
      </c>
      <c r="L13" s="35">
        <f>L8/L6*100</f>
        <v>10.023382223811055</v>
      </c>
      <c r="M13" s="35">
        <f>M8/M6*100</f>
        <v>9.3947708160982177</v>
      </c>
      <c r="N13" s="35">
        <f>N8/N6*100</f>
        <v>9.0850920200925049</v>
      </c>
      <c r="O13" s="35">
        <f>O8/O6*100</f>
        <v>9.6831426034125681</v>
      </c>
      <c r="P13" s="42" t="s">
        <v>12</v>
      </c>
      <c r="S13" s="30"/>
    </row>
    <row r="14" spans="1:26" s="29" customFormat="1" ht="15.5" x14ac:dyDescent="0.3">
      <c r="A14" s="7" t="s">
        <v>13</v>
      </c>
      <c r="B14" s="35">
        <f t="shared" ref="B14:H14" si="6">B9/B6*100</f>
        <v>9.3603852026615879</v>
      </c>
      <c r="C14" s="35">
        <f t="shared" si="6"/>
        <v>9.4323590810184452</v>
      </c>
      <c r="D14" s="35">
        <f t="shared" si="6"/>
        <v>9.5945295948963185</v>
      </c>
      <c r="E14" s="35">
        <f t="shared" si="6"/>
        <v>11.695455640524797</v>
      </c>
      <c r="F14" s="35">
        <f t="shared" si="6"/>
        <v>9.735177337275406</v>
      </c>
      <c r="G14" s="35">
        <f t="shared" si="6"/>
        <v>9.9011593689189166</v>
      </c>
      <c r="H14" s="35">
        <f t="shared" si="6"/>
        <v>10.346710397478317</v>
      </c>
      <c r="I14" s="35">
        <f t="shared" ref="I14:N14" si="7">I9/I6*100</f>
        <v>10.569629253451659</v>
      </c>
      <c r="J14" s="35">
        <f t="shared" si="7"/>
        <v>11.101127701369871</v>
      </c>
      <c r="K14" s="35">
        <f t="shared" si="7"/>
        <v>12.179157544109779</v>
      </c>
      <c r="L14" s="35">
        <f t="shared" si="7"/>
        <v>12.610043620839242</v>
      </c>
      <c r="M14" s="35">
        <f>M9/M6*100</f>
        <v>13.139240146550243</v>
      </c>
      <c r="N14" s="35">
        <f t="shared" si="7"/>
        <v>11.307715353889387</v>
      </c>
      <c r="O14" s="35">
        <f>O9/O6*100</f>
        <v>11.113771406186432</v>
      </c>
      <c r="P14" s="42" t="s">
        <v>14</v>
      </c>
      <c r="S14" s="30"/>
    </row>
    <row r="15" spans="1:26" s="29" customFormat="1" ht="15.5" x14ac:dyDescent="0.3">
      <c r="A15" s="31" t="s">
        <v>15</v>
      </c>
      <c r="B15" s="36">
        <f t="shared" ref="B15:L15" si="8">B10/B6*100</f>
        <v>1.2824242341131771</v>
      </c>
      <c r="C15" s="36">
        <f t="shared" si="8"/>
        <v>1.2630327518651159</v>
      </c>
      <c r="D15" s="36">
        <f t="shared" si="8"/>
        <v>0.44795055140582801</v>
      </c>
      <c r="E15" s="36">
        <f t="shared" si="8"/>
        <v>0.12126446522570183</v>
      </c>
      <c r="F15" s="36">
        <f t="shared" si="8"/>
        <v>3.1054367461371937E-2</v>
      </c>
      <c r="G15" s="36">
        <f t="shared" si="8"/>
        <v>5.3130781396563576E-2</v>
      </c>
      <c r="H15" s="36">
        <f t="shared" si="8"/>
        <v>6.5310884193338331E-2</v>
      </c>
      <c r="I15" s="37">
        <f t="shared" si="8"/>
        <v>0</v>
      </c>
      <c r="J15" s="37">
        <f t="shared" si="8"/>
        <v>0</v>
      </c>
      <c r="K15" s="37">
        <f t="shared" si="8"/>
        <v>0</v>
      </c>
      <c r="L15" s="37">
        <f t="shared" si="8"/>
        <v>0</v>
      </c>
      <c r="M15" s="37">
        <f>M10/M6*100</f>
        <v>0</v>
      </c>
      <c r="N15" s="37">
        <f>N10/N6*100</f>
        <v>0</v>
      </c>
      <c r="O15" s="37">
        <f>O10/O6*100</f>
        <v>0</v>
      </c>
      <c r="P15" s="43" t="s">
        <v>16</v>
      </c>
      <c r="S15" s="30"/>
    </row>
    <row r="16" spans="1:26" s="27" customFormat="1" ht="17" x14ac:dyDescent="0.3">
      <c r="A16" s="11" t="s">
        <v>1</v>
      </c>
      <c r="B16" s="38" t="e">
        <f>(B6-#REF!)/#REF!*100</f>
        <v>#REF!</v>
      </c>
      <c r="C16" s="38">
        <f>(C6-B6)/B6*100</f>
        <v>13.384503510760371</v>
      </c>
      <c r="D16" s="47">
        <f t="shared" ref="D16:L20" si="9">(D6-C6)/C6*100</f>
        <v>11.036399786569373</v>
      </c>
      <c r="E16" s="47">
        <f t="shared" si="9"/>
        <v>11.123320416905811</v>
      </c>
      <c r="F16" s="47">
        <f t="shared" si="9"/>
        <v>10.057240405472013</v>
      </c>
      <c r="G16" s="47">
        <f t="shared" si="9"/>
        <v>6.3494133153550196</v>
      </c>
      <c r="H16" s="47">
        <f t="shared" si="9"/>
        <v>8.9975972247848528</v>
      </c>
      <c r="I16" s="47">
        <f t="shared" si="9"/>
        <v>15.974621720426907</v>
      </c>
      <c r="J16" s="47">
        <f t="shared" ref="J16:O16" si="10">(J6-I6)/I6*100</f>
        <v>1.8482863455158163</v>
      </c>
      <c r="K16" s="47">
        <f t="shared" si="10"/>
        <v>8.4926417860177406</v>
      </c>
      <c r="L16" s="47">
        <f t="shared" si="10"/>
        <v>3.0808812905950616</v>
      </c>
      <c r="M16" s="47">
        <f t="shared" si="10"/>
        <v>4.9343682032560201</v>
      </c>
      <c r="N16" s="47">
        <f t="shared" si="10"/>
        <v>-0.64816904721203017</v>
      </c>
      <c r="O16" s="47">
        <f t="shared" si="10"/>
        <v>-0.10289055565685706</v>
      </c>
      <c r="P16" s="26" t="s">
        <v>2</v>
      </c>
      <c r="S16" s="30"/>
    </row>
    <row r="17" spans="1:32" s="29" customFormat="1" ht="15.5" x14ac:dyDescent="0.3">
      <c r="A17" s="7" t="s">
        <v>9</v>
      </c>
      <c r="B17" s="39" t="e">
        <f>(B7-#REF!)/#REF!*100</f>
        <v>#REF!</v>
      </c>
      <c r="C17" s="39">
        <f>(C7-B7)/B7*100</f>
        <v>14.611738199166249</v>
      </c>
      <c r="D17" s="9">
        <f t="shared" si="9"/>
        <v>13.092331124843874</v>
      </c>
      <c r="E17" s="9">
        <f>(E7-D7)/D7*100</f>
        <v>10.50599433189287</v>
      </c>
      <c r="F17" s="9">
        <f t="shared" si="9"/>
        <v>12.350890517232406</v>
      </c>
      <c r="G17" s="9">
        <f t="shared" si="9"/>
        <v>6.1661259061989115</v>
      </c>
      <c r="H17" s="9">
        <f t="shared" si="9"/>
        <v>9.2487244776454656</v>
      </c>
      <c r="I17" s="9">
        <f t="shared" si="9"/>
        <v>14.316980291156989</v>
      </c>
      <c r="J17" s="9">
        <f t="shared" si="9"/>
        <v>0.84890746239414261</v>
      </c>
      <c r="K17" s="9">
        <f t="shared" si="9"/>
        <v>6.2770576773193625</v>
      </c>
      <c r="L17" s="9">
        <f t="shared" si="9"/>
        <v>2.1923616458847066</v>
      </c>
      <c r="M17" s="9">
        <f t="shared" ref="M17:O19" si="11">(M7-L7)/L7*100</f>
        <v>5.0692072852078329</v>
      </c>
      <c r="N17" s="9">
        <f t="shared" si="11"/>
        <v>2.0979715445531095</v>
      </c>
      <c r="O17" s="9">
        <f t="shared" si="11"/>
        <v>-0.60999404057781981</v>
      </c>
      <c r="P17" s="42" t="s">
        <v>10</v>
      </c>
      <c r="S17" s="30"/>
    </row>
    <row r="18" spans="1:32" s="29" customFormat="1" ht="15.5" x14ac:dyDescent="0.3">
      <c r="A18" s="7" t="s">
        <v>11</v>
      </c>
      <c r="B18" s="39" t="e">
        <f>(B8-#REF!)/#REF!*100</f>
        <v>#REF!</v>
      </c>
      <c r="C18" s="39">
        <f>(C8-B8)/B8*100</f>
        <v>4.3854189942034649</v>
      </c>
      <c r="D18" s="9">
        <f t="shared" si="9"/>
        <v>2.4183527790085231</v>
      </c>
      <c r="E18" s="9">
        <f t="shared" si="9"/>
        <v>-4.2448107933767387</v>
      </c>
      <c r="F18" s="9">
        <f>(F8-E8)/E8*100</f>
        <v>15.180372307394691</v>
      </c>
      <c r="G18" s="9">
        <f t="shared" si="9"/>
        <v>5.7663832709547602</v>
      </c>
      <c r="H18" s="9">
        <f t="shared" si="9"/>
        <v>0.82881602622138684</v>
      </c>
      <c r="I18" s="9">
        <f t="shared" si="9"/>
        <v>30.665293460180738</v>
      </c>
      <c r="J18" s="9">
        <f t="shared" si="9"/>
        <v>4.7757672183225175</v>
      </c>
      <c r="K18" s="9">
        <f t="shared" si="9"/>
        <v>14.942389346777258</v>
      </c>
      <c r="L18" s="9">
        <f t="shared" si="9"/>
        <v>5.6288579808568011</v>
      </c>
      <c r="M18" s="9">
        <f t="shared" si="11"/>
        <v>-1.6465382653217782</v>
      </c>
      <c r="N18" s="9">
        <f t="shared" si="11"/>
        <v>-3.9230925118379236</v>
      </c>
      <c r="O18" s="9">
        <f t="shared" si="11"/>
        <v>6.4731049811026553</v>
      </c>
      <c r="P18" s="42" t="s">
        <v>12</v>
      </c>
    </row>
    <row r="19" spans="1:32" s="29" customFormat="1" ht="15.5" x14ac:dyDescent="0.3">
      <c r="A19" s="7" t="s">
        <v>18</v>
      </c>
      <c r="B19" s="39" t="e">
        <f>(B9-#REF!)/#REF!*100</f>
        <v>#REF!</v>
      </c>
      <c r="C19" s="39">
        <f>(C9-B9)/B9*100</f>
        <v>14.256339689138564</v>
      </c>
      <c r="D19" s="9">
        <f t="shared" si="9"/>
        <v>12.945448186642858</v>
      </c>
      <c r="E19" s="9">
        <f t="shared" si="9"/>
        <v>35.456131716459581</v>
      </c>
      <c r="F19" s="9">
        <f t="shared" si="9"/>
        <v>-8.389481732894204</v>
      </c>
      <c r="G19" s="9">
        <f t="shared" si="9"/>
        <v>8.1626408585851742</v>
      </c>
      <c r="H19" s="9">
        <f t="shared" si="9"/>
        <v>13.902476516643866</v>
      </c>
      <c r="I19" s="9">
        <f t="shared" si="9"/>
        <v>18.473283517529065</v>
      </c>
      <c r="J19" s="9">
        <f t="shared" si="9"/>
        <v>6.969772143903084</v>
      </c>
      <c r="K19" s="9">
        <f t="shared" si="9"/>
        <v>19.028355698090412</v>
      </c>
      <c r="L19" s="9">
        <f t="shared" si="9"/>
        <v>6.7277769288406617</v>
      </c>
      <c r="M19" s="9">
        <f t="shared" si="11"/>
        <v>9.3380724845855685</v>
      </c>
      <c r="N19" s="9">
        <f t="shared" si="11"/>
        <v>-14.497169412279343</v>
      </c>
      <c r="O19" s="9">
        <f t="shared" si="11"/>
        <v>-1.8162728935918235</v>
      </c>
      <c r="P19" s="42" t="s">
        <v>14</v>
      </c>
    </row>
    <row r="20" spans="1:32" s="29" customFormat="1" ht="15.5" x14ac:dyDescent="0.3">
      <c r="A20" s="40" t="s">
        <v>15</v>
      </c>
      <c r="B20" s="41" t="e">
        <f>(B10-#REF!)/#REF!*100</f>
        <v>#REF!</v>
      </c>
      <c r="C20" s="41">
        <f>(C10-B10)/B10*100</f>
        <v>11.670021260232266</v>
      </c>
      <c r="D20" s="10">
        <f t="shared" si="9"/>
        <v>-60.619535449842786</v>
      </c>
      <c r="E20" s="10">
        <f t="shared" si="9"/>
        <v>-69.917862625305219</v>
      </c>
      <c r="F20" s="10">
        <f t="shared" si="9"/>
        <v>-71.815667689831287</v>
      </c>
      <c r="G20" s="10">
        <f t="shared" si="9"/>
        <v>81.952745858997034</v>
      </c>
      <c r="H20" s="10">
        <f t="shared" si="9"/>
        <v>33.98503207710192</v>
      </c>
      <c r="I20" s="10">
        <f t="shared" ref="I20:O20" si="12">I15/I11*100</f>
        <v>0</v>
      </c>
      <c r="J20" s="10">
        <f t="shared" si="12"/>
        <v>0</v>
      </c>
      <c r="K20" s="10">
        <f t="shared" si="12"/>
        <v>0</v>
      </c>
      <c r="L20" s="10">
        <f t="shared" si="12"/>
        <v>0</v>
      </c>
      <c r="M20" s="10">
        <f t="shared" si="12"/>
        <v>0</v>
      </c>
      <c r="N20" s="10">
        <f t="shared" si="12"/>
        <v>0</v>
      </c>
      <c r="O20" s="10">
        <f t="shared" si="12"/>
        <v>0</v>
      </c>
      <c r="P20" s="44" t="s">
        <v>16</v>
      </c>
    </row>
    <row r="21" spans="1:32" s="17" customFormat="1" ht="15" x14ac:dyDescent="0.5">
      <c r="A21" s="18" t="s">
        <v>19</v>
      </c>
      <c r="B21" s="6"/>
      <c r="C21" s="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9" t="s">
        <v>20</v>
      </c>
    </row>
    <row r="22" spans="1:32" s="20" customFormat="1" ht="13" x14ac:dyDescent="0.3"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Q22" s="22"/>
      <c r="R22" s="17"/>
      <c r="S22" s="17"/>
      <c r="T22" s="17"/>
      <c r="U22" s="17"/>
      <c r="V22" s="17"/>
      <c r="W22" s="17"/>
      <c r="X22" s="17"/>
      <c r="AA22" s="17"/>
      <c r="AB22" s="17"/>
      <c r="AC22" s="17"/>
      <c r="AD22" s="17"/>
      <c r="AE22" s="17"/>
      <c r="AF22" s="17"/>
    </row>
    <row r="23" spans="1:32" s="20" customFormat="1" x14ac:dyDescent="0.35"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Q23" s="1"/>
      <c r="R23" s="17"/>
      <c r="S23" s="17"/>
      <c r="T23" s="17"/>
      <c r="U23" s="17"/>
      <c r="V23" s="17"/>
      <c r="W23" s="17"/>
      <c r="X23" s="17"/>
      <c r="AA23" s="17"/>
      <c r="AB23" s="17"/>
      <c r="AC23" s="17"/>
      <c r="AD23" s="17"/>
      <c r="AE23" s="17"/>
      <c r="AF23" s="17"/>
    </row>
    <row r="24" spans="1:32" s="20" customFormat="1" x14ac:dyDescent="0.35"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Q24" s="1"/>
      <c r="R24" s="17"/>
      <c r="S24" s="17"/>
      <c r="T24" s="17"/>
      <c r="U24" s="17"/>
      <c r="V24" s="17"/>
      <c r="W24" s="17"/>
      <c r="X24" s="17"/>
      <c r="AA24" s="17"/>
      <c r="AB24" s="17"/>
      <c r="AC24" s="17"/>
      <c r="AD24" s="17"/>
      <c r="AE24" s="17"/>
      <c r="AF24" s="17"/>
    </row>
    <row r="25" spans="1:32" x14ac:dyDescent="0.35">
      <c r="P25" s="20"/>
      <c r="R25" s="17"/>
      <c r="S25" s="17"/>
      <c r="T25" s="17"/>
      <c r="U25" s="17"/>
      <c r="V25" s="17"/>
      <c r="W25" s="17"/>
      <c r="X25" s="17"/>
      <c r="AA25" s="17"/>
      <c r="AB25" s="17"/>
      <c r="AC25" s="17"/>
      <c r="AD25" s="17"/>
      <c r="AE25" s="17"/>
      <c r="AF25" s="17"/>
    </row>
    <row r="26" spans="1:32" x14ac:dyDescent="0.35">
      <c r="P26" s="20"/>
      <c r="R26" s="17"/>
      <c r="S26" s="17"/>
      <c r="T26" s="17"/>
      <c r="U26" s="17"/>
      <c r="V26" s="17"/>
      <c r="W26" s="17"/>
      <c r="X26" s="17"/>
    </row>
    <row r="27" spans="1:32" x14ac:dyDescent="0.35">
      <c r="P27" s="20"/>
      <c r="R27" s="17"/>
      <c r="S27" s="17"/>
      <c r="T27" s="17"/>
      <c r="U27" s="17"/>
      <c r="V27" s="17"/>
      <c r="W27" s="17"/>
      <c r="X27" s="17"/>
    </row>
    <row r="28" spans="1:32" x14ac:dyDescent="0.35">
      <c r="P28" s="20"/>
      <c r="R28" s="17"/>
      <c r="S28" s="17"/>
      <c r="T28" s="17"/>
      <c r="U28" s="17"/>
      <c r="V28" s="17"/>
      <c r="W28" s="17"/>
      <c r="X28" s="17"/>
      <c r="AB28" s="23"/>
    </row>
    <row r="29" spans="1:32" x14ac:dyDescent="0.35">
      <c r="P29" s="20"/>
      <c r="R29" s="17"/>
      <c r="S29" s="17"/>
      <c r="T29" s="17"/>
      <c r="U29" s="17"/>
      <c r="V29" s="17"/>
      <c r="W29" s="17"/>
      <c r="X29" s="17"/>
      <c r="AB29" s="23"/>
    </row>
    <row r="30" spans="1:32" x14ac:dyDescent="0.35">
      <c r="P30" s="20"/>
      <c r="R30" s="17"/>
      <c r="AB30" s="23"/>
    </row>
    <row r="31" spans="1:32" x14ac:dyDescent="0.35">
      <c r="AB31" s="23"/>
    </row>
    <row r="35" spans="2:15" x14ac:dyDescent="0.35">
      <c r="B35" s="22"/>
      <c r="C35" s="22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</sheetData>
  <mergeCells count="4">
    <mergeCell ref="A2:P2"/>
    <mergeCell ref="A3:P3"/>
    <mergeCell ref="A4:I4"/>
    <mergeCell ref="J4:P4"/>
  </mergeCells>
  <pageMargins left="0.7" right="0.7" top="0.75" bottom="0.75" header="0.3" footer="0.3"/>
  <pageSetup paperSize="9" scale="51" orientation="portrait" horizontalDpi="4294967295" verticalDpi="4294967295" r:id="rId1"/>
  <colBreaks count="1" manualBreakCount="1">
    <brk id="17" max="5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2023-10-24T01:41:40Z</cp:lastPrinted>
  <dcterms:created xsi:type="dcterms:W3CDTF">2019-05-21T05:57:01Z</dcterms:created>
  <dcterms:modified xsi:type="dcterms:W3CDTF">2023-10-24T01:41:48Z</dcterms:modified>
</cp:coreProperties>
</file>