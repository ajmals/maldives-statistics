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EDE909E6-FA71-4789-B391-90509C94EE82}" xr6:coauthVersionLast="47" xr6:coauthVersionMax="47" xr10:uidLastSave="{00000000-0000-0000-0000-000000000000}"/>
  <bookViews>
    <workbookView xWindow="-110" yWindow="-110" windowWidth="19420" windowHeight="10300" tabRatio="942" xr2:uid="{00000000-000D-0000-FFFF-FFFF00000000}"/>
  </bookViews>
  <sheets>
    <sheet name="12.3" sheetId="17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'12.3'!$A$1:$P$47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7" l="1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N10" i="17"/>
  <c r="N6" i="17" s="1"/>
  <c r="M10" i="17"/>
  <c r="M6" i="17" s="1"/>
  <c r="L10" i="17"/>
  <c r="L6" i="17" s="1"/>
  <c r="K10" i="17"/>
  <c r="K6" i="17" s="1"/>
  <c r="J10" i="17"/>
  <c r="J6" i="17" s="1"/>
  <c r="I10" i="17"/>
  <c r="I6" i="17" s="1"/>
  <c r="H10" i="17"/>
  <c r="H6" i="17" s="1"/>
  <c r="G10" i="17"/>
  <c r="G6" i="17" s="1"/>
  <c r="F10" i="17"/>
  <c r="F6" i="17" s="1"/>
  <c r="E10" i="17"/>
  <c r="E6" i="17" s="1"/>
  <c r="D10" i="17"/>
  <c r="D6" i="17" s="1"/>
  <c r="C10" i="17"/>
  <c r="C6" i="17" s="1"/>
  <c r="B9" i="17"/>
  <c r="B8" i="17"/>
  <c r="B7" i="17"/>
  <c r="B10" i="17" l="1"/>
  <c r="B6" i="17"/>
</calcChain>
</file>

<file path=xl/sharedStrings.xml><?xml version="1.0" encoding="utf-8"?>
<sst xmlns="http://schemas.openxmlformats.org/spreadsheetml/2006/main" count="94" uniqueCount="93">
  <si>
    <t>wlcmuj</t>
  </si>
  <si>
    <t>cnwt</t>
  </si>
  <si>
    <t>Source: State Electric Company Limited</t>
  </si>
  <si>
    <t>cDeTimil Inepcmok ckircTckeliacTETcs :ctWrwf ivcaedutWmUluAwm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</si>
  <si>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</si>
  <si>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</si>
  <si>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</si>
  <si>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</si>
  <si>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</si>
  <si>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</si>
  <si>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</si>
  <si>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</si>
  <si>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</si>
  <si>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</si>
  <si>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</si>
  <si>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</si>
  <si>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</si>
  <si>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</si>
  <si>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</si>
  <si>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</si>
  <si>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</si>
  <si>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</si>
  <si>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</si>
  <si>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</si>
  <si>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</si>
  <si>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</si>
  <si>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</si>
  <si>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</si>
  <si>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</si>
  <si>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</si>
  <si>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</si>
  <si>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</si>
  <si>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</si>
  <si>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</si>
  <si>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</si>
  <si>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</si>
  <si>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</si>
  <si>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</si>
  <si>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</si>
  <si>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</si>
  <si>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</si>
  <si>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</si>
  <si>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</si>
  <si>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</si>
  <si>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</si>
  <si>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</si>
  <si>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</si>
  <si>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</si>
  <si>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</si>
  <si>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</si>
  <si>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</si>
  <si>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</si>
  <si>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</si>
  <si>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</si>
  <si>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</si>
  <si>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</si>
  <si>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</si>
  <si>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</si>
  <si>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</si>
  <si>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</si>
  <si>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</si>
  <si>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</si>
  <si>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</si>
  <si>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</si>
  <si>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</si>
  <si>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</si>
  <si>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</si>
  <si>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</si>
  <si>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</si>
  <si>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</si>
  <si>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</si>
  <si>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</si>
  <si>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</si>
  <si>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</si>
  <si>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</si>
  <si>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</si>
  <si>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</si>
  <si>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</si>
  <si>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</si>
  <si>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</si>
  <si>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</si>
  <si>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</si>
  <si>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</si>
  <si>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</si>
  <si>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</si>
  <si>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</si>
  <si>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</si>
  <si>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</si>
  <si>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</si>
  <si>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</t>
    </r>
  </si>
  <si>
    <t>Adh.Mahibadhoo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</si>
  <si>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2021</t>
  </si>
  <si>
    <t>Table  12.3 :   MONTHLY CONSUMPTION OF FUEL FOR ELECTRICITY GENERATION IN SELECTED LOCALITIES BY PUBLIC SECTOR,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</si>
</sst>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.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b/>
      <sz val="11"/>
      <color theme="1"/>
      <name val="A_Faseyha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_Faseyha"/>
    </font>
    <font>
      <b/>
      <sz val="11"/>
      <color theme="1"/>
      <name val="Calibri"/>
      <family val="2"/>
      <scheme val="minor"/>
    </font>
    <font>
      <b/>
      <sz val="10.5"/>
      <name val="A_Faseyha"/>
    </font>
    <font>
      <b/>
      <sz val="10.5"/>
      <name val="Calibri"/>
      <family val="2"/>
      <scheme val="minor"/>
    </font>
    <font>
      <sz val="11"/>
      <name val="Faruma"/>
    </font>
    <font>
      <b/>
      <sz val="12"/>
      <color theme="1"/>
      <name val="Faruma"/>
    </font>
    <font>
      <sz val="12"/>
      <color theme="1"/>
      <name val="Arial"/>
      <family val="2"/>
    </font>
    <font>
      <sz val="11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4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right" vertical="center"/>
    </xf>
    <xf numFmtId="0" fontId="17" fillId="2" borderId="3" xfId="2" applyFont="1" applyFill="1" applyBorder="1" applyAlignment="1">
      <alignment vertical="center"/>
    </xf>
    <xf numFmtId="0" fontId="5" fillId="2" borderId="2" xfId="2" applyFont="1" applyFill="1" applyBorder="1" applyAlignment="1">
      <alignment vertical="center"/>
    </xf>
    <xf numFmtId="165" fontId="5" fillId="2" borderId="2" xfId="1" applyFont="1" applyFill="1" applyBorder="1" applyAlignment="1" applyProtection="1">
      <alignment horizontal="right" vertical="center"/>
    </xf>
    <xf numFmtId="0" fontId="6" fillId="2" borderId="11" xfId="0" applyFont="1" applyFill="1" applyBorder="1" applyAlignment="1">
      <alignment horizontal="right" vertical="center"/>
    </xf>
    <xf numFmtId="166" fontId="2" fillId="2" borderId="6" xfId="0" applyNumberFormat="1" applyFont="1" applyFill="1" applyBorder="1" applyAlignment="1">
      <alignment horizontal="right" vertical="center"/>
    </xf>
    <xf numFmtId="166" fontId="2" fillId="2" borderId="0" xfId="0" applyNumberFormat="1" applyFont="1" applyFill="1" applyAlignment="1">
      <alignment horizontal="right" vertical="center"/>
    </xf>
    <xf numFmtId="0" fontId="7" fillId="2" borderId="6" xfId="0" applyFont="1" applyFill="1" applyBorder="1" applyAlignment="1">
      <alignment horizontal="right" vertical="center"/>
    </xf>
    <xf numFmtId="166" fontId="2" fillId="2" borderId="8" xfId="0" applyNumberFormat="1" applyFont="1" applyFill="1" applyBorder="1" applyAlignment="1">
      <alignment horizontal="right" vertical="center"/>
    </xf>
    <xf numFmtId="0" fontId="18" fillId="2" borderId="8" xfId="0" applyFont="1" applyFill="1" applyBorder="1" applyAlignment="1">
      <alignment horizontal="right" vertical="center"/>
    </xf>
    <xf numFmtId="166" fontId="5" fillId="2" borderId="8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166" fontId="2" fillId="2" borderId="7" xfId="0" applyNumberFormat="1" applyFont="1" applyFill="1" applyBorder="1" applyAlignment="1">
      <alignment horizontal="right" vertical="center"/>
    </xf>
    <xf numFmtId="0" fontId="8" fillId="2" borderId="1" xfId="2" applyFont="1" applyFill="1" applyBorder="1" applyAlignment="1">
      <alignment vertical="center"/>
    </xf>
    <xf numFmtId="3" fontId="9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3" fillId="2" borderId="4" xfId="0" applyFont="1" applyFill="1" applyBorder="1" applyAlignment="1">
      <alignment horizontal="left" vertical="center" indent="1"/>
    </xf>
    <xf numFmtId="0" fontId="3" fillId="2" borderId="5" xfId="0" applyFont="1" applyFill="1" applyBorder="1" applyAlignment="1">
      <alignment horizontal="left" vertical="center" indent="1"/>
    </xf>
    <xf numFmtId="166" fontId="3" fillId="2" borderId="8" xfId="0" applyNumberFormat="1" applyFont="1" applyFill="1" applyBorder="1" applyAlignment="1">
      <alignment horizontal="right" vertical="center"/>
    </xf>
    <xf numFmtId="166" fontId="3" fillId="2" borderId="7" xfId="0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center"/>
    </xf>
    <xf numFmtId="0" fontId="12" fillId="2" borderId="7" xfId="2" applyFont="1" applyFill="1" applyBorder="1" applyAlignment="1">
      <alignment horizontal="center" vertical="top"/>
    </xf>
    <xf numFmtId="0" fontId="12" fillId="2" borderId="10" xfId="2" applyFont="1" applyFill="1" applyBorder="1" applyAlignment="1">
      <alignment horizontal="center" vertical="top"/>
    </xf>
    <xf numFmtId="0" fontId="12" fillId="2" borderId="5" xfId="2" applyFont="1" applyFill="1" applyBorder="1" applyAlignment="1">
      <alignment horizontal="center" vertical="top"/>
    </xf>
    <xf numFmtId="0" fontId="12" fillId="2" borderId="8" xfId="2" applyFont="1" applyFill="1" applyBorder="1" applyAlignment="1">
      <alignment horizontal="center" vertical="center"/>
    </xf>
    <xf numFmtId="0" fontId="12" fillId="2" borderId="9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6" fillId="2" borderId="8" xfId="2" applyFont="1" applyFill="1" applyBorder="1" applyAlignment="1">
      <alignment horizontal="center" vertical="center"/>
    </xf>
    <xf numFmtId="0" fontId="16" fillId="2" borderId="9" xfId="2" applyFont="1" applyFill="1" applyBorder="1" applyAlignment="1">
      <alignment horizontal="center" vertical="center"/>
    </xf>
    <xf numFmtId="0" fontId="16" fillId="2" borderId="4" xfId="2" applyFont="1" applyFill="1" applyBorder="1" applyAlignment="1">
      <alignment horizontal="center" vertical="center"/>
    </xf>
  </cellXfs>
  <cellStyles count="8">
    <cellStyle name="Comma 2" xfId="1" xr:uid="{00000000-0005-0000-0000-000001000000}"/>
    <cellStyle name="Comma 2 2" xfId="7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4" xr:uid="{00000000-0005-0000-0000-000006000000}"/>
    <cellStyle name="Normal 4" xfId="6" xr:uid="{20929243-CB8C-4CF2-AC69-17703CC8D5A5}"/>
    <cellStyle name="Normal 5" xfId="5" xr:uid="{66F2880D-D6E5-4B3B-87A1-A67063300ED0}"/>
  </cellStyles>
  <dxfs count="0"/>
  <tableStyles count="0" defaultTableStyle="TableStyleMedium2" defaultPivotStyle="PivotStyleLight16"/>
  <colors>
    <mruColors>
      <color rgb="FFE08CAA"/>
      <color rgb="FFFDD1D2"/>
      <color rgb="FFFDDFE4"/>
      <color rgb="FFC7F2F1"/>
      <color rgb="FFEAFAFA"/>
      <color rgb="FF33CCCC"/>
      <color rgb="FF249390"/>
      <color rgb="FFFF9933"/>
      <color rgb="FFFF9900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%23final\All%20in%20one%202015(150094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O43"/>
  <sheetViews>
    <sheetView tabSelected="1" zoomScaleNormal="100" workbookViewId="0">
      <selection activeCell="A46" sqref="A46:XFD149"/>
    </sheetView>
  </sheetViews>
  <sheetFormatPr defaultColWidth="11.1796875" defaultRowHeight="15.5" x14ac:dyDescent="0.35"/>
  <cols>
    <col min="1" max="1" width="16.7265625" style="3" customWidth="1"/>
    <col min="2" max="2" width="12" style="3" customWidth="1"/>
    <col min="3" max="14" width="9.7265625" style="3" customWidth="1"/>
    <col min="15" max="15" width="15.453125" style="3" customWidth="1"/>
    <col min="16" max="16" width="1.81640625" style="3" customWidth="1"/>
    <col min="17" max="16384" width="11.1796875" style="3"/>
  </cols>
  <sheetData>
    <row r="1" spans="1:15" ht="21.5" x14ac:dyDescent="0.35">
      <c r="A1" s="31" t="s">
        <v>91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</row>
    <row r="2" spans="1:15" x14ac:dyDescent="0.35">
      <c r="A2" s="28" t="s">
        <v>92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5" ht="16.5" x14ac:dyDescent="0.6">
      <c r="A3" s="24" t="s">
        <v>89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x14ac:dyDescent="0.35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/>
    </row>
    <row r="5" spans="1:15" x14ac:dyDescent="0.3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6" t="s">
        <v>1</v>
      </c>
    </row>
    <row r="6" spans="1:15" ht="17" x14ac:dyDescent="0.35">
      <c r="A6" s="1" t="s">
        <v>5</v>
      </c>
      <c r="B6" s="7">
        <f>SUM(C6:N6)</f>
        <v>150073.69272682274</v>
      </c>
      <c r="C6" s="8">
        <f>SUM(C7:C10)</f>
        <v>11684.392629999998</v>
      </c>
      <c r="D6" s="8">
        <f t="shared" ref="D6:N6" si="0">SUM(D7:D10)</f>
        <v>11390.96</v>
      </c>
      <c r="E6" s="8">
        <f t="shared" si="0"/>
        <v>12659.385000000002</v>
      </c>
      <c r="F6" s="8">
        <f t="shared" si="0"/>
        <v>13615.766586822734</v>
      </c>
      <c r="G6" s="8">
        <f t="shared" si="0"/>
        <v>13063.067999999997</v>
      </c>
      <c r="H6" s="8">
        <f t="shared" si="0"/>
        <v>12722.384</v>
      </c>
      <c r="I6" s="8">
        <f t="shared" si="0"/>
        <v>12441.88796</v>
      </c>
      <c r="J6" s="8">
        <f t="shared" si="0"/>
        <v>11908.86304</v>
      </c>
      <c r="K6" s="8">
        <f t="shared" si="0"/>
        <v>12576.35785</v>
      </c>
      <c r="L6" s="8">
        <f t="shared" si="0"/>
        <v>12941.355610000001</v>
      </c>
      <c r="M6" s="8">
        <f t="shared" si="0"/>
        <v>12016.093430000001</v>
      </c>
      <c r="N6" s="8">
        <f t="shared" si="0"/>
        <v>13053.178620000001</v>
      </c>
      <c r="O6" s="9" t="s">
        <v>0</v>
      </c>
    </row>
    <row r="7" spans="1:15" ht="20" x14ac:dyDescent="0.35">
      <c r="A7" s="20" t="s">
        <v>18</v>
      </c>
      <c r="B7" s="10">
        <f>SUM(C7:N7)</f>
        <v>77404.450000000012</v>
      </c>
      <c r="C7" s="22">
        <v>7893.2449999999999</v>
      </c>
      <c r="D7" s="22">
        <v>7644.1120000000001</v>
      </c>
      <c r="E7" s="22">
        <v>8515.84</v>
      </c>
      <c r="F7" s="22">
        <v>9086.8070000000007</v>
      </c>
      <c r="G7" s="22">
        <v>8671.3369999999995</v>
      </c>
      <c r="H7" s="22">
        <v>8527.2649999999994</v>
      </c>
      <c r="I7" s="22">
        <v>7416.2809999999999</v>
      </c>
      <c r="J7" s="22">
        <v>3030.319</v>
      </c>
      <c r="K7" s="22">
        <v>3961.5729999999999</v>
      </c>
      <c r="L7" s="22">
        <v>4186.6390000000001</v>
      </c>
      <c r="M7" s="22">
        <v>3887.2049999999999</v>
      </c>
      <c r="N7" s="22">
        <v>4583.8270000000002</v>
      </c>
      <c r="O7" s="11" t="s">
        <v>19</v>
      </c>
    </row>
    <row r="8" spans="1:15" ht="20" x14ac:dyDescent="0.35">
      <c r="A8" s="20" t="s">
        <v>20</v>
      </c>
      <c r="B8" s="12">
        <f>SUM(C8:N8)</f>
        <v>3836.9219999999996</v>
      </c>
      <c r="C8" s="22">
        <v>301.358</v>
      </c>
      <c r="D8" s="22">
        <v>293.64999999999998</v>
      </c>
      <c r="E8" s="22">
        <v>321.61900000000003</v>
      </c>
      <c r="F8" s="22">
        <v>351.596</v>
      </c>
      <c r="G8" s="22">
        <v>347.13900000000001</v>
      </c>
      <c r="H8" s="22">
        <v>336.03</v>
      </c>
      <c r="I8" s="22">
        <v>319.70100000000002</v>
      </c>
      <c r="J8" s="22">
        <v>324.08999999999997</v>
      </c>
      <c r="K8" s="22">
        <v>317.67200000000003</v>
      </c>
      <c r="L8" s="22">
        <v>331.93900000000002</v>
      </c>
      <c r="M8" s="22">
        <v>296.99700000000001</v>
      </c>
      <c r="N8" s="22">
        <v>295.13099999999997</v>
      </c>
      <c r="O8" s="11" t="s">
        <v>21</v>
      </c>
    </row>
    <row r="9" spans="1:15" ht="20" x14ac:dyDescent="0.35">
      <c r="A9" s="20" t="s">
        <v>22</v>
      </c>
      <c r="B9" s="10">
        <f>SUM(C9:N9)</f>
        <v>46096.910206822737</v>
      </c>
      <c r="C9" s="22">
        <v>1860.18463</v>
      </c>
      <c r="D9" s="22">
        <v>1796.7429999999999</v>
      </c>
      <c r="E9" s="22">
        <v>1999.9580000000001</v>
      </c>
      <c r="F9" s="22">
        <v>2137.5515868227344</v>
      </c>
      <c r="G9" s="22">
        <v>2120.174</v>
      </c>
      <c r="H9" s="22">
        <v>2028.6679999999999</v>
      </c>
      <c r="I9" s="22">
        <v>2796.5029599999998</v>
      </c>
      <c r="J9" s="22">
        <v>6464.4636200000004</v>
      </c>
      <c r="K9" s="22">
        <v>6279.0503200000003</v>
      </c>
      <c r="L9" s="22">
        <v>6451.2610100000002</v>
      </c>
      <c r="M9" s="22">
        <v>5980.10257</v>
      </c>
      <c r="N9" s="22">
        <v>6182.2505099999998</v>
      </c>
      <c r="O9" s="11" t="s">
        <v>23</v>
      </c>
    </row>
    <row r="10" spans="1:15" ht="20" x14ac:dyDescent="0.35">
      <c r="A10" s="1" t="s">
        <v>24</v>
      </c>
      <c r="B10" s="10">
        <f>SUM(B11:B42)</f>
        <v>22735.410519999998</v>
      </c>
      <c r="C10" s="8">
        <f>SUM(C11:C42)</f>
        <v>1629.605</v>
      </c>
      <c r="D10" s="8">
        <f t="shared" ref="D10:N10" si="1">SUM(D11:D42)</f>
        <v>1656.4549999999999</v>
      </c>
      <c r="E10" s="8">
        <f t="shared" si="1"/>
        <v>1821.9680000000003</v>
      </c>
      <c r="F10" s="8">
        <f t="shared" si="1"/>
        <v>2039.8120000000006</v>
      </c>
      <c r="G10" s="8">
        <f t="shared" si="1"/>
        <v>1924.4179999999999</v>
      </c>
      <c r="H10" s="8">
        <f t="shared" si="1"/>
        <v>1830.421</v>
      </c>
      <c r="I10" s="8">
        <f t="shared" si="1"/>
        <v>1909.4030000000002</v>
      </c>
      <c r="J10" s="8">
        <f t="shared" si="1"/>
        <v>2089.9904200000005</v>
      </c>
      <c r="K10" s="8">
        <f t="shared" si="1"/>
        <v>2018.0625300000002</v>
      </c>
      <c r="L10" s="8">
        <f t="shared" si="1"/>
        <v>1971.5166000000004</v>
      </c>
      <c r="M10" s="8">
        <f t="shared" si="1"/>
        <v>1851.7888599999999</v>
      </c>
      <c r="N10" s="8">
        <f t="shared" si="1"/>
        <v>1991.9701099999997</v>
      </c>
      <c r="O10" s="13" t="s">
        <v>25</v>
      </c>
    </row>
    <row r="11" spans="1:15" ht="20" x14ac:dyDescent="0.35">
      <c r="A11" s="20" t="s">
        <v>26</v>
      </c>
      <c r="B11" s="10">
        <f t="shared" ref="B11:B42" si="2">SUM(C11:N11)</f>
        <v>1099.72</v>
      </c>
      <c r="C11" s="22">
        <v>79.248000000000005</v>
      </c>
      <c r="D11" s="22">
        <v>77.510999999999996</v>
      </c>
      <c r="E11" s="22">
        <v>89.394000000000005</v>
      </c>
      <c r="F11" s="22">
        <v>101.78100000000001</v>
      </c>
      <c r="G11" s="22">
        <v>95.495999999999995</v>
      </c>
      <c r="H11" s="22">
        <v>96.76</v>
      </c>
      <c r="I11" s="22">
        <v>92.341999999999999</v>
      </c>
      <c r="J11" s="22">
        <v>95.466999999999999</v>
      </c>
      <c r="K11" s="22">
        <v>96.192999999999998</v>
      </c>
      <c r="L11" s="22">
        <v>95.828000000000003</v>
      </c>
      <c r="M11" s="22">
        <v>86.769000000000005</v>
      </c>
      <c r="N11" s="22">
        <v>92.930999999999997</v>
      </c>
      <c r="O11" s="11" t="s">
        <v>27</v>
      </c>
    </row>
    <row r="12" spans="1:15" ht="20" x14ac:dyDescent="0.35">
      <c r="A12" s="20" t="s">
        <v>28</v>
      </c>
      <c r="B12" s="10">
        <f t="shared" si="2"/>
        <v>639.91500000000008</v>
      </c>
      <c r="C12" s="22">
        <v>49.354999999999997</v>
      </c>
      <c r="D12" s="22">
        <v>50.082000000000001</v>
      </c>
      <c r="E12" s="22">
        <v>55.920999999999999</v>
      </c>
      <c r="F12" s="22">
        <v>62.805</v>
      </c>
      <c r="G12" s="22">
        <v>57.488999999999997</v>
      </c>
      <c r="H12" s="22">
        <v>51.703000000000003</v>
      </c>
      <c r="I12" s="22">
        <v>51.771999999999998</v>
      </c>
      <c r="J12" s="22">
        <v>52.777999999999999</v>
      </c>
      <c r="K12" s="22">
        <v>52.234999999999999</v>
      </c>
      <c r="L12" s="22">
        <v>53.088000000000001</v>
      </c>
      <c r="M12" s="22">
        <v>46.515999999999998</v>
      </c>
      <c r="N12" s="22">
        <v>56.170999999999999</v>
      </c>
      <c r="O12" s="11" t="s">
        <v>29</v>
      </c>
    </row>
    <row r="13" spans="1:15" ht="20" x14ac:dyDescent="0.35">
      <c r="A13" s="20" t="s">
        <v>30</v>
      </c>
      <c r="B13" s="10">
        <f t="shared" si="2"/>
        <v>724.4910000000001</v>
      </c>
      <c r="C13" s="22">
        <v>47.594000000000001</v>
      </c>
      <c r="D13" s="22">
        <v>48.548000000000002</v>
      </c>
      <c r="E13" s="22">
        <v>59.319000000000003</v>
      </c>
      <c r="F13" s="22">
        <v>69.798000000000002</v>
      </c>
      <c r="G13" s="22">
        <v>60.279000000000003</v>
      </c>
      <c r="H13" s="22">
        <v>53.378</v>
      </c>
      <c r="I13" s="22">
        <v>57.112000000000002</v>
      </c>
      <c r="J13" s="22">
        <v>66.180000000000007</v>
      </c>
      <c r="K13" s="22">
        <v>65.301000000000002</v>
      </c>
      <c r="L13" s="22">
        <v>62.844999999999999</v>
      </c>
      <c r="M13" s="22">
        <v>59.411999999999999</v>
      </c>
      <c r="N13" s="22">
        <v>74.724999999999994</v>
      </c>
      <c r="O13" s="11" t="s">
        <v>31</v>
      </c>
    </row>
    <row r="14" spans="1:15" ht="20" x14ac:dyDescent="0.35">
      <c r="A14" s="20" t="s">
        <v>32</v>
      </c>
      <c r="B14" s="10">
        <f t="shared" si="2"/>
        <v>1089.9705200000001</v>
      </c>
      <c r="C14" s="22">
        <v>73.495000000000005</v>
      </c>
      <c r="D14" s="22">
        <v>77.402000000000001</v>
      </c>
      <c r="E14" s="22">
        <v>92.754000000000005</v>
      </c>
      <c r="F14" s="22">
        <v>93.100999999999999</v>
      </c>
      <c r="G14" s="22">
        <v>96.635000000000005</v>
      </c>
      <c r="H14" s="22">
        <v>84.44</v>
      </c>
      <c r="I14" s="22">
        <v>89.506000000000014</v>
      </c>
      <c r="J14" s="22">
        <v>96.334420000000023</v>
      </c>
      <c r="K14" s="22">
        <v>104.14653</v>
      </c>
      <c r="L14" s="22">
        <v>99.064600000000013</v>
      </c>
      <c r="M14" s="22">
        <v>88.878860000000003</v>
      </c>
      <c r="N14" s="22">
        <v>94.21311</v>
      </c>
      <c r="O14" s="11" t="s">
        <v>33</v>
      </c>
    </row>
    <row r="15" spans="1:15" ht="20" x14ac:dyDescent="0.35">
      <c r="A15" s="20" t="s">
        <v>34</v>
      </c>
      <c r="B15" s="10">
        <f t="shared" si="2"/>
        <v>1106.846</v>
      </c>
      <c r="C15" s="22">
        <v>82.075999999999993</v>
      </c>
      <c r="D15" s="22">
        <v>80.397999999999996</v>
      </c>
      <c r="E15" s="22">
        <v>91.617999999999995</v>
      </c>
      <c r="F15" s="22">
        <v>101.788</v>
      </c>
      <c r="G15" s="22">
        <v>95.379000000000005</v>
      </c>
      <c r="H15" s="22">
        <v>91.179000000000002</v>
      </c>
      <c r="I15" s="22">
        <v>92.152000000000001</v>
      </c>
      <c r="J15" s="22">
        <v>94.185000000000002</v>
      </c>
      <c r="K15" s="22">
        <v>95.57</v>
      </c>
      <c r="L15" s="22">
        <v>97.028000000000006</v>
      </c>
      <c r="M15" s="22">
        <v>88.849000000000004</v>
      </c>
      <c r="N15" s="22">
        <v>96.623999999999995</v>
      </c>
      <c r="O15" s="11" t="s">
        <v>35</v>
      </c>
    </row>
    <row r="16" spans="1:15" ht="20" x14ac:dyDescent="0.35">
      <c r="A16" s="20" t="s">
        <v>36</v>
      </c>
      <c r="B16" s="10">
        <f t="shared" si="2"/>
        <v>2198.7449999999999</v>
      </c>
      <c r="C16" s="22">
        <v>178.71299999999999</v>
      </c>
      <c r="D16" s="22">
        <v>174.89400000000001</v>
      </c>
      <c r="E16" s="22">
        <v>186.05699999999999</v>
      </c>
      <c r="F16" s="22">
        <v>178.36600000000001</v>
      </c>
      <c r="G16" s="22">
        <v>180.46299999999999</v>
      </c>
      <c r="H16" s="22">
        <v>182.07400000000001</v>
      </c>
      <c r="I16" s="22">
        <v>184.55699999999999</v>
      </c>
      <c r="J16" s="22">
        <v>189.41</v>
      </c>
      <c r="K16" s="22">
        <v>183.12700000000001</v>
      </c>
      <c r="L16" s="22">
        <v>192.90799999999999</v>
      </c>
      <c r="M16" s="22">
        <v>183.21100000000001</v>
      </c>
      <c r="N16" s="22">
        <v>184.965</v>
      </c>
      <c r="O16" s="11" t="s">
        <v>37</v>
      </c>
    </row>
    <row r="17" spans="1:15" ht="20" x14ac:dyDescent="0.35">
      <c r="A17" s="20" t="s">
        <v>38</v>
      </c>
      <c r="B17" s="10">
        <f t="shared" si="2"/>
        <v>323.71999999999997</v>
      </c>
      <c r="C17" s="22">
        <v>18.45</v>
      </c>
      <c r="D17" s="22">
        <v>17.555</v>
      </c>
      <c r="E17" s="22">
        <v>20.913</v>
      </c>
      <c r="F17" s="22">
        <v>26.917999999999999</v>
      </c>
      <c r="G17" s="22">
        <v>30.271999999999998</v>
      </c>
      <c r="H17" s="22">
        <v>27.974</v>
      </c>
      <c r="I17" s="22">
        <v>28.32</v>
      </c>
      <c r="J17" s="22">
        <v>33.387999999999998</v>
      </c>
      <c r="K17" s="22">
        <v>31.356999999999999</v>
      </c>
      <c r="L17" s="22">
        <v>30.271999999999998</v>
      </c>
      <c r="M17" s="22">
        <v>28.306000000000001</v>
      </c>
      <c r="N17" s="22">
        <v>29.995000000000001</v>
      </c>
      <c r="O17" s="11" t="s">
        <v>39</v>
      </c>
    </row>
    <row r="18" spans="1:15" ht="20" x14ac:dyDescent="0.35">
      <c r="A18" s="20" t="s">
        <v>40</v>
      </c>
      <c r="B18" s="10">
        <f t="shared" si="2"/>
        <v>508.96599999999995</v>
      </c>
      <c r="C18" s="22">
        <v>35.831000000000003</v>
      </c>
      <c r="D18" s="22">
        <v>35.921999999999997</v>
      </c>
      <c r="E18" s="22">
        <v>40.646999999999998</v>
      </c>
      <c r="F18" s="22">
        <v>48.567999999999998</v>
      </c>
      <c r="G18" s="22">
        <v>43.447000000000003</v>
      </c>
      <c r="H18" s="22">
        <v>42.993000000000002</v>
      </c>
      <c r="I18" s="22">
        <v>42.817</v>
      </c>
      <c r="J18" s="22">
        <v>45.938000000000002</v>
      </c>
      <c r="K18" s="22">
        <v>45.186</v>
      </c>
      <c r="L18" s="22">
        <v>44.988999999999997</v>
      </c>
      <c r="M18" s="22">
        <v>39.914000000000001</v>
      </c>
      <c r="N18" s="22">
        <v>42.713999999999999</v>
      </c>
      <c r="O18" s="11" t="s">
        <v>41</v>
      </c>
    </row>
    <row r="19" spans="1:15" ht="20" x14ac:dyDescent="0.35">
      <c r="A19" s="20" t="s">
        <v>42</v>
      </c>
      <c r="B19" s="10">
        <f t="shared" si="2"/>
        <v>3143.9660000000003</v>
      </c>
      <c r="C19" s="22">
        <v>202.696</v>
      </c>
      <c r="D19" s="22">
        <v>214.56200000000001</v>
      </c>
      <c r="E19" s="22">
        <v>246.613</v>
      </c>
      <c r="F19" s="22">
        <v>268.00400000000002</v>
      </c>
      <c r="G19" s="22">
        <v>244.864</v>
      </c>
      <c r="H19" s="22">
        <v>229.42500000000001</v>
      </c>
      <c r="I19" s="22">
        <v>253.58500000000001</v>
      </c>
      <c r="J19" s="22">
        <v>311.05799999999999</v>
      </c>
      <c r="K19" s="22">
        <v>301.23</v>
      </c>
      <c r="L19" s="22">
        <v>279.98200000000003</v>
      </c>
      <c r="M19" s="22">
        <v>278.94799999999998</v>
      </c>
      <c r="N19" s="22">
        <v>312.99900000000002</v>
      </c>
      <c r="O19" s="11" t="s">
        <v>43</v>
      </c>
    </row>
    <row r="20" spans="1:15" ht="20" x14ac:dyDescent="0.35">
      <c r="A20" s="20" t="s">
        <v>44</v>
      </c>
      <c r="B20" s="10">
        <f t="shared" si="2"/>
        <v>1224.866</v>
      </c>
      <c r="C20" s="22">
        <v>87.052000000000007</v>
      </c>
      <c r="D20" s="22">
        <v>87.968999999999994</v>
      </c>
      <c r="E20" s="22">
        <v>100.1</v>
      </c>
      <c r="F20" s="22">
        <v>117.258</v>
      </c>
      <c r="G20" s="22">
        <v>110.31</v>
      </c>
      <c r="H20" s="22">
        <v>99.039000000000001</v>
      </c>
      <c r="I20" s="22">
        <v>107.018</v>
      </c>
      <c r="J20" s="22">
        <v>114.931</v>
      </c>
      <c r="K20" s="22">
        <v>108.20099999999999</v>
      </c>
      <c r="L20" s="22">
        <v>102.256</v>
      </c>
      <c r="M20" s="22">
        <v>92.974999999999994</v>
      </c>
      <c r="N20" s="22">
        <v>97.757000000000005</v>
      </c>
      <c r="O20" s="11" t="s">
        <v>45</v>
      </c>
    </row>
    <row r="21" spans="1:15" ht="20" x14ac:dyDescent="0.35">
      <c r="A21" s="20" t="s">
        <v>46</v>
      </c>
      <c r="B21" s="10">
        <f t="shared" si="2"/>
        <v>931.42199999999991</v>
      </c>
      <c r="C21" s="22">
        <v>60.002000000000002</v>
      </c>
      <c r="D21" s="22">
        <v>65.350999999999999</v>
      </c>
      <c r="E21" s="22">
        <v>73.128</v>
      </c>
      <c r="F21" s="22">
        <v>83.460999999999999</v>
      </c>
      <c r="G21" s="22">
        <v>77.344999999999999</v>
      </c>
      <c r="H21" s="22">
        <v>68.373000000000005</v>
      </c>
      <c r="I21" s="22">
        <v>74.516000000000005</v>
      </c>
      <c r="J21" s="22">
        <v>100.616</v>
      </c>
      <c r="K21" s="22">
        <v>89.727999999999994</v>
      </c>
      <c r="L21" s="22">
        <v>78.861000000000004</v>
      </c>
      <c r="M21" s="22">
        <v>76.789000000000001</v>
      </c>
      <c r="N21" s="22">
        <v>83.251999999999995</v>
      </c>
      <c r="O21" s="11" t="s">
        <v>47</v>
      </c>
    </row>
    <row r="22" spans="1:15" ht="20" x14ac:dyDescent="0.35">
      <c r="A22" s="20" t="s">
        <v>48</v>
      </c>
      <c r="B22" s="10">
        <f t="shared" si="2"/>
        <v>516.72200000000009</v>
      </c>
      <c r="C22" s="22">
        <v>38.021999999999998</v>
      </c>
      <c r="D22" s="22">
        <v>39.655999999999999</v>
      </c>
      <c r="E22" s="22">
        <v>40.933</v>
      </c>
      <c r="F22" s="22">
        <v>46.78</v>
      </c>
      <c r="G22" s="22">
        <v>44.078000000000003</v>
      </c>
      <c r="H22" s="22">
        <v>42.476999999999997</v>
      </c>
      <c r="I22" s="22">
        <v>42.335000000000001</v>
      </c>
      <c r="J22" s="22">
        <v>48.326000000000001</v>
      </c>
      <c r="K22" s="22">
        <v>46.912999999999997</v>
      </c>
      <c r="L22" s="22">
        <v>42.314999999999998</v>
      </c>
      <c r="M22" s="22">
        <v>41.874000000000002</v>
      </c>
      <c r="N22" s="22">
        <v>43.012999999999998</v>
      </c>
      <c r="O22" s="11" t="s">
        <v>49</v>
      </c>
    </row>
    <row r="23" spans="1:15" ht="20" x14ac:dyDescent="0.35">
      <c r="A23" s="20" t="s">
        <v>50</v>
      </c>
      <c r="B23" s="10">
        <f t="shared" si="2"/>
        <v>342.72199999999998</v>
      </c>
      <c r="C23" s="22">
        <v>24.367999999999999</v>
      </c>
      <c r="D23" s="22">
        <v>24.68</v>
      </c>
      <c r="E23" s="22">
        <v>26.370999999999999</v>
      </c>
      <c r="F23" s="22">
        <v>32.646000000000001</v>
      </c>
      <c r="G23" s="22">
        <v>30.443999999999999</v>
      </c>
      <c r="H23" s="22">
        <v>28.76</v>
      </c>
      <c r="I23" s="22">
        <v>29.800999999999998</v>
      </c>
      <c r="J23" s="22">
        <v>32.960999999999999</v>
      </c>
      <c r="K23" s="22">
        <v>31.302</v>
      </c>
      <c r="L23" s="22">
        <v>28.454000000000001</v>
      </c>
      <c r="M23" s="22">
        <v>25.988</v>
      </c>
      <c r="N23" s="22">
        <v>26.946999999999999</v>
      </c>
      <c r="O23" s="11" t="s">
        <v>51</v>
      </c>
    </row>
    <row r="24" spans="1:15" ht="20" x14ac:dyDescent="0.35">
      <c r="A24" s="20" t="s">
        <v>52</v>
      </c>
      <c r="B24" s="10">
        <f t="shared" si="2"/>
        <v>301.49300000000005</v>
      </c>
      <c r="C24" s="22">
        <v>21.780999999999999</v>
      </c>
      <c r="D24" s="22">
        <v>21.88</v>
      </c>
      <c r="E24" s="22">
        <v>23.649000000000001</v>
      </c>
      <c r="F24" s="22">
        <v>26.962</v>
      </c>
      <c r="G24" s="22">
        <v>26.971</v>
      </c>
      <c r="H24" s="22">
        <v>25.844999999999999</v>
      </c>
      <c r="I24" s="22">
        <v>27.951000000000001</v>
      </c>
      <c r="J24" s="22">
        <v>27.446999999999999</v>
      </c>
      <c r="K24" s="22">
        <v>25.782</v>
      </c>
      <c r="L24" s="22">
        <v>24.780999999999999</v>
      </c>
      <c r="M24" s="22">
        <v>23.824000000000002</v>
      </c>
      <c r="N24" s="22">
        <v>24.62</v>
      </c>
      <c r="O24" s="11" t="s">
        <v>53</v>
      </c>
    </row>
    <row r="25" spans="1:15" ht="20" x14ac:dyDescent="0.35">
      <c r="A25" s="20" t="s">
        <v>54</v>
      </c>
      <c r="B25" s="10">
        <f t="shared" si="2"/>
        <v>233.584</v>
      </c>
      <c r="C25" s="22">
        <v>17.198</v>
      </c>
      <c r="D25" s="22">
        <v>17.331</v>
      </c>
      <c r="E25" s="22">
        <v>17.541</v>
      </c>
      <c r="F25" s="22">
        <v>20.864999999999998</v>
      </c>
      <c r="G25" s="22">
        <v>21.222000000000001</v>
      </c>
      <c r="H25" s="22">
        <v>20.081</v>
      </c>
      <c r="I25" s="22">
        <v>23.492000000000001</v>
      </c>
      <c r="J25" s="22">
        <v>19.152000000000001</v>
      </c>
      <c r="K25" s="22">
        <v>21.033000000000001</v>
      </c>
      <c r="L25" s="22">
        <v>19.105</v>
      </c>
      <c r="M25" s="22">
        <v>17.872</v>
      </c>
      <c r="N25" s="22">
        <v>18.692</v>
      </c>
      <c r="O25" s="11" t="s">
        <v>55</v>
      </c>
    </row>
    <row r="26" spans="1:15" ht="20" x14ac:dyDescent="0.35">
      <c r="A26" s="20" t="s">
        <v>56</v>
      </c>
      <c r="B26" s="10">
        <f t="shared" si="2"/>
        <v>456.1</v>
      </c>
      <c r="C26" s="22">
        <v>33.360999999999997</v>
      </c>
      <c r="D26" s="22">
        <v>34.966999999999999</v>
      </c>
      <c r="E26" s="22">
        <v>33.421999999999997</v>
      </c>
      <c r="F26" s="22">
        <v>40.759</v>
      </c>
      <c r="G26" s="22">
        <v>38.978000000000002</v>
      </c>
      <c r="H26" s="22">
        <v>39.226999999999997</v>
      </c>
      <c r="I26" s="22">
        <v>39.893999999999998</v>
      </c>
      <c r="J26" s="22">
        <v>41.14</v>
      </c>
      <c r="K26" s="22">
        <v>40.784999999999997</v>
      </c>
      <c r="L26" s="22">
        <v>39.659999999999997</v>
      </c>
      <c r="M26" s="22">
        <v>36.741999999999997</v>
      </c>
      <c r="N26" s="22">
        <v>37.164999999999999</v>
      </c>
      <c r="O26" s="11" t="s">
        <v>57</v>
      </c>
    </row>
    <row r="27" spans="1:15" ht="20" x14ac:dyDescent="0.35">
      <c r="A27" s="20" t="s">
        <v>58</v>
      </c>
      <c r="B27" s="10">
        <f t="shared" si="2"/>
        <v>1075.2730000000001</v>
      </c>
      <c r="C27" s="22">
        <v>76.953000000000003</v>
      </c>
      <c r="D27" s="22">
        <v>78.218999999999994</v>
      </c>
      <c r="E27" s="22">
        <v>84.816999999999993</v>
      </c>
      <c r="F27" s="22">
        <v>101.164</v>
      </c>
      <c r="G27" s="22">
        <v>93.06</v>
      </c>
      <c r="H27" s="22">
        <v>85.903000000000006</v>
      </c>
      <c r="I27" s="22">
        <v>84.47</v>
      </c>
      <c r="J27" s="22">
        <v>100.02</v>
      </c>
      <c r="K27" s="22">
        <v>101.422</v>
      </c>
      <c r="L27" s="22">
        <v>93.864999999999995</v>
      </c>
      <c r="M27" s="22">
        <v>85.085999999999999</v>
      </c>
      <c r="N27" s="22">
        <v>90.293999999999997</v>
      </c>
      <c r="O27" s="11" t="s">
        <v>59</v>
      </c>
    </row>
    <row r="28" spans="1:15" ht="20" x14ac:dyDescent="0.35">
      <c r="A28" s="20" t="s">
        <v>60</v>
      </c>
      <c r="B28" s="10">
        <f t="shared" si="2"/>
        <v>1041.5160000000001</v>
      </c>
      <c r="C28" s="22">
        <v>74.632999999999996</v>
      </c>
      <c r="D28" s="22">
        <v>85.905000000000001</v>
      </c>
      <c r="E28" s="22">
        <v>83.778000000000006</v>
      </c>
      <c r="F28" s="22">
        <v>96.793999999999997</v>
      </c>
      <c r="G28" s="22">
        <v>86.35</v>
      </c>
      <c r="H28" s="22">
        <v>79.805999999999997</v>
      </c>
      <c r="I28" s="22">
        <v>85.337000000000003</v>
      </c>
      <c r="J28" s="22">
        <v>101.64400000000001</v>
      </c>
      <c r="K28" s="22">
        <v>86.350999999999999</v>
      </c>
      <c r="L28" s="22">
        <v>86.415999999999997</v>
      </c>
      <c r="M28" s="22">
        <v>83.637</v>
      </c>
      <c r="N28" s="22">
        <v>90.864999999999995</v>
      </c>
      <c r="O28" s="11" t="s">
        <v>61</v>
      </c>
    </row>
    <row r="29" spans="1:15" ht="20" x14ac:dyDescent="0.35">
      <c r="A29" s="20" t="s">
        <v>62</v>
      </c>
      <c r="B29" s="10">
        <f t="shared" si="2"/>
        <v>395.12499999999994</v>
      </c>
      <c r="C29" s="22">
        <v>26.759</v>
      </c>
      <c r="D29" s="22">
        <v>26.367999999999999</v>
      </c>
      <c r="E29" s="22">
        <v>32.381</v>
      </c>
      <c r="F29" s="22">
        <v>38.296999999999997</v>
      </c>
      <c r="G29" s="22">
        <v>36.604999999999997</v>
      </c>
      <c r="H29" s="22">
        <v>34.677999999999997</v>
      </c>
      <c r="I29" s="22">
        <v>40.987000000000002</v>
      </c>
      <c r="J29" s="22">
        <v>40.356000000000002</v>
      </c>
      <c r="K29" s="22">
        <v>31.495000000000001</v>
      </c>
      <c r="L29" s="22">
        <v>29.835000000000001</v>
      </c>
      <c r="M29" s="22">
        <v>28.303000000000001</v>
      </c>
      <c r="N29" s="22">
        <v>29.061</v>
      </c>
      <c r="O29" s="11" t="s">
        <v>63</v>
      </c>
    </row>
    <row r="30" spans="1:15" ht="20" x14ac:dyDescent="0.35">
      <c r="A30" s="20" t="s">
        <v>64</v>
      </c>
      <c r="B30" s="10">
        <f t="shared" si="2"/>
        <v>241.93800000000002</v>
      </c>
      <c r="C30" s="22">
        <v>18.724</v>
      </c>
      <c r="D30" s="22">
        <v>18.327999999999999</v>
      </c>
      <c r="E30" s="22">
        <v>19.099</v>
      </c>
      <c r="F30" s="22">
        <v>21.082000000000001</v>
      </c>
      <c r="G30" s="22">
        <v>21.274000000000001</v>
      </c>
      <c r="H30" s="22">
        <v>20.434999999999999</v>
      </c>
      <c r="I30" s="22">
        <v>19.882999999999999</v>
      </c>
      <c r="J30" s="22">
        <v>19.565000000000001</v>
      </c>
      <c r="K30" s="22">
        <v>20.631</v>
      </c>
      <c r="L30" s="22">
        <v>22.622</v>
      </c>
      <c r="M30" s="22">
        <v>19.818999999999999</v>
      </c>
      <c r="N30" s="22">
        <v>20.475999999999999</v>
      </c>
      <c r="O30" s="11" t="s">
        <v>65</v>
      </c>
    </row>
    <row r="31" spans="1:15" ht="20" x14ac:dyDescent="0.35">
      <c r="A31" s="20" t="s">
        <v>66</v>
      </c>
      <c r="B31" s="10">
        <f t="shared" si="2"/>
        <v>621.89300000000003</v>
      </c>
      <c r="C31" s="22">
        <v>45.27</v>
      </c>
      <c r="D31" s="22">
        <v>45.484999999999999</v>
      </c>
      <c r="E31" s="22">
        <v>46.792999999999999</v>
      </c>
      <c r="F31" s="22">
        <v>54.293999999999997</v>
      </c>
      <c r="G31" s="22">
        <v>48.588000000000001</v>
      </c>
      <c r="H31" s="22">
        <v>47.723999999999997</v>
      </c>
      <c r="I31" s="22">
        <v>49.37</v>
      </c>
      <c r="J31" s="22">
        <v>57.844999999999999</v>
      </c>
      <c r="K31" s="22">
        <v>57.625</v>
      </c>
      <c r="L31" s="22">
        <v>57.12</v>
      </c>
      <c r="M31" s="22">
        <v>54.12</v>
      </c>
      <c r="N31" s="22">
        <v>57.658999999999999</v>
      </c>
      <c r="O31" s="11" t="s">
        <v>67</v>
      </c>
    </row>
    <row r="32" spans="1:15" ht="20" x14ac:dyDescent="0.35">
      <c r="A32" s="20" t="s">
        <v>68</v>
      </c>
      <c r="B32" s="10">
        <f t="shared" si="2"/>
        <v>480.07500000000005</v>
      </c>
      <c r="C32" s="22">
        <v>37.088999999999999</v>
      </c>
      <c r="D32" s="22">
        <v>36.765000000000001</v>
      </c>
      <c r="E32" s="22">
        <v>38.393999999999998</v>
      </c>
      <c r="F32" s="22">
        <v>44.058999999999997</v>
      </c>
      <c r="G32" s="22">
        <v>42.811</v>
      </c>
      <c r="H32" s="22">
        <v>42.932000000000002</v>
      </c>
      <c r="I32" s="22">
        <v>41.161000000000001</v>
      </c>
      <c r="J32" s="22">
        <v>39.728000000000002</v>
      </c>
      <c r="K32" s="22">
        <v>38.476999999999997</v>
      </c>
      <c r="L32" s="22">
        <v>41.66</v>
      </c>
      <c r="M32" s="22">
        <v>37.856000000000002</v>
      </c>
      <c r="N32" s="22">
        <v>39.143000000000001</v>
      </c>
      <c r="O32" s="11" t="s">
        <v>69</v>
      </c>
    </row>
    <row r="33" spans="1:15" ht="20" x14ac:dyDescent="0.35">
      <c r="A33" s="20" t="s">
        <v>90</v>
      </c>
      <c r="B33" s="10">
        <f t="shared" si="2"/>
        <v>1305.0809999999999</v>
      </c>
      <c r="C33" s="22">
        <v>99.337000000000003</v>
      </c>
      <c r="D33" s="22">
        <v>98.34</v>
      </c>
      <c r="E33" s="22">
        <v>105.09099999999999</v>
      </c>
      <c r="F33" s="22">
        <v>117.57299999999999</v>
      </c>
      <c r="G33" s="22">
        <v>113.35599999999999</v>
      </c>
      <c r="H33" s="22">
        <v>114.461</v>
      </c>
      <c r="I33" s="22">
        <v>118.083</v>
      </c>
      <c r="J33" s="22">
        <v>112.41200000000001</v>
      </c>
      <c r="K33" s="22">
        <v>108.492</v>
      </c>
      <c r="L33" s="22">
        <v>111.28</v>
      </c>
      <c r="M33" s="22">
        <v>102.02200000000001</v>
      </c>
      <c r="N33" s="22">
        <v>104.634</v>
      </c>
      <c r="O33" s="11" t="s">
        <v>70</v>
      </c>
    </row>
    <row r="34" spans="1:15" ht="20" x14ac:dyDescent="0.35">
      <c r="A34" s="20" t="s">
        <v>71</v>
      </c>
      <c r="B34" s="10">
        <f t="shared" si="2"/>
        <v>290.36</v>
      </c>
      <c r="C34" s="22">
        <v>19.268000000000001</v>
      </c>
      <c r="D34" s="22">
        <v>20.463999999999999</v>
      </c>
      <c r="E34" s="22">
        <v>21.861000000000001</v>
      </c>
      <c r="F34" s="22">
        <v>26.123999999999999</v>
      </c>
      <c r="G34" s="22">
        <v>24.928000000000001</v>
      </c>
      <c r="H34" s="22">
        <v>24.288</v>
      </c>
      <c r="I34" s="22">
        <v>24.847999999999999</v>
      </c>
      <c r="J34" s="22">
        <v>27.393000000000001</v>
      </c>
      <c r="K34" s="22">
        <v>27.116</v>
      </c>
      <c r="L34" s="22">
        <v>26.468</v>
      </c>
      <c r="M34" s="22">
        <v>23.483000000000001</v>
      </c>
      <c r="N34" s="22">
        <v>24.119</v>
      </c>
      <c r="O34" s="11" t="s">
        <v>72</v>
      </c>
    </row>
    <row r="35" spans="1:15" ht="20" x14ac:dyDescent="0.35">
      <c r="A35" s="20" t="s">
        <v>73</v>
      </c>
      <c r="B35" s="10">
        <f t="shared" si="2"/>
        <v>112.84399999999999</v>
      </c>
      <c r="C35" s="22">
        <v>8.0990000000000002</v>
      </c>
      <c r="D35" s="22">
        <v>7.9039999999999999</v>
      </c>
      <c r="E35" s="22">
        <v>8.9130000000000003</v>
      </c>
      <c r="F35" s="22">
        <v>10.029999999999999</v>
      </c>
      <c r="G35" s="22">
        <v>10.515000000000001</v>
      </c>
      <c r="H35" s="22">
        <v>10.127000000000001</v>
      </c>
      <c r="I35" s="22">
        <v>10.848000000000001</v>
      </c>
      <c r="J35" s="22">
        <v>9.5060000000000002</v>
      </c>
      <c r="K35" s="22">
        <v>8.8559999999999999</v>
      </c>
      <c r="L35" s="22">
        <v>10.077999999999999</v>
      </c>
      <c r="M35" s="22">
        <v>9.0139999999999993</v>
      </c>
      <c r="N35" s="22">
        <v>8.9540000000000006</v>
      </c>
      <c r="O35" s="11" t="s">
        <v>74</v>
      </c>
    </row>
    <row r="36" spans="1:15" ht="20" x14ac:dyDescent="0.35">
      <c r="A36" s="20" t="s">
        <v>75</v>
      </c>
      <c r="B36" s="10">
        <f t="shared" si="2"/>
        <v>216.51799999999997</v>
      </c>
      <c r="C36" s="22">
        <v>17.081</v>
      </c>
      <c r="D36" s="22">
        <v>17.045999999999999</v>
      </c>
      <c r="E36" s="22">
        <v>17.021000000000001</v>
      </c>
      <c r="F36" s="22">
        <v>20.222000000000001</v>
      </c>
      <c r="G36" s="22">
        <v>19.509</v>
      </c>
      <c r="H36" s="22">
        <v>18.692</v>
      </c>
      <c r="I36" s="22">
        <v>17.690999999999999</v>
      </c>
      <c r="J36" s="22">
        <v>17.271999999999998</v>
      </c>
      <c r="K36" s="22">
        <v>18.184999999999999</v>
      </c>
      <c r="L36" s="22">
        <v>19.367999999999999</v>
      </c>
      <c r="M36" s="22">
        <v>17.462</v>
      </c>
      <c r="N36" s="22">
        <v>16.969000000000001</v>
      </c>
      <c r="O36" s="11" t="s">
        <v>76</v>
      </c>
    </row>
    <row r="37" spans="1:15" ht="20" x14ac:dyDescent="0.35">
      <c r="A37" s="20" t="s">
        <v>77</v>
      </c>
      <c r="B37" s="10">
        <f t="shared" si="2"/>
        <v>661.09199999999998</v>
      </c>
      <c r="C37" s="22">
        <v>45.735999999999997</v>
      </c>
      <c r="D37" s="22">
        <v>46.16</v>
      </c>
      <c r="E37" s="22">
        <v>49.99</v>
      </c>
      <c r="F37" s="22">
        <v>58.814999999999998</v>
      </c>
      <c r="G37" s="22">
        <v>55.029000000000003</v>
      </c>
      <c r="H37" s="22">
        <v>54.298999999999999</v>
      </c>
      <c r="I37" s="22">
        <v>57.779000000000003</v>
      </c>
      <c r="J37" s="22">
        <v>62.073</v>
      </c>
      <c r="K37" s="22">
        <v>59.209000000000003</v>
      </c>
      <c r="L37" s="22">
        <v>59.103000000000002</v>
      </c>
      <c r="M37" s="22">
        <v>53.86</v>
      </c>
      <c r="N37" s="22">
        <v>59.039000000000001</v>
      </c>
      <c r="O37" s="11" t="s">
        <v>78</v>
      </c>
    </row>
    <row r="38" spans="1:15" ht="20" x14ac:dyDescent="0.35">
      <c r="A38" s="20" t="s">
        <v>79</v>
      </c>
      <c r="B38" s="10">
        <f t="shared" si="2"/>
        <v>379.315</v>
      </c>
      <c r="C38" s="22">
        <v>27.861000000000001</v>
      </c>
      <c r="D38" s="22">
        <v>26.556000000000001</v>
      </c>
      <c r="E38" s="22">
        <v>29.402000000000001</v>
      </c>
      <c r="F38" s="22">
        <v>33.856000000000002</v>
      </c>
      <c r="G38" s="22">
        <v>34.343000000000004</v>
      </c>
      <c r="H38" s="22">
        <v>33.969000000000001</v>
      </c>
      <c r="I38" s="22">
        <v>33.768999999999998</v>
      </c>
      <c r="J38" s="22">
        <v>32.591999999999999</v>
      </c>
      <c r="K38" s="22">
        <v>32.408999999999999</v>
      </c>
      <c r="L38" s="22">
        <v>33.287999999999997</v>
      </c>
      <c r="M38" s="22">
        <v>29.812999999999999</v>
      </c>
      <c r="N38" s="22">
        <v>31.457000000000001</v>
      </c>
      <c r="O38" s="11" t="s">
        <v>80</v>
      </c>
    </row>
    <row r="39" spans="1:15" ht="20" x14ac:dyDescent="0.35">
      <c r="A39" s="20" t="s">
        <v>81</v>
      </c>
      <c r="B39" s="10">
        <f t="shared" si="2"/>
        <v>289.084</v>
      </c>
      <c r="C39" s="22">
        <v>23.109000000000002</v>
      </c>
      <c r="D39" s="22">
        <v>20.36</v>
      </c>
      <c r="E39" s="22">
        <v>21.72</v>
      </c>
      <c r="F39" s="22">
        <v>26.553000000000001</v>
      </c>
      <c r="G39" s="22">
        <v>22.256</v>
      </c>
      <c r="H39" s="22">
        <v>21.696999999999999</v>
      </c>
      <c r="I39" s="22">
        <v>23.640999999999998</v>
      </c>
      <c r="J39" s="22">
        <v>26.849</v>
      </c>
      <c r="K39" s="22">
        <v>24.454999999999998</v>
      </c>
      <c r="L39" s="22">
        <v>25.347000000000001</v>
      </c>
      <c r="M39" s="22">
        <v>25.46</v>
      </c>
      <c r="N39" s="22">
        <v>27.637</v>
      </c>
      <c r="O39" s="11" t="s">
        <v>82</v>
      </c>
    </row>
    <row r="40" spans="1:15" ht="20" x14ac:dyDescent="0.35">
      <c r="A40" s="20" t="s">
        <v>83</v>
      </c>
      <c r="B40" s="10">
        <f t="shared" si="2"/>
        <v>318.17400000000009</v>
      </c>
      <c r="C40" s="22">
        <v>24.361000000000001</v>
      </c>
      <c r="D40" s="22">
        <v>24.997</v>
      </c>
      <c r="E40" s="22">
        <v>26.251000000000001</v>
      </c>
      <c r="F40" s="22">
        <v>27.228999999999999</v>
      </c>
      <c r="G40" s="22">
        <v>23.071999999999999</v>
      </c>
      <c r="H40" s="22">
        <v>20.683</v>
      </c>
      <c r="I40" s="22">
        <v>25.210999999999999</v>
      </c>
      <c r="J40" s="22">
        <v>33.015999999999998</v>
      </c>
      <c r="K40" s="22">
        <v>26.14</v>
      </c>
      <c r="L40" s="22">
        <v>25.091000000000001</v>
      </c>
      <c r="M40" s="22">
        <v>28.225000000000001</v>
      </c>
      <c r="N40" s="22">
        <v>33.898000000000003</v>
      </c>
      <c r="O40" s="11" t="s">
        <v>84</v>
      </c>
    </row>
    <row r="41" spans="1:15" ht="20" x14ac:dyDescent="0.35">
      <c r="A41" s="20" t="s">
        <v>85</v>
      </c>
      <c r="B41" s="10">
        <f t="shared" si="2"/>
        <v>380.75899999999996</v>
      </c>
      <c r="C41" s="22">
        <v>29.079000000000001</v>
      </c>
      <c r="D41" s="22">
        <v>28.405999999999999</v>
      </c>
      <c r="E41" s="22">
        <v>31.074999999999999</v>
      </c>
      <c r="F41" s="22">
        <v>36.497999999999998</v>
      </c>
      <c r="G41" s="22">
        <v>32.308999999999997</v>
      </c>
      <c r="H41" s="22">
        <v>30.616</v>
      </c>
      <c r="I41" s="22">
        <v>31.734000000000002</v>
      </c>
      <c r="J41" s="22">
        <v>33.523000000000003</v>
      </c>
      <c r="K41" s="22">
        <v>32.575000000000003</v>
      </c>
      <c r="L41" s="22">
        <v>31.95</v>
      </c>
      <c r="M41" s="22">
        <v>29.847000000000001</v>
      </c>
      <c r="N41" s="22">
        <v>33.146999999999998</v>
      </c>
      <c r="O41" s="11" t="s">
        <v>86</v>
      </c>
    </row>
    <row r="42" spans="1:15" ht="20" x14ac:dyDescent="0.35">
      <c r="A42" s="21" t="s">
        <v>87</v>
      </c>
      <c r="B42" s="14">
        <f t="shared" si="2"/>
        <v>83.114999999999995</v>
      </c>
      <c r="C42" s="23">
        <v>7.0039999999999996</v>
      </c>
      <c r="D42" s="23">
        <v>6.444</v>
      </c>
      <c r="E42" s="23">
        <v>7.0019999999999998</v>
      </c>
      <c r="F42" s="23">
        <v>7.3620000000000001</v>
      </c>
      <c r="G42" s="23">
        <v>6.7409999999999997</v>
      </c>
      <c r="H42" s="23">
        <v>6.383</v>
      </c>
      <c r="I42" s="23">
        <v>7.4210000000000003</v>
      </c>
      <c r="J42" s="23">
        <v>6.8849999999999998</v>
      </c>
      <c r="K42" s="23">
        <v>6.5350000000000001</v>
      </c>
      <c r="L42" s="23">
        <v>6.5890000000000004</v>
      </c>
      <c r="M42" s="23">
        <v>6.9139999999999997</v>
      </c>
      <c r="N42" s="23">
        <v>7.835</v>
      </c>
      <c r="O42" s="2" t="s">
        <v>88</v>
      </c>
    </row>
    <row r="43" spans="1:15" x14ac:dyDescent="0.35">
      <c r="A43" s="15" t="s">
        <v>2</v>
      </c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  <c r="O43" s="19" t="s">
        <v>3</v>
      </c>
    </row>
  </sheetData>
  <mergeCells count="4">
    <mergeCell ref="A1:O1"/>
    <mergeCell ref="A2:O2"/>
    <mergeCell ref="A3:O3"/>
    <mergeCell ref="A4:O4"/>
  </mergeCells>
  <pageMargins left="0.7" right="0.7" top="0.75" bottom="0.75" header="0.3" footer="0.3"/>
  <pageSetup paperSize="9" scale="53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12.3</vt:lpstr>
      <vt:lpstr>'12.3'!Print_Area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2023-10-23T23:04:24Z</cp:lastPrinted>
  <dcterms:created xsi:type="dcterms:W3CDTF">2019-05-21T05:57:01Z</dcterms:created>
  <dcterms:modified xsi:type="dcterms:W3CDTF">2023-10-23T23:04:38Z</dcterms:modified>
</cp:coreProperties>
</file>