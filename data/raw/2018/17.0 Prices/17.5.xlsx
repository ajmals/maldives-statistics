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5" sheetId="10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'17.5'!$A$1:$W$66</definedName>
    <definedName name="Print_Area_MI">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AB27" i="10" l="1"/>
  <c r="AA27" i="10"/>
  <c r="AI11" i="10"/>
  <c r="AI10" i="10"/>
  <c r="AA23" i="10" l="1"/>
  <c r="AB25" i="10"/>
  <c r="AA25" i="10"/>
  <c r="U43" i="10" l="1"/>
  <c r="U42" i="10"/>
  <c r="U41" i="10"/>
  <c r="U40" i="10"/>
  <c r="U39" i="10"/>
  <c r="U38" i="10"/>
  <c r="U37" i="10"/>
  <c r="U36" i="10"/>
  <c r="U35" i="10"/>
  <c r="U34" i="10"/>
  <c r="U33" i="10"/>
  <c r="U32" i="10"/>
  <c r="U31" i="10"/>
  <c r="U44" i="10"/>
  <c r="U29" i="10"/>
  <c r="U45" i="10"/>
  <c r="U30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44" i="10"/>
  <c r="AH11" i="10" s="1"/>
  <c r="M45" i="10"/>
  <c r="M30" i="10"/>
  <c r="M29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8" i="10"/>
  <c r="U24" i="10"/>
  <c r="U9" i="10"/>
  <c r="M24" i="10" l="1"/>
  <c r="AB26" i="10" s="1"/>
  <c r="M23" i="10"/>
  <c r="AH10" i="10" l="1"/>
  <c r="AA26" i="10"/>
  <c r="M17" i="10"/>
  <c r="M19" i="10"/>
  <c r="M15" i="10"/>
  <c r="M13" i="10"/>
  <c r="M12" i="10"/>
  <c r="M22" i="10"/>
  <c r="M21" i="10"/>
  <c r="M20" i="10"/>
  <c r="M18" i="10"/>
  <c r="M16" i="10"/>
  <c r="M11" i="10"/>
  <c r="M14" i="10"/>
  <c r="M10" i="10"/>
  <c r="M9" i="10"/>
  <c r="M8" i="10"/>
  <c r="AA20" i="10" l="1"/>
  <c r="AA19" i="10"/>
  <c r="AA24" i="10"/>
  <c r="T10" i="10" l="1"/>
  <c r="T9" i="10"/>
  <c r="T14" i="10"/>
  <c r="T8" i="10"/>
  <c r="AG11" i="10" l="1"/>
  <c r="AG10" i="10"/>
  <c r="AB24" i="10"/>
  <c r="AB23" i="10"/>
  <c r="AB22" i="10"/>
  <c r="AB20" i="10"/>
  <c r="AB19" i="10"/>
  <c r="AB17" i="10"/>
  <c r="AA22" i="10"/>
  <c r="AA21" i="10"/>
  <c r="AA18" i="10"/>
  <c r="AA17" i="10"/>
  <c r="AE11" i="10" l="1"/>
  <c r="AF11" i="10"/>
  <c r="AE10" i="10"/>
  <c r="AF10" i="10"/>
  <c r="B44" i="10" l="1"/>
  <c r="B45" i="10" s="1"/>
  <c r="B30" i="10"/>
  <c r="B23" i="10" l="1"/>
  <c r="B24" i="10" s="1"/>
  <c r="B9" i="10"/>
  <c r="AD10" i="10" l="1"/>
  <c r="AD11" i="10"/>
  <c r="AC11" i="10"/>
  <c r="AB11" i="10"/>
  <c r="AA10" i="10"/>
  <c r="AB21" i="10" l="1"/>
  <c r="AB18" i="10"/>
  <c r="AA11" i="10"/>
  <c r="AC10" i="10"/>
  <c r="AB10" i="10"/>
</calcChain>
</file>

<file path=xl/sharedStrings.xml><?xml version="1.0" encoding="utf-8"?>
<sst xmlns="http://schemas.openxmlformats.org/spreadsheetml/2006/main" count="93" uniqueCount="56">
  <si>
    <t>Base weights</t>
  </si>
  <si>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</si>
  <si>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</si>
  <si>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</si>
  <si>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</si>
  <si>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</si>
  <si>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</si>
  <si>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</si>
  <si>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</si>
  <si>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</si>
  <si>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</si>
  <si>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</si>
  <si>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</si>
  <si>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</si>
  <si>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</si>
  <si>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</si>
  <si>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</si>
  <si>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</si>
  <si>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</si>
  <si>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</si>
  <si>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</si>
  <si>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</si>
  <si>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Major Groups - Male'</t>
  </si>
  <si>
    <t xml:space="preserve"> cSwa elWm - cawtiawb uDnwgiawm</t>
  </si>
  <si>
    <t>Male'</t>
  </si>
  <si>
    <t xml:space="preserve">Furnishing,  household equipment &amp; routine maintenance </t>
  </si>
  <si>
    <t xml:space="preserve">Tobacco </t>
  </si>
  <si>
    <t xml:space="preserve"> cSwCcaekwt   WviawfWLwawDnwk  cnwdurwb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</si>
  <si>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</si>
  <si>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</si>
  <si>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</si>
  <si>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</si>
  <si>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</si>
  <si>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</si>
  <si>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Including fish</t>
  </si>
  <si>
    <t>Excluding fish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</si>
  <si>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</si>
  <si>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</si>
  <si>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</si>
  <si>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</si>
  <si>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</si>
  <si>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</si>
  <si>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                                   ilukegEg</t>
  </si>
  <si>
    <t>ctwmcdiK iaWlwdum cnehinehea</t>
  </si>
  <si>
    <t>Republic</t>
  </si>
  <si>
    <t>Major Groups - Republic</t>
  </si>
  <si>
    <t>Total inflation rates 2009-2012</t>
  </si>
  <si>
    <t>Note: The series for the Republic prior to June 2012 is linked to previously published series for Male'. Hence, CPI for Male' and Republic prior to June 2012 is the same.</t>
  </si>
  <si>
    <t xml:space="preserve">Source:  National  Bureau of Statistics   </t>
  </si>
  <si>
    <t>މަޢުލޫމާތު ދެއްވި ފަރާތް: ނޭޝަނަލް ބިއުރޯ އޮފް ސްޓެޓިސްޓިކްސް</t>
  </si>
  <si>
    <t xml:space="preserve"> cSwCcaekwt   WviawfWLwawDnwk  cnwdurub</t>
  </si>
  <si>
    <t>Table 17.5 :  CONSUMER PRICE INDEX, 2010 - 2017</t>
  </si>
  <si>
    <t>2017 - 2010 ,uDnwgcnim egugwa egurWzWb : 17.5 ulwvWt</t>
  </si>
  <si>
    <t>Total national inflation rates 2007-2017</t>
  </si>
  <si>
    <t>ކުރީ އަހަރަށްވުރެ އިތުރުވި މިންވަރު، %</t>
  </si>
  <si>
    <t>Percentage change over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</si>
</sst>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8" formatCode="0.00_);[Red]\(0.00\)"/>
    <numFmt numFmtId="169" formatCode="0.00_)"/>
    <numFmt numFmtId="170" formatCode="_(* #,##0.0_);_(* \(#,##0.0\);_(* &quot;-&quot;??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9"/>
      <name val="Faruma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</borders>
  <cellStyleXfs count="18">
    <xf numFmtId="0" fontId="0" fillId="0" borderId="0"/>
    <xf numFmtId="0" fontId="2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3" fillId="0" borderId="0"/>
    <xf numFmtId="0" fontId="2" fillId="0" borderId="0"/>
    <xf numFmtId="0" fontId="2" fillId="0" borderId="0"/>
    <xf numFmtId="167" fontId="3" fillId="0" borderId="0"/>
    <xf numFmtId="0" fontId="2" fillId="0" borderId="0"/>
    <xf numFmtId="167" fontId="3" fillId="0" borderId="0"/>
    <xf numFmtId="167" fontId="3" fillId="0" borderId="0"/>
    <xf numFmtId="9" fontId="11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12">
    <xf numFmtId="0" fontId="0" fillId="0" borderId="0" xfId="0"/>
    <xf numFmtId="167" fontId="10" fillId="2" borderId="0" xfId="9" applyFont="1" applyFill="1" applyAlignment="1">
      <alignment horizontal="right" vertical="center"/>
    </xf>
    <xf numFmtId="167" fontId="5" fillId="2" borderId="0" xfId="10" applyFont="1" applyFill="1" applyAlignment="1">
      <alignment vertical="center"/>
    </xf>
    <xf numFmtId="0" fontId="11" fillId="2" borderId="0" xfId="5" applyFont="1" applyFill="1"/>
    <xf numFmtId="0" fontId="16" fillId="2" borderId="1" xfId="5" applyFont="1" applyFill="1" applyBorder="1" applyAlignment="1">
      <alignment horizontal="left"/>
    </xf>
    <xf numFmtId="0" fontId="7" fillId="2" borderId="1" xfId="5" applyFont="1" applyFill="1" applyBorder="1" applyAlignment="1">
      <alignment horizontal="right"/>
    </xf>
    <xf numFmtId="167" fontId="18" fillId="2" borderId="0" xfId="7" applyFont="1" applyFill="1" applyAlignment="1">
      <alignment vertical="center" wrapText="1"/>
    </xf>
    <xf numFmtId="166" fontId="18" fillId="2" borderId="0" xfId="6" applyNumberFormat="1" applyFont="1" applyFill="1" applyBorder="1" applyAlignment="1">
      <alignment horizontal="right" vertical="center"/>
    </xf>
    <xf numFmtId="166" fontId="18" fillId="2" borderId="0" xfId="5" applyNumberFormat="1" applyFont="1" applyFill="1" applyBorder="1" applyAlignment="1">
      <alignment horizontal="right" vertical="center"/>
    </xf>
    <xf numFmtId="166" fontId="18" fillId="2" borderId="0" xfId="5" applyNumberFormat="1" applyFont="1" applyFill="1" applyAlignment="1">
      <alignment horizontal="right" vertical="center"/>
    </xf>
    <xf numFmtId="166" fontId="18" fillId="2" borderId="0" xfId="7" applyNumberFormat="1" applyFont="1" applyFill="1" applyBorder="1" applyAlignment="1">
      <alignment horizontal="right" vertical="center"/>
    </xf>
    <xf numFmtId="0" fontId="11" fillId="2" borderId="0" xfId="5" applyFont="1" applyFill="1" applyAlignment="1">
      <alignment vertical="center"/>
    </xf>
    <xf numFmtId="167" fontId="18" fillId="2" borderId="0" xfId="7" applyFont="1" applyFill="1" applyAlignment="1">
      <alignment vertical="center"/>
    </xf>
    <xf numFmtId="0" fontId="18" fillId="2" borderId="0" xfId="6" applyFont="1" applyFill="1" applyAlignment="1">
      <alignment vertical="center"/>
    </xf>
    <xf numFmtId="167" fontId="18" fillId="2" borderId="0" xfId="7" applyFont="1" applyFill="1" applyBorder="1" applyAlignment="1">
      <alignment vertical="center" wrapText="1"/>
    </xf>
    <xf numFmtId="167" fontId="10" fillId="2" borderId="0" xfId="10" applyFont="1" applyFill="1" applyAlignment="1">
      <alignment horizontal="right" vertical="center"/>
    </xf>
    <xf numFmtId="167" fontId="19" fillId="2" borderId="0" xfId="7" applyFont="1" applyFill="1" applyBorder="1" applyAlignment="1">
      <alignment vertical="center"/>
    </xf>
    <xf numFmtId="166" fontId="19" fillId="2" borderId="0" xfId="6" applyNumberFormat="1" applyFont="1" applyFill="1" applyBorder="1" applyAlignment="1">
      <alignment horizontal="right" vertical="center"/>
    </xf>
    <xf numFmtId="166" fontId="19" fillId="2" borderId="0" xfId="5" applyNumberFormat="1" applyFont="1" applyFill="1" applyBorder="1" applyAlignment="1">
      <alignment horizontal="right" vertical="center"/>
    </xf>
    <xf numFmtId="166" fontId="19" fillId="2" borderId="0" xfId="7" applyNumberFormat="1" applyFont="1" applyFill="1" applyBorder="1" applyAlignment="1">
      <alignment horizontal="right" vertical="center"/>
    </xf>
    <xf numFmtId="167" fontId="8" fillId="2" borderId="0" xfId="9" applyFont="1" applyFill="1" applyBorder="1" applyAlignment="1">
      <alignment horizontal="right" vertical="center"/>
    </xf>
    <xf numFmtId="0" fontId="6" fillId="2" borderId="0" xfId="5" applyFont="1" applyFill="1" applyAlignment="1">
      <alignment vertical="center"/>
    </xf>
    <xf numFmtId="167" fontId="19" fillId="2" borderId="2" xfId="7" applyFont="1" applyFill="1" applyBorder="1" applyAlignment="1">
      <alignment vertical="center"/>
    </xf>
    <xf numFmtId="166" fontId="19" fillId="2" borderId="2" xfId="7" applyNumberFormat="1" applyFont="1" applyFill="1" applyBorder="1" applyAlignment="1">
      <alignment horizontal="right" vertical="center"/>
    </xf>
    <xf numFmtId="167" fontId="8" fillId="2" borderId="2" xfId="10" applyFont="1" applyFill="1" applyBorder="1" applyAlignment="1">
      <alignment horizontal="right" vertical="center"/>
    </xf>
    <xf numFmtId="0" fontId="11" fillId="2" borderId="0" xfId="5" applyFont="1" applyFill="1" applyBorder="1" applyAlignment="1">
      <alignment vertical="center"/>
    </xf>
    <xf numFmtId="0" fontId="15" fillId="2" borderId="2" xfId="5" applyFont="1" applyFill="1" applyBorder="1" applyAlignment="1">
      <alignment horizontal="right" vertical="center"/>
    </xf>
    <xf numFmtId="0" fontId="14" fillId="2" borderId="2" xfId="5" applyFont="1" applyFill="1" applyBorder="1" applyAlignment="1">
      <alignment horizontal="right" vertical="center"/>
    </xf>
    <xf numFmtId="0" fontId="9" fillId="2" borderId="0" xfId="5" applyFont="1" applyFill="1" applyAlignment="1">
      <alignment vertical="center"/>
    </xf>
    <xf numFmtId="0" fontId="7" fillId="2" borderId="0" xfId="5" applyFont="1" applyFill="1" applyAlignment="1">
      <alignment vertical="center"/>
    </xf>
    <xf numFmtId="0" fontId="15" fillId="2" borderId="0" xfId="5" applyFont="1" applyFill="1" applyBorder="1" applyAlignment="1">
      <alignment horizontal="left" vertical="center"/>
    </xf>
    <xf numFmtId="0" fontId="7" fillId="2" borderId="0" xfId="5" applyFont="1" applyFill="1" applyBorder="1" applyAlignment="1">
      <alignment vertical="center"/>
    </xf>
    <xf numFmtId="167" fontId="10" fillId="2" borderId="0" xfId="9" applyFont="1" applyFill="1" applyAlignment="1">
      <alignment horizontal="center" vertical="center"/>
    </xf>
    <xf numFmtId="166" fontId="19" fillId="2" borderId="2" xfId="5" applyNumberFormat="1" applyFont="1" applyFill="1" applyBorder="1" applyAlignment="1">
      <alignment horizontal="right" vertical="center"/>
    </xf>
    <xf numFmtId="167" fontId="8" fillId="2" borderId="0" xfId="10" applyFont="1" applyFill="1" applyBorder="1" applyAlignment="1">
      <alignment horizontal="right" vertical="center"/>
    </xf>
    <xf numFmtId="166" fontId="11" fillId="2" borderId="0" xfId="5" applyNumberFormat="1" applyFont="1" applyFill="1" applyAlignment="1">
      <alignment vertical="center"/>
    </xf>
    <xf numFmtId="0" fontId="19" fillId="2" borderId="0" xfId="5" applyFont="1" applyFill="1" applyBorder="1" applyAlignment="1">
      <alignment horizontal="left" vertical="center"/>
    </xf>
    <xf numFmtId="0" fontId="12" fillId="2" borderId="0" xfId="5" applyFont="1" applyFill="1" applyBorder="1" applyAlignment="1">
      <alignment horizontal="right" vertical="center"/>
    </xf>
    <xf numFmtId="167" fontId="6" fillId="2" borderId="0" xfId="10" applyFont="1" applyFill="1" applyAlignment="1" applyProtection="1">
      <alignment vertical="center"/>
    </xf>
    <xf numFmtId="0" fontId="20" fillId="2" borderId="5" xfId="5" applyFont="1" applyFill="1" applyBorder="1" applyAlignment="1">
      <alignment horizontal="right" vertical="center"/>
    </xf>
    <xf numFmtId="0" fontId="20" fillId="2" borderId="2" xfId="5" applyFont="1" applyFill="1" applyBorder="1" applyAlignment="1">
      <alignment horizontal="right" vertical="center"/>
    </xf>
    <xf numFmtId="166" fontId="18" fillId="2" borderId="0" xfId="6" applyNumberFormat="1" applyFont="1" applyFill="1" applyAlignment="1">
      <alignment horizontal="center" vertical="center"/>
    </xf>
    <xf numFmtId="0" fontId="2" fillId="2" borderId="0" xfId="5" applyFont="1" applyFill="1" applyAlignment="1">
      <alignment vertical="center"/>
    </xf>
    <xf numFmtId="166" fontId="18" fillId="2" borderId="4" xfId="7" applyNumberFormat="1" applyFont="1" applyFill="1" applyBorder="1" applyAlignment="1">
      <alignment horizontal="right" vertical="center"/>
    </xf>
    <xf numFmtId="170" fontId="11" fillId="2" borderId="0" xfId="5" applyNumberFormat="1" applyFont="1" applyFill="1" applyAlignment="1">
      <alignment vertical="center"/>
    </xf>
    <xf numFmtId="167" fontId="10" fillId="2" borderId="0" xfId="9" applyFont="1" applyFill="1" applyAlignment="1">
      <alignment horizontal="right" vertical="center" wrapText="1"/>
    </xf>
    <xf numFmtId="166" fontId="19" fillId="2" borderId="0" xfId="7" applyNumberFormat="1" applyFont="1" applyFill="1" applyBorder="1" applyAlignment="1">
      <alignment horizontal="center" vertical="center"/>
    </xf>
    <xf numFmtId="166" fontId="6" fillId="2" borderId="0" xfId="5" applyNumberFormat="1" applyFont="1" applyFill="1" applyAlignment="1">
      <alignment vertical="center"/>
    </xf>
    <xf numFmtId="166" fontId="19" fillId="2" borderId="2" xfId="7" applyNumberFormat="1" applyFont="1" applyFill="1" applyBorder="1" applyAlignment="1">
      <alignment horizontal="center" vertical="center"/>
    </xf>
    <xf numFmtId="3" fontId="18" fillId="2" borderId="0" xfId="8" applyNumberFormat="1" applyFont="1" applyFill="1" applyAlignment="1" applyProtection="1">
      <alignment horizontal="left" vertical="center"/>
    </xf>
    <xf numFmtId="3" fontId="9" fillId="2" borderId="0" xfId="8" applyNumberFormat="1" applyFont="1" applyFill="1" applyAlignment="1" applyProtection="1">
      <alignment horizontal="center" vertical="center"/>
    </xf>
    <xf numFmtId="3" fontId="10" fillId="2" borderId="0" xfId="8" applyNumberFormat="1" applyFont="1" applyFill="1" applyAlignment="1" applyProtection="1">
      <alignment horizontal="right" vertical="center"/>
    </xf>
    <xf numFmtId="3" fontId="9" fillId="2" borderId="0" xfId="8" applyNumberFormat="1" applyFont="1" applyFill="1" applyBorder="1" applyAlignment="1" applyProtection="1">
      <alignment horizontal="center" vertical="center"/>
    </xf>
    <xf numFmtId="3" fontId="7" fillId="2" borderId="0" xfId="8" applyNumberFormat="1" applyFont="1" applyFill="1"/>
    <xf numFmtId="0" fontId="19" fillId="2" borderId="2" xfId="5" applyFont="1" applyFill="1" applyBorder="1" applyAlignment="1">
      <alignment horizontal="left" vertical="top"/>
    </xf>
    <xf numFmtId="0" fontId="19" fillId="2" borderId="2" xfId="5" applyFont="1" applyFill="1" applyBorder="1" applyAlignment="1">
      <alignment horizontal="center" vertical="top"/>
    </xf>
    <xf numFmtId="0" fontId="19" fillId="2" borderId="2" xfId="5" applyFont="1" applyFill="1" applyBorder="1" applyAlignment="1">
      <alignment horizontal="right" vertical="top"/>
    </xf>
    <xf numFmtId="0" fontId="19" fillId="2" borderId="2" xfId="5" applyFont="1" applyFill="1" applyBorder="1" applyAlignment="1">
      <alignment horizontal="right" vertical="center"/>
    </xf>
    <xf numFmtId="2" fontId="7" fillId="2" borderId="0" xfId="5" applyNumberFormat="1" applyFont="1" applyFill="1" applyAlignment="1">
      <alignment vertical="center"/>
    </xf>
    <xf numFmtId="2" fontId="7" fillId="2" borderId="1" xfId="5" applyNumberFormat="1" applyFont="1" applyFill="1" applyBorder="1" applyAlignment="1">
      <alignment vertical="center"/>
    </xf>
    <xf numFmtId="168" fontId="9" fillId="2" borderId="0" xfId="7" applyNumberFormat="1" applyFont="1" applyFill="1" applyAlignment="1">
      <alignment vertical="center"/>
    </xf>
    <xf numFmtId="168" fontId="7" fillId="2" borderId="0" xfId="5" applyNumberFormat="1" applyFont="1" applyFill="1" applyBorder="1" applyAlignment="1">
      <alignment vertical="center"/>
    </xf>
    <xf numFmtId="2" fontId="7" fillId="2" borderId="0" xfId="5" applyNumberFormat="1" applyFont="1" applyFill="1" applyBorder="1" applyAlignment="1">
      <alignment vertical="center"/>
    </xf>
    <xf numFmtId="0" fontId="7" fillId="2" borderId="0" xfId="5" applyFont="1" applyFill="1"/>
    <xf numFmtId="166" fontId="18" fillId="2" borderId="0" xfId="6" applyNumberFormat="1" applyFont="1" applyFill="1" applyBorder="1" applyAlignment="1">
      <alignment horizontal="center" vertical="center"/>
    </xf>
    <xf numFmtId="168" fontId="7" fillId="2" borderId="0" xfId="5" applyNumberFormat="1" applyFont="1" applyFill="1" applyAlignment="1">
      <alignment vertical="center"/>
    </xf>
    <xf numFmtId="166" fontId="19" fillId="2" borderId="0" xfId="6" applyNumberFormat="1" applyFont="1" applyFill="1" applyBorder="1" applyAlignment="1">
      <alignment horizontal="center" vertical="center"/>
    </xf>
    <xf numFmtId="2" fontId="9" fillId="2" borderId="0" xfId="5" applyNumberFormat="1" applyFont="1" applyFill="1" applyAlignment="1">
      <alignment vertical="center"/>
    </xf>
    <xf numFmtId="2" fontId="9" fillId="2" borderId="0" xfId="5" applyNumberFormat="1" applyFont="1" applyFill="1" applyBorder="1" applyAlignment="1">
      <alignment vertical="center"/>
    </xf>
    <xf numFmtId="168" fontId="9" fillId="2" borderId="0" xfId="5" applyNumberFormat="1" applyFont="1" applyFill="1" applyAlignment="1">
      <alignment vertical="center"/>
    </xf>
    <xf numFmtId="168" fontId="9" fillId="2" borderId="0" xfId="7" applyNumberFormat="1" applyFont="1" applyFill="1" applyBorder="1" applyAlignment="1">
      <alignment vertical="center"/>
    </xf>
    <xf numFmtId="0" fontId="9" fillId="2" borderId="0" xfId="5" applyFont="1" applyFill="1" applyBorder="1" applyAlignment="1">
      <alignment vertical="center"/>
    </xf>
    <xf numFmtId="168" fontId="9" fillId="2" borderId="0" xfId="5" applyNumberFormat="1" applyFont="1" applyFill="1" applyBorder="1" applyAlignment="1">
      <alignment vertical="center"/>
    </xf>
    <xf numFmtId="167" fontId="22" fillId="2" borderId="0" xfId="7" applyFont="1" applyFill="1" applyBorder="1" applyAlignment="1">
      <alignment horizontal="left" vertical="center" indent="1"/>
    </xf>
    <xf numFmtId="0" fontId="11" fillId="2" borderId="0" xfId="5" applyFont="1" applyFill="1" applyAlignment="1">
      <alignment horizontal="center"/>
    </xf>
    <xf numFmtId="0" fontId="18" fillId="2" borderId="0" xfId="5" applyFont="1" applyFill="1"/>
    <xf numFmtId="166" fontId="11" fillId="2" borderId="0" xfId="5" applyNumberFormat="1" applyFont="1" applyFill="1"/>
    <xf numFmtId="0" fontId="21" fillId="2" borderId="0" xfId="5" applyFont="1" applyFill="1"/>
    <xf numFmtId="2" fontId="11" fillId="2" borderId="0" xfId="5" applyNumberFormat="1" applyFont="1" applyFill="1"/>
    <xf numFmtId="0" fontId="6" fillId="2" borderId="0" xfId="5" applyFont="1" applyFill="1"/>
    <xf numFmtId="166" fontId="18" fillId="2" borderId="1" xfId="5" applyNumberFormat="1" applyFont="1" applyFill="1" applyBorder="1" applyAlignment="1">
      <alignment horizontal="right" vertical="center"/>
    </xf>
    <xf numFmtId="166" fontId="6" fillId="2" borderId="0" xfId="5" applyNumberFormat="1" applyFont="1" applyFill="1"/>
    <xf numFmtId="0" fontId="6" fillId="2" borderId="0" xfId="5" applyFont="1" applyFill="1" applyBorder="1"/>
    <xf numFmtId="166" fontId="9" fillId="2" borderId="0" xfId="8" applyNumberFormat="1" applyFont="1" applyFill="1" applyAlignment="1" applyProtection="1">
      <alignment horizontal="center" vertical="center"/>
    </xf>
    <xf numFmtId="166" fontId="15" fillId="2" borderId="2" xfId="5" applyNumberFormat="1" applyFont="1" applyFill="1" applyBorder="1" applyAlignment="1">
      <alignment horizontal="right" vertical="center"/>
    </xf>
    <xf numFmtId="167" fontId="24" fillId="2" borderId="0" xfId="10" applyFont="1" applyFill="1" applyAlignment="1">
      <alignment horizontal="right" vertical="center"/>
    </xf>
    <xf numFmtId="167" fontId="17" fillId="2" borderId="0" xfId="10" applyFont="1" applyFill="1" applyBorder="1" applyAlignment="1" applyProtection="1">
      <alignment horizontal="left" vertical="center"/>
    </xf>
    <xf numFmtId="0" fontId="7" fillId="2" borderId="8" xfId="5" applyFont="1" applyFill="1" applyBorder="1" applyAlignment="1">
      <alignment horizontal="center"/>
    </xf>
    <xf numFmtId="0" fontId="15" fillId="2" borderId="7" xfId="5" applyFont="1" applyFill="1" applyBorder="1" applyAlignment="1">
      <alignment horizontal="right" vertical="center"/>
    </xf>
    <xf numFmtId="0" fontId="9" fillId="2" borderId="10" xfId="5" applyFont="1" applyFill="1" applyBorder="1" applyAlignment="1">
      <alignment horizontal="center"/>
    </xf>
    <xf numFmtId="166" fontId="9" fillId="2" borderId="0" xfId="8" applyNumberFormat="1" applyFont="1" applyFill="1" applyBorder="1" applyAlignment="1" applyProtection="1">
      <alignment horizontal="center" vertical="center"/>
    </xf>
    <xf numFmtId="0" fontId="8" fillId="2" borderId="1" xfId="5" applyFont="1" applyFill="1" applyBorder="1" applyAlignment="1">
      <alignment horizontal="center" wrapText="1"/>
    </xf>
    <xf numFmtId="0" fontId="7" fillId="2" borderId="1" xfId="5" applyFont="1" applyFill="1" applyBorder="1" applyAlignment="1">
      <alignment horizontal="center"/>
    </xf>
    <xf numFmtId="0" fontId="9" fillId="2" borderId="6" xfId="5" applyFont="1" applyFill="1" applyBorder="1" applyAlignment="1">
      <alignment horizontal="center"/>
    </xf>
    <xf numFmtId="166" fontId="18" fillId="2" borderId="8" xfId="5" applyNumberFormat="1" applyFont="1" applyFill="1" applyBorder="1" applyAlignment="1">
      <alignment horizontal="right" vertical="center"/>
    </xf>
    <xf numFmtId="166" fontId="18" fillId="2" borderId="9" xfId="5" applyNumberFormat="1" applyFont="1" applyFill="1" applyBorder="1" applyAlignment="1">
      <alignment horizontal="right" vertical="center"/>
    </xf>
    <xf numFmtId="166" fontId="19" fillId="2" borderId="9" xfId="5" applyNumberFormat="1" applyFont="1" applyFill="1" applyBorder="1" applyAlignment="1">
      <alignment horizontal="right" vertical="center"/>
    </xf>
    <xf numFmtId="166" fontId="19" fillId="2" borderId="7" xfId="7" applyNumberFormat="1" applyFont="1" applyFill="1" applyBorder="1" applyAlignment="1">
      <alignment horizontal="right" vertical="center"/>
    </xf>
    <xf numFmtId="167" fontId="5" fillId="2" borderId="0" xfId="10" applyFont="1" applyFill="1" applyAlignment="1">
      <alignment horizontal="center" vertical="center"/>
    </xf>
    <xf numFmtId="167" fontId="25" fillId="2" borderId="0" xfId="10" applyFont="1" applyFill="1" applyAlignment="1" applyProtection="1">
      <alignment horizontal="center" vertical="center"/>
    </xf>
    <xf numFmtId="0" fontId="8" fillId="2" borderId="1" xfId="5" applyFont="1" applyFill="1" applyBorder="1" applyAlignment="1">
      <alignment horizontal="center" wrapText="1"/>
    </xf>
    <xf numFmtId="0" fontId="8" fillId="2" borderId="1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167" fontId="19" fillId="2" borderId="2" xfId="10" applyFont="1" applyFill="1" applyBorder="1" applyAlignment="1" applyProtection="1">
      <alignment horizontal="center" vertical="center"/>
    </xf>
    <xf numFmtId="167" fontId="12" fillId="2" borderId="0" xfId="10" applyFont="1" applyFill="1" applyAlignment="1">
      <alignment horizontal="center" vertical="center" wrapText="1"/>
    </xf>
    <xf numFmtId="0" fontId="15" fillId="2" borderId="11" xfId="5" applyFont="1" applyFill="1" applyBorder="1" applyAlignment="1">
      <alignment horizontal="center" vertical="center" wrapText="1"/>
    </xf>
    <xf numFmtId="0" fontId="15" fillId="2" borderId="6" xfId="5" applyFont="1" applyFill="1" applyBorder="1" applyAlignment="1">
      <alignment horizontal="center" vertical="center" wrapText="1"/>
    </xf>
    <xf numFmtId="0" fontId="23" fillId="2" borderId="3" xfId="5" applyFont="1" applyFill="1" applyBorder="1" applyAlignment="1">
      <alignment horizontal="center" vertical="center"/>
    </xf>
    <xf numFmtId="0" fontId="23" fillId="2" borderId="1" xfId="5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center" wrapText="1"/>
    </xf>
    <xf numFmtId="0" fontId="7" fillId="2" borderId="1" xfId="5" applyFont="1" applyFill="1" applyBorder="1" applyAlignment="1">
      <alignment horizontal="center"/>
    </xf>
    <xf numFmtId="0" fontId="9" fillId="2" borderId="6" xfId="5" applyFont="1" applyFill="1" applyBorder="1" applyAlignment="1">
      <alignment horizontal="center"/>
    </xf>
  </cellXfs>
  <cellStyles count="18">
    <cellStyle name="1" xfId="1"/>
    <cellStyle name="Comma 2" xfId="2"/>
    <cellStyle name="Comma 2 2" xfId="13"/>
    <cellStyle name="Comma 3" xfId="3"/>
    <cellStyle name="Comma 3 2" xfId="14"/>
    <cellStyle name="Normal" xfId="0" builtinId="0"/>
    <cellStyle name="Normal - Style1" xfId="4"/>
    <cellStyle name="Normal 2" xfId="12"/>
    <cellStyle name="Normal 3" xfId="16"/>
    <cellStyle name="Normal 4" xfId="17"/>
    <cellStyle name="Normal_17 Prices_done" xfId="5"/>
    <cellStyle name="Normal_CPI new tables" xfId="6"/>
    <cellStyle name="Normal_Dec97" xfId="7"/>
    <cellStyle name="Normal_II-15(Population)" xfId="8"/>
    <cellStyle name="Normal_XII-11(Commerce)" xfId="9"/>
    <cellStyle name="Normal_XII-12 (Commerce)" xfId="10"/>
    <cellStyle name="Percent 2" xfId="11"/>
    <cellStyle name="Percent 2 2" xfId="15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'17.5'!$Z$10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'17.5'!$AF$9:$AI$9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'17.5'!$AF$10:$AI$10</c:f>
              <c:numCache>
                <c:formatCode>_(* #,##0.0_);_(* \(#,##0.0\);_(* "-"??_);_(@_)</c:formatCode>
                <c:ptCount val="4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  <c:pt idx="3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C-4485-89D8-BF45EB4F086D}"/>
            </c:ext>
          </c:extLst>
        </c:ser>
        <c:ser>
          <c:idx val="3"/>
          <c:order val="1"/>
          <c:tx>
            <c:strRef>
              <c:f>'17.5'!$Z$11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'17.5'!$AF$9:$AI$9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'17.5'!$AF$11:$AI$11</c:f>
              <c:numCache>
                <c:formatCode>_(* #,##0.0_);_(* \(#,##0.0\);_(* "-"??_);_(@_)</c:formatCode>
                <c:ptCount val="4"/>
                <c:pt idx="0">
                  <c:v>105.92043432963987</c:v>
                </c:pt>
                <c:pt idx="1">
                  <c:v>107.37293678888472</c:v>
                </c:pt>
                <c:pt idx="2">
                  <c:v>108.23342334232696</c:v>
                </c:pt>
                <c:pt idx="3">
                  <c:v>110.69246887707151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C-4485-89D8-BF45EB4F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013080"/>
        <c:axId val="377008376"/>
      </c:barChart>
      <c:catAx>
        <c:axId val="37701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77008376"/>
        <c:crosses val="autoZero"/>
        <c:auto val="1"/>
        <c:lblAlgn val="ctr"/>
        <c:lblOffset val="100"/>
        <c:noMultiLvlLbl val="0"/>
      </c:catAx>
      <c:valAx>
        <c:axId val="3770083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37701308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8806337423606793"/>
          <c:y val="0.16802624671916014"/>
          <c:w val="0.35968327049504023"/>
          <c:h val="5.851631046119235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511E-2"/>
          <c:y val="0.17800015339585945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'17.5'!$AA$16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'17.5'!$Z$20:$Z$27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'17.5'!$AA$20:$AA$27</c:f>
              <c:numCache>
                <c:formatCode>0.0</c:formatCode>
                <c:ptCount val="8"/>
                <c:pt idx="0">
                  <c:v>80.568542845421106</c:v>
                </c:pt>
                <c:pt idx="1">
                  <c:v>89.651368722070842</c:v>
                </c:pt>
                <c:pt idx="2">
                  <c:v>99.409647361204449</c:v>
                </c:pt>
                <c:pt idx="3">
                  <c:v>103.19281073321666</c:v>
                </c:pt>
                <c:pt idx="4">
                  <c:v>105.38050013404563</c:v>
                </c:pt>
                <c:pt idx="5">
                  <c:v>106.38499407837655</c:v>
                </c:pt>
                <c:pt idx="6">
                  <c:v>106.91958868829052</c:v>
                </c:pt>
                <c:pt idx="7">
                  <c:v>109.93201964009602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1-48FB-84A1-63F1852A5541}"/>
            </c:ext>
          </c:extLst>
        </c:ser>
        <c:ser>
          <c:idx val="1"/>
          <c:order val="1"/>
          <c:tx>
            <c:strRef>
              <c:f>'17.5'!$AB$16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4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'17.5'!$Z$20:$Z$27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'17.5'!$AB$20:$AB$27</c:f>
              <c:numCache>
                <c:formatCode>_(* #,##0.0_);_(* \(#,##0.0\);_(* "-"??_);_(@_)</c:formatCode>
                <c:ptCount val="8"/>
                <c:pt idx="0">
                  <c:v>84.338371332150743</c:v>
                </c:pt>
                <c:pt idx="1">
                  <c:v>91.679051572020867</c:v>
                </c:pt>
                <c:pt idx="2">
                  <c:v>100.14126599840249</c:v>
                </c:pt>
                <c:pt idx="3" formatCode="0.0">
                  <c:v>103.07423491391059</c:v>
                </c:pt>
                <c:pt idx="4" formatCode="0.0">
                  <c:v>105.29983112357628</c:v>
                </c:pt>
                <c:pt idx="5" formatCode="0.0">
                  <c:v>106.44622541898161</c:v>
                </c:pt>
                <c:pt idx="6" formatCode="0.0">
                  <c:v>107.1902747590181</c:v>
                </c:pt>
                <c:pt idx="7" formatCode="0.0">
                  <c:v>110.17175267946645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1-48FB-84A1-63F1852A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09552"/>
        <c:axId val="377013472"/>
      </c:lineChart>
      <c:catAx>
        <c:axId val="3770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13472"/>
        <c:crosses val="autoZero"/>
        <c:auto val="1"/>
        <c:lblAlgn val="ctr"/>
        <c:lblOffset val="100"/>
        <c:noMultiLvlLbl val="0"/>
      </c:catAx>
      <c:valAx>
        <c:axId val="377013472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095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41276443990002"/>
          <c:y val="0.44483942760542416"/>
          <c:w val="0.38449806330138453"/>
          <c:h val="5.7346522182892136E-2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1745" name="Text 10"/>
        <xdr:cNvSpPr txBox="1">
          <a:spLocks noChangeArrowheads="1"/>
        </xdr:cNvSpPr>
      </xdr:nvSpPr>
      <xdr:spPr bwMode="auto">
        <a:xfrm>
          <a:off x="3752850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233703</xdr:colOff>
      <xdr:row>48</xdr:row>
      <xdr:rowOff>0</xdr:rowOff>
    </xdr:from>
    <xdr:to>
      <xdr:col>11</xdr:col>
      <xdr:colOff>428625</xdr:colOff>
      <xdr:row>63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171057</xdr:colOff>
      <xdr:row>48</xdr:row>
      <xdr:rowOff>47625</xdr:rowOff>
    </xdr:from>
    <xdr:to>
      <xdr:col>22</xdr:col>
      <xdr:colOff>1921494</xdr:colOff>
      <xdr:row>63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647700</xdr:colOff>
      <xdr:row>48</xdr:row>
      <xdr:rowOff>47625</xdr:rowOff>
    </xdr:from>
    <xdr:to>
      <xdr:col>11</xdr:col>
      <xdr:colOff>66675</xdr:colOff>
      <xdr:row>50</xdr:row>
      <xdr:rowOff>47625</xdr:rowOff>
    </xdr:to>
    <xdr:sp macro="" textlink="">
      <xdr:nvSpPr>
        <xdr:cNvPr id="7" name="TextBox 6"/>
        <xdr:cNvSpPr txBox="1"/>
      </xdr:nvSpPr>
      <xdr:spPr>
        <a:xfrm>
          <a:off x="647700" y="16040100"/>
          <a:ext cx="494347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2014 - 2017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1314449</xdr:colOff>
      <xdr:row>49</xdr:row>
      <xdr:rowOff>152400</xdr:rowOff>
    </xdr:from>
    <xdr:to>
      <xdr:col>10</xdr:col>
      <xdr:colOff>161924</xdr:colOff>
      <xdr:row>49</xdr:row>
      <xdr:rowOff>152400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314449" y="10267950"/>
          <a:ext cx="38766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238125</xdr:colOff>
      <xdr:row>50</xdr:row>
      <xdr:rowOff>66674</xdr:rowOff>
    </xdr:from>
    <xdr:to>
      <xdr:col>22</xdr:col>
      <xdr:colOff>704850</xdr:colOff>
      <xdr:row>50</xdr:row>
      <xdr:rowOff>66675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7753350" y="11353799"/>
          <a:ext cx="3933825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0.1161</cdr:x>
      <cdr:y>0.04033</cdr:y>
    </cdr:from>
    <cdr:to>
      <cdr:x>0.84146</cdr:x>
      <cdr:y>0.15051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779374" y="124818"/>
          <a:ext cx="4869343" cy="3410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2010 - 2017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5\Annual\Graphs%20&amp;%20tables%20used_annual%20201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  <cell r="OF3">
            <v>0.50250941361158485</v>
          </cell>
        </row>
        <row r="4">
          <cell r="OC4">
            <v>107.04157551050889</v>
          </cell>
          <cell r="OF4">
            <v>0.57688102083264248</v>
          </cell>
        </row>
        <row r="38">
          <cell r="OC38">
            <v>104.05962917920893</v>
          </cell>
          <cell r="OF38">
            <v>-1.587337151600976</v>
          </cell>
        </row>
        <row r="156">
          <cell r="OC156">
            <v>122.18459773517431</v>
          </cell>
          <cell r="OF156">
            <v>4.0191140378448287</v>
          </cell>
        </row>
        <row r="167">
          <cell r="OC167">
            <v>100.99558210523537</v>
          </cell>
          <cell r="OF167">
            <v>-0.53676570684748626</v>
          </cell>
        </row>
        <row r="207">
          <cell r="OC207">
            <v>108.10803524718015</v>
          </cell>
          <cell r="OF207">
            <v>0.29920217667491755</v>
          </cell>
        </row>
        <row r="209">
          <cell r="OC209">
            <v>116.59514145414504</v>
          </cell>
          <cell r="OF209">
            <v>3.7607542756177725</v>
          </cell>
        </row>
        <row r="240">
          <cell r="OC240">
            <v>97.499129166170533</v>
          </cell>
          <cell r="OF240">
            <v>0.91069109507078139</v>
          </cell>
        </row>
        <row r="292">
          <cell r="OC292">
            <v>125.81722828813672</v>
          </cell>
          <cell r="OF292">
            <v>1.804490098291045</v>
          </cell>
        </row>
        <row r="322">
          <cell r="OC322">
            <v>101.34706519435288</v>
          </cell>
          <cell r="OF322">
            <v>-1.5370849537459153</v>
          </cell>
        </row>
        <row r="348">
          <cell r="OC348">
            <v>99.79368976091358</v>
          </cell>
          <cell r="OF348">
            <v>-0.75989147318363814</v>
          </cell>
        </row>
        <row r="360">
          <cell r="OC360">
            <v>100.69713942933714</v>
          </cell>
          <cell r="OF360">
            <v>-1.2350059655517276</v>
          </cell>
        </row>
        <row r="405">
          <cell r="OC405">
            <v>124.80292719209795</v>
          </cell>
          <cell r="OF405">
            <v>4.8696897695142072</v>
          </cell>
        </row>
        <row r="421">
          <cell r="OC421">
            <v>123.14673548135868</v>
          </cell>
          <cell r="OF421">
            <v>1.7231004678103012</v>
          </cell>
        </row>
        <row r="438">
          <cell r="OC438">
            <v>98.469134997835681</v>
          </cell>
          <cell r="OF438">
            <v>-0.2698829137845582</v>
          </cell>
        </row>
        <row r="484">
          <cell r="OC484">
            <v>107.1902747590181</v>
          </cell>
          <cell r="OF484">
            <v>0.69899081635618199</v>
          </cell>
        </row>
        <row r="485">
          <cell r="OC485">
            <v>108.34446887815083</v>
          </cell>
          <cell r="OF485">
            <v>1.513707865264502</v>
          </cell>
        </row>
      </sheetData>
      <sheetData sheetId="1" refreshError="1"/>
      <sheetData sheetId="2" refreshError="1"/>
      <sheetData sheetId="3" refreshError="1"/>
      <sheetData sheetId="4" refreshError="1">
        <row r="3">
          <cell r="OC3">
            <v>108.23342334232696</v>
          </cell>
          <cell r="OF3">
            <v>0.80139984913900619</v>
          </cell>
        </row>
        <row r="4">
          <cell r="OC4">
            <v>106.21438956055287</v>
          </cell>
          <cell r="OF4">
            <v>-1.1492198098441153</v>
          </cell>
        </row>
        <row r="38">
          <cell r="OC38">
            <v>101.29406507957015</v>
          </cell>
          <cell r="OF38">
            <v>-4.6933532157458995</v>
          </cell>
        </row>
        <row r="156">
          <cell r="OC156">
            <v>119.42144298997056</v>
          </cell>
          <cell r="OF156">
            <v>2.7676857673750721</v>
          </cell>
        </row>
        <row r="167">
          <cell r="OC167">
            <v>98.190748488110202</v>
          </cell>
          <cell r="OF167">
            <v>-0.83209932707477563</v>
          </cell>
        </row>
        <row r="207">
          <cell r="OC207">
            <v>111.78087632908641</v>
          </cell>
          <cell r="OF207">
            <v>1.9772462101365074</v>
          </cell>
        </row>
        <row r="209">
          <cell r="OC209">
            <v>117.41374229948713</v>
          </cell>
          <cell r="OF209">
            <v>3.8750283815151443</v>
          </cell>
        </row>
        <row r="240">
          <cell r="OC240">
            <v>96.196125798305104</v>
          </cell>
          <cell r="OF240">
            <v>1.6650761540538461</v>
          </cell>
        </row>
        <row r="292">
          <cell r="OC292">
            <v>128.61309538574685</v>
          </cell>
          <cell r="OF292">
            <v>0.98661137085298556</v>
          </cell>
        </row>
        <row r="322">
          <cell r="OC322">
            <v>107.44337348085035</v>
          </cell>
          <cell r="OF322">
            <v>9.8757790685599645E-2</v>
          </cell>
        </row>
        <row r="348">
          <cell r="OC348">
            <v>95.751607847297137</v>
          </cell>
          <cell r="OF348">
            <v>-0.48061759014536021</v>
          </cell>
        </row>
        <row r="360">
          <cell r="OC360">
            <v>100.46158690929978</v>
          </cell>
          <cell r="OF360">
            <v>-0.58954023954889134</v>
          </cell>
        </row>
        <row r="405">
          <cell r="OC405">
            <v>125.51210025739101</v>
          </cell>
          <cell r="OF405">
            <v>6.971229819200242</v>
          </cell>
        </row>
        <row r="421">
          <cell r="OC421">
            <v>127.6536356791524</v>
          </cell>
          <cell r="OF421">
            <v>1.4533403825192304</v>
          </cell>
        </row>
        <row r="438">
          <cell r="OC438">
            <v>97.897045106929454</v>
          </cell>
          <cell r="OF438">
            <v>-0.45507264100809186</v>
          </cell>
        </row>
        <row r="484">
          <cell r="OC484">
            <v>108.80768335920361</v>
          </cell>
          <cell r="OF484">
            <v>1.2511160314853997</v>
          </cell>
        </row>
        <row r="485">
          <cell r="OC485">
            <v>108.54418419912565</v>
          </cell>
          <cell r="OF485">
            <v>0.50222431219935082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207"/>
  <sheetViews>
    <sheetView showGridLines="0" tabSelected="1" view="pageBreakPreview" topLeftCell="A7" zoomScaleSheetLayoutView="100" workbookViewId="0">
      <selection activeCell="K15" sqref="K15"/>
    </sheetView>
  </sheetViews>
  <sheetFormatPr defaultColWidth="9.140625" defaultRowHeight="12.75" x14ac:dyDescent="0.2"/>
  <cols>
    <col min="1" max="1" width="36.140625" style="75" customWidth="1"/>
    <col min="2" max="2" width="11.140625" style="74" customWidth="1"/>
    <col min="3" max="6" width="7.42578125" style="3" hidden="1" customWidth="1"/>
    <col min="7" max="7" width="5.85546875" style="3" customWidth="1"/>
    <col min="8" max="13" width="7.42578125" style="3" customWidth="1"/>
    <col min="14" max="14" width="7.5703125" style="3" customWidth="1"/>
    <col min="15" max="22" width="7.42578125" style="3" customWidth="1"/>
    <col min="23" max="23" width="36.5703125" style="3" customWidth="1"/>
    <col min="24" max="24" width="9.140625" style="3" customWidth="1"/>
    <col min="25" max="35" width="9.140625" style="3"/>
    <col min="36" max="36" width="36" style="3" customWidth="1"/>
    <col min="37" max="16384" width="9.140625" style="3"/>
  </cols>
  <sheetData>
    <row r="1" spans="1:35" ht="19.5" x14ac:dyDescent="0.2">
      <c r="A1" s="98" t="s">
        <v>52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2"/>
    </row>
    <row r="2" spans="1:35" ht="15.75" x14ac:dyDescent="0.2">
      <c r="A2" s="99" t="s">
        <v>51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38"/>
    </row>
    <row r="3" spans="1:35" ht="15" customHeight="1" x14ac:dyDescent="0.2">
      <c r="A3" s="104" t="s">
        <v>37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</row>
    <row r="4" spans="1:35" x14ac:dyDescent="0.2">
      <c r="A4" s="103" t="s">
        <v>36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spans="1:35" ht="16.5" customHeight="1" x14ac:dyDescent="0.4">
      <c r="A5" s="4"/>
      <c r="B5" s="101" t="s">
        <v>50</v>
      </c>
      <c r="C5" s="100"/>
      <c r="D5" s="100"/>
      <c r="E5" s="100"/>
      <c r="F5" s="100"/>
      <c r="G5" s="100"/>
      <c r="H5" s="100"/>
      <c r="I5" s="100"/>
      <c r="J5" s="91"/>
      <c r="K5" s="91"/>
      <c r="L5" s="91"/>
      <c r="M5" s="91"/>
      <c r="N5" s="91"/>
      <c r="O5" s="107" t="s">
        <v>54</v>
      </c>
      <c r="P5" s="108"/>
      <c r="Q5" s="108"/>
      <c r="R5" s="108"/>
      <c r="S5" s="108"/>
      <c r="T5" s="108"/>
      <c r="U5" s="108"/>
      <c r="V5" s="108"/>
      <c r="W5" s="5"/>
    </row>
    <row r="6" spans="1:35" ht="27.75" customHeight="1" x14ac:dyDescent="0.4">
      <c r="A6" s="36" t="s">
        <v>45</v>
      </c>
      <c r="B6" s="102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5" t="s">
        <v>55</v>
      </c>
      <c r="P6" s="106"/>
      <c r="Q6" s="106"/>
      <c r="R6" s="106"/>
      <c r="S6" s="106"/>
      <c r="T6" s="106"/>
      <c r="U6" s="106"/>
      <c r="V6" s="106"/>
      <c r="W6" s="37" t="s">
        <v>7</v>
      </c>
    </row>
    <row r="7" spans="1:35" x14ac:dyDescent="0.2">
      <c r="A7" s="26"/>
      <c r="B7" s="26" t="s">
        <v>0</v>
      </c>
      <c r="C7" s="26">
        <v>2006</v>
      </c>
      <c r="D7" s="26">
        <v>2007</v>
      </c>
      <c r="E7" s="26">
        <v>2008</v>
      </c>
      <c r="F7" s="26">
        <v>2009</v>
      </c>
      <c r="G7" s="26">
        <v>2010</v>
      </c>
      <c r="H7" s="26">
        <v>2011</v>
      </c>
      <c r="I7" s="26">
        <v>2012</v>
      </c>
      <c r="J7" s="26">
        <v>2013</v>
      </c>
      <c r="K7" s="26">
        <v>2014</v>
      </c>
      <c r="L7" s="26">
        <v>2015</v>
      </c>
      <c r="M7" s="26">
        <v>2016</v>
      </c>
      <c r="N7" s="26">
        <v>2017</v>
      </c>
      <c r="O7" s="39">
        <v>2010</v>
      </c>
      <c r="P7" s="40">
        <v>2011</v>
      </c>
      <c r="Q7" s="40">
        <v>2012</v>
      </c>
      <c r="R7" s="40">
        <v>2013</v>
      </c>
      <c r="S7" s="40">
        <v>2014</v>
      </c>
      <c r="T7" s="26">
        <v>2015</v>
      </c>
      <c r="U7" s="26">
        <v>2016</v>
      </c>
      <c r="V7" s="26">
        <v>2017</v>
      </c>
      <c r="W7" s="27"/>
      <c r="Y7" s="11"/>
    </row>
    <row r="8" spans="1:35" s="11" customFormat="1" ht="15" x14ac:dyDescent="0.2">
      <c r="A8" s="6" t="s">
        <v>30</v>
      </c>
      <c r="B8" s="41">
        <v>28.43529313839241</v>
      </c>
      <c r="C8" s="7">
        <v>46.54226956659236</v>
      </c>
      <c r="D8" s="7">
        <v>54.070703301292049</v>
      </c>
      <c r="E8" s="8">
        <v>64.381973226397193</v>
      </c>
      <c r="F8" s="9">
        <v>64.715472651196961</v>
      </c>
      <c r="G8" s="9">
        <v>69.554480633976965</v>
      </c>
      <c r="H8" s="9">
        <v>83.416709968576413</v>
      </c>
      <c r="I8" s="9">
        <v>98.126990664931839</v>
      </c>
      <c r="J8" s="9">
        <v>105.15731822206406</v>
      </c>
      <c r="K8" s="9">
        <v>105.91516633353841</v>
      </c>
      <c r="L8" s="80">
        <v>106.42761479980396</v>
      </c>
      <c r="M8" s="80">
        <f>'[3]Republic data'!$OC$4</f>
        <v>107.04157551050889</v>
      </c>
      <c r="N8" s="80">
        <v>113.03489126776282</v>
      </c>
      <c r="O8" s="43">
        <v>7.4773586354862198</v>
      </c>
      <c r="P8" s="10">
        <v>19.930030687092536</v>
      </c>
      <c r="Q8" s="10">
        <v>17.634692979256638</v>
      </c>
      <c r="R8" s="10">
        <v>7.1645196795428578</v>
      </c>
      <c r="S8" s="10">
        <v>0.72068033332113313</v>
      </c>
      <c r="T8" s="10">
        <f>'[4]annual work'!$C$13</f>
        <v>0.48382916630824724</v>
      </c>
      <c r="U8" s="10">
        <f>'[3]Republic data'!$OF$4</f>
        <v>0.57688102083264248</v>
      </c>
      <c r="V8" s="10">
        <v>5.5990541326304877</v>
      </c>
      <c r="W8" s="1" t="s">
        <v>32</v>
      </c>
      <c r="Z8" s="42" t="s">
        <v>46</v>
      </c>
    </row>
    <row r="9" spans="1:35" s="11" customFormat="1" ht="15" x14ac:dyDescent="0.2">
      <c r="A9" s="6" t="s">
        <v>31</v>
      </c>
      <c r="B9" s="41">
        <f>B8-B10</f>
        <v>19.788959216936362</v>
      </c>
      <c r="C9" s="7">
        <v>56.866771691184077</v>
      </c>
      <c r="D9" s="7">
        <v>62.767090501684173</v>
      </c>
      <c r="E9" s="8">
        <v>76.153290746199403</v>
      </c>
      <c r="F9" s="9">
        <v>78.381813378991197</v>
      </c>
      <c r="G9" s="9">
        <v>84.204150454829019</v>
      </c>
      <c r="H9" s="9">
        <v>94.794400673064558</v>
      </c>
      <c r="I9" s="9">
        <v>100.0268178957039</v>
      </c>
      <c r="J9" s="9">
        <v>105.46827201556327</v>
      </c>
      <c r="K9" s="9">
        <v>105.77637644985344</v>
      </c>
      <c r="L9" s="8">
        <v>106.72890504792964</v>
      </c>
      <c r="M9" s="8">
        <f>'[3]Republic data'!$OC$485</f>
        <v>108.34446887815083</v>
      </c>
      <c r="N9" s="95">
        <v>115.49732275295001</v>
      </c>
      <c r="O9" s="10">
        <v>7.4281734816285638</v>
      </c>
      <c r="P9" s="10">
        <v>12.576874371432133</v>
      </c>
      <c r="Q9" s="10">
        <v>5.5197534722386976</v>
      </c>
      <c r="R9" s="10">
        <v>5.4399952276129371</v>
      </c>
      <c r="S9" s="10">
        <v>0.29212997274166153</v>
      </c>
      <c r="T9" s="10">
        <f>'[4]annual work'!$P$13</f>
        <v>0.90051165491358276</v>
      </c>
      <c r="U9" s="10">
        <f>'[3]Republic data'!$OF$485</f>
        <v>1.513707865264502</v>
      </c>
      <c r="V9" s="10">
        <v>6.6019557332858358</v>
      </c>
      <c r="W9" s="1" t="s">
        <v>33</v>
      </c>
      <c r="Z9" s="42"/>
      <c r="AA9" s="11">
        <v>2009</v>
      </c>
      <c r="AB9" s="11">
        <v>2010</v>
      </c>
      <c r="AC9" s="11">
        <v>2011</v>
      </c>
      <c r="AD9" s="11">
        <v>2012</v>
      </c>
      <c r="AE9" s="11">
        <v>2013</v>
      </c>
      <c r="AF9" s="11">
        <v>2014</v>
      </c>
      <c r="AG9" s="11">
        <v>2015</v>
      </c>
      <c r="AH9" s="11">
        <v>2016</v>
      </c>
      <c r="AI9" s="11">
        <v>2017</v>
      </c>
    </row>
    <row r="10" spans="1:35" s="11" customFormat="1" ht="15" x14ac:dyDescent="0.2">
      <c r="A10" s="12" t="s">
        <v>1</v>
      </c>
      <c r="B10" s="41">
        <v>8.646333921456046</v>
      </c>
      <c r="C10" s="7">
        <v>22.898483196595674</v>
      </c>
      <c r="D10" s="7">
        <v>34.155406788630842</v>
      </c>
      <c r="E10" s="8">
        <v>37.424884799955599</v>
      </c>
      <c r="F10" s="9">
        <v>33.418656908585071</v>
      </c>
      <c r="G10" s="9">
        <v>36.005776836416281</v>
      </c>
      <c r="H10" s="9">
        <v>57.361052741283949</v>
      </c>
      <c r="I10" s="9">
        <v>93.7760772522998</v>
      </c>
      <c r="J10" s="9">
        <v>104.44563486657425</v>
      </c>
      <c r="K10" s="9">
        <v>106.23281626157906</v>
      </c>
      <c r="L10" s="8">
        <v>105.73804850653096</v>
      </c>
      <c r="M10" s="8">
        <f>'[3]Republic data'!$OC$38</f>
        <v>104.05962917920893</v>
      </c>
      <c r="N10" s="95">
        <v>107.39909733735</v>
      </c>
      <c r="O10" s="10">
        <v>7.7415436979054508</v>
      </c>
      <c r="P10" s="10">
        <v>59.310693397590896</v>
      </c>
      <c r="Q10" s="10">
        <v>63.483884571050076</v>
      </c>
      <c r="R10" s="10">
        <v>11.377696665183112</v>
      </c>
      <c r="S10" s="10">
        <v>1.7111116202107146</v>
      </c>
      <c r="T10" s="10">
        <f>'[4]annual work'!$Q$13</f>
        <v>-0.46573909311584671</v>
      </c>
      <c r="U10" s="10">
        <f>'[3]Republic data'!$OF$38</f>
        <v>-1.587337151600976</v>
      </c>
      <c r="V10" s="10">
        <v>3.2091870636881792</v>
      </c>
      <c r="W10" s="1" t="s">
        <v>2</v>
      </c>
      <c r="Z10" s="42" t="s">
        <v>44</v>
      </c>
      <c r="AA10" s="35">
        <f t="shared" ref="AA10:AH10" si="0">F23</f>
        <v>75.900734670117231</v>
      </c>
      <c r="AB10" s="44">
        <f t="shared" si="0"/>
        <v>80.568542845421106</v>
      </c>
      <c r="AC10" s="44">
        <f t="shared" si="0"/>
        <v>89.651368722070842</v>
      </c>
      <c r="AD10" s="44">
        <f t="shared" si="0"/>
        <v>99.409647361204449</v>
      </c>
      <c r="AE10" s="44">
        <f t="shared" si="0"/>
        <v>103.19281073321666</v>
      </c>
      <c r="AF10" s="44">
        <f t="shared" si="0"/>
        <v>105.38050013404563</v>
      </c>
      <c r="AG10" s="44">
        <f t="shared" si="0"/>
        <v>106.38499407837655</v>
      </c>
      <c r="AH10" s="44">
        <f t="shared" si="0"/>
        <v>106.91958868829052</v>
      </c>
      <c r="AI10" s="44">
        <f>N23</f>
        <v>109.93201964009602</v>
      </c>
    </row>
    <row r="11" spans="1:35" s="11" customFormat="1" ht="15" x14ac:dyDescent="0.2">
      <c r="A11" s="12" t="s">
        <v>26</v>
      </c>
      <c r="B11" s="41">
        <v>2.254164063270403</v>
      </c>
      <c r="C11" s="7">
        <v>49.327553362016907</v>
      </c>
      <c r="D11" s="7">
        <v>49.926435555846972</v>
      </c>
      <c r="E11" s="8">
        <v>51.632567552779186</v>
      </c>
      <c r="F11" s="9">
        <v>50.700704461040182</v>
      </c>
      <c r="G11" s="9">
        <v>50.532891620339313</v>
      </c>
      <c r="H11" s="9">
        <v>64.296766109008189</v>
      </c>
      <c r="I11" s="9">
        <v>101.2436810917912</v>
      </c>
      <c r="J11" s="9">
        <v>98.00579870542515</v>
      </c>
      <c r="K11" s="9">
        <v>100.18505236961772</v>
      </c>
      <c r="L11" s="8">
        <v>117.46360163260034</v>
      </c>
      <c r="M11" s="8">
        <f>'[3]Republic data'!$OC$156</f>
        <v>122.18459773517431</v>
      </c>
      <c r="N11" s="95">
        <v>154.41417266945828</v>
      </c>
      <c r="O11" s="10">
        <v>-0.33098719728800186</v>
      </c>
      <c r="P11" s="10">
        <v>27.237456728340014</v>
      </c>
      <c r="Q11" s="10">
        <v>57.463099963913479</v>
      </c>
      <c r="R11" s="10">
        <v>-3.1981081203778738</v>
      </c>
      <c r="S11" s="10">
        <v>2.2235966575230304</v>
      </c>
      <c r="T11" s="10">
        <v>17.246633958163748</v>
      </c>
      <c r="U11" s="10">
        <f>'[3]Republic data'!$OF$156</f>
        <v>4.0191140378448287</v>
      </c>
      <c r="V11" s="10">
        <v>26.377772265649302</v>
      </c>
      <c r="W11" s="1" t="s">
        <v>8</v>
      </c>
      <c r="Z11" s="42" t="s">
        <v>24</v>
      </c>
      <c r="AA11" s="35">
        <f t="shared" ref="AA11:AH11" si="1">F44</f>
        <v>75.900734670117231</v>
      </c>
      <c r="AB11" s="44">
        <f t="shared" si="1"/>
        <v>80.568542845421106</v>
      </c>
      <c r="AC11" s="44">
        <f t="shared" si="1"/>
        <v>89.651368722070842</v>
      </c>
      <c r="AD11" s="44">
        <f t="shared" si="1"/>
        <v>99.415139330518244</v>
      </c>
      <c r="AE11" s="44">
        <f t="shared" si="1"/>
        <v>103.38895723436703</v>
      </c>
      <c r="AF11" s="44">
        <f t="shared" si="1"/>
        <v>105.92043432963987</v>
      </c>
      <c r="AG11" s="44">
        <f t="shared" si="1"/>
        <v>107.37293678888472</v>
      </c>
      <c r="AH11" s="44">
        <f t="shared" si="1"/>
        <v>108.23342334232696</v>
      </c>
      <c r="AI11" s="44">
        <f>N44</f>
        <v>110.69246887707151</v>
      </c>
    </row>
    <row r="12" spans="1:35" s="11" customFormat="1" ht="15" x14ac:dyDescent="0.2">
      <c r="A12" s="12" t="s">
        <v>3</v>
      </c>
      <c r="B12" s="41">
        <v>3.890313123952799</v>
      </c>
      <c r="C12" s="7">
        <v>67.493428550865232</v>
      </c>
      <c r="D12" s="7">
        <v>66.522696340505789</v>
      </c>
      <c r="E12" s="8">
        <v>68.251967675022911</v>
      </c>
      <c r="F12" s="9">
        <v>70.445891756658199</v>
      </c>
      <c r="G12" s="9">
        <v>72.534285938334179</v>
      </c>
      <c r="H12" s="9">
        <v>81.881292827210913</v>
      </c>
      <c r="I12" s="9">
        <v>98.359038463336105</v>
      </c>
      <c r="J12" s="9">
        <v>101.52586212230904</v>
      </c>
      <c r="K12" s="9">
        <v>102.46527730468375</v>
      </c>
      <c r="L12" s="8">
        <v>101.54061731751705</v>
      </c>
      <c r="M12" s="8">
        <f>'[3]Republic data'!$OC$167</f>
        <v>100.99558210523537</v>
      </c>
      <c r="N12" s="95">
        <v>100.29057707007946</v>
      </c>
      <c r="O12" s="10">
        <v>2.964536511071425</v>
      </c>
      <c r="P12" s="10">
        <v>12.886329227564453</v>
      </c>
      <c r="Q12" s="10">
        <v>20.123944147898555</v>
      </c>
      <c r="R12" s="10">
        <v>3.2196569918212292</v>
      </c>
      <c r="S12" s="10">
        <v>0.92529643456067401</v>
      </c>
      <c r="T12" s="10">
        <v>-0.90241300418013592</v>
      </c>
      <c r="U12" s="10">
        <f>'[3]Republic data'!$OF$167</f>
        <v>-0.53676570684748626</v>
      </c>
      <c r="V12" s="10">
        <v>-0.69805532129247894</v>
      </c>
      <c r="W12" s="1" t="s">
        <v>9</v>
      </c>
      <c r="Z12" s="42"/>
      <c r="AA12" s="35"/>
      <c r="AB12" s="35"/>
      <c r="AC12" s="35"/>
      <c r="AD12" s="35"/>
    </row>
    <row r="13" spans="1:35" s="11" customFormat="1" ht="15" x14ac:dyDescent="0.2">
      <c r="A13" s="12" t="s">
        <v>38</v>
      </c>
      <c r="B13" s="41">
        <v>23.290469082093963</v>
      </c>
      <c r="C13" s="7">
        <v>70.128284933346336</v>
      </c>
      <c r="D13" s="7">
        <v>72.790167958905229</v>
      </c>
      <c r="E13" s="8">
        <v>80.824789456236729</v>
      </c>
      <c r="F13" s="9">
        <v>87.147430127106858</v>
      </c>
      <c r="G13" s="9">
        <v>93.758762276598645</v>
      </c>
      <c r="H13" s="9">
        <v>96.487654366096692</v>
      </c>
      <c r="I13" s="9">
        <v>99.951850044063292</v>
      </c>
      <c r="J13" s="9">
        <v>103.51724004351574</v>
      </c>
      <c r="K13" s="9">
        <v>106.69055604936631</v>
      </c>
      <c r="L13" s="8">
        <v>107.78553856963902</v>
      </c>
      <c r="M13" s="8">
        <f>'[3]Republic data'!$OC$207</f>
        <v>108.10803524718015</v>
      </c>
      <c r="N13" s="95">
        <v>109.47834485115725</v>
      </c>
      <c r="O13" s="10">
        <v>7.5863764884965379</v>
      </c>
      <c r="P13" s="10">
        <v>2.9105461966824064</v>
      </c>
      <c r="Q13" s="10">
        <v>3.5902994022661616</v>
      </c>
      <c r="R13" s="10">
        <v>3.5671075601708901</v>
      </c>
      <c r="S13" s="10">
        <v>3.0654951817847831</v>
      </c>
      <c r="T13" s="10">
        <v>1.0263162559262184</v>
      </c>
      <c r="U13" s="10">
        <f>'[3]Republic data'!$OF$207</f>
        <v>0.29920217667491755</v>
      </c>
      <c r="V13" s="10">
        <v>1.2675372379527428</v>
      </c>
      <c r="W13" s="1" t="s">
        <v>10</v>
      </c>
    </row>
    <row r="14" spans="1:35" s="11" customFormat="1" ht="15" x14ac:dyDescent="0.2">
      <c r="A14" s="12" t="s">
        <v>39</v>
      </c>
      <c r="B14" s="41">
        <v>11.680398408355288</v>
      </c>
      <c r="C14" s="7">
        <v>64.647461828276832</v>
      </c>
      <c r="D14" s="7">
        <v>67.343842950624648</v>
      </c>
      <c r="E14" s="8">
        <v>74.851279000594886</v>
      </c>
      <c r="F14" s="9">
        <v>85.550267697798958</v>
      </c>
      <c r="G14" s="9">
        <v>91.040551259171139</v>
      </c>
      <c r="H14" s="9">
        <v>95.103608962918898</v>
      </c>
      <c r="I14" s="9">
        <v>100.07057660044312</v>
      </c>
      <c r="J14" s="9">
        <v>104.08964183574052</v>
      </c>
      <c r="K14" s="9">
        <v>108.54742074440985</v>
      </c>
      <c r="L14" s="8">
        <v>112.36921152715941</v>
      </c>
      <c r="M14" s="8">
        <f>'[3]Republic data'!$OC$209</f>
        <v>116.59514145414504</v>
      </c>
      <c r="N14" s="95">
        <v>122.00177799672292</v>
      </c>
      <c r="O14" s="10">
        <v>6.4176111999628915</v>
      </c>
      <c r="P14" s="10">
        <v>4.4629098215598351</v>
      </c>
      <c r="Q14" s="10">
        <v>5.2226910121369263</v>
      </c>
      <c r="R14" s="10">
        <v>4.0162307161919708</v>
      </c>
      <c r="S14" s="10">
        <v>4.2826344966235608</v>
      </c>
      <c r="T14" s="10">
        <f>'[4]annual work'!$R$13</f>
        <v>3.5208490045548935</v>
      </c>
      <c r="U14" s="10">
        <f>'[3]Republic data'!$OF$209</f>
        <v>3.7607542756177725</v>
      </c>
      <c r="V14" s="10">
        <v>4.6371027773093099</v>
      </c>
      <c r="W14" s="32" t="s">
        <v>42</v>
      </c>
    </row>
    <row r="15" spans="1:35" s="11" customFormat="1" ht="25.5" x14ac:dyDescent="0.2">
      <c r="A15" s="6" t="s">
        <v>25</v>
      </c>
      <c r="B15" s="41">
        <v>8.7141649537725758</v>
      </c>
      <c r="C15" s="7">
        <v>62.787235480784801</v>
      </c>
      <c r="D15" s="7">
        <v>65.996050857083574</v>
      </c>
      <c r="E15" s="8">
        <v>68.380911967950468</v>
      </c>
      <c r="F15" s="9">
        <v>75.858602553560274</v>
      </c>
      <c r="G15" s="9">
        <v>80.397772506783596</v>
      </c>
      <c r="H15" s="9">
        <v>83.774232067142066</v>
      </c>
      <c r="I15" s="9">
        <v>98.65523637265558</v>
      </c>
      <c r="J15" s="9">
        <v>97.029807398560521</v>
      </c>
      <c r="K15" s="9">
        <v>96.030794344264748</v>
      </c>
      <c r="L15" s="8">
        <v>96.619226474540611</v>
      </c>
      <c r="M15" s="8">
        <f>'[3]Republic data'!$OC$240</f>
        <v>97.499129166170533</v>
      </c>
      <c r="N15" s="95">
        <v>98.588794205371599</v>
      </c>
      <c r="O15" s="10">
        <v>5.9837247199728161</v>
      </c>
      <c r="P15" s="10">
        <v>4.1996929206882916</v>
      </c>
      <c r="Q15" s="10">
        <v>17.763223772182023</v>
      </c>
      <c r="R15" s="10">
        <v>-1.6475850992391683</v>
      </c>
      <c r="S15" s="10">
        <v>-1.0295939784691344</v>
      </c>
      <c r="T15" s="10">
        <v>0.61275358003014535</v>
      </c>
      <c r="U15" s="10">
        <f>'[3]Republic data'!$OF$240</f>
        <v>0.91069109507078139</v>
      </c>
      <c r="V15" s="10">
        <v>1.1176151505352561</v>
      </c>
      <c r="W15" s="1" t="s">
        <v>28</v>
      </c>
      <c r="Z15" s="42" t="s">
        <v>53</v>
      </c>
    </row>
    <row r="16" spans="1:35" s="11" customFormat="1" ht="18.75" customHeight="1" x14ac:dyDescent="0.2">
      <c r="A16" s="13" t="s">
        <v>11</v>
      </c>
      <c r="B16" s="41">
        <v>5.4197286759786749</v>
      </c>
      <c r="C16" s="7">
        <v>87.683380878679159</v>
      </c>
      <c r="D16" s="7">
        <v>95.725018168451655</v>
      </c>
      <c r="E16" s="8">
        <v>115.02993652927483</v>
      </c>
      <c r="F16" s="9">
        <v>117.62003560285746</v>
      </c>
      <c r="G16" s="9">
        <v>123.09882000085349</v>
      </c>
      <c r="H16" s="9">
        <v>136.10400273752558</v>
      </c>
      <c r="I16" s="9">
        <v>103.11447443846129</v>
      </c>
      <c r="J16" s="9">
        <v>110.75985912203326</v>
      </c>
      <c r="K16" s="9">
        <v>120.99690521142638</v>
      </c>
      <c r="L16" s="8">
        <v>123.58711110547449</v>
      </c>
      <c r="M16" s="8">
        <f>'[3]Republic data'!$OC$292</f>
        <v>125.81722828813672</v>
      </c>
      <c r="N16" s="95">
        <v>125.52846282798579</v>
      </c>
      <c r="O16" s="10">
        <v>4.6580366770973214</v>
      </c>
      <c r="P16" s="10">
        <v>10.564831357913839</v>
      </c>
      <c r="Q16" s="10">
        <v>-24.238470313532279</v>
      </c>
      <c r="R16" s="10">
        <v>7.4144631248009185</v>
      </c>
      <c r="S16" s="10">
        <v>9.2425596877241603</v>
      </c>
      <c r="T16" s="10">
        <v>2.140720780851435</v>
      </c>
      <c r="U16" s="10">
        <f>'[3]Republic data'!$OF$292</f>
        <v>1.804490098291045</v>
      </c>
      <c r="V16" s="10">
        <v>-0.22951185944870556</v>
      </c>
      <c r="W16" s="1" t="s">
        <v>12</v>
      </c>
      <c r="AA16" s="42" t="s">
        <v>34</v>
      </c>
      <c r="AB16" s="42" t="s">
        <v>35</v>
      </c>
    </row>
    <row r="17" spans="1:42" s="11" customFormat="1" ht="15" x14ac:dyDescent="0.2">
      <c r="A17" s="13" t="s">
        <v>13</v>
      </c>
      <c r="B17" s="41">
        <v>5.4378723050111919</v>
      </c>
      <c r="C17" s="7">
        <v>60.859975065826738</v>
      </c>
      <c r="D17" s="7">
        <v>63.749393784738366</v>
      </c>
      <c r="E17" s="8">
        <v>77.220453300900303</v>
      </c>
      <c r="F17" s="9">
        <v>77.979582923899997</v>
      </c>
      <c r="G17" s="9">
        <v>80.571924425587255</v>
      </c>
      <c r="H17" s="9">
        <v>91.644770975471246</v>
      </c>
      <c r="I17" s="9">
        <v>99.95473548796538</v>
      </c>
      <c r="J17" s="9">
        <v>102.17949400970934</v>
      </c>
      <c r="K17" s="9">
        <v>105.37961599773739</v>
      </c>
      <c r="L17" s="8">
        <v>102.92917404156066</v>
      </c>
      <c r="M17" s="8">
        <f>'[3]Republic data'!$OC$322</f>
        <v>101.34706519435288</v>
      </c>
      <c r="N17" s="95">
        <v>101.83981865912176</v>
      </c>
      <c r="O17" s="10">
        <v>3.3243849280613746</v>
      </c>
      <c r="P17" s="10">
        <v>13.742810077858314</v>
      </c>
      <c r="Q17" s="10">
        <v>9.0675817332974695</v>
      </c>
      <c r="R17" s="10">
        <v>2.2257660038646376</v>
      </c>
      <c r="S17" s="10">
        <v>3.1318632168250593</v>
      </c>
      <c r="T17" s="10">
        <v>-2.3253472058859526</v>
      </c>
      <c r="U17" s="10">
        <f>'[3]Republic data'!$OF$322</f>
        <v>-1.5370849537459153</v>
      </c>
      <c r="V17" s="10">
        <v>0.48620398017833466</v>
      </c>
      <c r="W17" s="1" t="s">
        <v>14</v>
      </c>
      <c r="Z17" s="11">
        <v>2007</v>
      </c>
      <c r="AA17" s="35">
        <f>D23</f>
        <v>64.807540880908348</v>
      </c>
      <c r="AB17" s="35">
        <f>D24</f>
        <v>67.18924401230818</v>
      </c>
      <c r="AC17" s="35"/>
    </row>
    <row r="18" spans="1:42" s="11" customFormat="1" ht="15" x14ac:dyDescent="0.2">
      <c r="A18" s="13" t="s">
        <v>15</v>
      </c>
      <c r="B18" s="41">
        <v>4.7510307288693099</v>
      </c>
      <c r="C18" s="7">
        <v>115.34450273124089</v>
      </c>
      <c r="D18" s="7">
        <v>104.72754551977413</v>
      </c>
      <c r="E18" s="8">
        <v>100.9097966458598</v>
      </c>
      <c r="F18" s="9">
        <v>100.15439105359373</v>
      </c>
      <c r="G18" s="9">
        <v>100.38298344923554</v>
      </c>
      <c r="H18" s="9">
        <v>100.6195512642537</v>
      </c>
      <c r="I18" s="9">
        <v>100.00528180711392</v>
      </c>
      <c r="J18" s="9">
        <v>99.050815085253589</v>
      </c>
      <c r="K18" s="9">
        <v>100.28780520090577</v>
      </c>
      <c r="L18" s="8">
        <v>100.55782006117782</v>
      </c>
      <c r="M18" s="8">
        <f>'[3]Republic data'!$OC$348</f>
        <v>99.79368976091358</v>
      </c>
      <c r="N18" s="95">
        <v>99.659396804799613</v>
      </c>
      <c r="O18" s="10">
        <v>0.22824001348027423</v>
      </c>
      <c r="P18" s="10">
        <v>0.23566525609173272</v>
      </c>
      <c r="Q18" s="10">
        <v>-0.61048717612200987</v>
      </c>
      <c r="R18" s="10">
        <v>-0.95441631143169392</v>
      </c>
      <c r="S18" s="10">
        <v>1.2488439540729646</v>
      </c>
      <c r="T18" s="10">
        <v>0.26923997362504615</v>
      </c>
      <c r="U18" s="10">
        <f>'[3]Republic data'!$OF$348</f>
        <v>-0.75989147318363814</v>
      </c>
      <c r="V18" s="10">
        <v>-0.13457058901791275</v>
      </c>
      <c r="W18" s="1" t="s">
        <v>16</v>
      </c>
      <c r="Z18" s="11">
        <v>2008</v>
      </c>
      <c r="AA18" s="35">
        <f>E23</f>
        <v>72.611313924073201</v>
      </c>
      <c r="AB18" s="35">
        <f>E24</f>
        <v>75.385471686170362</v>
      </c>
      <c r="AC18" s="35"/>
    </row>
    <row r="19" spans="1:42" s="11" customFormat="1" ht="15" x14ac:dyDescent="0.2">
      <c r="A19" s="14" t="s">
        <v>17</v>
      </c>
      <c r="B19" s="41">
        <v>5.1031994041341724</v>
      </c>
      <c r="C19" s="7">
        <v>94.874945972791352</v>
      </c>
      <c r="D19" s="7">
        <v>96.624178349214034</v>
      </c>
      <c r="E19" s="8">
        <v>90.077187080296483</v>
      </c>
      <c r="F19" s="9">
        <v>94.587232125872092</v>
      </c>
      <c r="G19" s="9">
        <v>100.01905005623114</v>
      </c>
      <c r="H19" s="9">
        <v>97.89290317146407</v>
      </c>
      <c r="I19" s="9">
        <v>99.531777140452178</v>
      </c>
      <c r="J19" s="9">
        <v>98.82807875047888</v>
      </c>
      <c r="K19" s="9">
        <v>102.2003441480955</v>
      </c>
      <c r="L19" s="8">
        <v>101.95630588932649</v>
      </c>
      <c r="M19" s="8">
        <f>'[3]Republic data'!$OC$360</f>
        <v>100.69713942933714</v>
      </c>
      <c r="N19" s="95">
        <v>100.58404074832116</v>
      </c>
      <c r="O19" s="10">
        <v>5.7426544875852192</v>
      </c>
      <c r="P19" s="10">
        <v>-2.1257419297341262</v>
      </c>
      <c r="Q19" s="10">
        <v>1.6741499290480188</v>
      </c>
      <c r="R19" s="10">
        <v>-0.70700876663770673</v>
      </c>
      <c r="S19" s="10">
        <v>3.4122543312117948</v>
      </c>
      <c r="T19" s="10">
        <v>-0.2387841849293415</v>
      </c>
      <c r="U19" s="10">
        <f>'[3]Republic data'!$OF$360</f>
        <v>-1.2350059655517276</v>
      </c>
      <c r="V19" s="10">
        <v>-0.1123156840968198</v>
      </c>
      <c r="W19" s="15" t="s">
        <v>18</v>
      </c>
      <c r="Z19" s="11">
        <v>2009</v>
      </c>
      <c r="AA19" s="35">
        <f>F23</f>
        <v>75.900734670117231</v>
      </c>
      <c r="AB19" s="35">
        <f>F24</f>
        <v>79.51493809042644</v>
      </c>
      <c r="AC19" s="35"/>
    </row>
    <row r="20" spans="1:42" s="11" customFormat="1" ht="15" x14ac:dyDescent="0.2">
      <c r="A20" s="12" t="s">
        <v>4</v>
      </c>
      <c r="B20" s="41">
        <v>2.4983461177360984</v>
      </c>
      <c r="C20" s="7">
        <v>47.049388033467601</v>
      </c>
      <c r="D20" s="7">
        <v>48.13102192510862</v>
      </c>
      <c r="E20" s="8">
        <v>49.012472981378899</v>
      </c>
      <c r="F20" s="9">
        <v>66.212440093936394</v>
      </c>
      <c r="G20" s="9">
        <v>72.465176121953334</v>
      </c>
      <c r="H20" s="9">
        <v>85.752154766717368</v>
      </c>
      <c r="I20" s="9">
        <v>100.26897294373833</v>
      </c>
      <c r="J20" s="9">
        <v>105.75107702222947</v>
      </c>
      <c r="K20" s="9">
        <v>110.56855328746506</v>
      </c>
      <c r="L20" s="8">
        <v>119.00762505009182</v>
      </c>
      <c r="M20" s="8">
        <f>'[3]Republic data'!$OC$405</f>
        <v>124.80292719209795</v>
      </c>
      <c r="N20" s="95">
        <v>130.07859259520549</v>
      </c>
      <c r="O20" s="10">
        <v>9.4434460037209114</v>
      </c>
      <c r="P20" s="10">
        <v>18.335674258768186</v>
      </c>
      <c r="Q20" s="10">
        <v>16.928808630538718</v>
      </c>
      <c r="R20" s="10">
        <v>5.4673982564548584</v>
      </c>
      <c r="S20" s="10">
        <v>4.5554867154903089</v>
      </c>
      <c r="T20" s="10">
        <v>7.6324339169801414</v>
      </c>
      <c r="U20" s="10">
        <f>'[3]Republic data'!$OF$405</f>
        <v>4.8696897695142072</v>
      </c>
      <c r="V20" s="10">
        <v>4.2271968469034249</v>
      </c>
      <c r="W20" s="15" t="s">
        <v>5</v>
      </c>
      <c r="Z20" s="11">
        <v>2010</v>
      </c>
      <c r="AA20" s="35">
        <f>G23</f>
        <v>80.568542845421106</v>
      </c>
      <c r="AB20" s="44">
        <f>G24</f>
        <v>84.338371332150743</v>
      </c>
      <c r="AC20" s="35"/>
    </row>
    <row r="21" spans="1:42" s="11" customFormat="1" ht="15" x14ac:dyDescent="0.2">
      <c r="A21" s="12" t="s">
        <v>19</v>
      </c>
      <c r="B21" s="41">
        <v>3.0243474234302665</v>
      </c>
      <c r="C21" s="7">
        <v>49.094342913656533</v>
      </c>
      <c r="D21" s="7">
        <v>57.310377045571919</v>
      </c>
      <c r="E21" s="8">
        <v>66.268774405103429</v>
      </c>
      <c r="F21" s="9">
        <v>67.972496509520113</v>
      </c>
      <c r="G21" s="9">
        <v>70.167294544238487</v>
      </c>
      <c r="H21" s="9">
        <v>81.124231104476152</v>
      </c>
      <c r="I21" s="9">
        <v>103.56604942649903</v>
      </c>
      <c r="J21" s="9">
        <v>115.92908544747458</v>
      </c>
      <c r="K21" s="9">
        <v>121.3287709962447</v>
      </c>
      <c r="L21" s="8">
        <v>121.06073734975051</v>
      </c>
      <c r="M21" s="8">
        <f>'[3]Republic data'!$OC$421</f>
        <v>123.14673548135868</v>
      </c>
      <c r="N21" s="95">
        <v>125.6295963585136</v>
      </c>
      <c r="O21" s="10">
        <v>3.2289501598796955</v>
      </c>
      <c r="P21" s="10">
        <v>15.615446813799583</v>
      </c>
      <c r="Q21" s="10">
        <v>27.663520524615027</v>
      </c>
      <c r="R21" s="10">
        <v>11.937344418790063</v>
      </c>
      <c r="S21" s="10">
        <v>4.6577487676434881</v>
      </c>
      <c r="T21" s="10">
        <v>-0.22091515828713826</v>
      </c>
      <c r="U21" s="10">
        <f>'[3]Republic data'!$OF$421</f>
        <v>1.7231004678103012</v>
      </c>
      <c r="V21" s="10">
        <v>2.0161808329306252</v>
      </c>
      <c r="W21" s="15" t="s">
        <v>20</v>
      </c>
      <c r="Z21" s="11">
        <v>2011</v>
      </c>
      <c r="AA21" s="35">
        <f>H23</f>
        <v>89.651368722070842</v>
      </c>
      <c r="AB21" s="44">
        <f>H24</f>
        <v>91.679051572020867</v>
      </c>
      <c r="AC21" s="35"/>
    </row>
    <row r="22" spans="1:42" s="11" customFormat="1" ht="15" x14ac:dyDescent="0.2">
      <c r="A22" s="14" t="s">
        <v>21</v>
      </c>
      <c r="B22" s="41">
        <v>7.1810709833581452</v>
      </c>
      <c r="C22" s="7">
        <v>66.045812015945941</v>
      </c>
      <c r="D22" s="7">
        <v>67.578746700557247</v>
      </c>
      <c r="E22" s="8">
        <v>71.846737489273423</v>
      </c>
      <c r="F22" s="9">
        <v>76.948539555294857</v>
      </c>
      <c r="G22" s="9">
        <v>80.738363693637908</v>
      </c>
      <c r="H22" s="9">
        <v>86.725904563278689</v>
      </c>
      <c r="I22" s="9">
        <v>100.59989156921542</v>
      </c>
      <c r="J22" s="9">
        <v>99.01609787482279</v>
      </c>
      <c r="K22" s="9">
        <v>98.892634758290214</v>
      </c>
      <c r="L22" s="8">
        <v>98.735605526974709</v>
      </c>
      <c r="M22" s="8">
        <f>'[3]Republic data'!$OC$438</f>
        <v>98.469134997835681</v>
      </c>
      <c r="N22" s="95">
        <v>98.317889337161489</v>
      </c>
      <c r="O22" s="10">
        <v>4.9251410881160362</v>
      </c>
      <c r="P22" s="10">
        <v>7.4159799576327012</v>
      </c>
      <c r="Q22" s="10">
        <v>15.997512018815229</v>
      </c>
      <c r="R22" s="10">
        <v>-1.5743493056381008</v>
      </c>
      <c r="S22" s="10">
        <v>-0.12468994353691532</v>
      </c>
      <c r="T22" s="10">
        <v>-0.15878758989413821</v>
      </c>
      <c r="U22" s="10">
        <f>'[3]Republic data'!$OF$438</f>
        <v>-0.2698829137845582</v>
      </c>
      <c r="V22" s="10">
        <v>-0.15359702375522533</v>
      </c>
      <c r="W22" s="45" t="s">
        <v>43</v>
      </c>
      <c r="Z22" s="11">
        <v>2012</v>
      </c>
      <c r="AA22" s="35">
        <f>I23</f>
        <v>99.409647361204449</v>
      </c>
      <c r="AB22" s="44">
        <f>I24</f>
        <v>100.14126599840249</v>
      </c>
    </row>
    <row r="23" spans="1:42" s="21" customFormat="1" ht="15" x14ac:dyDescent="0.2">
      <c r="A23" s="16" t="s">
        <v>40</v>
      </c>
      <c r="B23" s="46">
        <f>SUM(B8,B12:B13,B11,B15:B22)</f>
        <v>100.00000000000003</v>
      </c>
      <c r="C23" s="17">
        <v>60.684187749186492</v>
      </c>
      <c r="D23" s="17">
        <v>64.807540880908348</v>
      </c>
      <c r="E23" s="18">
        <v>72.611313924073201</v>
      </c>
      <c r="F23" s="18">
        <v>75.900734670117231</v>
      </c>
      <c r="G23" s="18">
        <v>80.568542845421106</v>
      </c>
      <c r="H23" s="18">
        <v>89.651368722070842</v>
      </c>
      <c r="I23" s="18">
        <v>99.409647361204449</v>
      </c>
      <c r="J23" s="18">
        <v>103.19281073321666</v>
      </c>
      <c r="K23" s="18">
        <v>105.38050013404563</v>
      </c>
      <c r="L23" s="18">
        <v>106.38499407837655</v>
      </c>
      <c r="M23" s="18">
        <f>'[3]Republic data'!$OC$3</f>
        <v>106.91958868829052</v>
      </c>
      <c r="N23" s="96">
        <v>109.93201964009602</v>
      </c>
      <c r="O23" s="19">
        <v>6.1498853675017617</v>
      </c>
      <c r="P23" s="19">
        <v>11.273414605593723</v>
      </c>
      <c r="Q23" s="19">
        <v>10.884695658563071</v>
      </c>
      <c r="R23" s="19">
        <v>3.8056300091942941</v>
      </c>
      <c r="S23" s="19">
        <v>2.1200017571813001</v>
      </c>
      <c r="T23" s="19">
        <v>0.95</v>
      </c>
      <c r="U23" s="19">
        <f>'[3]Republic data'!$OF$3</f>
        <v>0.50250941361158485</v>
      </c>
      <c r="V23" s="19">
        <v>2.8174733823451481</v>
      </c>
      <c r="W23" s="20" t="s">
        <v>6</v>
      </c>
      <c r="Z23" s="21">
        <v>2013</v>
      </c>
      <c r="AA23" s="47">
        <f>J23</f>
        <v>103.19281073321666</v>
      </c>
      <c r="AB23" s="47">
        <f>J24</f>
        <v>103.07423491391059</v>
      </c>
    </row>
    <row r="24" spans="1:42" s="25" customFormat="1" ht="15" x14ac:dyDescent="0.2">
      <c r="A24" s="22" t="s">
        <v>41</v>
      </c>
      <c r="B24" s="48">
        <f>B23-B10</f>
        <v>91.353666078543981</v>
      </c>
      <c r="C24" s="23">
        <v>64.052485645287277</v>
      </c>
      <c r="D24" s="23">
        <v>67.18924401230818</v>
      </c>
      <c r="E24" s="23">
        <v>75.385471686170362</v>
      </c>
      <c r="F24" s="23">
        <v>79.51493809042644</v>
      </c>
      <c r="G24" s="23">
        <v>84.338371332150743</v>
      </c>
      <c r="H24" s="23">
        <v>91.679051572020867</v>
      </c>
      <c r="I24" s="23">
        <v>100.14126599840249</v>
      </c>
      <c r="J24" s="23">
        <v>103.07423491391059</v>
      </c>
      <c r="K24" s="23">
        <v>105.29983112357628</v>
      </c>
      <c r="L24" s="23">
        <v>106.44622541898161</v>
      </c>
      <c r="M24" s="23">
        <f>'[3]Republic data'!$OC$484</f>
        <v>107.1902747590181</v>
      </c>
      <c r="N24" s="97">
        <v>110.17175267946645</v>
      </c>
      <c r="O24" s="23">
        <v>6.0660718068332953</v>
      </c>
      <c r="P24" s="23">
        <v>8.7038439608470028</v>
      </c>
      <c r="Q24" s="23">
        <v>9.2302595645133998</v>
      </c>
      <c r="R24" s="23">
        <v>2.9288314724869702</v>
      </c>
      <c r="S24" s="23">
        <v>2.159216812546938</v>
      </c>
      <c r="T24" s="23">
        <v>1.0900000000000001</v>
      </c>
      <c r="U24" s="23">
        <f>'[3]Republic data'!$OF$484</f>
        <v>0.69899081635618199</v>
      </c>
      <c r="V24" s="23">
        <v>2.7814817409053338</v>
      </c>
      <c r="W24" s="24" t="s">
        <v>29</v>
      </c>
      <c r="Z24" s="21">
        <v>2014</v>
      </c>
      <c r="AA24" s="47">
        <f>K23</f>
        <v>105.38050013404563</v>
      </c>
      <c r="AB24" s="47">
        <f>K24</f>
        <v>105.29983112357628</v>
      </c>
    </row>
    <row r="25" spans="1:42" s="53" customFormat="1" ht="15.75" customHeight="1" x14ac:dyDescent="0.2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83"/>
      <c r="M25" s="83"/>
      <c r="N25" s="90"/>
      <c r="O25" s="50"/>
      <c r="P25" s="50"/>
      <c r="Q25" s="50"/>
      <c r="R25" s="50"/>
      <c r="S25" s="50"/>
      <c r="T25" s="50"/>
      <c r="U25" s="50"/>
      <c r="V25" s="50"/>
      <c r="W25" s="51"/>
      <c r="X25" s="52"/>
      <c r="Y25" s="50"/>
      <c r="Z25" s="21">
        <v>2015</v>
      </c>
      <c r="AA25" s="47">
        <f>L23</f>
        <v>106.38499407837655</v>
      </c>
      <c r="AB25" s="47">
        <f>L24</f>
        <v>106.44622541898161</v>
      </c>
    </row>
    <row r="26" spans="1:42" ht="21" customHeight="1" x14ac:dyDescent="0.2">
      <c r="A26" s="4"/>
      <c r="B26" s="100" t="s">
        <v>27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92"/>
      <c r="N26" s="87"/>
      <c r="O26" s="107" t="s">
        <v>54</v>
      </c>
      <c r="P26" s="108"/>
      <c r="Q26" s="108"/>
      <c r="R26" s="108"/>
      <c r="S26" s="108"/>
      <c r="T26" s="108"/>
      <c r="U26" s="108"/>
      <c r="V26" s="108"/>
      <c r="W26" s="5"/>
      <c r="Z26" s="21">
        <v>2016</v>
      </c>
      <c r="AA26" s="47">
        <f>M23</f>
        <v>106.91958868829052</v>
      </c>
      <c r="AB26" s="47">
        <f>M24</f>
        <v>107.1902747590181</v>
      </c>
    </row>
    <row r="27" spans="1:42" ht="28.5" customHeight="1" x14ac:dyDescent="0.2">
      <c r="A27" s="30" t="s">
        <v>22</v>
      </c>
      <c r="B27" s="109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93"/>
      <c r="N27" s="89"/>
      <c r="O27" s="105" t="s">
        <v>55</v>
      </c>
      <c r="P27" s="106"/>
      <c r="Q27" s="106"/>
      <c r="R27" s="106"/>
      <c r="S27" s="106"/>
      <c r="T27" s="106"/>
      <c r="U27" s="106"/>
      <c r="V27" s="106"/>
      <c r="W27" s="37" t="s">
        <v>23</v>
      </c>
      <c r="Z27" s="21">
        <v>2017</v>
      </c>
      <c r="AA27" s="47">
        <f>N23</f>
        <v>109.93201964009602</v>
      </c>
      <c r="AB27" s="47">
        <f>N24</f>
        <v>110.17175267946645</v>
      </c>
    </row>
    <row r="28" spans="1:42" x14ac:dyDescent="0.2">
      <c r="A28" s="54"/>
      <c r="B28" s="55" t="s">
        <v>0</v>
      </c>
      <c r="C28" s="56">
        <v>2006</v>
      </c>
      <c r="D28" s="56">
        <v>2007</v>
      </c>
      <c r="E28" s="56">
        <v>2008</v>
      </c>
      <c r="F28" s="56">
        <v>2009</v>
      </c>
      <c r="G28" s="56">
        <v>2010</v>
      </c>
      <c r="H28" s="56">
        <v>2011</v>
      </c>
      <c r="I28" s="56">
        <v>2012</v>
      </c>
      <c r="J28" s="56">
        <v>2013</v>
      </c>
      <c r="K28" s="56">
        <v>2014</v>
      </c>
      <c r="L28" s="84">
        <v>2015</v>
      </c>
      <c r="M28" s="26">
        <v>2016</v>
      </c>
      <c r="N28" s="88">
        <v>2017</v>
      </c>
      <c r="O28" s="57">
        <v>2010</v>
      </c>
      <c r="P28" s="57">
        <v>2011</v>
      </c>
      <c r="Q28" s="57">
        <v>2012</v>
      </c>
      <c r="R28" s="57">
        <v>2013</v>
      </c>
      <c r="S28" s="40">
        <v>2014</v>
      </c>
      <c r="T28" s="26">
        <v>2015</v>
      </c>
      <c r="U28" s="26">
        <v>2016</v>
      </c>
      <c r="V28" s="26">
        <v>2017</v>
      </c>
      <c r="W28" s="27"/>
      <c r="AA28" s="76"/>
    </row>
    <row r="29" spans="1:42" s="29" customFormat="1" ht="18" customHeight="1" x14ac:dyDescent="0.2">
      <c r="A29" s="6" t="s">
        <v>30</v>
      </c>
      <c r="B29" s="41">
        <v>23.78411261195577</v>
      </c>
      <c r="C29" s="7">
        <v>46.54226956659236</v>
      </c>
      <c r="D29" s="7">
        <v>54.070703301292049</v>
      </c>
      <c r="E29" s="8">
        <v>64.381973226397193</v>
      </c>
      <c r="F29" s="9">
        <v>64.715472651196961</v>
      </c>
      <c r="G29" s="9">
        <v>69.554480633976965</v>
      </c>
      <c r="H29" s="9">
        <v>83.416709968576413</v>
      </c>
      <c r="I29" s="9">
        <v>98.167408450774488</v>
      </c>
      <c r="J29" s="9">
        <v>105.5418979724201</v>
      </c>
      <c r="K29" s="9">
        <v>106.60711823254361</v>
      </c>
      <c r="L29" s="80">
        <v>107.44921725072059</v>
      </c>
      <c r="M29" s="80">
        <f>[3]Male!$OC$4</f>
        <v>106.21438956055287</v>
      </c>
      <c r="N29" s="94">
        <v>109.84186445841966</v>
      </c>
      <c r="O29" s="10">
        <v>7.4773586354862198</v>
      </c>
      <c r="P29" s="10">
        <v>19.930030687092536</v>
      </c>
      <c r="Q29" s="10">
        <v>17.683145844225635</v>
      </c>
      <c r="R29" s="10">
        <v>7.5121566699435816</v>
      </c>
      <c r="S29" s="9">
        <v>1.0092866251105947</v>
      </c>
      <c r="T29" s="10">
        <v>0.78990880922238382</v>
      </c>
      <c r="U29" s="10">
        <f>[3]Male!$OF$4</f>
        <v>-1.1492198098441153</v>
      </c>
      <c r="V29" s="10">
        <v>3.4152386629297204</v>
      </c>
      <c r="W29" s="1" t="s">
        <v>32</v>
      </c>
      <c r="X29" s="58"/>
      <c r="Z29" s="3"/>
      <c r="AA29" s="3"/>
      <c r="AB29" s="3"/>
      <c r="AC29" s="59"/>
      <c r="AD29" s="59"/>
      <c r="AE29" s="59"/>
      <c r="AF29" s="59"/>
      <c r="AG29" s="59"/>
      <c r="AH29" s="59"/>
      <c r="AI29" s="60"/>
      <c r="AL29" s="31"/>
      <c r="AM29" s="31"/>
      <c r="AN29" s="31"/>
      <c r="AO29" s="61"/>
      <c r="AP29" s="31"/>
    </row>
    <row r="30" spans="1:42" s="29" customFormat="1" ht="18" customHeight="1" x14ac:dyDescent="0.2">
      <c r="A30" s="6" t="s">
        <v>31</v>
      </c>
      <c r="B30" s="41">
        <f>B29-B31</f>
        <v>16.141190180918223</v>
      </c>
      <c r="C30" s="7">
        <v>56.866771691184077</v>
      </c>
      <c r="D30" s="7">
        <v>62.767090501684173</v>
      </c>
      <c r="E30" s="8">
        <v>76.153290746199403</v>
      </c>
      <c r="F30" s="9">
        <v>78.381813378991197</v>
      </c>
      <c r="G30" s="9">
        <v>84.204150454829019</v>
      </c>
      <c r="H30" s="9">
        <v>94.794400673064558</v>
      </c>
      <c r="I30" s="9">
        <v>99.776621425288184</v>
      </c>
      <c r="J30" s="9">
        <v>106.34377466951754</v>
      </c>
      <c r="K30" s="9">
        <v>106.61664175076959</v>
      </c>
      <c r="L30" s="8">
        <v>108.00177303732585</v>
      </c>
      <c r="M30" s="8">
        <f>[3]Male!$OC$485</f>
        <v>108.54418419912565</v>
      </c>
      <c r="N30" s="95">
        <v>114.09709413054804</v>
      </c>
      <c r="O30" s="10">
        <v>7.4281734816285638</v>
      </c>
      <c r="P30" s="10">
        <v>12.576874371432133</v>
      </c>
      <c r="Q30" s="10">
        <v>5.2558175555186493</v>
      </c>
      <c r="R30" s="10">
        <v>6.5818556996809052</v>
      </c>
      <c r="S30" s="9">
        <v>0.25658961429573246</v>
      </c>
      <c r="T30" s="10">
        <v>1.2991698704918786</v>
      </c>
      <c r="U30" s="10">
        <f>[3]Male!$OF$485</f>
        <v>0.50222431219935082</v>
      </c>
      <c r="V30" s="10">
        <v>5.1158060400873229</v>
      </c>
      <c r="W30" s="1" t="s">
        <v>33</v>
      </c>
      <c r="X30" s="58"/>
      <c r="Z30" s="3"/>
      <c r="AA30" s="76"/>
      <c r="AB30" s="3"/>
      <c r="AC30" s="62"/>
      <c r="AD30" s="62"/>
      <c r="AE30" s="62"/>
      <c r="AF30" s="62"/>
      <c r="AG30" s="62"/>
      <c r="AH30" s="62"/>
      <c r="AI30" s="60"/>
      <c r="AL30" s="31"/>
      <c r="AM30" s="31"/>
      <c r="AN30" s="31"/>
      <c r="AO30" s="61"/>
      <c r="AP30" s="31"/>
    </row>
    <row r="31" spans="1:42" s="29" customFormat="1" ht="15" x14ac:dyDescent="0.2">
      <c r="A31" s="12" t="s">
        <v>1</v>
      </c>
      <c r="B31" s="41">
        <v>7.6429224310375492</v>
      </c>
      <c r="C31" s="7">
        <v>22.898483196595674</v>
      </c>
      <c r="D31" s="7">
        <v>34.155406788630842</v>
      </c>
      <c r="E31" s="8">
        <v>37.424884799955599</v>
      </c>
      <c r="F31" s="9">
        <v>33.418656908585071</v>
      </c>
      <c r="G31" s="9">
        <v>36.005776836416281</v>
      </c>
      <c r="H31" s="9">
        <v>57.361052741283949</v>
      </c>
      <c r="I31" s="9">
        <v>94.406157167404913</v>
      </c>
      <c r="J31" s="9">
        <v>103.84840384287946</v>
      </c>
      <c r="K31" s="9">
        <v>106.58700538693205</v>
      </c>
      <c r="L31" s="8">
        <v>106.28226728915327</v>
      </c>
      <c r="M31" s="8">
        <f>[3]Male!$OC$38</f>
        <v>101.29406507957015</v>
      </c>
      <c r="N31" s="95">
        <v>100.85518795855286</v>
      </c>
      <c r="O31" s="10">
        <v>7.7415436979054508</v>
      </c>
      <c r="P31" s="10">
        <v>59.310693397590896</v>
      </c>
      <c r="Q31" s="10">
        <v>64.582330092869483</v>
      </c>
      <c r="R31" s="10">
        <v>10.001727597842125</v>
      </c>
      <c r="S31" s="9">
        <v>2.6371147198333666</v>
      </c>
      <c r="T31" s="10">
        <v>-0.28590548788993697</v>
      </c>
      <c r="U31" s="10">
        <f>[3]Male!$OF$38</f>
        <v>-4.6933532157458995</v>
      </c>
      <c r="V31" s="10">
        <v>-0.43327032109189423</v>
      </c>
      <c r="W31" s="1" t="s">
        <v>2</v>
      </c>
      <c r="X31" s="58"/>
      <c r="Y31" s="62"/>
      <c r="Z31" s="3"/>
      <c r="AA31" s="76"/>
      <c r="AB31" s="3"/>
      <c r="AC31" s="62"/>
      <c r="AD31" s="62"/>
      <c r="AE31" s="62"/>
      <c r="AF31" s="62"/>
      <c r="AG31" s="62"/>
      <c r="AH31" s="62"/>
      <c r="AI31" s="60"/>
      <c r="AL31" s="31"/>
      <c r="AM31" s="31"/>
      <c r="AN31" s="31"/>
      <c r="AO31" s="61"/>
      <c r="AP31" s="31"/>
    </row>
    <row r="32" spans="1:42" s="29" customFormat="1" ht="15" x14ac:dyDescent="0.2">
      <c r="A32" s="12" t="s">
        <v>26</v>
      </c>
      <c r="B32" s="41">
        <v>1.2551264274393874</v>
      </c>
      <c r="C32" s="7">
        <v>49.327553362016907</v>
      </c>
      <c r="D32" s="7">
        <v>49.926435555846972</v>
      </c>
      <c r="E32" s="8">
        <v>51.632567552779186</v>
      </c>
      <c r="F32" s="9">
        <v>50.700704461040182</v>
      </c>
      <c r="G32" s="9">
        <v>50.532891620339313</v>
      </c>
      <c r="H32" s="9">
        <v>64.296766109008189</v>
      </c>
      <c r="I32" s="9">
        <v>101.10997281948137</v>
      </c>
      <c r="J32" s="9">
        <v>98.191752361218789</v>
      </c>
      <c r="K32" s="9">
        <v>101.20504904236994</v>
      </c>
      <c r="L32" s="8">
        <v>116.20524691029136</v>
      </c>
      <c r="M32" s="8">
        <f>[3]Male!$OC$156</f>
        <v>119.42144298997056</v>
      </c>
      <c r="N32" s="95">
        <v>153.44593309791097</v>
      </c>
      <c r="O32" s="10">
        <v>-0.33098719728800186</v>
      </c>
      <c r="P32" s="10">
        <v>27.237456728340014</v>
      </c>
      <c r="Q32" s="10">
        <v>57.255145069132077</v>
      </c>
      <c r="R32" s="10">
        <v>-2.8861845937518726</v>
      </c>
      <c r="S32" s="9">
        <v>3.068787967105524</v>
      </c>
      <c r="T32" s="10">
        <v>14.821590434328558</v>
      </c>
      <c r="U32" s="10">
        <f>[3]Male!$OF$156</f>
        <v>2.7676857673750721</v>
      </c>
      <c r="V32" s="10">
        <v>28.491106166585102</v>
      </c>
      <c r="W32" s="1" t="s">
        <v>8</v>
      </c>
      <c r="X32" s="58"/>
      <c r="Y32" s="62"/>
      <c r="Z32" s="3"/>
      <c r="AA32" s="76"/>
      <c r="AB32" s="3"/>
      <c r="AC32" s="62"/>
      <c r="AD32" s="62"/>
      <c r="AE32" s="62"/>
      <c r="AF32" s="62"/>
      <c r="AG32" s="62"/>
      <c r="AH32" s="62"/>
      <c r="AI32" s="60"/>
      <c r="AL32" s="31"/>
      <c r="AM32" s="31"/>
      <c r="AN32" s="31"/>
      <c r="AO32" s="61"/>
      <c r="AP32" s="31"/>
    </row>
    <row r="33" spans="1:42" s="29" customFormat="1" ht="15" x14ac:dyDescent="0.2">
      <c r="A33" s="12" t="s">
        <v>3</v>
      </c>
      <c r="B33" s="41">
        <v>3.325234690971965</v>
      </c>
      <c r="C33" s="7">
        <v>67.493428550865232</v>
      </c>
      <c r="D33" s="7">
        <v>66.522696340505789</v>
      </c>
      <c r="E33" s="8">
        <v>68.251967675022911</v>
      </c>
      <c r="F33" s="9">
        <v>70.445891756658199</v>
      </c>
      <c r="G33" s="9">
        <v>72.534285938334179</v>
      </c>
      <c r="H33" s="9">
        <v>81.881292827210913</v>
      </c>
      <c r="I33" s="9">
        <v>98.218343825881036</v>
      </c>
      <c r="J33" s="9">
        <v>99.664487530793849</v>
      </c>
      <c r="K33" s="9">
        <v>99.988590307242035</v>
      </c>
      <c r="L33" s="8">
        <v>99.014648713762881</v>
      </c>
      <c r="M33" s="8">
        <f>[3]Male!$OC$167</f>
        <v>98.190748488110202</v>
      </c>
      <c r="N33" s="95">
        <v>97.817675747130053</v>
      </c>
      <c r="O33" s="10">
        <v>2.964536511071425</v>
      </c>
      <c r="P33" s="10">
        <v>12.886329227564453</v>
      </c>
      <c r="Q33" s="10">
        <v>19.95211657581568</v>
      </c>
      <c r="R33" s="10">
        <v>1.4723763897673825</v>
      </c>
      <c r="S33" s="9">
        <v>0.32519384233831161</v>
      </c>
      <c r="T33" s="10">
        <v>-0.97405272990294112</v>
      </c>
      <c r="U33" s="10">
        <f>[3]Male!$OF$167</f>
        <v>-0.83209932707477563</v>
      </c>
      <c r="V33" s="10">
        <v>-0.37994693667634527</v>
      </c>
      <c r="W33" s="1" t="s">
        <v>9</v>
      </c>
      <c r="X33" s="58"/>
      <c r="Y33" s="62"/>
      <c r="Z33" s="3"/>
      <c r="AA33" s="76"/>
      <c r="AB33" s="3"/>
      <c r="AC33" s="62"/>
      <c r="AD33" s="62"/>
      <c r="AE33" s="62"/>
      <c r="AF33" s="62"/>
      <c r="AG33" s="62"/>
      <c r="AH33" s="62"/>
      <c r="AI33" s="60"/>
      <c r="AL33" s="31"/>
      <c r="AM33" s="31"/>
      <c r="AN33" s="31"/>
      <c r="AO33" s="61"/>
      <c r="AP33" s="31"/>
    </row>
    <row r="34" spans="1:42" s="29" customFormat="1" ht="15" x14ac:dyDescent="0.2">
      <c r="A34" s="12" t="s">
        <v>38</v>
      </c>
      <c r="B34" s="41">
        <v>33.253292498580983</v>
      </c>
      <c r="C34" s="7">
        <v>70.128284933346336</v>
      </c>
      <c r="D34" s="7">
        <v>72.790167958905229</v>
      </c>
      <c r="E34" s="8">
        <v>80.824789456236729</v>
      </c>
      <c r="F34" s="9">
        <v>87.147430127106858</v>
      </c>
      <c r="G34" s="9">
        <v>93.758762276598645</v>
      </c>
      <c r="H34" s="9">
        <v>96.487654366096692</v>
      </c>
      <c r="I34" s="9">
        <v>100.00377000426182</v>
      </c>
      <c r="J34" s="9">
        <v>103.95006675159617</v>
      </c>
      <c r="K34" s="9">
        <v>107.01057323330696</v>
      </c>
      <c r="L34" s="8">
        <v>109.61354663249911</v>
      </c>
      <c r="M34" s="8">
        <f>[3]Male!$OC$207</f>
        <v>111.78087632908641</v>
      </c>
      <c r="N34" s="95">
        <v>114.83955338142039</v>
      </c>
      <c r="O34" s="10">
        <v>7.5863764884965379</v>
      </c>
      <c r="P34" s="10">
        <v>2.9105461966824064</v>
      </c>
      <c r="Q34" s="10">
        <v>3.6441093539533842</v>
      </c>
      <c r="R34" s="10">
        <v>3.9461479773874153</v>
      </c>
      <c r="S34" s="9">
        <v>2.9442082889896692</v>
      </c>
      <c r="T34" s="10">
        <v>2.4324450571039158</v>
      </c>
      <c r="U34" s="10">
        <f>[3]Male!$OF$207</f>
        <v>1.9772462101365074</v>
      </c>
      <c r="V34" s="10">
        <v>2.7363151486924586</v>
      </c>
      <c r="W34" s="1" t="s">
        <v>10</v>
      </c>
      <c r="X34" s="58"/>
      <c r="Y34" s="62"/>
      <c r="Z34" s="3"/>
      <c r="AA34" s="76"/>
      <c r="AB34" s="3"/>
      <c r="AC34" s="62"/>
      <c r="AD34" s="62"/>
      <c r="AE34" s="62"/>
      <c r="AF34" s="62"/>
      <c r="AG34" s="62"/>
      <c r="AH34" s="62"/>
      <c r="AI34" s="60"/>
      <c r="AL34" s="31"/>
      <c r="AM34" s="31"/>
      <c r="AN34" s="31"/>
      <c r="AO34" s="61"/>
      <c r="AP34" s="31"/>
    </row>
    <row r="35" spans="1:42" s="29" customFormat="1" ht="15" x14ac:dyDescent="0.2">
      <c r="A35" s="12" t="s">
        <v>39</v>
      </c>
      <c r="B35" s="41">
        <v>24.01513195689877</v>
      </c>
      <c r="C35" s="7">
        <v>64.647461828276832</v>
      </c>
      <c r="D35" s="7">
        <v>67.343842950624648</v>
      </c>
      <c r="E35" s="8">
        <v>74.851279000594886</v>
      </c>
      <c r="F35" s="9">
        <v>85.550267697798958</v>
      </c>
      <c r="G35" s="9">
        <v>91.040551259171139</v>
      </c>
      <c r="H35" s="9">
        <v>95.103608962918898</v>
      </c>
      <c r="I35" s="9">
        <v>100.09393014432733</v>
      </c>
      <c r="J35" s="9">
        <v>104.20681505043228</v>
      </c>
      <c r="K35" s="9">
        <v>108.38813271909099</v>
      </c>
      <c r="L35" s="8">
        <v>113.03365604700161</v>
      </c>
      <c r="M35" s="8">
        <f>[3]Male!$OC$209</f>
        <v>117.41374229948713</v>
      </c>
      <c r="N35" s="95">
        <v>122.83526593997867</v>
      </c>
      <c r="O35" s="10">
        <v>6.4176111999628915</v>
      </c>
      <c r="P35" s="10">
        <v>4.4629098215598351</v>
      </c>
      <c r="Q35" s="10">
        <v>5.2472469087415652</v>
      </c>
      <c r="R35" s="10">
        <v>4.1090252927170612</v>
      </c>
      <c r="S35" s="9">
        <v>4.012518439062851</v>
      </c>
      <c r="T35" s="10">
        <v>4.2860073435810664</v>
      </c>
      <c r="U35" s="10">
        <f>[3]Male!$OF$209</f>
        <v>3.8750283815151443</v>
      </c>
      <c r="V35" s="10">
        <v>4.6174523819050739</v>
      </c>
      <c r="W35" s="32" t="s">
        <v>42</v>
      </c>
      <c r="X35" s="58"/>
      <c r="Y35" s="62"/>
      <c r="Z35" s="3"/>
      <c r="AA35" s="76"/>
      <c r="AB35" s="3"/>
      <c r="AC35" s="62"/>
      <c r="AD35" s="62"/>
      <c r="AE35" s="62"/>
      <c r="AF35" s="62"/>
      <c r="AG35" s="62"/>
      <c r="AH35" s="62"/>
      <c r="AI35" s="60"/>
      <c r="AL35" s="31"/>
      <c r="AM35" s="31"/>
      <c r="AN35" s="31"/>
      <c r="AO35" s="61"/>
      <c r="AP35" s="31"/>
    </row>
    <row r="36" spans="1:42" s="29" customFormat="1" ht="25.5" x14ac:dyDescent="0.2">
      <c r="A36" s="6" t="s">
        <v>25</v>
      </c>
      <c r="B36" s="41">
        <v>7.3787368723932971</v>
      </c>
      <c r="C36" s="7">
        <v>62.787235480784801</v>
      </c>
      <c r="D36" s="7">
        <v>65.996050857083574</v>
      </c>
      <c r="E36" s="8">
        <v>68.380911967950468</v>
      </c>
      <c r="F36" s="9">
        <v>75.858602553560274</v>
      </c>
      <c r="G36" s="9">
        <v>80.397772506783596</v>
      </c>
      <c r="H36" s="9">
        <v>83.774232067142066</v>
      </c>
      <c r="I36" s="9">
        <v>98.524372725422779</v>
      </c>
      <c r="J36" s="9">
        <v>96.547282672985318</v>
      </c>
      <c r="K36" s="9">
        <v>93.814065718362556</v>
      </c>
      <c r="L36" s="8">
        <v>94.620620411023353</v>
      </c>
      <c r="M36" s="8">
        <f>[3]Male!$OC$240</f>
        <v>96.196125798305104</v>
      </c>
      <c r="N36" s="95">
        <v>97.823903613179155</v>
      </c>
      <c r="O36" s="10">
        <v>5.9837247199728161</v>
      </c>
      <c r="P36" s="10">
        <v>4.1996929206882916</v>
      </c>
      <c r="Q36" s="10">
        <v>17.60701386848762</v>
      </c>
      <c r="R36" s="10">
        <v>-2.0067014868974664</v>
      </c>
      <c r="S36" s="9">
        <v>-2.8309620726255202</v>
      </c>
      <c r="T36" s="10">
        <v>0.85973748870680211</v>
      </c>
      <c r="U36" s="10">
        <f>[3]Male!$OF$240</f>
        <v>1.6650761540538461</v>
      </c>
      <c r="V36" s="10">
        <v>1.6921448773176362</v>
      </c>
      <c r="W36" s="1" t="s">
        <v>28</v>
      </c>
      <c r="X36" s="58"/>
      <c r="Y36" s="62"/>
      <c r="Z36" s="3"/>
      <c r="AA36" s="76"/>
      <c r="AB36" s="3"/>
      <c r="AC36" s="62"/>
      <c r="AD36" s="62"/>
      <c r="AE36" s="62"/>
      <c r="AF36" s="62"/>
      <c r="AG36" s="62"/>
      <c r="AH36" s="62"/>
      <c r="AI36" s="60"/>
      <c r="AL36" s="31"/>
      <c r="AM36" s="31"/>
      <c r="AN36" s="31"/>
      <c r="AO36" s="61"/>
      <c r="AP36" s="31"/>
    </row>
    <row r="37" spans="1:42" s="29" customFormat="1" ht="15" x14ac:dyDescent="0.2">
      <c r="A37" s="13" t="s">
        <v>11</v>
      </c>
      <c r="B37" s="41">
        <v>3.3443838651865483</v>
      </c>
      <c r="C37" s="7">
        <v>87.683380878679159</v>
      </c>
      <c r="D37" s="7">
        <v>95.725018168451655</v>
      </c>
      <c r="E37" s="8">
        <v>115.02993652927483</v>
      </c>
      <c r="F37" s="9">
        <v>117.62003560285746</v>
      </c>
      <c r="G37" s="9">
        <v>123.09882000085349</v>
      </c>
      <c r="H37" s="9">
        <v>136.10400273752558</v>
      </c>
      <c r="I37" s="9">
        <v>102.76543099265899</v>
      </c>
      <c r="J37" s="9">
        <v>110.56654167287611</v>
      </c>
      <c r="K37" s="9">
        <v>124.65316422633758</v>
      </c>
      <c r="L37" s="8">
        <v>127.35658087728201</v>
      </c>
      <c r="M37" s="8">
        <f>[3]Male!$OC$292</f>
        <v>128.61309538574685</v>
      </c>
      <c r="N37" s="95">
        <v>128.95886976125692</v>
      </c>
      <c r="O37" s="10">
        <v>4.6580366770973214</v>
      </c>
      <c r="P37" s="10">
        <v>10.564831357913839</v>
      </c>
      <c r="Q37" s="10">
        <v>-24.49492378939031</v>
      </c>
      <c r="R37" s="10">
        <v>7.591181786387291</v>
      </c>
      <c r="S37" s="9">
        <v>12.740402603111489</v>
      </c>
      <c r="T37" s="10">
        <v>2.1687509239923797</v>
      </c>
      <c r="U37" s="10">
        <f>[3]Male!$OF$292</f>
        <v>0.98661137085298556</v>
      </c>
      <c r="V37" s="10">
        <v>0.2688484982598327</v>
      </c>
      <c r="W37" s="1" t="s">
        <v>12</v>
      </c>
      <c r="X37" s="58"/>
      <c r="Y37" s="62"/>
      <c r="Z37" s="3"/>
      <c r="AA37" s="76"/>
      <c r="AB37" s="3"/>
      <c r="AC37" s="62"/>
      <c r="AD37" s="62"/>
      <c r="AE37" s="62"/>
      <c r="AF37" s="62"/>
      <c r="AG37" s="62"/>
      <c r="AH37" s="62"/>
      <c r="AI37" s="60"/>
      <c r="AL37" s="31"/>
      <c r="AM37" s="31"/>
      <c r="AN37" s="31"/>
      <c r="AO37" s="61"/>
      <c r="AP37" s="31"/>
    </row>
    <row r="38" spans="1:42" s="29" customFormat="1" ht="15" x14ac:dyDescent="0.2">
      <c r="A38" s="13" t="s">
        <v>13</v>
      </c>
      <c r="B38" s="41">
        <v>5.0247567425570834</v>
      </c>
      <c r="C38" s="7">
        <v>60.859975065826738</v>
      </c>
      <c r="D38" s="7">
        <v>63.749393784738366</v>
      </c>
      <c r="E38" s="8">
        <v>77.220453300900303</v>
      </c>
      <c r="F38" s="9">
        <v>77.979582923899997</v>
      </c>
      <c r="G38" s="9">
        <v>80.571924425587255</v>
      </c>
      <c r="H38" s="9">
        <v>91.644770975471246</v>
      </c>
      <c r="I38" s="9">
        <v>99.919914617161496</v>
      </c>
      <c r="J38" s="9">
        <v>102.42725062633708</v>
      </c>
      <c r="K38" s="9">
        <v>107.6673987994979</v>
      </c>
      <c r="L38" s="8">
        <v>107.33736946618552</v>
      </c>
      <c r="M38" s="8">
        <f>[3]Male!$OC$322</f>
        <v>107.44337348085035</v>
      </c>
      <c r="N38" s="95">
        <v>105.43253318252432</v>
      </c>
      <c r="O38" s="10">
        <v>3.3243849280613746</v>
      </c>
      <c r="P38" s="10">
        <v>13.742810077858314</v>
      </c>
      <c r="Q38" s="10">
        <v>9.0295862531045046</v>
      </c>
      <c r="R38" s="10">
        <v>2.5093456282286875</v>
      </c>
      <c r="S38" s="9">
        <v>5.1159707412994138</v>
      </c>
      <c r="T38" s="10">
        <v>-0.30652670817001848</v>
      </c>
      <c r="U38" s="10">
        <f>[3]Male!$OF$322</f>
        <v>9.8757790685599645E-2</v>
      </c>
      <c r="V38" s="10">
        <v>-1.8715349613295795</v>
      </c>
      <c r="W38" s="1" t="s">
        <v>14</v>
      </c>
      <c r="X38" s="58"/>
      <c r="Y38" s="62"/>
      <c r="Z38" s="3"/>
      <c r="AA38" s="76"/>
      <c r="AB38" s="3"/>
      <c r="AC38" s="62"/>
      <c r="AD38" s="62"/>
      <c r="AE38" s="62"/>
      <c r="AF38" s="62"/>
      <c r="AG38" s="62"/>
      <c r="AH38" s="62"/>
      <c r="AI38" s="60"/>
      <c r="AL38" s="31"/>
      <c r="AM38" s="31"/>
      <c r="AN38" s="31"/>
      <c r="AO38" s="61"/>
      <c r="AP38" s="31"/>
    </row>
    <row r="39" spans="1:42" s="29" customFormat="1" ht="15" x14ac:dyDescent="0.2">
      <c r="A39" s="13" t="s">
        <v>15</v>
      </c>
      <c r="B39" s="41">
        <v>4.9499335195000258</v>
      </c>
      <c r="C39" s="7">
        <v>115.34450273124089</v>
      </c>
      <c r="D39" s="7">
        <v>104.72754551977413</v>
      </c>
      <c r="E39" s="8">
        <v>100.9097966458598</v>
      </c>
      <c r="F39" s="9">
        <v>100.15439105359373</v>
      </c>
      <c r="G39" s="9">
        <v>100.38298344923554</v>
      </c>
      <c r="H39" s="9">
        <v>100.6195512642537</v>
      </c>
      <c r="I39" s="9">
        <v>99.902385256204028</v>
      </c>
      <c r="J39" s="9">
        <v>98.048576495455336</v>
      </c>
      <c r="K39" s="9">
        <v>97.118601810845405</v>
      </c>
      <c r="L39" s="8">
        <v>96.214029396765625</v>
      </c>
      <c r="M39" s="8">
        <f>[3]Male!$OC$348</f>
        <v>95.751607847297137</v>
      </c>
      <c r="N39" s="95">
        <v>95.746365973594948</v>
      </c>
      <c r="O39" s="10">
        <v>0.22824001348027423</v>
      </c>
      <c r="P39" s="10">
        <v>0.23566525609173272</v>
      </c>
      <c r="Q39" s="10">
        <v>-0.71275015545061438</v>
      </c>
      <c r="R39" s="10">
        <v>-1.8556201195742417</v>
      </c>
      <c r="S39" s="9">
        <v>-0.94848361684581883</v>
      </c>
      <c r="T39" s="10">
        <v>-0.93141004628709556</v>
      </c>
      <c r="U39" s="10">
        <f>[3]Male!$OF$348</f>
        <v>-0.48061759014536021</v>
      </c>
      <c r="V39" s="10">
        <v>-5.474449797804315E-3</v>
      </c>
      <c r="W39" s="1" t="s">
        <v>16</v>
      </c>
      <c r="X39" s="58"/>
      <c r="Y39" s="62"/>
      <c r="Z39" s="3"/>
      <c r="AA39" s="76"/>
      <c r="AB39" s="3"/>
      <c r="AC39" s="62"/>
      <c r="AD39" s="62"/>
      <c r="AE39" s="62"/>
      <c r="AF39" s="62"/>
      <c r="AG39" s="62"/>
      <c r="AH39" s="62"/>
      <c r="AI39" s="60"/>
      <c r="AL39" s="31"/>
      <c r="AM39" s="31"/>
      <c r="AN39" s="31"/>
      <c r="AO39" s="61"/>
      <c r="AP39" s="31"/>
    </row>
    <row r="40" spans="1:42" s="29" customFormat="1" ht="15" x14ac:dyDescent="0.2">
      <c r="A40" s="14" t="s">
        <v>17</v>
      </c>
      <c r="B40" s="41">
        <v>3.8759977554993457</v>
      </c>
      <c r="C40" s="7">
        <v>94.874945972791352</v>
      </c>
      <c r="D40" s="7">
        <v>96.624178349214034</v>
      </c>
      <c r="E40" s="8">
        <v>90.077187080296483</v>
      </c>
      <c r="F40" s="9">
        <v>94.587232125872092</v>
      </c>
      <c r="G40" s="9">
        <v>100.01905005623114</v>
      </c>
      <c r="H40" s="9">
        <v>97.89290317146407</v>
      </c>
      <c r="I40" s="9">
        <v>99.123228888029075</v>
      </c>
      <c r="J40" s="9">
        <v>99.19328729416749</v>
      </c>
      <c r="K40" s="9">
        <v>101.98521882257955</v>
      </c>
      <c r="L40" s="8">
        <v>101.05736071574518</v>
      </c>
      <c r="M40" s="8">
        <f>[3]Male!$OC$360</f>
        <v>100.46158690929978</v>
      </c>
      <c r="N40" s="95">
        <v>102.05528211482302</v>
      </c>
      <c r="O40" s="10">
        <v>5.7426544875852192</v>
      </c>
      <c r="P40" s="10">
        <v>-2.1257419297341262</v>
      </c>
      <c r="Q40" s="10">
        <v>1.256807875449395</v>
      </c>
      <c r="R40" s="10">
        <v>7.0678091224762873E-2</v>
      </c>
      <c r="S40" s="9">
        <v>2.8146375672905233</v>
      </c>
      <c r="T40" s="10">
        <v>-0.90979665244288466</v>
      </c>
      <c r="U40" s="10">
        <f>[3]Male!$OF$360</f>
        <v>-0.58954023954889134</v>
      </c>
      <c r="V40" s="10">
        <v>1.5863727167301001</v>
      </c>
      <c r="W40" s="15" t="s">
        <v>18</v>
      </c>
      <c r="X40" s="58"/>
      <c r="Y40" s="62"/>
      <c r="Z40" s="3"/>
      <c r="AA40" s="76"/>
      <c r="AB40" s="3"/>
      <c r="AC40" s="62"/>
      <c r="AD40" s="62"/>
      <c r="AE40" s="62"/>
      <c r="AF40" s="62"/>
      <c r="AG40" s="62"/>
      <c r="AH40" s="62"/>
      <c r="AI40" s="60"/>
      <c r="AL40" s="31"/>
      <c r="AM40" s="31"/>
      <c r="AN40" s="31"/>
      <c r="AO40" s="61"/>
      <c r="AP40" s="31"/>
    </row>
    <row r="41" spans="1:42" s="29" customFormat="1" ht="15" x14ac:dyDescent="0.2">
      <c r="A41" s="12" t="s">
        <v>4</v>
      </c>
      <c r="B41" s="41">
        <v>3.1475471737470042</v>
      </c>
      <c r="C41" s="7">
        <v>47.049388033467601</v>
      </c>
      <c r="D41" s="7">
        <v>48.13102192510862</v>
      </c>
      <c r="E41" s="8">
        <v>49.012472981378899</v>
      </c>
      <c r="F41" s="9">
        <v>66.212440093936394</v>
      </c>
      <c r="G41" s="9">
        <v>72.465176121953334</v>
      </c>
      <c r="H41" s="9">
        <v>85.752154766717368</v>
      </c>
      <c r="I41" s="9">
        <v>99.974205552764317</v>
      </c>
      <c r="J41" s="9">
        <v>102.13692109662372</v>
      </c>
      <c r="K41" s="9">
        <v>111.56417616429451</v>
      </c>
      <c r="L41" s="8">
        <v>117.33257668396261</v>
      </c>
      <c r="M41" s="8">
        <f>[3]Male!$OC$405</f>
        <v>125.51210025739101</v>
      </c>
      <c r="N41" s="95">
        <v>127.79701695768269</v>
      </c>
      <c r="O41" s="10">
        <v>9.4434460037209114</v>
      </c>
      <c r="P41" s="10">
        <v>18.335674258768186</v>
      </c>
      <c r="Q41" s="10">
        <v>16.585065208841733</v>
      </c>
      <c r="R41" s="10">
        <v>2.1632735483133825</v>
      </c>
      <c r="S41" s="9">
        <v>9.2300168895363512</v>
      </c>
      <c r="T41" s="10">
        <v>5.1704774041205548</v>
      </c>
      <c r="U41" s="10">
        <f>[3]Male!$OF$405</f>
        <v>6.971229819200242</v>
      </c>
      <c r="V41" s="10">
        <v>1.8204752335479579</v>
      </c>
      <c r="W41" s="15" t="s">
        <v>5</v>
      </c>
      <c r="Y41" s="31"/>
      <c r="Z41" s="3"/>
      <c r="AA41" s="76"/>
      <c r="AB41" s="3"/>
      <c r="AC41" s="31"/>
      <c r="AD41" s="31"/>
      <c r="AE41" s="31"/>
      <c r="AF41" s="31"/>
      <c r="AG41" s="31"/>
      <c r="AH41" s="31"/>
      <c r="AI41" s="60"/>
      <c r="AL41" s="31"/>
      <c r="AM41" s="31"/>
      <c r="AN41" s="31"/>
      <c r="AO41" s="61"/>
      <c r="AP41" s="31"/>
    </row>
    <row r="42" spans="1:42" s="29" customFormat="1" ht="15" x14ac:dyDescent="0.2">
      <c r="A42" s="12" t="s">
        <v>19</v>
      </c>
      <c r="B42" s="41">
        <v>4.0917964761770804</v>
      </c>
      <c r="C42" s="7">
        <v>49.094342913656533</v>
      </c>
      <c r="D42" s="7">
        <v>57.310377045571919</v>
      </c>
      <c r="E42" s="8">
        <v>66.268774405103429</v>
      </c>
      <c r="F42" s="9">
        <v>67.972496509520113</v>
      </c>
      <c r="G42" s="9">
        <v>70.167294544238487</v>
      </c>
      <c r="H42" s="9">
        <v>81.124231104476152</v>
      </c>
      <c r="I42" s="9">
        <v>103.92316833381101</v>
      </c>
      <c r="J42" s="9">
        <v>117.33190209291605</v>
      </c>
      <c r="K42" s="9">
        <v>125.48306357044619</v>
      </c>
      <c r="L42" s="8">
        <v>125.82497057055754</v>
      </c>
      <c r="M42" s="8">
        <f>[3]Male!$OC$421</f>
        <v>127.6536356791524</v>
      </c>
      <c r="N42" s="95">
        <v>128.04598972223968</v>
      </c>
      <c r="O42" s="10">
        <v>3.2289501598796955</v>
      </c>
      <c r="P42" s="10">
        <v>15.615446813799583</v>
      </c>
      <c r="Q42" s="10">
        <v>28.103732903148448</v>
      </c>
      <c r="R42" s="10">
        <v>12.902545191881497</v>
      </c>
      <c r="S42" s="9">
        <v>6.9470973640870293</v>
      </c>
      <c r="T42" s="10">
        <v>0.27247262728757882</v>
      </c>
      <c r="U42" s="10">
        <f>[3]Male!$OF$421</f>
        <v>1.4533403825192304</v>
      </c>
      <c r="V42" s="10">
        <v>0.30735829888419719</v>
      </c>
      <c r="W42" s="15" t="s">
        <v>20</v>
      </c>
      <c r="Y42" s="31"/>
      <c r="Z42" s="3"/>
      <c r="AA42" s="76"/>
      <c r="AB42" s="63"/>
      <c r="AC42" s="31"/>
      <c r="AD42" s="31"/>
      <c r="AE42" s="31"/>
      <c r="AF42" s="31"/>
      <c r="AG42" s="31"/>
      <c r="AH42" s="31"/>
      <c r="AI42" s="60"/>
      <c r="AL42" s="31"/>
      <c r="AM42" s="31"/>
      <c r="AN42" s="31"/>
      <c r="AO42" s="61"/>
      <c r="AP42" s="31"/>
    </row>
    <row r="43" spans="1:42" s="29" customFormat="1" ht="15" x14ac:dyDescent="0.2">
      <c r="A43" s="14" t="s">
        <v>21</v>
      </c>
      <c r="B43" s="64">
        <v>6.5690813659915177</v>
      </c>
      <c r="C43" s="7">
        <v>66.045812015945941</v>
      </c>
      <c r="D43" s="7">
        <v>67.578746700557247</v>
      </c>
      <c r="E43" s="8">
        <v>71.846737489273423</v>
      </c>
      <c r="F43" s="9">
        <v>76.948539555294857</v>
      </c>
      <c r="G43" s="9">
        <v>80.738363693637908</v>
      </c>
      <c r="H43" s="9">
        <v>86.725904563278689</v>
      </c>
      <c r="I43" s="9">
        <v>100.69814215631898</v>
      </c>
      <c r="J43" s="9">
        <v>98.812991503112301</v>
      </c>
      <c r="K43" s="9">
        <v>98.609462577367751</v>
      </c>
      <c r="L43" s="8">
        <v>98.344584404467298</v>
      </c>
      <c r="M43" s="8">
        <f>[3]Male!$OC$438</f>
        <v>97.897045106929454</v>
      </c>
      <c r="N43" s="95">
        <v>97.659694697503355</v>
      </c>
      <c r="O43" s="10">
        <v>4.9251410881160362</v>
      </c>
      <c r="P43" s="10">
        <v>7.4159799576327012</v>
      </c>
      <c r="Q43" s="10">
        <v>16.110800646473034</v>
      </c>
      <c r="R43" s="10">
        <v>-1.8720808674704825</v>
      </c>
      <c r="S43" s="9">
        <v>-0.20597385287959291</v>
      </c>
      <c r="T43" s="10">
        <v>-0.26861334194234754</v>
      </c>
      <c r="U43" s="10">
        <f>[3]Male!$OF$438</f>
        <v>-0.45507264100809186</v>
      </c>
      <c r="V43" s="10">
        <v>-0.24244900258925117</v>
      </c>
      <c r="W43" s="45" t="s">
        <v>43</v>
      </c>
      <c r="X43" s="58"/>
      <c r="Y43" s="62"/>
      <c r="Z43" s="3"/>
      <c r="AA43" s="76"/>
      <c r="AB43" s="3"/>
      <c r="AC43" s="62"/>
      <c r="AD43" s="62"/>
      <c r="AE43" s="62"/>
      <c r="AF43" s="62"/>
      <c r="AG43" s="62"/>
      <c r="AH43" s="62"/>
      <c r="AI43" s="60"/>
      <c r="AO43" s="65"/>
    </row>
    <row r="44" spans="1:42" s="28" customFormat="1" ht="15" x14ac:dyDescent="0.2">
      <c r="A44" s="16" t="s">
        <v>40</v>
      </c>
      <c r="B44" s="66">
        <f>SUM(B36:B43,B32:B34,B29)</f>
        <v>100</v>
      </c>
      <c r="C44" s="17">
        <v>60.684187749186492</v>
      </c>
      <c r="D44" s="17">
        <v>64.807540880908348</v>
      </c>
      <c r="E44" s="18">
        <v>72.611313924073201</v>
      </c>
      <c r="F44" s="18">
        <v>75.900734670117231</v>
      </c>
      <c r="G44" s="18">
        <v>80.568542845421106</v>
      </c>
      <c r="H44" s="18">
        <v>89.651368722070842</v>
      </c>
      <c r="I44" s="18">
        <v>99.415139330518244</v>
      </c>
      <c r="J44" s="18">
        <v>103.38895723436703</v>
      </c>
      <c r="K44" s="18">
        <v>105.92043432963987</v>
      </c>
      <c r="L44" s="18">
        <v>107.37293678888472</v>
      </c>
      <c r="M44" s="18">
        <f>[3]Male!$OC$3</f>
        <v>108.23342334232696</v>
      </c>
      <c r="N44" s="96">
        <v>110.69246887707151</v>
      </c>
      <c r="O44" s="19">
        <v>6.1498853675017617</v>
      </c>
      <c r="P44" s="19">
        <v>11.273414605593723</v>
      </c>
      <c r="Q44" s="19">
        <v>10.890821576540755</v>
      </c>
      <c r="R44" s="19">
        <v>3.9971959307297356</v>
      </c>
      <c r="S44" s="18">
        <v>2.4484985272985815</v>
      </c>
      <c r="T44" s="19">
        <v>1.3713146744890103</v>
      </c>
      <c r="U44" s="19">
        <f>[3]Male!$OF$3</f>
        <v>0.80139984913900619</v>
      </c>
      <c r="V44" s="19">
        <v>2.2719835137866129</v>
      </c>
      <c r="W44" s="20" t="s">
        <v>6</v>
      </c>
      <c r="X44" s="67"/>
      <c r="Y44" s="68"/>
      <c r="Z44" s="79"/>
      <c r="AA44" s="81"/>
      <c r="AB44" s="79"/>
      <c r="AC44" s="68"/>
      <c r="AD44" s="68"/>
      <c r="AE44" s="68"/>
      <c r="AF44" s="68"/>
      <c r="AG44" s="68"/>
      <c r="AH44" s="68"/>
      <c r="AI44" s="60"/>
      <c r="AO44" s="69"/>
    </row>
    <row r="45" spans="1:42" s="71" customFormat="1" ht="15" x14ac:dyDescent="0.2">
      <c r="A45" s="22" t="s">
        <v>41</v>
      </c>
      <c r="B45" s="48">
        <f>B44-B31</f>
        <v>92.357077568962453</v>
      </c>
      <c r="C45" s="23">
        <v>64.052485645287277</v>
      </c>
      <c r="D45" s="23">
        <v>67.18924401230818</v>
      </c>
      <c r="E45" s="23">
        <v>75.385471686170362</v>
      </c>
      <c r="F45" s="23">
        <v>79.51493809042644</v>
      </c>
      <c r="G45" s="23">
        <v>84.338371332150743</v>
      </c>
      <c r="H45" s="23">
        <v>91.679051572020867</v>
      </c>
      <c r="I45" s="23">
        <v>100.09850402946053</v>
      </c>
      <c r="J45" s="23">
        <v>103.35093616567913</v>
      </c>
      <c r="K45" s="33">
        <v>105.86527287347694</v>
      </c>
      <c r="L45" s="23">
        <v>107.46319410975025</v>
      </c>
      <c r="M45" s="23">
        <f>[3]Male!$OC$484</f>
        <v>108.80768335920361</v>
      </c>
      <c r="N45" s="97">
        <v>111.50654373707793</v>
      </c>
      <c r="O45" s="23">
        <v>6.0660718068332953</v>
      </c>
      <c r="P45" s="23">
        <v>8.7038439608470028</v>
      </c>
      <c r="Q45" s="23">
        <v>9.1836164457106619</v>
      </c>
      <c r="R45" s="23">
        <v>3.2492315122525373</v>
      </c>
      <c r="S45" s="33">
        <v>2.4328146421113583</v>
      </c>
      <c r="T45" s="23">
        <v>1.5093913168136242</v>
      </c>
      <c r="U45" s="23">
        <f>[3]Male!$OF$484</f>
        <v>1.2511160314853997</v>
      </c>
      <c r="V45" s="23">
        <v>2.4803950369613581</v>
      </c>
      <c r="W45" s="24" t="s">
        <v>29</v>
      </c>
      <c r="X45" s="68"/>
      <c r="Y45" s="68"/>
      <c r="Z45" s="79"/>
      <c r="AA45" s="81"/>
      <c r="AB45" s="82"/>
      <c r="AC45" s="68"/>
      <c r="AD45" s="68"/>
      <c r="AE45" s="68"/>
      <c r="AF45" s="68"/>
      <c r="AG45" s="68"/>
      <c r="AH45" s="68"/>
      <c r="AI45" s="70"/>
      <c r="AO45" s="72"/>
    </row>
    <row r="46" spans="1:42" s="25" customFormat="1" ht="15" x14ac:dyDescent="0.2">
      <c r="A46" s="73" t="s">
        <v>47</v>
      </c>
      <c r="B46" s="46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34"/>
    </row>
    <row r="47" spans="1:42" ht="17.25" x14ac:dyDescent="0.2">
      <c r="A47" s="86" t="s">
        <v>48</v>
      </c>
      <c r="W47" s="85" t="s">
        <v>49</v>
      </c>
    </row>
    <row r="48" spans="1:42" x14ac:dyDescent="0.2">
      <c r="Y48" s="78"/>
      <c r="Z48" s="76"/>
      <c r="AA48" s="76"/>
    </row>
    <row r="49" spans="1:27" x14ac:dyDescent="0.2">
      <c r="Y49" s="78"/>
      <c r="Z49" s="76"/>
      <c r="AA49" s="76"/>
    </row>
    <row r="50" spans="1:27" x14ac:dyDescent="0.2">
      <c r="Y50" s="78"/>
      <c r="Z50" s="76"/>
      <c r="AA50" s="76"/>
    </row>
    <row r="51" spans="1:27" x14ac:dyDescent="0.2">
      <c r="Y51" s="78"/>
      <c r="Z51" s="76"/>
      <c r="AA51" s="76"/>
    </row>
    <row r="52" spans="1:27" x14ac:dyDescent="0.2">
      <c r="A52" s="3"/>
      <c r="Y52" s="78"/>
      <c r="Z52" s="76"/>
      <c r="AA52" s="76"/>
    </row>
    <row r="53" spans="1:27" x14ac:dyDescent="0.2"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8"/>
      <c r="Z53" s="76"/>
      <c r="AA53" s="76"/>
    </row>
    <row r="54" spans="1:27" x14ac:dyDescent="0.2">
      <c r="A54" s="3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8"/>
      <c r="Z54" s="76"/>
      <c r="AA54" s="76"/>
    </row>
    <row r="55" spans="1:27" x14ac:dyDescent="0.2"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8"/>
      <c r="Z55" s="76"/>
      <c r="AA55" s="76"/>
    </row>
    <row r="56" spans="1:27" ht="23.25" x14ac:dyDescent="0.35">
      <c r="A56" s="77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8"/>
      <c r="Z56" s="76"/>
      <c r="AA56" s="76"/>
    </row>
    <row r="57" spans="1:27" x14ac:dyDescent="0.2"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8"/>
      <c r="Z57" s="76"/>
      <c r="AA57" s="76"/>
    </row>
    <row r="58" spans="1:27" x14ac:dyDescent="0.2"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8"/>
      <c r="Z58" s="76"/>
      <c r="AA58" s="76"/>
    </row>
    <row r="59" spans="1:27" x14ac:dyDescent="0.2"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8"/>
      <c r="Z59" s="76"/>
    </row>
    <row r="60" spans="1:27" x14ac:dyDescent="0.2"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8"/>
      <c r="Z60" s="76"/>
    </row>
    <row r="61" spans="1:27" x14ac:dyDescent="0.2"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8"/>
    </row>
    <row r="62" spans="1:27" x14ac:dyDescent="0.2"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8"/>
    </row>
    <row r="63" spans="1:27" x14ac:dyDescent="0.2"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8"/>
    </row>
    <row r="64" spans="1:27" x14ac:dyDescent="0.2"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8"/>
    </row>
    <row r="65" spans="8:25" x14ac:dyDescent="0.2"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8"/>
    </row>
    <row r="66" spans="8:25" x14ac:dyDescent="0.2"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8"/>
    </row>
    <row r="67" spans="8:25" x14ac:dyDescent="0.2"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spans="8:25" x14ac:dyDescent="0.2"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spans="8:25" x14ac:dyDescent="0.2"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spans="8:25" x14ac:dyDescent="0.2"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spans="8:25" x14ac:dyDescent="0.2"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spans="8:25" x14ac:dyDescent="0.2"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spans="8:25" x14ac:dyDescent="0.2"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spans="8:25" x14ac:dyDescent="0.2"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spans="8:25" x14ac:dyDescent="0.2"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spans="8:25" x14ac:dyDescent="0.2"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spans="8:25" x14ac:dyDescent="0.2"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8:25" x14ac:dyDescent="0.2"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8:25" x14ac:dyDescent="0.2"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8:25" x14ac:dyDescent="0.2"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8:24" x14ac:dyDescent="0.2"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8:24" x14ac:dyDescent="0.2"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8:24" x14ac:dyDescent="0.2"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8:24" x14ac:dyDescent="0.2"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8:24" x14ac:dyDescent="0.2"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8:24" x14ac:dyDescent="0.2"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8:24" x14ac:dyDescent="0.2"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8:24" x14ac:dyDescent="0.2"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8:24" x14ac:dyDescent="0.2"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8:24" x14ac:dyDescent="0.2"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8:24" x14ac:dyDescent="0.2"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8:24" x14ac:dyDescent="0.2"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8:24" x14ac:dyDescent="0.2"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8:24" x14ac:dyDescent="0.2"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8:24" x14ac:dyDescent="0.2"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8:24" x14ac:dyDescent="0.2"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8:24" x14ac:dyDescent="0.2"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8:24" x14ac:dyDescent="0.2"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8:24" x14ac:dyDescent="0.2"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8:24" x14ac:dyDescent="0.2"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8:24" x14ac:dyDescent="0.2"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8:24" x14ac:dyDescent="0.2"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8:24" x14ac:dyDescent="0.2"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8:24" x14ac:dyDescent="0.2"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8:24" x14ac:dyDescent="0.2"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8:24" x14ac:dyDescent="0.2"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8:24" x14ac:dyDescent="0.2"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8:24" x14ac:dyDescent="0.2"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8:24" x14ac:dyDescent="0.2"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8:24" x14ac:dyDescent="0.2"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8:24" x14ac:dyDescent="0.2"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8:24" x14ac:dyDescent="0.2"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8:24" x14ac:dyDescent="0.2"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8:24" x14ac:dyDescent="0.2"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8:24" x14ac:dyDescent="0.2">
      <c r="H115" s="76"/>
      <c r="I115" s="76"/>
      <c r="J115" s="76"/>
      <c r="K115" s="76"/>
      <c r="L115" s="76"/>
      <c r="M115" s="76"/>
      <c r="N115" s="76"/>
    </row>
    <row r="116" spans="8:24" x14ac:dyDescent="0.2">
      <c r="H116" s="76"/>
      <c r="I116" s="76"/>
      <c r="J116" s="76"/>
      <c r="K116" s="76"/>
      <c r="L116" s="76"/>
      <c r="M116" s="76"/>
      <c r="N116" s="76"/>
    </row>
    <row r="117" spans="8:24" x14ac:dyDescent="0.2">
      <c r="H117" s="76"/>
      <c r="I117" s="76"/>
      <c r="J117" s="76"/>
      <c r="K117" s="76"/>
      <c r="L117" s="76"/>
      <c r="M117" s="76"/>
      <c r="N117" s="76"/>
    </row>
    <row r="118" spans="8:24" x14ac:dyDescent="0.2">
      <c r="H118" s="76"/>
      <c r="I118" s="76"/>
      <c r="J118" s="76"/>
      <c r="K118" s="76"/>
      <c r="L118" s="76"/>
      <c r="M118" s="76"/>
      <c r="N118" s="76"/>
    </row>
    <row r="119" spans="8:24" x14ac:dyDescent="0.2">
      <c r="H119" s="76"/>
      <c r="I119" s="76"/>
      <c r="J119" s="76"/>
      <c r="K119" s="76"/>
      <c r="L119" s="76"/>
      <c r="M119" s="76"/>
      <c r="N119" s="76"/>
    </row>
    <row r="120" spans="8:24" x14ac:dyDescent="0.2">
      <c r="H120" s="76"/>
      <c r="I120" s="76"/>
      <c r="J120" s="76"/>
      <c r="K120" s="76"/>
      <c r="L120" s="76"/>
      <c r="M120" s="76"/>
      <c r="N120" s="76"/>
    </row>
    <row r="121" spans="8:24" x14ac:dyDescent="0.2">
      <c r="H121" s="76"/>
      <c r="I121" s="76"/>
      <c r="J121" s="76"/>
      <c r="K121" s="76"/>
      <c r="L121" s="76"/>
      <c r="M121" s="76"/>
      <c r="N121" s="76"/>
    </row>
    <row r="122" spans="8:24" x14ac:dyDescent="0.2">
      <c r="H122" s="76"/>
      <c r="I122" s="76"/>
      <c r="J122" s="76"/>
      <c r="K122" s="76"/>
      <c r="L122" s="76"/>
      <c r="M122" s="76"/>
      <c r="N122" s="76"/>
    </row>
    <row r="123" spans="8:24" x14ac:dyDescent="0.2">
      <c r="H123" s="76"/>
      <c r="I123" s="76"/>
      <c r="J123" s="76"/>
      <c r="K123" s="76"/>
      <c r="L123" s="76"/>
      <c r="M123" s="76"/>
      <c r="N123" s="76"/>
    </row>
    <row r="124" spans="8:24" x14ac:dyDescent="0.2">
      <c r="H124" s="76"/>
      <c r="I124" s="76"/>
      <c r="J124" s="76"/>
      <c r="K124" s="76"/>
      <c r="L124" s="76"/>
      <c r="M124" s="76"/>
      <c r="N124" s="76"/>
    </row>
    <row r="125" spans="8:24" x14ac:dyDescent="0.2">
      <c r="H125" s="76"/>
      <c r="I125" s="76"/>
      <c r="J125" s="76"/>
      <c r="K125" s="76"/>
      <c r="L125" s="76"/>
      <c r="M125" s="76"/>
      <c r="N125" s="76"/>
    </row>
    <row r="126" spans="8:24" x14ac:dyDescent="0.2">
      <c r="H126" s="76"/>
      <c r="I126" s="76"/>
      <c r="J126" s="76"/>
      <c r="K126" s="76"/>
      <c r="L126" s="76"/>
      <c r="M126" s="76"/>
      <c r="N126" s="76"/>
    </row>
    <row r="127" spans="8:24" x14ac:dyDescent="0.2">
      <c r="H127" s="76"/>
      <c r="I127" s="76"/>
      <c r="J127" s="76"/>
      <c r="K127" s="76"/>
      <c r="L127" s="76"/>
      <c r="M127" s="76"/>
      <c r="N127" s="76"/>
    </row>
    <row r="128" spans="8:24" x14ac:dyDescent="0.2">
      <c r="H128" s="76"/>
      <c r="I128" s="76"/>
      <c r="J128" s="76"/>
      <c r="K128" s="76"/>
      <c r="L128" s="76"/>
      <c r="M128" s="76"/>
      <c r="N128" s="76"/>
    </row>
    <row r="129" spans="8:14" x14ac:dyDescent="0.2">
      <c r="H129" s="76"/>
      <c r="I129" s="76"/>
      <c r="J129" s="76"/>
      <c r="K129" s="76"/>
      <c r="L129" s="76"/>
      <c r="M129" s="76"/>
      <c r="N129" s="76"/>
    </row>
    <row r="130" spans="8:14" x14ac:dyDescent="0.2">
      <c r="H130" s="76"/>
      <c r="I130" s="76"/>
      <c r="J130" s="76"/>
      <c r="K130" s="76"/>
      <c r="L130" s="76"/>
      <c r="M130" s="76"/>
      <c r="N130" s="76"/>
    </row>
    <row r="131" spans="8:14" x14ac:dyDescent="0.2">
      <c r="H131" s="76"/>
      <c r="I131" s="76"/>
      <c r="J131" s="76"/>
      <c r="K131" s="76"/>
      <c r="L131" s="76"/>
      <c r="M131" s="76"/>
      <c r="N131" s="76"/>
    </row>
    <row r="132" spans="8:14" x14ac:dyDescent="0.2">
      <c r="H132" s="76"/>
      <c r="I132" s="76"/>
      <c r="J132" s="76"/>
      <c r="K132" s="76"/>
      <c r="L132" s="76"/>
      <c r="M132" s="76"/>
      <c r="N132" s="76"/>
    </row>
    <row r="133" spans="8:14" x14ac:dyDescent="0.2">
      <c r="H133" s="76"/>
      <c r="I133" s="76"/>
      <c r="J133" s="76"/>
      <c r="K133" s="76"/>
      <c r="L133" s="76"/>
      <c r="M133" s="76"/>
      <c r="N133" s="76"/>
    </row>
    <row r="134" spans="8:14" x14ac:dyDescent="0.2">
      <c r="H134" s="76"/>
      <c r="I134" s="76"/>
      <c r="J134" s="76"/>
      <c r="K134" s="76"/>
      <c r="L134" s="76"/>
      <c r="M134" s="76"/>
      <c r="N134" s="76"/>
    </row>
    <row r="135" spans="8:14" x14ac:dyDescent="0.2">
      <c r="H135" s="76"/>
      <c r="I135" s="76"/>
      <c r="J135" s="76"/>
      <c r="K135" s="76"/>
      <c r="L135" s="76"/>
      <c r="M135" s="76"/>
      <c r="N135" s="76"/>
    </row>
    <row r="136" spans="8:14" x14ac:dyDescent="0.2">
      <c r="H136" s="76"/>
      <c r="I136" s="76"/>
      <c r="J136" s="76"/>
      <c r="K136" s="76"/>
      <c r="L136" s="76"/>
      <c r="M136" s="76"/>
      <c r="N136" s="76"/>
    </row>
    <row r="137" spans="8:14" x14ac:dyDescent="0.2">
      <c r="H137" s="76"/>
      <c r="I137" s="76"/>
      <c r="J137" s="76"/>
      <c r="K137" s="76"/>
      <c r="L137" s="76"/>
      <c r="M137" s="76"/>
      <c r="N137" s="76"/>
    </row>
    <row r="138" spans="8:14" x14ac:dyDescent="0.2">
      <c r="H138" s="76"/>
      <c r="I138" s="76"/>
      <c r="J138" s="76"/>
      <c r="K138" s="76"/>
      <c r="L138" s="76"/>
      <c r="M138" s="76"/>
      <c r="N138" s="76"/>
    </row>
    <row r="139" spans="8:14" x14ac:dyDescent="0.2">
      <c r="H139" s="76"/>
      <c r="I139" s="76"/>
      <c r="J139" s="76"/>
      <c r="K139" s="76"/>
      <c r="L139" s="76"/>
      <c r="M139" s="76"/>
      <c r="N139" s="76"/>
    </row>
    <row r="140" spans="8:14" x14ac:dyDescent="0.2">
      <c r="H140" s="76"/>
      <c r="I140" s="76"/>
      <c r="J140" s="76"/>
      <c r="K140" s="76"/>
      <c r="L140" s="76"/>
      <c r="M140" s="76"/>
      <c r="N140" s="76"/>
    </row>
    <row r="141" spans="8:14" x14ac:dyDescent="0.2">
      <c r="H141" s="76"/>
      <c r="I141" s="76"/>
      <c r="J141" s="76"/>
      <c r="K141" s="76"/>
      <c r="L141" s="76"/>
      <c r="M141" s="76"/>
      <c r="N141" s="76"/>
    </row>
    <row r="142" spans="8:14" x14ac:dyDescent="0.2">
      <c r="H142" s="76"/>
      <c r="I142" s="76"/>
      <c r="J142" s="76"/>
      <c r="K142" s="76"/>
      <c r="L142" s="76"/>
      <c r="M142" s="76"/>
      <c r="N142" s="76"/>
    </row>
    <row r="143" spans="8:14" x14ac:dyDescent="0.2">
      <c r="H143" s="76"/>
      <c r="I143" s="76"/>
      <c r="J143" s="76"/>
      <c r="K143" s="76"/>
      <c r="L143" s="76"/>
      <c r="M143" s="76"/>
      <c r="N143" s="76"/>
    </row>
    <row r="144" spans="8:14" x14ac:dyDescent="0.2">
      <c r="H144" s="76"/>
      <c r="I144" s="76"/>
      <c r="J144" s="76"/>
      <c r="K144" s="76"/>
      <c r="L144" s="76"/>
      <c r="M144" s="76"/>
      <c r="N144" s="76"/>
    </row>
    <row r="145" spans="8:14" x14ac:dyDescent="0.2">
      <c r="H145" s="76"/>
      <c r="I145" s="76"/>
      <c r="J145" s="76"/>
      <c r="K145" s="76"/>
      <c r="L145" s="76"/>
      <c r="M145" s="76"/>
      <c r="N145" s="76"/>
    </row>
    <row r="146" spans="8:14" x14ac:dyDescent="0.2">
      <c r="H146" s="76"/>
      <c r="I146" s="76"/>
      <c r="J146" s="76"/>
      <c r="K146" s="76"/>
      <c r="L146" s="76"/>
      <c r="M146" s="76"/>
      <c r="N146" s="76"/>
    </row>
    <row r="147" spans="8:14" x14ac:dyDescent="0.2">
      <c r="H147" s="76"/>
      <c r="I147" s="76"/>
      <c r="J147" s="76"/>
      <c r="K147" s="76"/>
      <c r="L147" s="76"/>
      <c r="M147" s="76"/>
      <c r="N147" s="76"/>
    </row>
    <row r="148" spans="8:14" x14ac:dyDescent="0.2">
      <c r="H148" s="76"/>
      <c r="I148" s="76"/>
      <c r="J148" s="76"/>
      <c r="K148" s="76"/>
      <c r="L148" s="76"/>
      <c r="M148" s="76"/>
      <c r="N148" s="76"/>
    </row>
    <row r="149" spans="8:14" x14ac:dyDescent="0.2">
      <c r="H149" s="76"/>
      <c r="I149" s="76"/>
      <c r="J149" s="76"/>
      <c r="K149" s="76"/>
      <c r="L149" s="76"/>
      <c r="M149" s="76"/>
      <c r="N149" s="76"/>
    </row>
    <row r="150" spans="8:14" x14ac:dyDescent="0.2">
      <c r="H150" s="76"/>
      <c r="I150" s="76"/>
      <c r="J150" s="76"/>
      <c r="K150" s="76"/>
      <c r="L150" s="76"/>
      <c r="M150" s="76"/>
      <c r="N150" s="76"/>
    </row>
    <row r="151" spans="8:14" x14ac:dyDescent="0.2">
      <c r="H151" s="76"/>
      <c r="I151" s="76"/>
      <c r="J151" s="76"/>
      <c r="K151" s="76"/>
      <c r="L151" s="76"/>
      <c r="M151" s="76"/>
      <c r="N151" s="76"/>
    </row>
    <row r="152" spans="8:14" x14ac:dyDescent="0.2">
      <c r="H152" s="76"/>
      <c r="I152" s="76"/>
      <c r="J152" s="76"/>
      <c r="K152" s="76"/>
      <c r="L152" s="76"/>
      <c r="M152" s="76"/>
      <c r="N152" s="76"/>
    </row>
    <row r="153" spans="8:14" x14ac:dyDescent="0.2">
      <c r="H153" s="76"/>
      <c r="I153" s="76"/>
      <c r="J153" s="76"/>
      <c r="K153" s="76"/>
      <c r="L153" s="76"/>
      <c r="M153" s="76"/>
      <c r="N153" s="76"/>
    </row>
    <row r="154" spans="8:14" x14ac:dyDescent="0.2">
      <c r="H154" s="76"/>
      <c r="I154" s="76"/>
      <c r="J154" s="76"/>
      <c r="K154" s="76"/>
      <c r="L154" s="76"/>
      <c r="M154" s="76"/>
      <c r="N154" s="76"/>
    </row>
    <row r="155" spans="8:14" x14ac:dyDescent="0.2">
      <c r="H155" s="76"/>
      <c r="I155" s="76"/>
      <c r="J155" s="76"/>
      <c r="K155" s="76"/>
      <c r="L155" s="76"/>
      <c r="M155" s="76"/>
      <c r="N155" s="76"/>
    </row>
    <row r="156" spans="8:14" x14ac:dyDescent="0.2">
      <c r="H156" s="76"/>
      <c r="I156" s="76"/>
      <c r="J156" s="76"/>
      <c r="K156" s="76"/>
      <c r="L156" s="76"/>
      <c r="M156" s="76"/>
      <c r="N156" s="76"/>
    </row>
    <row r="157" spans="8:14" x14ac:dyDescent="0.2">
      <c r="H157" s="76"/>
      <c r="I157" s="76"/>
      <c r="J157" s="76"/>
      <c r="K157" s="76"/>
      <c r="L157" s="76"/>
      <c r="M157" s="76"/>
      <c r="N157" s="76"/>
    </row>
    <row r="158" spans="8:14" x14ac:dyDescent="0.2">
      <c r="H158" s="76"/>
      <c r="I158" s="76"/>
      <c r="J158" s="76"/>
      <c r="K158" s="76"/>
      <c r="L158" s="76"/>
      <c r="M158" s="76"/>
      <c r="N158" s="76"/>
    </row>
    <row r="159" spans="8:14" x14ac:dyDescent="0.2">
      <c r="H159" s="76"/>
      <c r="I159" s="76"/>
      <c r="J159" s="76"/>
      <c r="K159" s="76"/>
      <c r="L159" s="76"/>
      <c r="M159" s="76"/>
      <c r="N159" s="76"/>
    </row>
    <row r="160" spans="8:14" x14ac:dyDescent="0.2">
      <c r="H160" s="76"/>
      <c r="I160" s="76"/>
      <c r="J160" s="76"/>
      <c r="K160" s="76"/>
      <c r="L160" s="76"/>
      <c r="M160" s="76"/>
      <c r="N160" s="76"/>
    </row>
    <row r="161" spans="8:14" x14ac:dyDescent="0.2">
      <c r="H161" s="76"/>
      <c r="I161" s="76"/>
      <c r="J161" s="76"/>
      <c r="K161" s="76"/>
      <c r="L161" s="76"/>
      <c r="M161" s="76"/>
      <c r="N161" s="76"/>
    </row>
    <row r="162" spans="8:14" x14ac:dyDescent="0.2">
      <c r="H162" s="76"/>
      <c r="I162" s="76"/>
      <c r="J162" s="76"/>
      <c r="K162" s="76"/>
      <c r="L162" s="76"/>
      <c r="M162" s="76"/>
      <c r="N162" s="76"/>
    </row>
    <row r="163" spans="8:14" x14ac:dyDescent="0.2">
      <c r="H163" s="76"/>
      <c r="I163" s="76"/>
      <c r="J163" s="76"/>
      <c r="K163" s="76"/>
      <c r="L163" s="76"/>
      <c r="M163" s="76"/>
      <c r="N163" s="76"/>
    </row>
    <row r="164" spans="8:14" x14ac:dyDescent="0.2">
      <c r="H164" s="76"/>
      <c r="I164" s="76"/>
      <c r="J164" s="76"/>
      <c r="K164" s="76"/>
      <c r="L164" s="76"/>
      <c r="M164" s="76"/>
      <c r="N164" s="76"/>
    </row>
    <row r="165" spans="8:14" x14ac:dyDescent="0.2">
      <c r="H165" s="76"/>
      <c r="I165" s="76"/>
      <c r="J165" s="76"/>
      <c r="K165" s="76"/>
      <c r="L165" s="76"/>
      <c r="M165" s="76"/>
      <c r="N165" s="76"/>
    </row>
    <row r="166" spans="8:14" x14ac:dyDescent="0.2">
      <c r="H166" s="76"/>
      <c r="I166" s="76"/>
      <c r="J166" s="76"/>
      <c r="K166" s="76"/>
      <c r="L166" s="76"/>
      <c r="M166" s="76"/>
      <c r="N166" s="76"/>
    </row>
    <row r="167" spans="8:14" x14ac:dyDescent="0.2">
      <c r="H167" s="76"/>
      <c r="I167" s="76"/>
      <c r="J167" s="76"/>
      <c r="K167" s="76"/>
      <c r="L167" s="76"/>
      <c r="M167" s="76"/>
      <c r="N167" s="76"/>
    </row>
    <row r="168" spans="8:14" x14ac:dyDescent="0.2">
      <c r="H168" s="76"/>
      <c r="I168" s="76"/>
      <c r="J168" s="76"/>
      <c r="K168" s="76"/>
      <c r="L168" s="76"/>
      <c r="M168" s="76"/>
      <c r="N168" s="76"/>
    </row>
    <row r="169" spans="8:14" x14ac:dyDescent="0.2">
      <c r="H169" s="76"/>
      <c r="I169" s="76"/>
      <c r="J169" s="76"/>
      <c r="K169" s="76"/>
      <c r="L169" s="76"/>
      <c r="M169" s="76"/>
      <c r="N169" s="76"/>
    </row>
    <row r="170" spans="8:14" x14ac:dyDescent="0.2">
      <c r="H170" s="76"/>
      <c r="I170" s="76"/>
      <c r="J170" s="76"/>
      <c r="K170" s="76"/>
      <c r="L170" s="76"/>
      <c r="M170" s="76"/>
      <c r="N170" s="76"/>
    </row>
    <row r="171" spans="8:14" x14ac:dyDescent="0.2">
      <c r="H171" s="76"/>
      <c r="I171" s="76"/>
      <c r="J171" s="76"/>
      <c r="K171" s="76"/>
      <c r="L171" s="76"/>
      <c r="M171" s="76"/>
      <c r="N171" s="76"/>
    </row>
    <row r="172" spans="8:14" x14ac:dyDescent="0.2">
      <c r="H172" s="76"/>
      <c r="I172" s="76"/>
      <c r="J172" s="76"/>
      <c r="K172" s="76"/>
      <c r="L172" s="76"/>
      <c r="M172" s="76"/>
      <c r="N172" s="76"/>
    </row>
    <row r="173" spans="8:14" x14ac:dyDescent="0.2">
      <c r="H173" s="76"/>
      <c r="I173" s="76"/>
      <c r="J173" s="76"/>
      <c r="K173" s="76"/>
      <c r="L173" s="76"/>
      <c r="M173" s="76"/>
      <c r="N173" s="76"/>
    </row>
    <row r="174" spans="8:14" x14ac:dyDescent="0.2">
      <c r="H174" s="76"/>
      <c r="I174" s="76"/>
      <c r="J174" s="76"/>
      <c r="K174" s="76"/>
      <c r="L174" s="76"/>
      <c r="M174" s="76"/>
      <c r="N174" s="76"/>
    </row>
    <row r="175" spans="8:14" x14ac:dyDescent="0.2">
      <c r="H175" s="76"/>
      <c r="I175" s="76"/>
      <c r="J175" s="76"/>
      <c r="K175" s="76"/>
      <c r="L175" s="76"/>
      <c r="M175" s="76"/>
      <c r="N175" s="76"/>
    </row>
    <row r="176" spans="8:14" x14ac:dyDescent="0.2">
      <c r="H176" s="76"/>
      <c r="I176" s="76"/>
      <c r="J176" s="76"/>
      <c r="K176" s="76"/>
      <c r="L176" s="76"/>
      <c r="M176" s="76"/>
      <c r="N176" s="76"/>
    </row>
    <row r="177" spans="8:14" x14ac:dyDescent="0.2">
      <c r="H177" s="76"/>
      <c r="I177" s="76"/>
      <c r="J177" s="76"/>
      <c r="K177" s="76"/>
      <c r="L177" s="76"/>
      <c r="M177" s="76"/>
      <c r="N177" s="76"/>
    </row>
    <row r="178" spans="8:14" x14ac:dyDescent="0.2">
      <c r="H178" s="76"/>
      <c r="I178" s="76"/>
      <c r="J178" s="76"/>
      <c r="K178" s="76"/>
      <c r="L178" s="76"/>
      <c r="M178" s="76"/>
      <c r="N178" s="76"/>
    </row>
    <row r="179" spans="8:14" x14ac:dyDescent="0.2">
      <c r="H179" s="76"/>
      <c r="I179" s="76"/>
      <c r="J179" s="76"/>
      <c r="K179" s="76"/>
      <c r="L179" s="76"/>
      <c r="M179" s="76"/>
      <c r="N179" s="76"/>
    </row>
    <row r="180" spans="8:14" x14ac:dyDescent="0.2">
      <c r="H180" s="76"/>
      <c r="I180" s="76"/>
      <c r="J180" s="76"/>
      <c r="K180" s="76"/>
      <c r="L180" s="76"/>
      <c r="M180" s="76"/>
      <c r="N180" s="76"/>
    </row>
    <row r="181" spans="8:14" x14ac:dyDescent="0.2">
      <c r="H181" s="76"/>
      <c r="I181" s="76"/>
      <c r="J181" s="76"/>
      <c r="K181" s="76"/>
      <c r="L181" s="76"/>
      <c r="M181" s="76"/>
      <c r="N181" s="76"/>
    </row>
    <row r="182" spans="8:14" x14ac:dyDescent="0.2">
      <c r="H182" s="76"/>
      <c r="I182" s="76"/>
      <c r="J182" s="76"/>
      <c r="K182" s="76"/>
      <c r="L182" s="76"/>
      <c r="M182" s="76"/>
      <c r="N182" s="76"/>
    </row>
    <row r="183" spans="8:14" x14ac:dyDescent="0.2">
      <c r="H183" s="76"/>
      <c r="I183" s="76"/>
      <c r="J183" s="76"/>
      <c r="K183" s="76"/>
      <c r="L183" s="76"/>
      <c r="M183" s="76"/>
      <c r="N183" s="76"/>
    </row>
    <row r="184" spans="8:14" x14ac:dyDescent="0.2">
      <c r="H184" s="76"/>
      <c r="I184" s="76"/>
      <c r="J184" s="76"/>
      <c r="K184" s="76"/>
      <c r="L184" s="76"/>
      <c r="M184" s="76"/>
      <c r="N184" s="76"/>
    </row>
    <row r="185" spans="8:14" x14ac:dyDescent="0.2">
      <c r="H185" s="76"/>
      <c r="I185" s="76"/>
      <c r="J185" s="76"/>
      <c r="K185" s="76"/>
      <c r="L185" s="76"/>
      <c r="M185" s="76"/>
      <c r="N185" s="76"/>
    </row>
    <row r="186" spans="8:14" x14ac:dyDescent="0.2">
      <c r="H186" s="76"/>
      <c r="I186" s="76"/>
      <c r="J186" s="76"/>
      <c r="K186" s="76"/>
      <c r="L186" s="76"/>
      <c r="M186" s="76"/>
      <c r="N186" s="76"/>
    </row>
    <row r="187" spans="8:14" x14ac:dyDescent="0.2">
      <c r="H187" s="76"/>
      <c r="I187" s="76"/>
      <c r="J187" s="76"/>
      <c r="K187" s="76"/>
      <c r="L187" s="76"/>
      <c r="M187" s="76"/>
      <c r="N187" s="76"/>
    </row>
    <row r="188" spans="8:14" x14ac:dyDescent="0.2">
      <c r="H188" s="76"/>
      <c r="I188" s="76"/>
      <c r="J188" s="76"/>
      <c r="K188" s="76"/>
      <c r="L188" s="76"/>
      <c r="M188" s="76"/>
      <c r="N188" s="76"/>
    </row>
    <row r="189" spans="8:14" x14ac:dyDescent="0.2">
      <c r="H189" s="76"/>
      <c r="I189" s="76"/>
      <c r="J189" s="76"/>
      <c r="K189" s="76"/>
      <c r="L189" s="76"/>
      <c r="M189" s="76"/>
      <c r="N189" s="76"/>
    </row>
    <row r="190" spans="8:14" x14ac:dyDescent="0.2">
      <c r="H190" s="76"/>
      <c r="I190" s="76"/>
      <c r="J190" s="76"/>
      <c r="K190" s="76"/>
      <c r="L190" s="76"/>
      <c r="M190" s="76"/>
      <c r="N190" s="76"/>
    </row>
    <row r="191" spans="8:14" x14ac:dyDescent="0.2">
      <c r="H191" s="76"/>
      <c r="I191" s="76"/>
      <c r="J191" s="76"/>
      <c r="K191" s="76"/>
      <c r="L191" s="76"/>
      <c r="M191" s="76"/>
      <c r="N191" s="76"/>
    </row>
    <row r="192" spans="8:14" x14ac:dyDescent="0.2">
      <c r="H192" s="76"/>
      <c r="I192" s="76"/>
      <c r="J192" s="76"/>
      <c r="K192" s="76"/>
      <c r="L192" s="76"/>
      <c r="M192" s="76"/>
      <c r="N192" s="76"/>
    </row>
    <row r="193" spans="8:14" x14ac:dyDescent="0.2">
      <c r="H193" s="76"/>
      <c r="I193" s="76"/>
      <c r="J193" s="76"/>
      <c r="K193" s="76"/>
      <c r="L193" s="76"/>
      <c r="M193" s="76"/>
      <c r="N193" s="76"/>
    </row>
    <row r="194" spans="8:14" x14ac:dyDescent="0.2">
      <c r="H194" s="76"/>
      <c r="I194" s="76"/>
      <c r="J194" s="76"/>
      <c r="K194" s="76"/>
      <c r="L194" s="76"/>
      <c r="M194" s="76"/>
      <c r="N194" s="76"/>
    </row>
    <row r="195" spans="8:14" x14ac:dyDescent="0.2">
      <c r="H195" s="76"/>
      <c r="I195" s="76"/>
      <c r="J195" s="76"/>
      <c r="K195" s="76"/>
      <c r="L195" s="76"/>
      <c r="M195" s="76"/>
      <c r="N195" s="76"/>
    </row>
    <row r="196" spans="8:14" x14ac:dyDescent="0.2">
      <c r="H196" s="76"/>
      <c r="I196" s="76"/>
      <c r="J196" s="76"/>
      <c r="K196" s="76"/>
      <c r="L196" s="76"/>
      <c r="M196" s="76"/>
      <c r="N196" s="76"/>
    </row>
    <row r="197" spans="8:14" x14ac:dyDescent="0.2">
      <c r="H197" s="76"/>
      <c r="I197" s="76"/>
      <c r="J197" s="76"/>
      <c r="K197" s="76"/>
      <c r="L197" s="76"/>
      <c r="M197" s="76"/>
      <c r="N197" s="76"/>
    </row>
    <row r="198" spans="8:14" x14ac:dyDescent="0.2">
      <c r="H198" s="76"/>
      <c r="I198" s="76"/>
      <c r="J198" s="76"/>
      <c r="K198" s="76"/>
      <c r="L198" s="76"/>
      <c r="M198" s="76"/>
      <c r="N198" s="76"/>
    </row>
    <row r="199" spans="8:14" x14ac:dyDescent="0.2">
      <c r="H199" s="76"/>
      <c r="I199" s="76"/>
      <c r="J199" s="76"/>
      <c r="K199" s="76"/>
      <c r="L199" s="76"/>
      <c r="M199" s="76"/>
      <c r="N199" s="76"/>
    </row>
    <row r="200" spans="8:14" x14ac:dyDescent="0.2">
      <c r="H200" s="76"/>
      <c r="I200" s="76"/>
      <c r="J200" s="76"/>
      <c r="K200" s="76"/>
      <c r="L200" s="76"/>
      <c r="M200" s="76"/>
      <c r="N200" s="76"/>
    </row>
    <row r="201" spans="8:14" x14ac:dyDescent="0.2">
      <c r="H201" s="76"/>
      <c r="I201" s="76"/>
      <c r="J201" s="76"/>
      <c r="K201" s="76"/>
      <c r="L201" s="76"/>
      <c r="M201" s="76"/>
      <c r="N201" s="76"/>
    </row>
    <row r="202" spans="8:14" x14ac:dyDescent="0.2">
      <c r="H202" s="76"/>
      <c r="I202" s="76"/>
      <c r="J202" s="76"/>
      <c r="K202" s="76"/>
      <c r="L202" s="76"/>
      <c r="M202" s="76"/>
      <c r="N202" s="76"/>
    </row>
    <row r="203" spans="8:14" x14ac:dyDescent="0.2">
      <c r="H203" s="76"/>
      <c r="I203" s="76"/>
      <c r="J203" s="76"/>
      <c r="K203" s="76"/>
      <c r="L203" s="76"/>
      <c r="M203" s="76"/>
      <c r="N203" s="76"/>
    </row>
    <row r="204" spans="8:14" x14ac:dyDescent="0.2">
      <c r="H204" s="76"/>
      <c r="I204" s="76"/>
      <c r="J204" s="76"/>
      <c r="K204" s="76"/>
      <c r="L204" s="76"/>
      <c r="M204" s="76"/>
      <c r="N204" s="76"/>
    </row>
    <row r="205" spans="8:14" x14ac:dyDescent="0.2">
      <c r="H205" s="76"/>
      <c r="I205" s="76"/>
      <c r="J205" s="76"/>
      <c r="K205" s="76"/>
      <c r="L205" s="76"/>
      <c r="M205" s="76"/>
      <c r="N205" s="76"/>
    </row>
    <row r="206" spans="8:14" x14ac:dyDescent="0.2">
      <c r="H206" s="76"/>
      <c r="I206" s="76"/>
      <c r="J206" s="76"/>
      <c r="K206" s="76"/>
      <c r="L206" s="76"/>
      <c r="M206" s="76"/>
      <c r="N206" s="76"/>
    </row>
    <row r="207" spans="8:14" x14ac:dyDescent="0.2">
      <c r="H207" s="76"/>
      <c r="I207" s="76"/>
      <c r="J207" s="76"/>
      <c r="K207" s="76"/>
      <c r="L207" s="76"/>
      <c r="M207" s="76"/>
      <c r="N207" s="76"/>
    </row>
  </sheetData>
  <mergeCells count="14">
    <mergeCell ref="B26:B27"/>
    <mergeCell ref="C26:L26"/>
    <mergeCell ref="C27:L27"/>
    <mergeCell ref="O26:V26"/>
    <mergeCell ref="O27:V27"/>
    <mergeCell ref="A2:W2"/>
    <mergeCell ref="A1:W1"/>
    <mergeCell ref="C5:I5"/>
    <mergeCell ref="B5:B6"/>
    <mergeCell ref="A4:W4"/>
    <mergeCell ref="A3:W3"/>
    <mergeCell ref="O6:V6"/>
    <mergeCell ref="O5:V5"/>
    <mergeCell ref="C6:N6"/>
  </mergeCells>
  <phoneticPr fontId="4" type="noConversion"/>
  <pageMargins left="0.25" right="0.25" top="0.75" bottom="0.75" header="0.3" footer="0.3"/>
  <pageSetup paperSize="9" scale="64" orientation="landscape" r:id="rId1"/>
  <headerFooter alignWithMargins="0"/>
  <rowBreaks count="1" manualBreakCount="1">
    <brk id="47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2018-04-17T06:36:49Z</cp:lastPrinted>
  <dcterms:created xsi:type="dcterms:W3CDTF">2007-02-08T08:33:33Z</dcterms:created>
  <dcterms:modified xsi:type="dcterms:W3CDTF">2018-04-17T06:36:58Z</dcterms:modified>
</cp:coreProperties>
</file>