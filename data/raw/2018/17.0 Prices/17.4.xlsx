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4" sheetId="31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'17.4'!$A$1:$O$54</definedName>
    <definedName name="Print_Area_MI">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N24" i="31" l="1"/>
  <c r="M24" i="31" l="1"/>
  <c r="M25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L24" i="31"/>
  <c r="L25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K24" i="31"/>
  <c r="K25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J24" i="31"/>
  <c r="J25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I24" i="31"/>
  <c r="I25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H24" i="31"/>
  <c r="H25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G24" i="31"/>
  <c r="G25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F24" i="31"/>
  <c r="F25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E24" i="31"/>
  <c r="E25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D24" i="31"/>
  <c r="D25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C24" i="31"/>
  <c r="C25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B24" i="31"/>
  <c r="B25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N25" i="31"/>
  <c r="N18" i="31" l="1"/>
  <c r="N20" i="31"/>
  <c r="N16" i="31"/>
  <c r="N14" i="31"/>
  <c r="N13" i="31"/>
  <c r="N23" i="31"/>
  <c r="N22" i="31"/>
  <c r="N21" i="31"/>
  <c r="N19" i="31"/>
  <c r="N17" i="31"/>
  <c r="N12" i="31"/>
  <c r="N15" i="31"/>
  <c r="N11" i="31"/>
  <c r="N10" i="31"/>
  <c r="N9" i="31"/>
</calcChain>
</file>

<file path=xl/sharedStrings.xml><?xml version="1.0" encoding="utf-8"?>
<sst xmlns="http://schemas.openxmlformats.org/spreadsheetml/2006/main" count="140" uniqueCount="76">
  <si>
    <t>cCrWm</t>
  </si>
  <si>
    <t>cnUj</t>
  </si>
  <si>
    <t>Mar</t>
  </si>
  <si>
    <t>Jun</t>
  </si>
  <si>
    <t>Sep</t>
  </si>
  <si>
    <t>Dec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</si>
  <si>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</si>
  <si>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</si>
  <si>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</si>
  <si>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</si>
  <si>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</si>
  <si>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</si>
  <si>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</si>
  <si>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</si>
  <si>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</si>
  <si>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</si>
  <si>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Jan</t>
  </si>
  <si>
    <t>Feb</t>
  </si>
  <si>
    <t>Apr</t>
  </si>
  <si>
    <t>May</t>
  </si>
  <si>
    <t>Jul</t>
  </si>
  <si>
    <t>Aug</t>
  </si>
  <si>
    <t>Oct</t>
  </si>
  <si>
    <t>Nov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</si>
  <si>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</si>
  <si>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</si>
  <si>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</si>
  <si>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</si>
  <si>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</si>
  <si>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</si>
  <si>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</si>
  <si>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</si>
  <si>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</si>
  <si>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</si>
  <si>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</si>
  <si>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</si>
  <si>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</si>
  <si>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</si>
  <si>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</si>
  <si>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</si>
  <si>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</si>
  <si>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</si>
  <si>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</si>
  <si>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</si>
  <si>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</si>
  <si>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</si>
  <si>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</si>
  <si>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</si>
  <si>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</si>
  <si>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</si>
  <si>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</si>
  <si>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</si>
  <si>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</si>
  <si>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</si>
  <si>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</si>
  <si>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</si>
  <si>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</si>
  <si>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</si>
  <si>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</si>
  <si>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Jan-Dec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</si>
  <si>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</si>
  <si>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</si>
  <si>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</si>
  <si>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</si>
  <si>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</si>
  <si>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</si>
  <si>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</si>
  <si>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</si>
  <si>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</si>
  <si>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</si>
  <si>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urwbcmeTcpes</t>
  </si>
  <si>
    <t>urwbOTckoa</t>
  </si>
  <si>
    <t>urwbcmevon</t>
  </si>
  <si>
    <t>urwbcmesiD</t>
  </si>
  <si>
    <t>Table 17.4 :   CPI GROUPS, by months,  Republic, 2016 - 2017</t>
  </si>
  <si>
    <t>2017 - 2016 ,cSwaejcaWr ,uDnwgcnim egugwa egurWzWb uhwmcswmikea : 17.4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</si>
</sst>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sz val="11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7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44">
    <xf numFmtId="0" fontId="0" fillId="0" borderId="0" xfId="0"/>
    <xf numFmtId="167" fontId="5" fillId="2" borderId="0" xfId="8" applyFont="1" applyFill="1" applyBorder="1" applyAlignment="1">
      <alignment horizontal="right" vertical="center" wrapText="1"/>
    </xf>
    <xf numFmtId="167" fontId="6" fillId="2" borderId="0" xfId="8" applyFont="1" applyFill="1" applyAlignment="1">
      <alignment horizontal="right" vertical="center"/>
    </xf>
    <xf numFmtId="0" fontId="0" fillId="2" borderId="0" xfId="0" applyFill="1"/>
    <xf numFmtId="0" fontId="12" fillId="2" borderId="1" xfId="5" applyFont="1" applyFill="1" applyBorder="1" applyAlignment="1">
      <alignment horizontal="left"/>
    </xf>
    <xf numFmtId="0" fontId="11" fillId="2" borderId="3" xfId="5" applyFont="1" applyFill="1" applyBorder="1" applyAlignment="1">
      <alignment vertical="center"/>
    </xf>
    <xf numFmtId="0" fontId="7" fillId="2" borderId="3" xfId="5" applyFont="1" applyFill="1" applyBorder="1"/>
    <xf numFmtId="167" fontId="5" fillId="2" borderId="3" xfId="8" applyFont="1" applyFill="1" applyBorder="1" applyAlignment="1">
      <alignment horizontal="right" vertical="center"/>
    </xf>
    <xf numFmtId="0" fontId="4" fillId="2" borderId="1" xfId="5" applyFont="1" applyFill="1" applyBorder="1" applyAlignment="1">
      <alignment horizontal="right"/>
    </xf>
    <xf numFmtId="167" fontId="14" fillId="2" borderId="0" xfId="7" applyFont="1" applyFill="1" applyAlignment="1">
      <alignment vertical="center" wrapText="1"/>
    </xf>
    <xf numFmtId="166" fontId="14" fillId="2" borderId="0" xfId="6" applyNumberFormat="1" applyFont="1" applyFill="1" applyBorder="1" applyAlignment="1">
      <alignment horizontal="right" vertical="center"/>
    </xf>
    <xf numFmtId="167" fontId="14" fillId="2" borderId="0" xfId="7" applyFont="1" applyFill="1" applyAlignment="1">
      <alignment vertical="center"/>
    </xf>
    <xf numFmtId="167" fontId="6" fillId="2" borderId="0" xfId="8" applyFont="1" applyFill="1" applyAlignment="1">
      <alignment horizontal="right" vertical="center" indent="1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6" fontId="15" fillId="2" borderId="0" xfId="6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167" fontId="15" fillId="2" borderId="2" xfId="7" applyFont="1" applyFill="1" applyBorder="1" applyAlignment="1">
      <alignment vertical="center"/>
    </xf>
    <xf numFmtId="167" fontId="5" fillId="2" borderId="2" xfId="9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indent="1"/>
    </xf>
    <xf numFmtId="0" fontId="11" fillId="2" borderId="2" xfId="5" applyFont="1" applyFill="1" applyBorder="1" applyAlignment="1">
      <alignment horizontal="right" vertical="center"/>
    </xf>
    <xf numFmtId="17" fontId="11" fillId="2" borderId="2" xfId="5" applyNumberFormat="1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5" applyFont="1" applyFill="1"/>
    <xf numFmtId="0" fontId="15" fillId="2" borderId="0" xfId="5" applyFont="1" applyFill="1" applyBorder="1" applyAlignment="1">
      <alignment horizontal="left" vertical="center"/>
    </xf>
    <xf numFmtId="0" fontId="8" fillId="2" borderId="0" xfId="5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166" fontId="4" fillId="2" borderId="0" xfId="0" applyNumberFormat="1" applyFont="1" applyFill="1" applyAlignment="1">
      <alignment vertical="center"/>
    </xf>
    <xf numFmtId="166" fontId="15" fillId="2" borderId="2" xfId="6" applyNumberFormat="1" applyFont="1" applyFill="1" applyBorder="1" applyAlignment="1">
      <alignment horizontal="right" vertical="center"/>
    </xf>
    <xf numFmtId="167" fontId="13" fillId="2" borderId="0" xfId="9" applyFont="1" applyFill="1" applyBorder="1" applyAlignment="1" applyProtection="1">
      <alignment horizontal="left" vertical="center"/>
    </xf>
    <xf numFmtId="167" fontId="22" fillId="2" borderId="0" xfId="9" applyFont="1" applyFill="1" applyAlignment="1">
      <alignment vertical="center"/>
    </xf>
    <xf numFmtId="167" fontId="11" fillId="2" borderId="0" xfId="9" applyFont="1" applyFill="1" applyBorder="1" applyAlignment="1" applyProtection="1">
      <alignment horizontal="center" vertical="center"/>
    </xf>
    <xf numFmtId="167" fontId="11" fillId="2" borderId="0" xfId="9" applyFont="1" applyFill="1" applyBorder="1" applyAlignment="1" applyProtection="1">
      <alignment horizontal="center" vertical="center"/>
    </xf>
    <xf numFmtId="167" fontId="20" fillId="2" borderId="0" xfId="9" applyFont="1" applyFill="1" applyAlignment="1">
      <alignment horizontal="center" vertical="center"/>
    </xf>
    <xf numFmtId="167" fontId="21" fillId="2" borderId="0" xfId="9" applyFont="1" applyFill="1" applyAlignment="1">
      <alignment horizontal="center" vertical="center" wrapText="1"/>
    </xf>
    <xf numFmtId="167" fontId="16" fillId="2" borderId="2" xfId="9" applyFont="1" applyFill="1" applyBorder="1" applyAlignment="1" applyProtection="1">
      <alignment horizontal="center" vertical="center"/>
    </xf>
    <xf numFmtId="167" fontId="15" fillId="2" borderId="4" xfId="9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7" fontId="22" fillId="2" borderId="0" xfId="9" applyFont="1" applyFill="1" applyAlignment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</row>
        <row r="4">
          <cell r="OC4">
            <v>107.04157551050889</v>
          </cell>
        </row>
        <row r="38">
          <cell r="OC38">
            <v>104.05962917920893</v>
          </cell>
        </row>
        <row r="156">
          <cell r="OC156">
            <v>122.18459773517431</v>
          </cell>
        </row>
        <row r="167">
          <cell r="OC167">
            <v>100.99558210523537</v>
          </cell>
        </row>
        <row r="207">
          <cell r="OC207">
            <v>108.10803524718015</v>
          </cell>
        </row>
        <row r="209">
          <cell r="OC209">
            <v>116.59514145414504</v>
          </cell>
        </row>
        <row r="240">
          <cell r="OC240">
            <v>97.499129166170533</v>
          </cell>
        </row>
        <row r="292">
          <cell r="OC292">
            <v>125.81722828813672</v>
          </cell>
        </row>
        <row r="322">
          <cell r="OC322">
            <v>101.34706519435288</v>
          </cell>
        </row>
        <row r="348">
          <cell r="OC348">
            <v>99.79368976091358</v>
          </cell>
        </row>
        <row r="360">
          <cell r="OC360">
            <v>100.69713942933714</v>
          </cell>
        </row>
        <row r="405">
          <cell r="OC405">
            <v>124.80292719209795</v>
          </cell>
        </row>
        <row r="421">
          <cell r="OC421">
            <v>123.14673548135868</v>
          </cell>
        </row>
        <row r="438">
          <cell r="OC438">
            <v>98.469134997835681</v>
          </cell>
        </row>
        <row r="484">
          <cell r="OC484">
            <v>107.1902747590181</v>
          </cell>
        </row>
        <row r="485">
          <cell r="OC485">
            <v>108.34446887815083</v>
          </cell>
        </row>
      </sheetData>
      <sheetData sheetId="1" refreshError="1">
        <row r="3">
          <cell r="NM3">
            <v>106.40071755950871</v>
          </cell>
          <cell r="NN3">
            <v>106.63038619744921</v>
          </cell>
          <cell r="NO3">
            <v>106.062411174174</v>
          </cell>
          <cell r="NP3">
            <v>105.86893022730047</v>
          </cell>
          <cell r="NQ3">
            <v>105.93595093311723</v>
          </cell>
          <cell r="NR3">
            <v>106.16673824347546</v>
          </cell>
          <cell r="NS3">
            <v>106.44633482430255</v>
          </cell>
          <cell r="NT3">
            <v>106.34650731154315</v>
          </cell>
          <cell r="NU3">
            <v>106.75036802647057</v>
          </cell>
          <cell r="NV3">
            <v>108.78521616648365</v>
          </cell>
          <cell r="NW3">
            <v>108.6699796816679</v>
          </cell>
          <cell r="NX3">
            <v>108.97152391399352</v>
          </cell>
        </row>
        <row r="4">
          <cell r="NM4">
            <v>106.69567188406033</v>
          </cell>
          <cell r="NN4">
            <v>106.32861637396752</v>
          </cell>
          <cell r="NO4">
            <v>106.22409698520447</v>
          </cell>
          <cell r="NP4">
            <v>106.05536508120319</v>
          </cell>
          <cell r="NQ4">
            <v>106.00271740670937</v>
          </cell>
          <cell r="NR4">
            <v>106.30705421586372</v>
          </cell>
          <cell r="NS4">
            <v>106.63732880279971</v>
          </cell>
          <cell r="NT4">
            <v>106.88931976180494</v>
          </cell>
          <cell r="NU4">
            <v>106.96097813269472</v>
          </cell>
          <cell r="NV4">
            <v>109.33424405019518</v>
          </cell>
          <cell r="NW4">
            <v>109.32782738869956</v>
          </cell>
          <cell r="NX4">
            <v>109.52007702501452</v>
          </cell>
        </row>
        <row r="5">
          <cell r="NM5">
            <v>105.48100556258261</v>
          </cell>
          <cell r="NN5">
            <v>107.18890464838381</v>
          </cell>
          <cell r="NO5">
            <v>104.92534085086224</v>
          </cell>
          <cell r="NP5">
            <v>104.62763693274307</v>
          </cell>
          <cell r="NQ5">
            <v>105.00040203020284</v>
          </cell>
          <cell r="NR5">
            <v>105.5058172310701</v>
          </cell>
          <cell r="NS5">
            <v>105.38477187932992</v>
          </cell>
          <cell r="NT5">
            <v>104.66885965465767</v>
          </cell>
          <cell r="NU5">
            <v>106.29762096656296</v>
          </cell>
          <cell r="NV5">
            <v>112.21889827771116</v>
          </cell>
          <cell r="NW5">
            <v>111.31030290493474</v>
          </cell>
          <cell r="NX5">
            <v>111.88934518706554</v>
          </cell>
        </row>
        <row r="6">
          <cell r="NM6">
            <v>106.44078427698152</v>
          </cell>
          <cell r="NN6">
            <v>106.03984762069598</v>
          </cell>
          <cell r="NO6">
            <v>105.17492961542654</v>
          </cell>
          <cell r="NP6">
            <v>104.94593922446937</v>
          </cell>
          <cell r="NQ6">
            <v>104.89985575796824</v>
          </cell>
          <cell r="NR6">
            <v>105.86479693486402</v>
          </cell>
          <cell r="NS6">
            <v>105.80264996696059</v>
          </cell>
          <cell r="NT6">
            <v>106.44168687088121</v>
          </cell>
          <cell r="NU6">
            <v>107.0720630626256</v>
          </cell>
          <cell r="NV6">
            <v>116.25369723782394</v>
          </cell>
          <cell r="NW6">
            <v>115.50081717597779</v>
          </cell>
          <cell r="NX6">
            <v>115.69655879313525</v>
          </cell>
        </row>
        <row r="7">
          <cell r="NM7">
            <v>103.28434949897733</v>
          </cell>
          <cell r="NN7">
            <v>109.81876406225896</v>
          </cell>
          <cell r="NO7">
            <v>104.35410430970681</v>
          </cell>
          <cell r="NP7">
            <v>103.89913498881545</v>
          </cell>
          <cell r="NQ7">
            <v>105.23052338553575</v>
          </cell>
          <cell r="NR7">
            <v>104.6842164482856</v>
          </cell>
          <cell r="NS7">
            <v>104.42836971988416</v>
          </cell>
          <cell r="NT7">
            <v>100.61137057324943</v>
          </cell>
          <cell r="NU7">
            <v>104.52514685278548</v>
          </cell>
          <cell r="NV7">
            <v>102.98440967300114</v>
          </cell>
          <cell r="NW7">
            <v>101.71942696133134</v>
          </cell>
          <cell r="NX7">
            <v>103.17573367667575</v>
          </cell>
        </row>
        <row r="8">
          <cell r="NM8">
            <v>121.88718960216394</v>
          </cell>
          <cell r="NN8">
            <v>121.89766249218469</v>
          </cell>
          <cell r="NO8">
            <v>121.9372509450354</v>
          </cell>
          <cell r="NP8">
            <v>121.94561488782901</v>
          </cell>
          <cell r="NQ8">
            <v>122.35097081009513</v>
          </cell>
          <cell r="NR8">
            <v>122.04918172836094</v>
          </cell>
          <cell r="NS8">
            <v>122.01542386807137</v>
          </cell>
          <cell r="NT8">
            <v>122.18086645427454</v>
          </cell>
          <cell r="NU8">
            <v>122.42970337571218</v>
          </cell>
          <cell r="NV8">
            <v>122.50923101847108</v>
          </cell>
          <cell r="NW8">
            <v>122.44672077236744</v>
          </cell>
          <cell r="NX8">
            <v>122.56535686752591</v>
          </cell>
        </row>
        <row r="9">
          <cell r="NM9">
            <v>101.09010951860198</v>
          </cell>
          <cell r="NN9">
            <v>101.06822205137452</v>
          </cell>
          <cell r="NO9">
            <v>100.97960179428145</v>
          </cell>
          <cell r="NP9">
            <v>100.88070590234088</v>
          </cell>
          <cell r="NQ9">
            <v>101.13278622505824</v>
          </cell>
          <cell r="NR9">
            <v>101.41008834871749</v>
          </cell>
          <cell r="NS9">
            <v>101.56799911475512</v>
          </cell>
          <cell r="NT9">
            <v>100.86435411938893</v>
          </cell>
          <cell r="NU9">
            <v>100.70655857198788</v>
          </cell>
          <cell r="NV9">
            <v>100.81017832595245</v>
          </cell>
          <cell r="NW9">
            <v>100.74457806290398</v>
          </cell>
          <cell r="NX9">
            <v>100.69180322746162</v>
          </cell>
        </row>
        <row r="10">
          <cell r="NM10">
            <v>108.36055373462274</v>
          </cell>
          <cell r="NN10">
            <v>107.28118714892253</v>
          </cell>
          <cell r="NO10">
            <v>107.29663225350892</v>
          </cell>
          <cell r="NP10">
            <v>107.32378637109318</v>
          </cell>
          <cell r="NQ10">
            <v>107.60176741998026</v>
          </cell>
          <cell r="NR10">
            <v>107.67257848922625</v>
          </cell>
          <cell r="NS10">
            <v>107.98077540362419</v>
          </cell>
          <cell r="NT10">
            <v>108.24770976511873</v>
          </cell>
          <cell r="NU10">
            <v>108.33259731716004</v>
          </cell>
          <cell r="NV10">
            <v>108.67003620067761</v>
          </cell>
          <cell r="NW10">
            <v>109.07814119351566</v>
          </cell>
          <cell r="NX10">
            <v>109.45065766871167</v>
          </cell>
        </row>
        <row r="11">
          <cell r="NM11">
            <v>113.97248964002806</v>
          </cell>
          <cell r="NN11">
            <v>114.50451124927262</v>
          </cell>
          <cell r="NO11">
            <v>114.94398752112168</v>
          </cell>
          <cell r="NP11">
            <v>115.42697574160088</v>
          </cell>
          <cell r="NQ11">
            <v>116.09722470552043</v>
          </cell>
          <cell r="NR11">
            <v>116.4319378629214</v>
          </cell>
          <cell r="NS11">
            <v>116.97948608557621</v>
          </cell>
          <cell r="NT11">
            <v>117.61129721014137</v>
          </cell>
          <cell r="NU11">
            <v>117.78405534356747</v>
          </cell>
          <cell r="NV11">
            <v>118.01741740061064</v>
          </cell>
          <cell r="NW11">
            <v>118.65676641914334</v>
          </cell>
          <cell r="NX11">
            <v>118.71554827023621</v>
          </cell>
        </row>
        <row r="12">
          <cell r="NM12">
            <v>96.460774817896521</v>
          </cell>
          <cell r="NN12">
            <v>96.661972706400761</v>
          </cell>
          <cell r="NO12">
            <v>96.918860985943255</v>
          </cell>
          <cell r="NP12">
            <v>95.827899490214349</v>
          </cell>
          <cell r="NQ12">
            <v>95.048563202998054</v>
          </cell>
          <cell r="NR12">
            <v>96.322208698128307</v>
          </cell>
          <cell r="NS12">
            <v>97.766893928983748</v>
          </cell>
          <cell r="NT12">
            <v>98.007757799884175</v>
          </cell>
          <cell r="NU12">
            <v>98.459538547355024</v>
          </cell>
          <cell r="NV12">
            <v>99.413253966261692</v>
          </cell>
          <cell r="NW12">
            <v>99.425074250063503</v>
          </cell>
          <cell r="NX12">
            <v>99.676751599917182</v>
          </cell>
        </row>
        <row r="13">
          <cell r="NM13">
            <v>125.09902602792579</v>
          </cell>
          <cell r="NN13">
            <v>125.18517194286531</v>
          </cell>
          <cell r="NO13">
            <v>125.65341804996341</v>
          </cell>
          <cell r="NP13">
            <v>125.84980679174986</v>
          </cell>
          <cell r="NQ13">
            <v>125.90682328025476</v>
          </cell>
          <cell r="NR13">
            <v>125.93132036583214</v>
          </cell>
          <cell r="NS13">
            <v>125.9726881863762</v>
          </cell>
          <cell r="NT13">
            <v>126.25559100462326</v>
          </cell>
          <cell r="NU13">
            <v>125.96565542244646</v>
          </cell>
          <cell r="NV13">
            <v>125.98799311372866</v>
          </cell>
          <cell r="NW13">
            <v>125.99723945717639</v>
          </cell>
          <cell r="NX13">
            <v>126.00200581469828</v>
          </cell>
        </row>
        <row r="14">
          <cell r="NM14">
            <v>102.24116952558717</v>
          </cell>
          <cell r="NN14">
            <v>101.93002143812276</v>
          </cell>
          <cell r="NO14">
            <v>101.77092765300445</v>
          </cell>
          <cell r="NP14">
            <v>101.7344083817882</v>
          </cell>
          <cell r="NQ14">
            <v>100.80740419660835</v>
          </cell>
          <cell r="NR14">
            <v>100.14041026213231</v>
          </cell>
          <cell r="NS14">
            <v>100.08885905537983</v>
          </cell>
          <cell r="NT14">
            <v>100.08885905537983</v>
          </cell>
          <cell r="NU14">
            <v>100.08885905537983</v>
          </cell>
          <cell r="NV14">
            <v>101.430093072776</v>
          </cell>
          <cell r="NW14">
            <v>102.92157333282107</v>
          </cell>
          <cell r="NX14">
            <v>102.92219730325488</v>
          </cell>
        </row>
        <row r="15">
          <cell r="NM15">
            <v>100.4034041194092</v>
          </cell>
          <cell r="NN15">
            <v>100.38388108461848</v>
          </cell>
          <cell r="NO15">
            <v>100.38291261131701</v>
          </cell>
          <cell r="NP15">
            <v>100.38291261131701</v>
          </cell>
          <cell r="NQ15">
            <v>100.03269726153447</v>
          </cell>
          <cell r="NR15">
            <v>99.692368066812946</v>
          </cell>
          <cell r="NS15">
            <v>99.692368066812946</v>
          </cell>
          <cell r="NT15">
            <v>99.692368066812946</v>
          </cell>
          <cell r="NU15">
            <v>99.091176579552197</v>
          </cell>
          <cell r="NV15">
            <v>99.25672955425857</v>
          </cell>
          <cell r="NW15">
            <v>99.25672955425857</v>
          </cell>
          <cell r="NX15">
            <v>99.25672955425857</v>
          </cell>
        </row>
        <row r="16">
          <cell r="NM16">
            <v>100.17454791868752</v>
          </cell>
          <cell r="NN16">
            <v>100.10298138036555</v>
          </cell>
          <cell r="NO16">
            <v>100.66577023360061</v>
          </cell>
          <cell r="NP16">
            <v>98.852364546817881</v>
          </cell>
          <cell r="NQ16">
            <v>99.056416361500752</v>
          </cell>
          <cell r="NR16">
            <v>99.151666512204997</v>
          </cell>
          <cell r="NS16">
            <v>102.32617647133503</v>
          </cell>
          <cell r="NT16">
            <v>102.35947261429955</v>
          </cell>
          <cell r="NU16">
            <v>101.43061341638303</v>
          </cell>
          <cell r="NV16">
            <v>101.42611891096485</v>
          </cell>
          <cell r="NW16">
            <v>101.41518607013697</v>
          </cell>
          <cell r="NX16">
            <v>101.40435871574891</v>
          </cell>
        </row>
        <row r="17">
          <cell r="NM17">
            <v>124.40362732378387</v>
          </cell>
          <cell r="NN17">
            <v>124.40362732378387</v>
          </cell>
          <cell r="NO17">
            <v>124.91587470599681</v>
          </cell>
          <cell r="NP17">
            <v>124.87911077240121</v>
          </cell>
          <cell r="NQ17">
            <v>124.87911077240121</v>
          </cell>
          <cell r="NR17">
            <v>124.87911077240121</v>
          </cell>
          <cell r="NS17">
            <v>124.87911077240121</v>
          </cell>
          <cell r="NT17">
            <v>124.87911077240121</v>
          </cell>
          <cell r="NU17">
            <v>124.87911077240121</v>
          </cell>
          <cell r="NV17">
            <v>124.87911077240121</v>
          </cell>
          <cell r="NW17">
            <v>124.87911077240121</v>
          </cell>
          <cell r="NX17">
            <v>124.87911077240121</v>
          </cell>
        </row>
        <row r="18">
          <cell r="NM18">
            <v>121.74055464674666</v>
          </cell>
          <cell r="NN18">
            <v>121.78393899786738</v>
          </cell>
          <cell r="NO18">
            <v>121.8113572438992</v>
          </cell>
          <cell r="NP18">
            <v>123.63127170654869</v>
          </cell>
          <cell r="NQ18">
            <v>123.63127170654869</v>
          </cell>
          <cell r="NR18">
            <v>123.7342028087177</v>
          </cell>
          <cell r="NS18">
            <v>121.81959238140819</v>
          </cell>
          <cell r="NT18">
            <v>121.81959283811511</v>
          </cell>
          <cell r="NU18">
            <v>121.8872993049861</v>
          </cell>
          <cell r="NV18">
            <v>125.31492371445513</v>
          </cell>
          <cell r="NW18">
            <v>125.2509877483465</v>
          </cell>
          <cell r="NX18">
            <v>125.3358326786649</v>
          </cell>
        </row>
        <row r="19">
          <cell r="NM19">
            <v>98.470368168556647</v>
          </cell>
          <cell r="NN19">
            <v>98.387001246684576</v>
          </cell>
          <cell r="NO19">
            <v>98.2925971777629</v>
          </cell>
          <cell r="NP19">
            <v>98.478314844662677</v>
          </cell>
          <cell r="NQ19">
            <v>98.461522758420188</v>
          </cell>
          <cell r="NR19">
            <v>98.444033239198149</v>
          </cell>
          <cell r="NS19">
            <v>98.54743449471178</v>
          </cell>
          <cell r="NT19">
            <v>98.926174459473131</v>
          </cell>
          <cell r="NU19">
            <v>98.532611348284675</v>
          </cell>
          <cell r="NV19">
            <v>98.506817339409096</v>
          </cell>
          <cell r="NW19">
            <v>98.115405771927044</v>
          </cell>
          <cell r="NX19">
            <v>98.467339124937325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5"/>
  <sheetViews>
    <sheetView tabSelected="1" zoomScaleNormal="100" zoomScaleSheetLayoutView="100" workbookViewId="0">
      <selection activeCell="C34" sqref="C34"/>
    </sheetView>
  </sheetViews>
  <sheetFormatPr defaultColWidth="9.140625" defaultRowHeight="15.75" customHeight="1" x14ac:dyDescent="0.2"/>
  <cols>
    <col min="1" max="1" width="36.7109375" style="3" customWidth="1"/>
    <col min="2" max="6" width="9.140625" style="3" customWidth="1"/>
    <col min="7" max="9" width="9.140625" style="3"/>
    <col min="10" max="13" width="11" style="3" customWidth="1"/>
    <col min="14" max="14" width="10.28515625" style="3" customWidth="1"/>
    <col min="15" max="15" width="35" style="3" bestFit="1" customWidth="1"/>
    <col min="16" max="16384" width="9.140625" style="3"/>
  </cols>
  <sheetData>
    <row r="1" spans="1:24" s="27" customFormat="1" ht="19.5" customHeight="1" x14ac:dyDescent="0.2">
      <c r="A1" s="43" t="s">
        <v>75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35"/>
      <c r="Q1" s="38"/>
      <c r="R1" s="38"/>
      <c r="S1" s="38"/>
      <c r="T1" s="38"/>
      <c r="U1" s="38"/>
      <c r="V1" s="38"/>
      <c r="W1" s="38"/>
      <c r="X1" s="38"/>
    </row>
    <row r="2" spans="1:24" s="31" customFormat="1" ht="15.75" customHeight="1" x14ac:dyDescent="0.2">
      <c r="A2" s="42" t="s">
        <v>74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24" s="28" customFormat="1" ht="15.75" customHeight="1" x14ac:dyDescent="0.2">
      <c r="A3" s="39" t="s">
        <v>51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24" s="28" customFormat="1" ht="15.75" customHeight="1" x14ac:dyDescent="0.2">
      <c r="A4" s="40" t="s">
        <v>50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24" s="21" customFormat="1" ht="15.75" customHeight="1" x14ac:dyDescent="0.2">
      <c r="A5" s="36"/>
      <c r="B5" s="41">
        <v>2016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36"/>
    </row>
    <row r="6" spans="1:24" s="21" customFormat="1" ht="15.75" customHeight="1" x14ac:dyDescent="0.2">
      <c r="A6" s="4"/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">
        <v>61</v>
      </c>
      <c r="O6" s="8"/>
    </row>
    <row r="7" spans="1:24" s="21" customFormat="1" ht="15.75" customHeight="1" x14ac:dyDescent="0.2">
      <c r="A7" s="29" t="s">
        <v>58</v>
      </c>
      <c r="B7" s="1" t="s">
        <v>49</v>
      </c>
      <c r="C7" s="1" t="s">
        <v>48</v>
      </c>
      <c r="D7" s="1" t="s">
        <v>0</v>
      </c>
      <c r="E7" s="1" t="s">
        <v>12</v>
      </c>
      <c r="F7" s="1" t="s">
        <v>13</v>
      </c>
      <c r="G7" s="1" t="s">
        <v>1</v>
      </c>
      <c r="H7" s="1" t="s">
        <v>14</v>
      </c>
      <c r="I7" s="1" t="s">
        <v>47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15</v>
      </c>
      <c r="O7" s="30" t="s">
        <v>24</v>
      </c>
      <c r="Q7" s="32"/>
    </row>
    <row r="8" spans="1:24" s="21" customFormat="1" ht="15.75" customHeight="1" x14ac:dyDescent="0.2">
      <c r="A8" s="23"/>
      <c r="B8" s="24" t="s">
        <v>16</v>
      </c>
      <c r="C8" s="23" t="s">
        <v>17</v>
      </c>
      <c r="D8" s="23" t="s">
        <v>2</v>
      </c>
      <c r="E8" s="23" t="s">
        <v>18</v>
      </c>
      <c r="F8" s="23" t="s">
        <v>19</v>
      </c>
      <c r="G8" s="23" t="s">
        <v>3</v>
      </c>
      <c r="H8" s="23" t="s">
        <v>20</v>
      </c>
      <c r="I8" s="23" t="s">
        <v>21</v>
      </c>
      <c r="J8" s="23" t="s">
        <v>4</v>
      </c>
      <c r="K8" s="23" t="s">
        <v>22</v>
      </c>
      <c r="L8" s="23" t="s">
        <v>23</v>
      </c>
      <c r="M8" s="23" t="s">
        <v>5</v>
      </c>
      <c r="N8" s="23" t="s">
        <v>59</v>
      </c>
      <c r="O8" s="25"/>
      <c r="Q8" s="32"/>
    </row>
    <row r="9" spans="1:24" s="21" customFormat="1" ht="15.75" customHeight="1" x14ac:dyDescent="0.2">
      <c r="A9" s="9" t="s">
        <v>43</v>
      </c>
      <c r="B9" s="10">
        <f>'[3]Chnages in rep.'!$NM$5</f>
        <v>105.48100556258261</v>
      </c>
      <c r="C9" s="10">
        <f>'[3]Chnages in rep.'!$NN$5</f>
        <v>107.18890464838381</v>
      </c>
      <c r="D9" s="10">
        <f>'[3]Chnages in rep.'!$NO$5</f>
        <v>104.92534085086224</v>
      </c>
      <c r="E9" s="10">
        <f>'[3]Chnages in rep.'!$NP$5</f>
        <v>104.62763693274307</v>
      </c>
      <c r="F9" s="10">
        <f>'[3]Chnages in rep.'!$NQ$5</f>
        <v>105.00040203020284</v>
      </c>
      <c r="G9" s="10">
        <f>'[3]Chnages in rep.'!$NR$5</f>
        <v>105.5058172310701</v>
      </c>
      <c r="H9" s="10">
        <f>'[3]Chnages in rep.'!$NS$5</f>
        <v>105.38477187932992</v>
      </c>
      <c r="I9" s="10">
        <f>'[3]Chnages in rep.'!$NT$5</f>
        <v>104.66885965465767</v>
      </c>
      <c r="J9" s="10">
        <f>'[3]Chnages in rep.'!$NU$5</f>
        <v>106.29762096656296</v>
      </c>
      <c r="K9" s="10">
        <f>'[3]Chnages in rep.'!$NV$5</f>
        <v>112.21889827771116</v>
      </c>
      <c r="L9" s="10">
        <f>'[3]Chnages in rep.'!$NW$5</f>
        <v>111.31030290493474</v>
      </c>
      <c r="M9" s="10">
        <f>'[3]Chnages in rep.'!$NX$5</f>
        <v>111.88934518706554</v>
      </c>
      <c r="N9" s="10">
        <f>'[3]Republic data'!$OC$4</f>
        <v>107.04157551050889</v>
      </c>
      <c r="O9" s="2" t="s">
        <v>45</v>
      </c>
      <c r="Q9" s="32"/>
    </row>
    <row r="10" spans="1:24" s="21" customFormat="1" ht="15.75" customHeight="1" x14ac:dyDescent="0.2">
      <c r="A10" s="9" t="s">
        <v>44</v>
      </c>
      <c r="B10" s="10">
        <f>'[3]Chnages in rep.'!$NM$6</f>
        <v>106.44078427698152</v>
      </c>
      <c r="C10" s="10">
        <f>'[3]Chnages in rep.'!$NN$6</f>
        <v>106.03984762069598</v>
      </c>
      <c r="D10" s="10">
        <f>'[3]Chnages in rep.'!$NO$6</f>
        <v>105.17492961542654</v>
      </c>
      <c r="E10" s="10">
        <f>'[3]Chnages in rep.'!$NP$6</f>
        <v>104.94593922446937</v>
      </c>
      <c r="F10" s="10">
        <f>'[3]Chnages in rep.'!$NQ$6</f>
        <v>104.89985575796824</v>
      </c>
      <c r="G10" s="10">
        <f>'[3]Chnages in rep.'!$NR$6</f>
        <v>105.86479693486402</v>
      </c>
      <c r="H10" s="10">
        <f>'[3]Chnages in rep.'!$NS$6</f>
        <v>105.80264996696059</v>
      </c>
      <c r="I10" s="10">
        <f>'[3]Chnages in rep.'!$NT$6</f>
        <v>106.44168687088121</v>
      </c>
      <c r="J10" s="10">
        <f>'[3]Chnages in rep.'!$NU$6</f>
        <v>107.0720630626256</v>
      </c>
      <c r="K10" s="10">
        <f>'[3]Chnages in rep.'!$NV$6</f>
        <v>116.25369723782394</v>
      </c>
      <c r="L10" s="10">
        <f>'[3]Chnages in rep.'!$NW$6</f>
        <v>115.50081717597779</v>
      </c>
      <c r="M10" s="10">
        <f>'[3]Chnages in rep.'!$NX$6</f>
        <v>115.69655879313525</v>
      </c>
      <c r="N10" s="10">
        <f>'[3]Republic data'!$OC$485</f>
        <v>108.34446887815083</v>
      </c>
      <c r="O10" s="2" t="s">
        <v>46</v>
      </c>
      <c r="Q10" s="32"/>
    </row>
    <row r="11" spans="1:24" s="21" customFormat="1" ht="15.75" customHeight="1" x14ac:dyDescent="0.2">
      <c r="A11" s="11" t="s">
        <v>6</v>
      </c>
      <c r="B11" s="10">
        <f>'[3]Chnages in rep.'!$NM$7</f>
        <v>103.28434949897733</v>
      </c>
      <c r="C11" s="10">
        <f>'[3]Chnages in rep.'!$NN$7</f>
        <v>109.81876406225896</v>
      </c>
      <c r="D11" s="10">
        <f>'[3]Chnages in rep.'!$NO$7</f>
        <v>104.35410430970681</v>
      </c>
      <c r="E11" s="10">
        <f>'[3]Chnages in rep.'!$NP$7</f>
        <v>103.89913498881545</v>
      </c>
      <c r="F11" s="10">
        <f>'[3]Chnages in rep.'!$NQ$7</f>
        <v>105.23052338553575</v>
      </c>
      <c r="G11" s="10">
        <f>'[3]Chnages in rep.'!$NR$7</f>
        <v>104.6842164482856</v>
      </c>
      <c r="H11" s="10">
        <f>'[3]Chnages in rep.'!$NS$7</f>
        <v>104.42836971988416</v>
      </c>
      <c r="I11" s="10">
        <f>'[3]Chnages in rep.'!$NT$7</f>
        <v>100.61137057324943</v>
      </c>
      <c r="J11" s="10">
        <f>'[3]Chnages in rep.'!$NU$7</f>
        <v>104.52514685278548</v>
      </c>
      <c r="K11" s="10">
        <f>'[3]Chnages in rep.'!$NV$7</f>
        <v>102.98440967300114</v>
      </c>
      <c r="L11" s="10">
        <f>'[3]Chnages in rep.'!$NW$7</f>
        <v>101.71942696133134</v>
      </c>
      <c r="M11" s="10">
        <f>'[3]Chnages in rep.'!$NX$7</f>
        <v>103.17573367667575</v>
      </c>
      <c r="N11" s="10">
        <f>'[3]Republic data'!$OC$38</f>
        <v>104.05962917920893</v>
      </c>
      <c r="O11" s="2" t="s">
        <v>7</v>
      </c>
      <c r="Q11" s="32"/>
    </row>
    <row r="12" spans="1:24" s="21" customFormat="1" ht="15.75" customHeight="1" x14ac:dyDescent="0.2">
      <c r="A12" s="11" t="s">
        <v>40</v>
      </c>
      <c r="B12" s="10">
        <f>'[3]Chnages in rep.'!$NM$8</f>
        <v>121.88718960216394</v>
      </c>
      <c r="C12" s="10">
        <f>'[3]Chnages in rep.'!$NN$8</f>
        <v>121.89766249218469</v>
      </c>
      <c r="D12" s="10">
        <f>'[3]Chnages in rep.'!$NO$8</f>
        <v>121.9372509450354</v>
      </c>
      <c r="E12" s="10">
        <f>'[3]Chnages in rep.'!$NP$8</f>
        <v>121.94561488782901</v>
      </c>
      <c r="F12" s="10">
        <f>'[3]Chnages in rep.'!$NQ$8</f>
        <v>122.35097081009513</v>
      </c>
      <c r="G12" s="10">
        <f>'[3]Chnages in rep.'!$NR$8</f>
        <v>122.04918172836094</v>
      </c>
      <c r="H12" s="10">
        <f>'[3]Chnages in rep.'!$NS$8</f>
        <v>122.01542386807137</v>
      </c>
      <c r="I12" s="10">
        <f>'[3]Chnages in rep.'!$NT$8</f>
        <v>122.18086645427454</v>
      </c>
      <c r="J12" s="10">
        <f>'[3]Chnages in rep.'!$NU$8</f>
        <v>122.42970337571218</v>
      </c>
      <c r="K12" s="10">
        <f>'[3]Chnages in rep.'!$NV$8</f>
        <v>122.50923101847108</v>
      </c>
      <c r="L12" s="10">
        <f>'[3]Chnages in rep.'!$NW$8</f>
        <v>122.44672077236744</v>
      </c>
      <c r="M12" s="10">
        <f>'[3]Chnages in rep.'!$NX$8</f>
        <v>122.56535686752591</v>
      </c>
      <c r="N12" s="10">
        <f>'[3]Republic data'!$OC$156</f>
        <v>122.18459773517431</v>
      </c>
      <c r="O12" s="2" t="s">
        <v>25</v>
      </c>
      <c r="Q12" s="32"/>
    </row>
    <row r="13" spans="1:24" ht="15.75" customHeight="1" x14ac:dyDescent="0.2">
      <c r="A13" s="11" t="s">
        <v>8</v>
      </c>
      <c r="B13" s="10">
        <f>'[3]Chnages in rep.'!$NM$9</f>
        <v>101.09010951860198</v>
      </c>
      <c r="C13" s="10">
        <f>'[3]Chnages in rep.'!$NN$9</f>
        <v>101.06822205137452</v>
      </c>
      <c r="D13" s="10">
        <f>'[3]Chnages in rep.'!$NO$9</f>
        <v>100.97960179428145</v>
      </c>
      <c r="E13" s="10">
        <f>'[3]Chnages in rep.'!$NP$9</f>
        <v>100.88070590234088</v>
      </c>
      <c r="F13" s="10">
        <f>'[3]Chnages in rep.'!$NQ$9</f>
        <v>101.13278622505824</v>
      </c>
      <c r="G13" s="10">
        <f>'[3]Chnages in rep.'!$NR$9</f>
        <v>101.41008834871749</v>
      </c>
      <c r="H13" s="10">
        <f>'[3]Chnages in rep.'!$NS$9</f>
        <v>101.56799911475512</v>
      </c>
      <c r="I13" s="10">
        <f>'[3]Chnages in rep.'!$NT$9</f>
        <v>100.86435411938893</v>
      </c>
      <c r="J13" s="10">
        <f>'[3]Chnages in rep.'!$NU$9</f>
        <v>100.70655857198788</v>
      </c>
      <c r="K13" s="10">
        <f>'[3]Chnages in rep.'!$NV$9</f>
        <v>100.81017832595245</v>
      </c>
      <c r="L13" s="10">
        <f>'[3]Chnages in rep.'!$NW$9</f>
        <v>100.74457806290398</v>
      </c>
      <c r="M13" s="10">
        <f>'[3]Chnages in rep.'!$NX$9</f>
        <v>100.69180322746162</v>
      </c>
      <c r="N13" s="10">
        <f>'[3]Republic data'!$OC$167</f>
        <v>100.99558210523537</v>
      </c>
      <c r="O13" s="2" t="s">
        <v>26</v>
      </c>
      <c r="Q13" s="32"/>
    </row>
    <row r="14" spans="1:24" ht="15.75" customHeight="1" x14ac:dyDescent="0.2">
      <c r="A14" s="11" t="s">
        <v>52</v>
      </c>
      <c r="B14" s="10">
        <f>'[3]Chnages in rep.'!$NM$10</f>
        <v>108.36055373462274</v>
      </c>
      <c r="C14" s="10">
        <f>'[3]Chnages in rep.'!$NN$10</f>
        <v>107.28118714892253</v>
      </c>
      <c r="D14" s="10">
        <f>'[3]Chnages in rep.'!$NO$10</f>
        <v>107.29663225350892</v>
      </c>
      <c r="E14" s="10">
        <f>'[3]Chnages in rep.'!$NP$10</f>
        <v>107.32378637109318</v>
      </c>
      <c r="F14" s="10">
        <f>'[3]Chnages in rep.'!$NQ$10</f>
        <v>107.60176741998026</v>
      </c>
      <c r="G14" s="10">
        <f>'[3]Chnages in rep.'!$NR$10</f>
        <v>107.67257848922625</v>
      </c>
      <c r="H14" s="10">
        <f>'[3]Chnages in rep.'!$NS$10</f>
        <v>107.98077540362419</v>
      </c>
      <c r="I14" s="10">
        <f>'[3]Chnages in rep.'!$NT$10</f>
        <v>108.24770976511873</v>
      </c>
      <c r="J14" s="10">
        <f>'[3]Chnages in rep.'!$NU$10</f>
        <v>108.33259731716004</v>
      </c>
      <c r="K14" s="10">
        <f>'[3]Chnages in rep.'!$NV$10</f>
        <v>108.67003620067761</v>
      </c>
      <c r="L14" s="10">
        <f>'[3]Chnages in rep.'!$NW$10</f>
        <v>109.07814119351566</v>
      </c>
      <c r="M14" s="10">
        <f>'[3]Chnages in rep.'!$NX$10</f>
        <v>109.45065766871167</v>
      </c>
      <c r="N14" s="10">
        <f>'[3]Republic data'!$OC$207</f>
        <v>108.10803524718015</v>
      </c>
      <c r="O14" s="2" t="s">
        <v>27</v>
      </c>
      <c r="Q14" s="32"/>
    </row>
    <row r="15" spans="1:24" ht="15.75" customHeight="1" x14ac:dyDescent="0.2">
      <c r="A15" s="11" t="s">
        <v>53</v>
      </c>
      <c r="B15" s="10">
        <f>'[3]Chnages in rep.'!$NM$11</f>
        <v>113.97248964002806</v>
      </c>
      <c r="C15" s="10">
        <f>'[3]Chnages in rep.'!$NN$11</f>
        <v>114.50451124927262</v>
      </c>
      <c r="D15" s="10">
        <f>'[3]Chnages in rep.'!$NO$11</f>
        <v>114.94398752112168</v>
      </c>
      <c r="E15" s="10">
        <f>'[3]Chnages in rep.'!$NP$11</f>
        <v>115.42697574160088</v>
      </c>
      <c r="F15" s="10">
        <f>'[3]Chnages in rep.'!$NQ$11</f>
        <v>116.09722470552043</v>
      </c>
      <c r="G15" s="10">
        <f>'[3]Chnages in rep.'!$NR$11</f>
        <v>116.4319378629214</v>
      </c>
      <c r="H15" s="10">
        <f>'[3]Chnages in rep.'!$NS$11</f>
        <v>116.97948608557621</v>
      </c>
      <c r="I15" s="10">
        <f>'[3]Chnages in rep.'!$NT$11</f>
        <v>117.61129721014137</v>
      </c>
      <c r="J15" s="10">
        <f>'[3]Chnages in rep.'!$NU$11</f>
        <v>117.78405534356747</v>
      </c>
      <c r="K15" s="10">
        <f>'[3]Chnages in rep.'!$NV$11</f>
        <v>118.01741740061064</v>
      </c>
      <c r="L15" s="10">
        <f>'[3]Chnages in rep.'!$NW$11</f>
        <v>118.65676641914334</v>
      </c>
      <c r="M15" s="10">
        <f>'[3]Chnages in rep.'!$NX$11</f>
        <v>118.71554827023621</v>
      </c>
      <c r="N15" s="10">
        <f>'[3]Republic data'!$OC$209</f>
        <v>116.59514145414504</v>
      </c>
      <c r="O15" s="12" t="s">
        <v>56</v>
      </c>
      <c r="Q15" s="32"/>
    </row>
    <row r="16" spans="1:24" ht="27" customHeight="1" x14ac:dyDescent="0.2">
      <c r="A16" s="9" t="s">
        <v>39</v>
      </c>
      <c r="B16" s="10">
        <f>'[3]Chnages in rep.'!$NM$12</f>
        <v>96.460774817896521</v>
      </c>
      <c r="C16" s="10">
        <f>'[3]Chnages in rep.'!$NN$12</f>
        <v>96.661972706400761</v>
      </c>
      <c r="D16" s="10">
        <f>'[3]Chnages in rep.'!$NO$12</f>
        <v>96.918860985943255</v>
      </c>
      <c r="E16" s="10">
        <f>'[3]Chnages in rep.'!$NP$12</f>
        <v>95.827899490214349</v>
      </c>
      <c r="F16" s="10">
        <f>'[3]Chnages in rep.'!$NQ$12</f>
        <v>95.048563202998054</v>
      </c>
      <c r="G16" s="10">
        <f>'[3]Chnages in rep.'!$NR$12</f>
        <v>96.322208698128307</v>
      </c>
      <c r="H16" s="10">
        <f>'[3]Chnages in rep.'!$NS$12</f>
        <v>97.766893928983748</v>
      </c>
      <c r="I16" s="10">
        <f>'[3]Chnages in rep.'!$NT$12</f>
        <v>98.007757799884175</v>
      </c>
      <c r="J16" s="10">
        <f>'[3]Chnages in rep.'!$NU$12</f>
        <v>98.459538547355024</v>
      </c>
      <c r="K16" s="10">
        <f>'[3]Chnages in rep.'!$NV$12</f>
        <v>99.413253966261692</v>
      </c>
      <c r="L16" s="10">
        <f>'[3]Chnages in rep.'!$NW$12</f>
        <v>99.425074250063503</v>
      </c>
      <c r="M16" s="10">
        <f>'[3]Chnages in rep.'!$NX$12</f>
        <v>99.676751599917182</v>
      </c>
      <c r="N16" s="10">
        <f>'[3]Republic data'!$OC$240</f>
        <v>97.499129166170533</v>
      </c>
      <c r="O16" s="2" t="s">
        <v>41</v>
      </c>
      <c r="Q16" s="32"/>
    </row>
    <row r="17" spans="1:17" ht="16.5" customHeight="1" x14ac:dyDescent="0.2">
      <c r="A17" s="13" t="s">
        <v>28</v>
      </c>
      <c r="B17" s="10">
        <f>'[3]Chnages in rep.'!$NM$13</f>
        <v>125.09902602792579</v>
      </c>
      <c r="C17" s="10">
        <f>'[3]Chnages in rep.'!$NN$13</f>
        <v>125.18517194286531</v>
      </c>
      <c r="D17" s="10">
        <f>'[3]Chnages in rep.'!$NO$13</f>
        <v>125.65341804996341</v>
      </c>
      <c r="E17" s="10">
        <f>'[3]Chnages in rep.'!$NP$13</f>
        <v>125.84980679174986</v>
      </c>
      <c r="F17" s="10">
        <f>'[3]Chnages in rep.'!$NQ$13</f>
        <v>125.90682328025476</v>
      </c>
      <c r="G17" s="10">
        <f>'[3]Chnages in rep.'!$NR$13</f>
        <v>125.93132036583214</v>
      </c>
      <c r="H17" s="10">
        <f>'[3]Chnages in rep.'!$NS$13</f>
        <v>125.9726881863762</v>
      </c>
      <c r="I17" s="10">
        <f>'[3]Chnages in rep.'!$NT$13</f>
        <v>126.25559100462326</v>
      </c>
      <c r="J17" s="10">
        <f>'[3]Chnages in rep.'!$NU$13</f>
        <v>125.96565542244646</v>
      </c>
      <c r="K17" s="10">
        <f>'[3]Chnages in rep.'!$NV$13</f>
        <v>125.98799311372866</v>
      </c>
      <c r="L17" s="10">
        <f>'[3]Chnages in rep.'!$NW$13</f>
        <v>125.99723945717639</v>
      </c>
      <c r="M17" s="10">
        <f>'[3]Chnages in rep.'!$NX$13</f>
        <v>126.00200581469828</v>
      </c>
      <c r="N17" s="10">
        <f>'[3]Republic data'!$OC$292</f>
        <v>125.81722828813672</v>
      </c>
      <c r="O17" s="2" t="s">
        <v>29</v>
      </c>
      <c r="Q17" s="32"/>
    </row>
    <row r="18" spans="1:17" ht="16.5" customHeight="1" x14ac:dyDescent="0.2">
      <c r="A18" s="13" t="s">
        <v>30</v>
      </c>
      <c r="B18" s="10">
        <f>'[3]Chnages in rep.'!$NM$14</f>
        <v>102.24116952558717</v>
      </c>
      <c r="C18" s="10">
        <f>'[3]Chnages in rep.'!$NN$14</f>
        <v>101.93002143812276</v>
      </c>
      <c r="D18" s="10">
        <f>'[3]Chnages in rep.'!$NO$14</f>
        <v>101.77092765300445</v>
      </c>
      <c r="E18" s="10">
        <f>'[3]Chnages in rep.'!$NP$14</f>
        <v>101.7344083817882</v>
      </c>
      <c r="F18" s="10">
        <f>'[3]Chnages in rep.'!$NQ$14</f>
        <v>100.80740419660835</v>
      </c>
      <c r="G18" s="10">
        <f>'[3]Chnages in rep.'!$NR$14</f>
        <v>100.14041026213231</v>
      </c>
      <c r="H18" s="10">
        <f>'[3]Chnages in rep.'!$NS$14</f>
        <v>100.08885905537983</v>
      </c>
      <c r="I18" s="10">
        <f>'[3]Chnages in rep.'!$NT$14</f>
        <v>100.08885905537983</v>
      </c>
      <c r="J18" s="10">
        <f>'[3]Chnages in rep.'!$NU$14</f>
        <v>100.08885905537983</v>
      </c>
      <c r="K18" s="10">
        <f>'[3]Chnages in rep.'!$NV$14</f>
        <v>101.430093072776</v>
      </c>
      <c r="L18" s="10">
        <f>'[3]Chnages in rep.'!$NW$14</f>
        <v>102.92157333282107</v>
      </c>
      <c r="M18" s="10">
        <f>'[3]Chnages in rep.'!$NX$14</f>
        <v>102.92219730325488</v>
      </c>
      <c r="N18" s="10">
        <f>'[3]Republic data'!$OC$322</f>
        <v>101.34706519435288</v>
      </c>
      <c r="O18" s="2" t="s">
        <v>31</v>
      </c>
      <c r="Q18" s="32"/>
    </row>
    <row r="19" spans="1:17" ht="15.75" customHeight="1" x14ac:dyDescent="0.2">
      <c r="A19" s="13" t="s">
        <v>32</v>
      </c>
      <c r="B19" s="10">
        <f>'[3]Chnages in rep.'!$NM$15</f>
        <v>100.4034041194092</v>
      </c>
      <c r="C19" s="10">
        <f>'[3]Chnages in rep.'!$NN$15</f>
        <v>100.38388108461848</v>
      </c>
      <c r="D19" s="10">
        <f>'[3]Chnages in rep.'!$NO$15</f>
        <v>100.38291261131701</v>
      </c>
      <c r="E19" s="10">
        <f>'[3]Chnages in rep.'!$NP$15</f>
        <v>100.38291261131701</v>
      </c>
      <c r="F19" s="10">
        <f>'[3]Chnages in rep.'!$NQ$15</f>
        <v>100.03269726153447</v>
      </c>
      <c r="G19" s="10">
        <f>'[3]Chnages in rep.'!$NR$15</f>
        <v>99.692368066812946</v>
      </c>
      <c r="H19" s="10">
        <f>'[3]Chnages in rep.'!$NS$15</f>
        <v>99.692368066812946</v>
      </c>
      <c r="I19" s="10">
        <f>'[3]Chnages in rep.'!$NT$15</f>
        <v>99.692368066812946</v>
      </c>
      <c r="J19" s="10">
        <f>'[3]Chnages in rep.'!$NU$15</f>
        <v>99.091176579552197</v>
      </c>
      <c r="K19" s="10">
        <f>'[3]Chnages in rep.'!$NV$15</f>
        <v>99.25672955425857</v>
      </c>
      <c r="L19" s="10">
        <f>'[3]Chnages in rep.'!$NW$15</f>
        <v>99.25672955425857</v>
      </c>
      <c r="M19" s="10">
        <f>'[3]Chnages in rep.'!$NX$15</f>
        <v>99.25672955425857</v>
      </c>
      <c r="N19" s="10">
        <f>'[3]Republic data'!$OC$348</f>
        <v>99.79368976091358</v>
      </c>
      <c r="O19" s="2" t="s">
        <v>33</v>
      </c>
      <c r="Q19" s="32"/>
    </row>
    <row r="20" spans="1:17" ht="15.75" customHeight="1" x14ac:dyDescent="0.2">
      <c r="A20" s="14" t="s">
        <v>34</v>
      </c>
      <c r="B20" s="10">
        <f>'[3]Chnages in rep.'!$NM$16</f>
        <v>100.17454791868752</v>
      </c>
      <c r="C20" s="10">
        <f>'[3]Chnages in rep.'!$NN$16</f>
        <v>100.10298138036555</v>
      </c>
      <c r="D20" s="10">
        <f>'[3]Chnages in rep.'!$NO$16</f>
        <v>100.66577023360061</v>
      </c>
      <c r="E20" s="10">
        <f>'[3]Chnages in rep.'!$NP$16</f>
        <v>98.852364546817881</v>
      </c>
      <c r="F20" s="10">
        <f>'[3]Chnages in rep.'!$NQ$16</f>
        <v>99.056416361500752</v>
      </c>
      <c r="G20" s="10">
        <f>'[3]Chnages in rep.'!$NR$16</f>
        <v>99.151666512204997</v>
      </c>
      <c r="H20" s="10">
        <f>'[3]Chnages in rep.'!$NS$16</f>
        <v>102.32617647133503</v>
      </c>
      <c r="I20" s="10">
        <f>'[3]Chnages in rep.'!$NT$16</f>
        <v>102.35947261429955</v>
      </c>
      <c r="J20" s="10">
        <f>'[3]Chnages in rep.'!$NU$16</f>
        <v>101.43061341638303</v>
      </c>
      <c r="K20" s="10">
        <f>'[3]Chnages in rep.'!$NV$16</f>
        <v>101.42611891096485</v>
      </c>
      <c r="L20" s="10">
        <f>'[3]Chnages in rep.'!$NW$16</f>
        <v>101.41518607013697</v>
      </c>
      <c r="M20" s="10">
        <f>'[3]Chnages in rep.'!$NX$16</f>
        <v>101.40435871574891</v>
      </c>
      <c r="N20" s="10">
        <f>'[3]Republic data'!$OC$360</f>
        <v>100.69713942933714</v>
      </c>
      <c r="O20" s="15" t="s">
        <v>35</v>
      </c>
      <c r="Q20" s="32"/>
    </row>
    <row r="21" spans="1:17" ht="15.75" customHeight="1" x14ac:dyDescent="0.2">
      <c r="A21" s="11" t="s">
        <v>9</v>
      </c>
      <c r="B21" s="10">
        <f>'[3]Chnages in rep.'!$NM$17</f>
        <v>124.40362732378387</v>
      </c>
      <c r="C21" s="10">
        <f>'[3]Chnages in rep.'!$NN$17</f>
        <v>124.40362732378387</v>
      </c>
      <c r="D21" s="10">
        <f>'[3]Chnages in rep.'!$NO$17</f>
        <v>124.91587470599681</v>
      </c>
      <c r="E21" s="10">
        <f>'[3]Chnages in rep.'!$NP$17</f>
        <v>124.87911077240121</v>
      </c>
      <c r="F21" s="10">
        <f>'[3]Chnages in rep.'!$NQ$17</f>
        <v>124.87911077240121</v>
      </c>
      <c r="G21" s="10">
        <f>'[3]Chnages in rep.'!$NR$17</f>
        <v>124.87911077240121</v>
      </c>
      <c r="H21" s="10">
        <f>'[3]Chnages in rep.'!$NS$17</f>
        <v>124.87911077240121</v>
      </c>
      <c r="I21" s="10">
        <f>'[3]Chnages in rep.'!$NT$17</f>
        <v>124.87911077240121</v>
      </c>
      <c r="J21" s="10">
        <f>'[3]Chnages in rep.'!$NU$17</f>
        <v>124.87911077240121</v>
      </c>
      <c r="K21" s="10">
        <f>'[3]Chnages in rep.'!$NV$17</f>
        <v>124.87911077240121</v>
      </c>
      <c r="L21" s="10">
        <f>'[3]Chnages in rep.'!$NW$17</f>
        <v>124.87911077240121</v>
      </c>
      <c r="M21" s="10">
        <f>'[3]Chnages in rep.'!$NX$17</f>
        <v>124.87911077240121</v>
      </c>
      <c r="N21" s="10">
        <f>'[3]Republic data'!$OC$405</f>
        <v>124.80292719209795</v>
      </c>
      <c r="O21" s="15" t="s">
        <v>10</v>
      </c>
      <c r="Q21" s="32"/>
    </row>
    <row r="22" spans="1:17" ht="15.75" customHeight="1" x14ac:dyDescent="0.2">
      <c r="A22" s="11" t="s">
        <v>36</v>
      </c>
      <c r="B22" s="10">
        <f>'[3]Chnages in rep.'!$NM$18</f>
        <v>121.74055464674666</v>
      </c>
      <c r="C22" s="10">
        <f>'[3]Chnages in rep.'!$NN$18</f>
        <v>121.78393899786738</v>
      </c>
      <c r="D22" s="10">
        <f>'[3]Chnages in rep.'!$NO$18</f>
        <v>121.8113572438992</v>
      </c>
      <c r="E22" s="10">
        <f>'[3]Chnages in rep.'!$NP$18</f>
        <v>123.63127170654869</v>
      </c>
      <c r="F22" s="10">
        <f>'[3]Chnages in rep.'!$NQ$18</f>
        <v>123.63127170654869</v>
      </c>
      <c r="G22" s="10">
        <f>'[3]Chnages in rep.'!$NR$18</f>
        <v>123.7342028087177</v>
      </c>
      <c r="H22" s="10">
        <f>'[3]Chnages in rep.'!$NS$18</f>
        <v>121.81959238140819</v>
      </c>
      <c r="I22" s="10">
        <f>'[3]Chnages in rep.'!$NT$18</f>
        <v>121.81959283811511</v>
      </c>
      <c r="J22" s="10">
        <f>'[3]Chnages in rep.'!$NU$18</f>
        <v>121.8872993049861</v>
      </c>
      <c r="K22" s="10">
        <f>'[3]Chnages in rep.'!$NV$18</f>
        <v>125.31492371445513</v>
      </c>
      <c r="L22" s="10">
        <f>'[3]Chnages in rep.'!$NW$18</f>
        <v>125.2509877483465</v>
      </c>
      <c r="M22" s="10">
        <f>'[3]Chnages in rep.'!$NX$18</f>
        <v>125.3358326786649</v>
      </c>
      <c r="N22" s="10">
        <f>'[3]Republic data'!$OC$421</f>
        <v>123.14673548135868</v>
      </c>
      <c r="O22" s="15" t="s">
        <v>37</v>
      </c>
      <c r="Q22" s="32"/>
    </row>
    <row r="23" spans="1:17" ht="15.75" customHeight="1" x14ac:dyDescent="0.2">
      <c r="A23" s="14" t="s">
        <v>38</v>
      </c>
      <c r="B23" s="10">
        <f>'[3]Chnages in rep.'!$NM$19</f>
        <v>98.470368168556647</v>
      </c>
      <c r="C23" s="10">
        <f>'[3]Chnages in rep.'!$NN$19</f>
        <v>98.387001246684576</v>
      </c>
      <c r="D23" s="10">
        <f>'[3]Chnages in rep.'!$NO$19</f>
        <v>98.2925971777629</v>
      </c>
      <c r="E23" s="10">
        <f>'[3]Chnages in rep.'!$NP$19</f>
        <v>98.478314844662677</v>
      </c>
      <c r="F23" s="10">
        <f>'[3]Chnages in rep.'!$NQ$19</f>
        <v>98.461522758420188</v>
      </c>
      <c r="G23" s="10">
        <f>'[3]Chnages in rep.'!$NR$19</f>
        <v>98.444033239198149</v>
      </c>
      <c r="H23" s="10">
        <f>'[3]Chnages in rep.'!$NS$19</f>
        <v>98.54743449471178</v>
      </c>
      <c r="I23" s="10">
        <f>'[3]Chnages in rep.'!$NT$19</f>
        <v>98.926174459473131</v>
      </c>
      <c r="J23" s="10">
        <f>'[3]Chnages in rep.'!$NU$19</f>
        <v>98.532611348284675</v>
      </c>
      <c r="K23" s="10">
        <f>'[3]Chnages in rep.'!$NV$19</f>
        <v>98.506817339409096</v>
      </c>
      <c r="L23" s="10">
        <f>'[3]Chnages in rep.'!$NW$19</f>
        <v>98.115405771927044</v>
      </c>
      <c r="M23" s="10">
        <f>'[3]Chnages in rep.'!$NX$19</f>
        <v>98.467339124937325</v>
      </c>
      <c r="N23" s="10">
        <f>'[3]Republic data'!$OC$438</f>
        <v>98.469134997835681</v>
      </c>
      <c r="O23" s="15" t="s">
        <v>57</v>
      </c>
      <c r="Q23" s="32"/>
    </row>
    <row r="24" spans="1:17" ht="15.75" customHeight="1" x14ac:dyDescent="0.2">
      <c r="A24" s="16" t="s">
        <v>54</v>
      </c>
      <c r="B24" s="17">
        <f>'[3]Chnages in rep.'!$NM$3</f>
        <v>106.40071755950871</v>
      </c>
      <c r="C24" s="17">
        <f>'[3]Chnages in rep.'!$NN$3</f>
        <v>106.63038619744921</v>
      </c>
      <c r="D24" s="17">
        <f>'[3]Chnages in rep.'!$NO$3</f>
        <v>106.062411174174</v>
      </c>
      <c r="E24" s="17">
        <f>'[3]Chnages in rep.'!$NP$3</f>
        <v>105.86893022730047</v>
      </c>
      <c r="F24" s="17">
        <f>'[3]Chnages in rep.'!$NQ$3</f>
        <v>105.93595093311723</v>
      </c>
      <c r="G24" s="17">
        <f>'[3]Chnages in rep.'!$NR$3</f>
        <v>106.16673824347546</v>
      </c>
      <c r="H24" s="17">
        <f>'[3]Chnages in rep.'!$NS$3</f>
        <v>106.44633482430255</v>
      </c>
      <c r="I24" s="17">
        <f>'[3]Chnages in rep.'!$NT$3</f>
        <v>106.34650731154315</v>
      </c>
      <c r="J24" s="17">
        <f>'[3]Chnages in rep.'!$NU$3</f>
        <v>106.75036802647057</v>
      </c>
      <c r="K24" s="17">
        <f>'[3]Chnages in rep.'!$NV$3</f>
        <v>108.78521616648365</v>
      </c>
      <c r="L24" s="17">
        <f>'[3]Chnages in rep.'!$NW$3</f>
        <v>108.6699796816679</v>
      </c>
      <c r="M24" s="17">
        <f>'[3]Chnages in rep.'!$NX$3</f>
        <v>108.97152391399352</v>
      </c>
      <c r="N24" s="17">
        <f>'[3]Republic data'!$OC$3</f>
        <v>106.91958868829052</v>
      </c>
      <c r="O24" s="18" t="s">
        <v>11</v>
      </c>
      <c r="Q24" s="32"/>
    </row>
    <row r="25" spans="1:17" ht="15.75" customHeight="1" x14ac:dyDescent="0.2">
      <c r="A25" s="19" t="s">
        <v>55</v>
      </c>
      <c r="B25" s="33">
        <f>'[3]Chnages in rep.'!$NM$4</f>
        <v>106.69567188406033</v>
      </c>
      <c r="C25" s="33">
        <f>'[3]Chnages in rep.'!$NN$4</f>
        <v>106.32861637396752</v>
      </c>
      <c r="D25" s="33">
        <f>'[3]Chnages in rep.'!$NO$4</f>
        <v>106.22409698520447</v>
      </c>
      <c r="E25" s="33">
        <f>'[3]Chnages in rep.'!$NP$4</f>
        <v>106.05536508120319</v>
      </c>
      <c r="F25" s="33">
        <f>'[3]Chnages in rep.'!$NQ$4</f>
        <v>106.00271740670937</v>
      </c>
      <c r="G25" s="33">
        <f>'[3]Chnages in rep.'!$NR$4</f>
        <v>106.30705421586372</v>
      </c>
      <c r="H25" s="33">
        <f>'[3]Chnages in rep.'!$NS$4</f>
        <v>106.63732880279971</v>
      </c>
      <c r="I25" s="33">
        <f>'[3]Chnages in rep.'!$NT$4</f>
        <v>106.88931976180494</v>
      </c>
      <c r="J25" s="33">
        <f>'[3]Chnages in rep.'!$NU$4</f>
        <v>106.96097813269472</v>
      </c>
      <c r="K25" s="33">
        <f>'[3]Chnages in rep.'!$NV$4</f>
        <v>109.33424405019518</v>
      </c>
      <c r="L25" s="33">
        <f>'[3]Chnages in rep.'!$NW$4</f>
        <v>109.32782738869956</v>
      </c>
      <c r="M25" s="33">
        <f>'[3]Chnages in rep.'!$NX$4</f>
        <v>109.52007702501452</v>
      </c>
      <c r="N25" s="33">
        <f>'[3]Republic data'!$OC$484</f>
        <v>107.1902747590181</v>
      </c>
      <c r="O25" s="20" t="s">
        <v>42</v>
      </c>
      <c r="Q25" s="32"/>
    </row>
    <row r="26" spans="1:17" s="21" customFormat="1" ht="15.75" customHeight="1" x14ac:dyDescent="0.2">
      <c r="A26" s="37"/>
      <c r="B26" s="41">
        <v>2017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7"/>
    </row>
    <row r="27" spans="1:17" s="21" customFormat="1" ht="15.75" customHeight="1" x14ac:dyDescent="0.2">
      <c r="A27" s="4"/>
      <c r="B27" s="5" t="s">
        <v>60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 t="s">
        <v>61</v>
      </c>
      <c r="O27" s="8"/>
    </row>
    <row r="28" spans="1:17" s="21" customFormat="1" ht="15.75" customHeight="1" x14ac:dyDescent="0.2">
      <c r="A28" s="29" t="s">
        <v>58</v>
      </c>
      <c r="B28" s="1" t="s">
        <v>49</v>
      </c>
      <c r="C28" s="1" t="s">
        <v>48</v>
      </c>
      <c r="D28" s="1" t="s">
        <v>0</v>
      </c>
      <c r="E28" s="1" t="s">
        <v>12</v>
      </c>
      <c r="F28" s="1" t="s">
        <v>13</v>
      </c>
      <c r="G28" s="1" t="s">
        <v>1</v>
      </c>
      <c r="H28" s="1" t="s">
        <v>14</v>
      </c>
      <c r="I28" s="1" t="s">
        <v>47</v>
      </c>
      <c r="J28" s="1" t="s">
        <v>70</v>
      </c>
      <c r="K28" s="1" t="s">
        <v>71</v>
      </c>
      <c r="L28" s="1" t="s">
        <v>72</v>
      </c>
      <c r="M28" s="1" t="s">
        <v>73</v>
      </c>
      <c r="N28" s="1" t="s">
        <v>15</v>
      </c>
      <c r="O28" s="30" t="s">
        <v>24</v>
      </c>
      <c r="Q28" s="32"/>
    </row>
    <row r="29" spans="1:17" s="21" customFormat="1" ht="15.75" customHeight="1" x14ac:dyDescent="0.2">
      <c r="A29" s="23"/>
      <c r="B29" s="24" t="s">
        <v>16</v>
      </c>
      <c r="C29" s="23" t="s">
        <v>17</v>
      </c>
      <c r="D29" s="23" t="s">
        <v>2</v>
      </c>
      <c r="E29" s="23" t="s">
        <v>18</v>
      </c>
      <c r="F29" s="23" t="s">
        <v>19</v>
      </c>
      <c r="G29" s="23" t="s">
        <v>3</v>
      </c>
      <c r="H29" s="23" t="s">
        <v>20</v>
      </c>
      <c r="I29" s="23" t="s">
        <v>21</v>
      </c>
      <c r="J29" s="23" t="s">
        <v>4</v>
      </c>
      <c r="K29" s="23" t="s">
        <v>22</v>
      </c>
      <c r="L29" s="23" t="s">
        <v>23</v>
      </c>
      <c r="M29" s="23" t="s">
        <v>5</v>
      </c>
      <c r="N29" s="23" t="s">
        <v>59</v>
      </c>
      <c r="O29" s="25"/>
      <c r="Q29" s="32"/>
    </row>
    <row r="30" spans="1:17" s="21" customFormat="1" ht="15.75" customHeight="1" x14ac:dyDescent="0.2">
      <c r="A30" s="9" t="s">
        <v>43</v>
      </c>
      <c r="B30" s="10">
        <v>112.83893956125075</v>
      </c>
      <c r="C30" s="10">
        <v>113.78095995441291</v>
      </c>
      <c r="D30" s="10">
        <v>113.44067732511131</v>
      </c>
      <c r="E30" s="10">
        <v>113.29432454470755</v>
      </c>
      <c r="F30" s="10">
        <v>115.59499586478387</v>
      </c>
      <c r="G30" s="10">
        <v>113.41876247072705</v>
      </c>
      <c r="H30" s="10">
        <v>113.16400362691853</v>
      </c>
      <c r="I30" s="10">
        <v>111.57389227723965</v>
      </c>
      <c r="J30" s="10">
        <v>113.03888312293248</v>
      </c>
      <c r="K30" s="10">
        <v>111.66838913440606</v>
      </c>
      <c r="L30" s="10">
        <v>110.71344425206759</v>
      </c>
      <c r="M30" s="10">
        <v>113.89142307859603</v>
      </c>
      <c r="N30" s="10">
        <v>113.03489126776282</v>
      </c>
      <c r="O30" s="2" t="s">
        <v>45</v>
      </c>
      <c r="Q30" s="32"/>
    </row>
    <row r="31" spans="1:17" s="21" customFormat="1" ht="15.75" customHeight="1" x14ac:dyDescent="0.2">
      <c r="A31" s="9" t="s">
        <v>44</v>
      </c>
      <c r="B31" s="10">
        <v>116.48829361283794</v>
      </c>
      <c r="C31" s="10">
        <v>116.33174989952283</v>
      </c>
      <c r="D31" s="10">
        <v>115.42087987362792</v>
      </c>
      <c r="E31" s="10">
        <v>115.32305299431519</v>
      </c>
      <c r="F31" s="10">
        <v>116.01271108913632</v>
      </c>
      <c r="G31" s="10">
        <v>114.79207806519474</v>
      </c>
      <c r="H31" s="10">
        <v>113.90355657548979</v>
      </c>
      <c r="I31" s="10">
        <v>113.9763673821865</v>
      </c>
      <c r="J31" s="10">
        <v>114.54542788627839</v>
      </c>
      <c r="K31" s="10">
        <v>115.08634817734043</v>
      </c>
      <c r="L31" s="10">
        <v>116.47710135529299</v>
      </c>
      <c r="M31" s="10">
        <v>117.61030612417696</v>
      </c>
      <c r="N31" s="10">
        <v>115.49732275295001</v>
      </c>
      <c r="O31" s="2" t="s">
        <v>46</v>
      </c>
      <c r="Q31" s="32"/>
    </row>
    <row r="32" spans="1:17" s="21" customFormat="1" ht="15.75" customHeight="1" x14ac:dyDescent="0.2">
      <c r="A32" s="11" t="s">
        <v>6</v>
      </c>
      <c r="B32" s="10">
        <v>104.48662294347504</v>
      </c>
      <c r="C32" s="10">
        <v>107.94293904829392</v>
      </c>
      <c r="D32" s="10">
        <v>108.90856604768052</v>
      </c>
      <c r="E32" s="10">
        <v>108.65115150556609</v>
      </c>
      <c r="F32" s="10">
        <v>114.6389664523081</v>
      </c>
      <c r="G32" s="10">
        <v>110.2756400170059</v>
      </c>
      <c r="H32" s="10">
        <v>111.47138068741813</v>
      </c>
      <c r="I32" s="10">
        <v>106.07532117145389</v>
      </c>
      <c r="J32" s="10">
        <v>109.59083761009899</v>
      </c>
      <c r="K32" s="10">
        <v>103.84566880921275</v>
      </c>
      <c r="L32" s="10">
        <v>97.522099065514638</v>
      </c>
      <c r="M32" s="10">
        <v>105.37997469017212</v>
      </c>
      <c r="N32" s="10">
        <v>107.39909733735</v>
      </c>
      <c r="O32" s="2" t="s">
        <v>7</v>
      </c>
      <c r="Q32" s="32"/>
    </row>
    <row r="33" spans="1:17" s="21" customFormat="1" ht="15.75" customHeight="1" x14ac:dyDescent="0.2">
      <c r="A33" s="11" t="s">
        <v>40</v>
      </c>
      <c r="B33" s="10">
        <v>122.67340574770263</v>
      </c>
      <c r="C33" s="10">
        <v>123.2576164333824</v>
      </c>
      <c r="D33" s="10">
        <v>159.42685794922326</v>
      </c>
      <c r="E33" s="10">
        <v>159.98455374419413</v>
      </c>
      <c r="F33" s="10">
        <v>160.81041210237751</v>
      </c>
      <c r="G33" s="10">
        <v>161.57166588309633</v>
      </c>
      <c r="H33" s="10">
        <v>161.36325396112733</v>
      </c>
      <c r="I33" s="10">
        <v>160.71752015594527</v>
      </c>
      <c r="J33" s="10">
        <v>160.83120611807271</v>
      </c>
      <c r="K33" s="10">
        <v>160.92914232629056</v>
      </c>
      <c r="L33" s="10">
        <v>160.98571701074584</v>
      </c>
      <c r="M33" s="10">
        <v>160.41872060134136</v>
      </c>
      <c r="N33" s="10">
        <v>154.41417266945828</v>
      </c>
      <c r="O33" s="2" t="s">
        <v>25</v>
      </c>
      <c r="Q33" s="32"/>
    </row>
    <row r="34" spans="1:17" ht="15.75" customHeight="1" x14ac:dyDescent="0.2">
      <c r="A34" s="11" t="s">
        <v>8</v>
      </c>
      <c r="B34" s="10">
        <v>100.65047510964997</v>
      </c>
      <c r="C34" s="10">
        <v>100.49836435204436</v>
      </c>
      <c r="D34" s="10">
        <v>100.5368959965402</v>
      </c>
      <c r="E34" s="10">
        <v>100.55089549017585</v>
      </c>
      <c r="F34" s="10">
        <v>100.57977623452557</v>
      </c>
      <c r="G34" s="10">
        <v>100.33845373517408</v>
      </c>
      <c r="H34" s="10">
        <v>100.10621027675735</v>
      </c>
      <c r="I34" s="10">
        <v>100.21039832853231</v>
      </c>
      <c r="J34" s="10">
        <v>100.20785549717321</v>
      </c>
      <c r="K34" s="10">
        <v>100.01345055190248</v>
      </c>
      <c r="L34" s="10">
        <v>99.849225760842629</v>
      </c>
      <c r="M34" s="10">
        <v>99.944923507635622</v>
      </c>
      <c r="N34" s="10">
        <v>100.29057707007946</v>
      </c>
      <c r="O34" s="2" t="s">
        <v>26</v>
      </c>
      <c r="Q34" s="32"/>
    </row>
    <row r="35" spans="1:17" ht="15.75" customHeight="1" x14ac:dyDescent="0.2">
      <c r="A35" s="11" t="s">
        <v>52</v>
      </c>
      <c r="B35" s="10">
        <v>109.98434334798695</v>
      </c>
      <c r="C35" s="10">
        <v>110.19076086200178</v>
      </c>
      <c r="D35" s="10">
        <v>110.25043234259323</v>
      </c>
      <c r="E35" s="10">
        <v>110.38760486518682</v>
      </c>
      <c r="F35" s="10">
        <v>110.54035740868545</v>
      </c>
      <c r="G35" s="10">
        <v>108.74533133210758</v>
      </c>
      <c r="H35" s="10">
        <v>107.84852463616971</v>
      </c>
      <c r="I35" s="10">
        <v>108.1740565533721</v>
      </c>
      <c r="J35" s="10">
        <v>108.86653792482572</v>
      </c>
      <c r="K35" s="10">
        <v>109.19533355640154</v>
      </c>
      <c r="L35" s="10">
        <v>109.50339625023084</v>
      </c>
      <c r="M35" s="10">
        <v>110.05345913432531</v>
      </c>
      <c r="N35" s="10">
        <v>109.47834485115725</v>
      </c>
      <c r="O35" s="2" t="s">
        <v>27</v>
      </c>
      <c r="Q35" s="32"/>
    </row>
    <row r="36" spans="1:17" ht="15.75" customHeight="1" x14ac:dyDescent="0.2">
      <c r="A36" s="11" t="s">
        <v>53</v>
      </c>
      <c r="B36" s="10">
        <v>118.78779793927102</v>
      </c>
      <c r="C36" s="10">
        <v>118.94183226767581</v>
      </c>
      <c r="D36" s="10">
        <v>119.02618439989749</v>
      </c>
      <c r="E36" s="10">
        <v>119.39085674294863</v>
      </c>
      <c r="F36" s="10">
        <v>120.25326058718625</v>
      </c>
      <c r="G36" s="10">
        <v>121.0400010386233</v>
      </c>
      <c r="H36" s="10">
        <v>122.26401244576164</v>
      </c>
      <c r="I36" s="10">
        <v>122.90327873522459</v>
      </c>
      <c r="J36" s="10">
        <v>124.23718345011135</v>
      </c>
      <c r="K36" s="10">
        <v>124.90591201723197</v>
      </c>
      <c r="L36" s="10">
        <v>125.58544912329786</v>
      </c>
      <c r="M36" s="10">
        <v>126.68556721344532</v>
      </c>
      <c r="N36" s="10">
        <v>122.00177799672292</v>
      </c>
      <c r="O36" s="12" t="s">
        <v>56</v>
      </c>
      <c r="Q36" s="32"/>
    </row>
    <row r="37" spans="1:17" ht="27" customHeight="1" x14ac:dyDescent="0.2">
      <c r="A37" s="9" t="s">
        <v>39</v>
      </c>
      <c r="B37" s="10">
        <v>99.489944419387044</v>
      </c>
      <c r="C37" s="10">
        <v>100.47923842593966</v>
      </c>
      <c r="D37" s="10">
        <v>100.46961782487625</v>
      </c>
      <c r="E37" s="10">
        <v>100.3589566274928</v>
      </c>
      <c r="F37" s="10">
        <v>96.854831151878116</v>
      </c>
      <c r="G37" s="10">
        <v>96.572722365507417</v>
      </c>
      <c r="H37" s="10">
        <v>98.344525882033039</v>
      </c>
      <c r="I37" s="10">
        <v>98.281432173438176</v>
      </c>
      <c r="J37" s="10">
        <v>98.120131132157866</v>
      </c>
      <c r="K37" s="10">
        <v>98.221613012417507</v>
      </c>
      <c r="L37" s="10">
        <v>97.929386668970039</v>
      </c>
      <c r="M37" s="10">
        <v>97.943130780361429</v>
      </c>
      <c r="N37" s="10">
        <v>98.588794205371599</v>
      </c>
      <c r="O37" s="2" t="s">
        <v>41</v>
      </c>
      <c r="Q37" s="32"/>
    </row>
    <row r="38" spans="1:17" ht="16.5" customHeight="1" x14ac:dyDescent="0.2">
      <c r="A38" s="13" t="s">
        <v>28</v>
      </c>
      <c r="B38" s="10">
        <v>125.51448139795777</v>
      </c>
      <c r="C38" s="10">
        <v>125.39571912221571</v>
      </c>
      <c r="D38" s="10">
        <v>125.38709914167559</v>
      </c>
      <c r="E38" s="10">
        <v>125.3963615949699</v>
      </c>
      <c r="F38" s="10">
        <v>125.49360096447738</v>
      </c>
      <c r="G38" s="10">
        <v>125.48360252604184</v>
      </c>
      <c r="H38" s="10">
        <v>125.49738677386105</v>
      </c>
      <c r="I38" s="10">
        <v>125.52036145728432</v>
      </c>
      <c r="J38" s="10">
        <v>125.50584620928863</v>
      </c>
      <c r="K38" s="10">
        <v>125.69250130325075</v>
      </c>
      <c r="L38" s="10">
        <v>125.72174159517944</v>
      </c>
      <c r="M38" s="10">
        <v>125.73285184962693</v>
      </c>
      <c r="N38" s="10">
        <v>125.52846282798579</v>
      </c>
      <c r="O38" s="2" t="s">
        <v>29</v>
      </c>
      <c r="Q38" s="32"/>
    </row>
    <row r="39" spans="1:17" ht="16.5" customHeight="1" x14ac:dyDescent="0.2">
      <c r="A39" s="13" t="s">
        <v>30</v>
      </c>
      <c r="B39" s="10">
        <v>103.32247816586994</v>
      </c>
      <c r="C39" s="10">
        <v>103.1700025234308</v>
      </c>
      <c r="D39" s="10">
        <v>103.169187443269</v>
      </c>
      <c r="E39" s="10">
        <v>102.91268725784089</v>
      </c>
      <c r="F39" s="10">
        <v>101.77646010607812</v>
      </c>
      <c r="G39" s="10">
        <v>101.00390073970956</v>
      </c>
      <c r="H39" s="10">
        <v>100.81388528639233</v>
      </c>
      <c r="I39" s="10">
        <v>100.84179555620557</v>
      </c>
      <c r="J39" s="10">
        <v>101.07945071679406</v>
      </c>
      <c r="K39" s="10">
        <v>101.50327625840072</v>
      </c>
      <c r="L39" s="10">
        <v>101.23086820908144</v>
      </c>
      <c r="M39" s="10">
        <v>101.2538316463888</v>
      </c>
      <c r="N39" s="10">
        <v>101.83981865912176</v>
      </c>
      <c r="O39" s="2" t="s">
        <v>31</v>
      </c>
      <c r="Q39" s="32"/>
    </row>
    <row r="40" spans="1:17" ht="15.75" customHeight="1" x14ac:dyDescent="0.2">
      <c r="A40" s="13" t="s">
        <v>32</v>
      </c>
      <c r="B40" s="10">
        <v>99.25672955425857</v>
      </c>
      <c r="C40" s="10">
        <v>99.25672955425857</v>
      </c>
      <c r="D40" s="10">
        <v>99.25672955425857</v>
      </c>
      <c r="E40" s="10">
        <v>99.25672955425857</v>
      </c>
      <c r="F40" s="10">
        <v>99.25672955425857</v>
      </c>
      <c r="G40" s="10">
        <v>99.25672955425857</v>
      </c>
      <c r="H40" s="10">
        <v>100.20909082660211</v>
      </c>
      <c r="I40" s="10">
        <v>100.20909082660211</v>
      </c>
      <c r="J40" s="10">
        <v>100.20909082660211</v>
      </c>
      <c r="K40" s="10">
        <v>100.1146600585961</v>
      </c>
      <c r="L40" s="10">
        <v>100.1146600585961</v>
      </c>
      <c r="M40" s="10">
        <v>99.515791735045639</v>
      </c>
      <c r="N40" s="10">
        <v>99.659396804799613</v>
      </c>
      <c r="O40" s="2" t="s">
        <v>33</v>
      </c>
      <c r="Q40" s="32"/>
    </row>
    <row r="41" spans="1:17" ht="15.75" customHeight="1" x14ac:dyDescent="0.2">
      <c r="A41" s="14" t="s">
        <v>34</v>
      </c>
      <c r="B41" s="10">
        <v>101.75845024250361</v>
      </c>
      <c r="C41" s="10">
        <v>101.74510991233566</v>
      </c>
      <c r="D41" s="10">
        <v>101.75936358610916</v>
      </c>
      <c r="E41" s="10">
        <v>101.75936358610916</v>
      </c>
      <c r="F41" s="10">
        <v>100.13613685073707</v>
      </c>
      <c r="G41" s="10">
        <v>99.830178710478606</v>
      </c>
      <c r="H41" s="10">
        <v>100.25912112595857</v>
      </c>
      <c r="I41" s="10">
        <v>100.28577086478815</v>
      </c>
      <c r="J41" s="10">
        <v>100.28345829041872</v>
      </c>
      <c r="K41" s="10">
        <v>99.911722105898576</v>
      </c>
      <c r="L41" s="10">
        <v>99.666145400486442</v>
      </c>
      <c r="M41" s="10">
        <v>99.613668304030128</v>
      </c>
      <c r="N41" s="10">
        <v>100.58404074832116</v>
      </c>
      <c r="O41" s="15" t="s">
        <v>35</v>
      </c>
      <c r="Q41" s="32"/>
    </row>
    <row r="42" spans="1:17" ht="15.75" customHeight="1" x14ac:dyDescent="0.2">
      <c r="A42" s="11" t="s">
        <v>9</v>
      </c>
      <c r="B42" s="10">
        <v>130.07791242751054</v>
      </c>
      <c r="C42" s="10">
        <v>130.07791242751054</v>
      </c>
      <c r="D42" s="10">
        <v>130.07791242751054</v>
      </c>
      <c r="E42" s="10">
        <v>130.07791242751054</v>
      </c>
      <c r="F42" s="10">
        <v>130.07791242751054</v>
      </c>
      <c r="G42" s="10">
        <v>130.07791242751054</v>
      </c>
      <c r="H42" s="10">
        <v>130.07927276290044</v>
      </c>
      <c r="I42" s="10">
        <v>130.07927276290044</v>
      </c>
      <c r="J42" s="10">
        <v>130.07927276290044</v>
      </c>
      <c r="K42" s="10">
        <v>130.07927276290044</v>
      </c>
      <c r="L42" s="10">
        <v>130.07927276290044</v>
      </c>
      <c r="M42" s="10">
        <v>130.07927276290044</v>
      </c>
      <c r="N42" s="10">
        <v>130.07859259520549</v>
      </c>
      <c r="O42" s="15" t="s">
        <v>10</v>
      </c>
      <c r="Q42" s="32"/>
    </row>
    <row r="43" spans="1:17" ht="15.75" customHeight="1" x14ac:dyDescent="0.2">
      <c r="A43" s="11" t="s">
        <v>36</v>
      </c>
      <c r="B43" s="10">
        <v>125.33425513277646</v>
      </c>
      <c r="C43" s="10">
        <v>125.28511299251818</v>
      </c>
      <c r="D43" s="10">
        <v>125.27368908992756</v>
      </c>
      <c r="E43" s="10">
        <v>125.27368908992756</v>
      </c>
      <c r="F43" s="10">
        <v>125.27368908992756</v>
      </c>
      <c r="G43" s="10">
        <v>125.27368908992756</v>
      </c>
      <c r="H43" s="10">
        <v>125.27368908992756</v>
      </c>
      <c r="I43" s="10">
        <v>125.29100537512497</v>
      </c>
      <c r="J43" s="10">
        <v>125.29123614182799</v>
      </c>
      <c r="K43" s="10">
        <v>125.21119191220903</v>
      </c>
      <c r="L43" s="10">
        <v>127.13670782815568</v>
      </c>
      <c r="M43" s="10">
        <v>127.63720146991291</v>
      </c>
      <c r="N43" s="10">
        <v>125.6295963585136</v>
      </c>
      <c r="O43" s="15" t="s">
        <v>37</v>
      </c>
      <c r="Q43" s="32"/>
    </row>
    <row r="44" spans="1:17" ht="15.75" customHeight="1" x14ac:dyDescent="0.2">
      <c r="A44" s="14" t="s">
        <v>38</v>
      </c>
      <c r="B44" s="10">
        <v>98.553232538183764</v>
      </c>
      <c r="C44" s="10">
        <v>98.461953308934227</v>
      </c>
      <c r="D44" s="10">
        <v>98.245934608629341</v>
      </c>
      <c r="E44" s="10">
        <v>98.36233315851166</v>
      </c>
      <c r="F44" s="10">
        <v>98.296244855685458</v>
      </c>
      <c r="G44" s="10">
        <v>98.405676684483197</v>
      </c>
      <c r="H44" s="10">
        <v>98.433087059217996</v>
      </c>
      <c r="I44" s="10">
        <v>98.304963846505373</v>
      </c>
      <c r="J44" s="10">
        <v>98.114907507857836</v>
      </c>
      <c r="K44" s="10">
        <v>98.205793584935364</v>
      </c>
      <c r="L44" s="10">
        <v>98.193892314276169</v>
      </c>
      <c r="M44" s="10">
        <v>98.23665257871744</v>
      </c>
      <c r="N44" s="10">
        <v>98.317889337161489</v>
      </c>
      <c r="O44" s="15" t="s">
        <v>57</v>
      </c>
      <c r="Q44" s="32"/>
    </row>
    <row r="45" spans="1:17" ht="15.75" customHeight="1" x14ac:dyDescent="0.2">
      <c r="A45" s="16" t="s">
        <v>54</v>
      </c>
      <c r="B45" s="17">
        <v>109.49980955008905</v>
      </c>
      <c r="C45" s="17">
        <v>109.88576174896833</v>
      </c>
      <c r="D45" s="17">
        <v>110.60323178045907</v>
      </c>
      <c r="E45" s="17">
        <v>110.59194937513206</v>
      </c>
      <c r="F45" s="17">
        <v>110.85201445600245</v>
      </c>
      <c r="G45" s="17">
        <v>109.74800644419963</v>
      </c>
      <c r="H45" s="17">
        <v>109.6669128495823</v>
      </c>
      <c r="I45" s="17">
        <v>109.27002315425663</v>
      </c>
      <c r="J45" s="17">
        <v>109.83466504100939</v>
      </c>
      <c r="K45" s="17">
        <v>109.5388392789536</v>
      </c>
      <c r="L45" s="17">
        <v>109.34008741675697</v>
      </c>
      <c r="M45" s="17">
        <v>110.35293458574249</v>
      </c>
      <c r="N45" s="17">
        <v>109.93201964009602</v>
      </c>
      <c r="O45" s="18" t="s">
        <v>11</v>
      </c>
      <c r="Q45" s="32"/>
    </row>
    <row r="46" spans="1:17" ht="15.75" customHeight="1" x14ac:dyDescent="0.2">
      <c r="A46" s="19" t="s">
        <v>55</v>
      </c>
      <c r="B46" s="33">
        <v>109.97429171672792</v>
      </c>
      <c r="C46" s="33">
        <v>110.06964373796011</v>
      </c>
      <c r="D46" s="33">
        <v>110.76362650176397</v>
      </c>
      <c r="E46" s="33">
        <v>110.77563972029991</v>
      </c>
      <c r="F46" s="33">
        <v>110.49359149488743</v>
      </c>
      <c r="G46" s="33">
        <v>109.69806760480228</v>
      </c>
      <c r="H46" s="33">
        <v>109.49612570828637</v>
      </c>
      <c r="I46" s="33">
        <v>109.57239153539088</v>
      </c>
      <c r="J46" s="33">
        <v>109.8577425317917</v>
      </c>
      <c r="K46" s="33">
        <v>110.07767975538096</v>
      </c>
      <c r="L46" s="33">
        <v>110.45862242417377</v>
      </c>
      <c r="M46" s="33">
        <v>110.82360942213208</v>
      </c>
      <c r="N46" s="33">
        <v>110.17175267946645</v>
      </c>
      <c r="O46" s="20" t="s">
        <v>42</v>
      </c>
      <c r="Q46" s="32"/>
    </row>
    <row r="47" spans="1:17" ht="15.75" customHeight="1" x14ac:dyDescent="0.2">
      <c r="A47" s="26" t="s">
        <v>62</v>
      </c>
      <c r="B47" s="26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Q47" s="32"/>
    </row>
    <row r="48" spans="1:17" ht="15.75" customHeight="1" x14ac:dyDescent="0.2">
      <c r="A48" s="22" t="s">
        <v>63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Q48" s="32"/>
    </row>
    <row r="49" spans="1:17" ht="15.75" customHeight="1" x14ac:dyDescent="0.2">
      <c r="A49" s="22" t="s">
        <v>64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Q49" s="32"/>
    </row>
    <row r="50" spans="1:17" ht="15.75" customHeight="1" x14ac:dyDescent="0.2">
      <c r="A50" s="22" t="s">
        <v>65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Q50" s="32"/>
    </row>
    <row r="51" spans="1:17" ht="15.75" customHeight="1" x14ac:dyDescent="0.2">
      <c r="A51" s="22" t="s">
        <v>66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Q51" s="32"/>
    </row>
    <row r="52" spans="1:17" ht="15.75" customHeight="1" x14ac:dyDescent="0.2">
      <c r="A52" s="22" t="s">
        <v>67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Q52" s="32"/>
    </row>
    <row r="53" spans="1:17" ht="15.75" customHeight="1" x14ac:dyDescent="0.2">
      <c r="A53" s="22" t="s">
        <v>68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Q53" s="32"/>
    </row>
    <row r="54" spans="1:17" ht="15.75" customHeight="1" x14ac:dyDescent="0.2">
      <c r="A54" s="34" t="s">
        <v>69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Q54" s="32"/>
    </row>
    <row r="55" spans="1:17" ht="15.75" customHeight="1" x14ac:dyDescent="0.2">
      <c r="Q55" s="32"/>
    </row>
  </sheetData>
  <mergeCells count="7">
    <mergeCell ref="B26:N26"/>
    <mergeCell ref="B5:N5"/>
    <mergeCell ref="Q1:X1"/>
    <mergeCell ref="A2:O2"/>
    <mergeCell ref="A3:O3"/>
    <mergeCell ref="A4:O4"/>
    <mergeCell ref="A1:O1"/>
  </mergeCells>
  <pageMargins left="0.43" right="0.7" top="0.47" bottom="0.14000000000000001" header="0.3" footer="0.04"/>
  <pageSetup paperSize="9" scale="64" orientation="landscape" horizontalDpi="4294967295" verticalDpi="4294967295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2018-04-17T06:33:04Z</cp:lastPrinted>
  <dcterms:created xsi:type="dcterms:W3CDTF">2007-02-08T08:33:33Z</dcterms:created>
  <dcterms:modified xsi:type="dcterms:W3CDTF">2018-04-17T06:33:13Z</dcterms:modified>
</cp:coreProperties>
</file>